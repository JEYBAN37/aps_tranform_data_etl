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F:\APS AUTOMATIZACIONES\aps\automatizacion_looker_aps\contratacion_cruzada\bases\"/>
    </mc:Choice>
  </mc:AlternateContent>
  <xr:revisionPtr revIDLastSave="0" documentId="13_ncr:1_{911CFB58-E3B8-4B67-8261-4794B50C6E46}" xr6:coauthVersionLast="47" xr6:coauthVersionMax="47" xr10:uidLastSave="{00000000-0000-0000-0000-000000000000}"/>
  <bookViews>
    <workbookView xWindow="28680" yWindow="-120" windowWidth="29040" windowHeight="15720" activeTab="1" xr2:uid="{00000000-000D-0000-FFFF-FFFF00000000}"/>
  </bookViews>
  <sheets>
    <sheet name="RES_17_4_2026" sheetId="10" r:id="rId1"/>
    <sheet name="873" sheetId="9" r:id="rId2"/>
    <sheet name="1976" sheetId="6" r:id="rId3"/>
    <sheet name="1397" sheetId="5" r:id="rId4"/>
    <sheet name="1778" sheetId="4" r:id="rId5"/>
  </sheets>
  <externalReferences>
    <externalReference r:id="rId6"/>
  </externalReferences>
  <definedNames>
    <definedName name="_xlnm._FilterDatabase" localSheetId="2" hidden="1">'1976'!$A$1:$T$167</definedName>
    <definedName name="_xlnm._FilterDatabase" localSheetId="0" hidden="1">RES_17_4_2026!$A$1:$S$1567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 i="9" l="1"/>
  <c r="R1264" i="10"/>
  <c r="S1264" i="10" s="1"/>
  <c r="R1263" i="10"/>
  <c r="S1263" i="10" s="1"/>
  <c r="R1262" i="10"/>
  <c r="S1262" i="10" s="1"/>
  <c r="R1261" i="10"/>
  <c r="S1261" i="10" s="1"/>
  <c r="R1260" i="10"/>
  <c r="S1260" i="10" s="1"/>
  <c r="R1259" i="10"/>
  <c r="S1259" i="10" s="1"/>
  <c r="R1258" i="10"/>
  <c r="S1258" i="10" s="1"/>
  <c r="R1257" i="10"/>
  <c r="S1257" i="10" s="1"/>
  <c r="R1256" i="10"/>
  <c r="S1256" i="10" s="1"/>
  <c r="R1255" i="10"/>
  <c r="S1255" i="10" s="1"/>
  <c r="R1254" i="10"/>
  <c r="S1254" i="10" s="1"/>
  <c r="R1253" i="10"/>
  <c r="S1253" i="10" s="1"/>
  <c r="R1252" i="10"/>
  <c r="S1252" i="10" s="1"/>
  <c r="R1251" i="10"/>
  <c r="S1251" i="10" s="1"/>
  <c r="R1250" i="10"/>
  <c r="S1250" i="10" s="1"/>
  <c r="R1249" i="10"/>
  <c r="S1249" i="10" s="1"/>
  <c r="R1248" i="10"/>
  <c r="S1248" i="10" s="1"/>
  <c r="R1247" i="10"/>
  <c r="S1247" i="10" s="1"/>
  <c r="R1246" i="10"/>
  <c r="S1246" i="10" s="1"/>
  <c r="R1245" i="10"/>
  <c r="S1245" i="10" s="1"/>
  <c r="R1244" i="10"/>
  <c r="S1244" i="10" s="1"/>
  <c r="R1243" i="10"/>
  <c r="S1243" i="10" s="1"/>
  <c r="R1242" i="10"/>
  <c r="S1242" i="10" s="1"/>
  <c r="R1241" i="10"/>
  <c r="S1241" i="10" s="1"/>
  <c r="R1240" i="10"/>
  <c r="S1240" i="10" s="1"/>
  <c r="R1239" i="10"/>
  <c r="S1239" i="10" s="1"/>
  <c r="R1238" i="10"/>
  <c r="S1238" i="10" s="1"/>
  <c r="R1237" i="10"/>
  <c r="S1237" i="10" s="1"/>
  <c r="R1236" i="10"/>
  <c r="S1236" i="10" s="1"/>
  <c r="R1235" i="10"/>
  <c r="S1235" i="10" s="1"/>
  <c r="R1234" i="10"/>
  <c r="S1234" i="10" s="1"/>
  <c r="R1233" i="10"/>
  <c r="S1233" i="10" s="1"/>
  <c r="R1232" i="10"/>
  <c r="S1232" i="10" s="1"/>
  <c r="R1231" i="10"/>
  <c r="S1231" i="10" s="1"/>
  <c r="R1230" i="10"/>
  <c r="S1230" i="10" s="1"/>
  <c r="R1229" i="10"/>
  <c r="S1229" i="10" s="1"/>
  <c r="R1228" i="10"/>
  <c r="S1228" i="10" s="1"/>
  <c r="R1227" i="10"/>
  <c r="S1227" i="10" s="1"/>
  <c r="R1226" i="10"/>
  <c r="S1226" i="10" s="1"/>
  <c r="R1225" i="10"/>
  <c r="S1225" i="10" s="1"/>
  <c r="R1224" i="10"/>
  <c r="S1224" i="10" s="1"/>
  <c r="R1223" i="10"/>
  <c r="S1223" i="10" s="1"/>
  <c r="R1222" i="10"/>
  <c r="S1222" i="10" s="1"/>
  <c r="R1221" i="10"/>
  <c r="S1221" i="10" s="1"/>
  <c r="R1220" i="10"/>
  <c r="S1220" i="10" s="1"/>
  <c r="R1219" i="10"/>
  <c r="S1219" i="10" s="1"/>
  <c r="R1218" i="10"/>
  <c r="S1218" i="10" s="1"/>
  <c r="R1217" i="10"/>
  <c r="S1217" i="10" s="1"/>
  <c r="R1216" i="10"/>
  <c r="S1216" i="10" s="1"/>
  <c r="R1215" i="10"/>
  <c r="S1215" i="10" s="1"/>
  <c r="R1214" i="10"/>
  <c r="S1214" i="10" s="1"/>
  <c r="R1213" i="10"/>
  <c r="S1213" i="10" s="1"/>
  <c r="R1212" i="10"/>
  <c r="S1212" i="10" s="1"/>
  <c r="R1211" i="10"/>
  <c r="S1211" i="10" s="1"/>
  <c r="R1210" i="10"/>
  <c r="S1210" i="10" s="1"/>
  <c r="R1209" i="10"/>
  <c r="S1209" i="10" s="1"/>
  <c r="R1208" i="10"/>
  <c r="S1208" i="10" s="1"/>
  <c r="R1207" i="10"/>
  <c r="S1207" i="10" s="1"/>
  <c r="R1206" i="10"/>
  <c r="S1206" i="10" s="1"/>
  <c r="R1205" i="10"/>
  <c r="S1205" i="10" s="1"/>
  <c r="R1204" i="10"/>
  <c r="S1204" i="10" s="1"/>
  <c r="R1203" i="10"/>
  <c r="S1203" i="10" s="1"/>
  <c r="R1202" i="10"/>
  <c r="S1202" i="10" s="1"/>
  <c r="R1201" i="10"/>
  <c r="S1201" i="10" s="1"/>
  <c r="R1200" i="10"/>
  <c r="S1200" i="10" s="1"/>
  <c r="R1199" i="10"/>
  <c r="S1199" i="10" s="1"/>
  <c r="R1198" i="10"/>
  <c r="S1198" i="10" s="1"/>
  <c r="R1197" i="10"/>
  <c r="S1197" i="10" s="1"/>
  <c r="R1196" i="10"/>
  <c r="S1196" i="10" s="1"/>
  <c r="R1195" i="10"/>
  <c r="S1195" i="10" s="1"/>
  <c r="R1194" i="10"/>
  <c r="S1194" i="10" s="1"/>
  <c r="R1193" i="10"/>
  <c r="S1193" i="10" s="1"/>
  <c r="R1192" i="10"/>
  <c r="S1192" i="10" s="1"/>
  <c r="R1191" i="10"/>
  <c r="S1191" i="10" s="1"/>
  <c r="R1190" i="10"/>
  <c r="S1190" i="10" s="1"/>
  <c r="R1189" i="10"/>
  <c r="S1189" i="10" s="1"/>
  <c r="R1188" i="10"/>
  <c r="S1188" i="10" s="1"/>
  <c r="R1187" i="10"/>
  <c r="S1187" i="10" s="1"/>
  <c r="R1186" i="10"/>
  <c r="S1186" i="10" s="1"/>
  <c r="R1185" i="10"/>
  <c r="S1185" i="10" s="1"/>
  <c r="R1184" i="10"/>
  <c r="S1184" i="10" s="1"/>
  <c r="R1183" i="10"/>
  <c r="S1183" i="10" s="1"/>
  <c r="R1182" i="10"/>
  <c r="S1182" i="10" s="1"/>
  <c r="R1181" i="10"/>
  <c r="S1181" i="10" s="1"/>
  <c r="R1180" i="10"/>
  <c r="S1180" i="10" s="1"/>
  <c r="R1179" i="10"/>
  <c r="S1179" i="10" s="1"/>
  <c r="R1178" i="10"/>
  <c r="S1178" i="10" s="1"/>
  <c r="R1177" i="10"/>
  <c r="S1177" i="10" s="1"/>
  <c r="R1176" i="10"/>
  <c r="S1176" i="10" s="1"/>
  <c r="R1175" i="10"/>
  <c r="S1175" i="10" s="1"/>
  <c r="R1174" i="10"/>
  <c r="S1174" i="10" s="1"/>
  <c r="R1173" i="10"/>
  <c r="S1173" i="10" s="1"/>
  <c r="R1172" i="10"/>
  <c r="S1172" i="10" s="1"/>
  <c r="R1171" i="10"/>
  <c r="S1171" i="10" s="1"/>
  <c r="R1170" i="10"/>
  <c r="S1170" i="10" s="1"/>
  <c r="R1169" i="10"/>
  <c r="S1169" i="10" s="1"/>
  <c r="R1168" i="10"/>
  <c r="S1168" i="10" s="1"/>
  <c r="R1167" i="10"/>
  <c r="S1167" i="10" s="1"/>
  <c r="R1166" i="10"/>
  <c r="S1166" i="10" s="1"/>
  <c r="R1165" i="10"/>
  <c r="S1165" i="10" s="1"/>
  <c r="R1164" i="10"/>
  <c r="S1164" i="10" s="1"/>
  <c r="R1163" i="10"/>
  <c r="S1163" i="10" s="1"/>
  <c r="R1162" i="10"/>
  <c r="S1162" i="10" s="1"/>
  <c r="R1161" i="10"/>
  <c r="S1161" i="10" s="1"/>
  <c r="R1160" i="10"/>
  <c r="S1160" i="10" s="1"/>
  <c r="R1159" i="10"/>
  <c r="S1159" i="10" s="1"/>
  <c r="R1158" i="10"/>
  <c r="S1158" i="10" s="1"/>
  <c r="R1157" i="10"/>
  <c r="S1157" i="10" s="1"/>
  <c r="R1156" i="10"/>
  <c r="S1156" i="10" s="1"/>
  <c r="R1155" i="10"/>
  <c r="S1155" i="10" s="1"/>
  <c r="R1154" i="10"/>
  <c r="S1154" i="10" s="1"/>
  <c r="R1153" i="10"/>
  <c r="S1153" i="10" s="1"/>
  <c r="R1152" i="10"/>
  <c r="S1152" i="10" s="1"/>
  <c r="R1151" i="10"/>
  <c r="S1151" i="10" s="1"/>
  <c r="R1150" i="10"/>
  <c r="S1150" i="10" s="1"/>
  <c r="R1149" i="10"/>
  <c r="S1149" i="10" s="1"/>
  <c r="R1148" i="10"/>
  <c r="S1148" i="10" s="1"/>
  <c r="R1147" i="10"/>
  <c r="S1147" i="10" s="1"/>
  <c r="R1146" i="10"/>
  <c r="S1146" i="10" s="1"/>
  <c r="R1145" i="10"/>
  <c r="S1145" i="10" s="1"/>
  <c r="R1144" i="10"/>
  <c r="S1144" i="10" s="1"/>
  <c r="R1143" i="10"/>
  <c r="S1143" i="10" s="1"/>
  <c r="R1142" i="10"/>
  <c r="S1142" i="10" s="1"/>
  <c r="R1141" i="10"/>
  <c r="S1141" i="10" s="1"/>
  <c r="R1140" i="10"/>
  <c r="S1140" i="10" s="1"/>
  <c r="R1139" i="10"/>
  <c r="S1139" i="10" s="1"/>
  <c r="R1138" i="10"/>
  <c r="S1138" i="10" s="1"/>
  <c r="R1137" i="10"/>
  <c r="S1137" i="10" s="1"/>
  <c r="R1136" i="10"/>
  <c r="S1136" i="10" s="1"/>
  <c r="R1135" i="10"/>
  <c r="S1135" i="10" s="1"/>
  <c r="R1134" i="10"/>
  <c r="S1134" i="10" s="1"/>
  <c r="R1133" i="10"/>
  <c r="S1133" i="10" s="1"/>
  <c r="R1132" i="10"/>
  <c r="S1132" i="10" s="1"/>
  <c r="R1131" i="10"/>
  <c r="S1131" i="10" s="1"/>
  <c r="R1130" i="10"/>
  <c r="S1130" i="10" s="1"/>
  <c r="R1129" i="10"/>
  <c r="S1129" i="10" s="1"/>
  <c r="R1128" i="10"/>
  <c r="S1128" i="10" s="1"/>
  <c r="R1127" i="10"/>
  <c r="S1127" i="10" s="1"/>
  <c r="R1126" i="10"/>
  <c r="S1126" i="10" s="1"/>
  <c r="R1125" i="10"/>
  <c r="S1125" i="10" s="1"/>
  <c r="R1124" i="10"/>
  <c r="S1124" i="10" s="1"/>
  <c r="R1123" i="10"/>
  <c r="S1123" i="10" s="1"/>
  <c r="R1122" i="10"/>
  <c r="S1122" i="10" s="1"/>
  <c r="R1121" i="10"/>
  <c r="S1121" i="10" s="1"/>
  <c r="R1120" i="10"/>
  <c r="S1120" i="10" s="1"/>
  <c r="R1119" i="10"/>
  <c r="S1119" i="10" s="1"/>
  <c r="R1118" i="10"/>
  <c r="S1118" i="10" s="1"/>
  <c r="R1117" i="10"/>
  <c r="S1117" i="10" s="1"/>
  <c r="R1116" i="10"/>
  <c r="S1116" i="10" s="1"/>
  <c r="R1115" i="10"/>
  <c r="S1115" i="10" s="1"/>
  <c r="R1114" i="10"/>
  <c r="S1114" i="10" s="1"/>
  <c r="R1113" i="10"/>
  <c r="S1113" i="10" s="1"/>
  <c r="R1112" i="10"/>
  <c r="S1112" i="10" s="1"/>
  <c r="R1111" i="10"/>
  <c r="S1111" i="10" s="1"/>
  <c r="R1110" i="10"/>
  <c r="S1110" i="10" s="1"/>
  <c r="R1109" i="10"/>
  <c r="S1109" i="10" s="1"/>
  <c r="R1108" i="10"/>
  <c r="S1108" i="10" s="1"/>
  <c r="R1107" i="10"/>
  <c r="S1107" i="10" s="1"/>
  <c r="R1106" i="10"/>
  <c r="S1106" i="10" s="1"/>
  <c r="R1105" i="10"/>
  <c r="S1105" i="10" s="1"/>
  <c r="R1104" i="10"/>
  <c r="S1104" i="10" s="1"/>
  <c r="R1103" i="10"/>
  <c r="S1103" i="10" s="1"/>
  <c r="R1102" i="10"/>
  <c r="S1102" i="10" s="1"/>
  <c r="R1101" i="10"/>
  <c r="S1101" i="10" s="1"/>
  <c r="R1100" i="10"/>
  <c r="S1100" i="10" s="1"/>
  <c r="R1099" i="10"/>
  <c r="S1099" i="10" s="1"/>
  <c r="R1098" i="10"/>
  <c r="S1098" i="10" s="1"/>
  <c r="R1097" i="10"/>
  <c r="S1097" i="10" s="1"/>
  <c r="R1096" i="10"/>
  <c r="S1096" i="10" s="1"/>
  <c r="R1095" i="10"/>
  <c r="S1095" i="10" s="1"/>
  <c r="R1094" i="10"/>
  <c r="S1094" i="10" s="1"/>
  <c r="R1093" i="10"/>
  <c r="S1093" i="10" s="1"/>
  <c r="R1092" i="10"/>
  <c r="S1092" i="10" s="1"/>
  <c r="R1091" i="10"/>
  <c r="S1091" i="10" s="1"/>
  <c r="R1090" i="10"/>
  <c r="S1090" i="10" s="1"/>
  <c r="R1089" i="10"/>
  <c r="S1089" i="10" s="1"/>
  <c r="R1088" i="10"/>
  <c r="S1088" i="10" s="1"/>
  <c r="R1087" i="10"/>
  <c r="S1087" i="10" s="1"/>
  <c r="R1086" i="10"/>
  <c r="S1086" i="10" s="1"/>
  <c r="R1085" i="10"/>
  <c r="S1085" i="10" s="1"/>
  <c r="R1084" i="10"/>
  <c r="S1084" i="10" s="1"/>
  <c r="R1083" i="10"/>
  <c r="S1083" i="10" s="1"/>
  <c r="R1082" i="10"/>
  <c r="S1082" i="10" s="1"/>
  <c r="R1081" i="10"/>
  <c r="S1081" i="10" s="1"/>
  <c r="R1080" i="10"/>
  <c r="S1080" i="10" s="1"/>
  <c r="R1079" i="10"/>
  <c r="S1079" i="10" s="1"/>
  <c r="R1078" i="10"/>
  <c r="S1078" i="10" s="1"/>
  <c r="R1077" i="10"/>
  <c r="S1077" i="10" s="1"/>
  <c r="R1076" i="10"/>
  <c r="S1076" i="10" s="1"/>
  <c r="R1075" i="10"/>
  <c r="S1075" i="10" s="1"/>
  <c r="R1074" i="10"/>
  <c r="S1074" i="10" s="1"/>
  <c r="R1073" i="10"/>
  <c r="S1073" i="10" s="1"/>
  <c r="R1072" i="10"/>
  <c r="S1072" i="10" s="1"/>
  <c r="R1071" i="10"/>
  <c r="S1071" i="10" s="1"/>
  <c r="R1070" i="10"/>
  <c r="S1070" i="10" s="1"/>
  <c r="R1069" i="10"/>
  <c r="S1069" i="10" s="1"/>
  <c r="R1068" i="10"/>
  <c r="S1068" i="10" s="1"/>
  <c r="R1067" i="10"/>
  <c r="S1067" i="10" s="1"/>
  <c r="R1066" i="10"/>
  <c r="S1066" i="10" s="1"/>
  <c r="R1065" i="10"/>
  <c r="S1065" i="10" s="1"/>
  <c r="R1064" i="10"/>
  <c r="S1064" i="10" s="1"/>
  <c r="R1063" i="10"/>
  <c r="S1063" i="10" s="1"/>
  <c r="R1062" i="10"/>
  <c r="S1062" i="10" s="1"/>
  <c r="R1061" i="10"/>
  <c r="S1061" i="10" s="1"/>
  <c r="R1060" i="10"/>
  <c r="S1060" i="10" s="1"/>
  <c r="R1059" i="10"/>
  <c r="S1059" i="10" s="1"/>
  <c r="R1058" i="10"/>
  <c r="S1058" i="10" s="1"/>
  <c r="R1057" i="10"/>
  <c r="S1057" i="10" s="1"/>
  <c r="R1056" i="10"/>
  <c r="S1056" i="10" s="1"/>
  <c r="R1055" i="10"/>
  <c r="S1055" i="10" s="1"/>
  <c r="R1054" i="10"/>
  <c r="S1054" i="10" s="1"/>
  <c r="R1053" i="10"/>
  <c r="S1053" i="10" s="1"/>
  <c r="R1052" i="10"/>
  <c r="S1052" i="10" s="1"/>
  <c r="R1051" i="10"/>
  <c r="S1051" i="10" s="1"/>
  <c r="R1050" i="10"/>
  <c r="S1050" i="10" s="1"/>
  <c r="R1049" i="10"/>
  <c r="S1049" i="10" s="1"/>
  <c r="R1048" i="10"/>
  <c r="S1048" i="10" s="1"/>
  <c r="R1047" i="10"/>
  <c r="S1047" i="10" s="1"/>
  <c r="R1046" i="10"/>
  <c r="S1046" i="10" s="1"/>
  <c r="R1045" i="10"/>
  <c r="S1045" i="10" s="1"/>
  <c r="R1044" i="10"/>
  <c r="S1044" i="10" s="1"/>
  <c r="R1043" i="10"/>
  <c r="S1043" i="10" s="1"/>
  <c r="R1042" i="10"/>
  <c r="S1042" i="10" s="1"/>
  <c r="R1041" i="10"/>
  <c r="S1041" i="10" s="1"/>
  <c r="R1040" i="10"/>
  <c r="S1040" i="10" s="1"/>
  <c r="R1039" i="10"/>
  <c r="S1039" i="10" s="1"/>
  <c r="R1038" i="10"/>
  <c r="S1038" i="10" s="1"/>
  <c r="R1037" i="10"/>
  <c r="S1037" i="10" s="1"/>
  <c r="R1036" i="10"/>
  <c r="S1036" i="10" s="1"/>
  <c r="R1035" i="10"/>
  <c r="S1035" i="10" s="1"/>
  <c r="R1034" i="10"/>
  <c r="S1034" i="10" s="1"/>
  <c r="R1033" i="10"/>
  <c r="S1033" i="10" s="1"/>
  <c r="R1032" i="10"/>
  <c r="S1032" i="10" s="1"/>
  <c r="R1031" i="10"/>
  <c r="S1031" i="10" s="1"/>
  <c r="R1030" i="10"/>
  <c r="S1030" i="10" s="1"/>
  <c r="R1029" i="10"/>
  <c r="S1029" i="10" s="1"/>
  <c r="R1028" i="10"/>
  <c r="S1028" i="10" s="1"/>
  <c r="R1027" i="10"/>
  <c r="S1027" i="10" s="1"/>
  <c r="R1026" i="10"/>
  <c r="S1026" i="10" s="1"/>
  <c r="R1025" i="10"/>
  <c r="S1025" i="10" s="1"/>
  <c r="R1024" i="10"/>
  <c r="S1024" i="10" s="1"/>
  <c r="R1023" i="10"/>
  <c r="S1023" i="10" s="1"/>
  <c r="R1022" i="10"/>
  <c r="S1022" i="10" s="1"/>
  <c r="R1021" i="10"/>
  <c r="S1021" i="10" s="1"/>
  <c r="R1020" i="10"/>
  <c r="S1020" i="10" s="1"/>
  <c r="R1019" i="10"/>
  <c r="S1019" i="10" s="1"/>
  <c r="R1018" i="10"/>
  <c r="S1018" i="10" s="1"/>
  <c r="R1017" i="10"/>
  <c r="S1017" i="10" s="1"/>
  <c r="R1016" i="10"/>
  <c r="S1016" i="10" s="1"/>
  <c r="R1015" i="10"/>
  <c r="S1015" i="10" s="1"/>
  <c r="R1014" i="10"/>
  <c r="S1014" i="10" s="1"/>
  <c r="R1013" i="10"/>
  <c r="S1013" i="10" s="1"/>
  <c r="R1012" i="10"/>
  <c r="S1012" i="10" s="1"/>
  <c r="R1011" i="10"/>
  <c r="S1011" i="10" s="1"/>
  <c r="R1010" i="10"/>
  <c r="S1010" i="10" s="1"/>
  <c r="R1009" i="10"/>
  <c r="S1009" i="10" s="1"/>
  <c r="R1008" i="10"/>
  <c r="S1008" i="10" s="1"/>
  <c r="R1007" i="10"/>
  <c r="S1007" i="10" s="1"/>
  <c r="R1006" i="10"/>
  <c r="S1006" i="10" s="1"/>
  <c r="R1005" i="10"/>
  <c r="S1005" i="10" s="1"/>
  <c r="R1004" i="10"/>
  <c r="S1004" i="10" s="1"/>
  <c r="R1003" i="10"/>
  <c r="S1003" i="10" s="1"/>
  <c r="R1002" i="10"/>
  <c r="S1002" i="10" s="1"/>
  <c r="R1001" i="10"/>
  <c r="S1001" i="10" s="1"/>
  <c r="R1000" i="10"/>
  <c r="S1000" i="10" s="1"/>
  <c r="R999" i="10"/>
  <c r="S999" i="10" s="1"/>
  <c r="R998" i="10"/>
  <c r="S998" i="10" s="1"/>
  <c r="R997" i="10"/>
  <c r="S997" i="10" s="1"/>
  <c r="R996" i="10"/>
  <c r="S996" i="10" s="1"/>
  <c r="R995" i="10"/>
  <c r="S995" i="10" s="1"/>
  <c r="R994" i="10"/>
  <c r="S994" i="10" s="1"/>
  <c r="R993" i="10"/>
  <c r="S993" i="10" s="1"/>
  <c r="R992" i="10"/>
  <c r="S992" i="10" s="1"/>
  <c r="R991" i="10"/>
  <c r="S991" i="10" s="1"/>
  <c r="R990" i="10"/>
  <c r="S990" i="10" s="1"/>
  <c r="R989" i="10"/>
  <c r="S989" i="10" s="1"/>
  <c r="R988" i="10"/>
  <c r="S988" i="10" s="1"/>
  <c r="R987" i="10"/>
  <c r="S987" i="10" s="1"/>
  <c r="R986" i="10"/>
  <c r="S986" i="10" s="1"/>
  <c r="R985" i="10"/>
  <c r="S985" i="10" s="1"/>
  <c r="R984" i="10"/>
  <c r="S984" i="10" s="1"/>
  <c r="R983" i="10"/>
  <c r="S983" i="10" s="1"/>
  <c r="R982" i="10"/>
  <c r="S982" i="10" s="1"/>
  <c r="R981" i="10"/>
  <c r="S981" i="10" s="1"/>
  <c r="R980" i="10"/>
  <c r="S980" i="10" s="1"/>
  <c r="R979" i="10"/>
  <c r="S979" i="10" s="1"/>
  <c r="R978" i="10"/>
  <c r="S978" i="10" s="1"/>
  <c r="R977" i="10"/>
  <c r="S977" i="10" s="1"/>
  <c r="R976" i="10"/>
  <c r="S976" i="10" s="1"/>
  <c r="R975" i="10"/>
  <c r="S975" i="10" s="1"/>
  <c r="R974" i="10"/>
  <c r="S974" i="10" s="1"/>
  <c r="R973" i="10"/>
  <c r="S973" i="10" s="1"/>
  <c r="R972" i="10"/>
  <c r="S972" i="10" s="1"/>
  <c r="R971" i="10"/>
  <c r="S971" i="10" s="1"/>
  <c r="R970" i="10"/>
  <c r="S970" i="10" s="1"/>
  <c r="R969" i="10"/>
  <c r="S969" i="10" s="1"/>
  <c r="R968" i="10"/>
  <c r="S968" i="10" s="1"/>
  <c r="R967" i="10"/>
  <c r="S967" i="10" s="1"/>
  <c r="R966" i="10"/>
  <c r="S966" i="10" s="1"/>
  <c r="R965" i="10"/>
  <c r="S965" i="10" s="1"/>
  <c r="R964" i="10"/>
  <c r="S964" i="10" s="1"/>
  <c r="R963" i="10"/>
  <c r="S963" i="10" s="1"/>
  <c r="R962" i="10"/>
  <c r="S962" i="10" s="1"/>
  <c r="R961" i="10"/>
  <c r="S961" i="10" s="1"/>
  <c r="R960" i="10"/>
  <c r="S960" i="10" s="1"/>
  <c r="R959" i="10"/>
  <c r="S959" i="10" s="1"/>
  <c r="R958" i="10"/>
  <c r="S958" i="10" s="1"/>
  <c r="R957" i="10"/>
  <c r="S957" i="10" s="1"/>
  <c r="R956" i="10"/>
  <c r="S956" i="10" s="1"/>
  <c r="R955" i="10"/>
  <c r="S955" i="10" s="1"/>
  <c r="R954" i="10"/>
  <c r="S954" i="10" s="1"/>
  <c r="R953" i="10"/>
  <c r="S953" i="10" s="1"/>
  <c r="R952" i="10"/>
  <c r="S952" i="10" s="1"/>
  <c r="R951" i="10"/>
  <c r="S951" i="10" s="1"/>
  <c r="R950" i="10"/>
  <c r="S950" i="10" s="1"/>
  <c r="R949" i="10"/>
  <c r="S949" i="10" s="1"/>
  <c r="R948" i="10"/>
  <c r="S948" i="10" s="1"/>
  <c r="R947" i="10"/>
  <c r="S947" i="10" s="1"/>
  <c r="R946" i="10"/>
  <c r="S946" i="10" s="1"/>
  <c r="R945" i="10"/>
  <c r="S945" i="10" s="1"/>
  <c r="R944" i="10"/>
  <c r="S944" i="10" s="1"/>
  <c r="R943" i="10"/>
  <c r="S943" i="10" s="1"/>
  <c r="R942" i="10"/>
  <c r="S942" i="10" s="1"/>
  <c r="R941" i="10"/>
  <c r="S941" i="10" s="1"/>
  <c r="R940" i="10"/>
  <c r="S940" i="10" s="1"/>
  <c r="R939" i="10"/>
  <c r="S939" i="10" s="1"/>
  <c r="R938" i="10"/>
  <c r="S938" i="10" s="1"/>
  <c r="R937" i="10"/>
  <c r="S937" i="10" s="1"/>
  <c r="R936" i="10"/>
  <c r="S936" i="10" s="1"/>
  <c r="R935" i="10"/>
  <c r="S935" i="10" s="1"/>
  <c r="R934" i="10"/>
  <c r="S934" i="10" s="1"/>
  <c r="R933" i="10"/>
  <c r="S933" i="10" s="1"/>
  <c r="R932" i="10"/>
  <c r="S932" i="10" s="1"/>
  <c r="R931" i="10"/>
  <c r="S931" i="10" s="1"/>
  <c r="R930" i="10"/>
  <c r="S930" i="10" s="1"/>
  <c r="R929" i="10"/>
  <c r="S929" i="10" s="1"/>
  <c r="R928" i="10"/>
  <c r="S928" i="10" s="1"/>
  <c r="R927" i="10"/>
  <c r="S927" i="10" s="1"/>
  <c r="R926" i="10"/>
  <c r="S926" i="10" s="1"/>
  <c r="R925" i="10"/>
  <c r="S925" i="10" s="1"/>
  <c r="R924" i="10"/>
  <c r="S924" i="10" s="1"/>
  <c r="R923" i="10"/>
  <c r="S923" i="10" s="1"/>
  <c r="R922" i="10"/>
  <c r="S922" i="10" s="1"/>
  <c r="R921" i="10"/>
  <c r="S921" i="10" s="1"/>
  <c r="R920" i="10"/>
  <c r="S920" i="10" s="1"/>
  <c r="R919" i="10"/>
  <c r="S919" i="10" s="1"/>
  <c r="R918" i="10"/>
  <c r="S918" i="10" s="1"/>
  <c r="R917" i="10"/>
  <c r="S917" i="10" s="1"/>
  <c r="R916" i="10"/>
  <c r="S916" i="10" s="1"/>
  <c r="R915" i="10"/>
  <c r="S915" i="10" s="1"/>
  <c r="R914" i="10"/>
  <c r="S914" i="10" s="1"/>
  <c r="R913" i="10"/>
  <c r="S913" i="10" s="1"/>
  <c r="R912" i="10"/>
  <c r="S912" i="10" s="1"/>
  <c r="R911" i="10"/>
  <c r="S911" i="10" s="1"/>
  <c r="R910" i="10"/>
  <c r="S910" i="10" s="1"/>
  <c r="R909" i="10"/>
  <c r="S909" i="10" s="1"/>
  <c r="R908" i="10"/>
  <c r="S908" i="10" s="1"/>
  <c r="R907" i="10"/>
  <c r="S907" i="10" s="1"/>
  <c r="R906" i="10"/>
  <c r="S906" i="10" s="1"/>
  <c r="R905" i="10"/>
  <c r="S905" i="10" s="1"/>
  <c r="R904" i="10"/>
  <c r="S904" i="10" s="1"/>
  <c r="R903" i="10"/>
  <c r="S903" i="10" s="1"/>
  <c r="R902" i="10"/>
  <c r="S902" i="10" s="1"/>
  <c r="R901" i="10"/>
  <c r="S901" i="10" s="1"/>
  <c r="R900" i="10"/>
  <c r="S900" i="10" s="1"/>
  <c r="R899" i="10"/>
  <c r="S899" i="10" s="1"/>
  <c r="R898" i="10"/>
  <c r="S898" i="10" s="1"/>
  <c r="R897" i="10"/>
  <c r="S897" i="10" s="1"/>
  <c r="R896" i="10"/>
  <c r="S896" i="10" s="1"/>
  <c r="R895" i="10"/>
  <c r="S895" i="10" s="1"/>
  <c r="R894" i="10"/>
  <c r="S894" i="10" s="1"/>
  <c r="R893" i="10"/>
  <c r="S893" i="10" s="1"/>
  <c r="R892" i="10"/>
  <c r="S892" i="10" s="1"/>
  <c r="R891" i="10"/>
  <c r="S891" i="10" s="1"/>
  <c r="R890" i="10"/>
  <c r="S890" i="10" s="1"/>
  <c r="R889" i="10"/>
  <c r="S889" i="10" s="1"/>
  <c r="R888" i="10"/>
  <c r="S888" i="10" s="1"/>
  <c r="R887" i="10"/>
  <c r="S887" i="10" s="1"/>
  <c r="R886" i="10"/>
  <c r="S886" i="10" s="1"/>
  <c r="R885" i="10"/>
  <c r="S885" i="10" s="1"/>
  <c r="R884" i="10"/>
  <c r="S884" i="10" s="1"/>
  <c r="R883" i="10"/>
  <c r="S883" i="10" s="1"/>
  <c r="R882" i="10"/>
  <c r="S882" i="10" s="1"/>
  <c r="R881" i="10"/>
  <c r="S881" i="10" s="1"/>
  <c r="R880" i="10"/>
  <c r="S880" i="10" s="1"/>
  <c r="R879" i="10"/>
  <c r="S879" i="10" s="1"/>
  <c r="R878" i="10"/>
  <c r="S878" i="10" s="1"/>
  <c r="R877" i="10"/>
  <c r="S877" i="10" s="1"/>
  <c r="R876" i="10"/>
  <c r="S876" i="10" s="1"/>
  <c r="R875" i="10"/>
  <c r="S875" i="10" s="1"/>
  <c r="R874" i="10"/>
  <c r="S874" i="10" s="1"/>
  <c r="R873" i="10"/>
  <c r="S873" i="10" s="1"/>
  <c r="R872" i="10"/>
  <c r="S872" i="10" s="1"/>
  <c r="R871" i="10"/>
  <c r="S871" i="10" s="1"/>
  <c r="R870" i="10"/>
  <c r="S870" i="10" s="1"/>
  <c r="R869" i="10"/>
  <c r="S869" i="10" s="1"/>
  <c r="R868" i="10"/>
  <c r="S868" i="10" s="1"/>
  <c r="R867" i="10"/>
  <c r="S867" i="10" s="1"/>
  <c r="R866" i="10"/>
  <c r="S866" i="10" s="1"/>
  <c r="R865" i="10"/>
  <c r="S865" i="10" s="1"/>
  <c r="R864" i="10"/>
  <c r="S864" i="10" s="1"/>
  <c r="R863" i="10"/>
  <c r="S863" i="10" s="1"/>
  <c r="R862" i="10"/>
  <c r="S862" i="10" s="1"/>
  <c r="R861" i="10"/>
  <c r="S861" i="10" s="1"/>
  <c r="R860" i="10"/>
  <c r="S860" i="10" s="1"/>
  <c r="R859" i="10"/>
  <c r="S859" i="10" s="1"/>
  <c r="R858" i="10"/>
  <c r="S858" i="10" s="1"/>
  <c r="R857" i="10"/>
  <c r="S857" i="10" s="1"/>
  <c r="R856" i="10"/>
  <c r="S856" i="10" s="1"/>
  <c r="R855" i="10"/>
  <c r="S855" i="10" s="1"/>
  <c r="R854" i="10"/>
  <c r="S854" i="10" s="1"/>
  <c r="R853" i="10"/>
  <c r="S853" i="10" s="1"/>
  <c r="R852" i="10"/>
  <c r="S852" i="10" s="1"/>
  <c r="R851" i="10"/>
  <c r="S851" i="10" s="1"/>
  <c r="R850" i="10"/>
  <c r="S850" i="10" s="1"/>
  <c r="R849" i="10"/>
  <c r="S849" i="10" s="1"/>
  <c r="R848" i="10"/>
  <c r="S848" i="10" s="1"/>
  <c r="R847" i="10"/>
  <c r="S847" i="10" s="1"/>
  <c r="R846" i="10"/>
  <c r="S846" i="10" s="1"/>
  <c r="R845" i="10"/>
  <c r="S845" i="10" s="1"/>
  <c r="R844" i="10"/>
  <c r="S844" i="10" s="1"/>
  <c r="R843" i="10"/>
  <c r="S843" i="10" s="1"/>
  <c r="R842" i="10"/>
  <c r="S842" i="10" s="1"/>
  <c r="R841" i="10"/>
  <c r="S841" i="10" s="1"/>
  <c r="R840" i="10"/>
  <c r="S840" i="10" s="1"/>
  <c r="R839" i="10"/>
  <c r="S839" i="10" s="1"/>
  <c r="R838" i="10"/>
  <c r="S838" i="10" s="1"/>
  <c r="R837" i="10"/>
  <c r="S837" i="10" s="1"/>
  <c r="R836" i="10"/>
  <c r="S836" i="10" s="1"/>
  <c r="R835" i="10"/>
  <c r="S835" i="10" s="1"/>
  <c r="R834" i="10"/>
  <c r="S834" i="10" s="1"/>
  <c r="R833" i="10"/>
  <c r="S833" i="10" s="1"/>
  <c r="R832" i="10"/>
  <c r="S832" i="10" s="1"/>
  <c r="R831" i="10"/>
  <c r="S831" i="10" s="1"/>
  <c r="R830" i="10"/>
  <c r="S830" i="10" s="1"/>
  <c r="R829" i="10"/>
  <c r="S829" i="10" s="1"/>
  <c r="R828" i="10"/>
  <c r="S828" i="10" s="1"/>
  <c r="R827" i="10"/>
  <c r="S827" i="10" s="1"/>
  <c r="R826" i="10"/>
  <c r="S826" i="10" s="1"/>
  <c r="R825" i="10"/>
  <c r="S825" i="10" s="1"/>
  <c r="R824" i="10"/>
  <c r="S824" i="10" s="1"/>
  <c r="R823" i="10"/>
  <c r="S823" i="10" s="1"/>
  <c r="R822" i="10"/>
  <c r="S822" i="10" s="1"/>
  <c r="R821" i="10"/>
  <c r="S821" i="10" s="1"/>
  <c r="R820" i="10"/>
  <c r="S820" i="10" s="1"/>
  <c r="R819" i="10"/>
  <c r="S819" i="10" s="1"/>
  <c r="R818" i="10"/>
  <c r="S818" i="10" s="1"/>
  <c r="R817" i="10"/>
  <c r="S817" i="10" s="1"/>
  <c r="R816" i="10"/>
  <c r="S816" i="10" s="1"/>
  <c r="R815" i="10"/>
  <c r="S815" i="10" s="1"/>
  <c r="R814" i="10"/>
  <c r="S814" i="10" s="1"/>
  <c r="R813" i="10"/>
  <c r="S813" i="10" s="1"/>
  <c r="R812" i="10"/>
  <c r="S812" i="10" s="1"/>
  <c r="R811" i="10"/>
  <c r="S811" i="10" s="1"/>
  <c r="R810" i="10"/>
  <c r="S810" i="10" s="1"/>
  <c r="R809" i="10"/>
  <c r="S809" i="10" s="1"/>
  <c r="R808" i="10"/>
  <c r="S808" i="10" s="1"/>
  <c r="R807" i="10"/>
  <c r="S807" i="10" s="1"/>
  <c r="R806" i="10"/>
  <c r="S806" i="10" s="1"/>
  <c r="R805" i="10"/>
  <c r="S805" i="10" s="1"/>
  <c r="R804" i="10"/>
  <c r="S804" i="10" s="1"/>
  <c r="R803" i="10"/>
  <c r="S803" i="10" s="1"/>
  <c r="R802" i="10"/>
  <c r="S802" i="10" s="1"/>
  <c r="R801" i="10"/>
  <c r="S801" i="10" s="1"/>
  <c r="R800" i="10"/>
  <c r="S800" i="10" s="1"/>
  <c r="R799" i="10"/>
  <c r="S799" i="10" s="1"/>
  <c r="R798" i="10"/>
  <c r="S798" i="10" s="1"/>
  <c r="R797" i="10"/>
  <c r="S797" i="10" s="1"/>
  <c r="R796" i="10"/>
  <c r="S796" i="10" s="1"/>
  <c r="R795" i="10"/>
  <c r="S795" i="10" s="1"/>
  <c r="R794" i="10"/>
  <c r="S794" i="10" s="1"/>
  <c r="R793" i="10"/>
  <c r="S793" i="10" s="1"/>
  <c r="R792" i="10"/>
  <c r="S792" i="10" s="1"/>
  <c r="R791" i="10"/>
  <c r="S791" i="10" s="1"/>
  <c r="R790" i="10"/>
  <c r="S790" i="10" s="1"/>
  <c r="R789" i="10"/>
  <c r="S789" i="10" s="1"/>
  <c r="R788" i="10"/>
  <c r="S788" i="10" s="1"/>
  <c r="R787" i="10"/>
  <c r="S787" i="10" s="1"/>
  <c r="R786" i="10"/>
  <c r="S786" i="10" s="1"/>
  <c r="R785" i="10"/>
  <c r="S785" i="10" s="1"/>
  <c r="R784" i="10"/>
  <c r="S784" i="10" s="1"/>
  <c r="R783" i="10"/>
  <c r="S783" i="10" s="1"/>
  <c r="R782" i="10"/>
  <c r="S782" i="10" s="1"/>
  <c r="R781" i="10"/>
  <c r="S781" i="10" s="1"/>
  <c r="R780" i="10"/>
  <c r="S780" i="10" s="1"/>
  <c r="R779" i="10"/>
  <c r="S779" i="10" s="1"/>
  <c r="R778" i="10"/>
  <c r="S778" i="10" s="1"/>
  <c r="R777" i="10"/>
  <c r="S777" i="10" s="1"/>
  <c r="R776" i="10"/>
  <c r="S776" i="10" s="1"/>
  <c r="R775" i="10"/>
  <c r="S775" i="10" s="1"/>
  <c r="R774" i="10"/>
  <c r="S774" i="10" s="1"/>
  <c r="R773" i="10"/>
  <c r="S773" i="10" s="1"/>
  <c r="R772" i="10"/>
  <c r="S772" i="10" s="1"/>
  <c r="R771" i="10"/>
  <c r="S771" i="10" s="1"/>
  <c r="R770" i="10"/>
  <c r="S770" i="10" s="1"/>
  <c r="R769" i="10"/>
  <c r="S769" i="10" s="1"/>
  <c r="R768" i="10"/>
  <c r="S768" i="10" s="1"/>
  <c r="R767" i="10"/>
  <c r="S767" i="10" s="1"/>
  <c r="R766" i="10"/>
  <c r="S766" i="10" s="1"/>
  <c r="R765" i="10"/>
  <c r="S765" i="10" s="1"/>
  <c r="R764" i="10"/>
  <c r="S764" i="10" s="1"/>
  <c r="R763" i="10"/>
  <c r="S763" i="10" s="1"/>
  <c r="R762" i="10"/>
  <c r="S762" i="10" s="1"/>
  <c r="R761" i="10"/>
  <c r="S761" i="10" s="1"/>
  <c r="R760" i="10"/>
  <c r="S760" i="10" s="1"/>
  <c r="R759" i="10"/>
  <c r="S759" i="10" s="1"/>
  <c r="R758" i="10"/>
  <c r="S758" i="10" s="1"/>
  <c r="R757" i="10"/>
  <c r="S757" i="10" s="1"/>
  <c r="R756" i="10"/>
  <c r="S756" i="10" s="1"/>
  <c r="R755" i="10"/>
  <c r="S755" i="10" s="1"/>
  <c r="R754" i="10"/>
  <c r="S754" i="10" s="1"/>
  <c r="R753" i="10"/>
  <c r="S753" i="10" s="1"/>
  <c r="R752" i="10"/>
  <c r="S752" i="10" s="1"/>
  <c r="R751" i="10"/>
  <c r="S751" i="10" s="1"/>
  <c r="R750" i="10"/>
  <c r="S750" i="10" s="1"/>
  <c r="R749" i="10"/>
  <c r="S749" i="10" s="1"/>
  <c r="R748" i="10"/>
  <c r="S748" i="10" s="1"/>
  <c r="R747" i="10"/>
  <c r="S747" i="10" s="1"/>
  <c r="R746" i="10"/>
  <c r="S746" i="10" s="1"/>
  <c r="R745" i="10"/>
  <c r="S745" i="10" s="1"/>
  <c r="R744" i="10"/>
  <c r="S744" i="10" s="1"/>
  <c r="R743" i="10"/>
  <c r="S743" i="10" s="1"/>
  <c r="R742" i="10"/>
  <c r="S742" i="10" s="1"/>
  <c r="R741" i="10"/>
  <c r="S741" i="10" s="1"/>
  <c r="R740" i="10"/>
  <c r="S740" i="10" s="1"/>
  <c r="R739" i="10"/>
  <c r="S739" i="10" s="1"/>
  <c r="R738" i="10"/>
  <c r="S738" i="10" s="1"/>
  <c r="R737" i="10"/>
  <c r="S737" i="10" s="1"/>
  <c r="R736" i="10"/>
  <c r="S736" i="10" s="1"/>
  <c r="R735" i="10"/>
  <c r="S735" i="10" s="1"/>
  <c r="R734" i="10"/>
  <c r="S734" i="10" s="1"/>
  <c r="R733" i="10"/>
  <c r="S733" i="10" s="1"/>
  <c r="R732" i="10"/>
  <c r="S732" i="10" s="1"/>
  <c r="R731" i="10"/>
  <c r="S731" i="10" s="1"/>
  <c r="R730" i="10"/>
  <c r="S730" i="10" s="1"/>
  <c r="R729" i="10"/>
  <c r="S729" i="10" s="1"/>
  <c r="R728" i="10"/>
  <c r="S728" i="10" s="1"/>
  <c r="R727" i="10"/>
  <c r="S727" i="10" s="1"/>
  <c r="R726" i="10"/>
  <c r="S726" i="10" s="1"/>
  <c r="R725" i="10"/>
  <c r="S725" i="10" s="1"/>
  <c r="R724" i="10"/>
  <c r="S724" i="10" s="1"/>
  <c r="R723" i="10"/>
  <c r="S723" i="10" s="1"/>
  <c r="R722" i="10"/>
  <c r="S722" i="10" s="1"/>
  <c r="R721" i="10"/>
  <c r="S721" i="10" s="1"/>
  <c r="R720" i="10"/>
  <c r="S720" i="10" s="1"/>
  <c r="R719" i="10"/>
  <c r="S719" i="10" s="1"/>
  <c r="R718" i="10"/>
  <c r="S718" i="10" s="1"/>
  <c r="R717" i="10"/>
  <c r="S717" i="10" s="1"/>
  <c r="R716" i="10"/>
  <c r="S716" i="10" s="1"/>
  <c r="R715" i="10"/>
  <c r="S715" i="10" s="1"/>
  <c r="R714" i="10"/>
  <c r="S714" i="10" s="1"/>
  <c r="R713" i="10"/>
  <c r="S713" i="10" s="1"/>
  <c r="R712" i="10"/>
  <c r="S712" i="10" s="1"/>
  <c r="R711" i="10"/>
  <c r="S711" i="10" s="1"/>
  <c r="R710" i="10"/>
  <c r="S710" i="10" s="1"/>
  <c r="R709" i="10"/>
  <c r="S709" i="10" s="1"/>
  <c r="R708" i="10"/>
  <c r="S708" i="10" s="1"/>
  <c r="R707" i="10"/>
  <c r="S707" i="10" s="1"/>
  <c r="R706" i="10"/>
  <c r="S706" i="10" s="1"/>
  <c r="R705" i="10"/>
  <c r="S705" i="10" s="1"/>
  <c r="R704" i="10"/>
  <c r="S704" i="10" s="1"/>
  <c r="R703" i="10"/>
  <c r="S703" i="10" s="1"/>
  <c r="R702" i="10"/>
  <c r="S702" i="10" s="1"/>
  <c r="R701" i="10"/>
  <c r="S701" i="10" s="1"/>
  <c r="R700" i="10"/>
  <c r="S700" i="10" s="1"/>
  <c r="R699" i="10"/>
  <c r="S699" i="10" s="1"/>
  <c r="R698" i="10"/>
  <c r="S698" i="10" s="1"/>
  <c r="R697" i="10"/>
  <c r="S697" i="10" s="1"/>
  <c r="R696" i="10"/>
  <c r="S696" i="10" s="1"/>
  <c r="R695" i="10"/>
  <c r="S695" i="10" s="1"/>
  <c r="R694" i="10"/>
  <c r="S694" i="10" s="1"/>
  <c r="R693" i="10"/>
  <c r="S693" i="10" s="1"/>
  <c r="R692" i="10"/>
  <c r="S692" i="10" s="1"/>
  <c r="R691" i="10"/>
  <c r="S691" i="10" s="1"/>
  <c r="R690" i="10"/>
  <c r="S690" i="10" s="1"/>
  <c r="R689" i="10"/>
  <c r="S689" i="10" s="1"/>
  <c r="R688" i="10"/>
  <c r="S688" i="10" s="1"/>
  <c r="R687" i="10"/>
  <c r="S687" i="10" s="1"/>
  <c r="R686" i="10"/>
  <c r="S686" i="10" s="1"/>
  <c r="R685" i="10"/>
  <c r="S685" i="10" s="1"/>
  <c r="R684" i="10"/>
  <c r="S684" i="10" s="1"/>
  <c r="R683" i="10"/>
  <c r="S683" i="10" s="1"/>
  <c r="R682" i="10"/>
  <c r="S682" i="10" s="1"/>
  <c r="R681" i="10"/>
  <c r="S681" i="10" s="1"/>
  <c r="R680" i="10"/>
  <c r="S680" i="10" s="1"/>
  <c r="R679" i="10"/>
  <c r="S679" i="10" s="1"/>
  <c r="R678" i="10"/>
  <c r="S678" i="10" s="1"/>
  <c r="R677" i="10"/>
  <c r="S677" i="10" s="1"/>
  <c r="R676" i="10"/>
  <c r="S676" i="10" s="1"/>
  <c r="R675" i="10"/>
  <c r="S675" i="10" s="1"/>
  <c r="R674" i="10"/>
  <c r="S674" i="10" s="1"/>
  <c r="R673" i="10"/>
  <c r="S673" i="10" s="1"/>
  <c r="R672" i="10"/>
  <c r="S672" i="10" s="1"/>
  <c r="R671" i="10"/>
  <c r="S671" i="10" s="1"/>
  <c r="R670" i="10"/>
  <c r="S670" i="10" s="1"/>
  <c r="R669" i="10"/>
  <c r="S669" i="10" s="1"/>
  <c r="R668" i="10"/>
  <c r="S668" i="10" s="1"/>
  <c r="R667" i="10"/>
  <c r="S667" i="10" s="1"/>
  <c r="R666" i="10"/>
  <c r="S666" i="10" s="1"/>
  <c r="R665" i="10"/>
  <c r="S665" i="10" s="1"/>
  <c r="R664" i="10"/>
  <c r="S664" i="10" s="1"/>
  <c r="R663" i="10"/>
  <c r="S663" i="10" s="1"/>
  <c r="R662" i="10"/>
  <c r="S662" i="10" s="1"/>
  <c r="R661" i="10"/>
  <c r="S661" i="10" s="1"/>
  <c r="R660" i="10"/>
  <c r="S660" i="10" s="1"/>
  <c r="R659" i="10"/>
  <c r="S659" i="10" s="1"/>
  <c r="R658" i="10"/>
  <c r="S658" i="10" s="1"/>
  <c r="R657" i="10"/>
  <c r="S657" i="10" s="1"/>
  <c r="R656" i="10"/>
  <c r="S656" i="10" s="1"/>
  <c r="R655" i="10"/>
  <c r="S655" i="10" s="1"/>
  <c r="R654" i="10"/>
  <c r="S654" i="10" s="1"/>
  <c r="R653" i="10"/>
  <c r="S653" i="10" s="1"/>
  <c r="R652" i="10"/>
  <c r="S652" i="10" s="1"/>
  <c r="R651" i="10"/>
  <c r="S651" i="10" s="1"/>
  <c r="R650" i="10"/>
  <c r="S650" i="10" s="1"/>
  <c r="R649" i="10"/>
  <c r="S649" i="10" s="1"/>
  <c r="R648" i="10"/>
  <c r="S648" i="10" s="1"/>
  <c r="R647" i="10"/>
  <c r="S647" i="10" s="1"/>
  <c r="R646" i="10"/>
  <c r="S646" i="10" s="1"/>
  <c r="R645" i="10"/>
  <c r="S645" i="10" s="1"/>
  <c r="R644" i="10"/>
  <c r="S644" i="10" s="1"/>
  <c r="R643" i="10"/>
  <c r="S643" i="10" s="1"/>
  <c r="R642" i="10"/>
  <c r="S642" i="10" s="1"/>
  <c r="R641" i="10"/>
  <c r="S641" i="10" s="1"/>
  <c r="R640" i="10"/>
  <c r="S640" i="10" s="1"/>
  <c r="R639" i="10"/>
  <c r="S639" i="10" s="1"/>
  <c r="R638" i="10"/>
  <c r="S638" i="10" s="1"/>
  <c r="R637" i="10"/>
  <c r="S637" i="10" s="1"/>
  <c r="R636" i="10"/>
  <c r="S636" i="10" s="1"/>
  <c r="R635" i="10"/>
  <c r="S635" i="10" s="1"/>
  <c r="R634" i="10"/>
  <c r="S634" i="10" s="1"/>
  <c r="R633" i="10"/>
  <c r="S633" i="10" s="1"/>
  <c r="R632" i="10"/>
  <c r="S632" i="10" s="1"/>
  <c r="R631" i="10"/>
  <c r="S631" i="10" s="1"/>
  <c r="R630" i="10"/>
  <c r="S630" i="10" s="1"/>
  <c r="R629" i="10"/>
  <c r="S629" i="10" s="1"/>
  <c r="R628" i="10"/>
  <c r="S628" i="10" s="1"/>
  <c r="R627" i="10"/>
  <c r="S627" i="10" s="1"/>
  <c r="R626" i="10"/>
  <c r="S626" i="10" s="1"/>
  <c r="R625" i="10"/>
  <c r="S625" i="10" s="1"/>
  <c r="R624" i="10"/>
  <c r="S624" i="10" s="1"/>
  <c r="R623" i="10"/>
  <c r="S623" i="10" s="1"/>
  <c r="R622" i="10"/>
  <c r="S622" i="10" s="1"/>
  <c r="R621" i="10"/>
  <c r="S621" i="10" s="1"/>
  <c r="R620" i="10"/>
  <c r="S620" i="10" s="1"/>
  <c r="R619" i="10"/>
  <c r="S619" i="10" s="1"/>
  <c r="R618" i="10"/>
  <c r="S618" i="10" s="1"/>
  <c r="R617" i="10"/>
  <c r="S617" i="10" s="1"/>
  <c r="R616" i="10"/>
  <c r="S616" i="10" s="1"/>
  <c r="R615" i="10"/>
  <c r="S615" i="10" s="1"/>
  <c r="R614" i="10"/>
  <c r="S614" i="10" s="1"/>
  <c r="R613" i="10"/>
  <c r="S613" i="10" s="1"/>
  <c r="R612" i="10"/>
  <c r="S612" i="10" s="1"/>
  <c r="R611" i="10"/>
  <c r="S611" i="10" s="1"/>
  <c r="R610" i="10"/>
  <c r="S610" i="10" s="1"/>
  <c r="R609" i="10"/>
  <c r="S609" i="10" s="1"/>
  <c r="R608" i="10"/>
  <c r="S608" i="10" s="1"/>
  <c r="R607" i="10"/>
  <c r="S607" i="10" s="1"/>
  <c r="R606" i="10"/>
  <c r="S606" i="10" s="1"/>
  <c r="R605" i="10"/>
  <c r="S605" i="10" s="1"/>
  <c r="R604" i="10"/>
  <c r="S604" i="10" s="1"/>
  <c r="R603" i="10"/>
  <c r="S603" i="10" s="1"/>
  <c r="R602" i="10"/>
  <c r="S602" i="10" s="1"/>
  <c r="R601" i="10"/>
  <c r="S601" i="10" s="1"/>
  <c r="R600" i="10"/>
  <c r="S600" i="10" s="1"/>
  <c r="R599" i="10"/>
  <c r="S599" i="10" s="1"/>
  <c r="R598" i="10"/>
  <c r="S598" i="10" s="1"/>
  <c r="R597" i="10"/>
  <c r="S597" i="10" s="1"/>
  <c r="R596" i="10"/>
  <c r="S596" i="10" s="1"/>
  <c r="R595" i="10"/>
  <c r="S595" i="10" s="1"/>
  <c r="R594" i="10"/>
  <c r="S594" i="10" s="1"/>
  <c r="R593" i="10"/>
  <c r="S593" i="10" s="1"/>
  <c r="R592" i="10"/>
  <c r="S592" i="10" s="1"/>
  <c r="R591" i="10"/>
  <c r="S591" i="10" s="1"/>
  <c r="R590" i="10"/>
  <c r="S590" i="10" s="1"/>
  <c r="R589" i="10"/>
  <c r="S589" i="10" s="1"/>
  <c r="R588" i="10"/>
  <c r="S588" i="10" s="1"/>
  <c r="R587" i="10"/>
  <c r="S587" i="10" s="1"/>
  <c r="R586" i="10"/>
  <c r="S586" i="10" s="1"/>
  <c r="R585" i="10"/>
  <c r="S585" i="10" s="1"/>
  <c r="R584" i="10"/>
  <c r="S584" i="10" s="1"/>
  <c r="R583" i="10"/>
  <c r="S583" i="10" s="1"/>
  <c r="R582" i="10"/>
  <c r="S582" i="10" s="1"/>
  <c r="R581" i="10"/>
  <c r="S581" i="10" s="1"/>
  <c r="R580" i="10"/>
  <c r="S580" i="10" s="1"/>
  <c r="R579" i="10"/>
  <c r="S579" i="10" s="1"/>
  <c r="R578" i="10"/>
  <c r="S578" i="10" s="1"/>
  <c r="R577" i="10"/>
  <c r="S577" i="10" s="1"/>
  <c r="R576" i="10"/>
  <c r="S576" i="10" s="1"/>
  <c r="R575" i="10"/>
  <c r="S575" i="10" s="1"/>
  <c r="R574" i="10"/>
  <c r="S574" i="10" s="1"/>
  <c r="R573" i="10"/>
  <c r="S573" i="10" s="1"/>
  <c r="R572" i="10"/>
  <c r="S572" i="10" s="1"/>
  <c r="R571" i="10"/>
  <c r="S571" i="10" s="1"/>
  <c r="R570" i="10"/>
  <c r="S570" i="10" s="1"/>
  <c r="R569" i="10"/>
  <c r="S569" i="10" s="1"/>
  <c r="R568" i="10"/>
  <c r="S568" i="10" s="1"/>
  <c r="R567" i="10"/>
  <c r="S567" i="10" s="1"/>
  <c r="R566" i="10"/>
  <c r="S566" i="10" s="1"/>
  <c r="R565" i="10"/>
  <c r="S565" i="10" s="1"/>
  <c r="R564" i="10"/>
  <c r="S564" i="10" s="1"/>
  <c r="R563" i="10"/>
  <c r="S563" i="10" s="1"/>
  <c r="R562" i="10"/>
  <c r="S562" i="10" s="1"/>
  <c r="R561" i="10"/>
  <c r="S561" i="10" s="1"/>
  <c r="R560" i="10"/>
  <c r="S560" i="10" s="1"/>
  <c r="R559" i="10"/>
  <c r="S559" i="10" s="1"/>
  <c r="R558" i="10"/>
  <c r="S558" i="10" s="1"/>
  <c r="R557" i="10"/>
  <c r="S557" i="10" s="1"/>
  <c r="R556" i="10"/>
  <c r="S556" i="10" s="1"/>
  <c r="R555" i="10"/>
  <c r="S555" i="10" s="1"/>
  <c r="R554" i="10"/>
  <c r="S554" i="10" s="1"/>
  <c r="R553" i="10"/>
  <c r="S553" i="10" s="1"/>
  <c r="R552" i="10"/>
  <c r="S552" i="10" s="1"/>
  <c r="R551" i="10"/>
  <c r="S551" i="10" s="1"/>
  <c r="R550" i="10"/>
  <c r="S550" i="10" s="1"/>
  <c r="R549" i="10"/>
  <c r="S549" i="10" s="1"/>
  <c r="R548" i="10"/>
  <c r="S548" i="10" s="1"/>
  <c r="R547" i="10"/>
  <c r="S547" i="10" s="1"/>
  <c r="R546" i="10"/>
  <c r="S546" i="10" s="1"/>
  <c r="R545" i="10"/>
  <c r="S545" i="10" s="1"/>
  <c r="R544" i="10"/>
  <c r="S544" i="10" s="1"/>
  <c r="R543" i="10"/>
  <c r="S543" i="10" s="1"/>
  <c r="R542" i="10"/>
  <c r="S542" i="10" s="1"/>
  <c r="R541" i="10"/>
  <c r="S541" i="10" s="1"/>
  <c r="R540" i="10"/>
  <c r="S540" i="10" s="1"/>
  <c r="R539" i="10"/>
  <c r="S539" i="10" s="1"/>
  <c r="R538" i="10"/>
  <c r="S538" i="10" s="1"/>
  <c r="R537" i="10"/>
  <c r="S537" i="10" s="1"/>
  <c r="R536" i="10"/>
  <c r="S536" i="10" s="1"/>
  <c r="R535" i="10"/>
  <c r="S535" i="10" s="1"/>
  <c r="R534" i="10"/>
  <c r="S534" i="10" s="1"/>
  <c r="R533" i="10"/>
  <c r="S533" i="10" s="1"/>
  <c r="R532" i="10"/>
  <c r="S532" i="10" s="1"/>
  <c r="R531" i="10"/>
  <c r="S531" i="10" s="1"/>
  <c r="R530" i="10"/>
  <c r="S530" i="10" s="1"/>
  <c r="R529" i="10"/>
  <c r="S529" i="10" s="1"/>
  <c r="R528" i="10"/>
  <c r="S528" i="10" s="1"/>
  <c r="R527" i="10"/>
  <c r="S527" i="10" s="1"/>
  <c r="R526" i="10"/>
  <c r="S526" i="10" s="1"/>
  <c r="R525" i="10"/>
  <c r="S525" i="10" s="1"/>
  <c r="R524" i="10"/>
  <c r="S524" i="10" s="1"/>
  <c r="R523" i="10"/>
  <c r="S523" i="10" s="1"/>
  <c r="R522" i="10"/>
  <c r="S522" i="10" s="1"/>
  <c r="R521" i="10"/>
  <c r="S521" i="10" s="1"/>
  <c r="R520" i="10"/>
  <c r="S520" i="10" s="1"/>
  <c r="R519" i="10"/>
  <c r="S519" i="10" s="1"/>
  <c r="R518" i="10"/>
  <c r="S518" i="10" s="1"/>
  <c r="R517" i="10"/>
  <c r="S517" i="10" s="1"/>
  <c r="R516" i="10"/>
  <c r="S516" i="10" s="1"/>
  <c r="R515" i="10"/>
  <c r="S515" i="10" s="1"/>
  <c r="R514" i="10"/>
  <c r="S514" i="10" s="1"/>
  <c r="R513" i="10"/>
  <c r="S513" i="10" s="1"/>
  <c r="R512" i="10"/>
  <c r="S512" i="10" s="1"/>
  <c r="R511" i="10"/>
  <c r="S511" i="10" s="1"/>
  <c r="R510" i="10"/>
  <c r="S510" i="10" s="1"/>
  <c r="R509" i="10"/>
  <c r="S509" i="10" s="1"/>
  <c r="R508" i="10"/>
  <c r="S508" i="10" s="1"/>
  <c r="R507" i="10"/>
  <c r="S507" i="10" s="1"/>
  <c r="R506" i="10"/>
  <c r="S506" i="10" s="1"/>
  <c r="R505" i="10"/>
  <c r="S505" i="10" s="1"/>
  <c r="R504" i="10"/>
  <c r="S504" i="10" s="1"/>
  <c r="R503" i="10"/>
  <c r="S503" i="10" s="1"/>
  <c r="R502" i="10"/>
  <c r="S502" i="10" s="1"/>
  <c r="R501" i="10"/>
  <c r="S501" i="10" s="1"/>
  <c r="R500" i="10"/>
  <c r="S500" i="10" s="1"/>
  <c r="R499" i="10"/>
  <c r="S499" i="10" s="1"/>
  <c r="R498" i="10"/>
  <c r="S498" i="10" s="1"/>
  <c r="R497" i="10"/>
  <c r="S497" i="10" s="1"/>
  <c r="R496" i="10"/>
  <c r="S496" i="10" s="1"/>
  <c r="R495" i="10"/>
  <c r="S495" i="10" s="1"/>
  <c r="R494" i="10"/>
  <c r="S494" i="10" s="1"/>
  <c r="R493" i="10"/>
  <c r="S493" i="10" s="1"/>
  <c r="R492" i="10"/>
  <c r="S492" i="10" s="1"/>
  <c r="R491" i="10"/>
  <c r="S491" i="10" s="1"/>
  <c r="R490" i="10"/>
  <c r="S490" i="10" s="1"/>
  <c r="R489" i="10"/>
  <c r="S489" i="10" s="1"/>
  <c r="R488" i="10"/>
  <c r="S488" i="10" s="1"/>
  <c r="R487" i="10"/>
  <c r="S487" i="10" s="1"/>
  <c r="R486" i="10"/>
  <c r="S486" i="10" s="1"/>
  <c r="R485" i="10"/>
  <c r="S485" i="10" s="1"/>
  <c r="R484" i="10"/>
  <c r="S484" i="10" s="1"/>
  <c r="R483" i="10"/>
  <c r="S483" i="10" s="1"/>
  <c r="R482" i="10"/>
  <c r="S482" i="10" s="1"/>
  <c r="R481" i="10"/>
  <c r="S481" i="10" s="1"/>
  <c r="R480" i="10"/>
  <c r="S480" i="10" s="1"/>
  <c r="R479" i="10"/>
  <c r="S479" i="10" s="1"/>
  <c r="R478" i="10"/>
  <c r="S478" i="10" s="1"/>
  <c r="R477" i="10"/>
  <c r="S477" i="10" s="1"/>
  <c r="R476" i="10"/>
  <c r="S476" i="10" s="1"/>
  <c r="R475" i="10"/>
  <c r="S475" i="10" s="1"/>
  <c r="R474" i="10"/>
  <c r="S474" i="10" s="1"/>
  <c r="R473" i="10"/>
  <c r="S473" i="10" s="1"/>
  <c r="R472" i="10"/>
  <c r="S472" i="10" s="1"/>
  <c r="R471" i="10"/>
  <c r="S471" i="10" s="1"/>
  <c r="R470" i="10"/>
  <c r="S470" i="10" s="1"/>
  <c r="R469" i="10"/>
  <c r="S469" i="10" s="1"/>
  <c r="R468" i="10"/>
  <c r="S468" i="10" s="1"/>
  <c r="R467" i="10"/>
  <c r="S467" i="10" s="1"/>
  <c r="R466" i="10"/>
  <c r="S466" i="10" s="1"/>
  <c r="R465" i="10"/>
  <c r="S465" i="10" s="1"/>
  <c r="R464" i="10"/>
  <c r="S464" i="10" s="1"/>
  <c r="R463" i="10"/>
  <c r="S463" i="10" s="1"/>
  <c r="R462" i="10"/>
  <c r="S462" i="10" s="1"/>
  <c r="R461" i="10"/>
  <c r="S461" i="10" s="1"/>
  <c r="R460" i="10"/>
  <c r="S460" i="10" s="1"/>
  <c r="R459" i="10"/>
  <c r="S459" i="10" s="1"/>
  <c r="R458" i="10"/>
  <c r="S458" i="10" s="1"/>
  <c r="R457" i="10"/>
  <c r="S457" i="10" s="1"/>
  <c r="R456" i="10"/>
  <c r="S456" i="10" s="1"/>
  <c r="R455" i="10"/>
  <c r="S455" i="10" s="1"/>
  <c r="R454" i="10"/>
  <c r="S454" i="10" s="1"/>
  <c r="R453" i="10"/>
  <c r="S453" i="10" s="1"/>
  <c r="R452" i="10"/>
  <c r="S452" i="10" s="1"/>
  <c r="R451" i="10"/>
  <c r="S451" i="10" s="1"/>
  <c r="R450" i="10"/>
  <c r="S450" i="10" s="1"/>
  <c r="R449" i="10"/>
  <c r="S449" i="10" s="1"/>
  <c r="R448" i="10"/>
  <c r="S448" i="10" s="1"/>
  <c r="R447" i="10"/>
  <c r="S447" i="10" s="1"/>
  <c r="R446" i="10"/>
  <c r="S446" i="10" s="1"/>
  <c r="R445" i="10"/>
  <c r="S445" i="10" s="1"/>
  <c r="R444" i="10"/>
  <c r="S444" i="10" s="1"/>
  <c r="R443" i="10"/>
  <c r="S443" i="10" s="1"/>
  <c r="R442" i="10"/>
  <c r="S442" i="10" s="1"/>
  <c r="R441" i="10"/>
  <c r="S441" i="10" s="1"/>
  <c r="R440" i="10"/>
  <c r="S440" i="10" s="1"/>
  <c r="R439" i="10"/>
  <c r="S439" i="10" s="1"/>
  <c r="R438" i="10"/>
  <c r="S438" i="10" s="1"/>
  <c r="R437" i="10"/>
  <c r="S437" i="10" s="1"/>
  <c r="R436" i="10"/>
  <c r="S436" i="10" s="1"/>
  <c r="R435" i="10"/>
  <c r="S435" i="10" s="1"/>
  <c r="R434" i="10"/>
  <c r="S434" i="10" s="1"/>
  <c r="R433" i="10"/>
  <c r="S433" i="10" s="1"/>
  <c r="R432" i="10"/>
  <c r="S432" i="10" s="1"/>
  <c r="R431" i="10"/>
  <c r="S431" i="10" s="1"/>
  <c r="R430" i="10"/>
  <c r="S430" i="10" s="1"/>
  <c r="R429" i="10"/>
  <c r="S429" i="10" s="1"/>
  <c r="R428" i="10"/>
  <c r="S428" i="10" s="1"/>
  <c r="R427" i="10"/>
  <c r="S427" i="10" s="1"/>
  <c r="R426" i="10"/>
  <c r="S426" i="10" s="1"/>
  <c r="R425" i="10"/>
  <c r="S425" i="10" s="1"/>
  <c r="R424" i="10"/>
  <c r="S424" i="10" s="1"/>
  <c r="R423" i="10"/>
  <c r="S423" i="10" s="1"/>
  <c r="R422" i="10"/>
  <c r="S422" i="10" s="1"/>
  <c r="R421" i="10"/>
  <c r="S421" i="10" s="1"/>
  <c r="R420" i="10"/>
  <c r="S420" i="10" s="1"/>
  <c r="R419" i="10"/>
  <c r="S419" i="10" s="1"/>
  <c r="R418" i="10"/>
  <c r="S418" i="10" s="1"/>
  <c r="R417" i="10"/>
  <c r="S417" i="10" s="1"/>
  <c r="R416" i="10"/>
  <c r="S416" i="10" s="1"/>
  <c r="R415" i="10"/>
  <c r="S415" i="10" s="1"/>
  <c r="R414" i="10"/>
  <c r="S414" i="10" s="1"/>
  <c r="R413" i="10"/>
  <c r="S413" i="10" s="1"/>
  <c r="R412" i="10"/>
  <c r="S412" i="10" s="1"/>
  <c r="R411" i="10"/>
  <c r="S411" i="10" s="1"/>
  <c r="R410" i="10"/>
  <c r="S410" i="10" s="1"/>
  <c r="R409" i="10"/>
  <c r="S409" i="10" s="1"/>
  <c r="R408" i="10"/>
  <c r="S408" i="10" s="1"/>
  <c r="R407" i="10"/>
  <c r="S407" i="10" s="1"/>
  <c r="R406" i="10"/>
  <c r="S406" i="10" s="1"/>
  <c r="R405" i="10"/>
  <c r="S405" i="10" s="1"/>
  <c r="R404" i="10"/>
  <c r="S404" i="10" s="1"/>
  <c r="R403" i="10"/>
  <c r="S403" i="10" s="1"/>
  <c r="R402" i="10"/>
  <c r="S402" i="10" s="1"/>
  <c r="R401" i="10"/>
  <c r="S401" i="10" s="1"/>
  <c r="R400" i="10"/>
  <c r="S400" i="10" s="1"/>
  <c r="R399" i="10"/>
  <c r="S399" i="10" s="1"/>
  <c r="R398" i="10"/>
  <c r="S398" i="10" s="1"/>
  <c r="R397" i="10"/>
  <c r="S397" i="10" s="1"/>
  <c r="R396" i="10"/>
  <c r="S396" i="10" s="1"/>
  <c r="R395" i="10"/>
  <c r="S395" i="10" s="1"/>
  <c r="R394" i="10"/>
  <c r="S394" i="10" s="1"/>
  <c r="R393" i="10"/>
  <c r="S393" i="10" s="1"/>
  <c r="R392" i="10"/>
  <c r="S392" i="10" s="1"/>
  <c r="R391" i="10"/>
  <c r="S391" i="10" s="1"/>
  <c r="R390" i="10"/>
  <c r="S390" i="10" s="1"/>
  <c r="R389" i="10"/>
  <c r="S389" i="10" s="1"/>
  <c r="R388" i="10"/>
  <c r="S388" i="10" s="1"/>
  <c r="R387" i="10"/>
  <c r="S387" i="10" s="1"/>
  <c r="R386" i="10"/>
  <c r="S386" i="10" s="1"/>
  <c r="R385" i="10"/>
  <c r="S385" i="10" s="1"/>
  <c r="R384" i="10"/>
  <c r="S384" i="10" s="1"/>
  <c r="R383" i="10"/>
  <c r="S383" i="10" s="1"/>
  <c r="R382" i="10"/>
  <c r="S382" i="10" s="1"/>
  <c r="R381" i="10"/>
  <c r="S381" i="10" s="1"/>
  <c r="R380" i="10"/>
  <c r="S380" i="10" s="1"/>
  <c r="R379" i="10"/>
  <c r="S379" i="10" s="1"/>
  <c r="R378" i="10"/>
  <c r="S378" i="10" s="1"/>
  <c r="R377" i="10"/>
  <c r="S377" i="10" s="1"/>
  <c r="R376" i="10"/>
  <c r="S376" i="10" s="1"/>
  <c r="R375" i="10"/>
  <c r="S375" i="10" s="1"/>
  <c r="R374" i="10"/>
  <c r="S374" i="10" s="1"/>
  <c r="R373" i="10"/>
  <c r="S373" i="10" s="1"/>
  <c r="R372" i="10"/>
  <c r="S372" i="10" s="1"/>
  <c r="R371" i="10"/>
  <c r="S371" i="10" s="1"/>
  <c r="R370" i="10"/>
  <c r="S370" i="10" s="1"/>
  <c r="R369" i="10"/>
  <c r="S369" i="10" s="1"/>
  <c r="R368" i="10"/>
  <c r="S368" i="10" s="1"/>
  <c r="R367" i="10"/>
  <c r="S367" i="10" s="1"/>
  <c r="R366" i="10"/>
  <c r="S366" i="10" s="1"/>
  <c r="R365" i="10"/>
  <c r="S365" i="10" s="1"/>
  <c r="R364" i="10"/>
  <c r="S364" i="10" s="1"/>
  <c r="R363" i="10"/>
  <c r="S363" i="10" s="1"/>
  <c r="R362" i="10"/>
  <c r="S362" i="10" s="1"/>
  <c r="R361" i="10"/>
  <c r="S361" i="10" s="1"/>
  <c r="R360" i="10"/>
  <c r="S360" i="10" s="1"/>
  <c r="R359" i="10"/>
  <c r="S359" i="10" s="1"/>
  <c r="R358" i="10"/>
  <c r="S358" i="10" s="1"/>
  <c r="R357" i="10"/>
  <c r="S357" i="10" s="1"/>
  <c r="R356" i="10"/>
  <c r="S356" i="10" s="1"/>
  <c r="R355" i="10"/>
  <c r="S355" i="10" s="1"/>
  <c r="R354" i="10"/>
  <c r="S354" i="10" s="1"/>
  <c r="R353" i="10"/>
  <c r="S353" i="10" s="1"/>
  <c r="R352" i="10"/>
  <c r="S352" i="10" s="1"/>
  <c r="R351" i="10"/>
  <c r="S351" i="10" s="1"/>
  <c r="R350" i="10"/>
  <c r="S350" i="10" s="1"/>
  <c r="R349" i="10"/>
  <c r="S349" i="10" s="1"/>
  <c r="R348" i="10"/>
  <c r="S348" i="10" s="1"/>
  <c r="R347" i="10"/>
  <c r="S347" i="10" s="1"/>
  <c r="R346" i="10"/>
  <c r="S346" i="10" s="1"/>
  <c r="R345" i="10"/>
  <c r="S345" i="10" s="1"/>
  <c r="R344" i="10"/>
  <c r="S344" i="10" s="1"/>
  <c r="R343" i="10"/>
  <c r="S343" i="10" s="1"/>
  <c r="R342" i="10"/>
  <c r="S342" i="10" s="1"/>
  <c r="R341" i="10"/>
  <c r="S341" i="10" s="1"/>
  <c r="R340" i="10"/>
  <c r="S340" i="10" s="1"/>
  <c r="R339" i="10"/>
  <c r="S339" i="10" s="1"/>
  <c r="R338" i="10"/>
  <c r="S338" i="10" s="1"/>
  <c r="R337" i="10"/>
  <c r="S337" i="10" s="1"/>
  <c r="R336" i="10"/>
  <c r="S336" i="10" s="1"/>
  <c r="R335" i="10"/>
  <c r="S335" i="10" s="1"/>
  <c r="R334" i="10"/>
  <c r="S334" i="10" s="1"/>
  <c r="R333" i="10"/>
  <c r="S333" i="10" s="1"/>
  <c r="R332" i="10"/>
  <c r="S332" i="10" s="1"/>
  <c r="R331" i="10"/>
  <c r="S331" i="10" s="1"/>
  <c r="R330" i="10"/>
  <c r="S330" i="10" s="1"/>
  <c r="R329" i="10"/>
  <c r="S329" i="10" s="1"/>
  <c r="R328" i="10"/>
  <c r="S328" i="10" s="1"/>
  <c r="R327" i="10"/>
  <c r="S327" i="10" s="1"/>
  <c r="R326" i="10"/>
  <c r="S326" i="10" s="1"/>
  <c r="R325" i="10"/>
  <c r="S325" i="10" s="1"/>
  <c r="R324" i="10"/>
  <c r="S324" i="10" s="1"/>
  <c r="R323" i="10"/>
  <c r="S323" i="10" s="1"/>
  <c r="R322" i="10"/>
  <c r="S322" i="10" s="1"/>
  <c r="R321" i="10"/>
  <c r="S321" i="10" s="1"/>
  <c r="R320" i="10"/>
  <c r="S320" i="10" s="1"/>
  <c r="R319" i="10"/>
  <c r="S319" i="10" s="1"/>
  <c r="R318" i="10"/>
  <c r="S318" i="10" s="1"/>
  <c r="R317" i="10"/>
  <c r="S317" i="10" s="1"/>
  <c r="R316" i="10"/>
  <c r="S316" i="10" s="1"/>
  <c r="R315" i="10"/>
  <c r="S315" i="10" s="1"/>
  <c r="R314" i="10"/>
  <c r="S314" i="10" s="1"/>
  <c r="R313" i="10"/>
  <c r="S313" i="10" s="1"/>
  <c r="R312" i="10"/>
  <c r="S312" i="10" s="1"/>
  <c r="R311" i="10"/>
  <c r="S311" i="10" s="1"/>
  <c r="R310" i="10"/>
  <c r="S310" i="10" s="1"/>
  <c r="R309" i="10"/>
  <c r="S309" i="10" s="1"/>
  <c r="R308" i="10"/>
  <c r="S308" i="10" s="1"/>
  <c r="R307" i="10"/>
  <c r="S307" i="10" s="1"/>
  <c r="R306" i="10"/>
  <c r="S306" i="10" s="1"/>
  <c r="R305" i="10"/>
  <c r="S305" i="10" s="1"/>
  <c r="R304" i="10"/>
  <c r="S304" i="10" s="1"/>
  <c r="R303" i="10"/>
  <c r="S303" i="10" s="1"/>
  <c r="R302" i="10"/>
  <c r="S302" i="10" s="1"/>
  <c r="R301" i="10"/>
  <c r="S301" i="10" s="1"/>
  <c r="R300" i="10"/>
  <c r="S300" i="10" s="1"/>
  <c r="R299" i="10"/>
  <c r="S299" i="10" s="1"/>
  <c r="R298" i="10"/>
  <c r="S298" i="10" s="1"/>
  <c r="R297" i="10"/>
  <c r="S297" i="10" s="1"/>
  <c r="R296" i="10"/>
  <c r="S296" i="10" s="1"/>
  <c r="R295" i="10"/>
  <c r="S295" i="10" s="1"/>
  <c r="R294" i="10"/>
  <c r="S294" i="10" s="1"/>
  <c r="R293" i="10"/>
  <c r="S293" i="10" s="1"/>
  <c r="R292" i="10"/>
  <c r="S292" i="10" s="1"/>
  <c r="R291" i="10"/>
  <c r="S291" i="10" s="1"/>
  <c r="R290" i="10"/>
  <c r="S290" i="10" s="1"/>
  <c r="R289" i="10"/>
  <c r="S289" i="10" s="1"/>
  <c r="R288" i="10"/>
  <c r="S288" i="10" s="1"/>
  <c r="R287" i="10"/>
  <c r="S287" i="10" s="1"/>
  <c r="R286" i="10"/>
  <c r="S286" i="10" s="1"/>
  <c r="R285" i="10"/>
  <c r="S285" i="10" s="1"/>
  <c r="R284" i="10"/>
  <c r="S284" i="10" s="1"/>
  <c r="R283" i="10"/>
  <c r="S283" i="10" s="1"/>
  <c r="R282" i="10"/>
  <c r="S282" i="10" s="1"/>
  <c r="R281" i="10"/>
  <c r="S281" i="10" s="1"/>
  <c r="R280" i="10"/>
  <c r="S280" i="10" s="1"/>
  <c r="R279" i="10"/>
  <c r="S279" i="10" s="1"/>
  <c r="R278" i="10"/>
  <c r="S278" i="10" s="1"/>
  <c r="R277" i="10"/>
  <c r="S277" i="10" s="1"/>
  <c r="R276" i="10"/>
  <c r="S276" i="10" s="1"/>
  <c r="R275" i="10"/>
  <c r="S275" i="10" s="1"/>
  <c r="R274" i="10"/>
  <c r="S274" i="10" s="1"/>
  <c r="R273" i="10"/>
  <c r="S273" i="10" s="1"/>
  <c r="R272" i="10"/>
  <c r="S272" i="10" s="1"/>
  <c r="R271" i="10"/>
  <c r="S271" i="10" s="1"/>
  <c r="R270" i="10"/>
  <c r="S270" i="10" s="1"/>
  <c r="R269" i="10"/>
  <c r="S269" i="10" s="1"/>
  <c r="R268" i="10"/>
  <c r="S268" i="10" s="1"/>
  <c r="R267" i="10"/>
  <c r="S267" i="10" s="1"/>
  <c r="R266" i="10"/>
  <c r="S266" i="10" s="1"/>
  <c r="R265" i="10"/>
  <c r="S265" i="10" s="1"/>
  <c r="R264" i="10"/>
  <c r="S264" i="10" s="1"/>
  <c r="R263" i="10"/>
  <c r="S263" i="10" s="1"/>
  <c r="R262" i="10"/>
  <c r="S262" i="10" s="1"/>
  <c r="R261" i="10"/>
  <c r="S261" i="10" s="1"/>
  <c r="R260" i="10"/>
  <c r="S260" i="10" s="1"/>
  <c r="R259" i="10"/>
  <c r="S259" i="10" s="1"/>
  <c r="R258" i="10"/>
  <c r="S258" i="10" s="1"/>
  <c r="R257" i="10"/>
  <c r="S257" i="10" s="1"/>
  <c r="R256" i="10"/>
  <c r="S256" i="10" s="1"/>
  <c r="R255" i="10"/>
  <c r="S255" i="10" s="1"/>
  <c r="R254" i="10"/>
  <c r="S254" i="10" s="1"/>
  <c r="R253" i="10"/>
  <c r="S253" i="10" s="1"/>
  <c r="R252" i="10"/>
  <c r="S252" i="10" s="1"/>
  <c r="R251" i="10"/>
  <c r="S251" i="10" s="1"/>
  <c r="R250" i="10"/>
  <c r="S250" i="10" s="1"/>
  <c r="R249" i="10"/>
  <c r="S249" i="10" s="1"/>
  <c r="R248" i="10"/>
  <c r="S248" i="10" s="1"/>
  <c r="R247" i="10"/>
  <c r="S247" i="10" s="1"/>
  <c r="R246" i="10"/>
  <c r="S246" i="10" s="1"/>
  <c r="R245" i="10"/>
  <c r="S245" i="10" s="1"/>
  <c r="R244" i="10"/>
  <c r="S244" i="10" s="1"/>
  <c r="R243" i="10"/>
  <c r="S243" i="10" s="1"/>
  <c r="R242" i="10"/>
  <c r="S242" i="10" s="1"/>
  <c r="R241" i="10"/>
  <c r="S241" i="10" s="1"/>
  <c r="R240" i="10"/>
  <c r="S240" i="10" s="1"/>
  <c r="R239" i="10"/>
  <c r="S239" i="10" s="1"/>
  <c r="R238" i="10"/>
  <c r="S238" i="10" s="1"/>
  <c r="R237" i="10"/>
  <c r="S237" i="10" s="1"/>
  <c r="R236" i="10"/>
  <c r="S236" i="10" s="1"/>
  <c r="R235" i="10"/>
  <c r="S235" i="10" s="1"/>
  <c r="R234" i="10"/>
  <c r="S234" i="10" s="1"/>
  <c r="R233" i="10"/>
  <c r="S233" i="10" s="1"/>
  <c r="R232" i="10"/>
  <c r="S232" i="10" s="1"/>
  <c r="R231" i="10"/>
  <c r="S231" i="10" s="1"/>
  <c r="R230" i="10"/>
  <c r="S230" i="10" s="1"/>
  <c r="R229" i="10"/>
  <c r="S229" i="10" s="1"/>
  <c r="R228" i="10"/>
  <c r="S228" i="10" s="1"/>
  <c r="R227" i="10"/>
  <c r="S227" i="10" s="1"/>
  <c r="R226" i="10"/>
  <c r="S226" i="10" s="1"/>
  <c r="R225" i="10"/>
  <c r="S225" i="10" s="1"/>
  <c r="R224" i="10"/>
  <c r="S224" i="10" s="1"/>
  <c r="R223" i="10"/>
  <c r="S223" i="10" s="1"/>
  <c r="R222" i="10"/>
  <c r="S222" i="10" s="1"/>
  <c r="R221" i="10"/>
  <c r="S221" i="10" s="1"/>
  <c r="R220" i="10"/>
  <c r="S220" i="10" s="1"/>
  <c r="R219" i="10"/>
  <c r="S219" i="10" s="1"/>
  <c r="R218" i="10"/>
  <c r="S218" i="10" s="1"/>
  <c r="R217" i="10"/>
  <c r="S217" i="10" s="1"/>
  <c r="R216" i="10"/>
  <c r="S216" i="10" s="1"/>
  <c r="R215" i="10"/>
  <c r="S215" i="10" s="1"/>
  <c r="R214" i="10"/>
  <c r="S214" i="10" s="1"/>
  <c r="R213" i="10"/>
  <c r="S213" i="10" s="1"/>
  <c r="R212" i="10"/>
  <c r="S212" i="10" s="1"/>
  <c r="R211" i="10"/>
  <c r="S211" i="10" s="1"/>
  <c r="R210" i="10"/>
  <c r="S210" i="10" s="1"/>
  <c r="R209" i="10"/>
  <c r="S209" i="10" s="1"/>
  <c r="R208" i="10"/>
  <c r="S208" i="10" s="1"/>
  <c r="R207" i="10"/>
  <c r="S207" i="10" s="1"/>
  <c r="R206" i="10"/>
  <c r="S206" i="10" s="1"/>
  <c r="R205" i="10"/>
  <c r="S205" i="10" s="1"/>
  <c r="R204" i="10"/>
  <c r="S204" i="10" s="1"/>
  <c r="R203" i="10"/>
  <c r="S203" i="10" s="1"/>
  <c r="R202" i="10"/>
  <c r="S202" i="10" s="1"/>
  <c r="R201" i="10"/>
  <c r="S201" i="10" s="1"/>
  <c r="R200" i="10"/>
  <c r="S200" i="10" s="1"/>
  <c r="R199" i="10"/>
  <c r="S199" i="10" s="1"/>
  <c r="R198" i="10"/>
  <c r="S198" i="10" s="1"/>
  <c r="R197" i="10"/>
  <c r="S197" i="10" s="1"/>
  <c r="R196" i="10"/>
  <c r="S196" i="10" s="1"/>
  <c r="R195" i="10"/>
  <c r="S195" i="10" s="1"/>
  <c r="R194" i="10"/>
  <c r="S194" i="10" s="1"/>
  <c r="R193" i="10"/>
  <c r="S193" i="10" s="1"/>
  <c r="R192" i="10"/>
  <c r="S192" i="10" s="1"/>
  <c r="R191" i="10"/>
  <c r="S191" i="10" s="1"/>
  <c r="R190" i="10"/>
  <c r="S190" i="10" s="1"/>
  <c r="R189" i="10"/>
  <c r="S189" i="10" s="1"/>
  <c r="R188" i="10"/>
  <c r="S188" i="10" s="1"/>
  <c r="R187" i="10"/>
  <c r="S187" i="10" s="1"/>
  <c r="R186" i="10"/>
  <c r="S186" i="10" s="1"/>
  <c r="R185" i="10"/>
  <c r="S185" i="10" s="1"/>
  <c r="R184" i="10"/>
  <c r="S184" i="10" s="1"/>
  <c r="R183" i="10"/>
  <c r="S183" i="10" s="1"/>
  <c r="R182" i="10"/>
  <c r="S182" i="10" s="1"/>
  <c r="R181" i="10"/>
  <c r="S181" i="10" s="1"/>
  <c r="R180" i="10"/>
  <c r="S180" i="10" s="1"/>
  <c r="R179" i="10"/>
  <c r="S179" i="10" s="1"/>
  <c r="R178" i="10"/>
  <c r="S178" i="10" s="1"/>
  <c r="R177" i="10"/>
  <c r="S177" i="10" s="1"/>
  <c r="R176" i="10"/>
  <c r="S176" i="10" s="1"/>
  <c r="R175" i="10"/>
  <c r="S175" i="10" s="1"/>
  <c r="R174" i="10"/>
  <c r="S174" i="10" s="1"/>
  <c r="R173" i="10"/>
  <c r="S173" i="10" s="1"/>
  <c r="R172" i="10"/>
  <c r="S172" i="10" s="1"/>
  <c r="R171" i="10"/>
  <c r="S171" i="10" s="1"/>
  <c r="R170" i="10"/>
  <c r="S170" i="10" s="1"/>
  <c r="R169" i="10"/>
  <c r="S169" i="10" s="1"/>
  <c r="R168" i="10"/>
  <c r="S168" i="10" s="1"/>
  <c r="R167" i="10"/>
  <c r="S167" i="10" s="1"/>
  <c r="R166" i="10"/>
  <c r="S166" i="10" s="1"/>
  <c r="R165" i="10"/>
  <c r="S165" i="10" s="1"/>
  <c r="R164" i="10"/>
  <c r="S164" i="10" s="1"/>
  <c r="R163" i="10"/>
  <c r="S163" i="10" s="1"/>
  <c r="R162" i="10"/>
  <c r="S162" i="10" s="1"/>
  <c r="R161" i="10"/>
  <c r="S161" i="10" s="1"/>
  <c r="R160" i="10"/>
  <c r="S160" i="10" s="1"/>
  <c r="R159" i="10"/>
  <c r="S159" i="10" s="1"/>
  <c r="R158" i="10"/>
  <c r="S158" i="10" s="1"/>
  <c r="R157" i="10"/>
  <c r="S157" i="10" s="1"/>
  <c r="R156" i="10"/>
  <c r="S156" i="10" s="1"/>
  <c r="R155" i="10"/>
  <c r="S155" i="10" s="1"/>
  <c r="R154" i="10"/>
  <c r="S154" i="10" s="1"/>
  <c r="R153" i="10"/>
  <c r="S153" i="10" s="1"/>
  <c r="R152" i="10"/>
  <c r="S152" i="10" s="1"/>
  <c r="R151" i="10"/>
  <c r="S151" i="10" s="1"/>
  <c r="R150" i="10"/>
  <c r="S150" i="10" s="1"/>
  <c r="R149" i="10"/>
  <c r="S149" i="10" s="1"/>
  <c r="R148" i="10"/>
  <c r="S148" i="10" s="1"/>
  <c r="R147" i="10"/>
  <c r="S147" i="10" s="1"/>
  <c r="R146" i="10"/>
  <c r="S146" i="10" s="1"/>
  <c r="R145" i="10"/>
  <c r="S145" i="10" s="1"/>
  <c r="R144" i="10"/>
  <c r="S144" i="10" s="1"/>
  <c r="R143" i="10"/>
  <c r="S143" i="10" s="1"/>
  <c r="R142" i="10"/>
  <c r="S142" i="10" s="1"/>
  <c r="R141" i="10"/>
  <c r="S141" i="10" s="1"/>
  <c r="R140" i="10"/>
  <c r="S140" i="10" s="1"/>
  <c r="R139" i="10"/>
  <c r="S139" i="10" s="1"/>
  <c r="R138" i="10"/>
  <c r="S138" i="10" s="1"/>
  <c r="R137" i="10"/>
  <c r="S137" i="10" s="1"/>
  <c r="R136" i="10"/>
  <c r="S136" i="10" s="1"/>
  <c r="R135" i="10"/>
  <c r="S135" i="10" s="1"/>
  <c r="R134" i="10"/>
  <c r="S134" i="10" s="1"/>
  <c r="R133" i="10"/>
  <c r="S133" i="10" s="1"/>
  <c r="R132" i="10"/>
  <c r="S132" i="10" s="1"/>
  <c r="R131" i="10"/>
  <c r="S131" i="10" s="1"/>
  <c r="R130" i="10"/>
  <c r="S130" i="10" s="1"/>
  <c r="R129" i="10"/>
  <c r="S129" i="10" s="1"/>
  <c r="R128" i="10"/>
  <c r="S128" i="10" s="1"/>
  <c r="R127" i="10"/>
  <c r="S127" i="10" s="1"/>
  <c r="R126" i="10"/>
  <c r="S126" i="10" s="1"/>
  <c r="R125" i="10"/>
  <c r="S125" i="10" s="1"/>
  <c r="R124" i="10"/>
  <c r="S124" i="10" s="1"/>
  <c r="R123" i="10"/>
  <c r="S123" i="10" s="1"/>
  <c r="R122" i="10"/>
  <c r="S122" i="10" s="1"/>
  <c r="R121" i="10"/>
  <c r="S121" i="10" s="1"/>
  <c r="R120" i="10"/>
  <c r="S120" i="10" s="1"/>
  <c r="R119" i="10"/>
  <c r="S119" i="10" s="1"/>
  <c r="R118" i="10"/>
  <c r="S118" i="10" s="1"/>
  <c r="R117" i="10"/>
  <c r="S117" i="10" s="1"/>
  <c r="R116" i="10"/>
  <c r="S116" i="10" s="1"/>
  <c r="R115" i="10"/>
  <c r="S115" i="10" s="1"/>
  <c r="R114" i="10"/>
  <c r="S114" i="10" s="1"/>
  <c r="R113" i="10"/>
  <c r="S113" i="10" s="1"/>
  <c r="R112" i="10"/>
  <c r="S112" i="10" s="1"/>
  <c r="R111" i="10"/>
  <c r="S111" i="10" s="1"/>
  <c r="R110" i="10"/>
  <c r="S110" i="10" s="1"/>
  <c r="R109" i="10"/>
  <c r="S109" i="10" s="1"/>
  <c r="R108" i="10"/>
  <c r="S108" i="10" s="1"/>
  <c r="R107" i="10"/>
  <c r="S107" i="10" s="1"/>
  <c r="R106" i="10"/>
  <c r="S106" i="10" s="1"/>
  <c r="R105" i="10"/>
  <c r="S105" i="10" s="1"/>
  <c r="R104" i="10"/>
  <c r="S104" i="10" s="1"/>
  <c r="R103" i="10"/>
  <c r="S103" i="10" s="1"/>
  <c r="R102" i="10"/>
  <c r="S102" i="10" s="1"/>
  <c r="R101" i="10"/>
  <c r="S101" i="10" s="1"/>
  <c r="R100" i="10"/>
  <c r="S100" i="10" s="1"/>
  <c r="R99" i="10"/>
  <c r="S99" i="10" s="1"/>
  <c r="R98" i="10"/>
  <c r="S98" i="10" s="1"/>
  <c r="R97" i="10"/>
  <c r="S97" i="10" s="1"/>
  <c r="R96" i="10"/>
  <c r="S96" i="10" s="1"/>
  <c r="R95" i="10"/>
  <c r="S95" i="10" s="1"/>
  <c r="R94" i="10"/>
  <c r="S94" i="10" s="1"/>
  <c r="R93" i="10"/>
  <c r="S93" i="10" s="1"/>
  <c r="R92" i="10"/>
  <c r="S92" i="10" s="1"/>
  <c r="R91" i="10"/>
  <c r="S91" i="10" s="1"/>
  <c r="R90" i="10"/>
  <c r="S90" i="10" s="1"/>
  <c r="R89" i="10"/>
  <c r="S89" i="10" s="1"/>
  <c r="R88" i="10"/>
  <c r="S88" i="10" s="1"/>
  <c r="R87" i="10"/>
  <c r="S87" i="10" s="1"/>
  <c r="R86" i="10"/>
  <c r="S86" i="10" s="1"/>
  <c r="R85" i="10"/>
  <c r="S85" i="10" s="1"/>
  <c r="R84" i="10"/>
  <c r="S84" i="10" s="1"/>
  <c r="R83" i="10"/>
  <c r="S83" i="10" s="1"/>
  <c r="R82" i="10"/>
  <c r="S82" i="10" s="1"/>
  <c r="R81" i="10"/>
  <c r="S81" i="10" s="1"/>
  <c r="R80" i="10"/>
  <c r="S80" i="10" s="1"/>
  <c r="R79" i="10"/>
  <c r="S79" i="10" s="1"/>
  <c r="R78" i="10"/>
  <c r="S78" i="10" s="1"/>
  <c r="R77" i="10"/>
  <c r="S77" i="10" s="1"/>
  <c r="R76" i="10"/>
  <c r="S76" i="10" s="1"/>
  <c r="R75" i="10"/>
  <c r="S75" i="10" s="1"/>
  <c r="R74" i="10"/>
  <c r="S74" i="10" s="1"/>
  <c r="R73" i="10"/>
  <c r="S73" i="10" s="1"/>
  <c r="R72" i="10"/>
  <c r="S72" i="10" s="1"/>
  <c r="R71" i="10"/>
  <c r="S71" i="10" s="1"/>
  <c r="R70" i="10"/>
  <c r="S70" i="10" s="1"/>
  <c r="R69" i="10"/>
  <c r="S69" i="10" s="1"/>
  <c r="R68" i="10"/>
  <c r="S68" i="10" s="1"/>
  <c r="R67" i="10"/>
  <c r="S67" i="10" s="1"/>
  <c r="R66" i="10"/>
  <c r="S66" i="10" s="1"/>
  <c r="R65" i="10"/>
  <c r="S65" i="10" s="1"/>
  <c r="R64" i="10"/>
  <c r="S64" i="10" s="1"/>
  <c r="R63" i="10"/>
  <c r="S63" i="10" s="1"/>
  <c r="R62" i="10"/>
  <c r="S62" i="10" s="1"/>
  <c r="R61" i="10"/>
  <c r="S61" i="10" s="1"/>
  <c r="R60" i="10"/>
  <c r="S60" i="10" s="1"/>
  <c r="R59" i="10"/>
  <c r="S59" i="10" s="1"/>
  <c r="R58" i="10"/>
  <c r="S58" i="10" s="1"/>
  <c r="R57" i="10"/>
  <c r="S57" i="10" s="1"/>
  <c r="R56" i="10"/>
  <c r="S56" i="10" s="1"/>
  <c r="R55" i="10"/>
  <c r="S55" i="10" s="1"/>
  <c r="R54" i="10"/>
  <c r="S54" i="10" s="1"/>
  <c r="R53" i="10"/>
  <c r="S53" i="10" s="1"/>
  <c r="R52" i="10"/>
  <c r="S52" i="10" s="1"/>
  <c r="R51" i="10"/>
  <c r="S51" i="10" s="1"/>
  <c r="R50" i="10"/>
  <c r="S50" i="10" s="1"/>
  <c r="R49" i="10"/>
  <c r="S49" i="10" s="1"/>
  <c r="R48" i="10"/>
  <c r="S48" i="10" s="1"/>
  <c r="R47" i="10"/>
  <c r="S47" i="10" s="1"/>
  <c r="R46" i="10"/>
  <c r="S46" i="10" s="1"/>
  <c r="R45" i="10"/>
  <c r="S45" i="10" s="1"/>
  <c r="R44" i="10"/>
  <c r="S44" i="10" s="1"/>
  <c r="R43" i="10"/>
  <c r="S43" i="10" s="1"/>
  <c r="R42" i="10"/>
  <c r="S42" i="10" s="1"/>
  <c r="R41" i="10"/>
  <c r="S41" i="10" s="1"/>
  <c r="R40" i="10"/>
  <c r="S40" i="10" s="1"/>
  <c r="R39" i="10"/>
  <c r="S39" i="10" s="1"/>
  <c r="R38" i="10"/>
  <c r="S38" i="10" s="1"/>
  <c r="R37" i="10"/>
  <c r="S37" i="10" s="1"/>
  <c r="R36" i="10"/>
  <c r="S36" i="10" s="1"/>
  <c r="R35" i="10"/>
  <c r="S35" i="10" s="1"/>
  <c r="R34" i="10"/>
  <c r="S34" i="10" s="1"/>
  <c r="R33" i="10"/>
  <c r="S33" i="10" s="1"/>
  <c r="R32" i="10"/>
  <c r="S32" i="10" s="1"/>
  <c r="R31" i="10"/>
  <c r="S31" i="10" s="1"/>
  <c r="R30" i="10"/>
  <c r="S30" i="10" s="1"/>
  <c r="R29" i="10"/>
  <c r="S29" i="10" s="1"/>
  <c r="R28" i="10"/>
  <c r="S28" i="10" s="1"/>
  <c r="R27" i="10"/>
  <c r="S27" i="10" s="1"/>
  <c r="R26" i="10"/>
  <c r="S26" i="10" s="1"/>
  <c r="R25" i="10"/>
  <c r="S25" i="10" s="1"/>
  <c r="R24" i="10"/>
  <c r="S24" i="10" s="1"/>
  <c r="R23" i="10"/>
  <c r="S23" i="10" s="1"/>
  <c r="R22" i="10"/>
  <c r="S22" i="10" s="1"/>
  <c r="R21" i="10"/>
  <c r="S21" i="10" s="1"/>
  <c r="R20" i="10"/>
  <c r="S20" i="10" s="1"/>
  <c r="R19" i="10"/>
  <c r="S19" i="10" s="1"/>
  <c r="R18" i="10"/>
  <c r="S18" i="10" s="1"/>
  <c r="R17" i="10"/>
  <c r="S17" i="10" s="1"/>
  <c r="R16" i="10"/>
  <c r="S16" i="10" s="1"/>
  <c r="R15" i="10"/>
  <c r="S15" i="10" s="1"/>
  <c r="R14" i="10"/>
  <c r="S14" i="10" s="1"/>
  <c r="R13" i="10"/>
  <c r="S13" i="10" s="1"/>
  <c r="R12" i="10"/>
  <c r="S12" i="10" s="1"/>
  <c r="R11" i="10"/>
  <c r="S11" i="10" s="1"/>
  <c r="R10" i="10"/>
  <c r="S10" i="10" s="1"/>
  <c r="R9" i="10"/>
  <c r="S9" i="10" s="1"/>
  <c r="R8" i="10"/>
  <c r="S8" i="10" s="1"/>
  <c r="R7" i="10"/>
  <c r="S7" i="10" s="1"/>
  <c r="R6" i="10"/>
  <c r="S6" i="10" s="1"/>
  <c r="R5" i="10"/>
  <c r="S5" i="10" s="1"/>
  <c r="R4" i="10"/>
  <c r="S4" i="10" s="1"/>
  <c r="R3" i="10"/>
  <c r="S3" i="10" s="1"/>
  <c r="R2" i="10"/>
  <c r="S2" i="10" s="1"/>
  <c r="R3" i="9"/>
  <c r="R4" i="9"/>
  <c r="R5" i="9"/>
  <c r="R6" i="9"/>
  <c r="R7" i="9"/>
  <c r="R8" i="9"/>
  <c r="R9" i="9"/>
  <c r="R10" i="9"/>
  <c r="R11" i="9"/>
  <c r="R12" i="9"/>
  <c r="R13" i="9"/>
  <c r="R14" i="9"/>
  <c r="R15" i="9"/>
  <c r="R16" i="9"/>
  <c r="R17" i="9"/>
  <c r="R18" i="9"/>
  <c r="R19" i="9"/>
  <c r="R20" i="9"/>
  <c r="R21" i="9"/>
  <c r="R22" i="9"/>
  <c r="R23" i="9"/>
  <c r="R24" i="9"/>
  <c r="R25" i="9"/>
  <c r="R26" i="9"/>
  <c r="R27" i="9"/>
  <c r="R28" i="9"/>
  <c r="R29" i="9"/>
  <c r="R30" i="9"/>
  <c r="R31" i="9"/>
  <c r="R32" i="9"/>
  <c r="R33" i="9"/>
  <c r="R34" i="9"/>
  <c r="R35" i="9"/>
  <c r="R36" i="9"/>
  <c r="R37" i="9"/>
  <c r="R38" i="9"/>
  <c r="R39" i="9"/>
  <c r="R40" i="9"/>
  <c r="R41" i="9"/>
  <c r="R42" i="9"/>
  <c r="R43" i="9"/>
  <c r="R44" i="9"/>
  <c r="R45" i="9"/>
  <c r="R46" i="9"/>
  <c r="R47" i="9"/>
  <c r="R48" i="9"/>
  <c r="R49" i="9"/>
  <c r="R50" i="9"/>
  <c r="R51" i="9"/>
  <c r="R52" i="9"/>
  <c r="R53" i="9"/>
  <c r="R54" i="9"/>
  <c r="R55" i="9"/>
  <c r="R56" i="9"/>
  <c r="R57" i="9"/>
  <c r="R58" i="9"/>
  <c r="R59" i="9"/>
  <c r="R60" i="9"/>
  <c r="R61" i="9"/>
  <c r="R62" i="9"/>
  <c r="R63" i="9"/>
  <c r="R64" i="9"/>
  <c r="R65" i="9"/>
  <c r="R66" i="9"/>
  <c r="R67" i="9"/>
  <c r="R68" i="9"/>
  <c r="R69" i="9"/>
  <c r="R70" i="9"/>
  <c r="R71" i="9"/>
  <c r="R72" i="9"/>
  <c r="R73" i="9"/>
  <c r="R74" i="9"/>
  <c r="R75" i="9"/>
  <c r="R76" i="9"/>
  <c r="R77" i="9"/>
  <c r="R78" i="9"/>
  <c r="R79" i="9"/>
  <c r="R80" i="9"/>
  <c r="R81" i="9"/>
  <c r="R82" i="9"/>
  <c r="R83" i="9"/>
  <c r="R84" i="9"/>
  <c r="R85" i="9"/>
  <c r="R86" i="9"/>
  <c r="R87" i="9"/>
  <c r="R88" i="9"/>
  <c r="R89" i="9"/>
  <c r="R90" i="9"/>
  <c r="R91" i="9"/>
  <c r="R92" i="9"/>
  <c r="R93" i="9"/>
  <c r="R94" i="9"/>
  <c r="R95" i="9"/>
  <c r="R96" i="9"/>
  <c r="R97" i="9"/>
  <c r="R98" i="9"/>
  <c r="R99" i="9"/>
  <c r="R100" i="9"/>
  <c r="R101" i="9"/>
  <c r="R102" i="9"/>
  <c r="R103" i="9"/>
  <c r="R104" i="9"/>
  <c r="R105" i="9"/>
  <c r="R106" i="9"/>
  <c r="R107" i="9"/>
  <c r="R108" i="9"/>
  <c r="R109" i="9"/>
  <c r="R110" i="9"/>
  <c r="R111" i="9"/>
  <c r="R112" i="9"/>
  <c r="R113" i="9"/>
  <c r="R114" i="9"/>
  <c r="R115" i="9"/>
  <c r="R116" i="9"/>
  <c r="R117" i="9"/>
  <c r="R118" i="9"/>
  <c r="R119" i="9"/>
  <c r="R120" i="9"/>
  <c r="R121" i="9"/>
  <c r="R122" i="9"/>
  <c r="R123" i="9"/>
  <c r="R124" i="9"/>
  <c r="R125" i="9"/>
  <c r="R126" i="9"/>
  <c r="R127" i="9"/>
  <c r="R128" i="9"/>
  <c r="R129" i="9"/>
  <c r="R130" i="9"/>
  <c r="R131" i="9"/>
  <c r="R132" i="9"/>
  <c r="R133" i="9"/>
  <c r="R134" i="9"/>
  <c r="R135" i="9"/>
  <c r="R136" i="9"/>
  <c r="R137" i="9"/>
  <c r="R138" i="9"/>
  <c r="R139" i="9"/>
  <c r="R140" i="9"/>
  <c r="R141" i="9"/>
  <c r="R142" i="9"/>
  <c r="R143" i="9"/>
  <c r="R144" i="9"/>
  <c r="R145" i="9"/>
  <c r="R146" i="9"/>
  <c r="R147" i="9"/>
  <c r="R148" i="9"/>
  <c r="R149" i="9"/>
  <c r="R150" i="9"/>
  <c r="R151" i="9"/>
  <c r="R152" i="9"/>
  <c r="R153" i="9"/>
  <c r="R154" i="9"/>
  <c r="R155" i="9"/>
  <c r="R156" i="9"/>
  <c r="R157" i="9"/>
  <c r="R158" i="9"/>
  <c r="R159" i="9"/>
  <c r="R160" i="9"/>
  <c r="R161" i="9"/>
  <c r="R162" i="9"/>
  <c r="R163" i="9"/>
  <c r="R164" i="9"/>
  <c r="R165" i="9"/>
  <c r="R166" i="9"/>
  <c r="R167" i="9"/>
  <c r="R168" i="9"/>
  <c r="R169" i="9"/>
  <c r="R170" i="9"/>
  <c r="R171" i="9"/>
  <c r="R172" i="9"/>
  <c r="R173" i="9"/>
  <c r="R174" i="9"/>
  <c r="R175" i="9"/>
  <c r="R176" i="9"/>
  <c r="R177" i="9"/>
  <c r="R178" i="9"/>
  <c r="R179" i="9"/>
  <c r="R180" i="9"/>
  <c r="R181" i="9"/>
  <c r="R182" i="9"/>
  <c r="R183" i="9"/>
  <c r="R184" i="9"/>
  <c r="R185" i="9"/>
  <c r="R186" i="9"/>
  <c r="R187" i="9"/>
  <c r="R188" i="9"/>
  <c r="R189" i="9"/>
  <c r="R190" i="9"/>
  <c r="R191" i="9"/>
  <c r="R192" i="9"/>
  <c r="R193" i="9"/>
  <c r="R194" i="9"/>
  <c r="R195" i="9"/>
  <c r="R196" i="9"/>
  <c r="R197" i="9"/>
  <c r="R198" i="9"/>
  <c r="R199" i="9"/>
  <c r="R200" i="9"/>
  <c r="R201" i="9"/>
  <c r="R202" i="9"/>
  <c r="R203" i="9"/>
  <c r="R204" i="9"/>
  <c r="R205" i="9"/>
  <c r="R206" i="9"/>
  <c r="R207" i="9"/>
  <c r="R208" i="9"/>
  <c r="R209" i="9"/>
  <c r="R210" i="9"/>
  <c r="R211" i="9"/>
  <c r="R212" i="9"/>
  <c r="R213" i="9"/>
  <c r="R214" i="9"/>
  <c r="R215" i="9"/>
  <c r="R216" i="9"/>
  <c r="R217" i="9"/>
  <c r="R218" i="9"/>
  <c r="R219" i="9"/>
  <c r="R220" i="9"/>
  <c r="R221" i="9"/>
  <c r="R222" i="9"/>
  <c r="R223" i="9"/>
  <c r="R224" i="9"/>
  <c r="R225" i="9"/>
  <c r="R226" i="9"/>
  <c r="R227" i="9"/>
  <c r="R228" i="9"/>
  <c r="R229" i="9"/>
  <c r="R230" i="9"/>
  <c r="R231" i="9"/>
  <c r="R232" i="9"/>
  <c r="R233" i="9"/>
  <c r="R234" i="9"/>
  <c r="R235" i="9"/>
  <c r="R236" i="9"/>
  <c r="R237" i="9"/>
  <c r="R238" i="9"/>
  <c r="R239" i="9"/>
  <c r="R240" i="9"/>
  <c r="R241" i="9"/>
  <c r="R242" i="9"/>
  <c r="R243" i="9"/>
  <c r="R244" i="9"/>
  <c r="R245" i="9"/>
  <c r="R246" i="9"/>
  <c r="R247" i="9"/>
  <c r="R248" i="9"/>
  <c r="R249" i="9"/>
  <c r="R250" i="9"/>
  <c r="R251" i="9"/>
  <c r="R252" i="9"/>
  <c r="R253" i="9"/>
  <c r="R254" i="9"/>
  <c r="R255" i="9"/>
  <c r="R256" i="9"/>
  <c r="R257" i="9"/>
  <c r="R258" i="9"/>
  <c r="R259" i="9"/>
  <c r="R260" i="9"/>
  <c r="R261" i="9"/>
  <c r="R262" i="9"/>
  <c r="R263" i="9"/>
  <c r="R264" i="9"/>
  <c r="R265" i="9"/>
  <c r="R266" i="9"/>
  <c r="R267" i="9"/>
  <c r="R268" i="9"/>
  <c r="R269" i="9"/>
  <c r="R270" i="9"/>
  <c r="R271" i="9"/>
  <c r="R272" i="9"/>
  <c r="R273" i="9"/>
  <c r="R274" i="9"/>
  <c r="R275" i="9"/>
  <c r="R276" i="9"/>
  <c r="R277" i="9"/>
  <c r="R278" i="9"/>
  <c r="R279" i="9"/>
  <c r="R280" i="9"/>
  <c r="R281" i="9"/>
  <c r="R282" i="9"/>
  <c r="R283" i="9"/>
  <c r="R284" i="9"/>
  <c r="R285" i="9"/>
  <c r="R286" i="9"/>
  <c r="R287" i="9"/>
  <c r="R288" i="9"/>
  <c r="R289" i="9"/>
  <c r="R290" i="9"/>
  <c r="R291" i="9"/>
  <c r="R292" i="9"/>
  <c r="R293" i="9"/>
  <c r="R294" i="9"/>
  <c r="R295" i="9"/>
  <c r="R296" i="9"/>
  <c r="R297" i="9"/>
  <c r="R298" i="9"/>
  <c r="R299" i="9"/>
  <c r="R300" i="9"/>
  <c r="R301" i="9"/>
  <c r="R302" i="9"/>
  <c r="R303" i="9"/>
  <c r="R304" i="9"/>
  <c r="R305" i="9"/>
  <c r="R306" i="9"/>
  <c r="R307" i="9"/>
  <c r="R308" i="9"/>
  <c r="R309" i="9"/>
  <c r="R310" i="9"/>
  <c r="R311" i="9"/>
  <c r="R312" i="9"/>
  <c r="R313" i="9"/>
  <c r="R314" i="9"/>
  <c r="R315" i="9"/>
  <c r="R316" i="9"/>
  <c r="R317" i="9"/>
  <c r="R318" i="9"/>
  <c r="R319" i="9"/>
  <c r="R320" i="9"/>
  <c r="R321" i="9"/>
  <c r="R322" i="9"/>
  <c r="R323" i="9"/>
  <c r="R324" i="9"/>
  <c r="R325" i="9"/>
  <c r="R326" i="9"/>
  <c r="R327" i="9"/>
  <c r="R328" i="9"/>
  <c r="R329" i="9"/>
  <c r="R330" i="9"/>
  <c r="R331" i="9"/>
  <c r="R332" i="9"/>
  <c r="R333" i="9"/>
  <c r="R334" i="9"/>
  <c r="R335" i="9"/>
  <c r="R336" i="9"/>
  <c r="R337" i="9"/>
  <c r="R338" i="9"/>
  <c r="R339" i="9"/>
  <c r="R340" i="9"/>
  <c r="R341" i="9"/>
  <c r="R342" i="9"/>
  <c r="R343" i="9"/>
  <c r="R344" i="9"/>
  <c r="R345" i="9"/>
  <c r="R346" i="9"/>
  <c r="R347" i="9"/>
  <c r="R348" i="9"/>
  <c r="R349" i="9"/>
  <c r="R350" i="9"/>
  <c r="R351" i="9"/>
  <c r="R352" i="9"/>
  <c r="R353" i="9"/>
  <c r="R354" i="9"/>
  <c r="R355" i="9"/>
  <c r="R356" i="9"/>
  <c r="R357" i="9"/>
  <c r="R358" i="9"/>
  <c r="R359" i="9"/>
  <c r="R360" i="9"/>
  <c r="R361" i="9"/>
  <c r="R362" i="9"/>
  <c r="R363" i="9"/>
  <c r="R364" i="9"/>
  <c r="R365" i="9"/>
  <c r="R366" i="9"/>
  <c r="R367" i="9"/>
  <c r="R368" i="9"/>
  <c r="R369" i="9"/>
  <c r="R370" i="9"/>
  <c r="R371" i="9"/>
  <c r="R372" i="9"/>
  <c r="R373" i="9"/>
  <c r="R374" i="9"/>
  <c r="R375" i="9"/>
  <c r="R376" i="9"/>
  <c r="R377" i="9"/>
  <c r="R378" i="9"/>
  <c r="R379" i="9"/>
  <c r="R380" i="9"/>
  <c r="R381" i="9"/>
  <c r="R382" i="9"/>
  <c r="R383" i="9"/>
  <c r="R384" i="9"/>
  <c r="R385" i="9"/>
  <c r="R386" i="9"/>
  <c r="R387" i="9"/>
  <c r="R388" i="9"/>
  <c r="R389" i="9"/>
  <c r="R390" i="9"/>
  <c r="R391" i="9"/>
  <c r="R392" i="9"/>
  <c r="R393" i="9"/>
  <c r="R394" i="9"/>
  <c r="R395" i="9"/>
  <c r="R396" i="9"/>
  <c r="R397" i="9"/>
  <c r="R398" i="9"/>
  <c r="R399" i="9"/>
  <c r="R400" i="9"/>
  <c r="R401" i="9"/>
  <c r="R402" i="9"/>
  <c r="R403" i="9"/>
  <c r="R404" i="9"/>
  <c r="R405" i="9"/>
  <c r="R406" i="9"/>
  <c r="R407" i="9"/>
  <c r="R408" i="9"/>
  <c r="R409" i="9"/>
  <c r="R410" i="9"/>
  <c r="R411" i="9"/>
  <c r="R412" i="9"/>
  <c r="R413" i="9"/>
  <c r="R414" i="9"/>
  <c r="R415" i="9"/>
  <c r="R416" i="9"/>
  <c r="R417" i="9"/>
  <c r="R418" i="9"/>
  <c r="R419" i="9"/>
  <c r="R420" i="9"/>
  <c r="R421" i="9"/>
  <c r="R422" i="9"/>
  <c r="R423" i="9"/>
  <c r="R424" i="9"/>
  <c r="R425" i="9"/>
  <c r="R426" i="9"/>
  <c r="R427" i="9"/>
  <c r="R428" i="9"/>
  <c r="R429" i="9"/>
  <c r="R430" i="9"/>
  <c r="R431" i="9"/>
  <c r="R432" i="9"/>
  <c r="R433" i="9"/>
  <c r="R434" i="9"/>
  <c r="R435" i="9"/>
  <c r="R436" i="9"/>
  <c r="R437" i="9"/>
  <c r="R438" i="9"/>
  <c r="R439" i="9"/>
  <c r="R440" i="9"/>
  <c r="R441" i="9"/>
  <c r="R442" i="9"/>
  <c r="R443" i="9"/>
  <c r="R444" i="9"/>
  <c r="R445" i="9"/>
  <c r="R446" i="9"/>
  <c r="R447" i="9"/>
  <c r="R448" i="9"/>
  <c r="R449" i="9"/>
  <c r="R450" i="9"/>
  <c r="R451" i="9"/>
  <c r="R452" i="9"/>
  <c r="R453" i="9"/>
  <c r="R454" i="9"/>
  <c r="R455" i="9"/>
  <c r="R456" i="9"/>
  <c r="R457" i="9"/>
  <c r="R458" i="9"/>
  <c r="R459" i="9"/>
  <c r="R460" i="9"/>
  <c r="R461" i="9"/>
  <c r="R462" i="9"/>
  <c r="R463" i="9"/>
  <c r="R464" i="9"/>
  <c r="R465" i="9"/>
  <c r="R466" i="9"/>
  <c r="R467" i="9"/>
  <c r="R468" i="9"/>
  <c r="R469" i="9"/>
  <c r="R470" i="9"/>
  <c r="R471" i="9"/>
  <c r="R472" i="9"/>
  <c r="R473" i="9"/>
  <c r="R474" i="9"/>
  <c r="R475" i="9"/>
  <c r="R476" i="9"/>
  <c r="R477" i="9"/>
  <c r="R478" i="9"/>
  <c r="R479" i="9"/>
  <c r="R480" i="9"/>
  <c r="R481" i="9"/>
  <c r="R482" i="9"/>
  <c r="R483" i="9"/>
  <c r="R484" i="9"/>
  <c r="R485" i="9"/>
  <c r="R486" i="9"/>
  <c r="R487" i="9"/>
  <c r="R488" i="9"/>
  <c r="R489" i="9"/>
  <c r="R490" i="9"/>
  <c r="R491" i="9"/>
  <c r="R492" i="9"/>
  <c r="R493" i="9"/>
  <c r="R494" i="9"/>
  <c r="R495" i="9"/>
  <c r="R496" i="9"/>
  <c r="R497" i="9"/>
  <c r="R498" i="9"/>
  <c r="R499" i="9"/>
  <c r="R500" i="9"/>
  <c r="R501" i="9"/>
  <c r="R502" i="9"/>
  <c r="R503" i="9"/>
  <c r="R504" i="9"/>
  <c r="R505" i="9"/>
  <c r="R506" i="9"/>
  <c r="R507" i="9"/>
  <c r="R508" i="9"/>
  <c r="R509" i="9"/>
  <c r="R510" i="9"/>
  <c r="R511" i="9"/>
  <c r="R512" i="9"/>
  <c r="R513" i="9"/>
  <c r="R514" i="9"/>
  <c r="R515" i="9"/>
  <c r="R516" i="9"/>
  <c r="R517" i="9"/>
  <c r="R518" i="9"/>
  <c r="R519" i="9"/>
  <c r="R520" i="9"/>
  <c r="R521" i="9"/>
  <c r="R522" i="9"/>
  <c r="R523" i="9"/>
  <c r="R524" i="9"/>
  <c r="R525" i="9"/>
  <c r="R526" i="9"/>
  <c r="R527" i="9"/>
  <c r="R528" i="9"/>
  <c r="R529" i="9"/>
  <c r="R530" i="9"/>
  <c r="R531" i="9"/>
  <c r="R532" i="9"/>
  <c r="R533" i="9"/>
  <c r="R534" i="9"/>
  <c r="R535" i="9"/>
  <c r="R536" i="9"/>
  <c r="R537" i="9"/>
  <c r="R538" i="9"/>
  <c r="R539" i="9"/>
  <c r="R540" i="9"/>
  <c r="R541" i="9"/>
  <c r="R542" i="9"/>
  <c r="R543" i="9"/>
  <c r="R544" i="9"/>
  <c r="R545" i="9"/>
  <c r="R546" i="9"/>
  <c r="R547" i="9"/>
  <c r="R548" i="9"/>
  <c r="R549" i="9"/>
  <c r="R550" i="9"/>
  <c r="R551" i="9"/>
  <c r="R552" i="9"/>
  <c r="R553" i="9"/>
  <c r="R554" i="9"/>
  <c r="R555" i="9"/>
  <c r="R556" i="9"/>
  <c r="R557" i="9"/>
  <c r="R558" i="9"/>
  <c r="R559" i="9"/>
  <c r="R560" i="9"/>
  <c r="R561" i="9"/>
  <c r="R562" i="9"/>
  <c r="R563" i="9"/>
  <c r="R564" i="9"/>
  <c r="R565" i="9"/>
  <c r="R566" i="9"/>
  <c r="R567" i="9"/>
  <c r="R568" i="9"/>
  <c r="R569" i="9"/>
  <c r="R570" i="9"/>
  <c r="R571" i="9"/>
  <c r="R572" i="9"/>
  <c r="R573" i="9"/>
  <c r="R574" i="9"/>
  <c r="R575" i="9"/>
  <c r="R576" i="9"/>
  <c r="R577" i="9"/>
  <c r="R578" i="9"/>
  <c r="R579" i="9"/>
  <c r="R580" i="9"/>
  <c r="R581" i="9"/>
  <c r="R582" i="9"/>
  <c r="R583" i="9"/>
  <c r="R584" i="9"/>
  <c r="R585" i="9"/>
  <c r="R586" i="9"/>
  <c r="R587" i="9"/>
  <c r="R588" i="9"/>
  <c r="R589" i="9"/>
  <c r="R590" i="9"/>
  <c r="R591" i="9"/>
  <c r="R592" i="9"/>
  <c r="R593" i="9"/>
  <c r="R594" i="9"/>
  <c r="R595" i="9"/>
  <c r="R596" i="9"/>
  <c r="R597" i="9"/>
  <c r="R598" i="9"/>
  <c r="R599" i="9"/>
  <c r="R600" i="9"/>
  <c r="R601" i="9"/>
  <c r="R602" i="9"/>
  <c r="R603" i="9"/>
  <c r="R604" i="9"/>
  <c r="R605" i="9"/>
  <c r="R606" i="9"/>
  <c r="R607" i="9"/>
  <c r="R608" i="9"/>
  <c r="R609" i="9"/>
  <c r="R610" i="9"/>
  <c r="R611" i="9"/>
  <c r="R612" i="9"/>
  <c r="R613" i="9"/>
  <c r="R614" i="9"/>
  <c r="R615" i="9"/>
  <c r="R616" i="9"/>
  <c r="R617" i="9"/>
  <c r="R618" i="9"/>
  <c r="R619" i="9"/>
  <c r="R620" i="9"/>
  <c r="R621" i="9"/>
  <c r="R622" i="9"/>
  <c r="R623" i="9"/>
  <c r="R624" i="9"/>
  <c r="R625" i="9"/>
  <c r="R626" i="9"/>
  <c r="R627" i="9"/>
  <c r="R628" i="9"/>
  <c r="R629" i="9"/>
  <c r="R630" i="9"/>
  <c r="R631" i="9"/>
  <c r="R632" i="9"/>
  <c r="R633" i="9"/>
  <c r="R634" i="9"/>
  <c r="R635" i="9"/>
  <c r="R636" i="9"/>
  <c r="R637" i="9"/>
  <c r="R638" i="9"/>
  <c r="R639" i="9"/>
  <c r="R640" i="9"/>
  <c r="R641" i="9"/>
  <c r="R642" i="9"/>
  <c r="R643" i="9"/>
  <c r="R644" i="9"/>
  <c r="R645" i="9"/>
  <c r="R646" i="9"/>
  <c r="R647" i="9"/>
  <c r="R648" i="9"/>
  <c r="R649" i="9"/>
  <c r="R650" i="9"/>
  <c r="R651" i="9"/>
  <c r="R652" i="9"/>
  <c r="R653" i="9"/>
  <c r="R654" i="9"/>
  <c r="R655" i="9"/>
  <c r="R656" i="9"/>
  <c r="R657" i="9"/>
  <c r="R658" i="9"/>
  <c r="R659" i="9"/>
  <c r="R660" i="9"/>
  <c r="R661" i="9"/>
  <c r="R662" i="9"/>
  <c r="R663" i="9"/>
  <c r="R664" i="9"/>
  <c r="R665" i="9"/>
  <c r="R666" i="9"/>
  <c r="R667" i="9"/>
  <c r="R668" i="9"/>
  <c r="R669" i="9"/>
  <c r="R670" i="9"/>
  <c r="R671" i="9"/>
  <c r="R672" i="9"/>
  <c r="R673" i="9"/>
  <c r="R674" i="9"/>
  <c r="R675" i="9"/>
  <c r="R676" i="9"/>
  <c r="R677" i="9"/>
  <c r="R678" i="9"/>
  <c r="R679" i="9"/>
  <c r="R680" i="9"/>
  <c r="R681" i="9"/>
  <c r="R682" i="9"/>
  <c r="R683" i="9"/>
  <c r="R684" i="9"/>
  <c r="R685" i="9"/>
  <c r="R686" i="9"/>
  <c r="R687" i="9"/>
  <c r="R688" i="9"/>
  <c r="R689" i="9"/>
  <c r="R690" i="9"/>
  <c r="R691" i="9"/>
  <c r="R692" i="9"/>
  <c r="R693" i="9"/>
  <c r="R694" i="9"/>
  <c r="R695" i="9"/>
  <c r="R696" i="9"/>
  <c r="R697" i="9"/>
  <c r="R698" i="9"/>
  <c r="R699" i="9"/>
  <c r="R700" i="9"/>
  <c r="R701" i="9"/>
  <c r="R702" i="9"/>
  <c r="R703" i="9"/>
  <c r="R704" i="9"/>
  <c r="R705" i="9"/>
  <c r="R706" i="9"/>
  <c r="R707" i="9"/>
  <c r="R708" i="9"/>
  <c r="R709" i="9"/>
  <c r="R710" i="9"/>
  <c r="R711" i="9"/>
  <c r="R712" i="9"/>
  <c r="R3" i="6" l="1"/>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2" i="6"/>
  <c r="S4" i="6" l="1"/>
  <c r="S7" i="6"/>
  <c r="S8" i="6"/>
  <c r="S11" i="6"/>
  <c r="S13" i="6"/>
  <c r="S14" i="6"/>
  <c r="S15" i="6"/>
  <c r="S16" i="6"/>
  <c r="S17" i="6"/>
  <c r="S18" i="6"/>
  <c r="S19" i="6"/>
  <c r="S20" i="6"/>
  <c r="S21" i="6"/>
  <c r="S22" i="6"/>
  <c r="S23" i="6"/>
  <c r="S25" i="6"/>
  <c r="S26" i="6"/>
  <c r="S27" i="6"/>
  <c r="S28" i="6"/>
  <c r="S30" i="6"/>
  <c r="S31" i="6"/>
  <c r="S32" i="6"/>
  <c r="S33" i="6"/>
  <c r="S37" i="6"/>
  <c r="S38" i="6"/>
  <c r="S39" i="6"/>
  <c r="S40" i="6"/>
  <c r="S42" i="6"/>
  <c r="S43" i="6"/>
  <c r="S44" i="6"/>
  <c r="S45" i="6"/>
  <c r="S46" i="6"/>
  <c r="S47" i="6"/>
  <c r="S49" i="6"/>
  <c r="S50" i="6"/>
  <c r="S52" i="6"/>
  <c r="S54" i="6"/>
  <c r="S55" i="6"/>
  <c r="S56" i="6"/>
  <c r="S57" i="6"/>
  <c r="S58" i="6"/>
  <c r="S59" i="6"/>
  <c r="S61" i="6"/>
  <c r="S62" i="6"/>
  <c r="S63" i="6"/>
  <c r="S64" i="6"/>
  <c r="S66" i="6"/>
  <c r="S67" i="6"/>
  <c r="S68" i="6"/>
  <c r="S69" i="6"/>
  <c r="S70" i="6"/>
  <c r="S71" i="6"/>
  <c r="S72" i="6"/>
  <c r="S73" i="6"/>
  <c r="S74" i="6"/>
  <c r="S75" i="6"/>
  <c r="S76" i="6"/>
  <c r="S77" i="6"/>
  <c r="S78" i="6"/>
  <c r="S79" i="6"/>
  <c r="S80" i="6"/>
  <c r="S81" i="6"/>
  <c r="S82" i="6"/>
  <c r="S83"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9" i="6"/>
  <c r="S12" i="6"/>
  <c r="S24" i="6"/>
  <c r="S29" i="6"/>
  <c r="S34" i="6"/>
  <c r="S35" i="6"/>
  <c r="S36" i="6"/>
  <c r="S41" i="6"/>
  <c r="S48" i="6"/>
  <c r="S51" i="6"/>
  <c r="S53" i="6"/>
  <c r="S60" i="6"/>
  <c r="S65" i="6"/>
  <c r="S84" i="6"/>
  <c r="S2" i="6"/>
  <c r="S3" i="6"/>
  <c r="S5" i="6"/>
  <c r="S6" i="6"/>
  <c r="S10" i="6"/>
  <c r="R3" i="5" l="1"/>
  <c r="S3" i="5" s="1"/>
  <c r="R4" i="5"/>
  <c r="S4" i="5" s="1"/>
  <c r="R5" i="5"/>
  <c r="S5" i="5" s="1"/>
  <c r="R6" i="5"/>
  <c r="S6" i="5" s="1"/>
  <c r="R7" i="5"/>
  <c r="S7" i="5" s="1"/>
  <c r="R8" i="5"/>
  <c r="S8" i="5" s="1"/>
  <c r="R9" i="5"/>
  <c r="S9" i="5" s="1"/>
  <c r="R10" i="5"/>
  <c r="S10" i="5" s="1"/>
  <c r="R11" i="5"/>
  <c r="S11" i="5" s="1"/>
  <c r="R12" i="5"/>
  <c r="S12" i="5" s="1"/>
  <c r="R13" i="5"/>
  <c r="S13" i="5" s="1"/>
  <c r="R14" i="5"/>
  <c r="S14" i="5" s="1"/>
  <c r="R15" i="5"/>
  <c r="S15" i="5" s="1"/>
  <c r="R16" i="5"/>
  <c r="S16" i="5" s="1"/>
  <c r="R17" i="5"/>
  <c r="S17" i="5" s="1"/>
  <c r="R18" i="5"/>
  <c r="S18" i="5" s="1"/>
  <c r="R19" i="5"/>
  <c r="S19" i="5" s="1"/>
  <c r="R20" i="5"/>
  <c r="S20" i="5" s="1"/>
  <c r="R21" i="5"/>
  <c r="S21" i="5" s="1"/>
  <c r="R22" i="5"/>
  <c r="S22" i="5" s="1"/>
  <c r="R23" i="5"/>
  <c r="S23" i="5" s="1"/>
  <c r="R24" i="5"/>
  <c r="S24" i="5" s="1"/>
  <c r="R25" i="5"/>
  <c r="S25" i="5" s="1"/>
  <c r="R26" i="5"/>
  <c r="S26" i="5" s="1"/>
  <c r="R27" i="5"/>
  <c r="S27" i="5" s="1"/>
  <c r="R28" i="5"/>
  <c r="S28" i="5" s="1"/>
  <c r="R29" i="5"/>
  <c r="S29" i="5" s="1"/>
  <c r="R30" i="5"/>
  <c r="S30" i="5" s="1"/>
  <c r="R31" i="5"/>
  <c r="S31" i="5" s="1"/>
  <c r="R32" i="5"/>
  <c r="S32" i="5" s="1"/>
  <c r="R33" i="5"/>
  <c r="S33" i="5" s="1"/>
  <c r="R34" i="5"/>
  <c r="S34" i="5" s="1"/>
  <c r="R35" i="5"/>
  <c r="S35" i="5" s="1"/>
  <c r="R36" i="5"/>
  <c r="S36" i="5" s="1"/>
  <c r="R37" i="5"/>
  <c r="S37" i="5" s="1"/>
  <c r="R38" i="5"/>
  <c r="S38" i="5" s="1"/>
  <c r="R39" i="5"/>
  <c r="S39" i="5" s="1"/>
  <c r="R40" i="5"/>
  <c r="S40" i="5" s="1"/>
  <c r="R41" i="5"/>
  <c r="S41" i="5" s="1"/>
  <c r="R42" i="5"/>
  <c r="S42" i="5" s="1"/>
  <c r="R43" i="5"/>
  <c r="S43" i="5" s="1"/>
  <c r="R44" i="5"/>
  <c r="S44" i="5" s="1"/>
  <c r="R45" i="5"/>
  <c r="S45" i="5" s="1"/>
  <c r="R46" i="5"/>
  <c r="S46" i="5" s="1"/>
  <c r="R47" i="5"/>
  <c r="S47" i="5" s="1"/>
  <c r="R48" i="5"/>
  <c r="S48" i="5" s="1"/>
  <c r="R49" i="5"/>
  <c r="S49" i="5" s="1"/>
  <c r="R50" i="5"/>
  <c r="S50" i="5" s="1"/>
  <c r="R51" i="5"/>
  <c r="S51" i="5" s="1"/>
  <c r="R52" i="5"/>
  <c r="S52" i="5" s="1"/>
  <c r="R53" i="5"/>
  <c r="S53" i="5" s="1"/>
  <c r="R54" i="5"/>
  <c r="S54" i="5" s="1"/>
  <c r="R55" i="5"/>
  <c r="S55" i="5" s="1"/>
  <c r="R56" i="5"/>
  <c r="S56" i="5" s="1"/>
  <c r="R57" i="5"/>
  <c r="S57" i="5" s="1"/>
  <c r="R58" i="5"/>
  <c r="S58" i="5" s="1"/>
  <c r="R59" i="5"/>
  <c r="S59" i="5" s="1"/>
  <c r="R60" i="5"/>
  <c r="S60" i="5" s="1"/>
  <c r="R61" i="5"/>
  <c r="S61" i="5" s="1"/>
  <c r="R62" i="5"/>
  <c r="S62" i="5" s="1"/>
  <c r="R63" i="5"/>
  <c r="S63" i="5" s="1"/>
  <c r="R64" i="5"/>
  <c r="S64" i="5" s="1"/>
  <c r="R65" i="5"/>
  <c r="S65" i="5" s="1"/>
  <c r="R66" i="5"/>
  <c r="S66" i="5" s="1"/>
  <c r="R67" i="5"/>
  <c r="S67" i="5" s="1"/>
  <c r="R68" i="5"/>
  <c r="S68" i="5" s="1"/>
  <c r="R69" i="5"/>
  <c r="S69" i="5" s="1"/>
  <c r="R70" i="5"/>
  <c r="S70" i="5" s="1"/>
  <c r="R71" i="5"/>
  <c r="S71" i="5" s="1"/>
  <c r="R72" i="5"/>
  <c r="S72" i="5" s="1"/>
  <c r="R73" i="5"/>
  <c r="S73" i="5" s="1"/>
  <c r="R74" i="5"/>
  <c r="S74" i="5" s="1"/>
  <c r="R75" i="5"/>
  <c r="S75" i="5" s="1"/>
  <c r="R76" i="5"/>
  <c r="S76" i="5" s="1"/>
  <c r="R77" i="5"/>
  <c r="S77" i="5" s="1"/>
  <c r="R78" i="5"/>
  <c r="S78" i="5" s="1"/>
  <c r="R79" i="5"/>
  <c r="S79" i="5" s="1"/>
  <c r="R80" i="5"/>
  <c r="S80" i="5" s="1"/>
  <c r="R81" i="5"/>
  <c r="S81" i="5" s="1"/>
  <c r="R82" i="5"/>
  <c r="S82" i="5" s="1"/>
  <c r="R83" i="5"/>
  <c r="S83" i="5" s="1"/>
  <c r="R84" i="5"/>
  <c r="S84" i="5" s="1"/>
  <c r="R85" i="5"/>
  <c r="S85" i="5" s="1"/>
  <c r="R86" i="5"/>
  <c r="S86" i="5" s="1"/>
  <c r="R87" i="5"/>
  <c r="S87" i="5" s="1"/>
  <c r="R88" i="5"/>
  <c r="S88" i="5" s="1"/>
  <c r="R89" i="5"/>
  <c r="S89" i="5" s="1"/>
  <c r="R90" i="5"/>
  <c r="S90" i="5" s="1"/>
  <c r="R91" i="5"/>
  <c r="S91" i="5" s="1"/>
  <c r="R92" i="5"/>
  <c r="S92" i="5" s="1"/>
  <c r="R93" i="5"/>
  <c r="S93" i="5" s="1"/>
  <c r="R94" i="5"/>
  <c r="S94" i="5" s="1"/>
  <c r="R95" i="5"/>
  <c r="S95" i="5" s="1"/>
  <c r="R96" i="5"/>
  <c r="S96" i="5" s="1"/>
  <c r="R97" i="5"/>
  <c r="S97" i="5" s="1"/>
  <c r="R98" i="5"/>
  <c r="S98" i="5" s="1"/>
  <c r="R99" i="5"/>
  <c r="S99" i="5" s="1"/>
  <c r="R100" i="5"/>
  <c r="S100" i="5" s="1"/>
  <c r="R101" i="5"/>
  <c r="S101" i="5" s="1"/>
  <c r="R102" i="5"/>
  <c r="S102" i="5" s="1"/>
  <c r="R103" i="5"/>
  <c r="S103" i="5" s="1"/>
  <c r="R104" i="5"/>
  <c r="S104" i="5" s="1"/>
  <c r="R105" i="5"/>
  <c r="S105" i="5" s="1"/>
  <c r="R106" i="5"/>
  <c r="S106" i="5" s="1"/>
  <c r="R107" i="5"/>
  <c r="S107" i="5" s="1"/>
  <c r="R108" i="5"/>
  <c r="S108" i="5" s="1"/>
  <c r="R109" i="5"/>
  <c r="S109" i="5" s="1"/>
  <c r="R110" i="5"/>
  <c r="S110" i="5" s="1"/>
  <c r="R111" i="5"/>
  <c r="S111" i="5" s="1"/>
  <c r="R112" i="5"/>
  <c r="S112" i="5" s="1"/>
  <c r="R113" i="5"/>
  <c r="S113" i="5" s="1"/>
  <c r="R114" i="5"/>
  <c r="S114" i="5" s="1"/>
  <c r="R115" i="5"/>
  <c r="S115" i="5" s="1"/>
  <c r="R116" i="5"/>
  <c r="S116" i="5" s="1"/>
  <c r="R117" i="5"/>
  <c r="S117" i="5" s="1"/>
  <c r="R118" i="5"/>
  <c r="S118" i="5" s="1"/>
  <c r="R119" i="5"/>
  <c r="S119" i="5" s="1"/>
  <c r="R120" i="5"/>
  <c r="S120" i="5" s="1"/>
  <c r="R121" i="5"/>
  <c r="S121" i="5" s="1"/>
  <c r="R122" i="5"/>
  <c r="S122" i="5" s="1"/>
  <c r="R123" i="5"/>
  <c r="S123" i="5" s="1"/>
  <c r="R124" i="5"/>
  <c r="S124" i="5" s="1"/>
  <c r="R125" i="5"/>
  <c r="S125" i="5" s="1"/>
  <c r="R126" i="5"/>
  <c r="S126" i="5" s="1"/>
  <c r="R127" i="5"/>
  <c r="S127" i="5" s="1"/>
  <c r="R128" i="5"/>
  <c r="S128" i="5" s="1"/>
  <c r="R129" i="5"/>
  <c r="S129" i="5" s="1"/>
  <c r="R130" i="5"/>
  <c r="S130" i="5" s="1"/>
  <c r="R131" i="5"/>
  <c r="S131" i="5" s="1"/>
  <c r="R132" i="5"/>
  <c r="S132" i="5" s="1"/>
  <c r="R133" i="5"/>
  <c r="S133" i="5" s="1"/>
  <c r="R134" i="5"/>
  <c r="S134" i="5" s="1"/>
  <c r="R135" i="5"/>
  <c r="S135" i="5" s="1"/>
  <c r="R136" i="5"/>
  <c r="S136" i="5" s="1"/>
  <c r="R137" i="5"/>
  <c r="S137" i="5" s="1"/>
  <c r="R138" i="5"/>
  <c r="S138" i="5" s="1"/>
  <c r="R139" i="5"/>
  <c r="S139" i="5" s="1"/>
  <c r="R140" i="5"/>
  <c r="S140" i="5" s="1"/>
  <c r="R141" i="5"/>
  <c r="S141" i="5" s="1"/>
  <c r="R142" i="5"/>
  <c r="S142" i="5" s="1"/>
  <c r="R143" i="5"/>
  <c r="S143" i="5" s="1"/>
  <c r="R144" i="5"/>
  <c r="S144" i="5" s="1"/>
  <c r="R145" i="5"/>
  <c r="S145" i="5" s="1"/>
  <c r="R146" i="5"/>
  <c r="S146" i="5" s="1"/>
  <c r="R147" i="5"/>
  <c r="S147" i="5" s="1"/>
  <c r="R148" i="5"/>
  <c r="S148" i="5" s="1"/>
  <c r="R149" i="5"/>
  <c r="S149" i="5" s="1"/>
  <c r="R150" i="5"/>
  <c r="S150" i="5" s="1"/>
  <c r="R151" i="5"/>
  <c r="S151" i="5" s="1"/>
  <c r="R152" i="5"/>
  <c r="S152" i="5" s="1"/>
  <c r="R153" i="5"/>
  <c r="S153" i="5" s="1"/>
  <c r="R154" i="5"/>
  <c r="S154" i="5" s="1"/>
  <c r="R155" i="5"/>
  <c r="S155" i="5" s="1"/>
  <c r="R156" i="5"/>
  <c r="S156" i="5" s="1"/>
  <c r="R157" i="5"/>
  <c r="S157" i="5" s="1"/>
  <c r="R158" i="5"/>
  <c r="S158" i="5" s="1"/>
  <c r="R159" i="5"/>
  <c r="S159" i="5" s="1"/>
  <c r="R160" i="5"/>
  <c r="S160" i="5" s="1"/>
  <c r="R161" i="5"/>
  <c r="S161" i="5" s="1"/>
  <c r="R162" i="5"/>
  <c r="S162" i="5" s="1"/>
  <c r="R163" i="5"/>
  <c r="S163" i="5" s="1"/>
  <c r="R164" i="5"/>
  <c r="S164" i="5" s="1"/>
  <c r="R165" i="5"/>
  <c r="S165" i="5" s="1"/>
  <c r="R166" i="5"/>
  <c r="S166" i="5" s="1"/>
  <c r="R167" i="5"/>
  <c r="S167" i="5" s="1"/>
  <c r="R168" i="5"/>
  <c r="S168" i="5" s="1"/>
  <c r="R169" i="5"/>
  <c r="S169" i="5" s="1"/>
  <c r="R170" i="5"/>
  <c r="S170" i="5" s="1"/>
  <c r="R171" i="5"/>
  <c r="S171" i="5" s="1"/>
  <c r="R172" i="5"/>
  <c r="S172" i="5" s="1"/>
  <c r="R173" i="5"/>
  <c r="S173" i="5" s="1"/>
  <c r="R174" i="5"/>
  <c r="S174" i="5" s="1"/>
  <c r="R175" i="5"/>
  <c r="S175" i="5" s="1"/>
  <c r="R176" i="5"/>
  <c r="S176" i="5" s="1"/>
  <c r="R177" i="5"/>
  <c r="S177" i="5" s="1"/>
  <c r="R178" i="5"/>
  <c r="S178" i="5" s="1"/>
  <c r="R179" i="5"/>
  <c r="S179" i="5" s="1"/>
  <c r="R180" i="5"/>
  <c r="S180" i="5" s="1"/>
  <c r="R181" i="5"/>
  <c r="S181" i="5" s="1"/>
  <c r="R182" i="5"/>
  <c r="S182" i="5" s="1"/>
  <c r="R183" i="5"/>
  <c r="S183" i="5" s="1"/>
  <c r="R184" i="5"/>
  <c r="S184" i="5" s="1"/>
  <c r="R185" i="5"/>
  <c r="S185" i="5" s="1"/>
  <c r="R186" i="5"/>
  <c r="S186" i="5" s="1"/>
  <c r="R187" i="5"/>
  <c r="S187" i="5" s="1"/>
  <c r="R188" i="5"/>
  <c r="S188" i="5" s="1"/>
  <c r="R189" i="5"/>
  <c r="S189" i="5" s="1"/>
  <c r="R190" i="5"/>
  <c r="S190" i="5" s="1"/>
  <c r="R191" i="5"/>
  <c r="S191" i="5" s="1"/>
  <c r="R192" i="5"/>
  <c r="S192" i="5" s="1"/>
  <c r="R193" i="5"/>
  <c r="S193" i="5" s="1"/>
  <c r="R194" i="5"/>
  <c r="S194" i="5" s="1"/>
  <c r="R195" i="5"/>
  <c r="S195" i="5" s="1"/>
  <c r="R196" i="5"/>
  <c r="S196" i="5" s="1"/>
  <c r="R197" i="5"/>
  <c r="S197" i="5" s="1"/>
  <c r="R198" i="5"/>
  <c r="S198" i="5" s="1"/>
  <c r="R199" i="5"/>
  <c r="S199" i="5" s="1"/>
  <c r="R200" i="5"/>
  <c r="S200" i="5" s="1"/>
  <c r="R201" i="5"/>
  <c r="S201" i="5" s="1"/>
  <c r="R202" i="5"/>
  <c r="S202" i="5" s="1"/>
  <c r="R203" i="5"/>
  <c r="S203" i="5" s="1"/>
  <c r="R204" i="5"/>
  <c r="S204" i="5" s="1"/>
  <c r="R205" i="5"/>
  <c r="S205" i="5" s="1"/>
  <c r="R206" i="5"/>
  <c r="S206" i="5" s="1"/>
  <c r="R207" i="5"/>
  <c r="S207" i="5" s="1"/>
  <c r="R208" i="5"/>
  <c r="S208" i="5" s="1"/>
  <c r="R209" i="5"/>
  <c r="S209" i="5" s="1"/>
  <c r="R210" i="5"/>
  <c r="S210" i="5" s="1"/>
  <c r="R211" i="5"/>
  <c r="S211" i="5" s="1"/>
  <c r="R212" i="5"/>
  <c r="S212" i="5" s="1"/>
  <c r="R213" i="5"/>
  <c r="S213" i="5" s="1"/>
  <c r="R214" i="5"/>
  <c r="S214" i="5" s="1"/>
  <c r="R215" i="5"/>
  <c r="S215" i="5" s="1"/>
  <c r="R216" i="5"/>
  <c r="S216" i="5" s="1"/>
  <c r="R217" i="5"/>
  <c r="S217" i="5" s="1"/>
  <c r="R218" i="5"/>
  <c r="S218" i="5" s="1"/>
  <c r="R219" i="5"/>
  <c r="S219" i="5" s="1"/>
  <c r="R220" i="5"/>
  <c r="S220" i="5" s="1"/>
  <c r="R221" i="5"/>
  <c r="S221" i="5" s="1"/>
  <c r="R222" i="5"/>
  <c r="S222" i="5" s="1"/>
  <c r="R223" i="5"/>
  <c r="S223" i="5" s="1"/>
  <c r="R224" i="5"/>
  <c r="S224" i="5" s="1"/>
  <c r="R225" i="5"/>
  <c r="S225" i="5" s="1"/>
  <c r="R226" i="5"/>
  <c r="S226" i="5" s="1"/>
  <c r="R227" i="5"/>
  <c r="S227" i="5" s="1"/>
  <c r="R228" i="5"/>
  <c r="S228" i="5" s="1"/>
  <c r="R229" i="5"/>
  <c r="S229" i="5" s="1"/>
  <c r="R230" i="5"/>
  <c r="S230" i="5" s="1"/>
  <c r="R231" i="5"/>
  <c r="S231" i="5" s="1"/>
  <c r="R232" i="5"/>
  <c r="S232" i="5" s="1"/>
  <c r="R233" i="5"/>
  <c r="S233" i="5" s="1"/>
  <c r="R234" i="5"/>
  <c r="S234" i="5" s="1"/>
  <c r="R235" i="5"/>
  <c r="S235" i="5" s="1"/>
  <c r="R236" i="5"/>
  <c r="S236" i="5" s="1"/>
  <c r="R237" i="5"/>
  <c r="S237" i="5" s="1"/>
  <c r="R238" i="5"/>
  <c r="S238" i="5" s="1"/>
  <c r="R239" i="5"/>
  <c r="S239" i="5" s="1"/>
  <c r="R240" i="5"/>
  <c r="S240" i="5" s="1"/>
  <c r="R241" i="5"/>
  <c r="S241" i="5" s="1"/>
  <c r="R242" i="5"/>
  <c r="S242" i="5" s="1"/>
  <c r="R243" i="5"/>
  <c r="S243" i="5" s="1"/>
  <c r="R244" i="5"/>
  <c r="S244" i="5" s="1"/>
  <c r="R245" i="5"/>
  <c r="S245" i="5" s="1"/>
  <c r="R246" i="5"/>
  <c r="S246" i="5" s="1"/>
  <c r="R247" i="5"/>
  <c r="S247" i="5" s="1"/>
  <c r="R248" i="5"/>
  <c r="S248" i="5" s="1"/>
  <c r="R249" i="5"/>
  <c r="S249" i="5" s="1"/>
  <c r="R250" i="5"/>
  <c r="S250" i="5" s="1"/>
  <c r="R251" i="5"/>
  <c r="S251" i="5" s="1"/>
  <c r="R252" i="5"/>
  <c r="S252" i="5" s="1"/>
  <c r="R253" i="5"/>
  <c r="S253" i="5" s="1"/>
  <c r="R254" i="5"/>
  <c r="S254" i="5" s="1"/>
  <c r="R255" i="5"/>
  <c r="S255" i="5" s="1"/>
  <c r="R256" i="5"/>
  <c r="S256" i="5" s="1"/>
  <c r="R257" i="5"/>
  <c r="S257" i="5" s="1"/>
  <c r="R258" i="5"/>
  <c r="S258" i="5" s="1"/>
  <c r="R259" i="5"/>
  <c r="S259" i="5" s="1"/>
  <c r="R260" i="5"/>
  <c r="S260" i="5" s="1"/>
  <c r="R261" i="5"/>
  <c r="S261" i="5" s="1"/>
  <c r="R262" i="5"/>
  <c r="S262" i="5" s="1"/>
  <c r="R263" i="5"/>
  <c r="S263" i="5" s="1"/>
  <c r="R264" i="5"/>
  <c r="S264" i="5" s="1"/>
  <c r="R265" i="5"/>
  <c r="S265" i="5" s="1"/>
  <c r="R266" i="5"/>
  <c r="S266" i="5" s="1"/>
  <c r="R267" i="5"/>
  <c r="S267" i="5" s="1"/>
  <c r="R268" i="5"/>
  <c r="S268" i="5" s="1"/>
  <c r="R269" i="5"/>
  <c r="S269" i="5" s="1"/>
  <c r="R270" i="5"/>
  <c r="S270" i="5" s="1"/>
  <c r="R271" i="5"/>
  <c r="S271" i="5" s="1"/>
  <c r="R272" i="5"/>
  <c r="S272" i="5" s="1"/>
  <c r="R273" i="5"/>
  <c r="S273" i="5" s="1"/>
  <c r="R274" i="5"/>
  <c r="S274" i="5" s="1"/>
  <c r="R275" i="5"/>
  <c r="S275" i="5" s="1"/>
  <c r="R276" i="5"/>
  <c r="S276" i="5" s="1"/>
  <c r="R277" i="5"/>
  <c r="S277" i="5" s="1"/>
  <c r="R278" i="5"/>
  <c r="S278" i="5" s="1"/>
  <c r="R279" i="5"/>
  <c r="S279" i="5" s="1"/>
  <c r="R280" i="5"/>
  <c r="S280" i="5" s="1"/>
  <c r="R281" i="5"/>
  <c r="S281" i="5" s="1"/>
  <c r="R282" i="5"/>
  <c r="S282" i="5" s="1"/>
  <c r="R283" i="5"/>
  <c r="S283" i="5" s="1"/>
  <c r="R284" i="5"/>
  <c r="S284" i="5" s="1"/>
  <c r="R285" i="5"/>
  <c r="S285" i="5" s="1"/>
  <c r="R286" i="5"/>
  <c r="S286" i="5" s="1"/>
  <c r="R287" i="5"/>
  <c r="S287" i="5" s="1"/>
  <c r="R288" i="5"/>
  <c r="S288" i="5" s="1"/>
  <c r="R289" i="5"/>
  <c r="S289" i="5" s="1"/>
  <c r="R290" i="5"/>
  <c r="S290" i="5" s="1"/>
  <c r="R291" i="5"/>
  <c r="S291" i="5" s="1"/>
  <c r="R292" i="5"/>
  <c r="S292" i="5" s="1"/>
  <c r="R293" i="5"/>
  <c r="S293" i="5" s="1"/>
  <c r="R294" i="5"/>
  <c r="S294" i="5" s="1"/>
  <c r="R295" i="5"/>
  <c r="S295" i="5" s="1"/>
  <c r="R296" i="5"/>
  <c r="S296" i="5" s="1"/>
  <c r="R297" i="5"/>
  <c r="S297" i="5" s="1"/>
  <c r="R298" i="5"/>
  <c r="S298" i="5" s="1"/>
  <c r="R299" i="5"/>
  <c r="S299" i="5" s="1"/>
  <c r="R300" i="5"/>
  <c r="S300" i="5" s="1"/>
  <c r="R301" i="5"/>
  <c r="S301" i="5" s="1"/>
  <c r="R302" i="5"/>
  <c r="S302" i="5" s="1"/>
  <c r="R303" i="5"/>
  <c r="S303" i="5" s="1"/>
  <c r="R304" i="5"/>
  <c r="S304" i="5" s="1"/>
  <c r="R305" i="5"/>
  <c r="S305" i="5" s="1"/>
  <c r="R306" i="5"/>
  <c r="S306" i="5" s="1"/>
  <c r="R307" i="5"/>
  <c r="S307" i="5" s="1"/>
  <c r="R308" i="5"/>
  <c r="S308" i="5" s="1"/>
  <c r="R309" i="5"/>
  <c r="S309" i="5" s="1"/>
  <c r="R310" i="5"/>
  <c r="S310" i="5" s="1"/>
  <c r="R311" i="5"/>
  <c r="S311" i="5" s="1"/>
  <c r="R312" i="5"/>
  <c r="S312" i="5" s="1"/>
  <c r="R313" i="5"/>
  <c r="S313" i="5" s="1"/>
  <c r="R314" i="5"/>
  <c r="S314" i="5" s="1"/>
  <c r="R315" i="5"/>
  <c r="S315" i="5" s="1"/>
  <c r="R316" i="5"/>
  <c r="S316" i="5" s="1"/>
  <c r="R317" i="5"/>
  <c r="S317" i="5" s="1"/>
  <c r="R318" i="5"/>
  <c r="S318" i="5" s="1"/>
  <c r="R319" i="5"/>
  <c r="S319" i="5" s="1"/>
  <c r="R320" i="5"/>
  <c r="S320" i="5" s="1"/>
  <c r="R321" i="5"/>
  <c r="S321" i="5" s="1"/>
  <c r="R322" i="5"/>
  <c r="S322" i="5" s="1"/>
  <c r="R323" i="5"/>
  <c r="S323" i="5" s="1"/>
  <c r="R324" i="5"/>
  <c r="S324" i="5" s="1"/>
  <c r="R325" i="5"/>
  <c r="S325" i="5" s="1"/>
  <c r="R326" i="5"/>
  <c r="S326" i="5" s="1"/>
  <c r="R327" i="5"/>
  <c r="S327" i="5" s="1"/>
  <c r="R328" i="5"/>
  <c r="S328" i="5" s="1"/>
  <c r="R329" i="5"/>
  <c r="S329" i="5" s="1"/>
  <c r="R330" i="5"/>
  <c r="S330" i="5" s="1"/>
  <c r="R331" i="5"/>
  <c r="S331" i="5" s="1"/>
  <c r="R332" i="5"/>
  <c r="S332" i="5" s="1"/>
  <c r="R333" i="5"/>
  <c r="S333" i="5" s="1"/>
  <c r="R334" i="5"/>
  <c r="S334" i="5" s="1"/>
  <c r="R335" i="5"/>
  <c r="S335" i="5" s="1"/>
  <c r="R336" i="5"/>
  <c r="S336" i="5" s="1"/>
  <c r="R337" i="5"/>
  <c r="S337" i="5" s="1"/>
  <c r="R338" i="5"/>
  <c r="S338" i="5" s="1"/>
  <c r="R339" i="5"/>
  <c r="S339" i="5" s="1"/>
  <c r="R340" i="5"/>
  <c r="S340" i="5" s="1"/>
  <c r="R341" i="5"/>
  <c r="S341" i="5" s="1"/>
  <c r="R342" i="5"/>
  <c r="S342" i="5" s="1"/>
  <c r="R343" i="5"/>
  <c r="S343" i="5" s="1"/>
  <c r="R344" i="5"/>
  <c r="S344" i="5" s="1"/>
  <c r="R345" i="5"/>
  <c r="S345" i="5" s="1"/>
  <c r="R346" i="5"/>
  <c r="S346" i="5" s="1"/>
  <c r="R347" i="5"/>
  <c r="S347" i="5" s="1"/>
  <c r="R348" i="5"/>
  <c r="S348" i="5" s="1"/>
  <c r="R349" i="5"/>
  <c r="S349" i="5" s="1"/>
  <c r="R350" i="5"/>
  <c r="S350" i="5" s="1"/>
  <c r="R351" i="5"/>
  <c r="S351" i="5" s="1"/>
  <c r="R352" i="5"/>
  <c r="S352" i="5" s="1"/>
  <c r="R353" i="5"/>
  <c r="S353" i="5" s="1"/>
  <c r="R354" i="5"/>
  <c r="S354" i="5" s="1"/>
  <c r="R355" i="5"/>
  <c r="S355" i="5" s="1"/>
  <c r="R356" i="5"/>
  <c r="S356" i="5" s="1"/>
  <c r="R357" i="5"/>
  <c r="S357" i="5" s="1"/>
  <c r="R358" i="5"/>
  <c r="S358" i="5" s="1"/>
  <c r="R359" i="5"/>
  <c r="S359" i="5" s="1"/>
  <c r="R360" i="5"/>
  <c r="S360" i="5" s="1"/>
  <c r="R361" i="5"/>
  <c r="S361" i="5" s="1"/>
  <c r="R362" i="5"/>
  <c r="S362" i="5" s="1"/>
  <c r="R363" i="5"/>
  <c r="S363" i="5" s="1"/>
  <c r="R364" i="5"/>
  <c r="S364" i="5" s="1"/>
  <c r="R365" i="5"/>
  <c r="S365" i="5" s="1"/>
  <c r="R366" i="5"/>
  <c r="S366" i="5" s="1"/>
  <c r="R367" i="5"/>
  <c r="S367" i="5" s="1"/>
  <c r="R368" i="5"/>
  <c r="S368" i="5" s="1"/>
  <c r="R369" i="5"/>
  <c r="S369" i="5" s="1"/>
  <c r="R370" i="5"/>
  <c r="S370" i="5" s="1"/>
  <c r="R371" i="5"/>
  <c r="S371" i="5" s="1"/>
  <c r="R372" i="5"/>
  <c r="S372" i="5" s="1"/>
  <c r="R373" i="5"/>
  <c r="S373" i="5" s="1"/>
  <c r="R374" i="5"/>
  <c r="S374" i="5" s="1"/>
  <c r="R375" i="5"/>
  <c r="S375" i="5" s="1"/>
  <c r="R376" i="5"/>
  <c r="S376" i="5" s="1"/>
  <c r="R377" i="5"/>
  <c r="S377" i="5" s="1"/>
  <c r="R378" i="5"/>
  <c r="S378" i="5" s="1"/>
  <c r="R379" i="5"/>
  <c r="S379" i="5" s="1"/>
  <c r="R380" i="5"/>
  <c r="S380" i="5" s="1"/>
  <c r="R381" i="5"/>
  <c r="S381" i="5" s="1"/>
  <c r="R382" i="5"/>
  <c r="S382" i="5" s="1"/>
  <c r="R383" i="5"/>
  <c r="S383" i="5" s="1"/>
  <c r="R384" i="5"/>
  <c r="S384" i="5" s="1"/>
  <c r="R385" i="5"/>
  <c r="S385" i="5" s="1"/>
  <c r="R386" i="5"/>
  <c r="S386" i="5" s="1"/>
  <c r="R387" i="5"/>
  <c r="S387" i="5" s="1"/>
  <c r="R2" i="5"/>
  <c r="S2" i="5" s="1"/>
</calcChain>
</file>

<file path=xl/sharedStrings.xml><?xml version="1.0" encoding="utf-8"?>
<sst xmlns="http://schemas.openxmlformats.org/spreadsheetml/2006/main" count="23743" uniqueCount="4664">
  <si>
    <t>nit</t>
  </si>
  <si>
    <t>resolucion</t>
  </si>
  <si>
    <t>numero_de_proceso</t>
  </si>
  <si>
    <t>enlace_secop</t>
  </si>
  <si>
    <t>numero_contrato</t>
  </si>
  <si>
    <t>numero_cdp</t>
  </si>
  <si>
    <t>numero_rp</t>
  </si>
  <si>
    <t>tipo_identificacion</t>
  </si>
  <si>
    <t>identificacion_contratista</t>
  </si>
  <si>
    <t>nombre_contratista</t>
  </si>
  <si>
    <t>rol_del_contratista</t>
  </si>
  <si>
    <t>fecha_suscripcion_contrato</t>
  </si>
  <si>
    <t>plazo_ejecucion</t>
  </si>
  <si>
    <t>fecha_inicio</t>
  </si>
  <si>
    <t>fecha_finalizacion</t>
  </si>
  <si>
    <t>objeto</t>
  </si>
  <si>
    <t>valor_contrato</t>
  </si>
  <si>
    <t>ID2177823635</t>
  </si>
  <si>
    <t>660-2024</t>
  </si>
  <si>
    <t>https://community.secop.gov.co/Public/Tendering/OpportunityDetail/Index?noticeUID=CO1.NTC.6837589</t>
  </si>
  <si>
    <t>2024-0427</t>
  </si>
  <si>
    <t>2024-1359</t>
  </si>
  <si>
    <t>CC</t>
  </si>
  <si>
    <t>1088730712</t>
  </si>
  <si>
    <t>ANGELAPATRICIABASTIDASMELO</t>
  </si>
  <si>
    <t>MEDICO</t>
  </si>
  <si>
    <t>01/10/2024</t>
  </si>
  <si>
    <t>31/12/2024</t>
  </si>
  <si>
    <t>CONTRATARLAPRESTACIONDESERVICIOSPROFESIONALESENMEDICINACONELFINDELLEVARACABOLASACTIVIDADESDESCRITASPARALOSEQUIPOSBASICOSDESALUDENELTERRITORIOASIGNADOHACIENDOENFASISENELFORTALECIMIENTODELAATENCIONPRIMARIAENSALUDENELMARCODELAIMPLEMENTACIONDELMODELODESALUDPREVENTIVOYPREDICTIVOQUEGARANTICEELDERECHOFUNDA</t>
  </si>
  <si>
    <t>ID2197624614</t>
  </si>
  <si>
    <t>449-2025</t>
  </si>
  <si>
    <t>RUBY STELLA AREVALO BASTIDAS</t>
  </si>
  <si>
    <t>OTROS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</si>
  <si>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</si>
  <si>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142-2024</t>
  </si>
  <si>
    <t>https://community.secop.gov.co/Public/Tendering/OpportunityDetail/Index?noticeUID=CO1.NTC.5945841</t>
  </si>
  <si>
    <t>2024-0167</t>
  </si>
  <si>
    <t>2024-0341</t>
  </si>
  <si>
    <t>NI</t>
  </si>
  <si>
    <t>901374717</t>
  </si>
  <si>
    <t>BIOPTICASDECOLOMBIASAS</t>
  </si>
  <si>
    <t>05/04/2024</t>
  </si>
  <si>
    <t>18/04/2024</t>
  </si>
  <si>
    <t>COMPRADEEQUIPOSBIOMEDICOSPARAEQUIPOSBASICOSENSALUDDELASDIFERENTESSEDESQUECONFORMANLASREDESPRESTADORASDESERVICIOSENSALUD</t>
  </si>
  <si>
    <t>145-2024</t>
  </si>
  <si>
    <t>https://community.secop.gov.co/Public/Tendering/OpportunityDetail/Index?noticeUID=CO1.NTC.6001943</t>
  </si>
  <si>
    <t>2024-0186</t>
  </si>
  <si>
    <t>2024-0360</t>
  </si>
  <si>
    <t>1030606749</t>
  </si>
  <si>
    <t>ANGELAEDITHGONZALEZPIANDA</t>
  </si>
  <si>
    <t>AUXILIAR DE ENFERMERIA</t>
  </si>
  <si>
    <t>16/04/2024</t>
  </si>
  <si>
    <t>16/08/2024</t>
  </si>
  <si>
    <t>CONTRATARLAPRESTACIONDESERVICIOSPROFESIONALESCOMOAUXILIARDEENFERMERIACONELFINDELLEVARACABOLASACTIVIDADESDESCRITASPARALOSEQUIPOSBASICOSDESALUDENELMICROTERRITORIOASIGNADOELDESARROLLODELAESTRATEGIADEATENCIONPRIMARIAENSALUDMEDIANTELAVISITADOMICILIARIADELAPOBLACIONDELMUNICIPIODEPASTOIMPLEMENTANDOELLINEAM</t>
  </si>
  <si>
    <t>146-2024</t>
  </si>
  <si>
    <t>https://community.secop.gov.co/Public/Tendering/OpportunityDetail/Index?noticeUID=CO1.NTC.5994191</t>
  </si>
  <si>
    <t>2024-0361</t>
  </si>
  <si>
    <t>1085302942</t>
  </si>
  <si>
    <t>MARIACAMILAPAREDESTIMANA</t>
  </si>
  <si>
    <t>147-2024</t>
  </si>
  <si>
    <t>https://community.secop.gov.co/Public/Tendering/OpportunityDetail/Index?noticeUID=CO1.NTC.5999428</t>
  </si>
  <si>
    <t>2024-0362</t>
  </si>
  <si>
    <t>12961661</t>
  </si>
  <si>
    <t>VICTORHUGOQUENGUANBURBANO</t>
  </si>
  <si>
    <t>16/07/2024</t>
  </si>
  <si>
    <t>CONTRATARLAPRESTACIONDESERVICIOSPROFESIONALESCOMOPROFESIONALENMEDICINACONELFINDELLEVARACABOLASACTIVIDADESDESCRITASPARALOSEQUIPOSBASICOSDESALUDENELMICROTERRITORIOASIGNADOELDESARROLLODELAESTRATEGIADEATENCIONPRIMARIAENSALUDMEDIANTELAVISITADOMICILIARIADELAPOBLACIONDELMUNICIPIODEPASTOIMPLEMENTANDOELLINEA</t>
  </si>
  <si>
    <t>148-2024</t>
  </si>
  <si>
    <t>https://community.secop.gov.co/Public/Tendering/OpportunityDetail/Index?noticeUID=CO1.NTC.5992476</t>
  </si>
  <si>
    <t>2024-0363</t>
  </si>
  <si>
    <t>1085338534</t>
  </si>
  <si>
    <t>ANAVICTORIAORTEGAGOMEZ</t>
  </si>
  <si>
    <t>ODONTOLOGO</t>
  </si>
  <si>
    <t>CONTRATARLAPRESTACIONDESERVICIOSPROFESIONALESCOMOODONTOLOGOCONELFINDELLEVARACABOLASACTIVIDADESDESCRITASPARALOSEQUIPOSBASICOSDESALUDENELMICROTERRITORIOASIGNADOELDESARROLLODELAESTRATEGIADEATENCIONPRIMARIAENSALUDMEDIANTELAVISITADOMICILIARIADELAPOBLACIONDELMUNICIPIODEPASTOIMPLEMENTANDOELLINEAMIENTOEMITI</t>
  </si>
  <si>
    <t>149-2024</t>
  </si>
  <si>
    <t>https://community.secop.gov.co/Public/Tendering/OpportunityDetail/Index?noticeUID=CO1.NTC.5996047</t>
  </si>
  <si>
    <t>2024-0364</t>
  </si>
  <si>
    <t>1085300095</t>
  </si>
  <si>
    <t>AIDECAROLINARIASCOSECHEVERRY</t>
  </si>
  <si>
    <t>150-2024</t>
  </si>
  <si>
    <t>https://community.secop.gov.co/Public/Tendering/OpportunityDetail/Index?noticeUID=CO1.NTC.5996094</t>
  </si>
  <si>
    <t>2024-0365</t>
  </si>
  <si>
    <t>1004635031</t>
  </si>
  <si>
    <t>ASTRIDCAROLINACAICEDOLUNA</t>
  </si>
  <si>
    <t>151-2024</t>
  </si>
  <si>
    <t>https://community.secop.gov.co/Public/Tendering/OpportunityDetail/Index?noticeUID=CO1.NTC.5995353</t>
  </si>
  <si>
    <t>2024-0367</t>
  </si>
  <si>
    <t>1004234290</t>
  </si>
  <si>
    <t>LAURASOFIAROSERODAVID</t>
  </si>
  <si>
    <t>152-2024</t>
  </si>
  <si>
    <t>https://community.secop.gov.co/Public/Tendering/OpportunityDetail/Index?noticeUID=CO1.NTC.5992777</t>
  </si>
  <si>
    <t>2024-0366</t>
  </si>
  <si>
    <t>1085260497</t>
  </si>
  <si>
    <t>JOSEFERNANDOCHANAQUENGUAN</t>
  </si>
  <si>
    <t>CONTRATARLAPRESTACIONDESERVICIOSPROFESIONALESCOMOPROFESIONALENPSICOLOGIACONELFINDELLEVARACABOLASACTIVIDADESDESCRITASPARALOSEQUIPOSBASICOSDESALUDENELMICROTERRITORIOASIGNADOELDESARROLLODELAESTRATEGIADEATENCIONPRIMARIAENSALUDMEDIANTELAVISITADOMICILIARIADELAPOBLACIONDELMUNICIPIODEPASTOIMPLEMENTANDOELLIN</t>
  </si>
  <si>
    <t>153-2024</t>
  </si>
  <si>
    <t>https://community.secop.gov.co/Public/Tendering/OpportunityDetail/Index?noticeUID=CO1.NTC.5994663</t>
  </si>
  <si>
    <t>2024-0369</t>
  </si>
  <si>
    <t>1085320661</t>
  </si>
  <si>
    <t>JHEIBERBRANLLERTDULCEMUNOZ</t>
  </si>
  <si>
    <t>154-2024</t>
  </si>
  <si>
    <t>https://community.secop.gov.co/Public/Tendering/OpportunityDetail/Index?noticeUID=CO1.NTC.6001751</t>
  </si>
  <si>
    <t>2024-0368</t>
  </si>
  <si>
    <t>59821282</t>
  </si>
  <si>
    <t>JIMENADELROSARIOLOPEZMAYA</t>
  </si>
  <si>
    <t>156-2024</t>
  </si>
  <si>
    <t>https://community.secop.gov.co/Public/Tendering/OpportunityDetail/Index?noticeUID=CO1.NTC.5992251</t>
  </si>
  <si>
    <t>2024-0370</t>
  </si>
  <si>
    <t>1085332934</t>
  </si>
  <si>
    <t>NELLYVANESSAORDONEZBASTIDAS</t>
  </si>
  <si>
    <t>157-2024</t>
  </si>
  <si>
    <t>https://community.secop.gov.co/Public/Tendering/OpportunityDetail/Index?noticeUID=CO1.NTC.6000638</t>
  </si>
  <si>
    <t>2024-0372</t>
  </si>
  <si>
    <t>1233189066</t>
  </si>
  <si>
    <t>GERALDINEVIVIANAVILLOTAARTEAGA</t>
  </si>
  <si>
    <t>158-2024</t>
  </si>
  <si>
    <t>https://community.secop.gov.co/Public/Tendering/OpportunityDetail/Index?noticeUID=CO1.NTC.5996384</t>
  </si>
  <si>
    <t>2024-0373</t>
  </si>
  <si>
    <t>59830395</t>
  </si>
  <si>
    <t>SANDRALUCEROLOPEZLOPEZ</t>
  </si>
  <si>
    <t>159-2024</t>
  </si>
  <si>
    <t>https://community.secop.gov.co/Public/Tendering/OpportunityDetail/Index?noticeUID=CO1.NTC.6006848</t>
  </si>
  <si>
    <t>2024-0374</t>
  </si>
  <si>
    <t>1085317833</t>
  </si>
  <si>
    <t>ANGIEVIVIANASACANAMBUYPAZ</t>
  </si>
  <si>
    <t>160-2024</t>
  </si>
  <si>
    <t>https://community.secop.gov.co/Public/Tendering/OpportunityDetail/Index?noticeUID=CO1.NTC.5998536</t>
  </si>
  <si>
    <t>2024-0375</t>
  </si>
  <si>
    <t>13070330</t>
  </si>
  <si>
    <t>ELDERALFREDOCAMPANAIMBAQUIN</t>
  </si>
  <si>
    <t>17/04/2024</t>
  </si>
  <si>
    <t>17/08/2024</t>
  </si>
  <si>
    <t>161-2024</t>
  </si>
  <si>
    <t>https://community.secop.gov.co/Public/Tendering/OpportunityDetail/Index?noticeUID=CO1.NTC.6007444</t>
  </si>
  <si>
    <t>2024-0376</t>
  </si>
  <si>
    <t>1193385736</t>
  </si>
  <si>
    <t>JHONNYALEXANDERSEPULVEDADUERO</t>
  </si>
  <si>
    <t>162-2024</t>
  </si>
  <si>
    <t>https://community.secop.gov.co/Public/Tendering/OpportunityDetail/Index?noticeUID=CO1.NTC.6007242</t>
  </si>
  <si>
    <t>2024-0377</t>
  </si>
  <si>
    <t>1085327701</t>
  </si>
  <si>
    <t>MARIAJOSELEITONZUTTA</t>
  </si>
  <si>
    <t>163-2024</t>
  </si>
  <si>
    <t>https://community.secop.gov.co/Public/Tendering/OpportunityDetail/Index?noticeUID=CO1.NTC.6008106</t>
  </si>
  <si>
    <t>2024-0378</t>
  </si>
  <si>
    <t>59834953</t>
  </si>
  <si>
    <t>PATRICIAYOLANDAPAZDELGADO</t>
  </si>
  <si>
    <t>164-2024</t>
  </si>
  <si>
    <t>https://community.secop.gov.co/Public/Tendering/OpportunityDetail/Index?noticeUID=CO1.NTC.5995740</t>
  </si>
  <si>
    <t>2024-0379</t>
  </si>
  <si>
    <t>1085291221</t>
  </si>
  <si>
    <t>ELIZABETHALEJANDRATOBARMORAN</t>
  </si>
  <si>
    <t>NUTRICIONISTA</t>
  </si>
  <si>
    <t>CONTRATARLAPRESTACIONDESERVICIOSPROFESIONALESCOMONUTRICIONISTADIETISTACONELFINDELLEVARACABOLASACTIVIDADESDESCRITASPARALOSEQUIPOSBASICOSDESALUDENELMICROTERRITORIOASIGNADOELDESARROLLODELAESTRATEGIADEATENCIONPRIMARIAENSALUDMEDIANTELAVISITADOMICILIARIADELAPOBLACIONDELMUNICIPIODEPASTOIMPLEMENTANDOELLINEA</t>
  </si>
  <si>
    <t>165-2024</t>
  </si>
  <si>
    <t>https://community.secop.gov.co/Public/Tendering/OpportunityDetail/Index?noticeUID=CO1.NTC.6005338</t>
  </si>
  <si>
    <t>2024-0380</t>
  </si>
  <si>
    <t>1085286725</t>
  </si>
  <si>
    <t>DIANACAROLINAORTEGACAICEDO</t>
  </si>
  <si>
    <t>166-2024</t>
  </si>
  <si>
    <t>https://community.secop.gov.co/Public/Tendering/OpportunityDetail/Index?noticeUID=CO1.NTC.5996578</t>
  </si>
  <si>
    <t>2024-0381</t>
  </si>
  <si>
    <t>1085325342</t>
  </si>
  <si>
    <t>JORGELUISCARVAJALGUACHAVEZ</t>
  </si>
  <si>
    <t>167-2024</t>
  </si>
  <si>
    <t>https://community.secop.gov.co/Public/Tendering/OpportunityDetail/Index?noticeUID=CO1.NTC.5996226</t>
  </si>
  <si>
    <t>2024-0382</t>
  </si>
  <si>
    <t>97470681</t>
  </si>
  <si>
    <t>FERNANDOROSEROPATINO</t>
  </si>
  <si>
    <t>JEFE DE ENFERMERIA</t>
  </si>
  <si>
    <t>C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t>
  </si>
  <si>
    <t>168-2024</t>
  </si>
  <si>
    <t>https://community.secop.gov.co/Public/Tendering/OpportunityDetail/Index?noticeUID=CO1.NTC.6002072</t>
  </si>
  <si>
    <t>2024-0383</t>
  </si>
  <si>
    <t>27087122</t>
  </si>
  <si>
    <t>MARITZAROCIOOLIVACUZ</t>
  </si>
  <si>
    <t>169-2024</t>
  </si>
  <si>
    <t>https://community.secop.gov.co/Public/Tendering/OpportunityDetail/Index?noticeUID=CO1.NTC.6006799</t>
  </si>
  <si>
    <t>2024-0384</t>
  </si>
  <si>
    <t>1088599676</t>
  </si>
  <si>
    <t>DANIELGERARDOERAZOOVIEDO</t>
  </si>
  <si>
    <t>170-2024</t>
  </si>
  <si>
    <t>https://community.secop.gov.co/Public/Tendering/OpportunityDetail/Index?noticeUID=CO1.NTC.6007240</t>
  </si>
  <si>
    <t>2024-0392</t>
  </si>
  <si>
    <t>37082349</t>
  </si>
  <si>
    <t>PAULAXIMENACHAVESPASMINO</t>
  </si>
  <si>
    <t>171-2024</t>
  </si>
  <si>
    <t>https://community.secop.gov.co/Public/Tendering/OpportunityDetail/Index?noticeUID=CO1.NTC.6007514</t>
  </si>
  <si>
    <t>2024-0385</t>
  </si>
  <si>
    <t>1085288636</t>
  </si>
  <si>
    <t>DIANASOFIAAYALADIAZ</t>
  </si>
  <si>
    <t>173-2024</t>
  </si>
  <si>
    <t>https://community.secop.gov.co/Public/Tendering/OpportunityDetail/Index?noticeUID=CO1.NTC.6001455</t>
  </si>
  <si>
    <t>2024-0387</t>
  </si>
  <si>
    <t>1004410201</t>
  </si>
  <si>
    <t>JAIROALBERTOMAIGUALMIRAMAG</t>
  </si>
  <si>
    <t>174-2024</t>
  </si>
  <si>
    <t>https://community.secop.gov.co/Public/Tendering/OpportunityDetail/Index?noticeUID=CO1.NTC.6005715</t>
  </si>
  <si>
    <t>2024-0388</t>
  </si>
  <si>
    <t>175-2024</t>
  </si>
  <si>
    <t>https://community.secop.gov.co/Public/Tendering/OpportunityDetail/Index?noticeUID=CO1.NTC.6002485</t>
  </si>
  <si>
    <t>2024-0389</t>
  </si>
  <si>
    <t>1085318688</t>
  </si>
  <si>
    <t>DARLLYROXANAROSEROTIMARAN</t>
  </si>
  <si>
    <t>176-2024</t>
  </si>
  <si>
    <t>https://community.secop.gov.co/Public/Tendering/OpportunityDetail/Index?noticeUID=CO1.NTC.5998977</t>
  </si>
  <si>
    <t>2024-0390</t>
  </si>
  <si>
    <t>1085329230</t>
  </si>
  <si>
    <t>MEHILINNATALIAQUIMBIAMBAORTIZ</t>
  </si>
  <si>
    <t>18/08/2024</t>
  </si>
  <si>
    <t>177-2024</t>
  </si>
  <si>
    <t>https://community.secop.gov.co/Public/Tendering/OpportunityDetail/Index?noticeUID=CO1.NTC.6003104</t>
  </si>
  <si>
    <t>2024-0391</t>
  </si>
  <si>
    <t>37084285</t>
  </si>
  <si>
    <t>JULIEANDREAFREIREMIER</t>
  </si>
  <si>
    <t>178-2024</t>
  </si>
  <si>
    <t>https://community.secop.gov.co/Public/Tendering/OpportunityDetail/Index?noticeUID=CO1.NTC.6007952</t>
  </si>
  <si>
    <t>2024-0393</t>
  </si>
  <si>
    <t>1007356378</t>
  </si>
  <si>
    <t>NAYIBIJANEDMELODELGADO</t>
  </si>
  <si>
    <t>19/04/2024</t>
  </si>
  <si>
    <t>19/08/2024</t>
  </si>
  <si>
    <t>179-2024</t>
  </si>
  <si>
    <t>https://community.secop.gov.co/Public/Tendering/OpportunityDetail/Index?noticeUID=CO1.NTC.6013041</t>
  </si>
  <si>
    <t>2024-0394</t>
  </si>
  <si>
    <t>59816986</t>
  </si>
  <si>
    <t>INESMERCEDESLOPEZTORRES</t>
  </si>
  <si>
    <t>20/04/2024</t>
  </si>
  <si>
    <t>20/07/2024</t>
  </si>
  <si>
    <t>180-2024</t>
  </si>
  <si>
    <t>https://community.secop.gov.co/Public/Tendering/OpportunityDetail/Index?noticeUID=CO1.NTC.6018934</t>
  </si>
  <si>
    <t>2024-0395</t>
  </si>
  <si>
    <t>59312865</t>
  </si>
  <si>
    <t>DIANACAROLINACORTESTAPIA</t>
  </si>
  <si>
    <t>22/04/2024</t>
  </si>
  <si>
    <t>22/07/2024</t>
  </si>
  <si>
    <t>181-2024</t>
  </si>
  <si>
    <t>https://community.secop.gov.co/Public/Tendering/OpportunityDetail/Index?noticeUID=CO1.NTC.6028823</t>
  </si>
  <si>
    <t>2024-0396</t>
  </si>
  <si>
    <t>37013610</t>
  </si>
  <si>
    <t>MARIAIDERCASANOVABURBANO</t>
  </si>
  <si>
    <t>27/04/2024</t>
  </si>
  <si>
    <t>27/07/2024</t>
  </si>
  <si>
    <t>182-2024</t>
  </si>
  <si>
    <t>https://community.secop.gov.co/Public/Tendering/OpportunityDetail/Index?noticeUID=CO1.NTC.6028945</t>
  </si>
  <si>
    <t>2024-0397</t>
  </si>
  <si>
    <t>1085344082</t>
  </si>
  <si>
    <t>NATALIALIZETHAGUIRRESALAZAR</t>
  </si>
  <si>
    <t>183-2024</t>
  </si>
  <si>
    <t>https://community.secop.gov.co/Public/Tendering/OpportunityDetail/Index?noticeUID=CO1.NTC.6018193</t>
  </si>
  <si>
    <t>2024-0398</t>
  </si>
  <si>
    <t>36951002</t>
  </si>
  <si>
    <t>NANCYVISITACIONCHAMORROCUAICHAR</t>
  </si>
  <si>
    <t>184-2024</t>
  </si>
  <si>
    <t>https://community.secop.gov.co/Public/Tendering/OpportunityDetail/Index?noticeUID=CO1.NTC.6024442</t>
  </si>
  <si>
    <t>2024-0399</t>
  </si>
  <si>
    <t>59824313</t>
  </si>
  <si>
    <t>FANYLUCELYRODRIGUEZCRIOLLO</t>
  </si>
  <si>
    <t>185-2024</t>
  </si>
  <si>
    <t>https://community.secop.gov.co/Public/Tendering/OpportunityDetail/Index?noticeUID=CO1.NTC.6031189</t>
  </si>
  <si>
    <t>2024-0400</t>
  </si>
  <si>
    <t>1193224810</t>
  </si>
  <si>
    <t>EVELYNFERNANDAACOSTACHICAIZA</t>
  </si>
  <si>
    <t>186-2024</t>
  </si>
  <si>
    <t>https://community.secop.gov.co/Public/Tendering/OpportunityDetail/Index?noticeUID=CO1.NTC.6032066</t>
  </si>
  <si>
    <t>2024-0401</t>
  </si>
  <si>
    <t>87062845</t>
  </si>
  <si>
    <t>EDMERLEONARDORUALESAYALA</t>
  </si>
  <si>
    <t>22/04/2021</t>
  </si>
  <si>
    <t>187-2024</t>
  </si>
  <si>
    <t>https://community.secop.gov.co/Public/Tendering/OpportunityDetail/Index?noticeUID=CO1.NTC.6031938</t>
  </si>
  <si>
    <t>2024-0402</t>
  </si>
  <si>
    <t>1087414586</t>
  </si>
  <si>
    <t>TULYMARCELAMRALESLOPEZ</t>
  </si>
  <si>
    <t>23/04/2024</t>
  </si>
  <si>
    <t>23/07/2024</t>
  </si>
  <si>
    <t>CONTRATARLAPRESTACIONDESERVICIOSPROFESIONALESCOMOPROFESIONALENPSCOLOGIACONELFINDELLEVARACABOLASACTIVIDADESDESCRITASPARALOSEQUIPOSBASICOSDESALUDENELMICROTERRITORIOASIGNADOELDESARROLLODELAESTRATEGIADEATENCIONPRIMARIAENSALUDMEDIANTELAVISITADOMICILIARIADELAPOBLACIONDELMUNICIPIODEPASTOIMPLEMENTANDOELLINE</t>
  </si>
  <si>
    <t>188-2024</t>
  </si>
  <si>
    <t>https://community.secop.gov.co/Public/Tendering/OpportunityDetail/Index?noticeUID=CO1.NTC.6035423</t>
  </si>
  <si>
    <t>2024-0403</t>
  </si>
  <si>
    <t>36757213</t>
  </si>
  <si>
    <t>MONICADELROCIOERASORUIZ</t>
  </si>
  <si>
    <t>189-2024</t>
  </si>
  <si>
    <t>https://community.secop.gov.co/Public/Tendering/OpportunityDetail/Index?noticeUID=CO1.NTC.6029705</t>
  </si>
  <si>
    <t>2024-0405</t>
  </si>
  <si>
    <t>59837416</t>
  </si>
  <si>
    <t>RUTHINGRITHDIAZVALERO</t>
  </si>
  <si>
    <t>192-2024</t>
  </si>
  <si>
    <t>https://community.secop.gov.co/Public/Tendering/OpportunityDetail/Index?noticeUID=CO1.NTC.6041486</t>
  </si>
  <si>
    <t>2024-0407</t>
  </si>
  <si>
    <t>1085250095</t>
  </si>
  <si>
    <t>LIDIAJIMENARODRIGUEZLOZA</t>
  </si>
  <si>
    <t>193-2024</t>
  </si>
  <si>
    <t>https://community.secop.gov.co/Public/Tendering/OpportunityDetail/Index?noticeUID=CO1.NTC.6039077</t>
  </si>
  <si>
    <t>2024-0409</t>
  </si>
  <si>
    <t>30733517</t>
  </si>
  <si>
    <t>CARMENLILIANAARCINIEGAS</t>
  </si>
  <si>
    <t>24/04/2024</t>
  </si>
  <si>
    <t>24/07/2024</t>
  </si>
  <si>
    <t>194-2024</t>
  </si>
  <si>
    <t>https://community.secop.gov.co/Public/Tendering/OpportunityDetail/Index?noticeUID=CO1.NTC.6033218</t>
  </si>
  <si>
    <t>2024-0410</t>
  </si>
  <si>
    <t>1004508436</t>
  </si>
  <si>
    <t>VALERIAFERNANDACUASQUERCANTUCA</t>
  </si>
  <si>
    <t>195-2024</t>
  </si>
  <si>
    <t>https://community.secop.gov.co/Public/Tendering/OpportunityDetail/Index?noticeUID=CO1.NTC.6041803</t>
  </si>
  <si>
    <t>2024-0411</t>
  </si>
  <si>
    <t>1089242085</t>
  </si>
  <si>
    <t>DANNYYESIDDELGADOMORA</t>
  </si>
  <si>
    <t>196-2024</t>
  </si>
  <si>
    <t>https://community.secop.gov.co/Public/Tendering/OpportunityDetail/Index?noticeUID=CO1.NTC.6034234</t>
  </si>
  <si>
    <t>2024-0413</t>
  </si>
  <si>
    <t>1085254626</t>
  </si>
  <si>
    <t>CAROLINAISABELPORTILLATEPUD</t>
  </si>
  <si>
    <t>CONTRATARLAPRESTACIONDESERVICIOSPROFESIONALESENENFERMERIACONELFINDELLEVARACABOLASACTIVIDADESDESCRITASPARALOSEQUIPOSBASICOSDESALUDENELMICROTERRITORIOASIGNADOELDESARROLLODELAESTRATEGIADEATENCIONPRIMARIAENSALUDMEDIANTELAVISITADOMICILIARIADELAPOBLACIONDELMUNICIPIODEPASTOIMPLEMENTANDOELLINEAMIENTOEMITIDO</t>
  </si>
  <si>
    <t>197-2024</t>
  </si>
  <si>
    <t>https://community.secop.gov.co/Public/Tendering/OpportunityDetail/Index?noticeUID=CO1.NTC.6042321</t>
  </si>
  <si>
    <t>2024-0414</t>
  </si>
  <si>
    <t>1085337969</t>
  </si>
  <si>
    <t>SANTIAGONICOLASTULCANREGALADO</t>
  </si>
  <si>
    <t>198-2024</t>
  </si>
  <si>
    <t>https://community.secop.gov.co/Public/Tendering/OpportunityDetail/Index?noticeUID=CO1.NTC.6041733</t>
  </si>
  <si>
    <t>2024-0415</t>
  </si>
  <si>
    <t>1089244511</t>
  </si>
  <si>
    <t>DIDIERRAIMUNDOMENESESGUERRERO</t>
  </si>
  <si>
    <t>199-2024</t>
  </si>
  <si>
    <t>https://community.secop.gov.co/Public/Tendering/OpportunityDetail/Index?noticeUID=CO1.NTC.6050009</t>
  </si>
  <si>
    <t>2024-0416</t>
  </si>
  <si>
    <t>1085304670</t>
  </si>
  <si>
    <t>PAOLAANDREAVELEZBOLANOS</t>
  </si>
  <si>
    <t>25/04/2024</t>
  </si>
  <si>
    <t>25/07/2024</t>
  </si>
  <si>
    <t>200-2024</t>
  </si>
  <si>
    <t>https://community.secop.gov.co/Public/Tendering/OpportunityDetail/Index?noticeUID=CO1.NTC.6052933</t>
  </si>
  <si>
    <t>2024-0417</t>
  </si>
  <si>
    <t>1085332406</t>
  </si>
  <si>
    <t>MERCYLORENASACANAMBUYLOPEZ</t>
  </si>
  <si>
    <t>201-2024</t>
  </si>
  <si>
    <t>https://community.secop.gov.co/Public/Tendering/OpportunityDetail/Index?noticeUID=CO1.NTC.6053418</t>
  </si>
  <si>
    <t>2024-0436</t>
  </si>
  <si>
    <t>1085260568</t>
  </si>
  <si>
    <t>SONIAPATRICIAESPANATAPIA</t>
  </si>
  <si>
    <t>202-2024</t>
  </si>
  <si>
    <t>https://community.secop.gov.co/Public/Tendering/OpportunityDetail/Index?noticeUID=CO1.NTC.6057392</t>
  </si>
  <si>
    <t>2024-0437</t>
  </si>
  <si>
    <t>59820414</t>
  </si>
  <si>
    <t>CARMENPATRICIACORDOBAARTEAGA</t>
  </si>
  <si>
    <t>203-2024</t>
  </si>
  <si>
    <t>https://community.secop.gov.co/Public/Tendering/OpportunityDetail/Index?noticeUID=CO1.NTC.6057669</t>
  </si>
  <si>
    <t>2024-0438</t>
  </si>
  <si>
    <t>1085339190</t>
  </si>
  <si>
    <t>KELLYYURANYJOJOABOTINA</t>
  </si>
  <si>
    <t>25/05/2024</t>
  </si>
  <si>
    <t>204-2024</t>
  </si>
  <si>
    <t>https://community.secop.gov.co/Public/Tendering/OpportunityDetail/Index?noticeUID=CO1.NTC.6046082</t>
  </si>
  <si>
    <t>2024-0439</t>
  </si>
  <si>
    <t>36953206</t>
  </si>
  <si>
    <t>NATALAIANDREALATORRERUANO</t>
  </si>
  <si>
    <t>205-2024</t>
  </si>
  <si>
    <t>https://community.secop.gov.co/Public/Tendering/OpportunityDetail/Index?noticeUID=CO1.NTC.6041944</t>
  </si>
  <si>
    <t>2024-0440</t>
  </si>
  <si>
    <t>27087851</t>
  </si>
  <si>
    <t>ADRIANAYORLADYARMEROBURBANO</t>
  </si>
  <si>
    <t>206-2024</t>
  </si>
  <si>
    <t>https://community.secop.gov.co/Public/Tendering/OpportunityDetail/Index?noticeUID=CO1.NTC.6040773</t>
  </si>
  <si>
    <t>2024-0441</t>
  </si>
  <si>
    <t>1193202097</t>
  </si>
  <si>
    <t>VERONICASOFIAHUERTASARCNIEGAS</t>
  </si>
  <si>
    <t>207-2024</t>
  </si>
  <si>
    <t>https://community.secop.gov.co/Public/Tendering/OpportunityDetail/Index?noticeUID=CO1.NTC.6058263</t>
  </si>
  <si>
    <t>2024-0442</t>
  </si>
  <si>
    <t>1004233343</t>
  </si>
  <si>
    <t>KEVINSTEVENPANTOJACEBALLOS</t>
  </si>
  <si>
    <t>ONTRATARLAPRESTACIONDESERVICIOSPROFESIONALESCOMOPROFESIONALENENFERMERIACONELFINDELLEVARACABOLASACTIVIDADESDESCRITASPARALOSEQUIPOSBASICOSDESALUDENELMICROTERRITORIOASIGNADOELDESARROLLODELAESTRATEGIADEATENCIONPRIMARIAENSALUDMEDIANTELAVISITADOMICILIARIADELAPOBLACIONDELMUNICIPIODEPASTOIMPLEMENTANDOELLINE</t>
  </si>
  <si>
    <t>208-2024</t>
  </si>
  <si>
    <t>https://community.secop.gov.co/Public/Tendering/OpportunityDetail/Index?noticeUID=CO1.NTC.6058431</t>
  </si>
  <si>
    <t>2024-0189</t>
  </si>
  <si>
    <t>2024-0443</t>
  </si>
  <si>
    <t>98383086</t>
  </si>
  <si>
    <t>FREDDYFRANCISCOPAZMARQUEZDOTACIONESBALMER</t>
  </si>
  <si>
    <t>26/04/2024</t>
  </si>
  <si>
    <t>16/05/2024</t>
  </si>
  <si>
    <t>ADQUISICIONDECHALECOSYBANDERASCONELEMBLEMADEMISIONMEDICAPARAIDENTIFICARALOSMIEMBROSDELOSEQUIPOSBASICOSENSALUD</t>
  </si>
  <si>
    <t>209-2024</t>
  </si>
  <si>
    <t>https://community.secop.gov.co/Public/Tendering/OpportunityDetail/Index?noticeUID=CO1.NTC.6045941</t>
  </si>
  <si>
    <t>2024-0445</t>
  </si>
  <si>
    <t>1085321943</t>
  </si>
  <si>
    <t>MARIAFERNANDAINGUILANCABRERA</t>
  </si>
  <si>
    <t>26/07/2024</t>
  </si>
  <si>
    <t>210-2024</t>
  </si>
  <si>
    <t>https://community.secop.gov.co/Public/Tendering/OpportunityDetail/Index?noticeUID=CO1.NTC.6058371</t>
  </si>
  <si>
    <t>2024-0446</t>
  </si>
  <si>
    <t>1126004086</t>
  </si>
  <si>
    <t>JUANCAMILOENRIQUEZARCINIEGAS</t>
  </si>
  <si>
    <t>CONTRATARLAPRESTACIONDESERVICIOSPROFESIONALESENMEDICINACONELFINDELLEVARACABOLASACTIVIDADESDESCRITASPARALOSEQUIPOSBASICOSDESALUDENELMICROTERRITORIOASIGNADOELDESARROLLODELAESTRATEGIADEATENCIONPRIMARIAENSALUDMEDIANTELAVISITADOMICILIARIADELAPOBLACIONDELMUNICIPIODEPASTOIMPLEMENTANDOELLINEAMIENTOEMITIDOPO</t>
  </si>
  <si>
    <t>211-2024</t>
  </si>
  <si>
    <t>https://community.secop.gov.co/Public/Tendering/OpportunityDetail/Index?noticeUID=CO1.NTC.6062630</t>
  </si>
  <si>
    <t>2024-0187</t>
  </si>
  <si>
    <t>2024-0448</t>
  </si>
  <si>
    <t>900994364</t>
  </si>
  <si>
    <t>FUNDACIONCALIDADDEVIDAYESPERANZA</t>
  </si>
  <si>
    <t>30/04/2024</t>
  </si>
  <si>
    <t>14/08/2024</t>
  </si>
  <si>
    <t>PRESTACIONDESERVICIOSPARAELAPOYOALAGESTIONCOMOCOORDINACIONTECNICAADMINISTRATIVACONELFINDEAPOYARALAEJECUCIONOPERATIVADELPROYECTOFORTALECIMIENTODELAGESTIONTERRITORIALENAPSEQUIPOSBASICOSDESALUDCONFORMACIONOPERACIONYSEGUIMIENTOYPRIMORDIALMENTEDELCORRECTOFUNCIONAMIENTODELOSEQUIPOSBASICOSDESALUDEBSPROPORC</t>
  </si>
  <si>
    <t>212-2024</t>
  </si>
  <si>
    <t>https://community.secop.gov.co/Public/Tendering/OpportunityDetail/Index?noticeUID=CO1.NTC.6072914</t>
  </si>
  <si>
    <t>2024-0449</t>
  </si>
  <si>
    <t>1085286742</t>
  </si>
  <si>
    <t>VANESSAKATHERINEJOJOAARIAS</t>
  </si>
  <si>
    <t>29/04/2024</t>
  </si>
  <si>
    <t>29/07/2024</t>
  </si>
  <si>
    <t>213-2024</t>
  </si>
  <si>
    <t>https://community.secop.gov.co/Public/Tendering/OpportunityDetail/Index?noticeUID=CO1.NTC.6071875</t>
  </si>
  <si>
    <t>2024-0450</t>
  </si>
  <si>
    <t>59837608</t>
  </si>
  <si>
    <t>ALBADENISARGOTYSANTACRUZ</t>
  </si>
  <si>
    <t>214-2024</t>
  </si>
  <si>
    <t>https://community.secop.gov.co/Public/Tendering/OpportunityDetail/Index?noticeUID=CO1.NTC.6054066</t>
  </si>
  <si>
    <t>2024-0451</t>
  </si>
  <si>
    <t>1085335767</t>
  </si>
  <si>
    <t>LEIDYCRISTINARODRIGUEZLOPEZ</t>
  </si>
  <si>
    <t>30/07/2024</t>
  </si>
  <si>
    <t>215-2024</t>
  </si>
  <si>
    <t>https://community.secop.gov.co/Public/Tendering/OpportunityDetail/Index?noticeUID=CO1.NTC.6055204</t>
  </si>
  <si>
    <t>2024-0452</t>
  </si>
  <si>
    <t>1085303067</t>
  </si>
  <si>
    <t>CINDYESTEFANIEGONZALEZDELCASTILLO</t>
  </si>
  <si>
    <t>216-2024</t>
  </si>
  <si>
    <t>https://community.secop.gov.co/Public/Tendering/OpportunityDetail/Index?noticeUID=CO1.NTC.6058387</t>
  </si>
  <si>
    <t>2024-0453</t>
  </si>
  <si>
    <t>1085293619</t>
  </si>
  <si>
    <t>JERALDINEBASTIDASOCANA</t>
  </si>
  <si>
    <t>217-2024</t>
  </si>
  <si>
    <t>https://community.secop.gov.co/Public/Tendering/OpportunityDetail/Index?noticeUID=CO1.NTC.6062822</t>
  </si>
  <si>
    <t>2024-0454</t>
  </si>
  <si>
    <t>1085267184</t>
  </si>
  <si>
    <t>ANGELAPAOLABOLANOSARGOTI</t>
  </si>
  <si>
    <t>218-2024</t>
  </si>
  <si>
    <t>https://community.secop.gov.co/Public/Tendering/OpportunityDetail/Index?noticeUID=CO1.NTC.6083560</t>
  </si>
  <si>
    <t>2024-0455</t>
  </si>
  <si>
    <t>80765093</t>
  </si>
  <si>
    <t>FRANCISCORAFAELORTIZBENITEZ</t>
  </si>
  <si>
    <t>219-2024</t>
  </si>
  <si>
    <t>https://community.secop.gov.co/Public/Tendering/OpportunityDetail/Index?noticeUID=CO1.NTC.6062952</t>
  </si>
  <si>
    <t>2024-0456</t>
  </si>
  <si>
    <t>1085266584</t>
  </si>
  <si>
    <t>MARIAALEJANDRABENAVIDESAYALA</t>
  </si>
  <si>
    <t>220-2024</t>
  </si>
  <si>
    <t>https://community.secop.gov.co/Public/Tendering/OpportunityDetail/Index?noticeUID=CO1.NTC.6065547</t>
  </si>
  <si>
    <t>2024-0458</t>
  </si>
  <si>
    <t>1085283723</t>
  </si>
  <si>
    <t>DANIELALEJANDROESCOBARANDRADE</t>
  </si>
  <si>
    <t>FISIOTERAPEUTA</t>
  </si>
  <si>
    <t>03/05/2024</t>
  </si>
  <si>
    <t>03/08/2024</t>
  </si>
  <si>
    <t>CONTRATARLAPRESTACIONDESERVICIOSPROFESIONALESCOMOTERAPEUTAOCUPACIONALCONELFINDELLEVARACABOLASACTIVIDADESDESCRITASPARALOSEQUIPOSBASICOSDESALUDENELMICROTERRITORIOASIGNADOELDESARROLLODELAESTRATEGIADEATENCIONPRIMARIAENSALUDMEDIANTELAVISITADOMICILIARIADELAPOBLACIONDELMUNICIPIODEPASTOIMPLEMENTANDOELLINEAM</t>
  </si>
  <si>
    <t>221-2024</t>
  </si>
  <si>
    <t>https://community.secop.gov.co/Public/Tendering/OpportunityDetail/Index?noticeUID=CO1.NTC.6082987</t>
  </si>
  <si>
    <t>2024-0459</t>
  </si>
  <si>
    <t>1085296353</t>
  </si>
  <si>
    <t>VERONICAROXANAMORANVILLOTA</t>
  </si>
  <si>
    <t>CONTRATARLAPRESTACIONDESERVICIOSCOMOAUXILIARDEENFERMERIACONELFINDELLEVARACABOLASACTIVIDADESDESCRITASPARALOSEQUIPOSBASICOSDESALUDENELMICROTERRITORIOASIGNADOELDESARROLLODELAESTRATEGIADEATENCIONPRIMARIAENSALUDMEDIANTELAVISITADOMICILIARIADELAPOBLACIONDELMUNICIPIODEPASTOIMPLEMENTANDOELLINEAMIENTOEMITIDOP</t>
  </si>
  <si>
    <t>222-2024</t>
  </si>
  <si>
    <t>https://community.secop.gov.co/Public/Tendering/OpportunityDetail/Index?noticeUID=CO1.NTC.6083161</t>
  </si>
  <si>
    <t>2024-0457</t>
  </si>
  <si>
    <t>1085255972</t>
  </si>
  <si>
    <t>ANDREAPAOLAMONTESPANTOJA</t>
  </si>
  <si>
    <t>223-2024</t>
  </si>
  <si>
    <t>https://community.secop.gov.co/Public/Tendering/OpportunityDetail/Index?noticeUID=CO1.NTC.6086628</t>
  </si>
  <si>
    <t>2024-0460</t>
  </si>
  <si>
    <t>1085273424</t>
  </si>
  <si>
    <t>SANDRAMILENAGARCIA</t>
  </si>
  <si>
    <t>02/05/2024</t>
  </si>
  <si>
    <t>02/08/2024</t>
  </si>
  <si>
    <t>CONTRATARLAPRESTACIONDESERVICIOSPROFESIONALESENPSICOLOGIACONELFINDELLEVARACABOLASACTIVIDADESDESCRITASPARALOSEQUIPOSBASICOSDESALUDENELMICROTERRITORIOASIGNADOELDESARROLLODELAESTRATEGIADEATENCIONPRIMARIAENSALUDMEDIANTELAVISITADOMICILIARIADELAPOBLACIONDELMUNICIPIODEPASTOIMPLEMENTANDOELLINEAMIENTOEMITIDO</t>
  </si>
  <si>
    <t>228-2024</t>
  </si>
  <si>
    <t>https://community.secop.gov.co/Public/Tendering/OpportunityDetail/Index?noticeUID=CO1.NTC.6086507</t>
  </si>
  <si>
    <t>2024-0473</t>
  </si>
  <si>
    <t>1085275879</t>
  </si>
  <si>
    <t>DANIELAFERNANDAERASOVALENCIA</t>
  </si>
  <si>
    <t>06/05/2024</t>
  </si>
  <si>
    <t>06/08/2024</t>
  </si>
  <si>
    <t>229-2024</t>
  </si>
  <si>
    <t>https://community.secop.gov.co/Public/Tendering/OpportunityDetail/Index?noticeUID=CO1.NTC.6105716</t>
  </si>
  <si>
    <t>2024-0474</t>
  </si>
  <si>
    <t>59828916</t>
  </si>
  <si>
    <t>ROCIODELPILARRIVERA</t>
  </si>
  <si>
    <t>07/05/2024</t>
  </si>
  <si>
    <t>07/08/2024</t>
  </si>
  <si>
    <t>230-2024</t>
  </si>
  <si>
    <t>https://community.secop.gov.co/Public/Tendering/OpportunityDetail/Index?noticeUID=CO1.NTC.6087547</t>
  </si>
  <si>
    <t>2024-0475</t>
  </si>
  <si>
    <t>08/05/2024</t>
  </si>
  <si>
    <t>08/08/2024</t>
  </si>
  <si>
    <t>232-2024</t>
  </si>
  <si>
    <t>https://community.secop.gov.co/Public/Tendering/OpportunityDetail/Index?noticeUID=CO1.NTC.6105559</t>
  </si>
  <si>
    <t>2024-0477</t>
  </si>
  <si>
    <t>37087120</t>
  </si>
  <si>
    <t>JOHANACAROLINACAICEDOGOYES</t>
  </si>
  <si>
    <t>234-2024</t>
  </si>
  <si>
    <t>https://community.secop.gov.co/Public/Tendering/OpportunityDetail/Index?noticeUID=CO1.NTC.6105536</t>
  </si>
  <si>
    <t>2024-0479</t>
  </si>
  <si>
    <t>1085313463</t>
  </si>
  <si>
    <t>JAZMINDELCARMENNUPANBURBANO</t>
  </si>
  <si>
    <t>236-2024</t>
  </si>
  <si>
    <t>https://community.secop.gov.co/Public/Tendering/OpportunityDetail/Index?noticeUID=CO1.NTC.6101606</t>
  </si>
  <si>
    <t>2024-0483</t>
  </si>
  <si>
    <t>1085330309</t>
  </si>
  <si>
    <t>LEYDIGISELLABENAVIDESLOPEZ</t>
  </si>
  <si>
    <t>237-2024</t>
  </si>
  <si>
    <t>https://community.secop.gov.co/Public/Tendering/OpportunityDetail/Index?noticeUID=CO1.NTC.6112180</t>
  </si>
  <si>
    <t>2024-0484</t>
  </si>
  <si>
    <t>1085269530</t>
  </si>
  <si>
    <t>CLARAMARIAACOSTA</t>
  </si>
  <si>
    <t>238-2024</t>
  </si>
  <si>
    <t>https://community.secop.gov.co/Public/Tendering/OpportunityDetail/Index?noticeUID=CO1.NTC.6105518</t>
  </si>
  <si>
    <t>2024-0485</t>
  </si>
  <si>
    <t>1004709928</t>
  </si>
  <si>
    <t>DEISYANDREAMARTINEZNARVAEZ</t>
  </si>
  <si>
    <t>09/05/2024</t>
  </si>
  <si>
    <t>09/08/2024</t>
  </si>
  <si>
    <t>239-2024</t>
  </si>
  <si>
    <t>https://community.secop.gov.co/Public/Tendering/OpportunityDetail/Index?noticeUID=CO1.NTC.6109478</t>
  </si>
  <si>
    <t>2024-0486</t>
  </si>
  <si>
    <t>1004135064</t>
  </si>
  <si>
    <t>JESSICAFERNANDALAGOSDAVID</t>
  </si>
  <si>
    <t>CONTRATARLAPRESTACIONDESERVICIOSPROFESIONALESCOMOTEGNOLOGOENPROMOCIONDELASALUDCONELFINDELLEVARACABOLASACTIVIDADESDESCRITASPARALOSEQUIPOSBASICOSDESALUDENELMICROTERRITORIOASIGNADOELDESARROLLODELAESTRATEGIADEATENCIONPRIMARIAENSALUDMEDIANTELAVISITADOMICILIARIADELAPOBLACIONDELMUNICIPIODEPASTOIMPLEMENTAND</t>
  </si>
  <si>
    <t>240-2024</t>
  </si>
  <si>
    <t>https://community.secop.gov.co/Public/Tendering/OpportunityDetail/Index?noticeUID=CO1.NTC.6113378</t>
  </si>
  <si>
    <t>2024-0487</t>
  </si>
  <si>
    <t>1085321578</t>
  </si>
  <si>
    <t>CAROLSUVANYHERRERAERAZO</t>
  </si>
  <si>
    <t>242-2024</t>
  </si>
  <si>
    <t>https://community.secop.gov.co/Public/Tendering/OpportunityDetail/Index?noticeUID=CO1.NTC.6107960</t>
  </si>
  <si>
    <t>2024-0489</t>
  </si>
  <si>
    <t>1010085543</t>
  </si>
  <si>
    <t>DANIELAVANESAMONTACHEZGOMAJOA</t>
  </si>
  <si>
    <t>243-2024</t>
  </si>
  <si>
    <t>https://community.secop.gov.co/Public/Tendering/OpportunityDetail/Index?noticeUID=CO1.NTC.6109064</t>
  </si>
  <si>
    <t>2024-0491</t>
  </si>
  <si>
    <t>59310145</t>
  </si>
  <si>
    <t>EDITHANGELICALOPEZVILLARREAL</t>
  </si>
  <si>
    <t>244-2024</t>
  </si>
  <si>
    <t>https://community.secop.gov.co/Public/Tendering/OpportunityDetail/Index?noticeUID=CO1.NTC.6111804</t>
  </si>
  <si>
    <t>2024-0493</t>
  </si>
  <si>
    <t>69028150</t>
  </si>
  <si>
    <t>LYNNJANINAORTIZPAZ</t>
  </si>
  <si>
    <t>246-2024</t>
  </si>
  <si>
    <t>https://community.secop.gov.co/Public/Tendering/OpportunityDetail/Index?noticeUID=CO1.NTC.6112221</t>
  </si>
  <si>
    <t>2024-0495</t>
  </si>
  <si>
    <t>1010082397</t>
  </si>
  <si>
    <t>JAQUELINECAMILAGENOYVILLOTA</t>
  </si>
  <si>
    <t>247-2024</t>
  </si>
  <si>
    <t>https://community.secop.gov.co/Public/Tendering/OpportunityDetail/Index?noticeUID=CO1.NTC.6113339</t>
  </si>
  <si>
    <t>2024-0497</t>
  </si>
  <si>
    <t>1080040858</t>
  </si>
  <si>
    <t>YEIMYANABELYMONCAYOARTEAGA</t>
  </si>
  <si>
    <t>249-2024</t>
  </si>
  <si>
    <t>https://community.secop.gov.co/Public/Tendering/OpportunityDetail/Index?noticeUID=CO1.NTC.6112743</t>
  </si>
  <si>
    <t>2024-0499</t>
  </si>
  <si>
    <t>59830040</t>
  </si>
  <si>
    <t>ANACLEMENCIABASTIDASCERON</t>
  </si>
  <si>
    <t>250-2024</t>
  </si>
  <si>
    <t>https://community.secop.gov.co/Public/Tendering/OpportunityDetail/Index?noticeUID=CO1.NTC.6113506</t>
  </si>
  <si>
    <t>2024-0500</t>
  </si>
  <si>
    <t>1085324107</t>
  </si>
  <si>
    <t>CAROLINANASTACUASPAI</t>
  </si>
  <si>
    <t>10/05/2024</t>
  </si>
  <si>
    <t>10/08/2024</t>
  </si>
  <si>
    <t>251-2024</t>
  </si>
  <si>
    <t>https://community.secop.gov.co/Public/Tendering/OpportunityDetail/Index?noticeUID=CO1.NTC.6119555</t>
  </si>
  <si>
    <t>2024-0501</t>
  </si>
  <si>
    <t>1193218691</t>
  </si>
  <si>
    <t>BRENDADAYANATABLAPULISTAR</t>
  </si>
  <si>
    <t>253-2024</t>
  </si>
  <si>
    <t>https://community.secop.gov.co/Public/Tendering/OpportunityDetail/Index?noticeUID=CO1.NTC.6132713</t>
  </si>
  <si>
    <t>2024-0504</t>
  </si>
  <si>
    <t>1004592366</t>
  </si>
  <si>
    <t>IBONNEALEJANDRASILVAARAUJO</t>
  </si>
  <si>
    <t>14/05/2024</t>
  </si>
  <si>
    <t>254-2024</t>
  </si>
  <si>
    <t>https://community.secop.gov.co/Public/Tendering/OpportunityDetail/Index?noticeUID=CO1.NTC.6133978</t>
  </si>
  <si>
    <t>2024-0505</t>
  </si>
  <si>
    <t>1085316191</t>
  </si>
  <si>
    <t>MARIAHOMAIRAGUEVARACORAL</t>
  </si>
  <si>
    <t>15/05/2024</t>
  </si>
  <si>
    <t>15/08/2024</t>
  </si>
  <si>
    <t>255-2024</t>
  </si>
  <si>
    <t>https://community.secop.gov.co/Public/Tendering/OpportunityDetail/Index?noticeUID=CO1.NTC.6132926</t>
  </si>
  <si>
    <t>2024-0506</t>
  </si>
  <si>
    <t>1085347540</t>
  </si>
  <si>
    <t>DANIELAALEXANDRAPABONYARPAS</t>
  </si>
  <si>
    <t>256-2024</t>
  </si>
  <si>
    <t>https://community.secop.gov.co/Public/Tendering/OpportunityDetail/Index?noticeUID=CO1.NTC.6133635</t>
  </si>
  <si>
    <t>2024-0507</t>
  </si>
  <si>
    <t>1010113730</t>
  </si>
  <si>
    <t>DIANAMILENAPAZNANDAR</t>
  </si>
  <si>
    <t>257-2024</t>
  </si>
  <si>
    <t>https://community.secop.gov.co/Public/Tendering/OpportunityDetail/Index?noticeUID=CO1.NTC.6134128</t>
  </si>
  <si>
    <t>2024-0508</t>
  </si>
  <si>
    <t>1085318684</t>
  </si>
  <si>
    <t>JENIFERAREVALOCRIOLLO</t>
  </si>
  <si>
    <t>258-2024</t>
  </si>
  <si>
    <t>https://community.secop.gov.co/Public/Tendering/OpportunityDetail/Index?noticeUID=CO1.NTC.6133048</t>
  </si>
  <si>
    <t>2024-0509</t>
  </si>
  <si>
    <t>27285974</t>
  </si>
  <si>
    <t>LUZDARIJARAMILLONOGERA</t>
  </si>
  <si>
    <t>259-2024</t>
  </si>
  <si>
    <t>https://community.secop.gov.co/Public/Tendering/OpportunityDetail/Index?noticeUID=CO1.NTC.6140665</t>
  </si>
  <si>
    <t>2024-0510</t>
  </si>
  <si>
    <t>36757522</t>
  </si>
  <si>
    <t>VIKYPATRICIAASCUNTARCRIOLLO</t>
  </si>
  <si>
    <t>260-2024</t>
  </si>
  <si>
    <t>https://community.secop.gov.co/Public/Tendering/OpportunityDetail/Index?noticeUID=CO1.NTC.6133394</t>
  </si>
  <si>
    <t>2024-0511</t>
  </si>
  <si>
    <t>1085261053</t>
  </si>
  <si>
    <t>ISABELCRISTINASANTACRUZMUNOZ</t>
  </si>
  <si>
    <t>261-2024</t>
  </si>
  <si>
    <t>https://community.secop.gov.co/Public/Tendering/OpportunityDetail/Index?noticeUID=CO1.NTC.6139731</t>
  </si>
  <si>
    <t>2024-0512</t>
  </si>
  <si>
    <t>1085289739</t>
  </si>
  <si>
    <t>YULYLORENACABRERADELGADO</t>
  </si>
  <si>
    <t>262-2024</t>
  </si>
  <si>
    <t>https://community.secop.gov.co/Public/Tendering/OpportunityDetail/Index?noticeUID=CO1.NTC.6149417</t>
  </si>
  <si>
    <t>2024-0513</t>
  </si>
  <si>
    <t>1085338575</t>
  </si>
  <si>
    <t>RAFAELARLEYROSEROPINZA</t>
  </si>
  <si>
    <t>264-2024</t>
  </si>
  <si>
    <t>https://community.secop.gov.co/Public/Tendering/OpportunityDetail/Index?noticeUID=CO1.NTC.6155820</t>
  </si>
  <si>
    <t>2024-0515</t>
  </si>
  <si>
    <t>1085325718</t>
  </si>
  <si>
    <t>JUANFERNADOZARAMASILVA</t>
  </si>
  <si>
    <t>17/05/2024</t>
  </si>
  <si>
    <t>265-2024</t>
  </si>
  <si>
    <t>https://community.secop.gov.co/Public/Tendering/OpportunityDetail/Index?noticeUID=CO1.NTC.6156239</t>
  </si>
  <si>
    <t>2024-0188</t>
  </si>
  <si>
    <t>2024-0517</t>
  </si>
  <si>
    <t>900633448</t>
  </si>
  <si>
    <t>EXPRESOSURAMERICANADETURISMOSAS</t>
  </si>
  <si>
    <t>PRESTACIONDESERVICIOSDETRANSPORTEESPECIALPARAELDESARROLLODELAESTRATEGIADEATENCIONPRIMARIAENSALUDMEDIANTELAPROVISIONDELTRANSPORTEADECUADOPARALAMOVILIZACIONDELOS22VEINTIDOSEQUIPOSBASICOSDESALUDENLASDIFERENTESZONASYMICROTERRITORIOSURBANOSYRURALESDELMUNICIPIODEPASTOLOSDIASYHORARIOSQUESECONCRETENPARALAEX</t>
  </si>
  <si>
    <t>266-2024</t>
  </si>
  <si>
    <t>https://community.secop.gov.co/Public/Tendering/OpportunityDetail/Index?noticeUID=CO1.NTC.6152294</t>
  </si>
  <si>
    <t>2024-0518</t>
  </si>
  <si>
    <t>1085324546</t>
  </si>
  <si>
    <t>ERIKAPAOLAESTRADABURBANO</t>
  </si>
  <si>
    <t>267-2024</t>
  </si>
  <si>
    <t>https://community.secop.gov.co/Public/Tendering/OpportunityDetail/Index?noticeUID=CO1.NTC.6156212</t>
  </si>
  <si>
    <t>2024-0519</t>
  </si>
  <si>
    <t>1085323101</t>
  </si>
  <si>
    <t>ANGIEVIVIANAAULLONVASQUEZ</t>
  </si>
  <si>
    <t>20/05/2024</t>
  </si>
  <si>
    <t>20/08/2024</t>
  </si>
  <si>
    <t>268-2024</t>
  </si>
  <si>
    <t>https://community.secop.gov.co/Public/Tendering/OpportunityDetail/Index?noticeUID=CO1.NTC.6169692</t>
  </si>
  <si>
    <t>2024-0520</t>
  </si>
  <si>
    <t>1004232508</t>
  </si>
  <si>
    <t>PABLOJOSEBADOSLOPEZ</t>
  </si>
  <si>
    <t>21/05/2024</t>
  </si>
  <si>
    <t>21/08/2024</t>
  </si>
  <si>
    <t>270-2024</t>
  </si>
  <si>
    <t>https://community.secop.gov.co/Public/Tendering/OpportunityDetail/Index?noticeUID=CO1.NTC.6169938</t>
  </si>
  <si>
    <t>2024-0529</t>
  </si>
  <si>
    <t>7603662</t>
  </si>
  <si>
    <t>FERNANDOALBERTOROMEROSOLANO</t>
  </si>
  <si>
    <t>271-2024</t>
  </si>
  <si>
    <t>https://community.secop.gov.co/Public/Tendering/OpportunityDetail/Index?noticeUID=CO1.NTC.6179151</t>
  </si>
  <si>
    <t>2024-0530</t>
  </si>
  <si>
    <t>59813323</t>
  </si>
  <si>
    <t>EDITHCRISTINAGARCIAJOJOA</t>
  </si>
  <si>
    <t>272-2024</t>
  </si>
  <si>
    <t>https://community.secop.gov.co/Public/Tendering/OpportunityDetail/Index?noticeUID=CO1.NTC.6170604</t>
  </si>
  <si>
    <t>2024-0531</t>
  </si>
  <si>
    <t>1081592303</t>
  </si>
  <si>
    <t>MARILINZAMBRANO</t>
  </si>
  <si>
    <t>22/05/2024</t>
  </si>
  <si>
    <t>22/08/2024</t>
  </si>
  <si>
    <t>275-2024</t>
  </si>
  <si>
    <t>https://community.secop.gov.co/Public/Tendering/OpportunityDetail/Index?noticeUID=CO1.NTC.6170829</t>
  </si>
  <si>
    <t>2024-0534</t>
  </si>
  <si>
    <t>1193265360</t>
  </si>
  <si>
    <t>ADRIANASOFIAISANDARANUPAN</t>
  </si>
  <si>
    <t>TECNOLOGO EN SALUD</t>
  </si>
  <si>
    <t>23/05/2024</t>
  </si>
  <si>
    <t>23/08/2024</t>
  </si>
  <si>
    <t>CONTRATARLAPRESTACIONDESERVICIOSCOMOTECNOLOGOENPROMOCIONDELASALUDCONELFINDELLEVARACABOLASACTIVIDADESDESCRITASPARALOSEQUIPOSBASICOSDESALUDENELMICROTERRITORIOASIGNADOELDESARROLLODELAESTRATEGIADEATENCIONPRIMARIAENSALUDMEDIANTELAVISITADOMICILIARIADELAPOBLACIONDELMUNICIPIODEPASTOIMPLEMENTANDOELLINEAMIENT</t>
  </si>
  <si>
    <t>276-2024</t>
  </si>
  <si>
    <t>https://community.secop.gov.co/Public/Tendering/OpportunityDetail/Index?noticeUID=CO1.NTC.6192686</t>
  </si>
  <si>
    <t>2024-0535</t>
  </si>
  <si>
    <t>27097289</t>
  </si>
  <si>
    <t>BLANCAMELVAGAVIRIABRAVO</t>
  </si>
  <si>
    <t>277-2024</t>
  </si>
  <si>
    <t>https://community.secop.gov.co/Public/Tendering/OpportunityDetail/Index?noticeUID=CO1.NTC.6177122</t>
  </si>
  <si>
    <t>2024-0536</t>
  </si>
  <si>
    <t>1004726758</t>
  </si>
  <si>
    <t>NORIDAYULIETHTOBARARTEAGA</t>
  </si>
  <si>
    <t>279-2024</t>
  </si>
  <si>
    <t>https://community.secop.gov.co/Public/Tendering/OpportunityDetail/Index?noticeUID=CO1.NTC.6189153</t>
  </si>
  <si>
    <t>2024-0538</t>
  </si>
  <si>
    <t>59178610</t>
  </si>
  <si>
    <t>MONICAPATRICIAPANTOJADUENAS</t>
  </si>
  <si>
    <t>24/05/2024</t>
  </si>
  <si>
    <t>24/08/2024</t>
  </si>
  <si>
    <t>280-2024</t>
  </si>
  <si>
    <t>https://community.secop.gov.co/Public/Tendering/OpportunityDetail/Index?noticeUID=CO1.NTC.6183852</t>
  </si>
  <si>
    <t>2024-0539</t>
  </si>
  <si>
    <t>1193271854</t>
  </si>
  <si>
    <t>JUANITAMAYLINVELASQUEZREVELO</t>
  </si>
  <si>
    <t>281-2024</t>
  </si>
  <si>
    <t>https://community.secop.gov.co/Public/Tendering/OpportunityDetail/Index?noticeUID=CO1.NTC.6189912</t>
  </si>
  <si>
    <t>2024-0542</t>
  </si>
  <si>
    <t>1087413951</t>
  </si>
  <si>
    <t>MAYERLYNORIDIAASMAZAGETIAL</t>
  </si>
  <si>
    <t>282-2024</t>
  </si>
  <si>
    <t>https://community.secop.gov.co/Public/Tendering/OpportunityDetail/Index?noticeUID=CO1.NTC.6198626</t>
  </si>
  <si>
    <t>2024-0543</t>
  </si>
  <si>
    <t>87070661</t>
  </si>
  <si>
    <t>EDERSHINEIDERTUTISTARTUTISTAR</t>
  </si>
  <si>
    <t>283-2024</t>
  </si>
  <si>
    <t>https://community.secop.gov.co/Public/Tendering/OpportunityDetail/Index?noticeUID=CO1.NTC.6184207</t>
  </si>
  <si>
    <t>2024-0544</t>
  </si>
  <si>
    <t>1014857280</t>
  </si>
  <si>
    <t>VALENTINAPASQUAZAYACUMA</t>
  </si>
  <si>
    <t>284-2024</t>
  </si>
  <si>
    <t>https://community.secop.gov.co/Public/Tendering/OpportunityDetail/Index?noticeUID=CO1.NTC.6189815</t>
  </si>
  <si>
    <t>2024-0545</t>
  </si>
  <si>
    <t>1085321192</t>
  </si>
  <si>
    <t>BRAYANANTONIOMADRONEROQUINTERO</t>
  </si>
  <si>
    <t>285-2024</t>
  </si>
  <si>
    <t>https://community.secop.gov.co/Public/Tendering/OpportunityDetail/Index?noticeUID=CO1.NTC.6198471</t>
  </si>
  <si>
    <t>2024-0546</t>
  </si>
  <si>
    <t>36758143</t>
  </si>
  <si>
    <t>LUCERITODELCARMENREVELOBENAVIDES</t>
  </si>
  <si>
    <t>286-2024</t>
  </si>
  <si>
    <t>https://community.secop.gov.co/Public/Tendering/OpportunityDetail/Index?noticeUID=CO1.NTC.6188780</t>
  </si>
  <si>
    <t>2024-0547</t>
  </si>
  <si>
    <t>1193383306</t>
  </si>
  <si>
    <t>MARIADELOSANGELESACOSTAROSERO</t>
  </si>
  <si>
    <t>287-2024</t>
  </si>
  <si>
    <t>https://community.secop.gov.co/Public/Tendering/OpportunityDetail/Index?noticeUID=CO1.NTC.6188987</t>
  </si>
  <si>
    <t>2024-0548</t>
  </si>
  <si>
    <t>87060703</t>
  </si>
  <si>
    <t>JESUSARMANDOMARTINEZGOMEZ</t>
  </si>
  <si>
    <t>308-2024</t>
  </si>
  <si>
    <t>https://community.secop.gov.co/Public/Tendering/OpportunityDetail/Index?noticeUID=CO1.NTC.6192514</t>
  </si>
  <si>
    <t>2024-0569</t>
  </si>
  <si>
    <t>5930737</t>
  </si>
  <si>
    <t>KARELISNATALYZHENGMONSALVE</t>
  </si>
  <si>
    <t>319-2024</t>
  </si>
  <si>
    <t>https://community.secop.gov.co/Public/Tendering/OpportunityDetail/Index?noticeUID=CO1.NTC.6190185</t>
  </si>
  <si>
    <t>2024-0582</t>
  </si>
  <si>
    <t>1006946167</t>
  </si>
  <si>
    <t>LIZETHMARCELAORTIZMUNOZ</t>
  </si>
  <si>
    <t>321-2024</t>
  </si>
  <si>
    <t>https://community.secop.gov.co/Public/Tendering/OpportunityDetail/Index?noticeUID=CO1.NTC.6201005</t>
  </si>
  <si>
    <t>2024-0584</t>
  </si>
  <si>
    <t>1004213964</t>
  </si>
  <si>
    <t>JENIFFERARCOSGIL</t>
  </si>
  <si>
    <t>322-2024</t>
  </si>
  <si>
    <t>https://community.secop.gov.co/Public/Tendering/OpportunityDetail/Index?noticeUID=CO1.NTC.6197009</t>
  </si>
  <si>
    <t>2024-0587</t>
  </si>
  <si>
    <t>1086362994</t>
  </si>
  <si>
    <t>SARAVICTORIAALVAREZFIGUEROA</t>
  </si>
  <si>
    <t>344-2024</t>
  </si>
  <si>
    <t>https://community.secop.gov.co/Public/Tendering/OpportunityDetail/Index?noticeUID=CO1.NTC.6222452</t>
  </si>
  <si>
    <t>2024-0649</t>
  </si>
  <si>
    <t>12974849</t>
  </si>
  <si>
    <t>PABLOERNESTORIOBAMBAIPIALES</t>
  </si>
  <si>
    <t>29/05/2024</t>
  </si>
  <si>
    <t>29/08/2024</t>
  </si>
  <si>
    <t>CONTRATARLAPRESTACIONDESERVICIOSCOMOGESTORCOMUNITARIOCONELFINDELLEVARACABOLASACTIVIDADESDESCRITASPARALOSEQUIPOSBASICOSDESALUDENELMICROTERRITORIOASIGNADOELDESARROLLODELAESTRATEGIADEATENCIONPRIMARIAENSALUDMEDIANTELAVISITADOMICILIARIADELAPOBLACIONDELMUNICIPIODEPASTOIMPLEMENTANDOELLINEAMIENTOEMITIDOPORE</t>
  </si>
  <si>
    <t>351-2024</t>
  </si>
  <si>
    <t>https://community.secop.gov.co/Public/Tendering/OpportunityDetail/Index?noticeUID=CO1.NTC.6222647</t>
  </si>
  <si>
    <t>2024-0660</t>
  </si>
  <si>
    <t>1085904098</t>
  </si>
  <si>
    <t>JORGEANDRESLOPEZVELAPANDORAESTUDIOGRAFICO</t>
  </si>
  <si>
    <t>31/05/2024</t>
  </si>
  <si>
    <t>20/06/2024</t>
  </si>
  <si>
    <t>ADQUISICIONESCARAPELAPLASTICATIPOCONGRESOIMPRESIONLASERCOLORENPROP240GRCINTAMONOCOLORPARACOLGAR</t>
  </si>
  <si>
    <t>360-2024</t>
  </si>
  <si>
    <t>https://community.secop.gov.co/Public/Tendering/OpportunityDetail/Index?noticeUID=CO1.NTC.6239136</t>
  </si>
  <si>
    <t>2024-0673</t>
  </si>
  <si>
    <t>1085345772</t>
  </si>
  <si>
    <t>MARIAISABELALVAREZCAICEDO</t>
  </si>
  <si>
    <t>05/06/2024</t>
  </si>
  <si>
    <t>05/09/2024</t>
  </si>
  <si>
    <t>361-2024</t>
  </si>
  <si>
    <t>https://community.secop.gov.co/Public/Tendering/OpportunityDetail/Index?noticeUID=CO1.NTC.6240061</t>
  </si>
  <si>
    <t>2024-0674</t>
  </si>
  <si>
    <t>1085326198</t>
  </si>
  <si>
    <t>LEIDIYURANIRAMOS</t>
  </si>
  <si>
    <t>06/06/2024</t>
  </si>
  <si>
    <t>06/09/2024</t>
  </si>
  <si>
    <t>362-2024</t>
  </si>
  <si>
    <t>https://community.secop.gov.co/Public/Tendering/OpportunityDetail/Index?noticeUID=CO1.NTC.6237742</t>
  </si>
  <si>
    <t>2024-0675</t>
  </si>
  <si>
    <t>1085271641</t>
  </si>
  <si>
    <t>LISSETHMARISOLCUASTUMALCASTRO</t>
  </si>
  <si>
    <t>364-2024</t>
  </si>
  <si>
    <t>https://community.secop.gov.co/Public/Tendering/OpportunityDetail/Index?noticeUID=CO1.NTC.6238593</t>
  </si>
  <si>
    <t>2024-0681</t>
  </si>
  <si>
    <t>1085327677</t>
  </si>
  <si>
    <t>JINETHVANESACONSTAINLASSO</t>
  </si>
  <si>
    <t>365-2024</t>
  </si>
  <si>
    <t>https://community.secop.gov.co/Public/Tendering/OpportunityDetail/Index?noticeUID=CO1.NTC.6249524</t>
  </si>
  <si>
    <t>2024-0682</t>
  </si>
  <si>
    <t>1192717330</t>
  </si>
  <si>
    <t>CRISTIANFABIANCRIOLLORIVERA</t>
  </si>
  <si>
    <t>366-2024</t>
  </si>
  <si>
    <t>https://community.secop.gov.co/Public/Tendering/OpportunityDetail/Index?noticeUID=CO1.NTC.6249457</t>
  </si>
  <si>
    <t>2024-0684</t>
  </si>
  <si>
    <t>1137624011</t>
  </si>
  <si>
    <t>KAROLDAYANATONGUINOTORO</t>
  </si>
  <si>
    <t>367-2024</t>
  </si>
  <si>
    <t>https://community.secop.gov.co/Public/Tendering/OpportunityDetail/Index?noticeUID=CO1.NTC.6257513</t>
  </si>
  <si>
    <t>2024-0687</t>
  </si>
  <si>
    <t>1089243630</t>
  </si>
  <si>
    <t>YENIFERNAYIBEMENESESTOBAR</t>
  </si>
  <si>
    <t>11/06/2024</t>
  </si>
  <si>
    <t>11/09/2024</t>
  </si>
  <si>
    <t>368-2024</t>
  </si>
  <si>
    <t>https://community.secop.gov.co/Public/Tendering/OpportunityDetail/Index?noticeUID=CO1.NTC.6259211</t>
  </si>
  <si>
    <t>2024-0688</t>
  </si>
  <si>
    <t>27211504</t>
  </si>
  <si>
    <t>YUDYLILIANABENAVIDESOJEDA</t>
  </si>
  <si>
    <t>CONTRATARLAPRESTACIONDESERVICIOSCOMOGESTORCOMINITARIOCONELFINDELLEVARACABOLASACTIVIDADESDESCRITASPARALOSEQUIPOSBASICOSDESALUDENELMICROTERRITORIOASIGNADOELDESARROLLODELAESTRATEGIADEATENCIONPRIMARIAENSALUDMEDIANTELAVISITADOMICILIARIADELAPOBLACIONDELMUNICIPIODEPASTOIMPLEMENTANDOELLINEAMIENTOEMITIDOPORE</t>
  </si>
  <si>
    <t>373-2024</t>
  </si>
  <si>
    <t>https://community.secop.gov.co/Public/Tendering/OpportunityDetail/Index?noticeUID=CO1.NTC.6277147</t>
  </si>
  <si>
    <t>2024-0694</t>
  </si>
  <si>
    <t>1085252263</t>
  </si>
  <si>
    <t>DEISYJOHANNABASTIDASJOJOA</t>
  </si>
  <si>
    <t>12/06/2024</t>
  </si>
  <si>
    <t>13/06/2024</t>
  </si>
  <si>
    <t>13/09/2024</t>
  </si>
  <si>
    <t>374-2024</t>
  </si>
  <si>
    <t>https://community.secop.gov.co/Public/Tendering/OpportunityDetail/Index?noticeUID=CO1.NTC.6264118</t>
  </si>
  <si>
    <t>2024-0693</t>
  </si>
  <si>
    <t>36752202</t>
  </si>
  <si>
    <t>PAULAANDREAROCHADELGADO</t>
  </si>
  <si>
    <t>375-2024</t>
  </si>
  <si>
    <t>https://community.secop.gov.co/Public/Tendering/OpportunityDetail/Index?noticeUID=CO1.NTC.6274669</t>
  </si>
  <si>
    <t>2024-0697</t>
  </si>
  <si>
    <t>1087422930</t>
  </si>
  <si>
    <t>MARIAFERNANDASANCHEZCARDENAS</t>
  </si>
  <si>
    <t>376-2024</t>
  </si>
  <si>
    <t>https://community.secop.gov.co/Public/Tendering/OpportunityDetail/Index?noticeUID=CO1.NTC.6277161</t>
  </si>
  <si>
    <t>2024-0698</t>
  </si>
  <si>
    <t>30732782</t>
  </si>
  <si>
    <t>ANAMILENAROSEROSANTANDER</t>
  </si>
  <si>
    <t>14/06/2024</t>
  </si>
  <si>
    <t>14/09/2024</t>
  </si>
  <si>
    <t>377-2024</t>
  </si>
  <si>
    <t>https://community.secop.gov.co/Public/Tendering/OpportunityDetail/Index?noticeUID=CO1.NTC.6277609</t>
  </si>
  <si>
    <t>2024-0699</t>
  </si>
  <si>
    <t>1233192618</t>
  </si>
  <si>
    <t>KARLAVALERIAAZACEPEDA</t>
  </si>
  <si>
    <t>378-2024</t>
  </si>
  <si>
    <t>https://community.secop.gov.co/Public/Tendering/OpportunityDetail/Index?noticeUID=CO1.NTC.6289690</t>
  </si>
  <si>
    <t>2024-0704</t>
  </si>
  <si>
    <t>1085337232</t>
  </si>
  <si>
    <t>JHONSEBASTIANNARVAEZDEJOY</t>
  </si>
  <si>
    <t>17/06/2024</t>
  </si>
  <si>
    <t>17/09/2024</t>
  </si>
  <si>
    <t>381-2024</t>
  </si>
  <si>
    <t>https://community.secop.gov.co/Public/Tendering/OpportunityDetail/Index?noticeUID=CO1.NTC.6285474</t>
  </si>
  <si>
    <t>2024-0708</t>
  </si>
  <si>
    <t>1085336362</t>
  </si>
  <si>
    <t>SOFIAESMERALDAMEJIAORTIZ</t>
  </si>
  <si>
    <t>18/06/2024</t>
  </si>
  <si>
    <t>18/09/2024</t>
  </si>
  <si>
    <t>382-2024</t>
  </si>
  <si>
    <t>https://community.secop.gov.co/Public/Tendering/OpportunityDetail/Index?noticeUID=CO1.NTC.6281726</t>
  </si>
  <si>
    <t>2024-0709</t>
  </si>
  <si>
    <t>36954410</t>
  </si>
  <si>
    <t>KARINAMARIBELLUNALOPEZ</t>
  </si>
  <si>
    <t>383-2024</t>
  </si>
  <si>
    <t>https://community.secop.gov.co/Public/Tendering/OpportunityDetail/Index?noticeUID=CO1.NTC.6286443</t>
  </si>
  <si>
    <t>2024-0712</t>
  </si>
  <si>
    <t>1085295383</t>
  </si>
  <si>
    <t>ELOISAYERALDINFREYREGOMEZ</t>
  </si>
  <si>
    <t>384-2024</t>
  </si>
  <si>
    <t>https://community.secop.gov.co/Public/Tendering/OpportunityDetail/Index?noticeUID=CO1.NTC.6290168</t>
  </si>
  <si>
    <t>2024-0713</t>
  </si>
  <si>
    <t>79724257</t>
  </si>
  <si>
    <t>LEONELFERNANDOJOJOAJOJOA</t>
  </si>
  <si>
    <t>385-2024</t>
  </si>
  <si>
    <t>https://community.secop.gov.co/Public/Tendering/OpportunityDetail/Index?noticeUID=CO1.NTC.6302932</t>
  </si>
  <si>
    <t>2024-0715</t>
  </si>
  <si>
    <t>1085345430</t>
  </si>
  <si>
    <t>MARIACAMILAPAZARCOS</t>
  </si>
  <si>
    <t>19/06/2024</t>
  </si>
  <si>
    <t>19/09/2024</t>
  </si>
  <si>
    <t>386-2024</t>
  </si>
  <si>
    <t>https://community.secop.gov.co/Public/Tendering/OpportunityDetail/Index?noticeUID=CO1.NTC.6295534</t>
  </si>
  <si>
    <t>2024-0716</t>
  </si>
  <si>
    <t>1010010954</t>
  </si>
  <si>
    <t>JULIANAVALENTINAMENDEZORTIZ</t>
  </si>
  <si>
    <t>09/09/2024</t>
  </si>
  <si>
    <t>387-2024</t>
  </si>
  <si>
    <t>https://community.secop.gov.co/Public/Tendering/OpportunityDetail/Index?noticeUID=CO1.NTC.6295321</t>
  </si>
  <si>
    <t>2024-0717</t>
  </si>
  <si>
    <t>59836926</t>
  </si>
  <si>
    <t>DEYANIRABADOSDAZA</t>
  </si>
  <si>
    <t>389-2024</t>
  </si>
  <si>
    <t>https://community.secop.gov.co/Public/Tendering/OpportunityDetail/Index?noticeUID=CO1.NTC.6297437</t>
  </si>
  <si>
    <t>2024-0719</t>
  </si>
  <si>
    <t>1085248939</t>
  </si>
  <si>
    <t>CARMENLILIANAARMERORUIZ</t>
  </si>
  <si>
    <t>390-2024</t>
  </si>
  <si>
    <t>https://community.secop.gov.co/Public/Tendering/OpportunityDetail/Index?noticeUID=CO1.NTC.6295267</t>
  </si>
  <si>
    <t>2024-0720</t>
  </si>
  <si>
    <t>87065647</t>
  </si>
  <si>
    <t>JOHNJAIMELOPEZGUERRERO</t>
  </si>
  <si>
    <t>391-2024</t>
  </si>
  <si>
    <t>https://community.secop.gov.co/Public/Tendering/OpportunityDetail/Index?noticeUID=CO1.NTC.6302965</t>
  </si>
  <si>
    <t>2024-0721</t>
  </si>
  <si>
    <t>1088799034</t>
  </si>
  <si>
    <t>CALPACAICEDOGREACEALEJANDRA</t>
  </si>
  <si>
    <t>392-2024</t>
  </si>
  <si>
    <t>https://community.secop.gov.co/Public/Tendering/OpportunityDetail/Index?noticeUID=CO1.NTC.6295127</t>
  </si>
  <si>
    <t>2024-0722</t>
  </si>
  <si>
    <t>59314601</t>
  </si>
  <si>
    <t>CAROLVIVIANARODRIGUEZCARDENAS</t>
  </si>
  <si>
    <t>393-2024</t>
  </si>
  <si>
    <t>https://community.secop.gov.co/Public/Tendering/OpportunityDetail/Index?noticeUID=CO1.NTC.6297346</t>
  </si>
  <si>
    <t>2024-0723</t>
  </si>
  <si>
    <t>1085331508</t>
  </si>
  <si>
    <t>NESLYYANIDMUNOZORTIZ</t>
  </si>
  <si>
    <t>394-2024</t>
  </si>
  <si>
    <t>https://community.secop.gov.co/Public/Tendering/OpportunityDetail/Index?noticeUID=CO1.NTC.6295252</t>
  </si>
  <si>
    <t>2024-0725</t>
  </si>
  <si>
    <t>1233189234</t>
  </si>
  <si>
    <t>YULLIKAROLINACASTILLOPAZ</t>
  </si>
  <si>
    <t>20/09/2024</t>
  </si>
  <si>
    <t>396-2024</t>
  </si>
  <si>
    <t>https://community.secop.gov.co/Public/Tendering/OpportunityDetail/Index?noticeUID=CO1.NTC.6304773</t>
  </si>
  <si>
    <t>2024-0727</t>
  </si>
  <si>
    <t>59314451</t>
  </si>
  <si>
    <t>ERIKAJOHANAOBANDOSANTACRUZ</t>
  </si>
  <si>
    <t>398-2024</t>
  </si>
  <si>
    <t>https://community.secop.gov.co/Public/Tendering/OpportunityDetail/Index?noticeUID=CO1.NTC.6307518</t>
  </si>
  <si>
    <t>2024-0782</t>
  </si>
  <si>
    <t>1085263018</t>
  </si>
  <si>
    <t>LUISALONSOGUEVARADELOSRIOS</t>
  </si>
  <si>
    <t>399-2024</t>
  </si>
  <si>
    <t>https://community.secop.gov.co/Public/Tendering/OpportunityDetail/Index?noticeUID=CO1.NTC.6312896</t>
  </si>
  <si>
    <t>2024-0783</t>
  </si>
  <si>
    <t>1193385397</t>
  </si>
  <si>
    <t>KAROLESTEFANYMIRANDATOBAR</t>
  </si>
  <si>
    <t>21/06/2024</t>
  </si>
  <si>
    <t>21/09/2024</t>
  </si>
  <si>
    <t>400-2024</t>
  </si>
  <si>
    <t>https://community.secop.gov.co/Public/Tendering/OpportunityDetail/Index?noticeUID=CO1.NTC.6304046</t>
  </si>
  <si>
    <t>2024-0784</t>
  </si>
  <si>
    <t>1144206777</t>
  </si>
  <si>
    <t>BRYANANDRESBASTIDASRUALES</t>
  </si>
  <si>
    <t>CONTRATARLAPRESTACIONDESERVICIOSPROFESIONALESCOMOTECNOLOGOENPROMOCIONDELASALUDCONELFINDELLEVARACABOLASACTIVIDADESDESCRITASPARALOSEQUIPOSBASICOSDESALUDENELMICROTERRITORIOASIGNADOELDESARROLLODELAESTRATEGIADEATENCIONPRIMARIAENSALUDMEDIANTELAVISITADOMICILIARIADELAPOBLACIONDELMUNICIPIODEPASTOIMPLEMENTAND</t>
  </si>
  <si>
    <t>401-2024</t>
  </si>
  <si>
    <t>https://community.secop.gov.co/Public/Tendering/OpportunityDetail/Index?noticeUID=CO1.NTC.6317245</t>
  </si>
  <si>
    <t>2024-0785</t>
  </si>
  <si>
    <t>1085253062</t>
  </si>
  <si>
    <t>LILIANAMAYORBOTINACRIOLLLO</t>
  </si>
  <si>
    <t>402-2024</t>
  </si>
  <si>
    <t>https://community.secop.gov.co/Public/Tendering/OpportunityDetail/Index?noticeUID=CO1.NTC.6313388</t>
  </si>
  <si>
    <t>2024-0786</t>
  </si>
  <si>
    <t>1087643211</t>
  </si>
  <si>
    <t>NIEVESFERNANDAAZZAORDONEZ</t>
  </si>
  <si>
    <t>403-2024</t>
  </si>
  <si>
    <t>https://community.secop.gov.co/Public/Tendering/OpportunityDetail/Index?noticeUID=CO1.NTC.6313608</t>
  </si>
  <si>
    <t>2024-0787</t>
  </si>
  <si>
    <t>12983807</t>
  </si>
  <si>
    <t>RICARDOENRIQUEVEGAMERA</t>
  </si>
  <si>
    <t>404-2024</t>
  </si>
  <si>
    <t>https://community.secop.gov.co/Public/Tendering/OpportunityDetail/Index?noticeUID=CO1.NTC.6313665</t>
  </si>
  <si>
    <t>2024-0788</t>
  </si>
  <si>
    <t>1085292185</t>
  </si>
  <si>
    <t>BRIGITTMARCELABURBANOPUPIALES</t>
  </si>
  <si>
    <t>406-2024</t>
  </si>
  <si>
    <t>https://community.secop.gov.co/Public/Tendering/OpportunityDetail/Index?noticeUID=CO1.NTC.6317038</t>
  </si>
  <si>
    <t>2024-0790</t>
  </si>
  <si>
    <t>27109314</t>
  </si>
  <si>
    <t>GABRIELAALEJANDRAGUERREROBRAVO</t>
  </si>
  <si>
    <t>24/06/2024</t>
  </si>
  <si>
    <t>24/09/2024</t>
  </si>
  <si>
    <t>408-2024</t>
  </si>
  <si>
    <t>https://community.secop.gov.co/Public/Tendering/OpportunityDetail/Index?noticeUID=CO1.NTC.6307873</t>
  </si>
  <si>
    <t>2024-0794</t>
  </si>
  <si>
    <t>1085246134</t>
  </si>
  <si>
    <t>DIANACAROLINAROSEROCOCHA</t>
  </si>
  <si>
    <t>409-2024</t>
  </si>
  <si>
    <t>https://community.secop.gov.co/Public/Tendering/OpportunityDetail/Index?noticeUID=CO1.NTC.6319043</t>
  </si>
  <si>
    <t>2024-0795</t>
  </si>
  <si>
    <t>1081272025</t>
  </si>
  <si>
    <t>ANGIEGABRIELAENRIQUEZTACAN</t>
  </si>
  <si>
    <t>25/06/2024</t>
  </si>
  <si>
    <t>25/09/2024</t>
  </si>
  <si>
    <t>412-2024</t>
  </si>
  <si>
    <t>https://community.secop.gov.co/Public/Tendering/OpportunityDetail/Index?noticeUID=CO1.NTC.6326959</t>
  </si>
  <si>
    <t>2024-0800</t>
  </si>
  <si>
    <t>59833702</t>
  </si>
  <si>
    <t>AMANDALOPEZHERNANDEZ</t>
  </si>
  <si>
    <t>26/06/2024</t>
  </si>
  <si>
    <t>26/09/2024</t>
  </si>
  <si>
    <t>413-2024</t>
  </si>
  <si>
    <t>https://community.secop.gov.co/Public/Tendering/OpportunityDetail/Index?noticeUID=CO1.NTC.6338419</t>
  </si>
  <si>
    <t>2024-0801</t>
  </si>
  <si>
    <t>59310524</t>
  </si>
  <si>
    <t>MARIBELDELCARMENMAIGUALMUNOZ</t>
  </si>
  <si>
    <t>415-2024</t>
  </si>
  <si>
    <t>https://community.secop.gov.co/Public/Tendering/OpportunityDetail/Index?noticeUID=CO1.NTC.6338999</t>
  </si>
  <si>
    <t>2024-0807</t>
  </si>
  <si>
    <t>1151934571</t>
  </si>
  <si>
    <t>ANGELAMARCELAOBANDOBASTIDAS</t>
  </si>
  <si>
    <t>27/06/2024</t>
  </si>
  <si>
    <t>27/09/2024</t>
  </si>
  <si>
    <t>418-2024</t>
  </si>
  <si>
    <t>https://community.secop.gov.co/Public/Tendering/OpportunityDetail/Index?noticeUID=CO1.NTC.6345382</t>
  </si>
  <si>
    <t>2024-0809</t>
  </si>
  <si>
    <t>12961407</t>
  </si>
  <si>
    <t>FRANCOJESUSRODRIGUEZARAUJO</t>
  </si>
  <si>
    <t>28/06/2024</t>
  </si>
  <si>
    <t>28/09/2024</t>
  </si>
  <si>
    <t>438-2024</t>
  </si>
  <si>
    <t>https://community.secop.gov.co/Public/Tendering/OpportunityDetail/Index?noticeUID=CO1.NTC.6360722</t>
  </si>
  <si>
    <t>2024-0833</t>
  </si>
  <si>
    <t>1085338232</t>
  </si>
  <si>
    <t>CLAUDIADANIELAPAZRIVERA</t>
  </si>
  <si>
    <t>02/07/2024</t>
  </si>
  <si>
    <t>02/09/2024</t>
  </si>
  <si>
    <t>449-2024</t>
  </si>
  <si>
    <t>https://community.secop.gov.co/Public/Tendering/OpportunityDetail/Index?noticeUID=CO1.NTC.6352042</t>
  </si>
  <si>
    <t>2024-0842</t>
  </si>
  <si>
    <t>59311646</t>
  </si>
  <si>
    <t>DIANACAROLINAMORANCRUZ</t>
  </si>
  <si>
    <t>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EAMIEN</t>
  </si>
  <si>
    <t>452-2024</t>
  </si>
  <si>
    <t>https://community.secop.gov.co/Public/Tendering/OpportunityDetail/Index?noticeUID=CO1.NTC.6352421</t>
  </si>
  <si>
    <t>2024-0845</t>
  </si>
  <si>
    <t>1081052090</t>
  </si>
  <si>
    <t>DIANACAROLINATISOYCHASOY</t>
  </si>
  <si>
    <t>453-2024</t>
  </si>
  <si>
    <t>https://community.secop.gov.co/Public/Tendering/OpportunityDetail/Index?noticeUID=CO1.NTC.6358444</t>
  </si>
  <si>
    <t>2024-0846</t>
  </si>
  <si>
    <t>13072447</t>
  </si>
  <si>
    <t>DANNYALEXANDERORTIZMUNOZ</t>
  </si>
  <si>
    <t>454-2024</t>
  </si>
  <si>
    <t>https://community.secop.gov.co/Public/Tendering/OpportunityDetail/Index?noticeUID=CO1.NTC.6358794</t>
  </si>
  <si>
    <t>2024-0847</t>
  </si>
  <si>
    <t>1085289798</t>
  </si>
  <si>
    <t>DIEGOFERNANDODELGADOERASO</t>
  </si>
  <si>
    <t>460-2024</t>
  </si>
  <si>
    <t>https://community.secop.gov.co/Public/Tendering/OpportunityDetail/Index?noticeUID=CO1.NTC.6370863</t>
  </si>
  <si>
    <t>2024-0857</t>
  </si>
  <si>
    <t>59830219</t>
  </si>
  <si>
    <t>ADRIANAGABRIELADIAZMONTENEGRO</t>
  </si>
  <si>
    <t>04/07/2024</t>
  </si>
  <si>
    <t>04/09/2024</t>
  </si>
  <si>
    <t>OBJETOCONTRATARLAPRESTACIONDESERVICIOSPROFESIONALESCOMOGESTORCOMUNITARIOCONELFINDELLEVARACABOLASACTIVIDADESDESCRITASPARALOSEQUIPOSBASICOSDESALUDENELMICROTERRITORIOASIGNADOELDESARROLLODELAESTRATEGIADEATENCIONPRIMARIAENSALUDMEDIANTELAVISITADOMICILIARIADELAPOBLACIONDELMUNICIPIODEPASTOIMPLEMENTANDOELLIN</t>
  </si>
  <si>
    <t>461-2024</t>
  </si>
  <si>
    <t>https://community.secop.gov.co/Public/Tendering/OpportunityDetail/Index?noticeUID=CO1.NTC.6378949</t>
  </si>
  <si>
    <t>2024-0860</t>
  </si>
  <si>
    <t>27094521</t>
  </si>
  <si>
    <t>RUTHJACQUELINEGAMEZPABON</t>
  </si>
  <si>
    <t>467-2024</t>
  </si>
  <si>
    <t>https://community.secop.gov.co/Public/Tendering/OpportunityDetail/Index?noticeUID=CO1.NTC.6391223</t>
  </si>
  <si>
    <t>2024-0874</t>
  </si>
  <si>
    <t>1085337465</t>
  </si>
  <si>
    <t>LESLYNATHALIAMAIGUALJURADO</t>
  </si>
  <si>
    <t>09/07/2024</t>
  </si>
  <si>
    <t>469-2024</t>
  </si>
  <si>
    <t>https://community.secop.gov.co/Public/Tendering/OpportunityDetail/Index?noticeUID=CO1.NTC.6391144</t>
  </si>
  <si>
    <t>2024-0875</t>
  </si>
  <si>
    <t>1085269090</t>
  </si>
  <si>
    <t>FHALOMCAROLINAROSEROTORRES</t>
  </si>
  <si>
    <t>470-2024</t>
  </si>
  <si>
    <t>https://community.secop.gov.co/Public/Tendering/OpportunityDetail/Index?noticeUID=CO1.NTC.6392876</t>
  </si>
  <si>
    <t>2024-0877</t>
  </si>
  <si>
    <t>1086016308</t>
  </si>
  <si>
    <t>AYDEJACKELINECABRERACRIOLLO</t>
  </si>
  <si>
    <t>10/07/2024</t>
  </si>
  <si>
    <t>10/09/2024</t>
  </si>
  <si>
    <t>471-2024</t>
  </si>
  <si>
    <t>https://community.secop.gov.co/Public/Tendering/OpportunityDetail/Index?noticeUID=CO1.NTC.6391393</t>
  </si>
  <si>
    <t>2024-0878</t>
  </si>
  <si>
    <t>1081595853</t>
  </si>
  <si>
    <t>LICETHNEYIRETHRIVERAROSERO</t>
  </si>
  <si>
    <t>472-2024</t>
  </si>
  <si>
    <t>https://community.secop.gov.co/Public/Tendering/OpportunityDetail/Index?noticeUID=CO1.NTC.6395971</t>
  </si>
  <si>
    <t>2024-0879</t>
  </si>
  <si>
    <t>12750863</t>
  </si>
  <si>
    <t>MARIOANDRESROSASENRIQUEZ</t>
  </si>
  <si>
    <t>473-2024</t>
  </si>
  <si>
    <t>https://community.secop.gov.co/Public/Tendering/OpportunityDetail/Index?noticeUID=CO1.NTC.6387684</t>
  </si>
  <si>
    <t>2024-0880</t>
  </si>
  <si>
    <t>30737741</t>
  </si>
  <si>
    <t>CLEOTILDEFLORALBAPIANDOYCUSIS</t>
  </si>
  <si>
    <t>474-2024</t>
  </si>
  <si>
    <t>https://community.secop.gov.co/Public/Tendering/OpportunityDetail/Index?noticeUID=CO1.NTC.6390639</t>
  </si>
  <si>
    <t>2024-0881</t>
  </si>
  <si>
    <t>1085327836</t>
  </si>
  <si>
    <t>ANGELAESTEFANYANASPIRANJOJOA</t>
  </si>
  <si>
    <t>11/07/2024</t>
  </si>
  <si>
    <t>476-2024</t>
  </si>
  <si>
    <t>https://community.secop.gov.co/Public/Tendering/OpportunityDetail/Index?noticeUID=CO1.NTC.6401124</t>
  </si>
  <si>
    <t>2024-0883</t>
  </si>
  <si>
    <t>1233189896</t>
  </si>
  <si>
    <t>NICOLASEMILIOMENAJOJOA</t>
  </si>
  <si>
    <t>477-2024</t>
  </si>
  <si>
    <t>https://community.secop.gov.co/Public/Tendering/OpportunityDetail/Index?noticeUID=CO1.NTC.6401066</t>
  </si>
  <si>
    <t>2024-0884</t>
  </si>
  <si>
    <t>1081052552</t>
  </si>
  <si>
    <t>ANGELASOFIACACHINOYALVAREZ</t>
  </si>
  <si>
    <t>478-2024</t>
  </si>
  <si>
    <t>https://community.secop.gov.co/Public/Tendering/OpportunityDetail/Index?noticeUID=CO1.NTC.6408183</t>
  </si>
  <si>
    <t>2024-0885</t>
  </si>
  <si>
    <t>1085330237</t>
  </si>
  <si>
    <t>LUZMARINABENAVIDESBASTIDAS</t>
  </si>
  <si>
    <t>479-2024</t>
  </si>
  <si>
    <t>https://community.secop.gov.co/Public/Tendering/OpportunityDetail/Index?noticeUID=CO1.NTC.6406477</t>
  </si>
  <si>
    <t>2024-0886</t>
  </si>
  <si>
    <t>1085314075</t>
  </si>
  <si>
    <t>LORENACATERINEASCUNTARCUAJIBIOY</t>
  </si>
  <si>
    <t>480-2024</t>
  </si>
  <si>
    <t>https://community.secop.gov.co/Public/Tendering/OpportunityDetail/Index?noticeUID=CO1.NTC.6407276</t>
  </si>
  <si>
    <t>2024-0887</t>
  </si>
  <si>
    <t>1085290651</t>
  </si>
  <si>
    <t>INDIRATAMARAPALACIOSBUSTOS</t>
  </si>
  <si>
    <t>484-2024</t>
  </si>
  <si>
    <t>https://community.secop.gov.co/Public/Tendering/OpportunityDetail/Index?noticeUID=CO1.NTC.6414401</t>
  </si>
  <si>
    <t>2024-0893</t>
  </si>
  <si>
    <t>27309586</t>
  </si>
  <si>
    <t>LUCENYCENIDIADAVIDRODRIGUEZ</t>
  </si>
  <si>
    <t>12/07/2024</t>
  </si>
  <si>
    <t>12/09/2024</t>
  </si>
  <si>
    <t>485-2024</t>
  </si>
  <si>
    <t>https://community.secop.gov.co/Public/Tendering/OpportunityDetail/Index?noticeUID=CO1.NTC.6401733</t>
  </si>
  <si>
    <t>2024-0894</t>
  </si>
  <si>
    <t>36757715</t>
  </si>
  <si>
    <t>SONIADELROCIOGOMEZNARVAEZ</t>
  </si>
  <si>
    <t>486-2024</t>
  </si>
  <si>
    <t>https://community.secop.gov.co/Public/Tendering/OpportunityDetail/Index?noticeUID=CO1.NTC.6414677</t>
  </si>
  <si>
    <t>2024-0895</t>
  </si>
  <si>
    <t>36759281</t>
  </si>
  <si>
    <t>VERONICAHURTADOPASCUAZA</t>
  </si>
  <si>
    <t>487-2024</t>
  </si>
  <si>
    <t>https://community.secop.gov.co/Public/Tendering/OpportunityDetail/Index?noticeUID=CO1.NTC.6415114</t>
  </si>
  <si>
    <t>2024-0896</t>
  </si>
  <si>
    <t>1193265831</t>
  </si>
  <si>
    <t>NAYIBEMARCELALARAMATABANCHOY</t>
  </si>
  <si>
    <t>488-2024</t>
  </si>
  <si>
    <t>https://community.secop.gov.co/Public/Tendering/OpportunityDetail/Index?noticeUID=CO1.NTC.6415135</t>
  </si>
  <si>
    <t>2024-0897</t>
  </si>
  <si>
    <t>1130620376</t>
  </si>
  <si>
    <t>KATHERYNEDAMARISSUAREZBETANCOURTH</t>
  </si>
  <si>
    <t>489-2024</t>
  </si>
  <si>
    <t>https://community.secop.gov.co/Public/Tendering/OpportunityDetail/Index?noticeUID=CO1.NTC.6404751</t>
  </si>
  <si>
    <t>2024-0898</t>
  </si>
  <si>
    <t>1004535115</t>
  </si>
  <si>
    <t>LISETHMUNOZMARTINEZ</t>
  </si>
  <si>
    <t>490-2024</t>
  </si>
  <si>
    <t>https://community.secop.gov.co/Public/Tendering/OpportunityDetail/Index?noticeUID=CO1.NTC.6414996</t>
  </si>
  <si>
    <t>2024-0899</t>
  </si>
  <si>
    <t>1081273343</t>
  </si>
  <si>
    <t>MARIAFERNANDAVASQUEZARGOTI</t>
  </si>
  <si>
    <t>491-2024</t>
  </si>
  <si>
    <t>https://community.secop.gov.co/Public/Tendering/OpportunityDetail/Index?noticeUID=CO1.NTC.6414710</t>
  </si>
  <si>
    <t>2024-0900</t>
  </si>
  <si>
    <t>37087268</t>
  </si>
  <si>
    <t>ALEXANDRAMARIAORTEGAROSERO</t>
  </si>
  <si>
    <t>492-2024</t>
  </si>
  <si>
    <t>https://community.secop.gov.co/Public/Tendering/OpportunityDetail/Index?noticeUID=CO1.NTC.6419251</t>
  </si>
  <si>
    <t>2024-0901</t>
  </si>
  <si>
    <t>1085320930</t>
  </si>
  <si>
    <t>LINAYEZMINDELACRUZCUSIS</t>
  </si>
  <si>
    <t>15/07/2024</t>
  </si>
  <si>
    <t>15/09/2024</t>
  </si>
  <si>
    <t>493-2024</t>
  </si>
  <si>
    <t>https://community.secop.gov.co/Public/Tendering/OpportunityDetail/Index?noticeUID=CO1.NTC.6419630</t>
  </si>
  <si>
    <t>2024-0902</t>
  </si>
  <si>
    <t>1085251468</t>
  </si>
  <si>
    <t>ROSAURACAROLINAMADRONERODELGADO</t>
  </si>
  <si>
    <t>495-2024</t>
  </si>
  <si>
    <t>https://community.secop.gov.co/Public/Tendering/OpportunityDetail/Index?noticeUID=CO1.NTC.6417393</t>
  </si>
  <si>
    <t>2024-0905</t>
  </si>
  <si>
    <t>27090145</t>
  </si>
  <si>
    <t>SANDRAPAOLAROMOJURADO</t>
  </si>
  <si>
    <t>16/09/2024</t>
  </si>
  <si>
    <t>496-2024</t>
  </si>
  <si>
    <t>https://community.secop.gov.co/Public/Tendering/OpportunityDetail/Index?noticeUID=CO1.NTC.6430905</t>
  </si>
  <si>
    <t>2024-0933</t>
  </si>
  <si>
    <t>1085330079</t>
  </si>
  <si>
    <t>ANGIEGIONELLAHERNANDEZVILLOTA</t>
  </si>
  <si>
    <t>17/07/2024</t>
  </si>
  <si>
    <t>497-2024</t>
  </si>
  <si>
    <t>https://community.secop.gov.co/Public/Tendering/OpportunityDetail/Index?noticeUID=CO1.NTC.6431132</t>
  </si>
  <si>
    <t>2024-0934</t>
  </si>
  <si>
    <t>1085310465</t>
  </si>
  <si>
    <t>YAMILEALEJANDRABOTINARODRIGUEZ</t>
  </si>
  <si>
    <t>500-2024</t>
  </si>
  <si>
    <t>https://community.secop.gov.co/Public/Tendering/OpportunityDetail/Index?noticeUID=CO1.NTC.6424097</t>
  </si>
  <si>
    <t>2024-0936</t>
  </si>
  <si>
    <t>1085338135</t>
  </si>
  <si>
    <t>NATHALIECAROLINADELACRUZESTRADA</t>
  </si>
  <si>
    <t>18/07/2024</t>
  </si>
  <si>
    <t>501-2024</t>
  </si>
  <si>
    <t>https://community.secop.gov.co/Public/Tendering/OpportunityDetail/Index?noticeUID=CO1.NTC.6430613</t>
  </si>
  <si>
    <t>2024-0954</t>
  </si>
  <si>
    <t>36753698</t>
  </si>
  <si>
    <t>ANAMILENAJACANAMIJOYTREJO</t>
  </si>
  <si>
    <t>504-2024</t>
  </si>
  <si>
    <t>https://community.secop.gov.co/Public/Tendering/OpportunityDetail/Index?noticeUID=CO1.NTC.6448395</t>
  </si>
  <si>
    <t>2024-1010</t>
  </si>
  <si>
    <t>1081053820</t>
  </si>
  <si>
    <t>ANDREACATALINACUASTUMALESCOBAR</t>
  </si>
  <si>
    <t>507-2024</t>
  </si>
  <si>
    <t>https://community.secop.gov.co/Public/Tendering/OpportunityDetail/Index?noticeUID=CO1.NTC.6470141</t>
  </si>
  <si>
    <t>2024-1017</t>
  </si>
  <si>
    <t>1085296958</t>
  </si>
  <si>
    <t>MARIOALEXANDERMENARODRIGUEZ</t>
  </si>
  <si>
    <t>25/08/2024</t>
  </si>
  <si>
    <t>508-2024</t>
  </si>
  <si>
    <t>https://community.secop.gov.co/Public/Tendering/OpportunityDetail/Index?noticeUID=CO1.NTC.6456994</t>
  </si>
  <si>
    <t>2024-1019</t>
  </si>
  <si>
    <t>98392455</t>
  </si>
  <si>
    <t>MAURICIOJAVIERQUINONESTAQUEZ</t>
  </si>
  <si>
    <t>509-2024</t>
  </si>
  <si>
    <t>https://community.secop.gov.co/Public/Tendering/OpportunityDetail/Index?noticeUID=CO1.NTC.6469815</t>
  </si>
  <si>
    <t>2024-1021</t>
  </si>
  <si>
    <t>1004215136</t>
  </si>
  <si>
    <t>JESICAGERALDINMORALES</t>
  </si>
  <si>
    <t>516-2024</t>
  </si>
  <si>
    <t>https://community.secop.gov.co/Public/Tendering/OpportunityDetail/Index?noticeUID=CO1.NTC.6480725</t>
  </si>
  <si>
    <t>2024-1039</t>
  </si>
  <si>
    <t>1085286476</t>
  </si>
  <si>
    <t>CAICEDOALVAREZELIANAESTEFANIA</t>
  </si>
  <si>
    <t>30/08/2024</t>
  </si>
  <si>
    <t>517-2024</t>
  </si>
  <si>
    <t>https://community.secop.gov.co/Public/Tendering/OpportunityDetail/Index?noticeUID=CO1.NTC.6489555</t>
  </si>
  <si>
    <t>2024-1046</t>
  </si>
  <si>
    <t>1085289928</t>
  </si>
  <si>
    <t>KELLYGABRIELACARDENASARCOS</t>
  </si>
  <si>
    <t>519-2024</t>
  </si>
  <si>
    <t>https://community.secop.gov.co/Public/Tendering/OpportunityDetail/Index?noticeUID=CO1.NTC.6481816</t>
  </si>
  <si>
    <t>2024-1043</t>
  </si>
  <si>
    <t>59311233</t>
  </si>
  <si>
    <t>YULIXIMENATAPIAORDONEZ</t>
  </si>
  <si>
    <t>31/07/2024</t>
  </si>
  <si>
    <t>31/08/2024</t>
  </si>
  <si>
    <t>524-2024</t>
  </si>
  <si>
    <t>https://community.secop.gov.co/Public/Tendering/OpportunityDetail/Index?noticeUID=CO1.NTC.6506845</t>
  </si>
  <si>
    <t>2024-1056</t>
  </si>
  <si>
    <t>12751390</t>
  </si>
  <si>
    <t>WILLIAMCARLOSVILLOTAMARTINEZ</t>
  </si>
  <si>
    <t>525-2024</t>
  </si>
  <si>
    <t>https://community.secop.gov.co/Public/Tendering/OpportunityDetail/Index?noticeUID=CO1.NTC.6507447</t>
  </si>
  <si>
    <t>2024-1057</t>
  </si>
  <si>
    <t>COMPRADEMATERIALPUBLICITARIODEIDENTIFICACIONDELPERSONALDEEQUIPOSBSICOSENSALUDDENTRODELDESARROLLODEESTRATEGIASDEATENCIONPRIMARIAENSALUDENLASDIFERENTESZONASYMICROTERRITORIOSRURALESYURBANOSDELMUNICIPIODEPASTOEJECUTADOPORPASTOSALUDESE</t>
  </si>
  <si>
    <t>551-2024</t>
  </si>
  <si>
    <t>https://community.secop.gov.co/Public/Tendering/OpportunityDetail/Index?noticeUID=CO1.NTC.6605080</t>
  </si>
  <si>
    <t>2024-1168</t>
  </si>
  <si>
    <t>1193279435</t>
  </si>
  <si>
    <t>ANGELASOFIAORDONEZBENAVIDES</t>
  </si>
  <si>
    <t>621-2024</t>
  </si>
  <si>
    <t>https://community.secop.gov.co/Public/Tendering/OpportunityDetail/Index?noticeUID=CO1.NTC.6747180</t>
  </si>
  <si>
    <t>2024-1298</t>
  </si>
  <si>
    <t>1061696504</t>
  </si>
  <si>
    <t>OVIEDOPAREDESADRIANALORENARUGLORYDISTRIBUCIONES</t>
  </si>
  <si>
    <t>30/09/2024</t>
  </si>
  <si>
    <t>COMPRAVENTADEELEMENTOSCATEGORIZADOSENLALINEADECONSUMOMATERIALESYSUMINISTROSDEACUERDOALASNECESIDADESIDENTIFICADASPARADESARROLLODELPROGRAMADEATENCIONPRIMARIAENSALUDCONFORMEALARESOLUCION1778DEL31DEOCTUBREDE2023</t>
  </si>
  <si>
    <t>176-2025</t>
  </si>
  <si>
    <t>https://community.secop.gov.co/Public/Tendering/OpportunityDetail/Index?noticeUID=CO1.NTC.7939698</t>
  </si>
  <si>
    <t>2025-0177</t>
  </si>
  <si>
    <t>2025-0358</t>
  </si>
  <si>
    <t>01/04/2025</t>
  </si>
  <si>
    <t>31/05/2025</t>
  </si>
  <si>
    <t>CONTRATARLAPRESTACIONDESERVICIOSPROFESIONALESENPSICOLOGIACONELFINDELLEVARACABOLASACTIVIDADESDESCRITASPARALOSEQUIPOSBASICOSDESALUDHACIENDOENFASISENELFORTALECIMIENTODELAATENCIONPRIMARIAENSALUDENELMARCODELAIMPLEMENTACIONDELMODELODESALUDPREVENTIVOYPREDICTIVOQUEGARANTICEELDERECHOFUNDAMENTALALASALUDEINCID</t>
  </si>
  <si>
    <t>177-2025</t>
  </si>
  <si>
    <t>https://community.secop.gov.co/Public/Tendering/OpportunityDetail/Index?noticeUID=CO1.NTC.7936654</t>
  </si>
  <si>
    <t>2025-0359</t>
  </si>
  <si>
    <t>178-2025</t>
  </si>
  <si>
    <t>https://community.secop.gov.co/Public/Tendering/OpportunityDetail/Index?noticeUID=CO1.NTC.7940840</t>
  </si>
  <si>
    <t>2025-0360</t>
  </si>
  <si>
    <t>179-2025</t>
  </si>
  <si>
    <t>https://community.secop.gov.co/Public/Tendering/OpportunityDetail/Index?noticeUID=CO1.NTC.7938689</t>
  </si>
  <si>
    <t>2025-0361</t>
  </si>
  <si>
    <t>1085324891</t>
  </si>
  <si>
    <t>NICOLASALEJANDROROSEROMORILLO</t>
  </si>
  <si>
    <t>CONTRATARLAPRESTACIONDESERVICIOSPROFESIONALESENODONTOLOGIACONELFINDELLEVARACABOLASACTIVIDADESDESCRITASPARALOSEQUIPOSBASICOSDESALUDHACIENDOENFASISENELFORTALECIMIENTODELAATENCIONPRIMARIAENSALUDENELMARCODELAIMPLEMENTACIONDELMODELODESALUDPREVENTIVOYPREDICTIVOQUEGARANTICEELDERECHOFUNDAMENTALALASALUDEINCI</t>
  </si>
  <si>
    <t>180-2025</t>
  </si>
  <si>
    <t>https://community.secop.gov.co/Public/Tendering/OpportunityDetail/Index?noticeUID=CO1.NTC.7936645</t>
  </si>
  <si>
    <t>2025-0362</t>
  </si>
  <si>
    <t>1085265622</t>
  </si>
  <si>
    <t>VIVIANAMERCEDESPIZANOPORTILLA</t>
  </si>
  <si>
    <t>181-2025</t>
  </si>
  <si>
    <t>https://community.secop.gov.co/Public/Tendering/OpportunityDetail/Index?noticeUID=CO1.NTC.7942563</t>
  </si>
  <si>
    <t>2025-0374</t>
  </si>
  <si>
    <t>182-2025</t>
  </si>
  <si>
    <t>https://community.secop.gov.co/Public/Tendering/OpportunityDetail/Index?noticeUID=CO1.NTC.7952511</t>
  </si>
  <si>
    <t>2025-0363</t>
  </si>
  <si>
    <t>CONTRATARLAPRESTACIONDESERVICIOSCOMOAUXILIARDEENFERMERIACONELFINDELLEVARACABOLASACTIVIDADESDESCRITASPARALOSEQUIPOSBASICOSDESALUDHACIENDOENFASISENELFORTALECIMIENTODELAATENCIONPRIMARIAENSALUDENELMARCODELAIMPLEMENTACIONDELMODELODESALUDPREVENTIVOYPREDICTIVOQUEGARANTICEELDERECHOFUNDAMENTALALASALUDEINCIDA</t>
  </si>
  <si>
    <t>184-2025</t>
  </si>
  <si>
    <t>https://community.secop.gov.co/Public/Tendering/OpportunityDetail/Index?noticeUID=CO1.NTC.7938304</t>
  </si>
  <si>
    <t>2025-0365</t>
  </si>
  <si>
    <t>185-2025</t>
  </si>
  <si>
    <t>https://community.secop.gov.co/Public/Tendering/OpportunityDetail/Index?noticeUID=CO1.NTC.7945456</t>
  </si>
  <si>
    <t>2025-0366</t>
  </si>
  <si>
    <t>186-2025</t>
  </si>
  <si>
    <t>https://community.secop.gov.co/Public/Tendering/OpportunityDetail/Index?noticeUID=CO1.NTC.7938026</t>
  </si>
  <si>
    <t>2025-0367</t>
  </si>
  <si>
    <t>187-2025</t>
  </si>
  <si>
    <t>https://community.secop.gov.co/Public/Tendering/OpportunityDetail/Index?noticeUID=CO1.NTC.7943829</t>
  </si>
  <si>
    <t>2025-0368</t>
  </si>
  <si>
    <t>59551018</t>
  </si>
  <si>
    <t>DIANAMARIAERASO</t>
  </si>
  <si>
    <t>188-2025</t>
  </si>
  <si>
    <t>https://community.secop.gov.co/Public/Tendering/OpportunityDetail/Index?noticeUID=CO1.NTC.7937475</t>
  </si>
  <si>
    <t>2025-0369</t>
  </si>
  <si>
    <t>189-2025</t>
  </si>
  <si>
    <t>https://community.secop.gov.co/Public/Tendering/OpportunityDetail/Index?noticeUID=CO1.NTC.7940718</t>
  </si>
  <si>
    <t>2025-0370</t>
  </si>
  <si>
    <t>190-2025</t>
  </si>
  <si>
    <t>https://community.secop.gov.co/Public/Tendering/OpportunityDetail/Index?noticeUID=CO1.NTC.7937755</t>
  </si>
  <si>
    <t>2025-0371</t>
  </si>
  <si>
    <t>192-2025</t>
  </si>
  <si>
    <t>https://community.secop.gov.co/Public/Tendering/OpportunityDetail/Index?noticeUID=CO1.NTC.7942224</t>
  </si>
  <si>
    <t>2025-0373</t>
  </si>
  <si>
    <t>CONTRATARLAPRESTACIONDESERVICIOSPROFESIONALESENENFERMERIACONELFINDELLEVARACABOLASACTIVIDADESDESCRITASPARALOSEQUIPOSBASICOSDESALUDHACIENDOENFASISENELFORTALECIMIENTODELAATENCIONPRIMARIAENSALUDENELMARCODELAIMPLEMENTACIONDELMODELODESALUDPREVENTIVOYPREDICTIVOQUEGARANTICEELDERECHOFUNDAMENTALALASALUDEINCID</t>
  </si>
  <si>
    <t>193-2025</t>
  </si>
  <si>
    <t>https://community.secop.gov.co/Public/Tendering/OpportunityDetail/Index?noticeUID=CO1.NTC.7940552</t>
  </si>
  <si>
    <t>2025-0375</t>
  </si>
  <si>
    <t>1085313870</t>
  </si>
  <si>
    <t>CAROLSILVANAPATINOVALENCIA</t>
  </si>
  <si>
    <t>194-2025</t>
  </si>
  <si>
    <t>https://community.secop.gov.co/Public/Tendering/OpportunityDetail/Index?noticeUID=CO1.NTC.7940741</t>
  </si>
  <si>
    <t>2025-0376</t>
  </si>
  <si>
    <t>196-2025</t>
  </si>
  <si>
    <t>https://community.secop.gov.co/Public/Tendering/OpportunityDetail/Index?noticeUID=CO1.NTC.7952333</t>
  </si>
  <si>
    <t>2025-0381</t>
  </si>
  <si>
    <t>1085324685</t>
  </si>
  <si>
    <t>LINAMARIAPIZANOPEREZ</t>
  </si>
  <si>
    <t>10/05/2025</t>
  </si>
  <si>
    <t>199-2025</t>
  </si>
  <si>
    <t>https://community.secop.gov.co/Public/Tendering/OpportunityDetail/Index?noticeUID=CO1.NTC.7952425</t>
  </si>
  <si>
    <t>2025-0384</t>
  </si>
  <si>
    <t>200-2025</t>
  </si>
  <si>
    <t>https://community.secop.gov.co/Public/Tendering/OpportunityDetail/Index?noticeUID=CO1.NTC.7953758</t>
  </si>
  <si>
    <t>2025-0385</t>
  </si>
  <si>
    <t>30/06/2025</t>
  </si>
  <si>
    <t>CONTRATARLAPRESTACIONDESERVICIOSCOMOGESTORCOMUNITARIOCONELFINDELLEVARACABOLASACTIVIDADESDESCRITASPARALOSEQUIPOSBASICOSDESALUDHACIENDOENFASISENELFORTALECIMIENTODELAATENCIONPRIMARIAENSALUDENELMARCODELAIMPLEMENTACIONDELMODELODESALUDPREVENTIVOYPREDICTIVOQUEGARANTICEELDERECHOFUNDAMENTALALASALUDEINCIDAENL</t>
  </si>
  <si>
    <t>201-2025</t>
  </si>
  <si>
    <t>https://community.secop.gov.co/Public/Tendering/OpportunityDetail/Index?noticeUID=CO1.NTC.7951269</t>
  </si>
  <si>
    <t>2025-0386</t>
  </si>
  <si>
    <t>ELBERALFREDOCAMPANAIMBAQUIN</t>
  </si>
  <si>
    <t>02/04/2025</t>
  </si>
  <si>
    <t>202-2025</t>
  </si>
  <si>
    <t>https://community.secop.gov.co/Public/Tendering/OpportunityDetail/Index?noticeUID=CO1.NTC.7953487</t>
  </si>
  <si>
    <t>2025-0387</t>
  </si>
  <si>
    <t>FERNANDOTEOFILOROSEROPATINO</t>
  </si>
  <si>
    <t>203-2025</t>
  </si>
  <si>
    <t>https://community.secop.gov.co/Public/Tendering/OpportunityDetail/Index?noticeUID=CO1.NTC.7951925</t>
  </si>
  <si>
    <t>2025-0388</t>
  </si>
  <si>
    <t>204-2025</t>
  </si>
  <si>
    <t>https://community.secop.gov.co/Public/Tendering/OpportunityDetail/Index?noticeUID=CO1.NTC.7962410</t>
  </si>
  <si>
    <t>2025-0389</t>
  </si>
  <si>
    <t>1086328142</t>
  </si>
  <si>
    <t>ZULYMARINAHIDALGOJOJOA</t>
  </si>
  <si>
    <t>205-2025</t>
  </si>
  <si>
    <t>https://community.secop.gov.co/Public/Tendering/OpportunityDetail/Index?noticeUID=CO1.NTC.7953327</t>
  </si>
  <si>
    <t>2025-0390</t>
  </si>
  <si>
    <t>02/04/2024</t>
  </si>
  <si>
    <t>208-2025</t>
  </si>
  <si>
    <t>https://community.secop.gov.co/Public/Tendering/OpportunityDetail/Index?noticeUID=CO1.NTC.7960847</t>
  </si>
  <si>
    <t>2025-0393</t>
  </si>
  <si>
    <t>209-2025</t>
  </si>
  <si>
    <t>https://community.secop.gov.co/Public/Tendering/OpportunityDetail/Index?noticeUID=CO1.NTC.7962587</t>
  </si>
  <si>
    <t>2025-0394</t>
  </si>
  <si>
    <t>210-2025</t>
  </si>
  <si>
    <t>https://community.secop.gov.co/Public/Tendering/OpportunityDetail/Index?noticeUID=CO1.NTC.7962250</t>
  </si>
  <si>
    <t>2025-0395</t>
  </si>
  <si>
    <t>59833899</t>
  </si>
  <si>
    <t>ANDREALILIANALAGUNARUALES</t>
  </si>
  <si>
    <t>211-2025</t>
  </si>
  <si>
    <t>https://community.secop.gov.co/Public/Tendering/OpportunityDetail/Index?noticeUID=CO1.NTC.7962624</t>
  </si>
  <si>
    <t>2025-0396</t>
  </si>
  <si>
    <t>1233188273</t>
  </si>
  <si>
    <t>ALEJANDRAMARLENYPATINOVALENCIA</t>
  </si>
  <si>
    <t>212-2025</t>
  </si>
  <si>
    <t>https://community.secop.gov.co/Public/Tendering/OpportunityDetail/Index?noticeUID=CO1.NTC.7962281</t>
  </si>
  <si>
    <t>2025-0397</t>
  </si>
  <si>
    <t>214-2025</t>
  </si>
  <si>
    <t>https://community.secop.gov.co/Public/Tendering/OpportunityDetail/Index?noticeUID=CO1.NTC.7961817</t>
  </si>
  <si>
    <t>2025-0402</t>
  </si>
  <si>
    <t>98391531</t>
  </si>
  <si>
    <t>HECTORGERMANOJEDACERON</t>
  </si>
  <si>
    <t>03/04/2025</t>
  </si>
  <si>
    <t>216-2025</t>
  </si>
  <si>
    <t>https://community.secop.gov.co/Public/Tendering/OpportunityDetail/Index?noticeUID=CO1.NTC.7964103</t>
  </si>
  <si>
    <t>2025-0406</t>
  </si>
  <si>
    <t>1085264667</t>
  </si>
  <si>
    <t>DANNYALEXANDERSANCHEZESTRADA</t>
  </si>
  <si>
    <t>217-2025</t>
  </si>
  <si>
    <t>https://community.secop.gov.co/Public/Tendering/OpportunityDetail/Index?noticeUID=CO1.NTC.7960759</t>
  </si>
  <si>
    <t>2025-0407</t>
  </si>
  <si>
    <t>27190772</t>
  </si>
  <si>
    <t>MILENAELIZABETHORDONEZORTIZ</t>
  </si>
  <si>
    <t>218-2025</t>
  </si>
  <si>
    <t>https://community.secop.gov.co/Public/Tendering/OpportunityDetail/Index?noticeUID=CO1.NTC.7966518</t>
  </si>
  <si>
    <t>2025-0408</t>
  </si>
  <si>
    <t>1085326791</t>
  </si>
  <si>
    <t>EDIERERNEYCORDOBAROJAS</t>
  </si>
  <si>
    <t>219-2025</t>
  </si>
  <si>
    <t>https://community.secop.gov.co/Public/Tendering/OpportunityDetail/Index?noticeUID=CO1.NTC.7960783</t>
  </si>
  <si>
    <t>2025-0409</t>
  </si>
  <si>
    <t>27087720</t>
  </si>
  <si>
    <t>MARIAINESPAGUAYGUANCHA</t>
  </si>
  <si>
    <t>220-2025</t>
  </si>
  <si>
    <t>https://community.secop.gov.co/Public/Tendering/OpportunityDetail/Index?noticeUID=CO1.NTC.7966528</t>
  </si>
  <si>
    <t>2025-0410</t>
  </si>
  <si>
    <t>1086329609</t>
  </si>
  <si>
    <t>LORENADELCARMENOJEDAVASQUEZ</t>
  </si>
  <si>
    <t>221-2025</t>
  </si>
  <si>
    <t>https://community.secop.gov.co/Public/Tendering/OpportunityDetail/Index?noticeUID=CO1.NTC.7966380</t>
  </si>
  <si>
    <t>2025-0411</t>
  </si>
  <si>
    <t>1233191675</t>
  </si>
  <si>
    <t>NATHALYSTEPHANIEMARTINEZMARTINEZ</t>
  </si>
  <si>
    <t>223-2025</t>
  </si>
  <si>
    <t>https://community.secop.gov.co/Public/Tendering/OpportunityDetail/Index?noticeUID=CO1.NTC.7963542</t>
  </si>
  <si>
    <t>2025-0413</t>
  </si>
  <si>
    <t>1004535234</t>
  </si>
  <si>
    <t>BRIGITESNITGARCIAMANCHABAJOY</t>
  </si>
  <si>
    <t>224-2025</t>
  </si>
  <si>
    <t>https://community.secop.gov.co/Public/Tendering/OpportunityDetail/Index?noticeUID=CO1.NTC.7966482</t>
  </si>
  <si>
    <t>2025-0414</t>
  </si>
  <si>
    <t>1081572043</t>
  </si>
  <si>
    <t>TATIANAANDREACRIOLLOGENOY</t>
  </si>
  <si>
    <t>225-2025</t>
  </si>
  <si>
    <t>https://community.secop.gov.co/Public/Tendering/OpportunityDetail/Index?noticeUID=CO1.NTC.7961773</t>
  </si>
  <si>
    <t>2025-0418</t>
  </si>
  <si>
    <t>1088733625</t>
  </si>
  <si>
    <t>LIZETHCABRERAFUERTES</t>
  </si>
  <si>
    <t>CONTRATARLAPRESTACIONDESERVICIOSCOMOAUXILIARDEENFERMERIACONELFINDELLEVARACABOLASACTIVIDADESDESCRITASPARALOSEQUIPOSBASICOSDESALUDHACIENDOENFASISENELFORTALECIMIENTODELAATENCIONPRIMARIAENSALUDENELMARCODELAIMPLEMENTACIONDELMODELODESALUDPREVENTIVOYPREDICTIVOQUEGARANTICEERDERECHOFUNDAMENTALALASALUDEINCIDA</t>
  </si>
  <si>
    <t>226-2025</t>
  </si>
  <si>
    <t>https://community.secop.gov.co/Public/Tendering/OpportunityDetail/Index?noticeUID=CO1.NTC.7962100</t>
  </si>
  <si>
    <t>2025-0415</t>
  </si>
  <si>
    <t>CONTRATARLAPRESTACIONDESERVICIOSPROFESIONALESENPSICOLOGIACONELFINDEILEVARACABOLASACTIVIDADESDESCRITASPARALOSEQUIPOSBASICOSDESALUDHACIENDOENFASISENELFORTALECIMIENTODELAATENCIONPRIMARIAENSALUDENELMARCODELAIMPLEMENTACIONDELMODELODESALUDPREVENTIVOYPREDICTIVOQUEGARANTICEELDERECHOFUNDAMENTALALASALUDEINCID</t>
  </si>
  <si>
    <t>227-2025</t>
  </si>
  <si>
    <t>https://community.secop.gov.co/Public/Tendering/OpportunityDetail/Index?noticeUID=CO1.NTC.7955414</t>
  </si>
  <si>
    <t>2025-0419</t>
  </si>
  <si>
    <t>228-2025</t>
  </si>
  <si>
    <t>https://community.secop.gov.co/Public/Tendering/OpportunityDetail/Index?noticeUID=CO1.NTC.7961026</t>
  </si>
  <si>
    <t>2025-0420</t>
  </si>
  <si>
    <t>87067123</t>
  </si>
  <si>
    <t>EDWINPANTOJAOTERO</t>
  </si>
  <si>
    <t>CONTRATARLAPRESTACIONDESERVICIOSPROFESIONALESENMEDICINACONELFINDELLEVARACABOLASACTIVIDADESDESCRITASPARALOSEQUIPOSBASICOSDESALUDHACIENDOENFASISENELFORTALECIMIENTODELAATENCIONPRIMARIAENSALUDENELMARCODELAIMPLEMENTACIONDELMODELODESALUDPREVENTIVOYPREDICTIVOQUEGARANTICEELDERECHOFUNDAMENTALALASALUDEINCIDAE</t>
  </si>
  <si>
    <t>229-2025</t>
  </si>
  <si>
    <t>https://community.secop.gov.co/Public/Tendering/OpportunityDetail/Index?noticeUID=CO1.NTC.7968046</t>
  </si>
  <si>
    <t>2025-0421</t>
  </si>
  <si>
    <t>233-2025</t>
  </si>
  <si>
    <t>https://community.secop.gov.co/Public/Tendering/OpportunityDetail/Index?noticeUID=CO1.NTC.7962285</t>
  </si>
  <si>
    <t>2025-0423</t>
  </si>
  <si>
    <t>234-2025</t>
  </si>
  <si>
    <t>https://community.secop.gov.co/Public/Tendering/OpportunityDetail/Index?noticeUID=CO1.NTC.7968090</t>
  </si>
  <si>
    <t>2025-0424</t>
  </si>
  <si>
    <t>1086223299</t>
  </si>
  <si>
    <t>DOLYMAYBRITIMANAGUACAN</t>
  </si>
  <si>
    <t>235-2025</t>
  </si>
  <si>
    <t>https://community.secop.gov.co/Public/Tendering/OpportunityDetail/Index?noticeUID=CO1.NTC.7964420</t>
  </si>
  <si>
    <t>2025-0425</t>
  </si>
  <si>
    <t>238-2025</t>
  </si>
  <si>
    <t>https://community.secop.gov.co/Public/Tendering/OpportunityDetail/Index?noticeUID=CO1.NTC.7971046</t>
  </si>
  <si>
    <t>2025-0430</t>
  </si>
  <si>
    <t>30743783</t>
  </si>
  <si>
    <t>JAQUELINEMELOMOSQUERA</t>
  </si>
  <si>
    <t>04/04/2025</t>
  </si>
  <si>
    <t>239-2025</t>
  </si>
  <si>
    <t>https://community.secop.gov.co/Public/Tendering/OpportunityDetail/Index?noticeUID=CO1.NTC.7971063</t>
  </si>
  <si>
    <t>2025-0431</t>
  </si>
  <si>
    <t>1004598784</t>
  </si>
  <si>
    <t>YEISONSMITNUNEZACOSTA</t>
  </si>
  <si>
    <t>240-2025</t>
  </si>
  <si>
    <t>https://community.secop.gov.co/Public/Tendering/OpportunityDetail/Index?noticeUID=CO1.NTC.7970369</t>
  </si>
  <si>
    <t>2025-0432</t>
  </si>
  <si>
    <t>241-2025</t>
  </si>
  <si>
    <t>https://community.secop.gov.co/Public/Tendering/OpportunityDetail/Index?noticeUID=CO1.NTC.7971607</t>
  </si>
  <si>
    <t>2025-0433</t>
  </si>
  <si>
    <t>MONICADELROCIOERAZORUIZ</t>
  </si>
  <si>
    <t>242-2025</t>
  </si>
  <si>
    <t>https://community.secop.gov.co/Public/Tendering/OpportunityDetail/Index?noticeUID=CO1.NTC.7971266</t>
  </si>
  <si>
    <t>2025-0434</t>
  </si>
  <si>
    <t>243-2025</t>
  </si>
  <si>
    <t>https://community.secop.gov.co/Public/Tendering/OpportunityDetail/Index?noticeUID=CO1.NTC.7969330</t>
  </si>
  <si>
    <t>2025-0435</t>
  </si>
  <si>
    <t>1082748420</t>
  </si>
  <si>
    <t>NATHALIAROSERORODRIGUEZ</t>
  </si>
  <si>
    <t>244-2025</t>
  </si>
  <si>
    <t>https://community.secop.gov.co/Public/Tendering/OpportunityDetail/Index?noticeUID=CO1.NTC.7975210</t>
  </si>
  <si>
    <t>2025-0436</t>
  </si>
  <si>
    <t>98382500</t>
  </si>
  <si>
    <t>JOSEJAVIERPINTAYAQUENO</t>
  </si>
  <si>
    <t>245-2025</t>
  </si>
  <si>
    <t>https://community.secop.gov.co/Public/Tendering/OpportunityDetail/Index?noticeUID=CO1.NTC.7970802</t>
  </si>
  <si>
    <t>2025-0437</t>
  </si>
  <si>
    <t>MARILYNZAMBRANOOBANDO</t>
  </si>
  <si>
    <t>246-2025</t>
  </si>
  <si>
    <t>https://community.secop.gov.co/Public/Tendering/OpportunityDetail/Index?noticeUID=CO1.NTC.7975234</t>
  </si>
  <si>
    <t>2025-0438</t>
  </si>
  <si>
    <t>247-2025</t>
  </si>
  <si>
    <t>https://community.secop.gov.co/Public/Tendering/OpportunityDetail/Index?noticeUID=CO1.NTC.7971649</t>
  </si>
  <si>
    <t>2025-0439</t>
  </si>
  <si>
    <t>248-2025</t>
  </si>
  <si>
    <t>https://community.secop.gov.co/Public/Tendering/OpportunityDetail/Index?noticeUID=CO1.NTC.7971611</t>
  </si>
  <si>
    <t>2025-0440</t>
  </si>
  <si>
    <t>12748383</t>
  </si>
  <si>
    <t>ANDRESERNESTOBRAVOALMEIDA</t>
  </si>
  <si>
    <t>249-2025</t>
  </si>
  <si>
    <t>https://community.secop.gov.co/Public/Tendering/OpportunityDetail/Index?noticeUID=CO1.NTC.7970810</t>
  </si>
  <si>
    <t>2025-0441</t>
  </si>
  <si>
    <t>250-2025</t>
  </si>
  <si>
    <t>https://community.secop.gov.co/Public/Tendering/OpportunityDetail/Index?noticeUID=CO1.NTC.7975269</t>
  </si>
  <si>
    <t>2025-0442</t>
  </si>
  <si>
    <t>1085347173</t>
  </si>
  <si>
    <t>JEISSONSTEVENBASANTEERAZO</t>
  </si>
  <si>
    <t>251-2025</t>
  </si>
  <si>
    <t>https://community.secop.gov.co/Public/Tendering/OpportunityDetail/Index?noticeUID=CO1.NTC.7971278</t>
  </si>
  <si>
    <t>2025-0443</t>
  </si>
  <si>
    <t>13069881</t>
  </si>
  <si>
    <t>FRANGIOVANNYGETIALCHICAIZA</t>
  </si>
  <si>
    <t>252-2025</t>
  </si>
  <si>
    <t>https://community.secop.gov.co/Public/Tendering/OpportunityDetail/Index?noticeUID=CO1.NTC.7971437</t>
  </si>
  <si>
    <t>2025-0444</t>
  </si>
  <si>
    <t>30736949</t>
  </si>
  <si>
    <t>LIGIADELCARMENERAZOGUERRERO</t>
  </si>
  <si>
    <t>254-2025</t>
  </si>
  <si>
    <t>https://community.secop.gov.co/Public/Tendering/OpportunityDetail/Index?noticeUID=CO1.NTC.7970803</t>
  </si>
  <si>
    <t>2025-0449</t>
  </si>
  <si>
    <t>1085331141</t>
  </si>
  <si>
    <t>YEIMERDANILOCAEZMORALES</t>
  </si>
  <si>
    <t>07/04/2025</t>
  </si>
  <si>
    <t>258-2025</t>
  </si>
  <si>
    <t>https://community.secop.gov.co/Public/Tendering/OpportunityDetail/Index?noticeUID=CO1.NTC.7983095</t>
  </si>
  <si>
    <t>2022-0177</t>
  </si>
  <si>
    <t>2025-0455</t>
  </si>
  <si>
    <t>1004235479</t>
  </si>
  <si>
    <t>TANIAKARINACUEROCASANOVA</t>
  </si>
  <si>
    <t>08/04/2025</t>
  </si>
  <si>
    <t>261-2025</t>
  </si>
  <si>
    <t>https://community.secop.gov.co/Public/Tendering/OpportunityDetail/Index?noticeUID=CO1.NTC.7983415</t>
  </si>
  <si>
    <t>2025-0458</t>
  </si>
  <si>
    <t>1085318898</t>
  </si>
  <si>
    <t>TANIAMARCELADIAZDIAZ</t>
  </si>
  <si>
    <t>09/04/2025</t>
  </si>
  <si>
    <t>262-2025</t>
  </si>
  <si>
    <t>https://community.secop.gov.co/Public/Tendering/OpportunityDetail/Index?noticeUID=CO1.NTC.7983186</t>
  </si>
  <si>
    <t>2025-0459</t>
  </si>
  <si>
    <t>59821094</t>
  </si>
  <si>
    <t>ADRIANAPATRICIADUENASSALAZAR</t>
  </si>
  <si>
    <t>263-2025</t>
  </si>
  <si>
    <t>https://community.secop.gov.co/Public/Tendering/OpportunityDetail/Index?noticeUID=CO1.NTC.7993391</t>
  </si>
  <si>
    <t>2025-0460</t>
  </si>
  <si>
    <t>1004216993</t>
  </si>
  <si>
    <t>ANDREANATHALYALAVABOLANOS</t>
  </si>
  <si>
    <t>265-2025</t>
  </si>
  <si>
    <t>https://community.secop.gov.co/Public/Tendering/OpportunityDetail/Index?noticeUID=CO1.NTC.7989760</t>
  </si>
  <si>
    <t>2025-0462</t>
  </si>
  <si>
    <t>13069636</t>
  </si>
  <si>
    <t>JUANPABLOMADRONEROMUNOZ</t>
  </si>
  <si>
    <t>266-2025</t>
  </si>
  <si>
    <t>https://community.secop.gov.co/Public/Tendering/OpportunityDetail/Index?noticeUID=CO1.NTC.7989596</t>
  </si>
  <si>
    <t>2025-0463</t>
  </si>
  <si>
    <t>267-2025</t>
  </si>
  <si>
    <t>https://community.secop.gov.co/Public/Tendering/OpportunityDetail/Index?noticeUID=CO1.NTC.7990527</t>
  </si>
  <si>
    <t>2025-0464</t>
  </si>
  <si>
    <t>27388522</t>
  </si>
  <si>
    <t>NUVIGRACIELACHAMORROCORAL</t>
  </si>
  <si>
    <t>268-2025</t>
  </si>
  <si>
    <t>https://community.secop.gov.co/Public/Tendering/OpportunityDetail/Index?noticeUID=CO1.NTC.7989638</t>
  </si>
  <si>
    <t>2025-0465</t>
  </si>
  <si>
    <t>269-2025</t>
  </si>
  <si>
    <t>https://community.secop.gov.co/Public/Tendering/OpportunityDetail/Index?noticeUID=CO1.NTC.7993722</t>
  </si>
  <si>
    <t>2025-0466</t>
  </si>
  <si>
    <t>36757221</t>
  </si>
  <si>
    <t>FANNYMARIELACORDOBAMORENO</t>
  </si>
  <si>
    <t>270-2025</t>
  </si>
  <si>
    <t>https://community.secop.gov.co/Public/Tendering/OpportunityDetail/Index?noticeUID=CO1.NTC.7993367</t>
  </si>
  <si>
    <t>2025-0467</t>
  </si>
  <si>
    <t>271-2025</t>
  </si>
  <si>
    <t>https://community.secop.gov.co/Public/Tendering/OpportunityDetail/Index?noticeUID=CO1.NTC.7990732</t>
  </si>
  <si>
    <t>2025-0468</t>
  </si>
  <si>
    <t>27088141</t>
  </si>
  <si>
    <t>CONSTANZAHAIDYUNIGARROPAZ</t>
  </si>
  <si>
    <t>274-2025</t>
  </si>
  <si>
    <t>https://community.secop.gov.co/Public/Tendering/OpportunityDetail/Index?noticeUID=CO1.NTC.7994062</t>
  </si>
  <si>
    <t>2025-0471</t>
  </si>
  <si>
    <t>1082747438</t>
  </si>
  <si>
    <t>PAOLAANDREAMENESESERAZO</t>
  </si>
  <si>
    <t>10/04/2025</t>
  </si>
  <si>
    <t>276-2025</t>
  </si>
  <si>
    <t>https://community.secop.gov.co/Public/Tendering/OpportunityDetail/Index?noticeUID=CO1.NTC.7989829</t>
  </si>
  <si>
    <t>2025-0473</t>
  </si>
  <si>
    <t>27436186</t>
  </si>
  <si>
    <t>ANYELYROCIOLOPEZROSERO</t>
  </si>
  <si>
    <t>277-2025</t>
  </si>
  <si>
    <t>https://community.secop.gov.co/Public/Tendering/OpportunityDetail/Index?noticeUID=CO1.NTC.7995463</t>
  </si>
  <si>
    <t>2025-0474</t>
  </si>
  <si>
    <t>37083324</t>
  </si>
  <si>
    <t>ANNYMAYERLINENARVAEZNANEZ</t>
  </si>
  <si>
    <t>278-2025</t>
  </si>
  <si>
    <t>https://community.secop.gov.co/Public/Tendering/OpportunityDetail/Index?noticeUID=CO1.NTC.7995483</t>
  </si>
  <si>
    <t>2025-0475</t>
  </si>
  <si>
    <t>279-2025</t>
  </si>
  <si>
    <t>https://community.secop.gov.co/Public/Tendering/OpportunityDetail/Index?noticeUID=CO1.NTC.7995204</t>
  </si>
  <si>
    <t>2025-0480</t>
  </si>
  <si>
    <t>1088729401</t>
  </si>
  <si>
    <t>CARLOSANDRESPANTOJABENAVIDES</t>
  </si>
  <si>
    <t>11/04/2025</t>
  </si>
  <si>
    <t>281-2025</t>
  </si>
  <si>
    <t>https://community.secop.gov.co/Public/Tendering/OpportunityDetail/Index?noticeUID=CO1.NTC.8000802</t>
  </si>
  <si>
    <t>2025-0482</t>
  </si>
  <si>
    <t>282-2025</t>
  </si>
  <si>
    <t>https://community.secop.gov.co/Public/Tendering/OpportunityDetail/Index?noticeUID=CO1.NTC.8018048</t>
  </si>
  <si>
    <t>2025-0483</t>
  </si>
  <si>
    <t>302-2025</t>
  </si>
  <si>
    <t>https://community.secop.gov.co/Public/Tendering/OpportunityDetail/Index?noticeUID=CO1.NTC.8035847</t>
  </si>
  <si>
    <t>2025-0507</t>
  </si>
  <si>
    <t>21/04/2025</t>
  </si>
  <si>
    <t>233-2024</t>
  </si>
  <si>
    <t>https://community.secop.gov.co/Public/Tendering/OpportunityDetail/Index?noticeUID=CO1.NTC.6105731</t>
  </si>
  <si>
    <t>2024-0478</t>
  </si>
  <si>
    <t>1085318201</t>
  </si>
  <si>
    <t>JAZMINELIZABETHARCECALDERON</t>
  </si>
  <si>
    <t>310-2025</t>
  </si>
  <si>
    <t>https://community.secop.gov.co/Public/Tendering/OpportunityDetail/Index?noticeUID=CO1.NTC.8069904</t>
  </si>
  <si>
    <t>2025-0524</t>
  </si>
  <si>
    <t>28/04/2025</t>
  </si>
  <si>
    <t>375-2025</t>
  </si>
  <si>
    <t>ANA MILENA JACANAMIJOY TREJO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</si>
  <si>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</si>
  <si>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450-2025</t>
  </si>
  <si>
    <t>LEYDI GISELLA BENAVIDES LOPEZ</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</si>
  <si>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</si>
  <si>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442-2025</t>
  </si>
  <si>
    <t>ANA GLAIR ESTRADA CASTILLO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</si>
  <si>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</si>
  <si>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443-2025</t>
  </si>
  <si>
    <t>MARIA ISABEL VELASCO ROSERO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</si>
  <si>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</si>
  <si>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452-2025</t>
  </si>
  <si>
    <t xml:space="preserve"> ISABELA CATALINA CALDERON MERA</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</si>
  <si>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</si>
  <si>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453-2025</t>
  </si>
  <si>
    <t>DANIELA ALEXANDRA DIAZ GUERRERO</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</si>
  <si>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</si>
  <si>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454-2025</t>
  </si>
  <si>
    <t>FRANCISCO RAFAEL ORTIZ BENITEZ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</si>
  <si>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</si>
  <si>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455-2025</t>
  </si>
  <si>
    <t>JUAN ESTEBAN OBANDO ORDÓÑEZ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</si>
  <si>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</si>
  <si>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461-2025</t>
  </si>
  <si>
    <t>ANA VICTORIA ORTEGA
GOMEZ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</si>
  <si>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</si>
  <si>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462-2025</t>
  </si>
  <si>
    <t>ALEXANDRA GONZALEZ HORTA</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</si>
  <si>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</si>
  <si>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463-2025</t>
  </si>
  <si>
    <t xml:space="preserve"> FANNY MARIELA
CORDOBA MORENO</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</si>
  <si>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</si>
  <si>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459-2025</t>
  </si>
  <si>
    <t>LYNN JANINA ORTIZ PAZ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</si>
  <si>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</si>
  <si>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457-2025</t>
  </si>
  <si>
    <t>MAGDA YAMILE MIDEROS
MUÑOZ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</si>
  <si>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</si>
  <si>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458-2025</t>
  </si>
  <si>
    <t>MARIBEL DEL CARMEN MAIGUAL MUÑOZ</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</si>
  <si>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</si>
  <si>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471-2025</t>
  </si>
  <si>
    <t>MARIA CAMILA JURADO
PAZ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</si>
  <si>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</si>
  <si>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472-2025</t>
  </si>
  <si>
    <t>JOHANA KATERINE GONZALEZ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</si>
  <si>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</si>
  <si>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464-2025</t>
  </si>
  <si>
    <t>ELIANA STEPHANIE CAICEDO ALVAREZ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</si>
  <si>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</si>
  <si>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465-2025</t>
  </si>
  <si>
    <t>JAVIER FERNANDO CHILANGUAD CABRERA</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</si>
  <si>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</si>
  <si>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466-2025</t>
  </si>
  <si>
    <t>NICOLAS ALEJANDRO ROSERO MORILLO</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</si>
  <si>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</si>
  <si>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467-2025</t>
  </si>
  <si>
    <t xml:space="preserve"> PAULA ANDREA ROCHA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</si>
  <si>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</si>
  <si>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468-2025</t>
  </si>
  <si>
    <t xml:space="preserve"> DIANA MARÍA ERASO ALAVA</t>
  </si>
  <si>
    <t>473-2025</t>
  </si>
  <si>
    <t>JUANITA MAYLIN VELASQUEZ REVELO</t>
  </si>
  <si>
    <t>456-2025</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</si>
  <si>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</si>
  <si>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487-2025</t>
  </si>
  <si>
    <t>DUVAN RECALDE AREVALO</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</si>
  <si>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</si>
  <si>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474-2025</t>
  </si>
  <si>
    <t xml:space="preserve"> NICOLAS EMILIO MENA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</si>
  <si>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</si>
  <si>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475-2025</t>
  </si>
  <si>
    <t>LEYDI DEL ROSARIO CUACEZ NOGUERA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</si>
  <si>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</si>
  <si>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476-2025</t>
  </si>
  <si>
    <t>LAUREN AZENITH CORAL SAMUDIO</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</si>
  <si>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</si>
  <si>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477-2025</t>
  </si>
  <si>
    <t xml:space="preserve"> LIZETH MARCELA ORTIZ MUÑOZ</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</si>
  <si>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</si>
  <si>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478-2025</t>
  </si>
  <si>
    <t xml:space="preserve"> PABLO ERNESTO RIOBAMBA IPIALES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</si>
  <si>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</si>
  <si>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479-2025</t>
  </si>
  <si>
    <t>AIDE CAROLINA RIASCOS ECHEVERRY</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</si>
  <si>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</si>
  <si>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480-2025</t>
  </si>
  <si>
    <t>NATHALY STEPHANIE MARTINEZ MARTINEZ</t>
  </si>
  <si>
    <t>481-2025</t>
  </si>
  <si>
    <t>YOLLDY LIZETH CABRERA FUERTES</t>
  </si>
  <si>
    <t>482-2025</t>
  </si>
  <si>
    <t>JULIE ANDREA FREIRE MIER</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</si>
  <si>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</si>
  <si>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483-2025</t>
  </si>
  <si>
    <t>LISSETH MARISOL CUASTUMAL CASTRO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</si>
  <si>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</si>
  <si>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484-2025</t>
  </si>
  <si>
    <t>ALEXANDRA MARIA ORTEGA ROSERO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</si>
  <si>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</si>
  <si>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470-2025</t>
  </si>
  <si>
    <t>LAURA CAROLINA DELGADO
BASTIDAS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</si>
  <si>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</si>
  <si>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489-2025</t>
  </si>
  <si>
    <t>EVELYN FERNANDA ACOSTA CHICAIZA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</si>
  <si>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</si>
  <si>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490-2025</t>
  </si>
  <si>
    <t>MARILYN ZAMBRANO OBANDO</t>
  </si>
  <si>
    <t>491-2025</t>
  </si>
  <si>
    <t>MARIA ISABEL ALVAREZ CAICEDO,</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</si>
  <si>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</si>
  <si>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492-2025</t>
  </si>
  <si>
    <t>DOLY MAYBRI TIMANA GUACAN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</si>
  <si>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</si>
  <si>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493-2025</t>
  </si>
  <si>
    <t>CAMILO JAVIER OÑATE BUCHELI</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</si>
  <si>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</si>
  <si>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494-2025</t>
  </si>
  <si>
    <t xml:space="preserve"> NEIRA JIMENA CASTILLO ARMERO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</si>
  <si>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</si>
  <si>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495-2025</t>
  </si>
  <si>
    <t>PAOLA VIVIANA HIDALGO MARCILLO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</si>
  <si>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</si>
  <si>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496-2025</t>
  </si>
  <si>
    <t>CLAUDIA LUCY CALVACHE MARTINEZ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</si>
  <si>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</si>
  <si>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513-2025</t>
  </si>
  <si>
    <t>PATRICIA YOLANDA PAZ DELGADO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</si>
  <si>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</si>
  <si>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514-2025</t>
  </si>
  <si>
    <t>KELLY YURANY JOJOA BOTINA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</si>
  <si>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</si>
  <si>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509-2025</t>
  </si>
  <si>
    <t>CLARA MARIA ACOSTA</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</si>
  <si>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</si>
  <si>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510-2025</t>
  </si>
  <si>
    <t>PAULA ANDREA PRADO ACOSTA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</si>
  <si>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</si>
  <si>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486-2025</t>
  </si>
  <si>
    <t>CARLOS ALBERTO ZAMBRANO VARGAS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</si>
  <si>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</si>
  <si>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502-2025</t>
  </si>
  <si>
    <t>VANESSA KATHERINE JOJOA ARIAS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</si>
  <si>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</si>
  <si>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503-2025</t>
  </si>
  <si>
    <t>NUVI GRACIELA CHAMORRO CORAL</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</si>
  <si>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</si>
  <si>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504-2025</t>
  </si>
  <si>
    <t xml:space="preserve"> LADY CAROLINA TIBAQUIRA BALLESTEROS</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</si>
  <si>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</si>
  <si>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507-2025</t>
  </si>
  <si>
    <t>ANYI NATALY FARINANGO CHAVEZ</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</si>
  <si>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</si>
  <si>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497-2025</t>
  </si>
  <si>
    <t>DIANA CAROLINA ORTEGA CAICEDO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</si>
  <si>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</si>
  <si>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498-2025</t>
  </si>
  <si>
    <t>ANGIE GABRIELA ENRIQUEZ TACAN</t>
  </si>
  <si>
    <t>499-2025</t>
  </si>
  <si>
    <t>ANGIE VIVIANA SACANAMBUY PAZ</t>
  </si>
  <si>
    <t>500-2025</t>
  </si>
  <si>
    <t>MIRYAM ELIZABETH POPAYAN PASCUAZA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</si>
  <si>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</si>
  <si>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515-2025</t>
  </si>
  <si>
    <t>VERONICA SOFIA HUERTAS ARCINIEGAS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</si>
  <si>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</si>
  <si>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516-2025</t>
  </si>
  <si>
    <t>JAQUELINE CAMILA GENOY VILLOTA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</si>
  <si>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</si>
  <si>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517-2025</t>
  </si>
  <si>
    <t>JOSE JAVIER PINTA YAQUENO</t>
  </si>
  <si>
    <t>518-2025</t>
  </si>
  <si>
    <t xml:space="preserve"> KAROL DAYANA TONGUINO TORO</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</si>
  <si>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</si>
  <si>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520-2025</t>
  </si>
  <si>
    <t>NATALIA ANDREA LATORRE RUANO</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</si>
  <si>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</si>
  <si>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521-2025</t>
  </si>
  <si>
    <t>ALBA DENIS ARGOTY SANTACRUZ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</si>
  <si>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</si>
  <si>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527-2025</t>
  </si>
  <si>
    <t>JANETH EMILSE DIAZ ARCINIEGAS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</si>
  <si>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</si>
  <si>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522-2025</t>
  </si>
  <si>
    <t xml:space="preserve"> CARLOS ANDRES PANTOJA BENAVIDES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</si>
  <si>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</si>
  <si>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524-2025</t>
  </si>
  <si>
    <t>SOFIA ESMERALDA MEJIA ORTIZ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</si>
  <si>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</si>
  <si>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525-2025</t>
  </si>
  <si>
    <t xml:space="preserve"> EDUARDO MAURICIO NARVAEZ
GUERRA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</si>
  <si>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</si>
  <si>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539-2025</t>
  </si>
  <si>
    <t>CAROL SUVANY HERRERA ERAZO</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</si>
  <si>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</si>
  <si>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532-2025</t>
  </si>
  <si>
    <t xml:space="preserve"> DOLORES BERTINA BASANTE</t>
  </si>
  <si>
    <t>533-2025</t>
  </si>
  <si>
    <t>MARGARITA ANDREA BENAVIDES NASPIRAN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</si>
  <si>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</si>
  <si>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488-2025</t>
  </si>
  <si>
    <t>NIKOLE CAROLAY IBAÑEZ ALVAREZ</t>
  </si>
  <si>
    <t>535-2025</t>
  </si>
  <si>
    <t xml:space="preserve"> LILIANA ANDREA OLIVA ORTI</t>
  </si>
  <si>
    <t>536-2025</t>
  </si>
  <si>
    <t>CLARA INES APRAEZ GOMEZ</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</si>
  <si>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</si>
  <si>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537-2025</t>
  </si>
  <si>
    <t xml:space="preserve"> JESSICA GRACE HERNANDEZ RIASCOS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</si>
  <si>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</si>
  <si>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540-2025</t>
  </si>
  <si>
    <t>LAURA CATALINA MUÑOZ LUNA</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</si>
  <si>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</si>
  <si>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545-2025</t>
  </si>
  <si>
    <t>CARMEN PATRICIA CORDOBA ARTEAGA</t>
  </si>
  <si>
    <t>501-2025</t>
  </si>
  <si>
    <t xml:space="preserve"> 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</si>
  <si>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</si>
  <si>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547-2025</t>
  </si>
  <si>
    <t>JOHANA CAROLINA CAICEDO GOYES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</si>
  <si>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</si>
  <si>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548-2025</t>
  </si>
  <si>
    <t xml:space="preserve"> DEISY JOHANNA BASTIDAS JOJOA</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</si>
  <si>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</si>
  <si>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549-2025</t>
  </si>
  <si>
    <t>LICETH YAMIL TIMANA CAEZ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</si>
  <si>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</si>
  <si>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552-2025</t>
  </si>
  <si>
    <t>FHALOM CAROLINA ROSERO TORRES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</si>
  <si>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</si>
  <si>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553-2025</t>
  </si>
  <si>
    <t>ORFELIA DEL CARMEN OSORIO GUERRERO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</si>
  <si>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</si>
  <si>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542-2025</t>
  </si>
  <si>
    <t xml:space="preserve"> LILIAN SOLARTE GONZALEZ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</si>
  <si>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</si>
  <si>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543-2025</t>
  </si>
  <si>
    <t>YULLI KAROLINA CASTILLO PAZ</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</si>
  <si>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</si>
  <si>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544-2025</t>
  </si>
  <si>
    <t>ADRIANA GABRIELA DIAZ MONTENEGRO</t>
  </si>
  <si>
    <t>550-2025</t>
  </si>
  <si>
    <t>TATIANA ANDREA CRIOLLO GENOY</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</si>
  <si>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</si>
  <si>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554-2025</t>
  </si>
  <si>
    <t>JEISSON STEVEN BASANTE ERAZO</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</si>
  <si>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</si>
  <si>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511-2025</t>
  </si>
  <si>
    <t>EDGAR ALBERTO RAMIREZ LOPEZ</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</si>
  <si>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</si>
  <si>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541-2025</t>
  </si>
  <si>
    <t>FERNANDO TEOFILO ROSERO PATIÑO</t>
  </si>
  <si>
    <t>530-2025</t>
  </si>
  <si>
    <t>TRANSPORTES ESPECIALES ACAR SA</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</si>
  <si>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</si>
  <si>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557-2025</t>
  </si>
  <si>
    <t xml:space="preserve"> DIANA MARCELA RODRIGUEZ MORA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</si>
  <si>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</si>
  <si>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564-2025</t>
  </si>
  <si>
    <t>LUCIA PATRICIA URBANO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</si>
  <si>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</si>
  <si>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565-2025</t>
  </si>
  <si>
    <t>EDIER ERNEY CORDOBA ROJAS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</si>
  <si>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</si>
  <si>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534-2025</t>
  </si>
  <si>
    <t>RITA GUADALUPE CAICEDO NOGUERA</t>
  </si>
  <si>
    <t>546-2025</t>
  </si>
  <si>
    <t>MARIA EUGENIA ESTRADA ZAMBRANO</t>
  </si>
  <si>
    <t>568-2025</t>
  </si>
  <si>
    <t>CRISTIAN FABIAN CRIOLLO RIVERA</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</si>
  <si>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</si>
  <si>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555-2025</t>
  </si>
  <si>
    <t>RENE MARTINEZ MARTINEZ</t>
  </si>
  <si>
    <t>572-2025</t>
  </si>
  <si>
    <t>DANIELA FERNANDA ERASO VALENCIA</t>
  </si>
  <si>
    <t>574-2025</t>
  </si>
  <si>
    <t>LUZ AMPARO ROMAN GUANCHA</t>
  </si>
  <si>
    <t>573-2025</t>
  </si>
  <si>
    <t>BRIGIT ESNIT GARCIA MANCHABAJOY</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</si>
  <si>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</si>
  <si>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575-2025</t>
  </si>
  <si>
    <t>ANA ALEJANDRA SALAZAR RAMIREZ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</si>
  <si>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</si>
  <si>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576-2025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</si>
  <si>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</si>
  <si>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</si>
  <si>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579-2025</t>
  </si>
  <si>
    <t>PAOLA ANDREA MENESES ERAZO</t>
  </si>
  <si>
    <t>580-2025</t>
  </si>
  <si>
    <t>PAULA ANDREA MANOSALVA UNIGARRO</t>
  </si>
  <si>
    <t>556-2025</t>
  </si>
  <si>
    <t>TANIA KARINA CUERO CASANOVA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</si>
  <si>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</si>
  <si>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590-2025</t>
  </si>
  <si>
    <t>MIRIAN SUVANY DAVID NARVAEZ</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</si>
  <si>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</si>
  <si>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592-2025</t>
  </si>
  <si>
    <t>MYRIAM ADRIANA ZAMBRANO ONOFRE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</si>
  <si>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</si>
  <si>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594-2025</t>
  </si>
  <si>
    <t>LORENA DEL CARMEN OJEDA VASQUEZ</t>
  </si>
  <si>
    <t>604-2025</t>
  </si>
  <si>
    <t xml:space="preserve"> ROBERT IVAN ORTEGA INSUASTY</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</si>
  <si>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</si>
  <si>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605-2025</t>
  </si>
  <si>
    <t>DOLLY DIGNA DAVILA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</si>
  <si>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</si>
  <si>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606-2025</t>
  </si>
  <si>
    <t>JEFFERSON RIGO LEITON RODRIGUEZ,</t>
  </si>
  <si>
    <t>607-2025</t>
  </si>
  <si>
    <t>JERSON LEODAN LEITON TORO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</si>
  <si>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</si>
  <si>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608-2025</t>
  </si>
  <si>
    <t>CARLOS EDUARDO BASTIDAS OBANDO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</si>
  <si>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</si>
  <si>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601-2025</t>
  </si>
  <si>
    <t>NATHALIA ROSERO RODRIGUEZ</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</si>
  <si>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</si>
  <si>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609-2025</t>
  </si>
  <si>
    <t>ANYI ELISABETH ROSERO LOPEZ</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</si>
  <si>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</si>
  <si>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566-2025</t>
  </si>
  <si>
    <t>ANYELY ROCIO LOPEZ ROSERO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</si>
  <si>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</si>
  <si>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615-2025</t>
  </si>
  <si>
    <t>JULIET ELIANA MORENO LOPEZ</t>
  </si>
  <si>
    <t>614-2025</t>
  </si>
  <si>
    <t>ADRIANA YESENIA BOTINA GUACAS</t>
  </si>
  <si>
    <t>624-2025</t>
  </si>
  <si>
    <t>MARITZA ROCIO OLIVA CUZ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</si>
  <si>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</si>
  <si>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631-2025</t>
  </si>
  <si>
    <t>LILIANA
MAYER BOTINA CRIOLLO</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</si>
  <si>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</si>
  <si>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633-2025</t>
  </si>
  <si>
    <t xml:space="preserve"> IBONNE ALEJANDRA SILVA ARAUJO,</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</si>
  <si>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</si>
  <si>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567-2025</t>
  </si>
  <si>
    <t>CAROLINA ISABEL PORTILLA TEPUD</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</si>
  <si>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</si>
  <si>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637-2025</t>
  </si>
  <si>
    <t>YAMILE ALEJANDRA BOTINA RODRIGUEZ,</t>
  </si>
  <si>
    <t>642-2025</t>
  </si>
  <si>
    <t xml:space="preserve">VIVIAN ROXANA JURADO BANDA,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</si>
  <si>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</si>
  <si>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643-2025</t>
  </si>
  <si>
    <t>NORA VIVEROS BRAVO</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</si>
  <si>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</si>
  <si>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654-2025</t>
  </si>
  <si>
    <t>MARIA ALEJANDRA BENAVIDES AYALA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</si>
  <si>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</si>
  <si>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655-2025</t>
  </si>
  <si>
    <t xml:space="preserve"> ISABEL CRISTINA SANTACRUZ MUÑOZ</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</si>
  <si>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</si>
  <si>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659-2025</t>
  </si>
  <si>
    <t>ANDRES ERNESTO BRAVO ALMEIDA</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</si>
  <si>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</si>
  <si>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660-2025</t>
  </si>
  <si>
    <t>JENIFFER ARCOS GIL</t>
  </si>
  <si>
    <t>569-2025</t>
  </si>
  <si>
    <t xml:space="preserve"> YULI SUSANA CULCHA CUPACAN</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</si>
  <si>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</si>
  <si>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658-2025</t>
  </si>
  <si>
    <t>EDITH CRISTINA GARCIA JOJOA</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</si>
  <si>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</si>
  <si>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662-2025</t>
  </si>
  <si>
    <t>CARMEN LILIANA ARMERO RUIZ,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</si>
  <si>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</si>
  <si>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663-2025</t>
  </si>
  <si>
    <t>KARINA MARIBEL LUNA LOPEZ</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</si>
  <si>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</si>
  <si>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667-2025</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</si>
  <si>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</si>
  <si>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</si>
  <si>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588-2025</t>
  </si>
  <si>
    <t>ANGIE DANIELA JURADO NAVARRO</t>
  </si>
  <si>
    <t>611-2025</t>
  </si>
  <si>
    <t>JHONATTAN ALEXANDER CASTELLANOS ANDRADE</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</si>
  <si>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</si>
  <si>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635-2025</t>
  </si>
  <si>
    <t xml:space="preserve"> GRUPO JANER SAS</t>
  </si>
  <si>
    <t>COMPRA DE EQUIPOS BIOMÉDICOS PARA EQUIPOS BASICOS EN SALUD DE LAS DIFERENTES SEDES QUE CONFORMAN LAS REDES PRESTADORAS DE SERVICIOS EN SALUD.</t>
  </si>
  <si>
    <t>636-2025</t>
  </si>
  <si>
    <t>LEIDY JOHANA MERA CONDE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</si>
  <si>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</si>
  <si>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661-2025</t>
  </si>
  <si>
    <t>ROCIO DEL PILAR RIVERA</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</si>
  <si>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</si>
  <si>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674-2025</t>
  </si>
  <si>
    <t>EMILY ROMERO MENDOZA</t>
  </si>
  <si>
    <t>678-2025</t>
  </si>
  <si>
    <t>ANGELA ESTEFANYA NASPIRAN JOJOA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</si>
  <si>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</si>
  <si>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679-2025</t>
  </si>
  <si>
    <t>ANA CLEMENCIA BASTIDAS CERON</t>
  </si>
  <si>
    <t>680-2025</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</si>
  <si>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</si>
  <si>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682-2025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</si>
  <si>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</si>
  <si>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683-2025</t>
  </si>
  <si>
    <t>AYDA ISABEL MATABANCHOY BENAVIDES,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</si>
  <si>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</si>
  <si>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685-2025</t>
  </si>
  <si>
    <t>ANDREA LILIANA LAGUNA RUALES</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</si>
  <si>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</si>
  <si>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688-2025</t>
  </si>
  <si>
    <t>DIANA SOFIA PANTOJA RISUEÑO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</si>
  <si>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</si>
  <si>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689-2025</t>
  </si>
  <si>
    <t>PAOLA ANDREA ESPINOSA BURBANO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</si>
  <si>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</si>
  <si>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691-2025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</si>
  <si>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</si>
  <si>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427-2025</t>
  </si>
  <si>
    <t>SANDRA YANETH BOTINA VALLEJO</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</si>
  <si>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</si>
  <si>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428-2025</t>
  </si>
  <si>
    <t>PAOLA ANDREA ROSAS MORA</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</si>
  <si>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</si>
  <si>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430-2025</t>
  </si>
  <si>
    <t>SANDRA PATRICIA GOMEZ SANCHEZ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</si>
  <si>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</si>
  <si>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434-2025</t>
  </si>
  <si>
    <t xml:space="preserve"> YANCARLO
YAMIT PUCHANA RAMOS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</si>
  <si>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</si>
  <si>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433-2025</t>
  </si>
  <si>
    <t>OLIVIA ESPERANZA TABLA ANDRADE</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</si>
  <si>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</si>
  <si>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431-2025</t>
  </si>
  <si>
    <t>FANNY MIREYA LIMAS CUNDAR</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</si>
  <si>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</si>
  <si>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432-2025</t>
  </si>
  <si>
    <t>CARLOS ADRIAN MEDINA GUERRERO</t>
  </si>
  <si>
    <t>436-2025</t>
  </si>
  <si>
    <t>ANGELA EDITH GONZALEZ PIANDA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</si>
  <si>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</si>
  <si>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438-2025</t>
  </si>
  <si>
    <t>LUZ EMILIA USAMA TATICUAN,</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</si>
  <si>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</si>
  <si>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439-2025</t>
  </si>
  <si>
    <t>DIANA CAROLINA CORAL LÓPEZ</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</si>
  <si>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</si>
  <si>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440-2025</t>
  </si>
  <si>
    <t>MONICA ALEXANDRA ORTIZ CABRERA</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</si>
  <si>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</si>
  <si>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441-2025</t>
  </si>
  <si>
    <t>ANGELA MARIA MORILLO SANTACRUZ</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</si>
  <si>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</si>
  <si>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444-2025</t>
  </si>
  <si>
    <t>JERSON ALBEIRO BUITRAGO ALZATE</t>
  </si>
  <si>
    <t>446-2025</t>
  </si>
  <si>
    <t xml:space="preserve"> YULY MARCELA MORALES LÓPEZ</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</si>
  <si>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</si>
  <si>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447-2025</t>
  </si>
  <si>
    <t>CAROL SILVANA PATIÑO VALENCIA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</si>
  <si>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</si>
  <si>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448-2025</t>
  </si>
  <si>
    <t>ALEXANDER BEJARANO RAMIREZ</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</si>
  <si>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</si>
  <si>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ID2139724657</t>
  </si>
  <si>
    <t>629-2024</t>
  </si>
  <si>
    <t>BRIGITT MARCELA BURBANO PUPIALES</t>
  </si>
  <si>
    <t>CONTRATAR LA PRESTACION DE SERVICIOS PROFESIONALES EN ENFERMERIA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 OCTUBRE DE 2023 CONFORME A LAS OBLIGACIONES DESCRITAS EN EL NUMERAL 2.3 DE LOS PRESENTES ESTUDIOS DE CONVENIENCIA Y OPORTUNIDAD DE PASTO SALUD ESE.</t>
  </si>
  <si>
    <t>644-2024</t>
  </si>
  <si>
    <t>FANY LUCELY RODRIGUEZ CRIOLLO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</si>
  <si>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</si>
  <si>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645-2024</t>
  </si>
  <si>
    <t>DANNY YESID DELGADO 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</si>
  <si>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</si>
  <si>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646-2024</t>
  </si>
  <si>
    <t>NELLY VANESSA ORDOÑEZ BASTIDAS</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</si>
  <si>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</si>
  <si>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1022-2024</t>
  </si>
  <si>
    <t>TECNICA ELECTROMEDICA S.A.</t>
  </si>
  <si>
    <t>COMPRA DE EQUIPOS BIOMEDICOS PARA EQUIPOS BASICOS EN SALUD DE LAS DIFERENTES SEDES QUE CONFORMAN LAS REDES PRESTADORAS DE SERVICIOS EN SALUD</t>
  </si>
  <si>
    <t>648-2024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</si>
  <si>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</si>
  <si>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649-2024</t>
  </si>
  <si>
    <t>FRANCO JESUS RODRIGUEZ ARAUJO</t>
  </si>
  <si>
    <t>650-2024</t>
  </si>
  <si>
    <t>651-2024</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</si>
  <si>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</si>
  <si>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637-2024</t>
  </si>
  <si>
    <t>JERALDINE BASTIDAS OCAÑA</t>
  </si>
  <si>
    <t xml:space="preserve">        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</si>
  <si>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638-2024</t>
  </si>
  <si>
    <t>ANA MILENA ROSERO SANTANDER</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</si>
  <si>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</si>
  <si>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639-2024</t>
  </si>
  <si>
    <t>JOSE FERNANDO CHAÑA QUENGUAN</t>
  </si>
  <si>
    <t>640-2024</t>
  </si>
  <si>
    <t>MAYERLY NORIDIA ASMAZA GETIAL</t>
  </si>
  <si>
    <t>1033-2024</t>
  </si>
  <si>
    <t>ORFELINA DEL CARMEN OSORIO GUERRERO</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</si>
  <si>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</si>
  <si>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642-2024</t>
  </si>
  <si>
    <t>LUIS ALONSO GUEVARA DE LOS RIOS</t>
  </si>
  <si>
    <t>643-2024</t>
  </si>
  <si>
    <t>ADRIANA YORLADY ARMERO BURBANO</t>
  </si>
  <si>
    <t>633-2024</t>
  </si>
  <si>
    <t>JIMENA DEL ROSARIO LOPEZ MAYA</t>
  </si>
  <si>
    <t>634-2024</t>
  </si>
  <si>
    <t>JOHN JAIME LOPEZ GUERRERO</t>
  </si>
  <si>
    <t>635-2024</t>
  </si>
  <si>
    <t>ERIKA JOHANA OBANDO SANTACRUZ</t>
  </si>
  <si>
    <t>636-2024</t>
  </si>
  <si>
    <t>JENIFER AREVALO CRIOLLO</t>
  </si>
  <si>
    <t>652-2024</t>
  </si>
  <si>
    <t>JULIANA VALENTINA MENDEZ ORTIZ</t>
  </si>
  <si>
    <t>653-2024</t>
  </si>
  <si>
    <t>BRAYAN ANTONIO MADROÑERO QUINTERO</t>
  </si>
  <si>
    <t>654-2024</t>
  </si>
  <si>
    <t>EDMER LEONARDO RUALES AYALA</t>
  </si>
  <si>
    <t>675-2024</t>
  </si>
  <si>
    <t>677-2024</t>
  </si>
  <si>
    <t>JORGE LUIS CARVAJAL GUACHAVEZ</t>
  </si>
  <si>
    <t>679-2024</t>
  </si>
  <si>
    <t>665-2024</t>
  </si>
  <si>
    <t>ANGELA PAOLA BOLAÑOS ARGOTI</t>
  </si>
  <si>
    <t>658-2024</t>
  </si>
  <si>
    <t>YULY MARCELA MRALES LOPEZ</t>
  </si>
  <si>
    <t>659-2024</t>
  </si>
  <si>
    <t>ANA VICTORIA ORTEGA GOMEZ</t>
  </si>
  <si>
    <t>661-2024</t>
  </si>
  <si>
    <t>MARIA CAMILA PAZ ARCOS</t>
  </si>
  <si>
    <t>662-2024</t>
  </si>
  <si>
    <t>VERONICA SOFIA HUERTAS ARCNIEGAS</t>
  </si>
  <si>
    <t>663-2024</t>
  </si>
  <si>
    <t>666-2024</t>
  </si>
  <si>
    <t>NIEVES FERNANDA AZZA ORDOÑEZ</t>
  </si>
  <si>
    <t>667-2024</t>
  </si>
  <si>
    <t>669-2024</t>
  </si>
  <si>
    <t>LILIANA MAYER BOTINA CRIOLLLO</t>
  </si>
  <si>
    <t>670-2024</t>
  </si>
  <si>
    <t>JHON SEBASTIAN NARVAEZ DEJOY</t>
  </si>
  <si>
    <t>671-2024</t>
  </si>
  <si>
    <t>LIZETH MARCELA ORTIZ MUÑOZ</t>
  </si>
  <si>
    <t>672-2024</t>
  </si>
  <si>
    <t>673-2024</t>
  </si>
  <si>
    <t>GERALDINE VIVIANA VILLOTA ARTEAGA</t>
  </si>
  <si>
    <t>674-2024</t>
  </si>
  <si>
    <t>FERNANDO ALBERTO ROMERO SOLANO</t>
  </si>
  <si>
    <t>678-2024</t>
  </si>
  <si>
    <t>ANGELA LORENA LOPEZ VALLEJO</t>
  </si>
  <si>
    <t>655-2024</t>
  </si>
  <si>
    <t>ANGELA MARCELA OBANDO BASTIDAS</t>
  </si>
  <si>
    <t>656-2024</t>
  </si>
  <si>
    <t>LEIDY CRISTINA RODRIGUEZ LOPEZ</t>
  </si>
  <si>
    <t>657-2024</t>
  </si>
  <si>
    <t>PAOLA ANDREA VELEZ BOLAÑOS</t>
  </si>
  <si>
    <t>684-2024</t>
  </si>
  <si>
    <t>CARMEN LILIANA ARCINIEGAS</t>
  </si>
  <si>
    <t>685-2024</t>
  </si>
  <si>
    <t>KARLA VALERIA AZA CEPEDA</t>
  </si>
  <si>
    <t>690-2024</t>
  </si>
  <si>
    <t>BLANCA MELVA GAVIRIA BRAVO</t>
  </si>
  <si>
    <t>691-2024</t>
  </si>
  <si>
    <t>JAZMIN ELIZABETH ARCE CALDERON</t>
  </si>
  <si>
    <t>680-2024</t>
  </si>
  <si>
    <t>DEYANIRA BADOS DAZA</t>
  </si>
  <si>
    <t>681-2024</t>
  </si>
  <si>
    <t>DIANA CAROLINA ROSERO COCHA</t>
  </si>
  <si>
    <t>682-2024</t>
  </si>
  <si>
    <t>JESUS ARMANDO MARTINEZ GOMEZ</t>
  </si>
  <si>
    <t>686-2024</t>
  </si>
  <si>
    <t>DIANA CAROLINA CORTES TAPIA</t>
  </si>
  <si>
    <t>687-2024</t>
  </si>
  <si>
    <t>CINDY ESTEFANIE GONZALEZ DEL CASTILLO</t>
  </si>
  <si>
    <t>688-2024</t>
  </si>
  <si>
    <t>MARIA IDER CASANOVA BURBANO</t>
  </si>
  <si>
    <t>689-2024</t>
  </si>
  <si>
    <t>ASTRID CAROLINA CAICEDO LUNA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</si>
  <si>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</si>
  <si>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259-2025</t>
  </si>
  <si>
    <t>FUNDACION CALIDAD DE VIDA Y ESPERANZA-FUNDAESP</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</si>
  <si>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</si>
  <si>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702-2024</t>
  </si>
  <si>
    <t>693-2024</t>
  </si>
  <si>
    <t>694-2024</t>
  </si>
  <si>
    <t>SARA VICTORIA ALVAREZ FIGUEROA</t>
  </si>
  <si>
    <t>695-2024</t>
  </si>
  <si>
    <t>SONIA PATRICIA ESPAÑA TAPIA</t>
  </si>
  <si>
    <t>696-2024</t>
  </si>
  <si>
    <t>MARIA FERNANDA SANCHEZ CARDENAS</t>
  </si>
  <si>
    <t>697-2024</t>
  </si>
  <si>
    <t>698-2024</t>
  </si>
  <si>
    <t>PABLO JOSE BADOS LOPEZ</t>
  </si>
  <si>
    <t>699-2024</t>
  </si>
  <si>
    <t>700-2024</t>
  </si>
  <si>
    <t>JHONNY ALEXANDER SEPULVEDA DUERO</t>
  </si>
  <si>
    <t>715-2024</t>
  </si>
  <si>
    <t>LUCERITO DEL CARMEN REVELO BENAVIDES</t>
  </si>
  <si>
    <t>706-2024</t>
  </si>
  <si>
    <t>MONICA DEL ROCIO ERASO RUIZ</t>
  </si>
  <si>
    <t>707-2024</t>
  </si>
  <si>
    <t>708-2024</t>
  </si>
  <si>
    <t>DEISY ANDREA MARTINEZ NARVAEZ</t>
  </si>
  <si>
    <t>709-2024</t>
  </si>
  <si>
    <t>MARIA DE LOS ANGELES ACOSTA ROSERO</t>
  </si>
  <si>
    <t>710-2024</t>
  </si>
  <si>
    <t>DANIELA ALEXANDRA PABON YARPAS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</si>
  <si>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</si>
  <si>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711-2024</t>
  </si>
  <si>
    <t>NAYIBI JANED MELO DELGADO</t>
  </si>
  <si>
    <t>712-2024</t>
  </si>
  <si>
    <t>NANCY VISITACION CHAMORRO CUAICHAR</t>
  </si>
  <si>
    <t>713-2024</t>
  </si>
  <si>
    <t>714-2024</t>
  </si>
  <si>
    <t>CAROL VIVIANA RODRIGUEZ CARDENAS</t>
  </si>
  <si>
    <t>703-2024</t>
  </si>
  <si>
    <t>ELOISA YERALDIN FREYRE GOMEZ</t>
  </si>
  <si>
    <t>705-2024</t>
  </si>
  <si>
    <t>VALERIA FERNANDA CUASQUER CANTUCA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</si>
  <si>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t>
  </si>
  <si>
    <t>717-2024</t>
  </si>
  <si>
    <t>ERIKA PAOLA ESTRADA BURBANO</t>
  </si>
  <si>
    <t>718-2024</t>
  </si>
  <si>
    <t>719-2024</t>
  </si>
  <si>
    <t>GREACE ALEJANDRA  CALPA CAICEDO</t>
  </si>
  <si>
    <t>720-2024</t>
  </si>
  <si>
    <t>MARIA ISABEL ALVAREZ CAICEDO</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</si>
  <si>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</si>
  <si>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722-2024</t>
  </si>
  <si>
    <t>PAULA XIMENA CHAVES PASMIÑO</t>
  </si>
  <si>
    <t>723-2024</t>
  </si>
  <si>
    <t>INES MERCEDES LOPEZ TORRES</t>
  </si>
  <si>
    <t>724-2024</t>
  </si>
  <si>
    <t>VALENTINA PASQUAZA YACUMA</t>
  </si>
  <si>
    <t>725-2024</t>
  </si>
  <si>
    <t>726-2024</t>
  </si>
  <si>
    <t>727-2024</t>
  </si>
  <si>
    <t>YENIFER NAYIBE MENESES TOBAR</t>
  </si>
  <si>
    <t>728-2024</t>
  </si>
  <si>
    <t>KAROL ESTEFANY MIRANDA TOBAR,</t>
  </si>
  <si>
    <t>729-2024</t>
  </si>
  <si>
    <t>MEHILIN NATALIA QUIMBIAMBA ORTIZ</t>
  </si>
  <si>
    <t>730-2024</t>
  </si>
  <si>
    <t>731-2024</t>
  </si>
  <si>
    <t>ISABEL CRISTINA SANTACRUZ MUÑOZ</t>
  </si>
  <si>
    <t>732-2024</t>
  </si>
  <si>
    <t>NATALIA LIZETH AGUIRRE SALAZAR</t>
  </si>
  <si>
    <t>733-2024</t>
  </si>
  <si>
    <t>INDIRA TAMARA PALACIOS BUSTOS</t>
  </si>
  <si>
    <t>736-2024</t>
  </si>
  <si>
    <t>ANDREA PAOLA MONTES PANTOJA</t>
  </si>
  <si>
    <t>737-2024</t>
  </si>
  <si>
    <t>MARIA FERNANDA INGUILAN CABRERA</t>
  </si>
  <si>
    <t>738-2024</t>
  </si>
  <si>
    <t>739-2024</t>
  </si>
  <si>
    <t xml:space="preserve">	LISSETH MARISOL CUASTUMAL CASTRO</t>
  </si>
  <si>
    <t>740-2024</t>
  </si>
  <si>
    <t>PAULA ANDREA ROCHA DELGADO</t>
  </si>
  <si>
    <t>741-2024</t>
  </si>
  <si>
    <t>742-2024</t>
  </si>
  <si>
    <t>ELDER ALFREDO CAMPAÑA IMBAQUIN</t>
  </si>
  <si>
    <t>754-2024</t>
  </si>
  <si>
    <t xml:space="preserve"> MARIA JOSE LEITON ZUTTA</t>
  </si>
  <si>
    <t>755-2024</t>
  </si>
  <si>
    <t>PABLO ERNESTO RIOBAMBA IPIALES</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</si>
  <si>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</si>
  <si>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756-2024</t>
  </si>
  <si>
    <t>757-2024</t>
  </si>
  <si>
    <t>GABRIELA ALEJANDRA GUERRERO BRAVO</t>
  </si>
  <si>
    <t>758-2024</t>
  </si>
  <si>
    <t>LEONEL FERNANDO JOJOA JOJOA</t>
  </si>
  <si>
    <t>759-2024</t>
  </si>
  <si>
    <t>VIKY PATRICIA ASCUNTAR CRIOLLO</t>
  </si>
  <si>
    <t>760-2024</t>
  </si>
  <si>
    <t>ELIANA ESTEFANIA CAICEDO ALVAREZ</t>
  </si>
  <si>
    <t>761-2024</t>
  </si>
  <si>
    <t>762-2024</t>
  </si>
  <si>
    <t>ANGIE VIVIANA AULLON VASQUEZ</t>
  </si>
  <si>
    <t>753-2024</t>
  </si>
  <si>
    <t xml:space="preserve">MARIBEL DEL CARMEN MAIGUAL MUÑOZ </t>
  </si>
  <si>
    <t>752-2024</t>
  </si>
  <si>
    <t>LIDA CRISTINA GUERRERO MIRAMAG</t>
  </si>
  <si>
    <t>764-2024</t>
  </si>
  <si>
    <t>LAURA SOFIA ROSERO DAVID</t>
  </si>
  <si>
    <t>743-2024</t>
  </si>
  <si>
    <t>744-2024</t>
  </si>
  <si>
    <t>VANESA CONSTAIN LASSO</t>
  </si>
  <si>
    <t>745-2024</t>
  </si>
  <si>
    <t>VERONICA ROXANA MORAN VILLOTA</t>
  </si>
  <si>
    <t>746-2024</t>
  </si>
  <si>
    <t>747-2024</t>
  </si>
  <si>
    <t>DARLLY ROXANA ROSERO TIMARAN</t>
  </si>
  <si>
    <t>748-2024</t>
  </si>
  <si>
    <t>749-2024</t>
  </si>
  <si>
    <t>750-2024</t>
  </si>
  <si>
    <t>LEIDI YURANI RAMOS</t>
  </si>
  <si>
    <t>751-2024</t>
  </si>
  <si>
    <t>EDER SHINEIDER TUTISTAR TUTISTAR</t>
  </si>
  <si>
    <t>770-2024</t>
  </si>
  <si>
    <t>DIANA MILENA PAZ NANDAR</t>
  </si>
  <si>
    <t>765-2024</t>
  </si>
  <si>
    <t>MONICA PATRICIA PANTOJA DUEÑAS</t>
  </si>
  <si>
    <t>771-2024</t>
  </si>
  <si>
    <t>775-2024</t>
  </si>
  <si>
    <t>778-2024</t>
  </si>
  <si>
    <t>788-2024</t>
  </si>
  <si>
    <t>LORENA DEL CARMEN OJEDA VAZQUEZ</t>
  </si>
  <si>
    <t>791-2024</t>
  </si>
  <si>
    <t>794-2024</t>
  </si>
  <si>
    <t>DANIELA VANESA MONTACHEZ GOMAJOA</t>
  </si>
  <si>
    <t>795-2024</t>
  </si>
  <si>
    <t>LUZDARI JARAMILLO NOGERA</t>
  </si>
  <si>
    <t>807-2024</t>
  </si>
  <si>
    <t>LUISA CAROLINA SANTACRUZ SANTACRUZ</t>
  </si>
  <si>
    <t>793-2024</t>
  </si>
  <si>
    <t>ALEJANDRA MARLENY PATIÑO VALENCIA</t>
  </si>
  <si>
    <t>812-2024</t>
  </si>
  <si>
    <t>RUTH INGRITH DIAZ VALERO</t>
  </si>
  <si>
    <t>808-2024</t>
  </si>
  <si>
    <t>LAURA CAROLINA DELGADO BASTIDAS</t>
  </si>
  <si>
    <t>813-2024</t>
  </si>
  <si>
    <t>SONIA DEL ROCIO GOMEZ NARVAEZ</t>
  </si>
  <si>
    <t>792-2024</t>
  </si>
  <si>
    <t>JULIETH CAROLINA DIAZ FIGUEROA</t>
  </si>
  <si>
    <t>814-2024</t>
  </si>
  <si>
    <t>CONTRATAR LA PRESTACION DE SERVICIOS PROFESIONALES EN TERAPIA OCUPACIONAL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</si>
  <si>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802-2024</t>
  </si>
  <si>
    <t>811-2024</t>
  </si>
  <si>
    <t>818-2024</t>
  </si>
  <si>
    <t>SANTIAGO NICOLAS TULCAN REGALADO</t>
  </si>
  <si>
    <t>815-2024</t>
  </si>
  <si>
    <t>BRENDA DAYANA TABLA PULISTAR</t>
  </si>
  <si>
    <t>821-2024</t>
  </si>
  <si>
    <t>JAZMIN DEL CARMEN NUPAN BURBANO</t>
  </si>
  <si>
    <t>816-2024</t>
  </si>
  <si>
    <t>LADY MARIBEL CABRERA CORAL</t>
  </si>
  <si>
    <t>817-2024</t>
  </si>
  <si>
    <t>DANIEL ALEJANDRO ESCOBAR ANDRADE</t>
  </si>
  <si>
    <t>819-2024</t>
  </si>
  <si>
    <t>KAREN NATALIA ACOSTA MUÑOZ</t>
  </si>
  <si>
    <t>820-2024</t>
  </si>
  <si>
    <t>804-2024</t>
  </si>
  <si>
    <t>ANDREA CATALINA CUASTUMAL ESCOBAR</t>
  </si>
  <si>
    <t>805-2024</t>
  </si>
  <si>
    <t>796-2024</t>
  </si>
  <si>
    <t>ROSAURA CAROLINA MADROÑERO DELGADO</t>
  </si>
  <si>
    <t>797-2024</t>
  </si>
  <si>
    <t>LIDIA JIMENA RODRIGUEZ LOZA</t>
  </si>
  <si>
    <t>798-2024</t>
  </si>
  <si>
    <t>AYDA ISABEL MATABANCHOY BENAVIDES</t>
  </si>
  <si>
    <t>799-2024</t>
  </si>
  <si>
    <t>NESLY YANID MUÑOZ ORTIZ</t>
  </si>
  <si>
    <t>800-2024</t>
  </si>
  <si>
    <t>NICOLAS EMILIO MENA JOJOA</t>
  </si>
  <si>
    <t>803-2024</t>
  </si>
  <si>
    <t>BRYAN ANDRES BASTIDAS RUALES</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</si>
  <si>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</si>
  <si>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809-2024</t>
  </si>
  <si>
    <t>DIANA SOFIA AYALA DIAZ</t>
  </si>
  <si>
    <t>810-2024</t>
  </si>
  <si>
    <t>JAIRO ALBERTO MAIGUAL MIRAMAG</t>
  </si>
  <si>
    <t>806-2024</t>
  </si>
  <si>
    <t>NORIDA YULIETH TOBAR ARTEAGA</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</si>
  <si>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</si>
  <si>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787-2024</t>
  </si>
  <si>
    <t>AMANDA LOPEZ HERNANDEZ</t>
  </si>
  <si>
    <t>786-2024</t>
  </si>
  <si>
    <t>785-2024</t>
  </si>
  <si>
    <t>260-2025</t>
  </si>
  <si>
    <t>FUNDACION CALIDAD DE VIDA Y ESPERANZA - FUNDAESP</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</si>
  <si>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</si>
  <si>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783-2024</t>
  </si>
  <si>
    <t>784-2024</t>
  </si>
  <si>
    <t>ADRIANA YADIRA MENESES CARVAJAL</t>
  </si>
  <si>
    <t>782-2024</t>
  </si>
  <si>
    <t>781-2024</t>
  </si>
  <si>
    <t>MARIA CAMILA PAREDES TIMANA</t>
  </si>
  <si>
    <t>776-2024</t>
  </si>
  <si>
    <t>777-2024</t>
  </si>
  <si>
    <t>IBONNE ALEJANDRA SILVA ARAUJO</t>
  </si>
  <si>
    <t>789-2024</t>
  </si>
  <si>
    <t>PATRICIMUÑOZ CORDOBA</t>
  </si>
  <si>
    <t>790-2024</t>
  </si>
  <si>
    <t>VERONICA HURTADO PASCUAZA</t>
  </si>
  <si>
    <t>844-2024</t>
  </si>
  <si>
    <t>LINA YEZMIN DE LA CRUZ CUSIS</t>
  </si>
  <si>
    <t>845-2024</t>
  </si>
  <si>
    <t>ELIANA YORLENY BENAVIDES GUERRERO</t>
  </si>
  <si>
    <t>846-2024</t>
  </si>
  <si>
    <t>848-2024</t>
  </si>
  <si>
    <t>849-2024</t>
  </si>
  <si>
    <t>ANA MARCELA LOPEZ RUALES</t>
  </si>
  <si>
    <t>CONTRATAR LA PRESTACION DE SERVICIOS COMO TECNOLOGO EN PROMOCION DE LA SALUD CON EL FIN DE LLEVAR A CABO LAS ACTIVIDADES DESCRITAS PARA LOS EQUIPOS BASICOS DE SALUD EN EL MICROTERRITORIO ASIGNADO, EL DESARROLLO DE LA ESTRATEGIA DE ATENCION PRIMARIA EN SALUD, MEDIANTE LA VISITA DOMICILIARIA DE LA POBLACION DEL MUNICIPIO DE PASTO, IMPLEMENTANDO EL LINEAMIENTO EMITIDO POR EL MINISTERIO DE SALUD A RAIZ DE LA EXPEDICION DE LA RESOLUCION 2016 DEL 29 DE NOVIEMBRE DEL 2023 Y LA RESOLUCION 1778 DEL 31 DE</t>
  </si>
  <si>
    <t>850-2024</t>
  </si>
  <si>
    <t>JUAN FERNADO ZARAMA SILVA</t>
  </si>
  <si>
    <t>839-2024</t>
  </si>
  <si>
    <t>LIZETH YOVANA SUAREZ PORTILLA</t>
  </si>
  <si>
    <t>840-2024</t>
  </si>
  <si>
    <t>KAROL DAYANA TONGUINO TORO</t>
  </si>
  <si>
    <t>841-2024</t>
  </si>
  <si>
    <t>ELIZABETH ALEJANDRA TOBAR MORAN</t>
  </si>
  <si>
    <t>CONTRATAR LA PRESTACION DE SERVICIOS PROFESIONALES COMO NUTRICIONISTA DIETISTA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</si>
  <si>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842-2024</t>
  </si>
  <si>
    <t>EDITH ANGELICA LOPEZ VILLARREAL</t>
  </si>
  <si>
    <t>843-2024</t>
  </si>
  <si>
    <t>824-2024</t>
  </si>
  <si>
    <t>ZULY MARINA HIDALGO JOJOA</t>
  </si>
  <si>
    <t>825-2024</t>
  </si>
  <si>
    <t>827-2024</t>
  </si>
  <si>
    <t>MARIA FERNANDA VASQUEZ ARGOTI</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</si>
  <si>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</si>
  <si>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828-2024</t>
  </si>
  <si>
    <t>SANDRA PAOLA ROMO JURADO</t>
  </si>
  <si>
    <t>829-2024</t>
  </si>
  <si>
    <t>JAQUELINE MELO MOSQUERA</t>
  </si>
  <si>
    <t>830-2024</t>
  </si>
  <si>
    <t>HECTOR GERMAN OJEDA CERON</t>
  </si>
  <si>
    <t>831-2024</t>
  </si>
  <si>
    <t>851-2024</t>
  </si>
  <si>
    <t>852-2024</t>
  </si>
  <si>
    <t>JESSICA FERNANDA LAGOS DAVID</t>
  </si>
  <si>
    <t>853-2024</t>
  </si>
  <si>
    <t>MARIO ALEXANDER MENA RODRIGUEZ</t>
  </si>
  <si>
    <t>847-2024</t>
  </si>
  <si>
    <t>YEIMY ANABELY MONCAYO ARTEAGA</t>
  </si>
  <si>
    <t>832-2024</t>
  </si>
  <si>
    <t>YULI XIMENA TAPIA ORDOÑEZ</t>
  </si>
  <si>
    <t>833-2024</t>
  </si>
  <si>
    <t>PATRICIA MARIBEL MARTINEZ</t>
  </si>
  <si>
    <t>834-2024</t>
  </si>
  <si>
    <t>835-2024</t>
  </si>
  <si>
    <t>CONSTANZA HAIDY UNIGARRO PAZ</t>
  </si>
  <si>
    <t>836-2024</t>
  </si>
  <si>
    <t>MARIO ANDRES ROSAS ENRIQUEZ</t>
  </si>
  <si>
    <t>837-2024</t>
  </si>
  <si>
    <t>NAYIBE MARCELA LARA MATABANCHOY</t>
  </si>
  <si>
    <t>838-2024</t>
  </si>
  <si>
    <t>LESLY NATHALIA MAIGUAL JURADO</t>
  </si>
  <si>
    <t>822-2024</t>
  </si>
  <si>
    <t>LENY PATRICIA DELGADO BASTIDAS</t>
  </si>
  <si>
    <t>823-2024</t>
  </si>
  <si>
    <t>AYDE JACKELINE CABRERA CRIOLLO</t>
  </si>
  <si>
    <t>857-2024</t>
  </si>
  <si>
    <t>YULY LORENA CABRERA DELGADO</t>
  </si>
  <si>
    <t>854-2024</t>
  </si>
  <si>
    <t>LEIDY LIZETH ROSERO MIRANDA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</si>
  <si>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t>
  </si>
  <si>
    <t>855-2024</t>
  </si>
  <si>
    <t>NATHALIE CAROLINA DE LA CRUZ ESTRADA</t>
  </si>
  <si>
    <t>856-2024</t>
  </si>
  <si>
    <t>KELLY TURANY JOJOA BOTINA</t>
  </si>
  <si>
    <t>859-2024</t>
  </si>
  <si>
    <t>RAFAEL ARLEY ROSERO PINZA</t>
  </si>
  <si>
    <t>860-2024</t>
  </si>
  <si>
    <t>MARIA ALEJANDRA BOTINA DELGADO</t>
  </si>
  <si>
    <t>858-2024</t>
  </si>
  <si>
    <t>INGRID RAQUEL MONCAYO NARVAEZ</t>
  </si>
  <si>
    <t>862-2024</t>
  </si>
  <si>
    <t>JESSICA STEFANNY FRANCO ERASO</t>
  </si>
  <si>
    <t>292-2025</t>
  </si>
  <si>
    <t>EXPRESO SURAMERICANA DE TURISMO</t>
  </si>
  <si>
    <t>: 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</si>
  <si>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864-2024</t>
  </si>
  <si>
    <t>LUCENY CENIDIA DAVID RODRIGUEZ</t>
  </si>
  <si>
    <t>865-2024</t>
  </si>
  <si>
    <t>LUISA FERNANDA  MELO HIGIDIO</t>
  </si>
  <si>
    <t>866-2024</t>
  </si>
  <si>
    <t>VIVIAN ROXANA JURADO BANDA</t>
  </si>
  <si>
    <t>867-2024</t>
  </si>
  <si>
    <t>BRIGITH VANESSA QUENGUAN CALDERON</t>
  </si>
  <si>
    <t>868-2024</t>
  </si>
  <si>
    <t>FANNY MARIELA CORDOBA MORENO</t>
  </si>
  <si>
    <t>641-2024</t>
  </si>
  <si>
    <t>DANIEL GERARDO ERAZO OVIEDO</t>
  </si>
  <si>
    <t>876-2024</t>
  </si>
  <si>
    <t>LUZ MARINA BENAVIDES BASTIDAS</t>
  </si>
  <si>
    <t>877-2024</t>
  </si>
  <si>
    <t>MERCY LORENA SACANAMBUY LOPEZ</t>
  </si>
  <si>
    <t>878-2024</t>
  </si>
  <si>
    <t>ANYELI KATHERINE CORAL MORA</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</si>
  <si>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</si>
  <si>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879-2024</t>
  </si>
  <si>
    <t>NELSON FREDY ARCINIEGAS ORTIZ</t>
  </si>
  <si>
    <t>880-2024</t>
  </si>
  <si>
    <t>869-2024</t>
  </si>
  <si>
    <t>LINA MARIA PIZANO PEREZ</t>
  </si>
  <si>
    <t>871-2024</t>
  </si>
  <si>
    <t>KAROL IVONNE BURBANO ROSERO</t>
  </si>
  <si>
    <t>872-2024</t>
  </si>
  <si>
    <t>IVAN ALEXANDER BEJARANO RAMIREZ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</si>
  <si>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</si>
  <si>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873-2024</t>
  </si>
  <si>
    <t>ADRIANA SOFIA ISANDARA NUPAN</t>
  </si>
  <si>
    <t>CONTRATAR LA PRESTACION DE SERVICIOS COMO TECNOLOGO EN PROMOCION DE LA SALUD,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</si>
  <si>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647-2024</t>
  </si>
  <si>
    <t>JHEIBER BRANLLERT DULCE MUÑOZ</t>
  </si>
  <si>
    <t>902-2024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</si>
  <si>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</si>
  <si>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801-2024</t>
  </si>
  <si>
    <t>ANGIE GIONELLA HERNANDEZ VILLOTA</t>
  </si>
  <si>
    <t>896-2024</t>
  </si>
  <si>
    <t>LICETH NEYIRETH RIVERAROSERO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</si>
  <si>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t>
  </si>
  <si>
    <t>897-2024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</si>
  <si>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</si>
  <si>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898-2024</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</si>
  <si>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</si>
  <si>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899-2024</t>
  </si>
  <si>
    <t>DIANA CAROLINA TISOY CHASOY</t>
  </si>
  <si>
    <t>900-2024</t>
  </si>
  <si>
    <t>KARELIS NATALY ZHENG MONSALVE</t>
  </si>
  <si>
    <t>CONTRATAR LA PRESTACION DE SERVICIOS PROFESIONALES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</si>
  <si>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901-2024</t>
  </si>
  <si>
    <t>LADY VIVIANA CASTRO GUAUÑA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</si>
  <si>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</si>
  <si>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885-2024</t>
  </si>
  <si>
    <t>DIEGO FERNANDO DELGADO ERASO</t>
  </si>
  <si>
    <t>886-2024</t>
  </si>
  <si>
    <t>JESICA GERALDIN MORALES</t>
  </si>
  <si>
    <t>887-2024</t>
  </si>
  <si>
    <t>JOHNNY ALCIBIADES SOTOMAYOR PRECIADO</t>
  </si>
  <si>
    <t>893-2024</t>
  </si>
  <si>
    <t>CLEOTILDE FLOR ALBA PIANDOY CUSIS</t>
  </si>
  <si>
    <t>894-2024</t>
  </si>
  <si>
    <t>MYRIAM JANNETH BASTIDAS MORA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</si>
  <si>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</si>
  <si>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895-2024</t>
  </si>
  <si>
    <t>YUDY LILIANA BENAVIDES OJEDA</t>
  </si>
  <si>
    <t>881-2024</t>
  </si>
  <si>
    <t>LISETH ELIANA BENAVIDES ARCOS</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</si>
  <si>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t>
  </si>
  <si>
    <t>882-2024</t>
  </si>
  <si>
    <t>DANIELA DELGADO CHAMORRO</t>
  </si>
  <si>
    <t>883-2024</t>
  </si>
  <si>
    <t>DANNY ALEXANDER ORTIZ MUÑOZ</t>
  </si>
  <si>
    <t xml:space="preserve">	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t>
  </si>
  <si>
    <t>884-2024</t>
  </si>
  <si>
    <t>DIANA CAROLINA MORAN CRUZ</t>
  </si>
  <si>
    <t>917-2024</t>
  </si>
  <si>
    <t>RUTH JACQUELINE GAMEZ PABON</t>
  </si>
  <si>
    <t>918-2024</t>
  </si>
  <si>
    <t>GABRIEL SEBASTIAN MORINELLY ROJAS</t>
  </si>
  <si>
    <t>906-2024</t>
  </si>
  <si>
    <t>DIANA MARIA ERASO ALAVA</t>
  </si>
  <si>
    <t>CONTRATAR LA PRESTACION DE SERVICIOS PROFESIONALES EN PSICOLOGIA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</si>
  <si>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907-2024</t>
  </si>
  <si>
    <t>VIVIANA MERCEDES PIZANO PORTILLA</t>
  </si>
  <si>
    <t>908-2024</t>
  </si>
  <si>
    <t>DEISY JOHANNA BASTIDAS JOJOA</t>
  </si>
  <si>
    <t>909-2024</t>
  </si>
  <si>
    <t>CLAUDIA EDILMA PAZ GUERRA</t>
  </si>
  <si>
    <t>910-2024</t>
  </si>
  <si>
    <t>LISETH MUÑOZ MARTINEZ</t>
  </si>
  <si>
    <t>911-2024</t>
  </si>
  <si>
    <t>LORENA CATERINE ASCUNTAR CUAJIBIOY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</si>
  <si>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t>
  </si>
  <si>
    <t>912-2024</t>
  </si>
  <si>
    <t>DIANA SOFIA PANTOJA RUANO</t>
  </si>
  <si>
    <t>913-2024</t>
  </si>
  <si>
    <t>CLAUDIA DANIELA PAZ RIVERA</t>
  </si>
  <si>
    <t>914-2024</t>
  </si>
  <si>
    <t>YAMILE ALEJANDRA BOTINA RODRIGUEZ</t>
  </si>
  <si>
    <t>915-2024</t>
  </si>
  <si>
    <t>916-2024</t>
  </si>
  <si>
    <t>JULIANA ALEJANDRA BASTIDAS JOJOA</t>
  </si>
  <si>
    <t>668-2024</t>
  </si>
  <si>
    <t>ANGELA SOFIA ORDOÑEZ BENAVIDES</t>
  </si>
  <si>
    <t>701-2024</t>
  </si>
  <si>
    <t>CAROLINA NASTACUAS PAI</t>
  </si>
  <si>
    <t>926-2024</t>
  </si>
  <si>
    <t>929-2024</t>
  </si>
  <si>
    <t>ANDREA NATHALY ALAVA BOLAÑOS</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</si>
  <si>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</si>
  <si>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930-2024</t>
  </si>
  <si>
    <t>927-2024</t>
  </si>
  <si>
    <t>ISABELA CATALINA CALDERON MERA</t>
  </si>
  <si>
    <t>CONTRATAR LA PRESTACION DE SERVICIOS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</si>
  <si>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924-2024</t>
  </si>
  <si>
    <t>KARINA ELIZABETH MADROÑERO DELGADO</t>
  </si>
  <si>
    <t>925-2024</t>
  </si>
  <si>
    <t>ALEJANDRA LUCIA BENAVIDES ZAMORA</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</si>
  <si>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</si>
  <si>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923-2024</t>
  </si>
  <si>
    <t>CARMEN LILIANA ARMERO RUIZ</t>
  </si>
  <si>
    <t>928-2024</t>
  </si>
  <si>
    <t>YULI NATHALIA CALI RODRIGUEZ</t>
  </si>
  <si>
    <t>933-2024</t>
  </si>
  <si>
    <t>JOHN JAIRO GOMAJOA ACHICANOY</t>
  </si>
  <si>
    <t>932-2024</t>
  </si>
  <si>
    <t xml:space="preserve">ALEXA DAYANA CERON BRAVO </t>
  </si>
  <si>
    <t>931-2024</t>
  </si>
  <si>
    <t>MARIA CAMILA JURADO PAZ</t>
  </si>
  <si>
    <t>939-2024</t>
  </si>
  <si>
    <t>ZANDRA YADIRA GOMEZ ZAMBRANO</t>
  </si>
  <si>
    <t>935-2024</t>
  </si>
  <si>
    <t>JUDDY GABRIELA PIANDA PISCAL</t>
  </si>
  <si>
    <t>704-2024</t>
  </si>
  <si>
    <t>FUNDACION CALIDAD DE VIDA Y ESPERANZA</t>
  </si>
  <si>
    <t>PRESTACION DE SERVICIOS PARA LA GESTION COMO COORDINACION TECNICA ADMINISTRATIVA CON EL FIN DE SERVIR DE APOYO ADMINISTATIVO A LA EJECUCION OPERATIVA DEL PROYECTO FORTALECIMIENTO DE LA GESTION TERRITORIAL EN APS, EQUIPOS BASICOS DE SALUD CONFORMACION OPERACION Y SEGUIMIENTO Y PRIMORDIALMENTE DEL CORRECTO FUNCIONAMIENTO DE LOS EQUIPOS BASICOS DE SALUD EBS, PROPORCIONANDO EL PERSONAL DE APOYO PARA LA LOGISTICA ADMINISTRATIVA Y SISTEMATIZACION DE LA INFORMACION Y FACILITAR LA ARTICULACION DE LAS ACCIONES DE LOS EQUIPOS BASICOS DE SALUD EBS EN LOS PROCESOS DE PARTICIPACION SOCIAL, INTERSECTORIALIDAD Y CONTINUIDAD EN LA ATENCION EN SALUD EN EL MUNICIPIO DE PASTO</t>
  </si>
  <si>
    <t>779-2024</t>
  </si>
  <si>
    <t>942-2024</t>
  </si>
  <si>
    <t>DANIEL SALAZAR LOPEZ</t>
  </si>
  <si>
    <t>CONTRATAR LA PRESTACION DE SERVICIOS PROFESIONALES EN MEDICINA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</si>
  <si>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946-2024</t>
  </si>
  <si>
    <t>MARIA CAMILA PATIÑO DELGADO</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</si>
  <si>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</si>
  <si>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949-2024</t>
  </si>
  <si>
    <t>CARINA DEL CARMEN PASICHANA YAQUENO</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</si>
  <si>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t>
  </si>
  <si>
    <t>950-2024</t>
  </si>
  <si>
    <t>ANDREA LEONIZA IPIALES SOLARTE</t>
  </si>
  <si>
    <t>951-2024</t>
  </si>
  <si>
    <t>JESSICA CAROLINA BENAVIDES GENOY</t>
  </si>
  <si>
    <t>CONTRATAR LA PRESTACION DE SERVICIOS COMO GESTOR COMUNITARIO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</si>
  <si>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960-2024</t>
  </si>
  <si>
    <t>962-2024</t>
  </si>
  <si>
    <t>LEODAN DANIEL NARVAEZ NARVAEZ</t>
  </si>
  <si>
    <t>963-2024</t>
  </si>
  <si>
    <t>ANGIE ALEXANDRA MORILLO PANTOJA</t>
  </si>
  <si>
    <t>954-2024</t>
  </si>
  <si>
    <t>955-2024</t>
  </si>
  <si>
    <t>LIGIA DEL CARMEN ERAZO GUERRERO</t>
  </si>
  <si>
    <t>956-2024</t>
  </si>
  <si>
    <t>LUZ ADRIANA CERON BASANTE</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</si>
  <si>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t>
  </si>
  <si>
    <t>957-2024</t>
  </si>
  <si>
    <t>958-2024</t>
  </si>
  <si>
    <t>JONATHAN DAVID NARVAEZ MUYUY</t>
  </si>
  <si>
    <t>959-2024</t>
  </si>
  <si>
    <t>KAREN JULIANA ERAZO JURADO</t>
  </si>
  <si>
    <t>966-2024</t>
  </si>
  <si>
    <t xml:space="preserve"> MONICA PATRICIA JOJOA BOTINA</t>
  </si>
  <si>
    <t>970-2024</t>
  </si>
  <si>
    <t>ALISSON STEFANIA ROSERO RODRIGUEZ</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</si>
  <si>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</si>
  <si>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968-2024</t>
  </si>
  <si>
    <t>MARIA VICTORIA TABLA MARTINEZ</t>
  </si>
  <si>
    <t>969-2024</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</si>
  <si>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t>
  </si>
  <si>
    <t>974-2024</t>
  </si>
  <si>
    <t>MONICA NATALY PALACIOS BASTIDAS</t>
  </si>
  <si>
    <t>975-2024</t>
  </si>
  <si>
    <t>RICARDO ENRIQUE VEGA MERA</t>
  </si>
  <si>
    <t>980-2024</t>
  </si>
  <si>
    <t>NAYIBI ROCIO MONCADA JATIVA</t>
  </si>
  <si>
    <t>981-2024</t>
  </si>
  <si>
    <t>NELSY MARITZA JOJOA JOJOA</t>
  </si>
  <si>
    <t>984-2024</t>
  </si>
  <si>
    <t>995-2024</t>
  </si>
  <si>
    <t>LAURA VIVIANA LASSO GONZALEZ</t>
  </si>
  <si>
    <t>985-2024</t>
  </si>
  <si>
    <t>KAREN CRISTINA MOSQUERA HERNANDEZ</t>
  </si>
  <si>
    <t>986-2024</t>
  </si>
  <si>
    <t>DANNY ALEXANDER SANCHEZ ESTRADA</t>
  </si>
  <si>
    <t>987-2024</t>
  </si>
  <si>
    <t xml:space="preserve">TANIA MARCELA  DIAZ DIAZ </t>
  </si>
  <si>
    <t>988-2024</t>
  </si>
  <si>
    <t>DIANA LIZETH RAMOS MENESES</t>
  </si>
  <si>
    <t>996-2024</t>
  </si>
  <si>
    <t>GRECIA INES ANGEL DIOSA</t>
  </si>
  <si>
    <t>997-2024</t>
  </si>
  <si>
    <t>DEISY YOLANDA ADARMES MUÑOZ</t>
  </si>
  <si>
    <t>989-2024</t>
  </si>
  <si>
    <t>ANNY MAYERLINE NARVAEZ ÑAÑEZ</t>
  </si>
  <si>
    <t>990-2024</t>
  </si>
  <si>
    <t>JAVIER DARIO PANTOJA CORAL</t>
  </si>
  <si>
    <t>991-2024</t>
  </si>
  <si>
    <t>JOSE DAVID GOMEZ BENAVIDES</t>
  </si>
  <si>
    <t>992-2024</t>
  </si>
  <si>
    <t>DIANA CAROLINA ESCOBAR ANDRADE</t>
  </si>
  <si>
    <t>993-2024</t>
  </si>
  <si>
    <t>PAOLA XIMENA ERIRA TORRES</t>
  </si>
  <si>
    <t>999-2024</t>
  </si>
  <si>
    <t>YADIRA ALEXANDRA CALVACHE</t>
  </si>
  <si>
    <t>1000-2024</t>
  </si>
  <si>
    <t>MARCELA JAZMIN TIMANA MAIGUAL</t>
  </si>
  <si>
    <t>1001-2024</t>
  </si>
  <si>
    <t>MARIA CLAUDIA ZAMBRANO BOLAÑOS</t>
  </si>
  <si>
    <t>1002-2024</t>
  </si>
  <si>
    <t>ELSY ISLANDI SOLARTE ORDOÑEZ</t>
  </si>
  <si>
    <t>1003-2024</t>
  </si>
  <si>
    <t>1004-2024</t>
  </si>
  <si>
    <t>CATALINA MARTINEZ RAMOS</t>
  </si>
  <si>
    <t>1005-2024</t>
  </si>
  <si>
    <t>1006-2024</t>
  </si>
  <si>
    <t>DIANA MARCELA MELO ERASO</t>
  </si>
  <si>
    <t>1007-2024</t>
  </si>
  <si>
    <t>OMAR ALEXANDER ORTIZ PAZMIÑO</t>
  </si>
  <si>
    <t>1008-2024</t>
  </si>
  <si>
    <t>DIANA CAROLINA CORAL LOPEZ</t>
  </si>
  <si>
    <t>1010-2024</t>
  </si>
  <si>
    <t>MARIANA ELIZABETH ROMO PANTOJA</t>
  </si>
  <si>
    <t>1011-2024</t>
  </si>
  <si>
    <t>YEISON SMIT NUÑEZ ACOSTA</t>
  </si>
  <si>
    <t>CONTRATAR LA PRESTACION DE SERVICIOS COMO AUXILIAR DE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</si>
  <si>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1012-2024</t>
  </si>
  <si>
    <t>CARLOS ANDRES PANTOJA BENAVIDES</t>
  </si>
  <si>
    <t>1013-2024</t>
  </si>
  <si>
    <t>NUVY GRACIELA CHAMORRO CORAL</t>
  </si>
  <si>
    <t>1015-2024</t>
  </si>
  <si>
    <t>1018-2024</t>
  </si>
  <si>
    <t>PAOLA JHERALDYNE CASTILLO YELA</t>
  </si>
  <si>
    <t>1020-2024</t>
  </si>
  <si>
    <t>KATHERIN CAMILA URIBE BURBANO</t>
  </si>
  <si>
    <t>1021-2024</t>
  </si>
  <si>
    <t>AURA CECILIA POSADA BARRIOS</t>
  </si>
  <si>
    <t>1029-2024</t>
  </si>
  <si>
    <t>SONIA PATRICIA ERAZO RIVERA</t>
  </si>
  <si>
    <t>1025-2024</t>
  </si>
  <si>
    <t>YURI LORENA MUÑOZ CANCIMANZE</t>
  </si>
  <si>
    <t>1026-2024</t>
  </si>
  <si>
    <t>1024-2024</t>
  </si>
  <si>
    <t>FABIO HERNAN RICAURTE ENRIQUEZ</t>
  </si>
  <si>
    <t>1030-2024</t>
  </si>
  <si>
    <t>MONICA LOZANO BARBOSA</t>
  </si>
  <si>
    <t>1031-2024</t>
  </si>
  <si>
    <t>NELCY VICTORIA GUSTIN FAJARDO</t>
  </si>
  <si>
    <t>1034-2024</t>
  </si>
  <si>
    <t>TANIA ALEJANDRA BENAVIDES MARTINEZ</t>
  </si>
  <si>
    <t>CONTRATAR LA PRESTACION DE SERVICIOS PROFESIONALES EN ODONTOLOGIA,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 MEDIANTE LAS MODALIDADES DE ATENCION DOMICILIARIA UNIDAD MOVIL, JORNADAS EXTRAMURALES Y ATENCION INTRAMURAL SEGUN LO DISPUESTO EN LA RESOLUCION 3100 DE 2019, PARA LA POBLACION DEL MUNICIPIO DE PASTO, IMPLEMENTANDO EL LINEAMIENTO EMITIDO POR EL MINISTERIO DE SALUD A RAIZ DE LA EXPEDICION DE LA RESOLUCION 1397 DEL 06 DE AGOSTO DE 2024</t>
  </si>
  <si>
    <t>1032-2024</t>
  </si>
  <si>
    <t>1035-2024</t>
  </si>
  <si>
    <t>EDUARDO MAURICIO NARVAEZ GUERRA</t>
  </si>
  <si>
    <t>1037-2024</t>
  </si>
  <si>
    <t xml:space="preserve">	YURI MABEL GUARANGUAY GUERRERO</t>
  </si>
  <si>
    <t>1039-2024</t>
  </si>
  <si>
    <t>PRESTACION DE SERVICIOS PARA LA CONFORMACION, OPERACION Y SEGUIMIENTO DEL EQUIPO COMPLEMENTARIO DE SALUD ESPECIALIZADO PARA LA IMPLEMENTACION Y SEGUIMIENTO AL PLAN DE CUIDADO ATENCIONES EN SALUD DEL NIVEL COMPLEMENTARIO EDUCACION PARA LA SALUD, DETECCION DE RIESGOS, DIAGNOSTICO, TRATAMIENTO ACTIVACION DE TELESALUD YO TELEMEDICINA DEL PROYECTO FORTALECIMIENTO DEL NIVEL PRIMARIO, BASADO EN LA ATENCION PRIMARIA EN SALUD, A TRAVES DE LA CONFORMACION Y OPERACION DEL EQUIPO COMPLEMENTARIO DE SALUD ECS, PROPORCIONANDO EL PERSONAL ESPECIALIZADO, LA LOGISTICA ADMINISTRATIVA Y SISTEMATIZACION DE LA INFORMACION Y FACILITAR LA ARTICULACION DE LAS ACCIONES CON LOS EQUIPOS BASICOS DE SALUD EBS EN LOS PROCESOS DE ATENCION COMPLEMENTARIA EN EL MUNICIPIO DE PASTO</t>
  </si>
  <si>
    <t>875-2024</t>
  </si>
  <si>
    <t>WENDY ALEXANDRA PASTAS JIMENEZ</t>
  </si>
  <si>
    <t>1042-2024</t>
  </si>
  <si>
    <t>MARIANA DE JESUS ORTIZ BOTINA</t>
  </si>
  <si>
    <t>1047-2024</t>
  </si>
  <si>
    <t>FRAN GIOVANNY GETIAL CHICAIZA</t>
  </si>
  <si>
    <t>1048-2024</t>
  </si>
  <si>
    <t>DIANA FERNANDA ORDOÑEZ</t>
  </si>
  <si>
    <t>1049-2024</t>
  </si>
  <si>
    <t>NICOLE ALEXANDRA CHACON GUERRERO</t>
  </si>
  <si>
    <t>1050-2024</t>
  </si>
  <si>
    <t>BERTA ALICIA RUIZ</t>
  </si>
  <si>
    <t>1045-2024</t>
  </si>
  <si>
    <t>INGRID ELIZABETH CASTILLO MONCAYO</t>
  </si>
  <si>
    <t>1043-2024</t>
  </si>
  <si>
    <t>BICKE MARIBEL JIMENEZ CRIOLLO</t>
  </si>
  <si>
    <t>1044-2024</t>
  </si>
  <si>
    <t>ANGELA JENNIFER VALLEJO PALACIOS</t>
  </si>
  <si>
    <t>1053-2024</t>
  </si>
  <si>
    <t>1054-2024</t>
  </si>
  <si>
    <t>JINNETH PAOLA LOPEZ AGUIRRE</t>
  </si>
  <si>
    <t>1055-2024</t>
  </si>
  <si>
    <t>JULIANA ANDREA PAZ JOJOA</t>
  </si>
  <si>
    <t>1051-2024</t>
  </si>
  <si>
    <t>MARIA CAMILA ENRIQUEZ GUERRERO</t>
  </si>
  <si>
    <t>1052-2024</t>
  </si>
  <si>
    <t>YONATAN MENA GRIJALBA</t>
  </si>
  <si>
    <t>1056-2024</t>
  </si>
  <si>
    <t>LUZ ANGELICA CHILES CABRERA</t>
  </si>
  <si>
    <t>1058-2024</t>
  </si>
  <si>
    <t>MERCEDES OLIVA POVEDA</t>
  </si>
  <si>
    <t>1068-2024</t>
  </si>
  <si>
    <t>ZONIA ESMERALDA VILLOTA ARMERO</t>
  </si>
  <si>
    <t>1071-2024</t>
  </si>
  <si>
    <t>ADRIANA MARIA HIDALGO ENRIQUEZ</t>
  </si>
  <si>
    <t>CONTRATAR LA PRESTACION DE SERVICIOS PROFESIONALES EN ENFERMERIA, CON EL FIN DE LLEVAR A CABO LAS ACTIVIDADES DESCRITAS PARA LOS EQUIPOS BASICOS DE SALUD EN EL TERRITORIO ASIGNADO, HACIENDO ENFASIS EN EL FORTALECIMIENTO DE LA ATENCION PRIMARIA EN SALUD, EN EL MARCO DE LA IMPLEMENTACION DEL MODELO DE SALUD PREVENTIVO Y PREDICTIVO QUE GARANTICE EL DERECHO FUNDAMENTAL A LA SALUD E INCIDA EN LOS RESULTADOS EN SALUD DE LAS PERSONAS, FAMILIAS Y COMUNIDADES DEL TERRITORIO, DENTRO DEL DESARROLLO DE LA ESTRATEGIA DE ATENCION PRIMARIA EN SALUD</t>
  </si>
  <si>
    <t>1080-2024</t>
  </si>
  <si>
    <t>ANGIE MARISOL ESPAÑA BURGOS</t>
  </si>
  <si>
    <t>1084-2024</t>
  </si>
  <si>
    <t>MONICA PAOLA CHAMORRO CAICEDO</t>
  </si>
  <si>
    <t>945-2024</t>
  </si>
  <si>
    <t>COMPRA DE EQUIPOS BIOMEDICOS PARA EQUIPOS BASICOS EN SALUD DE LAS DIFERENTES SEDES QUE CONFORMAN LAS REDES PRESTADORAS DE SERVICIOS EN SALUD.</t>
  </si>
  <si>
    <t>947-2024</t>
  </si>
  <si>
    <t>ULTRASCHALL DE COLOMBIA</t>
  </si>
  <si>
    <t>961-2024</t>
  </si>
  <si>
    <t>ORTHOWELL SAS</t>
  </si>
  <si>
    <t>888-2024</t>
  </si>
  <si>
    <t>EXPRESO SURAMERICANA DE TURISMO SAS</t>
  </si>
  <si>
    <t>PRESTACION DE SERVICIOS DE TRANSPORTE ESPECIAL PARA EL DESARROLLO DE LA ESTRATEGIA DE ATENCION PRIMARIA EN SALUD MEDIANTE LA PROVISION DEL TRANSPORTE ADECUADO PARA LA MOVILIZACION DE LOS EQUIPOS BASICOS DE SALUD ASIGNADOS AL CENTRO DE SALUD SAN VICENTENODO OCCIDENTE.</t>
  </si>
  <si>
    <t>889-2024</t>
  </si>
  <si>
    <t xml:space="preserve">	EXPRESO SURAMERICANA DE TURISMO SAS</t>
  </si>
  <si>
    <t>PRESTACION DE SERVICIOS DE TRANSPORTE ESPECIAL PARA EL DESARROLLO DE LA ESTRATEGIA DE ATENCION PRIMARIA EN SALUD MEDIANTE LA PROVISION DEL TRANSPORTE ADECUADO PARA LA MOVILIZACION DE LOS EQUIPOS BASICOS DE SALUD ASIGNADOS AL HOSPITAL CIVIL NODO NORTE.</t>
  </si>
  <si>
    <t>1017-2024</t>
  </si>
  <si>
    <t>890-2024</t>
  </si>
  <si>
    <t>PRESTACION DE SERVICIOS DE TRANSPORTE ESPECIAL TERRESTRE O ACUATICO PARA EL DESARROLLO DE LA ESTRATEGIA DE ATENCION PRIMARIA EN SALUD MEDIANTE LA PROVISION DEL TRANSPORTE ADECUADO PARA LA MOVILIZACION DE LOS EQUIPOS BASICOS DE SALUD ASIGNADOS AL HOSPITAL SANTA MONICA NODO ORIENTE</t>
  </si>
  <si>
    <t>891-2024</t>
  </si>
  <si>
    <t>PRESTACION DE SERVICIOS DE TRANSPORTE ESPECIAL PARA EL DESARROLLO DE LA ESTRATEGIA DE ATENCION PRIMARIA EN SALUD MEDIANTE LA PROVISION DEL TRANSPORTE ADECUADO PARA LA MOVILIZACION DE LOS EQUIPOS BASICOS DE SALUD ASIGNADOS AL HOSPITAL LA ROSA NODO SUR.</t>
  </si>
  <si>
    <t>921-2024</t>
  </si>
  <si>
    <t>ANGIE MARCELA PRECIADO QUIÑONEZ</t>
  </si>
  <si>
    <t>1027-2024</t>
  </si>
  <si>
    <t>JHON JAIRO ROSERO BOLAÑOS (COPY PARTES)</t>
  </si>
  <si>
    <t>COMPRA DE ELEMENTOS CATEGORIZADOS EN LA LINEA DE CONSUMO MATERIALES Y SUMINISTROS, DE ACUERDO A LAS NECESIDADES IDENTIFICADAS PARA DESARROLLO DEL PROGRAMA DE ATENCION PRIMARIA EN SALUD, DE LOS EQUIPOS BASICOS DE SALUD EN LAS DIFERENTES ZONAS Y MICROTERRITORIOS RURALES Y URBANOS DEL MUNICIPIO DE PASTO EJECUTADO POR PASTO SALUD ESE.</t>
  </si>
  <si>
    <t>303-2025</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</si>
  <si>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</si>
  <si>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304-2025</t>
  </si>
  <si>
    <t>HAROLD CAMILO QUINTERO GUEVARA</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</si>
  <si>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</si>
  <si>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307-2025</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</si>
  <si>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</si>
  <si>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309-2025</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</si>
  <si>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</si>
  <si>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311-2025</t>
  </si>
  <si>
    <t>314-2025</t>
  </si>
  <si>
    <t>LADY CAROLINA TIBAQUIRA BALLESTEROS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</si>
  <si>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</si>
  <si>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346-2025</t>
  </si>
  <si>
    <t>PAOLA ANDREA RIOS TAPIA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</si>
  <si>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</si>
  <si>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358-2025</t>
  </si>
  <si>
    <t>350-2025</t>
  </si>
  <si>
    <t>MARÍA CAMILA PATIÑO DELGADO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</si>
  <si>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</si>
  <si>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359-2025</t>
  </si>
  <si>
    <t>LILIANA MAYER BOTINA CRIOLLO</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</si>
  <si>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</si>
  <si>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360-2025</t>
  </si>
  <si>
    <t>NATHALIA ELIZABETH TULCAN GAMBOA</t>
  </si>
  <si>
    <t>364-2025</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</si>
  <si>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</si>
  <si>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363-2025</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</si>
  <si>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</si>
  <si>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964-2024</t>
  </si>
  <si>
    <t>ALLERS S.A</t>
  </si>
  <si>
    <t>967-2024</t>
  </si>
  <si>
    <t>CLINIMEDICAL GROUP SAS</t>
  </si>
  <si>
    <t>978-2024</t>
  </si>
  <si>
    <t>SOLUCIONES INTEGRALES DE INGENIERIA LR S.A.S</t>
  </si>
  <si>
    <t xml:space="preserve"> ADQUISICION DE CHALECOS, GORRAS Y MALETINES CON EMBLEMAS OFICIALES PARA IDENTIFICAR A LOS MIEMBROS DE LOS EQUIPOS BASICOS EN SALUD</t>
  </si>
  <si>
    <t>183-2025</t>
  </si>
  <si>
    <t>198-2025</t>
  </si>
  <si>
    <t>Prestación de servicios profesionales dirigidos al seguimiento de poblaciones especiales de riesgo según prioridades definidas por la Subgerencia de Salud e Investigación.</t>
  </si>
  <si>
    <t>222-2025</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</si>
  <si>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</si>
  <si>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191-2024</t>
  </si>
  <si>
    <t>https://www.secop.gov.co/CO1BusinessLine/Tendering/ContractNoticeView/Index?notice=CO1.NTC.6041887</t>
  </si>
  <si>
    <t>2024-0408</t>
  </si>
  <si>
    <t>NATHALIA CAROLINA CAICEDO ROSERO</t>
  </si>
  <si>
    <t>PSICOLOGO</t>
  </si>
  <si>
    <t>GESTOR COMUNITARIO</t>
  </si>
  <si>
    <t>pagado</t>
  </si>
  <si>
    <t>ACTUALIZAR PAGO</t>
  </si>
  <si>
    <t>ACTUALIZAR CONTRATO</t>
  </si>
  <si>
    <t xml:space="preserve">ACTUALIZAR CONTRATO -387174 Y PAGO </t>
  </si>
  <si>
    <t>VIVO</t>
  </si>
  <si>
    <t>ACTUALIZADO</t>
  </si>
  <si>
    <t>ID2139724658</t>
  </si>
  <si>
    <t>ID2139724659</t>
  </si>
  <si>
    <t>ID2139724660</t>
  </si>
  <si>
    <t>ID2139724661</t>
  </si>
  <si>
    <t>ID2139724662</t>
  </si>
  <si>
    <t>ID2139724663</t>
  </si>
  <si>
    <t>ID2139724664</t>
  </si>
  <si>
    <t>ID2139724665</t>
  </si>
  <si>
    <t>ID2139724666</t>
  </si>
  <si>
    <t>ID2139724667</t>
  </si>
  <si>
    <t>ID2139724668</t>
  </si>
  <si>
    <t>ID2139724669</t>
  </si>
  <si>
    <t>ID2139724670</t>
  </si>
  <si>
    <t>ID2139724671</t>
  </si>
  <si>
    <t>ID2139724672</t>
  </si>
  <si>
    <t>ID2139724673</t>
  </si>
  <si>
    <t>ID2139724674</t>
  </si>
  <si>
    <t>ID2139724675</t>
  </si>
  <si>
    <t>ID2139724676</t>
  </si>
  <si>
    <t>ID2139724677</t>
  </si>
  <si>
    <t>ID2139724678</t>
  </si>
  <si>
    <t>ID2139724679</t>
  </si>
  <si>
    <t>ID2139724680</t>
  </si>
  <si>
    <t>ID2139724681</t>
  </si>
  <si>
    <t>ID2139724682</t>
  </si>
  <si>
    <t>ID2139724683</t>
  </si>
  <si>
    <t>ID2139724684</t>
  </si>
  <si>
    <t>ID2139724685</t>
  </si>
  <si>
    <t>ID2139724686</t>
  </si>
  <si>
    <t>ID2139724687</t>
  </si>
  <si>
    <t>ID2139724688</t>
  </si>
  <si>
    <t>ID2139724689</t>
  </si>
  <si>
    <t>ID2139724690</t>
  </si>
  <si>
    <t>ID2139724691</t>
  </si>
  <si>
    <t>ID2139724692</t>
  </si>
  <si>
    <t>ID2139724693</t>
  </si>
  <si>
    <t>ID2139724694</t>
  </si>
  <si>
    <t>ID2139724695</t>
  </si>
  <si>
    <t>ID2139724696</t>
  </si>
  <si>
    <t>ID2139724697</t>
  </si>
  <si>
    <t>ID2139724698</t>
  </si>
  <si>
    <t>ID2139724699</t>
  </si>
  <si>
    <t>ID2139724700</t>
  </si>
  <si>
    <t>ID2139724701</t>
  </si>
  <si>
    <t>ID2139724702</t>
  </si>
  <si>
    <t>ID2139724703</t>
  </si>
  <si>
    <t>ID2139724704</t>
  </si>
  <si>
    <t>ID2139724705</t>
  </si>
  <si>
    <t>ID2139724706</t>
  </si>
  <si>
    <t>ID2139724707</t>
  </si>
  <si>
    <t>ID2139724708</t>
  </si>
  <si>
    <t>ID2139724709</t>
  </si>
  <si>
    <t>ID2139724710</t>
  </si>
  <si>
    <t>ID2139724711</t>
  </si>
  <si>
    <t>ID2139724712</t>
  </si>
  <si>
    <t>ID2139724713</t>
  </si>
  <si>
    <t>ID2139724714</t>
  </si>
  <si>
    <t>ID2139724715</t>
  </si>
  <si>
    <t>ID2139724716</t>
  </si>
  <si>
    <t>ID2139724717</t>
  </si>
  <si>
    <t>ID2139724718</t>
  </si>
  <si>
    <t>ID2139724719</t>
  </si>
  <si>
    <t>ID2139724720</t>
  </si>
  <si>
    <t>ID2139724721</t>
  </si>
  <si>
    <t>ID2139724722</t>
  </si>
  <si>
    <t>ID2139724723</t>
  </si>
  <si>
    <t>ID2139724724</t>
  </si>
  <si>
    <t>ID2139724725</t>
  </si>
  <si>
    <t>ID2139724726</t>
  </si>
  <si>
    <t>ID2139724727</t>
  </si>
  <si>
    <t>ID2139724728</t>
  </si>
  <si>
    <t>ID2139724729</t>
  </si>
  <si>
    <t>ID2139724730</t>
  </si>
  <si>
    <t>ID2139724731</t>
  </si>
  <si>
    <t>ID2139724732</t>
  </si>
  <si>
    <t>ID2139724733</t>
  </si>
  <si>
    <t>ID2139724734</t>
  </si>
  <si>
    <t>ID2139724735</t>
  </si>
  <si>
    <t>ID2139724736</t>
  </si>
  <si>
    <t>ID2139724737</t>
  </si>
  <si>
    <t>ID2139724738</t>
  </si>
  <si>
    <t>ID2139724739</t>
  </si>
  <si>
    <t>ID2139724740</t>
  </si>
  <si>
    <t>ID2139724741</t>
  </si>
  <si>
    <t>ID2139724742</t>
  </si>
  <si>
    <t>ID2139724743</t>
  </si>
  <si>
    <t>ID2139724744</t>
  </si>
  <si>
    <t>ID2139724745</t>
  </si>
  <si>
    <t>ID2139724746</t>
  </si>
  <si>
    <t>ID2139724747</t>
  </si>
  <si>
    <t>ID2139724748</t>
  </si>
  <si>
    <t>ID2139724749</t>
  </si>
  <si>
    <t>ID2139724750</t>
  </si>
  <si>
    <t>ID2139724751</t>
  </si>
  <si>
    <t>ID2139724752</t>
  </si>
  <si>
    <t>ID2139724753</t>
  </si>
  <si>
    <t>ID2139724754</t>
  </si>
  <si>
    <t>ID2139724755</t>
  </si>
  <si>
    <t>ID2139724756</t>
  </si>
  <si>
    <t>ID2139724757</t>
  </si>
  <si>
    <t>ID2139724758</t>
  </si>
  <si>
    <t>ID2139724759</t>
  </si>
  <si>
    <t>ID2139724760</t>
  </si>
  <si>
    <t>ID2139724761</t>
  </si>
  <si>
    <t>ID2139724762</t>
  </si>
  <si>
    <t>ID2139724763</t>
  </si>
  <si>
    <t>ID2139724764</t>
  </si>
  <si>
    <t>ID2139724765</t>
  </si>
  <si>
    <t>ID2139724766</t>
  </si>
  <si>
    <t>ID2139724767</t>
  </si>
  <si>
    <t>ID2139724768</t>
  </si>
  <si>
    <t>ID2139724769</t>
  </si>
  <si>
    <t>ID2139724770</t>
  </si>
  <si>
    <t>ID2139724771</t>
  </si>
  <si>
    <t>ID2139724772</t>
  </si>
  <si>
    <t>ID2139724773</t>
  </si>
  <si>
    <t>ID2139724774</t>
  </si>
  <si>
    <t>ID2139724775</t>
  </si>
  <si>
    <t>ID2139724776</t>
  </si>
  <si>
    <t>ID2139724777</t>
  </si>
  <si>
    <t>ID2139724778</t>
  </si>
  <si>
    <t>ID2139724779</t>
  </si>
  <si>
    <t>ID2139724780</t>
  </si>
  <si>
    <t>ID2139724781</t>
  </si>
  <si>
    <t>ID2139724782</t>
  </si>
  <si>
    <t>ID2139724783</t>
  </si>
  <si>
    <t>ID2139724784</t>
  </si>
  <si>
    <t>ID2139724785</t>
  </si>
  <si>
    <t>ID2139724786</t>
  </si>
  <si>
    <t>ID2139724787</t>
  </si>
  <si>
    <t>ID2139724788</t>
  </si>
  <si>
    <t>ID2139724789</t>
  </si>
  <si>
    <t>ID2139724790</t>
  </si>
  <si>
    <t>ID2139724791</t>
  </si>
  <si>
    <t>ID2139724792</t>
  </si>
  <si>
    <t>ID2139724793</t>
  </si>
  <si>
    <t>ID2139724794</t>
  </si>
  <si>
    <t>ID2139724795</t>
  </si>
  <si>
    <t>ID2139724796</t>
  </si>
  <si>
    <t>ID2139724797</t>
  </si>
  <si>
    <t>ID2139724798</t>
  </si>
  <si>
    <t>ID2139724799</t>
  </si>
  <si>
    <t>ID2139724800</t>
  </si>
  <si>
    <t>ID2139724801</t>
  </si>
  <si>
    <t>ID2139724802</t>
  </si>
  <si>
    <t>ID2139724803</t>
  </si>
  <si>
    <t>ID2139724804</t>
  </si>
  <si>
    <t>ID2139724805</t>
  </si>
  <si>
    <t>ID2139724806</t>
  </si>
  <si>
    <t>ID2139724807</t>
  </si>
  <si>
    <t>ID2139724808</t>
  </si>
  <si>
    <t>ID2139724809</t>
  </si>
  <si>
    <t>ID2139724810</t>
  </si>
  <si>
    <t>ID2139724811</t>
  </si>
  <si>
    <t>ID2139724812</t>
  </si>
  <si>
    <t>ID2139724813</t>
  </si>
  <si>
    <t>ID2139724814</t>
  </si>
  <si>
    <t>ID2139724815</t>
  </si>
  <si>
    <t>ID2139724816</t>
  </si>
  <si>
    <t>ID2139724817</t>
  </si>
  <si>
    <t>ID2139724818</t>
  </si>
  <si>
    <t>ID2139724819</t>
  </si>
  <si>
    <t>ID2139724820</t>
  </si>
  <si>
    <t>ID2139724821</t>
  </si>
  <si>
    <t>ID2139724822</t>
  </si>
  <si>
    <t>ID2139724823</t>
  </si>
  <si>
    <t>ID2139724824</t>
  </si>
  <si>
    <t>ID2139724825</t>
  </si>
  <si>
    <t>ID2139724826</t>
  </si>
  <si>
    <t>ID2139724827</t>
  </si>
  <si>
    <t>ID2139724828</t>
  </si>
  <si>
    <t>ID2139724829</t>
  </si>
  <si>
    <t>ID2139724830</t>
  </si>
  <si>
    <t>ID2139724831</t>
  </si>
  <si>
    <t>ID2139724832</t>
  </si>
  <si>
    <t>ID2139724833</t>
  </si>
  <si>
    <t>ID2139724834</t>
  </si>
  <si>
    <t>ID2139724835</t>
  </si>
  <si>
    <t>ID2139724836</t>
  </si>
  <si>
    <t>ID2139724837</t>
  </si>
  <si>
    <t>ID2139724838</t>
  </si>
  <si>
    <t>ID2139724839</t>
  </si>
  <si>
    <t>ID2139724840</t>
  </si>
  <si>
    <t>ID2139724841</t>
  </si>
  <si>
    <t>ID2139724842</t>
  </si>
  <si>
    <t>ID2139724843</t>
  </si>
  <si>
    <t>ID2139724844</t>
  </si>
  <si>
    <t>ID2139724845</t>
  </si>
  <si>
    <t>ID2139724846</t>
  </si>
  <si>
    <t>ID2139724847</t>
  </si>
  <si>
    <t>ID2139724848</t>
  </si>
  <si>
    <t>ID2139724849</t>
  </si>
  <si>
    <t>ID2139724850</t>
  </si>
  <si>
    <t>ID2139724851</t>
  </si>
  <si>
    <t>ID2139724852</t>
  </si>
  <si>
    <t>ID2139724853</t>
  </si>
  <si>
    <t>ID2139724854</t>
  </si>
  <si>
    <t>ID2139724855</t>
  </si>
  <si>
    <t>ID2139724856</t>
  </si>
  <si>
    <t>ID2139724857</t>
  </si>
  <si>
    <t>ID2139724858</t>
  </si>
  <si>
    <t>ID2139724859</t>
  </si>
  <si>
    <t>ID2139724860</t>
  </si>
  <si>
    <t>ID2139724861</t>
  </si>
  <si>
    <t>ID2139724862</t>
  </si>
  <si>
    <t>ID2139724863</t>
  </si>
  <si>
    <t>ID2139724864</t>
  </si>
  <si>
    <t>ID2139724865</t>
  </si>
  <si>
    <t>ID2139724866</t>
  </si>
  <si>
    <t>ID2139724867</t>
  </si>
  <si>
    <t>ID2139724868</t>
  </si>
  <si>
    <t>ID2139724869</t>
  </si>
  <si>
    <t>ID2139724870</t>
  </si>
  <si>
    <t>ID2139724871</t>
  </si>
  <si>
    <t>ID2139724872</t>
  </si>
  <si>
    <t>ID2139724873</t>
  </si>
  <si>
    <t>ID2139724874</t>
  </si>
  <si>
    <t>ID2139724875</t>
  </si>
  <si>
    <t>ID2139724876</t>
  </si>
  <si>
    <t>ID2139724877</t>
  </si>
  <si>
    <t>ID2139724878</t>
  </si>
  <si>
    <t>ID2139724879</t>
  </si>
  <si>
    <t>ID2139724880</t>
  </si>
  <si>
    <t>ID2139724881</t>
  </si>
  <si>
    <t>ID2139724882</t>
  </si>
  <si>
    <t>ID2139724883</t>
  </si>
  <si>
    <t>ID2139724884</t>
  </si>
  <si>
    <t>ID2139724885</t>
  </si>
  <si>
    <t>ID2139724886</t>
  </si>
  <si>
    <t>ID2139724887</t>
  </si>
  <si>
    <t>ID2139724888</t>
  </si>
  <si>
    <t>ID2139724889</t>
  </si>
  <si>
    <t>ID2139724890</t>
  </si>
  <si>
    <t>ID2139724891</t>
  </si>
  <si>
    <t>ID2139724892</t>
  </si>
  <si>
    <t>ID2139724893</t>
  </si>
  <si>
    <t>ID2139724894</t>
  </si>
  <si>
    <t>ID2139724895</t>
  </si>
  <si>
    <t>ID2139724896</t>
  </si>
  <si>
    <t>ID2139724897</t>
  </si>
  <si>
    <t>ID2139724898</t>
  </si>
  <si>
    <t>ID2139724899</t>
  </si>
  <si>
    <t>ID2139724900</t>
  </si>
  <si>
    <t>ID2139724901</t>
  </si>
  <si>
    <t>ID2139724902</t>
  </si>
  <si>
    <t>ID2139724903</t>
  </si>
  <si>
    <t>ID2139724904</t>
  </si>
  <si>
    <t>ID2139724905</t>
  </si>
  <si>
    <t>ID2139724906</t>
  </si>
  <si>
    <t>ID2139724907</t>
  </si>
  <si>
    <t>ID2139724908</t>
  </si>
  <si>
    <t>ID2139724909</t>
  </si>
  <si>
    <t>ID2139724910</t>
  </si>
  <si>
    <t>ID2139724911</t>
  </si>
  <si>
    <t>ID2139724912</t>
  </si>
  <si>
    <t>ID2139724913</t>
  </si>
  <si>
    <t>ID2139724914</t>
  </si>
  <si>
    <t>ID2139724915</t>
  </si>
  <si>
    <t>ID2139724916</t>
  </si>
  <si>
    <t>ID2139724917</t>
  </si>
  <si>
    <t>ID2139724918</t>
  </si>
  <si>
    <t>ID2139724919</t>
  </si>
  <si>
    <t>ID2139724920</t>
  </si>
  <si>
    <t>ID2139724921</t>
  </si>
  <si>
    <t>ID2139724922</t>
  </si>
  <si>
    <t>ID2139724923</t>
  </si>
  <si>
    <t>ID2139724924</t>
  </si>
  <si>
    <t>ID2139724925</t>
  </si>
  <si>
    <t>ID2139724926</t>
  </si>
  <si>
    <t>ID2139724927</t>
  </si>
  <si>
    <t>ID2139724928</t>
  </si>
  <si>
    <t>ID2139724929</t>
  </si>
  <si>
    <t>ID2139724930</t>
  </si>
  <si>
    <t>ID2139724931</t>
  </si>
  <si>
    <t>ID2139724932</t>
  </si>
  <si>
    <t>ID2139724933</t>
  </si>
  <si>
    <t>ID2139724934</t>
  </si>
  <si>
    <t>ID2139724935</t>
  </si>
  <si>
    <t>ID2139724936</t>
  </si>
  <si>
    <t>ID2139724937</t>
  </si>
  <si>
    <t>ID2139724938</t>
  </si>
  <si>
    <t>ID2139724939</t>
  </si>
  <si>
    <t>ID2139724940</t>
  </si>
  <si>
    <t>ID2139724941</t>
  </si>
  <si>
    <t>ID2139724942</t>
  </si>
  <si>
    <t>ID2139724943</t>
  </si>
  <si>
    <t>ID2139724944</t>
  </si>
  <si>
    <t>ID2139724945</t>
  </si>
  <si>
    <t>ID2139724946</t>
  </si>
  <si>
    <t>ID2139724947</t>
  </si>
  <si>
    <t>ID2139724948</t>
  </si>
  <si>
    <t>ID2139724949</t>
  </si>
  <si>
    <t>ID2139724950</t>
  </si>
  <si>
    <t>ID2139724951</t>
  </si>
  <si>
    <t>ID2139724952</t>
  </si>
  <si>
    <t>ID2139724953</t>
  </si>
  <si>
    <t>ID2139724954</t>
  </si>
  <si>
    <t>ID2139724955</t>
  </si>
  <si>
    <t>ID2139724956</t>
  </si>
  <si>
    <t>ID2139724957</t>
  </si>
  <si>
    <t>ID2139724958</t>
  </si>
  <si>
    <t>ID2139724959</t>
  </si>
  <si>
    <t>ID2139724960</t>
  </si>
  <si>
    <t>ID2139724961</t>
  </si>
  <si>
    <t>ID2139724962</t>
  </si>
  <si>
    <t>ID2139724963</t>
  </si>
  <si>
    <t>ID2139724964</t>
  </si>
  <si>
    <t>ID2139724965</t>
  </si>
  <si>
    <t>ID2139724966</t>
  </si>
  <si>
    <t>ID2139724967</t>
  </si>
  <si>
    <t>ID2139724968</t>
  </si>
  <si>
    <t>ID2139724969</t>
  </si>
  <si>
    <t>ID2139724970</t>
  </si>
  <si>
    <t>ID2139724971</t>
  </si>
  <si>
    <t>ID2139724972</t>
  </si>
  <si>
    <t>ID2139724973</t>
  </si>
  <si>
    <t>ID2139724974</t>
  </si>
  <si>
    <t>ID2139724975</t>
  </si>
  <si>
    <t>ID2139724976</t>
  </si>
  <si>
    <t>ID2139724977</t>
  </si>
  <si>
    <t>ID2139724978</t>
  </si>
  <si>
    <t>ID2139724979</t>
  </si>
  <si>
    <t>ID2139724980</t>
  </si>
  <si>
    <t>ID2139724981</t>
  </si>
  <si>
    <t>ID2139724982</t>
  </si>
  <si>
    <t>ID2139724983</t>
  </si>
  <si>
    <t>ID2139724984</t>
  </si>
  <si>
    <t>ID2139724985</t>
  </si>
  <si>
    <t>ID2139724986</t>
  </si>
  <si>
    <t>ID2139724987</t>
  </si>
  <si>
    <t>ID2139724988</t>
  </si>
  <si>
    <t>ID2139724989</t>
  </si>
  <si>
    <t>ID2139724990</t>
  </si>
  <si>
    <t>ID2139724991</t>
  </si>
  <si>
    <t>ID2139724992</t>
  </si>
  <si>
    <t>ID2139724993</t>
  </si>
  <si>
    <t>ID2139724994</t>
  </si>
  <si>
    <t>ID2139724995</t>
  </si>
  <si>
    <t>ID2139724996</t>
  </si>
  <si>
    <t>ID2139724997</t>
  </si>
  <si>
    <t>ID2139724998</t>
  </si>
  <si>
    <t>ID2139724999</t>
  </si>
  <si>
    <t>ID2139725000</t>
  </si>
  <si>
    <t>ID2139725001</t>
  </si>
  <si>
    <t>ID2139725002</t>
  </si>
  <si>
    <t>ID2139725003</t>
  </si>
  <si>
    <t>ID2139725004</t>
  </si>
  <si>
    <t>ID2139725005</t>
  </si>
  <si>
    <t>ID2139725006</t>
  </si>
  <si>
    <t>ID2139725007</t>
  </si>
  <si>
    <t>ID2139725008</t>
  </si>
  <si>
    <t>ID2139725009</t>
  </si>
  <si>
    <t>ID2139725010</t>
  </si>
  <si>
    <t>ID2139725011</t>
  </si>
  <si>
    <t>ID2139725012</t>
  </si>
  <si>
    <t>ID2139725013</t>
  </si>
  <si>
    <t>ID2139725014</t>
  </si>
  <si>
    <t>ID2139725015</t>
  </si>
  <si>
    <t>ID2139725016</t>
  </si>
  <si>
    <t>ID2139725017</t>
  </si>
  <si>
    <t>ID2139725018</t>
  </si>
  <si>
    <t>ID2139725019</t>
  </si>
  <si>
    <t>ID2139725020</t>
  </si>
  <si>
    <t>ID2139725021</t>
  </si>
  <si>
    <t>ID2139725022</t>
  </si>
  <si>
    <t>ID2139725023</t>
  </si>
  <si>
    <t>ID2139725024</t>
  </si>
  <si>
    <t>ID2139725025</t>
  </si>
  <si>
    <t>ID2139725026</t>
  </si>
  <si>
    <t>ID2139725027</t>
  </si>
  <si>
    <t>ID2139725028</t>
  </si>
  <si>
    <t>ID2139725029</t>
  </si>
  <si>
    <t>ID2139725030</t>
  </si>
  <si>
    <t>ID2139725031</t>
  </si>
  <si>
    <t>ID2139725032</t>
  </si>
  <si>
    <t>ID2139725033</t>
  </si>
  <si>
    <t>ID2139725034</t>
  </si>
  <si>
    <t>ID2139725035</t>
  </si>
  <si>
    <t>ID2139725036</t>
  </si>
  <si>
    <t>ID2139725037</t>
  </si>
  <si>
    <t>ID2139725038</t>
  </si>
  <si>
    <t>ID2139725039</t>
  </si>
  <si>
    <t>ID2139725040</t>
  </si>
  <si>
    <t>ID2139725041</t>
  </si>
  <si>
    <t>ID2139725042</t>
  </si>
  <si>
    <t xml:space="preserve"> LUZ ANGELICA  CHILES CABRERA</t>
  </si>
  <si>
    <t>NIT</t>
  </si>
  <si>
    <t>011-2026</t>
  </si>
  <si>
    <t>014-2026</t>
  </si>
  <si>
    <t>1164-2025</t>
  </si>
  <si>
    <t>1159-2025</t>
  </si>
  <si>
    <t>1157-2025</t>
  </si>
  <si>
    <t>1149-2025</t>
  </si>
  <si>
    <t>1133-2025</t>
  </si>
  <si>
    <t>1113-2025</t>
  </si>
  <si>
    <t>1111-2025</t>
  </si>
  <si>
    <t>1108-2025</t>
  </si>
  <si>
    <t>1107-2025</t>
  </si>
  <si>
    <t>1105-2025</t>
  </si>
  <si>
    <t>1104-2025</t>
  </si>
  <si>
    <t>1101-2025</t>
  </si>
  <si>
    <t>1098-2025</t>
  </si>
  <si>
    <t>1198-2025</t>
  </si>
  <si>
    <t>1197-2025</t>
  </si>
  <si>
    <t>023-2026</t>
  </si>
  <si>
    <t>045-2026</t>
  </si>
  <si>
    <t>1185-2025</t>
  </si>
  <si>
    <t>1184-2025</t>
  </si>
  <si>
    <t>046-2026</t>
  </si>
  <si>
    <t>999-2025</t>
  </si>
  <si>
    <t>1039-2025</t>
  </si>
  <si>
    <t>1034-2025</t>
  </si>
  <si>
    <t>1033-2025</t>
  </si>
  <si>
    <t>1032-2025</t>
  </si>
  <si>
    <t>1030-2025</t>
  </si>
  <si>
    <t>1028-2025</t>
  </si>
  <si>
    <t>1027-2025</t>
  </si>
  <si>
    <t>1026-2025</t>
  </si>
  <si>
    <t>1025-2025</t>
  </si>
  <si>
    <t>1022-2025</t>
  </si>
  <si>
    <t>1021-2025</t>
  </si>
  <si>
    <t>1020-2025</t>
  </si>
  <si>
    <t>1015-2025</t>
  </si>
  <si>
    <t>1013-2025</t>
  </si>
  <si>
    <t>1011-2025</t>
  </si>
  <si>
    <t>1009-2025</t>
  </si>
  <si>
    <t>1007-2025</t>
  </si>
  <si>
    <t>1005-2025</t>
  </si>
  <si>
    <t>1004-2025</t>
  </si>
  <si>
    <t>1003-2025</t>
  </si>
  <si>
    <t>1000-2025</t>
  </si>
  <si>
    <t>1167-2025</t>
  </si>
  <si>
    <t>1165-2025</t>
  </si>
  <si>
    <t>047-2026</t>
  </si>
  <si>
    <t>048-2026</t>
  </si>
  <si>
    <t>1160-2025</t>
  </si>
  <si>
    <t>1155-2025</t>
  </si>
  <si>
    <t>1150-2025</t>
  </si>
  <si>
    <t>1145-2025</t>
  </si>
  <si>
    <t>1143-2025</t>
  </si>
  <si>
    <t>1142-2025</t>
  </si>
  <si>
    <t>1139-2025</t>
  </si>
  <si>
    <t>1129-2025</t>
  </si>
  <si>
    <t>1128-2025</t>
  </si>
  <si>
    <t>1126-2025</t>
  </si>
  <si>
    <t>1125-2025</t>
  </si>
  <si>
    <t>1124-2025</t>
  </si>
  <si>
    <t>1123-2025</t>
  </si>
  <si>
    <t>1119-2025</t>
  </si>
  <si>
    <t>1114-2025</t>
  </si>
  <si>
    <t>1106-2025</t>
  </si>
  <si>
    <t>1103-2025</t>
  </si>
  <si>
    <t>1102-2025</t>
  </si>
  <si>
    <t>1100-2025</t>
  </si>
  <si>
    <t>1099-2025</t>
  </si>
  <si>
    <t>1097-2025</t>
  </si>
  <si>
    <t>1095-2025</t>
  </si>
  <si>
    <t>1094-2025</t>
  </si>
  <si>
    <t>1092-2025</t>
  </si>
  <si>
    <t>1088-2025</t>
  </si>
  <si>
    <t>1086-2025</t>
  </si>
  <si>
    <t>1084-2025</t>
  </si>
  <si>
    <t>1069-2025</t>
  </si>
  <si>
    <t>1067-2025</t>
  </si>
  <si>
    <t>1065-2025</t>
  </si>
  <si>
    <t>1064-2025</t>
  </si>
  <si>
    <t>1063-2025</t>
  </si>
  <si>
    <t>1061-2025</t>
  </si>
  <si>
    <t>1060-2025</t>
  </si>
  <si>
    <t>1055-2025</t>
  </si>
  <si>
    <t>1050-2025</t>
  </si>
  <si>
    <t>1049-2025</t>
  </si>
  <si>
    <t>1048-2025</t>
  </si>
  <si>
    <t>1043-2025</t>
  </si>
  <si>
    <t>1042-2025</t>
  </si>
  <si>
    <t>1038-2025</t>
  </si>
  <si>
    <t>991-2025</t>
  </si>
  <si>
    <t>983-2025</t>
  </si>
  <si>
    <t>982-2025</t>
  </si>
  <si>
    <t>980-2025</t>
  </si>
  <si>
    <t>977-2025</t>
  </si>
  <si>
    <t>049-2026</t>
  </si>
  <si>
    <t>050-2026</t>
  </si>
  <si>
    <t>051-2026</t>
  </si>
  <si>
    <t>976-2025</t>
  </si>
  <si>
    <t>965-2025</t>
  </si>
  <si>
    <t>963-2025</t>
  </si>
  <si>
    <t>960-2025</t>
  </si>
  <si>
    <t>959-2025</t>
  </si>
  <si>
    <t>958-2025</t>
  </si>
  <si>
    <t>939-2025</t>
  </si>
  <si>
    <t>938-2025</t>
  </si>
  <si>
    <t>936-2025</t>
  </si>
  <si>
    <t>934-2025</t>
  </si>
  <si>
    <t>1194-2025</t>
  </si>
  <si>
    <t>1179-2025</t>
  </si>
  <si>
    <t>1029-2025</t>
  </si>
  <si>
    <t>1121-2025</t>
  </si>
  <si>
    <t>928-2025</t>
  </si>
  <si>
    <t>926-2025</t>
  </si>
  <si>
    <t>925-2025</t>
  </si>
  <si>
    <t>924-2025</t>
  </si>
  <si>
    <t>919-2025</t>
  </si>
  <si>
    <t>917-2025</t>
  </si>
  <si>
    <t>916-2025</t>
  </si>
  <si>
    <t>912-2025</t>
  </si>
  <si>
    <t>907-2025</t>
  </si>
  <si>
    <t>903-2025</t>
  </si>
  <si>
    <t>052-2026</t>
  </si>
  <si>
    <t>901-2025</t>
  </si>
  <si>
    <t>899-2025</t>
  </si>
  <si>
    <t>897-2025</t>
  </si>
  <si>
    <t>896-2025</t>
  </si>
  <si>
    <t>894-2025</t>
  </si>
  <si>
    <t>889-2025</t>
  </si>
  <si>
    <t>887-2025</t>
  </si>
  <si>
    <t>886-2025</t>
  </si>
  <si>
    <t>885-2025</t>
  </si>
  <si>
    <t>1062-2025</t>
  </si>
  <si>
    <t>883-2025</t>
  </si>
  <si>
    <t>877-2025</t>
  </si>
  <si>
    <t>876-2025</t>
  </si>
  <si>
    <t>873-2025</t>
  </si>
  <si>
    <t>872-2025</t>
  </si>
  <si>
    <t>869-2025</t>
  </si>
  <si>
    <t>864-2025</t>
  </si>
  <si>
    <t>859-2025</t>
  </si>
  <si>
    <t>855-2025</t>
  </si>
  <si>
    <t>854-2025</t>
  </si>
  <si>
    <t>851-2025</t>
  </si>
  <si>
    <t>849-2025</t>
  </si>
  <si>
    <t>848-2025</t>
  </si>
  <si>
    <t>842-2025</t>
  </si>
  <si>
    <t>841-2025</t>
  </si>
  <si>
    <t>840-2025</t>
  </si>
  <si>
    <t>839-2025</t>
  </si>
  <si>
    <t>837-2025</t>
  </si>
  <si>
    <t>836-2025</t>
  </si>
  <si>
    <t>830-2025</t>
  </si>
  <si>
    <t>829-2025</t>
  </si>
  <si>
    <t>828-2025</t>
  </si>
  <si>
    <t>827-2025</t>
  </si>
  <si>
    <t>826-2025</t>
  </si>
  <si>
    <t>824-2025</t>
  </si>
  <si>
    <t>821-2025</t>
  </si>
  <si>
    <t>820-2025</t>
  </si>
  <si>
    <t>816-2025</t>
  </si>
  <si>
    <t>815-2025</t>
  </si>
  <si>
    <t>813-2025</t>
  </si>
  <si>
    <t>812-2025</t>
  </si>
  <si>
    <t>811-2025</t>
  </si>
  <si>
    <t>810-2025</t>
  </si>
  <si>
    <t>809-2025</t>
  </si>
  <si>
    <t>806-2025</t>
  </si>
  <si>
    <t>804-2025</t>
  </si>
  <si>
    <t>803-2025</t>
  </si>
  <si>
    <t>802-2025</t>
  </si>
  <si>
    <t>798-2025</t>
  </si>
  <si>
    <t>797-2025</t>
  </si>
  <si>
    <t>795-2025</t>
  </si>
  <si>
    <t>794-2025</t>
  </si>
  <si>
    <t>793-2025</t>
  </si>
  <si>
    <t>791-2025</t>
  </si>
  <si>
    <t>790-2025</t>
  </si>
  <si>
    <t>784-2025</t>
  </si>
  <si>
    <t>783-2025</t>
  </si>
  <si>
    <t>782-2025</t>
  </si>
  <si>
    <t>777-2025</t>
  </si>
  <si>
    <t>774-2025</t>
  </si>
  <si>
    <t>761-2025</t>
  </si>
  <si>
    <t>759-2025</t>
  </si>
  <si>
    <t>754-2025</t>
  </si>
  <si>
    <t>743-2025</t>
  </si>
  <si>
    <t>737-2025</t>
  </si>
  <si>
    <t>732-2025</t>
  </si>
  <si>
    <t>1162-2025</t>
  </si>
  <si>
    <t>1112-2025</t>
  </si>
  <si>
    <t>987-2025</t>
  </si>
  <si>
    <t>970-2025</t>
  </si>
  <si>
    <t>968-2025</t>
  </si>
  <si>
    <t>966-2025</t>
  </si>
  <si>
    <t>962-2025</t>
  </si>
  <si>
    <t>953-2025</t>
  </si>
  <si>
    <t>948-2025</t>
  </si>
  <si>
    <t>946-2025</t>
  </si>
  <si>
    <t>937-2025</t>
  </si>
  <si>
    <t>933-2025</t>
  </si>
  <si>
    <t>1158-2025</t>
  </si>
  <si>
    <t>1151-2025</t>
  </si>
  <si>
    <t>1148-2025</t>
  </si>
  <si>
    <t>1140-2025</t>
  </si>
  <si>
    <t>1122-2025</t>
  </si>
  <si>
    <t>1115-2025</t>
  </si>
  <si>
    <t>1066-2025</t>
  </si>
  <si>
    <t>053-2026</t>
  </si>
  <si>
    <t>1058-2025</t>
  </si>
  <si>
    <t>992-2025</t>
  </si>
  <si>
    <t>951-2025</t>
  </si>
  <si>
    <t>949-2025</t>
  </si>
  <si>
    <t>945-2025</t>
  </si>
  <si>
    <t>931-2025</t>
  </si>
  <si>
    <t>1012-2025</t>
  </si>
  <si>
    <t>860-2025</t>
  </si>
  <si>
    <t>858-2025</t>
  </si>
  <si>
    <t>847-2025</t>
  </si>
  <si>
    <t>838-2025</t>
  </si>
  <si>
    <t>818-2025</t>
  </si>
  <si>
    <t>792-2025</t>
  </si>
  <si>
    <t>787-2025</t>
  </si>
  <si>
    <t>776-2025</t>
  </si>
  <si>
    <t>770-2025</t>
  </si>
  <si>
    <t>769-2025</t>
  </si>
  <si>
    <t>768-2025</t>
  </si>
  <si>
    <t>766-2025</t>
  </si>
  <si>
    <t>764-2025</t>
  </si>
  <si>
    <t>756-2025</t>
  </si>
  <si>
    <t>752-2025</t>
  </si>
  <si>
    <t>749-2025</t>
  </si>
  <si>
    <t>748-2025</t>
  </si>
  <si>
    <t>747-2025</t>
  </si>
  <si>
    <t>745-2025</t>
  </si>
  <si>
    <t>742-2025</t>
  </si>
  <si>
    <t>740-2025</t>
  </si>
  <si>
    <t>055-2026</t>
  </si>
  <si>
    <t>731-2025</t>
  </si>
  <si>
    <t>730-2025</t>
  </si>
  <si>
    <t>726-2025</t>
  </si>
  <si>
    <t>714-2025</t>
  </si>
  <si>
    <t>1053-2025</t>
  </si>
  <si>
    <t>1047-2025</t>
  </si>
  <si>
    <t>1040-2025</t>
  </si>
  <si>
    <t>921-2025</t>
  </si>
  <si>
    <t>910-2025</t>
  </si>
  <si>
    <t>908-2025</t>
  </si>
  <si>
    <t>904-2025</t>
  </si>
  <si>
    <t>898-2025</t>
  </si>
  <si>
    <t>890-2025</t>
  </si>
  <si>
    <t>993-2025</t>
  </si>
  <si>
    <t>944-2025</t>
  </si>
  <si>
    <t>1010-2025</t>
  </si>
  <si>
    <t>865-2025</t>
  </si>
  <si>
    <t>862-2025</t>
  </si>
  <si>
    <t>853-2025</t>
  </si>
  <si>
    <t>850-2025</t>
  </si>
  <si>
    <t>843-2025</t>
  </si>
  <si>
    <t>834-2025</t>
  </si>
  <si>
    <t>819-2025</t>
  </si>
  <si>
    <t>817-2025</t>
  </si>
  <si>
    <t>805-2025</t>
  </si>
  <si>
    <t>789-2025</t>
  </si>
  <si>
    <t>781-2025</t>
  </si>
  <si>
    <t>778-2025</t>
  </si>
  <si>
    <t>775-2025</t>
  </si>
  <si>
    <t>773-2025</t>
  </si>
  <si>
    <t>763-2025</t>
  </si>
  <si>
    <t>760-2025</t>
  </si>
  <si>
    <t>757-2025</t>
  </si>
  <si>
    <t>741-2025</t>
  </si>
  <si>
    <t>929-2025</t>
  </si>
  <si>
    <t>927-2025</t>
  </si>
  <si>
    <t>913-2025</t>
  </si>
  <si>
    <t>906-2025</t>
  </si>
  <si>
    <t>905-2025</t>
  </si>
  <si>
    <t>900-2025</t>
  </si>
  <si>
    <t>888-2025</t>
  </si>
  <si>
    <t>875-2025</t>
  </si>
  <si>
    <t>868-2025</t>
  </si>
  <si>
    <t>833-2025</t>
  </si>
  <si>
    <t>831-2025</t>
  </si>
  <si>
    <t>822-2025</t>
  </si>
  <si>
    <t>808-2025</t>
  </si>
  <si>
    <t>807-2025</t>
  </si>
  <si>
    <t>786-2025</t>
  </si>
  <si>
    <t>780-2025</t>
  </si>
  <si>
    <t>779-2025</t>
  </si>
  <si>
    <t>772-2025</t>
  </si>
  <si>
    <t>767-2025</t>
  </si>
  <si>
    <t>762-2025</t>
  </si>
  <si>
    <t>755-2025</t>
  </si>
  <si>
    <t>750-2025</t>
  </si>
  <si>
    <t>744-2025</t>
  </si>
  <si>
    <t>723-2025</t>
  </si>
  <si>
    <t>711-2025</t>
  </si>
  <si>
    <t>706-2025</t>
  </si>
  <si>
    <t>1017-2025</t>
  </si>
  <si>
    <t>1031-2025</t>
  </si>
  <si>
    <t>1087-2025</t>
  </si>
  <si>
    <t>1075-2025</t>
  </si>
  <si>
    <t>998-2025</t>
  </si>
  <si>
    <t>947-2025</t>
  </si>
  <si>
    <t>952-2025</t>
  </si>
  <si>
    <t>941-2025</t>
  </si>
  <si>
    <t>923-2025</t>
  </si>
  <si>
    <t>909-2025</t>
  </si>
  <si>
    <t>895-2025</t>
  </si>
  <si>
    <t>878-2025</t>
  </si>
  <si>
    <t>871-2025</t>
  </si>
  <si>
    <t>056-2026</t>
  </si>
  <si>
    <t>846-2025</t>
  </si>
  <si>
    <t>844-2025</t>
  </si>
  <si>
    <t>832-2025</t>
  </si>
  <si>
    <t>765-2025</t>
  </si>
  <si>
    <t>932-2025</t>
  </si>
  <si>
    <t>852-2025</t>
  </si>
  <si>
    <t>845-2025</t>
  </si>
  <si>
    <t>771-2025</t>
  </si>
  <si>
    <t>739-2025</t>
  </si>
  <si>
    <t>930-2025</t>
  </si>
  <si>
    <t>920-2025</t>
  </si>
  <si>
    <t>955-2025</t>
  </si>
  <si>
    <t>857-2025</t>
  </si>
  <si>
    <t>856-2025</t>
  </si>
  <si>
    <t>823-2025</t>
  </si>
  <si>
    <t>788-2025</t>
  </si>
  <si>
    <t>785-2025</t>
  </si>
  <si>
    <t>751-2025</t>
  </si>
  <si>
    <t>861-2025</t>
  </si>
  <si>
    <t>057-2026</t>
  </si>
  <si>
    <t>058-2026</t>
  </si>
  <si>
    <t>059-2026</t>
  </si>
  <si>
    <t>060-2026</t>
  </si>
  <si>
    <t>835-2025</t>
  </si>
  <si>
    <t>061-2026</t>
  </si>
  <si>
    <t>062-2026</t>
  </si>
  <si>
    <t>063-2026</t>
  </si>
  <si>
    <t>064-2026</t>
  </si>
  <si>
    <t>065-2026</t>
  </si>
  <si>
    <t>066-2026</t>
  </si>
  <si>
    <t>067-2026</t>
  </si>
  <si>
    <t>068-2026</t>
  </si>
  <si>
    <t>069-2026</t>
  </si>
  <si>
    <t>070-2026</t>
  </si>
  <si>
    <t>071-2026</t>
  </si>
  <si>
    <t>072-2026</t>
  </si>
  <si>
    <t>073-2026</t>
  </si>
  <si>
    <t>074-2026</t>
  </si>
  <si>
    <t>075-2026</t>
  </si>
  <si>
    <t>076-2026</t>
  </si>
  <si>
    <t>077-2026</t>
  </si>
  <si>
    <t>078-2026</t>
  </si>
  <si>
    <t>079-2026</t>
  </si>
  <si>
    <t>080-2026</t>
  </si>
  <si>
    <t>081-2026</t>
  </si>
  <si>
    <t>082-2026</t>
  </si>
  <si>
    <t>083-2026</t>
  </si>
  <si>
    <t>084-2026</t>
  </si>
  <si>
    <t>085-2026</t>
  </si>
  <si>
    <t>086-2026</t>
  </si>
  <si>
    <t>087-2026</t>
  </si>
  <si>
    <t>088-2026</t>
  </si>
  <si>
    <t>089-2026</t>
  </si>
  <si>
    <t>090-2026</t>
  </si>
  <si>
    <t>091-2026</t>
  </si>
  <si>
    <t>092-2026</t>
  </si>
  <si>
    <t>093-2026</t>
  </si>
  <si>
    <t>096-2026</t>
  </si>
  <si>
    <t>097-2026</t>
  </si>
  <si>
    <t>098-2026</t>
  </si>
  <si>
    <t>099-2026</t>
  </si>
  <si>
    <t>100-2026</t>
  </si>
  <si>
    <t>101-2026</t>
  </si>
  <si>
    <t>102-2026</t>
  </si>
  <si>
    <t>103-2026</t>
  </si>
  <si>
    <t>104-2026</t>
  </si>
  <si>
    <t>107-2026</t>
  </si>
  <si>
    <t>108-2026</t>
  </si>
  <si>
    <t>109-2026</t>
  </si>
  <si>
    <t>110-2026</t>
  </si>
  <si>
    <t>111-2026</t>
  </si>
  <si>
    <t>112-2026</t>
  </si>
  <si>
    <t>113-2026</t>
  </si>
  <si>
    <t>114-2026</t>
  </si>
  <si>
    <t>118-2026</t>
  </si>
  <si>
    <t>123-2026</t>
  </si>
  <si>
    <t>147-2026</t>
  </si>
  <si>
    <t>148-2026</t>
  </si>
  <si>
    <t>149-2026</t>
  </si>
  <si>
    <t>150-2026</t>
  </si>
  <si>
    <t>152-2026</t>
  </si>
  <si>
    <t>154-2026</t>
  </si>
  <si>
    <t>157-2026</t>
  </si>
  <si>
    <t>158-2026</t>
  </si>
  <si>
    <t>159-2026</t>
  </si>
  <si>
    <t>160-2026</t>
  </si>
  <si>
    <t>161-2026</t>
  </si>
  <si>
    <t>162-2026</t>
  </si>
  <si>
    <t>163-2026</t>
  </si>
  <si>
    <t>164-2026</t>
  </si>
  <si>
    <t>165-2026</t>
  </si>
  <si>
    <t>166-2026</t>
  </si>
  <si>
    <t>167-2026</t>
  </si>
  <si>
    <t>168-2026</t>
  </si>
  <si>
    <t>169-2026</t>
  </si>
  <si>
    <t>170-2026</t>
  </si>
  <si>
    <t>171-2026</t>
  </si>
  <si>
    <t>172-2026</t>
  </si>
  <si>
    <t>173-2026</t>
  </si>
  <si>
    <t>174-2026</t>
  </si>
  <si>
    <t>175-2026</t>
  </si>
  <si>
    <t>176-2026</t>
  </si>
  <si>
    <t>177-2026</t>
  </si>
  <si>
    <t>178-2026</t>
  </si>
  <si>
    <t>179-2026</t>
  </si>
  <si>
    <t>180-2026</t>
  </si>
  <si>
    <t>181-2026</t>
  </si>
  <si>
    <t>182-2026</t>
  </si>
  <si>
    <t>183-2026</t>
  </si>
  <si>
    <t>184-2026</t>
  </si>
  <si>
    <t>185-2026</t>
  </si>
  <si>
    <t>186-2026</t>
  </si>
  <si>
    <t>187-2026</t>
  </si>
  <si>
    <t>188-2026</t>
  </si>
  <si>
    <t>189-2026</t>
  </si>
  <si>
    <t>190-2026</t>
  </si>
  <si>
    <t>191-2026</t>
  </si>
  <si>
    <t>192-2026</t>
  </si>
  <si>
    <t>193-2026</t>
  </si>
  <si>
    <t>194-2026</t>
  </si>
  <si>
    <t>195-2026</t>
  </si>
  <si>
    <t>196-2026</t>
  </si>
  <si>
    <t>197-2026</t>
  </si>
  <si>
    <t>198-2026</t>
  </si>
  <si>
    <t>199-2026</t>
  </si>
  <si>
    <t>200-2026</t>
  </si>
  <si>
    <t>201-2026</t>
  </si>
  <si>
    <t>202-2026</t>
  </si>
  <si>
    <t>203-2026</t>
  </si>
  <si>
    <t>204-2026</t>
  </si>
  <si>
    <t>205-2026</t>
  </si>
  <si>
    <t>206-2026</t>
  </si>
  <si>
    <t>207-2026</t>
  </si>
  <si>
    <t>208-2026</t>
  </si>
  <si>
    <t>209-2026</t>
  </si>
  <si>
    <t>210-2026</t>
  </si>
  <si>
    <t>211-2026</t>
  </si>
  <si>
    <t>212-2026</t>
  </si>
  <si>
    <t>213-2026</t>
  </si>
  <si>
    <t>214-2026</t>
  </si>
  <si>
    <t>215-2026</t>
  </si>
  <si>
    <t>216-2026</t>
  </si>
  <si>
    <t>217-2026</t>
  </si>
  <si>
    <t>218-2026</t>
  </si>
  <si>
    <t>219-2026</t>
  </si>
  <si>
    <t>220-2026</t>
  </si>
  <si>
    <t>221-2026</t>
  </si>
  <si>
    <t>222-2026</t>
  </si>
  <si>
    <t>223-2026</t>
  </si>
  <si>
    <t>224-2026</t>
  </si>
  <si>
    <t>225-2026</t>
  </si>
  <si>
    <t>226-2026</t>
  </si>
  <si>
    <t>227-2026</t>
  </si>
  <si>
    <t>228-2026</t>
  </si>
  <si>
    <t>229-2026</t>
  </si>
  <si>
    <t>230-2026</t>
  </si>
  <si>
    <t>231-2026</t>
  </si>
  <si>
    <t>232-2026</t>
  </si>
  <si>
    <t>233-2026</t>
  </si>
  <si>
    <t>234-2026</t>
  </si>
  <si>
    <t>235-2026</t>
  </si>
  <si>
    <t>236-2026</t>
  </si>
  <si>
    <t>237-2026</t>
  </si>
  <si>
    <t>238-2026</t>
  </si>
  <si>
    <t>240-2026</t>
  </si>
  <si>
    <t>241-2026</t>
  </si>
  <si>
    <t>242-2026</t>
  </si>
  <si>
    <t>243-2026</t>
  </si>
  <si>
    <t>244-2026</t>
  </si>
  <si>
    <t>245-2026</t>
  </si>
  <si>
    <t>246-2026</t>
  </si>
  <si>
    <t>248-2026</t>
  </si>
  <si>
    <t>249-2026</t>
  </si>
  <si>
    <t>250-2026</t>
  </si>
  <si>
    <t>251-2026</t>
  </si>
  <si>
    <t>252-2026</t>
  </si>
  <si>
    <t>253-2026</t>
  </si>
  <si>
    <t>254-2026</t>
  </si>
  <si>
    <t>255-2026</t>
  </si>
  <si>
    <t>256-2026</t>
  </si>
  <si>
    <t>257-2026</t>
  </si>
  <si>
    <t>258-2026</t>
  </si>
  <si>
    <t>259-2026</t>
  </si>
  <si>
    <t>260-2026</t>
  </si>
  <si>
    <t>261-2026</t>
  </si>
  <si>
    <t>262-2026</t>
  </si>
  <si>
    <t>263-2026</t>
  </si>
  <si>
    <t>264-2026</t>
  </si>
  <si>
    <t>265-2026</t>
  </si>
  <si>
    <t>266-2026</t>
  </si>
  <si>
    <t>267-2026</t>
  </si>
  <si>
    <t>268-2026</t>
  </si>
  <si>
    <t>269-2026</t>
  </si>
  <si>
    <t>270-2026</t>
  </si>
  <si>
    <t>271-2026</t>
  </si>
  <si>
    <t>273-2026</t>
  </si>
  <si>
    <t>274-2026</t>
  </si>
  <si>
    <t>275-2026</t>
  </si>
  <si>
    <t>276-2026</t>
  </si>
  <si>
    <t>277-2026</t>
  </si>
  <si>
    <t>278-2026</t>
  </si>
  <si>
    <t>279-2026</t>
  </si>
  <si>
    <t>280-2026</t>
  </si>
  <si>
    <t>281-2026</t>
  </si>
  <si>
    <t>282-2026</t>
  </si>
  <si>
    <t>283-2026</t>
  </si>
  <si>
    <t>284-2026</t>
  </si>
  <si>
    <t>285-2026</t>
  </si>
  <si>
    <t>286-2026</t>
  </si>
  <si>
    <t>287-2026</t>
  </si>
  <si>
    <t>288-2026</t>
  </si>
  <si>
    <t>289-2026</t>
  </si>
  <si>
    <t>290-2026</t>
  </si>
  <si>
    <t>291-2026</t>
  </si>
  <si>
    <t>292-2026</t>
  </si>
  <si>
    <t>293-2026</t>
  </si>
  <si>
    <t>294-2026</t>
  </si>
  <si>
    <t>295-2026</t>
  </si>
  <si>
    <t>296-2026</t>
  </si>
  <si>
    <t>297-2026</t>
  </si>
  <si>
    <t>298-2026</t>
  </si>
  <si>
    <t>299-2026</t>
  </si>
  <si>
    <t>300-2026</t>
  </si>
  <si>
    <t>301-2026</t>
  </si>
  <si>
    <t>302-2026</t>
  </si>
  <si>
    <t>303-2026</t>
  </si>
  <si>
    <t>304-2026</t>
  </si>
  <si>
    <t>305-2026</t>
  </si>
  <si>
    <t>306-2026</t>
  </si>
  <si>
    <t>307-2026</t>
  </si>
  <si>
    <t>308-2026</t>
  </si>
  <si>
    <t>309-2026</t>
  </si>
  <si>
    <t>310-2026</t>
  </si>
  <si>
    <t>311-2026</t>
  </si>
  <si>
    <t>312-2026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</si>
  <si>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</si>
  <si>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</si>
  <si>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</si>
  <si>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</si>
  <si>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</si>
  <si>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</si>
  <si>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</si>
  <si>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</si>
  <si>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</si>
  <si>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</si>
  <si>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</si>
  <si>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</si>
  <si>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</si>
  <si>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</si>
  <si>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</si>
  <si>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</si>
  <si>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</si>
  <si>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</si>
  <si>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</si>
  <si>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332-2026</t>
  </si>
  <si>
    <t>333-2026</t>
  </si>
  <si>
    <t>334-2026</t>
  </si>
  <si>
    <t>336-2026</t>
  </si>
  <si>
    <t>338-2026</t>
  </si>
  <si>
    <t>339-2026</t>
  </si>
  <si>
    <t>341-2026</t>
  </si>
  <si>
    <t>342-2026</t>
  </si>
  <si>
    <t>343-2026</t>
  </si>
  <si>
    <t>345-2026</t>
  </si>
  <si>
    <t>346-2026</t>
  </si>
  <si>
    <t>347-2026</t>
  </si>
  <si>
    <t>348-2026</t>
  </si>
  <si>
    <t>349-2026</t>
  </si>
  <si>
    <t>350-2026</t>
  </si>
  <si>
    <t>351-2026</t>
  </si>
  <si>
    <t>352-2026</t>
  </si>
  <si>
    <t>353-2026</t>
  </si>
  <si>
    <t>354-2026</t>
  </si>
  <si>
    <t>355-2026</t>
  </si>
  <si>
    <t>356-2026</t>
  </si>
  <si>
    <t>357-2026</t>
  </si>
  <si>
    <t>358-2026</t>
  </si>
  <si>
    <t>359-2026</t>
  </si>
  <si>
    <t>360-2026</t>
  </si>
  <si>
    <t>361-2026</t>
  </si>
  <si>
    <t>362-2026</t>
  </si>
  <si>
    <t>363-2026</t>
  </si>
  <si>
    <t>364-2026</t>
  </si>
  <si>
    <t>365-2026</t>
  </si>
  <si>
    <t>366-2026</t>
  </si>
  <si>
    <t>367-2026</t>
  </si>
  <si>
    <t>368-2026</t>
  </si>
  <si>
    <t>369-2026</t>
  </si>
  <si>
    <t>370-2026</t>
  </si>
  <si>
    <t>371-2026</t>
  </si>
  <si>
    <t>372-2026</t>
  </si>
  <si>
    <t>375-2026</t>
  </si>
  <si>
    <t>376-2026</t>
  </si>
  <si>
    <t>377-2026</t>
  </si>
  <si>
    <t>379-2026</t>
  </si>
  <si>
    <t>380-2026</t>
  </si>
  <si>
    <t>381-2026</t>
  </si>
  <si>
    <t>382-2026</t>
  </si>
  <si>
    <t>383-2026</t>
  </si>
  <si>
    <t>384-2026</t>
  </si>
  <si>
    <t>385-2026</t>
  </si>
  <si>
    <t>387-2026</t>
  </si>
  <si>
    <t>388-2026</t>
  </si>
  <si>
    <t>389-2026</t>
  </si>
  <si>
    <t>390-2026</t>
  </si>
  <si>
    <t>392-2026</t>
  </si>
  <si>
    <t>395-2026</t>
  </si>
  <si>
    <t>397-2026</t>
  </si>
  <si>
    <t>400-2026</t>
  </si>
  <si>
    <t>402-2026</t>
  </si>
  <si>
    <t>403-2026</t>
  </si>
  <si>
    <t>404-2026</t>
  </si>
  <si>
    <t>407-2026</t>
  </si>
  <si>
    <t>412-2026</t>
  </si>
  <si>
    <t>414-2026</t>
  </si>
  <si>
    <t>420-2026</t>
  </si>
  <si>
    <t>434-2026</t>
  </si>
  <si>
    <t>435-2026</t>
  </si>
  <si>
    <t>437-2026</t>
  </si>
  <si>
    <t>438-2026</t>
  </si>
  <si>
    <t>441-2026</t>
  </si>
  <si>
    <t>444-2026</t>
  </si>
  <si>
    <t>445-2026</t>
  </si>
  <si>
    <t>446-2026</t>
  </si>
  <si>
    <t>447-2026</t>
  </si>
  <si>
    <t>448-2026</t>
  </si>
  <si>
    <t>449-2026</t>
  </si>
  <si>
    <t>450-2026</t>
  </si>
  <si>
    <t>451-2026</t>
  </si>
  <si>
    <t>452-2026</t>
  </si>
  <si>
    <t>453-2026</t>
  </si>
  <si>
    <t>454-2026</t>
  </si>
  <si>
    <t>455-2026</t>
  </si>
  <si>
    <t>456-2026</t>
  </si>
  <si>
    <t>457-2026</t>
  </si>
  <si>
    <t>458-2026</t>
  </si>
  <si>
    <t>477-2026</t>
  </si>
  <si>
    <t>495-2026</t>
  </si>
  <si>
    <t>500-2026</t>
  </si>
  <si>
    <t>506-2026</t>
  </si>
  <si>
    <t>507-2026</t>
  </si>
  <si>
    <t>508-2026</t>
  </si>
  <si>
    <t>509-2026</t>
  </si>
  <si>
    <t>512-2026</t>
  </si>
  <si>
    <t>514-2026</t>
  </si>
  <si>
    <t>515-2026</t>
  </si>
  <si>
    <t>516-2026</t>
  </si>
  <si>
    <t>523-2026</t>
  </si>
  <si>
    <t>525-2026</t>
  </si>
  <si>
    <t>526-2026</t>
  </si>
  <si>
    <t>532-2026</t>
  </si>
  <si>
    <t>533-2026</t>
  </si>
  <si>
    <t>536-2026</t>
  </si>
  <si>
    <t>537-2026</t>
  </si>
  <si>
    <t>538-2026</t>
  </si>
  <si>
    <t>540-2026</t>
  </si>
  <si>
    <t>541-2026</t>
  </si>
  <si>
    <t>542-2026</t>
  </si>
  <si>
    <t>543-2026</t>
  </si>
  <si>
    <t>544-2026</t>
  </si>
  <si>
    <t>545-2026</t>
  </si>
  <si>
    <t>549-2026</t>
  </si>
  <si>
    <t>551-2026</t>
  </si>
  <si>
    <t>552-2026</t>
  </si>
  <si>
    <t>553-2026</t>
  </si>
  <si>
    <t>555-2026</t>
  </si>
  <si>
    <t>556-2026</t>
  </si>
  <si>
    <t>557-2026</t>
  </si>
  <si>
    <t>558-2026</t>
  </si>
  <si>
    <t>561-2026</t>
  </si>
  <si>
    <t>562-2026</t>
  </si>
  <si>
    <t>563-2026</t>
  </si>
  <si>
    <t>564-2026</t>
  </si>
  <si>
    <t>565-2026</t>
  </si>
  <si>
    <t>566-2026</t>
  </si>
  <si>
    <t>568-2026</t>
  </si>
  <si>
    <t>575-2026</t>
  </si>
  <si>
    <t>578-2026</t>
  </si>
  <si>
    <t>587-2026</t>
  </si>
  <si>
    <t>589-2026</t>
  </si>
  <si>
    <t>591-2026</t>
  </si>
  <si>
    <t>593-2026</t>
  </si>
  <si>
    <t>596-2026</t>
  </si>
  <si>
    <t>597-2026</t>
  </si>
  <si>
    <t>600-2026</t>
  </si>
  <si>
    <t>603-2026</t>
  </si>
  <si>
    <t>1016-2025</t>
  </si>
  <si>
    <t>1018-2025</t>
  </si>
  <si>
    <t>1041-2025</t>
  </si>
  <si>
    <t>1076-2025</t>
  </si>
  <si>
    <t>1187-2025</t>
  </si>
  <si>
    <t>696-2025</t>
  </si>
  <si>
    <t>874-2025</t>
  </si>
  <si>
    <t>094-2026</t>
  </si>
  <si>
    <t>095-2026</t>
  </si>
  <si>
    <t>125-2026</t>
  </si>
  <si>
    <t>1256-2025</t>
  </si>
  <si>
    <t>1265-2025</t>
  </si>
  <si>
    <t>1269-2025</t>
  </si>
  <si>
    <t>ID2087325712</t>
  </si>
  <si>
    <t>MARIA ALEJANDRA DIAZ BURGOS</t>
  </si>
  <si>
    <t>DANIELA ALEJANDRA ROSERO FLOREZ</t>
  </si>
  <si>
    <t>LILIANA LUCIA MAIGUAL MAIGUAL</t>
  </si>
  <si>
    <t>GINNA ALEJANDRA BENAVIDES</t>
  </si>
  <si>
    <t>SANDRA MAGALY CRIOLLo ENRIQUEZ</t>
  </si>
  <si>
    <t>LILIANA DEL CARMEN VERGARA BOTINA</t>
  </si>
  <si>
    <t>LISSETH YAMILE HUERTAS TENGANAN</t>
  </si>
  <si>
    <t>DENNYS DUBERNEY BUESAQUILLO CRIOLLO</t>
  </si>
  <si>
    <t>PAULA CATHERINE CRIOLLO CUMBAL</t>
  </si>
  <si>
    <t>MONICA PATRICIA JOJOA BOTINA</t>
  </si>
  <si>
    <t>EDNA LILIANA OBANDO CAICEDO</t>
  </si>
  <si>
    <t xml:space="preserve">ANYELY ROCIO LOPEZ ROSERO </t>
  </si>
  <si>
    <t xml:space="preserve">MONICA ESPERANZA INSUASTY </t>
  </si>
  <si>
    <t>JINETH VANESA CONSTAIN LASSO</t>
  </si>
  <si>
    <t>ADRIANA ROCIO MUÑOZ CORTES</t>
  </si>
  <si>
    <t>NAYIBI ALEJANDRA TORRES ROSERO</t>
  </si>
  <si>
    <t>SARA DANIELA ALAVA BURBANO</t>
  </si>
  <si>
    <t>AURA INES CHACHINOY POTOSI</t>
  </si>
  <si>
    <t>DIANA MILENA BOTINA JOSA</t>
  </si>
  <si>
    <t>MARIA ALEJANDRA MORILLO LASSO</t>
  </si>
  <si>
    <t>JHONN ALEJANDRO CORAL GARCIA</t>
  </si>
  <si>
    <t>KAROL VALENTINA TULCAN CRIOLLO</t>
  </si>
  <si>
    <t>JENIFER ALEJANDRA ORTIZ CHATES</t>
  </si>
  <si>
    <t>MARILU CHAVEZ CHAVES</t>
  </si>
  <si>
    <t>MARTHA ELIZABETH MIRAMAG CADENA</t>
  </si>
  <si>
    <t>MARIA SOFIA CHAVEZ JOJOA</t>
  </si>
  <si>
    <t>MELANY CATALINA CADENA YAMA</t>
  </si>
  <si>
    <t>DEYSI KATHERINE JOJOA JOJOA</t>
  </si>
  <si>
    <t>MARIA ANACELI ROSERO RIAÑO</t>
  </si>
  <si>
    <t>MARTHA CECILIA ROA</t>
  </si>
  <si>
    <t>CARMEN PATIÑO DE BENAVIDES</t>
  </si>
  <si>
    <t>ANTONY EDGARDO ACHICANOY NUPAN</t>
  </si>
  <si>
    <t>AURA VIRGINIA RIASCOS MORIANO</t>
  </si>
  <si>
    <t>EDILIA ROSARIO ROSERO DELGADO</t>
  </si>
  <si>
    <t>DIEGO DAVID TORRES LUNA</t>
  </si>
  <si>
    <t>DEISY JOHANA BASTIDAS JOJOA</t>
  </si>
  <si>
    <t>NATHALY YAMILE NARVAEZ ORTIZ</t>
  </si>
  <si>
    <t>MARIA TANIA NARVAEZ MARTINEZ</t>
  </si>
  <si>
    <t>RUBY MARCELA AUCU PAREDES</t>
  </si>
  <si>
    <t>MARLON DANIEL CONSTAIN DE LA CRUZ</t>
  </si>
  <si>
    <t>ANGIE JULIANA QUISTANCHALA CASANOVA</t>
  </si>
  <si>
    <t>LEIDY VANESSA POTOSI GER</t>
  </si>
  <si>
    <t>KAREN YASMIN YELA BURBANO</t>
  </si>
  <si>
    <t>ADRIANA ALEJANDRA LEDESMA BETANCOURT</t>
  </si>
  <si>
    <t>LINA MARIA DE LA CRUZ VIDAL</t>
  </si>
  <si>
    <t>ROSA ALEJANDRA CABRERA CORTES</t>
  </si>
  <si>
    <t>LADY VIVIANA LUNA BOTINA</t>
  </si>
  <si>
    <t>EVELIN GISETH CONSTAIN LASSO</t>
  </si>
  <si>
    <t>ADRIANA LORENA DIAZ MARTINEZ</t>
  </si>
  <si>
    <t>DAYRA JANNETH BOLAÑOS INSUASTY</t>
  </si>
  <si>
    <t>GENITH CARMENZA CUASAPUD CUNDAR</t>
  </si>
  <si>
    <t>LUZDARI JARAMILLO NOGUERA</t>
  </si>
  <si>
    <t>ANYIE CAMILA CASTRO ARCOS</t>
  </si>
  <si>
    <t>SHARON CAMILA MINA GUSTIN</t>
  </si>
  <si>
    <t>ANYELY VANESA BUESAQUILLO MATABANCHOY</t>
  </si>
  <si>
    <t>NICOL GEOVANNA GOMEZ CUMBAL</t>
  </si>
  <si>
    <t>ANA MILENA MUÑOZ</t>
  </si>
  <si>
    <t>ALBA JULIA RODRIGUEZ MORA</t>
  </si>
  <si>
    <t>DAISSY JOHANA YAQUENO YAQUENO</t>
  </si>
  <si>
    <t>ESLENY ERASO ARTEAGA</t>
  </si>
  <si>
    <t>FERNANDA NATALY CRIOLLO OJEDA</t>
  </si>
  <si>
    <t>ALISSON YULIANA VELASCO CALDERON</t>
  </si>
  <si>
    <t>SANDRA PATRICIA MALLAMA BOTINA</t>
  </si>
  <si>
    <t>MARIA ALEJANDRA DIAZ ORTEGA</t>
  </si>
  <si>
    <t>ANGIE CAROLINA YAQUENO CRIOLLO</t>
  </si>
  <si>
    <t>DAYRA ROCIO FLOREZ BETANCOUR</t>
  </si>
  <si>
    <t>DIANA CAROLINA ROSERO CONCHA</t>
  </si>
  <si>
    <t>SARA ESTEFANIA FINLAY GARCIA</t>
  </si>
  <si>
    <t>EDISON ARMANDO CAICEDO
MORALES</t>
  </si>
  <si>
    <t>SIRLEY DANIELA GAMBOA CHAVEZ</t>
  </si>
  <si>
    <t>KEILY VANESSA ENRIQUEZ PINTA</t>
  </si>
  <si>
    <t>ANGIE SHIRLEY LOPEZ BOTINA</t>
  </si>
  <si>
    <t>DARY LORENA YASCUAL NARVAEZ</t>
  </si>
  <si>
    <t>GLORIA PATRICIA RAMOS ESPAÑA</t>
  </si>
  <si>
    <t>BRILLYD MAYERLI PEREZ LUCANO</t>
  </si>
  <si>
    <t>ADRIANA MILENA DE LA CRUZ ROJAS</t>
  </si>
  <si>
    <t>MARIA MILDRED MORENO MINDA</t>
  </si>
  <si>
    <t>HERIKA VIVIANA VILLOTA VILLOTA</t>
  </si>
  <si>
    <t>MARIA ALEJANDRA BOLAÑOS ACOSTA</t>
  </si>
  <si>
    <t>DEYBI GIOVANNI ESTRELLA ARMERO</t>
  </si>
  <si>
    <t xml:space="preserve">MARIA ALEJANDRA GOMEZ OJEDA </t>
  </si>
  <si>
    <t>YARY ESTEPHANIA BOLAÑOS LUNA</t>
  </si>
  <si>
    <t>ELVIA DEL ROSARIO JUAJINOY NARVAEZ</t>
  </si>
  <si>
    <t>GLORIA JANETH BOTINA BURBANO</t>
  </si>
  <si>
    <t xml:space="preserve">JESSICA ALEXANDRA GUERRERO LARREA </t>
  </si>
  <si>
    <t xml:space="preserve">YORLENY VALERIA CABRERA RIVERA </t>
  </si>
  <si>
    <t>MARLY EMILY ORDOÑEZ MORCILLO</t>
  </si>
  <si>
    <t>NAYIBE JACQUELINNE TULCAN GAMBOA</t>
  </si>
  <si>
    <t>ANDREA DEL ROSARIO BUESAQUILLO MIRAMAG</t>
  </si>
  <si>
    <t>YEZICA ALEJANDRA RIVAS PORTILLA</t>
  </si>
  <si>
    <t xml:space="preserve">NORALY CECILIA PASUY PANTOJA </t>
  </si>
  <si>
    <t xml:space="preserve">KELLY YURANY JOJOA BOTINA </t>
  </si>
  <si>
    <t>NATHALY NICOLE CHAPUES PAZ</t>
  </si>
  <si>
    <t>LUISA MARIA CERON RIVERA</t>
  </si>
  <si>
    <t>DORANI VANESA BURBANO ANDRADE</t>
  </si>
  <si>
    <t>BRIGIT VERONICA ORDOÑEZ BURBANO</t>
  </si>
  <si>
    <t xml:space="preserve"> Lucerito del Carmen Revelo Benavides</t>
  </si>
  <si>
    <t>JEIMY TATIANA RODRIGUEZ RODRIGUEZ</t>
  </si>
  <si>
    <t>ANGIE GABRIELA ENRIQUEZ
TACAN</t>
  </si>
  <si>
    <t>DORIS DEL CARMEN GOMEZ OVIEDO</t>
  </si>
  <si>
    <t>LINDA KATHERYNE
ROSERO CARRILLO</t>
  </si>
  <si>
    <t>JANNETH ALEXANDRA
BETANCOURT NARVAEZ</t>
  </si>
  <si>
    <t>ALBA MONTENEGRO TERAN</t>
  </si>
  <si>
    <t>JONATAN RICARDO
ORTEGA ORTEGA</t>
  </si>
  <si>
    <t>MARYBELL LUCIA BENITEZ ROSERO</t>
  </si>
  <si>
    <t>JULIANA BURBANO PAEZ</t>
  </si>
  <si>
    <t>SANDRA MARCELA DOMINGUEZ VARGAS</t>
  </si>
  <si>
    <t xml:space="preserve"> IVONNE GISELA DIAZ SANCHEZ</t>
  </si>
  <si>
    <t>DANIEL ESTEBAN ERASO SANTACRUZ</t>
  </si>
  <si>
    <t>RUDDY JERALDINE PINTA MARTINEZ,</t>
  </si>
  <si>
    <t>DANIELA ALEJANDRA TOBAR GOMEZ</t>
  </si>
  <si>
    <t>JOAN SEBASTIAN CORDOBA GARCIA</t>
  </si>
  <si>
    <t>GUSTAVO ALEJANDRO BENAVIDES GARCIA</t>
  </si>
  <si>
    <t>MONICA LORENA VILLOTA NARVAEZ</t>
  </si>
  <si>
    <t>YULI CAROLINA CASTILLO PAZ</t>
  </si>
  <si>
    <t>MARTHA YOLANDA ZAMBRANO OÑATE</t>
  </si>
  <si>
    <t>ANA VIVIANA BENAVIDES MORENO</t>
  </si>
  <si>
    <t>NATHALIA ESTEFANIA PANTOJA JACOME</t>
  </si>
  <si>
    <t>JOHANA MARICELA MATABAJOY CABRERA</t>
  </si>
  <si>
    <t>ESTEFANIA CORREA GUERRERO</t>
  </si>
  <si>
    <t>ANA MARIA INSUASTY FAJARDO</t>
  </si>
  <si>
    <t>YURANI NATALI BURBANO DIAZ</t>
  </si>
  <si>
    <t>DAMARIS ROXANA BENAVIDES CAEZ</t>
  </si>
  <si>
    <t>ROSA MARITZA UNIGARRO MONTILLA</t>
  </si>
  <si>
    <t>DANNY ALEXANDER
SANCHEZ ESTRADA</t>
  </si>
  <si>
    <t>YULIANA RODRIGUEZ GUAITARILLA</t>
  </si>
  <si>
    <t>DIANA MARIA ERASO ALAVA,</t>
  </si>
  <si>
    <t>YULY MARCELA MORALES LOPEZ</t>
  </si>
  <si>
    <t>RAYSSA CONSTANZA FRANCO ERASO</t>
  </si>
  <si>
    <t>ANGIE PAOLA GUERRERO GARZON</t>
  </si>
  <si>
    <t>KAROL LIZETH TREJO ZAMBRANO</t>
  </si>
  <si>
    <t>JAVIER FERNANDO CHILANGUAD
CABRERA</t>
  </si>
  <si>
    <t>PAOLA ANDREA MARTINEZ FLOREZ</t>
  </si>
  <si>
    <t>JOSE EDUARDO RUIZ PORTILLO</t>
  </si>
  <si>
    <t>AYDA MARGOTH QUENORAN QUENORAN</t>
  </si>
  <si>
    <t>VALERIA VALENTINA PEREZ ROSERO</t>
  </si>
  <si>
    <t>ANGIE DANIELA RIASCOS ASCUNTAR</t>
  </si>
  <si>
    <t>JULY VANESSA OYOLA LOPEZ</t>
  </si>
  <si>
    <t>AURA NATALIA MAIGUAL TIMARAN</t>
  </si>
  <si>
    <t>SULEIDY YARITZA GOMEZ GARCIA</t>
  </si>
  <si>
    <t>ALBA LIGIA CIFUENTES ROSERO</t>
  </si>
  <si>
    <t>SILVIA MATILDE GAVIRIA BENAVIDES</t>
  </si>
  <si>
    <t>MARIA ALEJANDRA REALPE ALVEAR</t>
  </si>
  <si>
    <t>NEIRA JIMENA CASTILLO ARMERO</t>
  </si>
  <si>
    <t>LILIANA ANDREA OLIVA ORTIZ</t>
  </si>
  <si>
    <t>DIANA MARCELA RODRIGUEZ MORA</t>
  </si>
  <si>
    <t>ELIANA STHEPANIE CAICEDO ALVAREZ</t>
  </si>
  <si>
    <t>JESSICA GRACE HERNANDEZ RIASCOS</t>
  </si>
  <si>
    <t>DAYANA VANESSA CHAPAL MALLAMA</t>
  </si>
  <si>
    <t xml:space="preserve"> CARMEN PATRICIA CÓRDOBA ARTEAGA</t>
  </si>
  <si>
    <t>KARLA ALEJANDRA GAVILANEZ SANTACRUZ</t>
  </si>
  <si>
    <t>MARCELA ALEJANDRA ZAMBRANO REVELO</t>
  </si>
  <si>
    <t>YOHANA KATERING PANTOJA MELO</t>
  </si>
  <si>
    <t>KAREN TATIANA CIFUENTES CHAMORRO</t>
  </si>
  <si>
    <t>RUTH CAROLINE CORTES ORTIZ</t>
  </si>
  <si>
    <t>MARIA JOSE ARMERO DIAZ</t>
  </si>
  <si>
    <t>LAURA ALEJANDA BELALCAZAR NAVARRO</t>
  </si>
  <si>
    <t>YADDY ALEJANDRA SOLARTE BASTIDAS</t>
  </si>
  <si>
    <t>LILIAN SOLARTE GONZALEZ</t>
  </si>
  <si>
    <t>LIDA TATIANA BURBANO MUÑOZ</t>
  </si>
  <si>
    <t>CARLOS MARIO ALVARADO ORDOÑEZ</t>
  </si>
  <si>
    <t>KAREN MARGARITA LOPEZ BRAND</t>
  </si>
  <si>
    <t>DANIELA FERNANDA BASTIDAS VILLOTA</t>
  </si>
  <si>
    <t>ANGIE VALERIA PAZ PAZ</t>
  </si>
  <si>
    <t>GUIDO DUVAN RECALDE AREVALO</t>
  </si>
  <si>
    <t>DAVID ALEJANDRO VILLACORTE BARCO</t>
  </si>
  <si>
    <t>TRANSPORTES ESPECIALES GALERAS EXPRESS SAS</t>
  </si>
  <si>
    <t>DAVID ANDRES BOTINA CRIOLLO</t>
  </si>
  <si>
    <t>LUIS FERNANDO RODRIGUEZ MERINO</t>
  </si>
  <si>
    <t>LESLYE NATHALIA VILLOTA OVIEDO</t>
  </si>
  <si>
    <t>GABRIELA ESTEFANIA PABON ORTIZ</t>
  </si>
  <si>
    <t>SANDRA JULIETH GOMEZ GOMEZ</t>
  </si>
  <si>
    <t>MARTHA CECILIA TELLO</t>
  </si>
  <si>
    <t>LUCIA DEL SOCORRO TULCAN MUÑOZ</t>
  </si>
  <si>
    <t>SILVIA MARGENYS ENRIQUEZ RODRIGUEZ</t>
  </si>
  <si>
    <t xml:space="preserve">GENNY MILENA DELGADO BUCHELI </t>
  </si>
  <si>
    <t>ESTEBAN MAURICIO LOPEZ SOLARTE</t>
  </si>
  <si>
    <t>DANIELA CAROLINA NARVAEZ TOR</t>
  </si>
  <si>
    <t>CAMILO ALBERTO BURGOS GOYES</t>
  </si>
  <si>
    <t>MARIA FERNANDA BUCHELI TRUJILLO</t>
  </si>
  <si>
    <t>BRENDA MICAELA PUENTE GONZALEZ</t>
  </si>
  <si>
    <t>EDISON FAVER MARTINEZ LUNA</t>
  </si>
  <si>
    <t>YULY ADRIANA BOLAÑOS BOTINA</t>
  </si>
  <si>
    <t xml:space="preserve">LADY CAROLINA TIBAQUIRA BALLESTEROS </t>
  </si>
  <si>
    <t>LEIDY PAOLA CANCHALA LOPEZ</t>
  </si>
  <si>
    <t>ERIKA LIZETH CORDOBA ROSERO</t>
  </si>
  <si>
    <t>JESSICA ANDREA NARVAEZ NOGUERA</t>
  </si>
  <si>
    <t>ANYI NATALY FARINANGO CAVEZ</t>
  </si>
  <si>
    <t>ALEXANDER GEOVANNI YELA ENRIQUEZ</t>
  </si>
  <si>
    <t>MARIA FERNANDA NARVAEZ YEPEZ</t>
  </si>
  <si>
    <t>GERALDINE VIVIANA VILLOTA  ARTEAGA</t>
  </si>
  <si>
    <t>LADY VIVIANA CASTRO GUAÑA</t>
  </si>
  <si>
    <t>RUDDY JERALDINE PINTA MARTINEZ</t>
  </si>
  <si>
    <t>JENNIFER ARCOS GIL</t>
  </si>
  <si>
    <t>YORLENY VALERIA CABRERA RIVERA</t>
  </si>
  <si>
    <t>KAREN JULIANA  ERAZO JURADO</t>
  </si>
  <si>
    <t>NORALY CECILIA PASUY PANTOJA</t>
  </si>
  <si>
    <t>JANNETH ALEXANDRA BETANCOURT NARVAEZ</t>
  </si>
  <si>
    <t>LAURA ALEJANDRA BELALCAZAR NAVARRO</t>
  </si>
  <si>
    <t>JONATAN RICARDO ORTEGA ORTEGA</t>
  </si>
  <si>
    <t xml:space="preserve">LAUDY SORELLY LOPEZ DELGADO </t>
  </si>
  <si>
    <t>LINDA KATHERYNE ROSERO CARRILLO</t>
  </si>
  <si>
    <t>KAREN TATIANA CIFUENTES  CHAMORRO</t>
  </si>
  <si>
    <t>DAYANA VANESSA CHAPAL MALLAMAS</t>
  </si>
  <si>
    <t xml:space="preserve">LUIS ALFONSO GUEVARA DE LOS RIOS </t>
  </si>
  <si>
    <t>IVONNE GISELA DIAZ SANCHEZ</t>
  </si>
  <si>
    <t>MARIA ALEJANDRA GOMEZ OJEDA</t>
  </si>
  <si>
    <t>JESSICA ALEXANDRA GUERRERO LARREA</t>
  </si>
  <si>
    <t>MONICA ESPERANZA INSUASTY OBANDO</t>
  </si>
  <si>
    <t>YARI ESTEPHANIA BOLAÑOS LUNA</t>
  </si>
  <si>
    <t>SANDRA MAGALY CRIOLLO ENRIQUEZ</t>
  </si>
  <si>
    <t>LILIAN LUCIA MAIGUAL MAIGUAL</t>
  </si>
  <si>
    <t>ALEXANDER  GEOVANNI YELA ENRIQUEZ</t>
  </si>
  <si>
    <t>JOSE EDUARDO RUIZ PORTILLA</t>
  </si>
  <si>
    <t>FERNANDO ANTONIO MARTINEZ PORTILLA</t>
  </si>
  <si>
    <t>DAVID ALEJANDRO BASTIDAS PEREZ</t>
  </si>
  <si>
    <t>DENIS ALEJANDRA RIAÑO RIASCOS</t>
  </si>
  <si>
    <t>ADRIANA PATRICIA MAGALLY MAIGUAL ROJAS</t>
  </si>
  <si>
    <t>MARIA XIMENA CASTRO MONCAYO</t>
  </si>
  <si>
    <t>ANDREA KATHERYNE GALVIS VELASQUEZ</t>
  </si>
  <si>
    <t>MARIA CAMILA NARVAEZ MADROÑERO</t>
  </si>
  <si>
    <t>VERONICA JANNETH SANTACRUZ DELGADO</t>
  </si>
  <si>
    <t>MARIA FERNANDA LARA BENAVIDES</t>
  </si>
  <si>
    <t>WENDY VALENTINA NARVAEZ CORDOBA</t>
  </si>
  <si>
    <t>PATRICIA MUÑOZ CORDOBA</t>
  </si>
  <si>
    <t>DIANA MARISOL SALAZAR MUTIS</t>
  </si>
  <si>
    <t>EVELYN JAHILYN SOLARTE RODRIGUEZ</t>
  </si>
  <si>
    <t>SANDRA LILIANA TOVAR MEJIA</t>
  </si>
  <si>
    <t>ADRIANA JAZMIN ZAMORA MELO</t>
  </si>
  <si>
    <t>CHRISTIAN ZAMBRANO ACOSTA</t>
  </si>
  <si>
    <t>NELLY GEOMAR MONCAYO AGREDA</t>
  </si>
  <si>
    <t>CIELO FATIMA BASTIDAS VIVA</t>
  </si>
  <si>
    <t>FERNANDA VALENTINA RUIZ GUEVARA</t>
  </si>
  <si>
    <t>MARIA PAULA BENAVIDES ESPAÑA</t>
  </si>
  <si>
    <t>YULIANA VANESSA ROJAS BOTINA</t>
  </si>
  <si>
    <t xml:space="preserve">KATHERINE SULAY CALVACHE ARGOTY </t>
  </si>
  <si>
    <t>LEIDY LORENA YELA CALPA</t>
  </si>
  <si>
    <t>ENILSE YAMILE MORA CAICEDO</t>
  </si>
  <si>
    <t>KAREN  NATALY BURBANO TUTISTAR</t>
  </si>
  <si>
    <t>DIANA GABRIELA DELGADO DE LOS RIOS</t>
  </si>
  <si>
    <t>ANA LUCIA ERAZO</t>
  </si>
  <si>
    <t>CLAUDIA PATRICIA MUÑOZ GUERRERO</t>
  </si>
  <si>
    <t>ADRIANA CAROLINA QUIROZ VILLOTA</t>
  </si>
  <si>
    <t>MARIA ALEJANDRA ERAZO SANTANDER</t>
  </si>
  <si>
    <t>TANIA LORENA ASTAIZA QUINTERO</t>
  </si>
  <si>
    <t>GLORIA AMANDA MENESES SALAZAR</t>
  </si>
  <si>
    <t>NICOL VIVIANA NARVAEZ MEJIA</t>
  </si>
  <si>
    <t>INGRID VANESSA QUEJUAN AREVALO</t>
  </si>
  <si>
    <t>ANDREE SELENA CEBALLOS MELO</t>
  </si>
  <si>
    <t>CINTHYA CAROLINA GONZALES SALAZAR</t>
  </si>
  <si>
    <t>MARTHA YOLIMA DIAZ SARMIENTO</t>
  </si>
  <si>
    <t>MELANI XIOMARA JURADO GELPUD</t>
  </si>
  <si>
    <t>ALEXANDRA CLEMENCIA MADROÑERO JACOME</t>
  </si>
  <si>
    <t>LEIDY DAYANA ARTEAGA TOBAR</t>
  </si>
  <si>
    <t>ERIKA YADITH ANDRADE GUERRRO</t>
  </si>
  <si>
    <t>MARIA DEL CARMEN BENAVIDES ERAZO</t>
  </si>
  <si>
    <t>LUCY VALERIA LOPEZ PORTILLA</t>
  </si>
  <si>
    <t>JOSE EDILBERTO CORDOBA PANTOJA</t>
  </si>
  <si>
    <t>DEISY VIVIANA RAMIREZ CORAL</t>
  </si>
  <si>
    <t>KAREN DAYANA ROMO QUENGUAN</t>
  </si>
  <si>
    <t>YULI MARCELA ROMO ROMO</t>
  </si>
  <si>
    <t>DANNA SOFIA ORDOÑEZ ALVEAR</t>
  </si>
  <si>
    <t>LORENA ANDREA RUEDA RUIZ</t>
  </si>
  <si>
    <t>ADRIANA ANDREA CHAUCANES BASTIDAS</t>
  </si>
  <si>
    <t>MAICOL STIVEN GUERRERO CRIOLLO</t>
  </si>
  <si>
    <t>MEHILIN TATIANA QUIMBIAMBA ORTIZ</t>
  </si>
  <si>
    <t>ANGELA CAMILA MARTINEZ MARTINEZ</t>
  </si>
  <si>
    <t>ADRIANA MARCELA CHARFUELAN</t>
  </si>
  <si>
    <t>ALEXANDRA MARIBEL PIALEJO GOMEZ</t>
  </si>
  <si>
    <t>DANIELA ALEJANDRA REVELO</t>
  </si>
  <si>
    <t>ANGGY MARCELA AGUIRRE NARANJO</t>
  </si>
  <si>
    <t>JORGE GIRALDO PINTA SOSCUE</t>
  </si>
  <si>
    <t>MARLENI URBANO MARTINEZ</t>
  </si>
  <si>
    <t>CHRISTIAN STEVEN LOPEZ CALI</t>
  </si>
  <si>
    <t>ASTRID ELIANA ESTRADA BRAVO</t>
  </si>
  <si>
    <t>YESSIKA DAYANA MADROÑERO VALLEJOS</t>
  </si>
  <si>
    <t>ERIKA MARCELA GUERRA SANTACRUZ</t>
  </si>
  <si>
    <t>LEIDY NATHALIA VILLOTA TIMANA</t>
  </si>
  <si>
    <t>ADRIANA ISABEL DELGADO BRAVO</t>
  </si>
  <si>
    <t>ISABEL CRISTINA SANCHEZ MORENO</t>
  </si>
  <si>
    <t>MARIBEL DEL ROCIO MORENO ACTE</t>
  </si>
  <si>
    <t>JAIME ANDRES QUIJANO VASQUEZ</t>
  </si>
  <si>
    <t>MARIA YISETH DAZA NARVAEZ</t>
  </si>
  <si>
    <t>NAYIVE JULIANA URBINA CUELTAN</t>
  </si>
  <si>
    <t>JHOANA LIZETH BENAVIDES MORENO</t>
  </si>
  <si>
    <t>CRISTIAN HAIR BASTIDAS MEZA</t>
  </si>
  <si>
    <t xml:space="preserve">ANDRES FELIPE BURBANO IBARRA   </t>
  </si>
  <si>
    <t>CRISTIAN DARIO MELO JOSA</t>
  </si>
  <si>
    <t>LUISA FERNANDA POTOSI GARZON</t>
  </si>
  <si>
    <t>ANGELA ESTEFANY AREVALO ERASO</t>
  </si>
  <si>
    <t>NATHALIA GEOVANNA RAMIREZ ROSERO</t>
  </si>
  <si>
    <t>YEIMY MARCELA PUCHANA TIMANA</t>
  </si>
  <si>
    <t>EVELIN CAROLINA GOMEZ PARRA</t>
  </si>
  <si>
    <t>ERICA STELLA ZAMBRANO ERASO</t>
  </si>
  <si>
    <t>YEMI YULIANA ALEJANDRA BASTIDAS LUNA</t>
  </si>
  <si>
    <t>SANDRA MILENA ORTEGA LASSO</t>
  </si>
  <si>
    <t>ANA ISABEL CAIPE QUENAN</t>
  </si>
  <si>
    <t>FANNY STELLA CULCHAC BOTINA</t>
  </si>
  <si>
    <t>LORENA TATIANA GUTIERREZ DIAGO</t>
  </si>
  <si>
    <t>DANIELA STEPHANIA VILLAMARIN RAMIREZ</t>
  </si>
  <si>
    <t>BIOPTICAS DE COLOMBIA SAS</t>
  </si>
  <si>
    <t>MARIA FERNANDA NARVAEZ YEPES</t>
  </si>
  <si>
    <t>FUNDACIÓN CALIDAD DE VIDA Y ESPERANZA</t>
  </si>
  <si>
    <t>TRASNPORTES ESPECIALIDADES ACAR S.A</t>
  </si>
  <si>
    <t>FUNDACIÓN CALIDAD DE
VIDA Y ESPERANZA</t>
  </si>
  <si>
    <t>RUTH DEL CARMEN FAJARDO RIVERA</t>
  </si>
  <si>
    <t>TRANDECOL S.A.S.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</si>
  <si>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</si>
  <si>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</si>
  <si>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CONTRATACION DIRECTA</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</si>
  <si>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</si>
  <si>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</si>
  <si>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</si>
  <si>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</si>
  <si>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</si>
  <si>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</si>
  <si>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</si>
  <si>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</si>
  <si>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</si>
  <si>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</si>
  <si>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</si>
  <si>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</si>
  <si>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</si>
  <si>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</si>
  <si>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</si>
  <si>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</si>
  <si>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</si>
  <si>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</si>
  <si>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</si>
  <si>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</si>
  <si>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</si>
  <si>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</si>
  <si>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</si>
  <si>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</si>
  <si>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</si>
  <si>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</si>
  <si>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</si>
  <si>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</si>
  <si>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</si>
  <si>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</si>
  <si>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</si>
  <si>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</si>
  <si>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</si>
  <si>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</si>
  <si>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</si>
  <si>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</si>
  <si>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</si>
  <si>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</si>
  <si>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</si>
  <si>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</si>
  <si>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</si>
  <si>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</si>
  <si>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</si>
  <si>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</si>
  <si>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</si>
  <si>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</si>
  <si>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</si>
  <si>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</si>
  <si>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</si>
  <si>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</si>
  <si>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</si>
  <si>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</si>
  <si>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</si>
  <si>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</si>
  <si>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</si>
  <si>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</si>
  <si>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</si>
  <si>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</si>
  <si>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</si>
  <si>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</si>
  <si>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</si>
  <si>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</si>
  <si>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</si>
  <si>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</si>
  <si>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</si>
  <si>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</si>
  <si>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</si>
  <si>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</si>
  <si>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</si>
  <si>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</si>
  <si>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</si>
  <si>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</si>
  <si>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</si>
  <si>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</si>
  <si>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</si>
  <si>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</si>
  <si>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</si>
  <si>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</si>
  <si>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</si>
  <si>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</si>
  <si>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</si>
  <si>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</si>
  <si>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</si>
  <si>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</si>
  <si>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</si>
  <si>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</si>
  <si>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</si>
  <si>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</si>
  <si>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</si>
  <si>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</si>
  <si>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</si>
  <si>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</si>
  <si>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</si>
  <si>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</si>
  <si>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</si>
  <si>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</si>
  <si>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</si>
  <si>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</si>
  <si>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</si>
  <si>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DESARROLLO DE LA ESTRATEGIA DE ATENCIÓN PRIMARIA EN SALUD MEDIANTE LA PROVISIÓN DEL TRANSPORTE ADECUADO PARA LA MOVILIZACIÓN DE LOS EQUIPOS BÁSICOS DE SALUD ASIGNADOS AL CENTRO DE SALUD SAN VICENTE (NODO OCCIDENTE</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</si>
  <si>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</si>
  <si>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</si>
  <si>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</si>
  <si>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</si>
  <si>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</si>
  <si>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</si>
  <si>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</si>
  <si>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</si>
  <si>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</si>
  <si>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</si>
  <si>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</si>
  <si>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</si>
  <si>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</si>
  <si>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</si>
  <si>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</si>
  <si>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</si>
  <si>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LA ROSA (NODO SUR))</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</si>
  <si>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</si>
  <si>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ADQUISICIÓN DE CHALECOS GORRAS MALETINES CON EMBLEMAS OFICIALES PARA IDENTIFICAR A LOS MIEMBROS DE LOS EQUIPOS BASICOS EN SALUD Y DEMAS ELEMENTOS DE ACUERDO A LAS NECESIDADES IDENTIFICADAS PARA DESARROLLO DEL PROGRAMA DE ATENCIÓN PRIMARIA EN SALUD DE LOS EQUIPOS BASICOS DE SALUD EN LAS DIFERENTES ZONAS Y MICROTERRITORIOS RURALES Y URBANOS DEL MUNICIPIO DE PASTO EJECUTADO POR PASTO SALUD ESE</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</si>
  <si>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</si>
  <si>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PRESTACIÓN DE SERVICIOS DE TRANSPORTE ESPECIAL PARA EL DESARROLLO DE LA ESTRATEGIA DE ATENCIÓN PRIMARIA EN SALUD MEDIANTE LA PROVISIÓN DEL TRANSPORTE ADECUADO PARA LA MOVILIZACIÓN DE EQUIPOS BÁSICOS DE SALUD EN LAS DIFERENTES ZONAS Y MICRO TERRITORIOS URBANOS Y RURALES DEL MUNICIPIO DE PASTO LOS DÍAS Y HORARIOS QUE SE CONCRETEN PARA OPERACIÓN DE LOS EQUIPOS BASICOS EN SALUD</t>
  </si>
  <si>
    <t>PRESTACIÓN DE SERVICIOS DE TRANSPORTE ESPECIAL (TERRESTRE O ACUATICO) PARA EL DESARROLLO DE LA ESTRATEGIA DE ATENCIÓN PRIMARIA EN SALUD MEDIANTE LA PROVISIÓN DEL TRANSPORTE ADECUADO PARA LA MOVILIZACIÓN DE LOS EQUIPOS BÁSICOS DE SALUD ASIGNADOS AL HOSPITAL SANTA MONICA, (NODO ORIENTE).</t>
  </si>
  <si>
    <t>PRESTACIÓN DE SERVICIOS DE TRANSPORTE ESPECIAL (TERRESTRE) PARA EL DESARROLLO DE LA ESTRATEGIA DE ATENCIÓN PRIMARIA EN SALUD MEDIANTE LA PROVISIÓN DEL TRANSPORTE ADECUADO PARA LA MOVILIZACIÓN DE LOS EQUIPOS BÁSICOS DE SALUD ASIGNADOS AL
HOSPITAL CIVIL (NODO NORTE).</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</si>
  <si>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</si>
  <si>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</si>
  <si>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</si>
  <si>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DESARROLLO DE LA ESTRATEGIA DE ATENCIÓN PRIMARÍA EN SALUD MEDIANTE LA PROVISIÓN DEL TRANSPORTE ADECUADO PARA LA MOVILIZACIÓN DE LOS EQUIPOS BÁSICOS DE SALUD ESPECIALIZADOS EN EL PERIMETRO URBANO Y RURAL DEL MUNICIPIO DE PASTO Y DEMAS MUNICIPIOS (EL PEÑOL, IPIALES, LINARES, MALLAMA, PASTO Y PUERRES).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</si>
  <si>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</si>
  <si>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</si>
  <si>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</si>
  <si>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</si>
  <si>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</si>
  <si>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</si>
  <si>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 xml:space="preserve">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 </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</si>
  <si>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JORNÁDAS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</si>
  <si>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LIEVAR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</si>
  <si>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У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</si>
  <si>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</si>
  <si>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</si>
  <si>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</si>
  <si>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</si>
  <si>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</si>
  <si>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LA RESOLUCIÓN 1810 DEL 04 DE SEPTIEMBRE DE 2025 DE PARTE DEL MINISTERIO DE SALUD Y PROTECCIÓN SOCIAL Y CUMPLIENDO LAS METAS DE COBERTURAS ASIGNADAS.</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</si>
  <si>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</si>
  <si>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</si>
  <si>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</si>
  <si>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</si>
  <si>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</si>
  <si>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</si>
  <si>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</si>
  <si>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</si>
  <si>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</si>
  <si>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</si>
  <si>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</si>
  <si>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</si>
  <si>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</si>
  <si>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</si>
  <si>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</si>
  <si>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</si>
  <si>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</si>
  <si>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</si>
  <si>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RESOLÚCIÓN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</si>
  <si>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</si>
  <si>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СONTRATAR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AA RAÍZ DE LA EXPEDICIÓN DE LA RESOLUCIÓN 0873 DE 09 DE MAYO DE 2025 Y CUMPLIENDO LAS METAS DE COBERTURAS ASIGNADAS.</t>
  </si>
  <si>
    <t>CONTRATAR LA PRESTACIÓN DE SERVICIOS COMO TECNOLOGO PROMOCIÓN DE LA SALUD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MUNICIPÍO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</si>
  <si>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CUMPLIENDO LAS METAS DE COBERTURAS ASIGNADAS.</t>
  </si>
  <si>
    <t>CONTRATAR LA PRESTACIÓN DE SERVICIOS COMO AUXILIAR DE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TRAVĖS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</si>
  <si>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</si>
  <si>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</si>
  <si>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</si>
  <si>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</si>
  <si>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</si>
  <si>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</si>
  <si>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</si>
  <si>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</si>
  <si>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</si>
  <si>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</si>
  <si>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</si>
  <si>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</si>
  <si>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</si>
  <si>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SUŞCRITA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</si>
  <si>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MOVIL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</si>
  <si>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</si>
  <si>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</si>
  <si>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</si>
  <si>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PSICOLOGÍA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</si>
  <si>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REŞULTADOS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</si>
  <si>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</si>
  <si>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</si>
  <si>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</si>
  <si>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</si>
  <si>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</si>
  <si>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</si>
  <si>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</si>
  <si>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</si>
  <si>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</si>
  <si>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</si>
  <si>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У СИMPLIENDO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</si>
  <si>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</si>
  <si>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</si>
  <si>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УY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</si>
  <si>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</si>
  <si>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</si>
  <si>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AA CABO LAS ACTIVIDADES DESCRITAS PARA LOS EQUIPOS BÁSICOS DE SALUD EN EL TERRITORIO ASIGNADO HACIENDO ENFASIS EN EL FORTALECIMIENTO DE LA ATENCIÓN PRIMARI 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</si>
  <si>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</si>
  <si>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</si>
  <si>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EXPEDICIÓN DE LA RESOLUCIÓN 0873 DE 09 DE MAYO DE 2025 Y CUMPLIENDO LAS METAS DE
LA COBERTURAS ASIGNADAS</t>
  </si>
  <si>
    <t>CONTRATAR LA PRESTACIÓN DE SERVICIOS PROFESIONALES EN PSICOLOGIA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</si>
  <si>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</si>
  <si>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</si>
  <si>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ATÉNCIÓN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</si>
  <si>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</si>
  <si>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</si>
  <si>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LA EQUIPOS BÁSICOS DE SALUD EN EL TERRITORIO ASIGNADO HACIENDO ÉNFASIS EN EL FORTALECIMIENTO DE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</si>
  <si>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</si>
  <si>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 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</si>
  <si>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</si>
  <si>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MEDICINA CON EL FIN DE LLEVAR A CABO LAS ACTIVIDADES DESCRITAS PARA LOS EQUIPÓS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</si>
  <si>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DECOBERTURAS ASIGNADAS.</t>
  </si>
  <si>
    <t>CONTRATAR LA PRESTACIÓN DE SERVICIOS PROFESIONALES EN ENFERMERIA CON EL FIN.DE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SUSCRITÄ ENTRE PASTO SALUD ESE Y LAS DIFERENTES EAPBS IMPLEMENTANDO EL LINEAMIENTO EMITIDO POR EL MINISTERIO DE SALUD A RAÍZ DE LÀ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</si>
  <si>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</si>
  <si>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</si>
  <si>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</si>
  <si>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ENFERMERÍA CON EL FIN DE LLÉVAR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</si>
  <si>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</si>
  <si>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</si>
  <si>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</si>
  <si>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</si>
  <si>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Ý CUMPLIENDO LAS METAS DE COBERTURAS ASIGNADAS. </t>
  </si>
  <si>
    <t xml:space="preserve">CONTRATAR LA PRESTACIÓN DE SERVICIOS COMO AUXILIAR DE ENFERMERIA CON EL FIN DE LLEVAR A CABO LAS ACTIVIDADES DESCRITAS PARA LOS EQUIPOS BÁSICOS DE SALUD EN EL TERRITORIO ASIGNADO HACIENDO ÉNFASIS EN EL FORTALECIMIENTO DE LA ATENCIÓN PRIMARIA EN SALUD. EN EL MARCO DE LAL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</si>
  <si>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SALUP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</si>
  <si>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</si>
  <si>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PSICOLOGIA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</si>
  <si>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</si>
  <si>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</si>
  <si>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 xml:space="preserve">CONTRATAR LA PRESTACIÓN DE SERVICIOS PROFESIONALES EN MEDICINA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 </t>
  </si>
  <si>
    <t>CONTRATAR LA PRESTACIÓN DE SERVICIOS PROFESIONALES EN ENFERMERIA CON EL FIN DE LLEVAR A CABO LAS ACTIVIDADES DESCRITAS PARA LOS EQUIPOS BÁSICOS DE SALUD EN EL TERRITORIO ASIGNADO HACIENDO ENFASIS EN EL FORTALECIMIENTO DE LA ATENCIÓN PRIMARIA EN SALUD EN EL MARCO DE LA IMPLEMENTACIÓN DEL MODELO DE SALUD PREVENTIVO Y PREDICTIVO QUE GARANTICE EL DERECHO FUNDAMENTAL A LA SALUD E 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</si>
  <si>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</si>
  <si>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PRESTACIÓN DE SERVICIOS DE TRANSPORTE ESPECIAL (TERRESTRE) PARA EL DESARRÓLLO DE LA ESTRATEGIA DE ATENCIÓN PRIMARIA EN SALUD MEDIANTE LA PROVISIÓN DEL
TRANSPORTE ADECUADO PARA LA MOVILIZACIÓN DE LOS EQUIPOS BÁSICOS DE SALUD ASIGNADOS AL HOSPITAL CIVIL (NODO NORTE).</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</si>
  <si>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</si>
  <si>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PRESTACIÓN DE SERVICIOS PARA LA GESTION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</si>
  <si>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CONTRATAR LA PRESTACIÓN DE SERVICIOS COMO GESTOR COMUNITARIO EN PROCESO DE FORMACION COMO AUXILIAR PROMOTOR DE SALUD CON EL FIN DE LLEVAR A CABO LAS ACTIVIDADES DESCRITAS PARA LOS EQUIPOS BÁSICOS DE SALUD EN EL TERRITORIO ASIGNADO, HACIENDO ÉNFASIS EN EL FORTALECIMIENTO DE LA ATENCIÓN PRIMARIA EN SALUD, EN EL MARCO DE LA IMPLEMENTACIÓN DEL MODELO DE SALUD PREVENTIVÓ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VACUNACIÓN EN TERRENO Y A TRAVÉS DE JORNADAS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LA RESOLUCIÓN 1810 DEL 04 DE SEPTIEMBRE DE 2025 DE PARTE DEL MINISTERIO DE SALUD Y PROTECCIÓN SOCIAL Y CUMPLIENDO LAS METAS DE COBERTURAS ASIGNADAS.</t>
  </si>
  <si>
    <t>CONTRATAR LA PRESTACIÓN DE SERVICIOS PROFESIONALES EN ENFERMERIA CON EL FIN DE LLEVAR A CABO LAS ACTIVIDADES DESCRITAS PARA LOS EQUIPOS BÁSICOS DE SALUD EN EL TERRITORIO ASIGNADO,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BRIGADAS DE SALUD EN CENTROS CONCENTRADOS,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0873 DE 09 DE MAYO DE 2025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</si>
  <si>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</si>
  <si>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ENFASIS EN EL FORTALECIMIENTO DE LA ATENCIÓN PRIMARIA EN SALUD, EN EL MARCO DE LA IMPLEMENTACIÓN DEL MODELO DE SALUD PREVENTIVO Y PREDICTIVO QUE GARANTICE EL DERECECHO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DEL 06 OCTUBRE DE 2024.</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</si>
  <si>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</si>
  <si>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 RAIZ DE LA EXPEDICIÓN DE LA RESOLUCIÓN 1976 DE OCTUBRE DE 2024. Y CUMPLIENDO LAS METAS DE COBERTURA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</si>
  <si>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</si>
  <si>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</si>
  <si>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</si>
  <si>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</si>
  <si>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</si>
  <si>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SALUD A RAÍZ DE LA EXPEDICIÓN DE LA RESOLUCIÓN 1397 DEL 06 DE AGOSTO DE 2024.  DIFERENTES EAPBS, IMPLEMENTANDO EL LINEAMIENTO EMITIDO POR EL MINISTERIO DE SALUD A RAIZ DE LA EXPEDICION DE LA RESOLUCION 1397 DE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</si>
  <si>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</si>
  <si>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</si>
  <si>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</si>
  <si>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</si>
  <si>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 xml:space="preserve">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</si>
  <si>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</si>
  <si>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</si>
  <si>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 Y CUMPLIENDO LAS METAS DE COBERTURAS ASIGNADAS.</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</si>
  <si>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</si>
  <si>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AUXILIAR DE ENFERMERIA CON EL FIN DE LLEVAR A CABO LAS ACTIVIDADES DESCRITAS PARA LOS EQUIPOS BÁSICOS DE SALUD, HACIENDO ÓNFASIS EN EL FORTALECIMIENTO DE LA ATENCIÓN PRIMARIA EN SALUD, EN EL MARCO DE LA IMPLEMENTACIÓN DEL MODELO DE SALUD PREVENTIVO Y PREDICTIVO QUE GARANTICE EL DERECHO FUNDAMENTAL A LA SALUD E INCIDA EN LAS RESULTADOS EN SALUD DE LAS PERSONAS, FAMILIAS Y COMUNIDADES DEL TERITORIO, DENTRO DEL DESARROLLO DE LA ESTRATEGLA DE ALENCIÓN PRIMARIA EN SALUD, MEDIANTE LAS MODALIDADES DE ATENCIÓN DOMICILIARLA, UNIDAD MÓVIL, JORNADAS EXTRAMURALES Y ATENCIÓN INTRAMURAL SEGÚN LODISPUESTO EN LA RESOLUCIÓN 3100 DE2019, PARA LA POBLACIÓN DEL Р MUNIÇIPIO DE PASTO SEGÚN LA POBLACIÓN ASIGNADA POR LA RELACIÓN CONTRACTUAL SUSCRITA ENTRE TRE PASTO SALUD ESE Y LAS DIFERENLES EAPBS, IMPLEMENTANDO EL LINEAMLENTO EMITIDO POR EL MINISTERIO DE SALUD A RAIZ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</si>
  <si>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 AGOSTO DE 2024.</t>
  </si>
  <si>
    <t>CONTRATAR LA PRESTACIÓN DE SERVICIOS COMOAUXILIAR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</si>
  <si>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</si>
  <si>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</si>
  <si>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</si>
  <si>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</si>
  <si>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</si>
  <si>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</si>
  <si>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CÓN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</si>
  <si>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</si>
  <si>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ONTRACTUAL SUSCRITA ENTRE PASTO SALUD ESE Y LAS DIFERENTES EAPBS, IMPLEMENTANDO EL LINEAMIENTO EMITIDO POR EL MINISTERIO DE SALUD A RAÍZ DE LA EXPEDICIÓN DE LA RESOLUCIÓN 1976 DE OCTUBRE DE 2024.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</si>
  <si>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ASIGNADAS. </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</si>
  <si>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</si>
  <si>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</si>
  <si>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</si>
  <si>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Y DANDO CUMPLIMIENTO AL FALLO DE TUTELA EMITIDO POR EL JUZGADO SEGUNDO PENAL MUNICIPAL PARA ADOLESCENTES.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</si>
  <si>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</si>
  <si>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CUMPLIENDO LAS METAS DE COBERTURAS ASIGNADAS Y DANDO CUMPLIMIENTO AL FALLO DE TUTELA EMITIDO
POR EL JUZGADO SEGUNDO PENAL MUNICIPAL PARA ADOLESCENTES </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</si>
  <si>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</si>
  <si>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</si>
  <si>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</si>
  <si>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</si>
  <si>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RALZ DE LA EXPEDICIÓN DE LA RESOLUCIÓN 1976 DE OCTUBRE DE 2024. </t>
  </si>
  <si>
    <t>CONTRATAR LAPRESTACIÓN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</si>
  <si>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</si>
  <si>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</si>
  <si>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</si>
  <si>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</si>
  <si>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</si>
  <si>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</si>
  <si>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</si>
  <si>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</si>
  <si>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</si>
  <si>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</si>
  <si>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</si>
  <si>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</si>
  <si>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</si>
  <si>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 </t>
  </si>
  <si>
    <t xml:space="preserve">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</si>
  <si>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</si>
  <si>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SALUDARALZ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</si>
  <si>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</si>
  <si>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</si>
  <si>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</si>
  <si>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</si>
  <si>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</si>
  <si>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</si>
  <si>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</si>
  <si>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AUXILIAR DE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</si>
  <si>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IAS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</si>
  <si>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</si>
  <si>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</si>
  <si>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</si>
  <si>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</si>
  <si>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SALUDARAIZ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</si>
  <si>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</si>
  <si>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</si>
  <si>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</si>
  <si>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У СИMPLIENDO LAS METAS DE COBERTURAS ASIGNADAS.</t>
  </si>
  <si>
    <t>CONTRATAR LA PRESTACIÓN DE SERVICIOS PROFESIONALES EN NUTRICION Y DIETAS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</si>
  <si>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</si>
  <si>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</si>
  <si>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</si>
  <si>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LATENCIÓN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</si>
  <si>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</si>
  <si>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CONTRATAR LA PRESTACIÓN DE SERVICIOS PROFESIONALES EN TERAPIA OCUPACIONAL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</si>
  <si>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ASIGNADAS. </t>
  </si>
  <si>
    <t>CONTRATAR LA PRESTACIÓN DE SERVICIOS PROFESIONALES EN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SEGŮN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</si>
  <si>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</si>
  <si>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</si>
  <si>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</si>
  <si>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DOMICILIARÍA,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</si>
  <si>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</si>
  <si>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PROFESIONALES EN PSICOLOGIA.CON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</si>
  <si>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GIA DE ATENCIÓN PRIMARIA EN SALUD, MEDIANTE LAS MODALIDADES DE ATENCIÓN DOMICILIARIA, UNIDAC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</si>
  <si>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</si>
  <si>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</si>
  <si>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</si>
  <si>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ASEGURADA.</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</si>
  <si>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</si>
  <si>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</si>
  <si>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</si>
  <si>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PSIÇOLOGIA CON ELFIN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</si>
  <si>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У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</si>
  <si>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</si>
  <si>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</si>
  <si>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</si>
  <si>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 </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</si>
  <si>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</si>
  <si>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</si>
  <si>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</si>
  <si>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 xml:space="preserve">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</si>
  <si>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 ASEGURADA.</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</si>
  <si>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 ASIGNADAS.</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</si>
  <si>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OCTUBRE DE 2024 Y CUMPLIENDO LAS METAS DE COBERTURAS ASIGNADAS.</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</si>
  <si>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</si>
  <si>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PSICOLOGÍA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</si>
  <si>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t>
  </si>
  <si>
    <t xml:space="preserve">CONTRATAR LA PRESTACIÓN DE SERVICIOS PROFESIONALES EN ENFERMERIA.CON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 </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</si>
  <si>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</si>
  <si>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ODONTOLOGIA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CUMPLIENDO LAS METAS DE COBERTURAS ASIGNADAS.</t>
  </si>
  <si>
    <t>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t>
  </si>
  <si>
    <t>CONTRATAR LA PRESTACIÓN DE SERVICIOS PROFESIONALES EN PSICOLOGIA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1976 DÉ OCTUBRE DE 2024 CUMPLIMIENTO DE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</si>
  <si>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A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 Y CUMPLIENDO LAS METAS DE COBERTURAS ASIGNADAS.</t>
  </si>
  <si>
    <t>CONTRATAR LA PRESTACIÓN DE SERVICIOS PROFESIONALES EN MEDICINA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1976 DE OCTUBRE DE 2024 Y CUMPLIMIENTO DE LAS DEMÁS METAS DE COBRETURAS ASIGNADAS.</t>
  </si>
  <si>
    <t>CONTRATAR LA PRESTACIÓN DE SERVICIOS PROFESIONALES EN ODONTOLOGÍA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POBACIÓN ASIGNADA POR LA RELACIÓN CONTRACTUAL SUSCRITA ENTRE PASTO SALUD ESE Y LAS DIFERENTES EAPBS, IMPLEMENTANDO EL LINEAMIENTO EMITIDO POR EL MINISTERIO DE SALUD A RAÍZ DE LA EXPEDICIÓN DE LA RESOLUCIÓN 1976 DE OCTUBRE DE 2024 Y CUMPLIMIENTO DE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</si>
  <si>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</si>
  <si>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 xml:space="preserve"> 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</si>
  <si>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1976 DE OCTUBRE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</si>
  <si>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</si>
  <si>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IMPLEMENTANDO EL LINEAMIENTO EMITIDO POR EL MINISTERIO DE SALUD A RAÍZ DE LA EXPEDICIÓN DE LA RESOLUCIÓN 1397 DEL 06 DE AGOSTO DE 2024 Y CUMPLIENDO LAS METAS DE COBERTURAS ASIGNADAS.</t>
  </si>
  <si>
    <t>PRESTACIÓN DE SERVICIOS PARA LA CONFORMACIÓN, OPERACIÓN Y SEGUIMIENTO DEL EQUIPO COMPLEMENTARIO DE SALUD (ESPECIALIZADO) PARA LA IMPLEMENTACIÓN Y SEGUIMIENTO AL PLAN DE CUIDADO: ATENCIONES EN SALUD DEL NIVEL COMPLEMENTARIO (EDUCACIÓN PARA LA SALUD, DETECCIÓN DE RIESGOS, DIAGNÓSTICO, TRATAMIENTO) ACTIVACIÓN DE TELESALUD Y/O TELEMEDICINA DEL PROYECTO "FORTALECIMIENTO DEL NIVEL PRIMARIO, BASADO EN LA ATENCIÓN PRIMARIA EN SALUD, A TRAVÉS DE LA CONFORMACIÓN Y OPERACIÓN DEL EQUIPO COMPLEMENTARIO DE SALUD ECS, PROPORCIONANDO EL PERSONAL ESPECIALIZADO, LA LOGÍSTICA ADMINISTRATIVA Y SISTEMATIZACIÓN DE LA INFORMACIÓN Y FACILITAR LA ARTICULACIÓN DE LAS ACCIONES CON LOS EQUIPOS BÁSICOS DE SALUD EBS EN LOS PROCESOS DE ATENCIÓN COMPLEMENTARIA EN EL MUNICIPIO DE PASTO:</t>
  </si>
  <si>
    <t>PRESTACIÓN DE SERVICIOS PARA LA GESTIÓN COMO COORDINACIÓN TÉCNICA ADMINISTRATIVA CON EL FIN DE SERVIR DE APOYO ADMINISTRATIVO A LA EJECUCIÓN OPERATIVA DEL PROYECTO "FORTALECIMIENTO DE LA GESTIÓN TERRITORIAL EN APS, EQUIPOS BÁSICOS DE SALUD: CONFORMACIÓN OPERACIÓN Y SEGUIMIENTO" Y PRIMORDIALMENTE DEL CORRECTO FUNCIONAMIENTO DE LOS EQUIPOS BÁSICOS DE SALUD - EBS, PROPORCIONANDO EL PERSONAL DE APOYO PARA LA LOGÍSTICA ADMINISTRATIVA Y SISTEMATIZACIÓN DE LA INFORMACIÓN Y FACILITAR LA ARTICULACIÓN DE LAS ACCIONES DE LOS EQUIPOS BÁSICOS DE SALUD EBS EN LOS PROCESOS DE PARTICIPACIÓN SOCIAL, INTERSECTORIALIDAD Y CONTINUIDAD EN LA ATENCIÓN EN SALUD EN EL MUNICIPIO DE PASTO</t>
  </si>
  <si>
    <t>: CONTRATAR LA PRESTACIÓN DE SERVICIOS PROFESIONALES EN MEDICINA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</si>
  <si>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PSICOLOGIA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</si>
  <si>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RAIZ DE LA EXPEDICIÓN DE LA RESOLUCIÓN 1397 DEL 06 DE AGOSTO DE 2024 Y CUMPLIENDO LAS METAS DE COBERTURAS ASIGNADAS</t>
  </si>
  <si>
    <t>PRESTACIÓN DE SERVICIOS PROFESIONALES DIRIGIDOS AL SEGUIMIENTO DE POBLACIONES ESPECIALES DE RIESGO SEGÚN PRIORIDADES DEFINIDAS POR LA SUBGERENCIA DE SALUD E INVESTIGACIÓN.</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</si>
  <si>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</si>
  <si>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ESTRATÉGIA DE ATENCIÓN PRIMARIA EN SALUD, MEDIANTE LAS MODALIDADES DE ATENCIÓN DOMICILIARIA, UNIDAD MÓVIL, JORNADAS EXTRAMURALES Y ATENCIÓN INTRAMURAL SEGÚN LO DISPUESTO EN LA RESOLUCIÓN 3100 DE 2019, PARA LA POBLACIÓN DEL MUNICIPIO DE PASTO SEGUN LÀ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</si>
  <si>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</si>
  <si>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PROFESIONALES EN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</si>
  <si>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</si>
  <si>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t>
  </si>
  <si>
    <t>CONTRATAR LA PRESTACIÓN DE SERVICIOS COMO AUXILIAR DE ENFERMERIA CON EL FIN DE LLEVAR A CABO LAS ACTIVIDADES DESCRITAS PARA LOS EQUIPOS BÁSICOS DE SALUD, HACIENDO ÉNFASIS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SEGÚN LA POBLACIÓN ASIGNADA POR LA RELACIÓN CONTRACTUAL SUSCRITA ENTRE PASTO SALUD ESE Y LAS DIFERENTES EAPBS, IMPLEMENTANDO EL LINEAMIENTO EMITIDO POR EL MINISTERIO DE SALUD A RAÍZ DE LA EXPEDICIÓN DE LA RESOLUCIÓN 1397 DEL 06 DE AGOSTO DE 2024 Y CUMPLIENDO LAS METAS DE COBERTURAS ASIGNADAS</t>
  </si>
  <si>
    <t>CONTRATAR LA PRESTACIÓN DE SERVICIOS COMO GESTOR COMUNITARIO CON EL FIN DE LLEVAR A CABO LAS ACTIVIDADES DESCRITAS PARA LOS EQUIPOS BÁSICOS DE SALUD, HACIENDO ENFASIS EN EL FORTALECIMIENTO DE LA ATENCIÓN PRIMARIA EN SALUD, EN EL MARCO DE LA IMPLEMENTACIÓN DEL MODELO DE SALUD PREVENTIVO Y PREDICTIVO QUE GARANTICE EL DERECHO FUNDAMENTAL A LA SALUD E INCIDA EN LOS RESULTADOS EN SALUD DE LAS PERSONAS, FAMILIAS Y COMUNIDADES DEL TERRITORIO, DENTRO DEL DESARROLLO DE LA ESTRATEGIA DE ATENCIÓN PRIMARIA EN SALUD, MEDIANTE LAS MODALIDADES DE ATENCIÓN DOMICILIARIA, UNIDAD MÓVIL, JORNADAS EXTRAMURALES Y ATENCIÓN INTRAMURAL SEGÚN LO DISPUESTO EN LA RESOLUCIÓN 3100 DE 2019, PARA LA POBLACIÓN DEL MUNICIPIO DE PASTO SEGUN LA POBACION ASIGNADA POR LA RELACION CONTRACTUAL SUSCRITA ENTRE PASTO SALUD ESE Y LAS DIFERENTES EAPBS, IMPLEMENTANDO EL LINEAMIENTO EMITIDO POR EL MINISTERIO DE SALUD A RAÍZ DE LA EXPEDICIÓN DE LA RESOLUCIÓN 1397 DEL 06 DE AGOSTO DE 2024 Y CUMPLIENDO LAS METAS DE COBERTURAS ASIGNADAS.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</si>
</sst>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 #,##0.00"/>
    <numFmt numFmtId="165" formatCode="&quot;$&quot;#,##0.00"/>
  </numFmts>
  <fonts count="8" x14ac:knownFonts="1">
    <font>
      <sz val="11"/>
      <color theme="1"/>
      <name val="Calibri"/>
      <family val="2"/>
      <scheme val="minor"/>
    </font>
    <font>
      <b/>
      <sz val="11"/>
      <name val="Calibri"/>
      <family val="2"/>
    </font>
    <font>
      <b/>
      <sz val="11"/>
      <name val="Calibri"/>
      <family val="2"/>
    </font>
    <font>
      <sz val="11"/>
      <color theme="1"/>
      <name val="Calibri"/>
      <family val="2"/>
      <scheme val="minor"/>
    </font>
    <font>
      <sz val="8"/>
      <name val="Calibri"/>
      <family val="2"/>
      <scheme val="minor"/>
    </font>
    <font>
      <sz val="11"/>
      <name val="Calibri"/>
      <family val="2"/>
    </font>
    <font>
      <sz val="11"/>
      <color theme="1"/>
      <name val="Arial"/>
      <family val="2"/>
    </font>
    <font>
      <sz val="11"/>
      <color indexed="8"/>
      <name val="Calibri"/>
      <family val="2"/>
    </font>
  </fonts>
  <fills count="3">
    <fill>
      <patternFill patternType="none"/>
    </fill>
    <fill>
      <patternFill patternType="gray125"/>
    </fill>
    <fill>
      <patternFill patternType="solid">
        <fgColor rgb="FF00B05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44" fontId="3"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xf numFmtId="164" fontId="0" fillId="0" borderId="0" xfId="0" applyNumberFormat="1"/>
    <xf numFmtId="164" fontId="2" fillId="0" borderId="1" xfId="0" applyNumberFormat="1" applyFont="1" applyBorder="1" applyAlignment="1">
      <alignment horizontal="center" vertical="top"/>
    </xf>
    <xf numFmtId="0" fontId="0" fillId="2" borderId="0" xfId="0" applyFill="1"/>
    <xf numFmtId="0" fontId="3" fillId="0" borderId="0" xfId="0" applyFont="1"/>
    <xf numFmtId="165" fontId="1" fillId="0" borderId="1" xfId="0" applyNumberFormat="1" applyFont="1" applyBorder="1" applyAlignment="1">
      <alignment horizontal="center" vertical="top"/>
    </xf>
    <xf numFmtId="165" fontId="0" fillId="0" borderId="0" xfId="0" applyNumberFormat="1"/>
    <xf numFmtId="165" fontId="2" fillId="0" borderId="1" xfId="0" applyNumberFormat="1" applyFont="1" applyBorder="1" applyAlignment="1">
      <alignment horizontal="center" vertical="top"/>
    </xf>
    <xf numFmtId="0" fontId="5" fillId="0" borderId="0" xfId="0" applyFont="1"/>
    <xf numFmtId="0" fontId="6" fillId="0" borderId="0" xfId="0" applyFont="1" applyAlignment="1">
      <alignment horizontal="center" wrapText="1"/>
    </xf>
    <xf numFmtId="0" fontId="0" fillId="0" borderId="2" xfId="0" applyBorder="1"/>
    <xf numFmtId="0" fontId="7" fillId="0" borderId="0" xfId="0" applyFont="1"/>
    <xf numFmtId="165" fontId="7" fillId="0" borderId="0" xfId="0" applyNumberFormat="1" applyFont="1"/>
    <xf numFmtId="165" fontId="0" fillId="0" borderId="0" xfId="1" applyNumberFormat="1" applyFont="1" applyFill="1"/>
  </cellXfs>
  <cellStyles count="2">
    <cellStyle name="Moneda" xfId="1" builtinId="4"/>
    <cellStyle name="Normal" xfId="0" builtinId="0"/>
  </cellStyles>
  <dxfs count="1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PAGOS_EBS%20(1).xlsx" TargetMode="External"/><Relationship Id="rId1" Type="http://schemas.openxmlformats.org/officeDocument/2006/relationships/externalLinkPath" Target="file:///E:\PAGOS_EBS%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PORTADOS"/>
      <sheetName val="Hoja2"/>
      <sheetName val="PAGOS"/>
      <sheetName val="BORRAR"/>
      <sheetName val="MODIFICAION"/>
    </sheetNames>
    <sheetDataSet>
      <sheetData sheetId="0">
        <row r="2">
          <cell r="C2" t="str">
            <v>611-2025</v>
          </cell>
          <cell r="D2">
            <v>3000000</v>
          </cell>
        </row>
        <row r="3">
          <cell r="C3" t="str">
            <v>760-2025</v>
          </cell>
          <cell r="D3">
            <v>6300000</v>
          </cell>
        </row>
        <row r="4">
          <cell r="C4" t="str">
            <v>636-2025</v>
          </cell>
          <cell r="D4">
            <v>3000000</v>
          </cell>
        </row>
        <row r="5">
          <cell r="C5" t="str">
            <v>775-2025</v>
          </cell>
          <cell r="D5">
            <v>6300000</v>
          </cell>
        </row>
        <row r="6">
          <cell r="C6" t="str">
            <v>828-2025</v>
          </cell>
          <cell r="D6">
            <v>3150000</v>
          </cell>
        </row>
        <row r="7">
          <cell r="C7" t="str">
            <v>456-2025</v>
          </cell>
          <cell r="D7">
            <v>3000000</v>
          </cell>
        </row>
        <row r="8">
          <cell r="C8" t="str">
            <v>809-2025</v>
          </cell>
          <cell r="D8">
            <v>3150000</v>
          </cell>
        </row>
        <row r="9">
          <cell r="C9" t="str">
            <v>486-2025</v>
          </cell>
          <cell r="D9">
            <v>4750000</v>
          </cell>
        </row>
        <row r="10">
          <cell r="C10" t="str">
            <v>896-2025</v>
          </cell>
          <cell r="D10">
            <v>3150000</v>
          </cell>
        </row>
        <row r="11">
          <cell r="C11" t="str">
            <v>567-2025</v>
          </cell>
          <cell r="D11">
            <v>12000000</v>
          </cell>
        </row>
        <row r="12">
          <cell r="C12" t="str">
            <v>739-2025</v>
          </cell>
          <cell r="D12">
            <v>4730000</v>
          </cell>
        </row>
        <row r="13">
          <cell r="C13" t="str">
            <v>555-2025</v>
          </cell>
          <cell r="D13">
            <v>9500000</v>
          </cell>
        </row>
        <row r="14">
          <cell r="C14" t="str">
            <v>1012-2025</v>
          </cell>
          <cell r="D14">
            <v>6300000</v>
          </cell>
        </row>
        <row r="15">
          <cell r="C15" t="str">
            <v>691-2025</v>
          </cell>
          <cell r="D15">
            <v>2500000</v>
          </cell>
        </row>
        <row r="16">
          <cell r="C16" t="str">
            <v>860-2025</v>
          </cell>
          <cell r="D16">
            <v>4730000</v>
          </cell>
        </row>
        <row r="17">
          <cell r="C17" t="str">
            <v>566-2025</v>
          </cell>
          <cell r="D17">
            <v>6000000</v>
          </cell>
        </row>
        <row r="18">
          <cell r="C18" t="str">
            <v>822-2025</v>
          </cell>
          <cell r="D18">
            <v>7800000</v>
          </cell>
        </row>
        <row r="19">
          <cell r="C19" t="str">
            <v>142-2024</v>
          </cell>
          <cell r="D19">
            <v>64304701.039999999</v>
          </cell>
        </row>
        <row r="20">
          <cell r="C20" t="str">
            <v>142-2024</v>
          </cell>
          <cell r="D20">
            <v>64376700</v>
          </cell>
        </row>
        <row r="21">
          <cell r="C21" t="str">
            <v>159-2024</v>
          </cell>
          <cell r="D21">
            <v>2000000</v>
          </cell>
        </row>
        <row r="22">
          <cell r="C22" t="str">
            <v>208-2024</v>
          </cell>
          <cell r="D22">
            <v>25496760</v>
          </cell>
        </row>
        <row r="23">
          <cell r="C23" t="str">
            <v>148-2024</v>
          </cell>
          <cell r="D23">
            <v>4825600</v>
          </cell>
        </row>
        <row r="24">
          <cell r="C24" t="str">
            <v>158-2024</v>
          </cell>
          <cell r="D24">
            <v>2000000</v>
          </cell>
        </row>
        <row r="25">
          <cell r="C25" t="str">
            <v>195-2024</v>
          </cell>
          <cell r="D25">
            <v>6000000</v>
          </cell>
        </row>
        <row r="26">
          <cell r="C26" t="str">
            <v>198-2024</v>
          </cell>
          <cell r="D26">
            <v>7500000</v>
          </cell>
        </row>
        <row r="27">
          <cell r="C27" t="str">
            <v>166-2024</v>
          </cell>
          <cell r="D27">
            <v>4750000</v>
          </cell>
        </row>
        <row r="28">
          <cell r="C28" t="str">
            <v>168-2024</v>
          </cell>
          <cell r="D28">
            <v>2000000</v>
          </cell>
        </row>
        <row r="29">
          <cell r="C29" t="str">
            <v>170-2024</v>
          </cell>
          <cell r="D29">
            <v>4825600</v>
          </cell>
        </row>
        <row r="30">
          <cell r="C30" t="str">
            <v>156-2024</v>
          </cell>
          <cell r="D30">
            <v>7500000</v>
          </cell>
        </row>
        <row r="31">
          <cell r="C31" t="str">
            <v>163-2024</v>
          </cell>
          <cell r="D31">
            <v>2000000</v>
          </cell>
        </row>
        <row r="32">
          <cell r="C32" t="str">
            <v>153-2024</v>
          </cell>
          <cell r="D32">
            <v>7500000</v>
          </cell>
        </row>
        <row r="33">
          <cell r="C33" t="str">
            <v>192-2024</v>
          </cell>
          <cell r="D33">
            <v>2000000</v>
          </cell>
        </row>
        <row r="34">
          <cell r="C34" t="str">
            <v>175-2024</v>
          </cell>
          <cell r="D34">
            <v>2000000</v>
          </cell>
        </row>
        <row r="35">
          <cell r="C35" t="str">
            <v>183-2024</v>
          </cell>
          <cell r="D35">
            <v>6000000</v>
          </cell>
        </row>
        <row r="36">
          <cell r="C36" t="str">
            <v>146-2024</v>
          </cell>
          <cell r="D36">
            <v>2000000</v>
          </cell>
        </row>
        <row r="37">
          <cell r="C37" t="str">
            <v>174-2024</v>
          </cell>
          <cell r="D37">
            <v>2000000</v>
          </cell>
        </row>
        <row r="38">
          <cell r="C38" t="str">
            <v>178-2024</v>
          </cell>
          <cell r="D38">
            <v>2000000</v>
          </cell>
        </row>
        <row r="39">
          <cell r="C39" t="str">
            <v>165-2024</v>
          </cell>
          <cell r="D39">
            <v>2000000</v>
          </cell>
        </row>
        <row r="40">
          <cell r="C40" t="str">
            <v>185-2024</v>
          </cell>
          <cell r="D40">
            <v>2000000</v>
          </cell>
        </row>
        <row r="41">
          <cell r="C41" t="str">
            <v>145-2024</v>
          </cell>
          <cell r="D41">
            <v>2000000</v>
          </cell>
        </row>
        <row r="42">
          <cell r="C42" t="str">
            <v>164-2024</v>
          </cell>
          <cell r="D42">
            <v>4825600</v>
          </cell>
        </row>
        <row r="43">
          <cell r="C43" t="str">
            <v>189-2024</v>
          </cell>
          <cell r="D43">
            <v>2000000</v>
          </cell>
        </row>
        <row r="44">
          <cell r="C44" t="str">
            <v>150-2024</v>
          </cell>
          <cell r="D44">
            <v>2000000</v>
          </cell>
        </row>
        <row r="45">
          <cell r="C45" t="str">
            <v>179-2024</v>
          </cell>
          <cell r="D45">
            <v>4750000</v>
          </cell>
        </row>
        <row r="46">
          <cell r="C46" t="str">
            <v>199-2024</v>
          </cell>
          <cell r="D46">
            <v>7500000</v>
          </cell>
        </row>
        <row r="47">
          <cell r="C47" t="str">
            <v>218-2024</v>
          </cell>
          <cell r="D47">
            <v>7500000</v>
          </cell>
        </row>
        <row r="48">
          <cell r="C48" t="str">
            <v>213-2024</v>
          </cell>
          <cell r="D48">
            <v>6000000</v>
          </cell>
        </row>
        <row r="49">
          <cell r="C49" t="str">
            <v>152-2024</v>
          </cell>
          <cell r="D49">
            <v>4750000</v>
          </cell>
        </row>
        <row r="50">
          <cell r="C50" t="str">
            <v>151-2024</v>
          </cell>
          <cell r="D50">
            <v>2000000</v>
          </cell>
        </row>
        <row r="51">
          <cell r="C51" t="str">
            <v>200-2024</v>
          </cell>
          <cell r="D51">
            <v>4825600</v>
          </cell>
        </row>
        <row r="52">
          <cell r="C52" t="str">
            <v>171-2024</v>
          </cell>
          <cell r="D52">
            <v>2000000</v>
          </cell>
        </row>
        <row r="53">
          <cell r="C53" t="str">
            <v>201-2024</v>
          </cell>
          <cell r="D53">
            <v>2000000</v>
          </cell>
        </row>
        <row r="54">
          <cell r="C54" t="str">
            <v>169-2024</v>
          </cell>
          <cell r="D54">
            <v>7500000</v>
          </cell>
        </row>
        <row r="55">
          <cell r="C55" t="str">
            <v>161-2024</v>
          </cell>
          <cell r="D55">
            <v>4825600</v>
          </cell>
        </row>
        <row r="56">
          <cell r="C56" t="str">
            <v>211-2024</v>
          </cell>
          <cell r="D56">
            <v>64141827</v>
          </cell>
        </row>
        <row r="57">
          <cell r="C57" t="str">
            <v>177-2024</v>
          </cell>
          <cell r="D57">
            <v>2000000</v>
          </cell>
        </row>
        <row r="58">
          <cell r="C58" t="str">
            <v>204-2024</v>
          </cell>
          <cell r="D58">
            <v>4750000</v>
          </cell>
        </row>
        <row r="59">
          <cell r="C59" t="str">
            <v>220-2024</v>
          </cell>
          <cell r="D59">
            <v>4825600</v>
          </cell>
        </row>
        <row r="60">
          <cell r="C60" t="str">
            <v>162-2024</v>
          </cell>
          <cell r="D60">
            <v>2000000</v>
          </cell>
        </row>
        <row r="61">
          <cell r="C61" t="str">
            <v>242-2024</v>
          </cell>
          <cell r="D61">
            <v>2000000</v>
          </cell>
        </row>
        <row r="62">
          <cell r="C62" t="str">
            <v>186-2024</v>
          </cell>
          <cell r="D62">
            <v>4825600</v>
          </cell>
        </row>
        <row r="63">
          <cell r="C63" t="str">
            <v>182-2024</v>
          </cell>
          <cell r="D63">
            <v>2000000</v>
          </cell>
        </row>
        <row r="64">
          <cell r="C64" t="str">
            <v>193-2024</v>
          </cell>
          <cell r="D64">
            <v>4825600</v>
          </cell>
        </row>
        <row r="65">
          <cell r="C65" t="str">
            <v>154-2024</v>
          </cell>
          <cell r="D65">
            <v>4750000</v>
          </cell>
        </row>
        <row r="66">
          <cell r="C66" t="str">
            <v>205-2024</v>
          </cell>
          <cell r="D66">
            <v>4825600</v>
          </cell>
        </row>
        <row r="67">
          <cell r="C67" t="str">
            <v>187-2024</v>
          </cell>
          <cell r="D67">
            <v>4750000</v>
          </cell>
        </row>
        <row r="68">
          <cell r="C68" t="str">
            <v>214-2024</v>
          </cell>
          <cell r="D68">
            <v>7500000</v>
          </cell>
        </row>
        <row r="69">
          <cell r="C69" t="str">
            <v>228-2024</v>
          </cell>
          <cell r="D69">
            <v>6000000</v>
          </cell>
        </row>
        <row r="70">
          <cell r="C70" t="str">
            <v>176-2024</v>
          </cell>
          <cell r="D70">
            <v>7500000</v>
          </cell>
        </row>
        <row r="71">
          <cell r="C71" t="str">
            <v>167-2024</v>
          </cell>
          <cell r="D71">
            <v>6000000</v>
          </cell>
        </row>
        <row r="72">
          <cell r="C72" t="str">
            <v>147-2024</v>
          </cell>
          <cell r="D72">
            <v>7500000</v>
          </cell>
        </row>
        <row r="73">
          <cell r="C73" t="str">
            <v>210-2024</v>
          </cell>
          <cell r="D73">
            <v>7500000</v>
          </cell>
        </row>
        <row r="74">
          <cell r="C74" t="str">
            <v>184-2024</v>
          </cell>
          <cell r="D74">
            <v>4750000</v>
          </cell>
        </row>
        <row r="75">
          <cell r="C75" t="str">
            <v>212-2024</v>
          </cell>
          <cell r="D75">
            <v>2000000</v>
          </cell>
        </row>
        <row r="76">
          <cell r="C76" t="str">
            <v>215-2024</v>
          </cell>
          <cell r="D76">
            <v>4750000</v>
          </cell>
        </row>
        <row r="77">
          <cell r="C77" t="str">
            <v>217-2024</v>
          </cell>
          <cell r="D77">
            <v>4825600</v>
          </cell>
        </row>
        <row r="78">
          <cell r="C78" t="str">
            <v>216-2024</v>
          </cell>
          <cell r="D78">
            <v>4750000</v>
          </cell>
        </row>
        <row r="79">
          <cell r="C79" t="str">
            <v>160-2024</v>
          </cell>
          <cell r="D79">
            <v>2000000</v>
          </cell>
        </row>
        <row r="80">
          <cell r="C80" t="str">
            <v>229-2024</v>
          </cell>
          <cell r="D80">
            <v>2000000</v>
          </cell>
        </row>
        <row r="81">
          <cell r="C81" t="str">
            <v>244-2024</v>
          </cell>
          <cell r="D81">
            <v>2000000</v>
          </cell>
        </row>
        <row r="82">
          <cell r="C82" t="str">
            <v>223-2024</v>
          </cell>
          <cell r="D82">
            <v>4750000</v>
          </cell>
        </row>
        <row r="83">
          <cell r="C83" t="str">
            <v>149-2024</v>
          </cell>
          <cell r="D83">
            <v>2000000</v>
          </cell>
        </row>
        <row r="84">
          <cell r="C84" t="str">
            <v>173-2024</v>
          </cell>
          <cell r="D84">
            <v>2000000</v>
          </cell>
        </row>
        <row r="85">
          <cell r="C85" t="str">
            <v>202-2024</v>
          </cell>
          <cell r="D85">
            <v>6000000</v>
          </cell>
        </row>
        <row r="86">
          <cell r="C86" t="str">
            <v>206-2024</v>
          </cell>
          <cell r="D86">
            <v>7500000</v>
          </cell>
        </row>
        <row r="87">
          <cell r="C87" t="str">
            <v>221-2024</v>
          </cell>
          <cell r="D87">
            <v>2000000</v>
          </cell>
        </row>
        <row r="88">
          <cell r="C88" t="str">
            <v>180-2024</v>
          </cell>
          <cell r="D88">
            <v>4750000</v>
          </cell>
        </row>
        <row r="89">
          <cell r="C89" t="str">
            <v>196-2024</v>
          </cell>
          <cell r="D89">
            <v>6000000</v>
          </cell>
        </row>
        <row r="90">
          <cell r="C90" t="str">
            <v>209-2024</v>
          </cell>
          <cell r="D90">
            <v>4825600</v>
          </cell>
        </row>
        <row r="91">
          <cell r="C91" t="str">
            <v>197-2024</v>
          </cell>
          <cell r="D91">
            <v>4825600</v>
          </cell>
        </row>
        <row r="92">
          <cell r="C92" t="str">
            <v>194-2024</v>
          </cell>
          <cell r="D92">
            <v>2000000</v>
          </cell>
        </row>
        <row r="93">
          <cell r="C93" t="str">
            <v>222-2024</v>
          </cell>
          <cell r="D93">
            <v>2000000</v>
          </cell>
        </row>
        <row r="94">
          <cell r="C94" t="str">
            <v>249-2024</v>
          </cell>
          <cell r="D94">
            <v>2000000</v>
          </cell>
        </row>
        <row r="95">
          <cell r="C95" t="str">
            <v>157-2024</v>
          </cell>
          <cell r="D95">
            <v>7500000</v>
          </cell>
        </row>
        <row r="96">
          <cell r="C96" t="str">
            <v>240-2024</v>
          </cell>
          <cell r="D96">
            <v>4825600</v>
          </cell>
        </row>
        <row r="97">
          <cell r="C97" t="str">
            <v>259-2024</v>
          </cell>
          <cell r="D97">
            <v>2000000</v>
          </cell>
        </row>
        <row r="98">
          <cell r="C98" t="str">
            <v>254-2024</v>
          </cell>
          <cell r="D98">
            <v>2000000</v>
          </cell>
        </row>
        <row r="99">
          <cell r="C99" t="str">
            <v>219-2024</v>
          </cell>
          <cell r="D99">
            <v>2000000</v>
          </cell>
        </row>
        <row r="100">
          <cell r="C100" t="str">
            <v>232-2024</v>
          </cell>
          <cell r="D100">
            <v>7500000</v>
          </cell>
        </row>
        <row r="101">
          <cell r="C101" t="str">
            <v>236-2024</v>
          </cell>
          <cell r="D101">
            <v>4750000</v>
          </cell>
        </row>
        <row r="102">
          <cell r="C102" t="str">
            <v>239-2024</v>
          </cell>
          <cell r="D102">
            <v>2000000</v>
          </cell>
        </row>
        <row r="103">
          <cell r="C103" t="str">
            <v>246-2024</v>
          </cell>
          <cell r="D103">
            <v>2000000</v>
          </cell>
        </row>
        <row r="104">
          <cell r="C104" t="str">
            <v>255-2024</v>
          </cell>
          <cell r="D104">
            <v>2000000</v>
          </cell>
        </row>
        <row r="105">
          <cell r="C105" t="str">
            <v>203-2024</v>
          </cell>
          <cell r="D105">
            <v>2000000</v>
          </cell>
        </row>
        <row r="106">
          <cell r="C106" t="str">
            <v>270-2024</v>
          </cell>
          <cell r="D106">
            <v>7500000</v>
          </cell>
        </row>
        <row r="107">
          <cell r="C107" t="str">
            <v>251-2024</v>
          </cell>
          <cell r="D107">
            <v>2000000</v>
          </cell>
        </row>
        <row r="108">
          <cell r="C108" t="str">
            <v>233-2024</v>
          </cell>
          <cell r="D108">
            <v>4750000</v>
          </cell>
        </row>
        <row r="109">
          <cell r="C109" t="str">
            <v>266-2024</v>
          </cell>
          <cell r="D109">
            <v>4750000</v>
          </cell>
        </row>
        <row r="110">
          <cell r="C110" t="str">
            <v>258-2024</v>
          </cell>
          <cell r="D110">
            <v>2000000</v>
          </cell>
        </row>
        <row r="111">
          <cell r="C111" t="str">
            <v>247-2024</v>
          </cell>
          <cell r="D111">
            <v>2000000</v>
          </cell>
        </row>
        <row r="112">
          <cell r="C112" t="str">
            <v>238-2024</v>
          </cell>
          <cell r="D112">
            <v>2000000</v>
          </cell>
        </row>
        <row r="113">
          <cell r="C113" t="str">
            <v>257-2024</v>
          </cell>
          <cell r="D113">
            <v>4750000</v>
          </cell>
        </row>
        <row r="114">
          <cell r="C114" t="str">
            <v>265-2024</v>
          </cell>
          <cell r="D114">
            <v>22750000</v>
          </cell>
        </row>
        <row r="115">
          <cell r="C115" t="str">
            <v>185-2024</v>
          </cell>
          <cell r="D115">
            <v>2000000</v>
          </cell>
        </row>
        <row r="116">
          <cell r="C116" t="str">
            <v>198-2024</v>
          </cell>
          <cell r="D116">
            <v>7500000</v>
          </cell>
        </row>
        <row r="117">
          <cell r="C117" t="str">
            <v>195-2024</v>
          </cell>
          <cell r="D117">
            <v>6000000</v>
          </cell>
        </row>
        <row r="118">
          <cell r="C118" t="str">
            <v>272-2024</v>
          </cell>
          <cell r="D118">
            <v>2000000</v>
          </cell>
        </row>
        <row r="119">
          <cell r="C119" t="str">
            <v>154-2024</v>
          </cell>
          <cell r="D119">
            <v>4750000</v>
          </cell>
        </row>
        <row r="120">
          <cell r="C120" t="str">
            <v>153-2024</v>
          </cell>
          <cell r="D120">
            <v>7500000</v>
          </cell>
        </row>
        <row r="121">
          <cell r="C121" t="str">
            <v>164-2024</v>
          </cell>
          <cell r="D121">
            <v>4825600</v>
          </cell>
        </row>
        <row r="122">
          <cell r="C122" t="str">
            <v>156-2024</v>
          </cell>
          <cell r="D122">
            <v>7500000</v>
          </cell>
        </row>
        <row r="123">
          <cell r="C123" t="str">
            <v>175-2024</v>
          </cell>
          <cell r="D123">
            <v>2000000</v>
          </cell>
        </row>
        <row r="124">
          <cell r="C124" t="str">
            <v>174-2024</v>
          </cell>
          <cell r="D124">
            <v>2000000</v>
          </cell>
        </row>
        <row r="125">
          <cell r="C125" t="str">
            <v>234-2024</v>
          </cell>
          <cell r="D125">
            <v>2000000</v>
          </cell>
        </row>
        <row r="126">
          <cell r="C126" t="str">
            <v>161-2024</v>
          </cell>
          <cell r="D126">
            <v>4825600</v>
          </cell>
        </row>
        <row r="127">
          <cell r="C127" t="str">
            <v>178-2024</v>
          </cell>
          <cell r="D127">
            <v>2000000</v>
          </cell>
        </row>
        <row r="128">
          <cell r="C128" t="str">
            <v>166-2024</v>
          </cell>
          <cell r="D128">
            <v>4750000</v>
          </cell>
        </row>
        <row r="129">
          <cell r="C129" t="str">
            <v>171-2024</v>
          </cell>
          <cell r="D129">
            <v>2000000</v>
          </cell>
        </row>
        <row r="130">
          <cell r="C130" t="str">
            <v>148-2024</v>
          </cell>
          <cell r="D130">
            <v>4825600</v>
          </cell>
        </row>
        <row r="131">
          <cell r="C131" t="str">
            <v>145-2024</v>
          </cell>
          <cell r="D131">
            <v>2000000</v>
          </cell>
        </row>
        <row r="132">
          <cell r="C132" t="str">
            <v>170-2024</v>
          </cell>
          <cell r="D132">
            <v>4825600</v>
          </cell>
        </row>
        <row r="133">
          <cell r="C133" t="str">
            <v>243-2024</v>
          </cell>
          <cell r="D133">
            <v>4825600</v>
          </cell>
        </row>
        <row r="134">
          <cell r="C134" t="str">
            <v>253-2024</v>
          </cell>
          <cell r="D134">
            <v>2000000</v>
          </cell>
        </row>
        <row r="135">
          <cell r="C135" t="str">
            <v>162-2024</v>
          </cell>
          <cell r="D135">
            <v>2000000</v>
          </cell>
        </row>
        <row r="136">
          <cell r="C136" t="str">
            <v>159-2024</v>
          </cell>
          <cell r="D136">
            <v>2000000</v>
          </cell>
        </row>
        <row r="137">
          <cell r="C137" t="str">
            <v>230-2024</v>
          </cell>
          <cell r="D137">
            <v>4825600</v>
          </cell>
        </row>
        <row r="138">
          <cell r="C138" t="str">
            <v>196-2024</v>
          </cell>
          <cell r="D138">
            <v>6000000</v>
          </cell>
        </row>
        <row r="139">
          <cell r="C139" t="str">
            <v>188-2024</v>
          </cell>
          <cell r="D139">
            <v>2000000</v>
          </cell>
        </row>
        <row r="140">
          <cell r="C140" t="str">
            <v>188-2024</v>
          </cell>
          <cell r="D140">
            <v>2000000</v>
          </cell>
        </row>
        <row r="141">
          <cell r="C141" t="str">
            <v>187-2024</v>
          </cell>
          <cell r="D141">
            <v>4750000</v>
          </cell>
        </row>
        <row r="142">
          <cell r="C142" t="str">
            <v>193-2024</v>
          </cell>
          <cell r="D142">
            <v>4825600</v>
          </cell>
        </row>
        <row r="143">
          <cell r="C143" t="str">
            <v>268-2024</v>
          </cell>
          <cell r="D143">
            <v>2000000</v>
          </cell>
        </row>
        <row r="144">
          <cell r="C144" t="str">
            <v>277-2024</v>
          </cell>
          <cell r="D144">
            <v>2000000</v>
          </cell>
        </row>
        <row r="145">
          <cell r="C145" t="str">
            <v>256-2024</v>
          </cell>
          <cell r="D145">
            <v>2000000</v>
          </cell>
        </row>
        <row r="146">
          <cell r="C146" t="str">
            <v>276-2024</v>
          </cell>
          <cell r="D146">
            <v>6000000</v>
          </cell>
        </row>
        <row r="147">
          <cell r="C147" t="str">
            <v>285-2024</v>
          </cell>
          <cell r="D147">
            <v>2000000</v>
          </cell>
        </row>
        <row r="148">
          <cell r="C148" t="str">
            <v>151-2024</v>
          </cell>
          <cell r="D148">
            <v>2000000</v>
          </cell>
        </row>
        <row r="149">
          <cell r="C149" t="str">
            <v>176-2024</v>
          </cell>
          <cell r="D149">
            <v>7500000</v>
          </cell>
        </row>
        <row r="150">
          <cell r="C150" t="str">
            <v>200-2024</v>
          </cell>
          <cell r="D150">
            <v>4825600</v>
          </cell>
        </row>
        <row r="151">
          <cell r="C151" t="str">
            <v>205-2024</v>
          </cell>
          <cell r="D151">
            <v>4825600</v>
          </cell>
        </row>
        <row r="152">
          <cell r="C152" t="str">
            <v>184-2024</v>
          </cell>
          <cell r="D152">
            <v>4750000</v>
          </cell>
        </row>
        <row r="153">
          <cell r="C153" t="str">
            <v>183-2024</v>
          </cell>
          <cell r="D153">
            <v>6000000</v>
          </cell>
        </row>
        <row r="154">
          <cell r="C154" t="str">
            <v>146-2024</v>
          </cell>
          <cell r="D154">
            <v>2000000</v>
          </cell>
        </row>
        <row r="155">
          <cell r="C155" t="str">
            <v>150-2024</v>
          </cell>
          <cell r="D155">
            <v>2000000</v>
          </cell>
        </row>
        <row r="156">
          <cell r="C156" t="str">
            <v>152-2024</v>
          </cell>
          <cell r="D156">
            <v>4750000</v>
          </cell>
        </row>
        <row r="157">
          <cell r="C157" t="str">
            <v>168-2024</v>
          </cell>
          <cell r="D157">
            <v>2000000</v>
          </cell>
        </row>
        <row r="158">
          <cell r="C158" t="str">
            <v>260-2024</v>
          </cell>
          <cell r="D158">
            <v>2000000</v>
          </cell>
        </row>
        <row r="159">
          <cell r="C159" t="str">
            <v>237-2024</v>
          </cell>
          <cell r="D159">
            <v>4825600</v>
          </cell>
        </row>
        <row r="160">
          <cell r="C160" t="str">
            <v>192-2024</v>
          </cell>
          <cell r="D160">
            <v>2000000</v>
          </cell>
        </row>
        <row r="161">
          <cell r="C161" t="str">
            <v>163-2024</v>
          </cell>
          <cell r="D161">
            <v>2000000</v>
          </cell>
        </row>
        <row r="162">
          <cell r="C162" t="str">
            <v>275-2024</v>
          </cell>
          <cell r="D162">
            <v>2000000</v>
          </cell>
        </row>
        <row r="163">
          <cell r="C163" t="str">
            <v>321-2024</v>
          </cell>
          <cell r="D163">
            <v>6000000</v>
          </cell>
        </row>
        <row r="164">
          <cell r="C164" t="str">
            <v>280-2024</v>
          </cell>
          <cell r="D164">
            <v>2000000</v>
          </cell>
        </row>
        <row r="165">
          <cell r="C165" t="str">
            <v>281-2024</v>
          </cell>
          <cell r="D165">
            <v>4750000</v>
          </cell>
        </row>
        <row r="166">
          <cell r="C166" t="str">
            <v>197-2024</v>
          </cell>
          <cell r="D166">
            <v>4825600</v>
          </cell>
        </row>
        <row r="167">
          <cell r="C167" t="str">
            <v>169-2024</v>
          </cell>
          <cell r="D167">
            <v>7500000</v>
          </cell>
        </row>
        <row r="168">
          <cell r="C168" t="str">
            <v>160-2024</v>
          </cell>
          <cell r="D168">
            <v>2000000</v>
          </cell>
        </row>
        <row r="169">
          <cell r="C169" t="str">
            <v>220-2024</v>
          </cell>
          <cell r="D169">
            <v>4825600</v>
          </cell>
        </row>
        <row r="170">
          <cell r="C170" t="str">
            <v>322-2024</v>
          </cell>
          <cell r="D170">
            <v>2000000</v>
          </cell>
        </row>
        <row r="171">
          <cell r="C171" t="str">
            <v>319-2024</v>
          </cell>
          <cell r="D171">
            <v>7500000</v>
          </cell>
        </row>
        <row r="172">
          <cell r="C172" t="str">
            <v>267-2024</v>
          </cell>
          <cell r="D172">
            <v>2000000</v>
          </cell>
        </row>
        <row r="173">
          <cell r="C173" t="str">
            <v>344-2024</v>
          </cell>
          <cell r="D173">
            <v>2000000</v>
          </cell>
        </row>
        <row r="174">
          <cell r="C174" t="str">
            <v>186-2024</v>
          </cell>
          <cell r="D174">
            <v>4825600</v>
          </cell>
        </row>
        <row r="175">
          <cell r="C175" t="str">
            <v>218-2024</v>
          </cell>
          <cell r="D175">
            <v>7500000</v>
          </cell>
        </row>
        <row r="176">
          <cell r="C176" t="str">
            <v>199-2024</v>
          </cell>
          <cell r="D176">
            <v>7500000</v>
          </cell>
        </row>
        <row r="177">
          <cell r="C177" t="str">
            <v>179-2024</v>
          </cell>
          <cell r="D177">
            <v>4750000</v>
          </cell>
        </row>
        <row r="178">
          <cell r="C178" t="str">
            <v>212-2024</v>
          </cell>
          <cell r="D178">
            <v>2000000</v>
          </cell>
        </row>
        <row r="179">
          <cell r="C179" t="str">
            <v>202-2024</v>
          </cell>
          <cell r="D179">
            <v>6000000</v>
          </cell>
        </row>
        <row r="180">
          <cell r="C180" t="str">
            <v>165-2024</v>
          </cell>
          <cell r="D180">
            <v>2000000</v>
          </cell>
        </row>
        <row r="181">
          <cell r="C181" t="str">
            <v>203-2024</v>
          </cell>
          <cell r="D181">
            <v>2000000</v>
          </cell>
        </row>
        <row r="182">
          <cell r="C182" t="str">
            <v>173-2024</v>
          </cell>
          <cell r="D182">
            <v>2000000</v>
          </cell>
        </row>
        <row r="183">
          <cell r="C183" t="str">
            <v>147-2024</v>
          </cell>
          <cell r="D183">
            <v>7500000</v>
          </cell>
        </row>
        <row r="184">
          <cell r="C184" t="str">
            <v>189-2024</v>
          </cell>
          <cell r="D184">
            <v>2000000</v>
          </cell>
        </row>
        <row r="185">
          <cell r="C185" t="str">
            <v>182-2024</v>
          </cell>
          <cell r="D185">
            <v>2000000</v>
          </cell>
        </row>
        <row r="186">
          <cell r="C186" t="str">
            <v>223-2024</v>
          </cell>
          <cell r="D186">
            <v>4750000</v>
          </cell>
        </row>
        <row r="187">
          <cell r="C187" t="str">
            <v>283-2024</v>
          </cell>
          <cell r="D187">
            <v>2000000</v>
          </cell>
        </row>
        <row r="188">
          <cell r="C188" t="str">
            <v>213-2024</v>
          </cell>
          <cell r="D188">
            <v>6000000</v>
          </cell>
        </row>
        <row r="189">
          <cell r="C189" t="str">
            <v>286-2024</v>
          </cell>
          <cell r="D189">
            <v>4750000</v>
          </cell>
        </row>
        <row r="190">
          <cell r="C190" t="str">
            <v>284-2024</v>
          </cell>
          <cell r="D190">
            <v>7500000</v>
          </cell>
        </row>
        <row r="191">
          <cell r="C191" t="str">
            <v>265-2024</v>
          </cell>
          <cell r="D191">
            <v>82250000</v>
          </cell>
        </row>
        <row r="192">
          <cell r="C192" t="str">
            <v>360-2024</v>
          </cell>
          <cell r="D192">
            <v>4750000</v>
          </cell>
        </row>
        <row r="193">
          <cell r="C193" t="str">
            <v>262-2024</v>
          </cell>
          <cell r="D193">
            <v>2000000</v>
          </cell>
        </row>
        <row r="194">
          <cell r="C194" t="str">
            <v>232-2024</v>
          </cell>
          <cell r="D194">
            <v>7500000</v>
          </cell>
        </row>
        <row r="195">
          <cell r="C195" t="str">
            <v>243-2024</v>
          </cell>
          <cell r="D195">
            <v>4825600</v>
          </cell>
        </row>
        <row r="196">
          <cell r="C196" t="str">
            <v>228-2024</v>
          </cell>
          <cell r="D196">
            <v>6000000</v>
          </cell>
        </row>
        <row r="197">
          <cell r="C197" t="str">
            <v>214-2024</v>
          </cell>
          <cell r="D197">
            <v>7500000</v>
          </cell>
        </row>
        <row r="198">
          <cell r="C198" t="str">
            <v>206-2024</v>
          </cell>
          <cell r="D198">
            <v>7500000</v>
          </cell>
        </row>
        <row r="199">
          <cell r="C199" t="str">
            <v>239-2024</v>
          </cell>
          <cell r="D199">
            <v>2000000</v>
          </cell>
        </row>
        <row r="200">
          <cell r="C200" t="str">
            <v>246-2024</v>
          </cell>
          <cell r="D200">
            <v>2000000</v>
          </cell>
        </row>
        <row r="201">
          <cell r="C201" t="str">
            <v>180-2024</v>
          </cell>
          <cell r="D201">
            <v>4750000</v>
          </cell>
        </row>
        <row r="202">
          <cell r="C202" t="str">
            <v>221-2024</v>
          </cell>
          <cell r="D202">
            <v>2000000</v>
          </cell>
        </row>
        <row r="203">
          <cell r="C203" t="str">
            <v>177-2024</v>
          </cell>
          <cell r="D203">
            <v>2000000</v>
          </cell>
        </row>
        <row r="204">
          <cell r="C204" t="str">
            <v>242-2024</v>
          </cell>
          <cell r="D204">
            <v>2000000</v>
          </cell>
        </row>
        <row r="205">
          <cell r="C205" t="str">
            <v>157-2024</v>
          </cell>
          <cell r="D205">
            <v>7500000</v>
          </cell>
        </row>
        <row r="206">
          <cell r="C206" t="str">
            <v>216-2024</v>
          </cell>
          <cell r="D206">
            <v>4750000</v>
          </cell>
        </row>
        <row r="207">
          <cell r="C207" t="str">
            <v>149-2024</v>
          </cell>
          <cell r="D207">
            <v>2000000</v>
          </cell>
        </row>
        <row r="208">
          <cell r="C208" t="str">
            <v>282-2024</v>
          </cell>
          <cell r="D208">
            <v>2000000</v>
          </cell>
        </row>
        <row r="209">
          <cell r="C209" t="str">
            <v>247-2024</v>
          </cell>
          <cell r="D209">
            <v>2000000</v>
          </cell>
        </row>
        <row r="210">
          <cell r="C210" t="str">
            <v>233-2024</v>
          </cell>
          <cell r="D210">
            <v>4750000</v>
          </cell>
        </row>
        <row r="211">
          <cell r="C211" t="str">
            <v>365-2024</v>
          </cell>
          <cell r="D211">
            <v>2000000</v>
          </cell>
        </row>
        <row r="212">
          <cell r="C212" t="str">
            <v>362-2024</v>
          </cell>
          <cell r="D212">
            <v>2000000</v>
          </cell>
        </row>
        <row r="213">
          <cell r="C213" t="str">
            <v>167-2024</v>
          </cell>
          <cell r="D213">
            <v>6000000</v>
          </cell>
        </row>
        <row r="214">
          <cell r="C214" t="str">
            <v>238-2024</v>
          </cell>
          <cell r="D214">
            <v>2000000</v>
          </cell>
        </row>
        <row r="215">
          <cell r="C215" t="str">
            <v>209-2024</v>
          </cell>
          <cell r="D215">
            <v>4825600</v>
          </cell>
        </row>
        <row r="216">
          <cell r="C216" t="str">
            <v>219-2024</v>
          </cell>
          <cell r="D216">
            <v>2000000</v>
          </cell>
        </row>
        <row r="217">
          <cell r="C217" t="str">
            <v>222-2024</v>
          </cell>
          <cell r="D217">
            <v>2000000</v>
          </cell>
        </row>
        <row r="218">
          <cell r="C218" t="str">
            <v>234-2024</v>
          </cell>
          <cell r="D218">
            <v>2000000</v>
          </cell>
        </row>
        <row r="219">
          <cell r="C219" t="str">
            <v>259-2024</v>
          </cell>
          <cell r="D219">
            <v>2000000</v>
          </cell>
        </row>
        <row r="220">
          <cell r="C220" t="str">
            <v>240-2024</v>
          </cell>
          <cell r="D220">
            <v>4850600</v>
          </cell>
        </row>
        <row r="221">
          <cell r="C221" t="str">
            <v>236-2024</v>
          </cell>
          <cell r="D221">
            <v>4750000</v>
          </cell>
        </row>
        <row r="222">
          <cell r="C222" t="str">
            <v>237-2024</v>
          </cell>
          <cell r="D222">
            <v>4825600</v>
          </cell>
        </row>
        <row r="223">
          <cell r="C223" t="str">
            <v>244-2024</v>
          </cell>
          <cell r="D223">
            <v>2000000</v>
          </cell>
        </row>
        <row r="224">
          <cell r="C224" t="str">
            <v>364-2024</v>
          </cell>
          <cell r="D224">
            <v>2000000</v>
          </cell>
        </row>
        <row r="225">
          <cell r="C225" t="str">
            <v>367-2024</v>
          </cell>
          <cell r="D225">
            <v>2000000</v>
          </cell>
        </row>
        <row r="226">
          <cell r="C226" t="str">
            <v>287-2024</v>
          </cell>
          <cell r="D226">
            <v>4750000</v>
          </cell>
        </row>
        <row r="227">
          <cell r="C227" t="str">
            <v>260-2024</v>
          </cell>
          <cell r="D227">
            <v>2000000</v>
          </cell>
        </row>
        <row r="228">
          <cell r="C228" t="str">
            <v>211-2024</v>
          </cell>
          <cell r="D228">
            <v>64916175</v>
          </cell>
        </row>
        <row r="229">
          <cell r="C229" t="str">
            <v>215-2024</v>
          </cell>
          <cell r="D229">
            <v>4750000</v>
          </cell>
        </row>
        <row r="230">
          <cell r="C230" t="str">
            <v>251-2024</v>
          </cell>
          <cell r="D230">
            <v>2000000</v>
          </cell>
        </row>
        <row r="231">
          <cell r="C231" t="str">
            <v>254-2024</v>
          </cell>
          <cell r="D231">
            <v>2000000</v>
          </cell>
        </row>
        <row r="232">
          <cell r="C232" t="str">
            <v>368-2024</v>
          </cell>
          <cell r="D232">
            <v>2000000</v>
          </cell>
        </row>
        <row r="233">
          <cell r="C233" t="str">
            <v>148-2024</v>
          </cell>
          <cell r="D233">
            <v>4825600</v>
          </cell>
        </row>
        <row r="234">
          <cell r="C234" t="str">
            <v>229-2024</v>
          </cell>
          <cell r="D234">
            <v>2000000</v>
          </cell>
        </row>
        <row r="235">
          <cell r="C235" t="str">
            <v>377-2024</v>
          </cell>
          <cell r="D235">
            <v>4750000</v>
          </cell>
        </row>
        <row r="236">
          <cell r="C236" t="str">
            <v>204-2024</v>
          </cell>
          <cell r="D236">
            <v>4750000</v>
          </cell>
        </row>
        <row r="237">
          <cell r="C237" t="str">
            <v>156-2024</v>
          </cell>
          <cell r="D237">
            <v>7500000</v>
          </cell>
        </row>
        <row r="238">
          <cell r="C238" t="str">
            <v>256-2024</v>
          </cell>
          <cell r="D238">
            <v>2000000</v>
          </cell>
        </row>
        <row r="239">
          <cell r="C239" t="str">
            <v>308-2024</v>
          </cell>
          <cell r="D239">
            <v>2000000</v>
          </cell>
        </row>
        <row r="240">
          <cell r="C240" t="str">
            <v>261-2024</v>
          </cell>
          <cell r="D240">
            <v>4825600</v>
          </cell>
        </row>
        <row r="241">
          <cell r="C241" t="str">
            <v>255-2024</v>
          </cell>
          <cell r="D241">
            <v>2000000</v>
          </cell>
        </row>
        <row r="242">
          <cell r="C242" t="str">
            <v>385-2024</v>
          </cell>
          <cell r="D242">
            <v>7500000</v>
          </cell>
        </row>
        <row r="243">
          <cell r="C243" t="str">
            <v>366-2024</v>
          </cell>
          <cell r="D243">
            <v>2000000</v>
          </cell>
        </row>
        <row r="244">
          <cell r="C244" t="str">
            <v>153-2024</v>
          </cell>
          <cell r="D244">
            <v>7500000</v>
          </cell>
        </row>
        <row r="245">
          <cell r="C245" t="str">
            <v>249-2024</v>
          </cell>
          <cell r="D245">
            <v>2000000</v>
          </cell>
        </row>
        <row r="246">
          <cell r="C246" t="str">
            <v>146-2024</v>
          </cell>
          <cell r="D246">
            <v>2000000</v>
          </cell>
        </row>
        <row r="247">
          <cell r="C247" t="str">
            <v>150-2024</v>
          </cell>
          <cell r="D247">
            <v>2000000</v>
          </cell>
        </row>
        <row r="248">
          <cell r="C248" t="str">
            <v>217-2024</v>
          </cell>
          <cell r="D248">
            <v>4825600</v>
          </cell>
        </row>
        <row r="249">
          <cell r="C249" t="str">
            <v>374-2024</v>
          </cell>
          <cell r="D249">
            <v>2000000</v>
          </cell>
        </row>
        <row r="250">
          <cell r="C250" t="str">
            <v>170-2024</v>
          </cell>
          <cell r="D250">
            <v>4825600</v>
          </cell>
        </row>
        <row r="251">
          <cell r="C251" t="str">
            <v>152-2024</v>
          </cell>
          <cell r="D251">
            <v>4750000</v>
          </cell>
        </row>
        <row r="252">
          <cell r="C252" t="str">
            <v>145-2024</v>
          </cell>
          <cell r="D252">
            <v>2000000</v>
          </cell>
        </row>
        <row r="253">
          <cell r="C253" t="str">
            <v>179-2024</v>
          </cell>
          <cell r="D253">
            <v>4750000</v>
          </cell>
        </row>
        <row r="254">
          <cell r="C254" t="str">
            <v>272-2024</v>
          </cell>
          <cell r="D254">
            <v>2000000</v>
          </cell>
        </row>
        <row r="255">
          <cell r="C255" t="str">
            <v>181-2024</v>
          </cell>
          <cell r="D255">
            <v>6000000</v>
          </cell>
        </row>
        <row r="256">
          <cell r="C256" t="str">
            <v>271-2024</v>
          </cell>
          <cell r="D256">
            <v>2000000</v>
          </cell>
        </row>
        <row r="257">
          <cell r="C257" t="str">
            <v>270-2024</v>
          </cell>
          <cell r="D257">
            <v>7500000</v>
          </cell>
        </row>
        <row r="258">
          <cell r="C258" t="str">
            <v>194-2024</v>
          </cell>
          <cell r="D258">
            <v>2000000</v>
          </cell>
        </row>
        <row r="259">
          <cell r="C259" t="str">
            <v>279-2024</v>
          </cell>
          <cell r="D259">
            <v>2000000</v>
          </cell>
        </row>
        <row r="260">
          <cell r="C260" t="str">
            <v>159-2024</v>
          </cell>
          <cell r="D260">
            <v>2000000</v>
          </cell>
        </row>
        <row r="261">
          <cell r="C261" t="str">
            <v>386-2024</v>
          </cell>
          <cell r="D261">
            <v>6000000</v>
          </cell>
        </row>
        <row r="262">
          <cell r="C262" t="str">
            <v>250-2024</v>
          </cell>
          <cell r="D262">
            <v>2000000</v>
          </cell>
        </row>
        <row r="263">
          <cell r="C263" t="str">
            <v>250-2024</v>
          </cell>
          <cell r="D263">
            <v>2000000</v>
          </cell>
        </row>
        <row r="264">
          <cell r="C264" t="str">
            <v>169-2024</v>
          </cell>
          <cell r="D264">
            <v>7500000</v>
          </cell>
        </row>
        <row r="265">
          <cell r="C265" t="str">
            <v>185-2024</v>
          </cell>
          <cell r="D265">
            <v>2000000</v>
          </cell>
        </row>
        <row r="266">
          <cell r="C266" t="str">
            <v>230-2024</v>
          </cell>
          <cell r="D266">
            <v>4825600</v>
          </cell>
        </row>
        <row r="267">
          <cell r="C267" t="str">
            <v>403-2024</v>
          </cell>
          <cell r="D267">
            <v>4825600</v>
          </cell>
        </row>
        <row r="268">
          <cell r="C268" t="str">
            <v>258-2024</v>
          </cell>
          <cell r="D268">
            <v>2000000</v>
          </cell>
        </row>
        <row r="269">
          <cell r="C269" t="str">
            <v>175-2024</v>
          </cell>
          <cell r="D269">
            <v>2000000</v>
          </cell>
        </row>
        <row r="270">
          <cell r="C270" t="str">
            <v>376-2024</v>
          </cell>
          <cell r="D270">
            <v>4825600</v>
          </cell>
        </row>
        <row r="271">
          <cell r="C271" t="str">
            <v>201-2024</v>
          </cell>
          <cell r="D271">
            <v>2000000</v>
          </cell>
        </row>
        <row r="272">
          <cell r="C272" t="str">
            <v>174-2024</v>
          </cell>
          <cell r="D272">
            <v>2000000</v>
          </cell>
        </row>
        <row r="273">
          <cell r="C273" t="str">
            <v>171-2024</v>
          </cell>
          <cell r="D273">
            <v>2000000</v>
          </cell>
        </row>
        <row r="274">
          <cell r="C274" t="str">
            <v>189-2024</v>
          </cell>
          <cell r="D274">
            <v>2000000</v>
          </cell>
        </row>
        <row r="275">
          <cell r="C275" t="str">
            <v>277-2024</v>
          </cell>
          <cell r="D275">
            <v>2000000</v>
          </cell>
        </row>
        <row r="276">
          <cell r="C276" t="str">
            <v>382-2024</v>
          </cell>
          <cell r="D276">
            <v>6000000</v>
          </cell>
        </row>
        <row r="277">
          <cell r="C277" t="str">
            <v>257-2024</v>
          </cell>
          <cell r="D277">
            <v>4750000</v>
          </cell>
        </row>
        <row r="278">
          <cell r="C278" t="str">
            <v>181-2024</v>
          </cell>
          <cell r="D278">
            <v>6000000</v>
          </cell>
        </row>
        <row r="279">
          <cell r="C279" t="str">
            <v>404-2024</v>
          </cell>
          <cell r="D279">
            <v>6000000</v>
          </cell>
        </row>
        <row r="280">
          <cell r="C280" t="str">
            <v>266-2024</v>
          </cell>
          <cell r="D280">
            <v>4750000</v>
          </cell>
        </row>
        <row r="281">
          <cell r="C281" t="str">
            <v>401-2024</v>
          </cell>
          <cell r="D281">
            <v>6000000</v>
          </cell>
        </row>
        <row r="282">
          <cell r="C282" t="str">
            <v>373-2024</v>
          </cell>
          <cell r="D282">
            <v>2000000</v>
          </cell>
        </row>
        <row r="283">
          <cell r="C283" t="str">
            <v>393-2024</v>
          </cell>
          <cell r="D283">
            <v>2000000</v>
          </cell>
        </row>
        <row r="284">
          <cell r="C284" t="str">
            <v>168-2024</v>
          </cell>
          <cell r="D284">
            <v>2000000</v>
          </cell>
        </row>
        <row r="285">
          <cell r="C285" t="str">
            <v>399-2024</v>
          </cell>
          <cell r="D285">
            <v>2000000</v>
          </cell>
        </row>
        <row r="286">
          <cell r="C286" t="str">
            <v>381-2024</v>
          </cell>
          <cell r="D286">
            <v>7500000</v>
          </cell>
        </row>
        <row r="287">
          <cell r="C287" t="str">
            <v>390-2024</v>
          </cell>
          <cell r="D287">
            <v>7500000</v>
          </cell>
        </row>
        <row r="288">
          <cell r="C288" t="str">
            <v>178-2024</v>
          </cell>
          <cell r="D288">
            <v>2000000</v>
          </cell>
        </row>
        <row r="289">
          <cell r="C289" t="str">
            <v>187-2024</v>
          </cell>
          <cell r="D289">
            <v>4750000</v>
          </cell>
        </row>
        <row r="290">
          <cell r="C290" t="str">
            <v>276-2024</v>
          </cell>
          <cell r="D290">
            <v>6000000</v>
          </cell>
        </row>
        <row r="291">
          <cell r="C291" t="str">
            <v>344-2024</v>
          </cell>
          <cell r="D291">
            <v>2000000</v>
          </cell>
        </row>
        <row r="292">
          <cell r="C292" t="str">
            <v>193-2024</v>
          </cell>
          <cell r="D292">
            <v>4825600</v>
          </cell>
        </row>
        <row r="293">
          <cell r="C293" t="str">
            <v>408-2024</v>
          </cell>
          <cell r="D293">
            <v>6000000</v>
          </cell>
        </row>
        <row r="294">
          <cell r="C294" t="str">
            <v>161-2024</v>
          </cell>
          <cell r="D294">
            <v>4825600</v>
          </cell>
        </row>
        <row r="295">
          <cell r="C295" t="str">
            <v>409-2024</v>
          </cell>
          <cell r="D295">
            <v>2000000</v>
          </cell>
        </row>
        <row r="296">
          <cell r="C296" t="str">
            <v>284-2024</v>
          </cell>
          <cell r="D296">
            <v>7500000</v>
          </cell>
        </row>
        <row r="297">
          <cell r="C297" t="str">
            <v>319-2024</v>
          </cell>
          <cell r="D297">
            <v>7500000</v>
          </cell>
        </row>
        <row r="298">
          <cell r="C298" t="str">
            <v>413-2024</v>
          </cell>
          <cell r="D298">
            <v>2000000</v>
          </cell>
        </row>
        <row r="299">
          <cell r="C299" t="str">
            <v>275-2024</v>
          </cell>
          <cell r="D299">
            <v>2000000</v>
          </cell>
        </row>
        <row r="300">
          <cell r="C300" t="str">
            <v>218-2024</v>
          </cell>
          <cell r="D300">
            <v>7500000</v>
          </cell>
        </row>
        <row r="301">
          <cell r="C301" t="str">
            <v>392-2024</v>
          </cell>
          <cell r="D301">
            <v>2000000</v>
          </cell>
        </row>
        <row r="302">
          <cell r="C302" t="str">
            <v>267-2024</v>
          </cell>
          <cell r="D302">
            <v>2000000</v>
          </cell>
        </row>
        <row r="303">
          <cell r="C303" t="str">
            <v>212-2024</v>
          </cell>
          <cell r="D303">
            <v>2000000</v>
          </cell>
        </row>
        <row r="304">
          <cell r="C304" t="str">
            <v>322-2024</v>
          </cell>
          <cell r="D304">
            <v>2000000</v>
          </cell>
        </row>
        <row r="305">
          <cell r="C305" t="str">
            <v>361-2024</v>
          </cell>
          <cell r="D305">
            <v>2000000</v>
          </cell>
        </row>
        <row r="306">
          <cell r="C306" t="str">
            <v>391-2024</v>
          </cell>
          <cell r="D306">
            <v>2000000</v>
          </cell>
        </row>
        <row r="307">
          <cell r="C307" t="str">
            <v>176-2024</v>
          </cell>
          <cell r="D307">
            <v>7500000</v>
          </cell>
        </row>
        <row r="308">
          <cell r="C308" t="str">
            <v>162-2024</v>
          </cell>
          <cell r="D308">
            <v>2000000</v>
          </cell>
        </row>
        <row r="309">
          <cell r="C309" t="str">
            <v>394-2024</v>
          </cell>
          <cell r="D309">
            <v>2000000</v>
          </cell>
        </row>
        <row r="310">
          <cell r="C310" t="str">
            <v>378-2024</v>
          </cell>
          <cell r="D310">
            <v>6000000</v>
          </cell>
        </row>
        <row r="311">
          <cell r="C311" t="str">
            <v>398-2024</v>
          </cell>
          <cell r="D311">
            <v>4750000</v>
          </cell>
        </row>
        <row r="312">
          <cell r="C312" t="str">
            <v>164-2024</v>
          </cell>
          <cell r="D312">
            <v>4825600</v>
          </cell>
        </row>
        <row r="313">
          <cell r="C313" t="str">
            <v>281-2024</v>
          </cell>
          <cell r="D313">
            <v>4750000</v>
          </cell>
        </row>
        <row r="314">
          <cell r="C314" t="str">
            <v>279-2024</v>
          </cell>
          <cell r="D314">
            <v>2000000</v>
          </cell>
        </row>
        <row r="315">
          <cell r="C315" t="str">
            <v>197-2024</v>
          </cell>
          <cell r="D315">
            <v>4825600</v>
          </cell>
        </row>
        <row r="316">
          <cell r="C316" t="str">
            <v>160-2024</v>
          </cell>
          <cell r="D316">
            <v>2000000</v>
          </cell>
        </row>
        <row r="317">
          <cell r="C317" t="str">
            <v>271-2024</v>
          </cell>
          <cell r="D317">
            <v>2000000</v>
          </cell>
        </row>
        <row r="318">
          <cell r="C318" t="str">
            <v>215-2024</v>
          </cell>
          <cell r="D318">
            <v>4750000</v>
          </cell>
        </row>
        <row r="319">
          <cell r="C319" t="str">
            <v>285-2024</v>
          </cell>
          <cell r="D319">
            <v>2000000</v>
          </cell>
        </row>
        <row r="320">
          <cell r="C320" t="str">
            <v>268-2024</v>
          </cell>
          <cell r="D320">
            <v>2000000</v>
          </cell>
        </row>
        <row r="321">
          <cell r="C321" t="str">
            <v>165-2024</v>
          </cell>
          <cell r="D321">
            <v>2000000</v>
          </cell>
        </row>
        <row r="322">
          <cell r="C322" t="str">
            <v>321-2024</v>
          </cell>
          <cell r="D322">
            <v>6000000</v>
          </cell>
        </row>
        <row r="323">
          <cell r="C323" t="str">
            <v>219-2024</v>
          </cell>
          <cell r="D323">
            <v>2000000</v>
          </cell>
        </row>
        <row r="324">
          <cell r="C324" t="str">
            <v>228-2024</v>
          </cell>
          <cell r="D324">
            <v>6000000</v>
          </cell>
        </row>
        <row r="325">
          <cell r="C325" t="str">
            <v>177-2024</v>
          </cell>
          <cell r="D325">
            <v>2000000</v>
          </cell>
        </row>
        <row r="326">
          <cell r="C326" t="str">
            <v>163-2024</v>
          </cell>
          <cell r="D326">
            <v>2000000</v>
          </cell>
        </row>
        <row r="327">
          <cell r="C327" t="str">
            <v>253-2024</v>
          </cell>
          <cell r="D327">
            <v>2000000</v>
          </cell>
        </row>
        <row r="328">
          <cell r="C328" t="str">
            <v>183-2024</v>
          </cell>
          <cell r="D328">
            <v>6000000</v>
          </cell>
        </row>
        <row r="329">
          <cell r="C329" t="str">
            <v>180-2024</v>
          </cell>
          <cell r="D329">
            <v>4750000</v>
          </cell>
        </row>
        <row r="330">
          <cell r="C330" t="str">
            <v>243-2024</v>
          </cell>
          <cell r="D330">
            <v>4825600</v>
          </cell>
        </row>
        <row r="331">
          <cell r="C331" t="str">
            <v>402-2024</v>
          </cell>
          <cell r="D331">
            <v>4825600</v>
          </cell>
        </row>
        <row r="332">
          <cell r="C332" t="str">
            <v>186-2024</v>
          </cell>
          <cell r="D332">
            <v>4825600</v>
          </cell>
        </row>
        <row r="333">
          <cell r="C333" t="str">
            <v>154-2024</v>
          </cell>
          <cell r="D333">
            <v>4750000</v>
          </cell>
        </row>
        <row r="334">
          <cell r="C334" t="str">
            <v>415-2024</v>
          </cell>
          <cell r="D334">
            <v>7500000</v>
          </cell>
        </row>
        <row r="335">
          <cell r="C335" t="str">
            <v>383-2024</v>
          </cell>
          <cell r="D335">
            <v>2000000</v>
          </cell>
        </row>
        <row r="336">
          <cell r="C336" t="str">
            <v>396-2024</v>
          </cell>
          <cell r="D336">
            <v>4825600</v>
          </cell>
        </row>
        <row r="337">
          <cell r="C337" t="str">
            <v>265-2024</v>
          </cell>
          <cell r="D337">
            <v>120050000</v>
          </cell>
        </row>
        <row r="338">
          <cell r="C338" t="str">
            <v>196-2024</v>
          </cell>
          <cell r="D338">
            <v>6000000</v>
          </cell>
        </row>
        <row r="339">
          <cell r="C339" t="str">
            <v>213-2024</v>
          </cell>
          <cell r="D339">
            <v>6000000</v>
          </cell>
        </row>
        <row r="340">
          <cell r="C340" t="str">
            <v>222-2024</v>
          </cell>
          <cell r="D340">
            <v>2000000</v>
          </cell>
        </row>
        <row r="341">
          <cell r="C341" t="str">
            <v>203-2024</v>
          </cell>
          <cell r="D341">
            <v>2000000</v>
          </cell>
        </row>
        <row r="342">
          <cell r="C342" t="str">
            <v>184-2024</v>
          </cell>
          <cell r="D342">
            <v>4750000</v>
          </cell>
        </row>
        <row r="343">
          <cell r="C343" t="str">
            <v>400-2024</v>
          </cell>
          <cell r="D343">
            <v>2000000</v>
          </cell>
        </row>
        <row r="344">
          <cell r="C344" t="str">
            <v>216-2024</v>
          </cell>
          <cell r="D344">
            <v>4750000</v>
          </cell>
        </row>
        <row r="345">
          <cell r="C345" t="str">
            <v>147-2024</v>
          </cell>
          <cell r="D345">
            <v>7500000</v>
          </cell>
        </row>
        <row r="346">
          <cell r="C346" t="str">
            <v>232-2024</v>
          </cell>
          <cell r="D346">
            <v>7500000</v>
          </cell>
        </row>
        <row r="347">
          <cell r="C347" t="str">
            <v>199-2024</v>
          </cell>
          <cell r="D347">
            <v>7500000</v>
          </cell>
        </row>
        <row r="348">
          <cell r="C348" t="str">
            <v>206-2024</v>
          </cell>
          <cell r="D348">
            <v>7500000</v>
          </cell>
        </row>
        <row r="349">
          <cell r="C349" t="str">
            <v>198-2024</v>
          </cell>
          <cell r="D349">
            <v>7500000</v>
          </cell>
        </row>
        <row r="350">
          <cell r="C350" t="str">
            <v>477-2024</v>
          </cell>
          <cell r="D350">
            <v>2000000</v>
          </cell>
        </row>
        <row r="351">
          <cell r="C351" t="str">
            <v>223-2024</v>
          </cell>
          <cell r="D351">
            <v>4750000</v>
          </cell>
        </row>
        <row r="352">
          <cell r="C352" t="str">
            <v>244-2024</v>
          </cell>
          <cell r="D352">
            <v>2000000</v>
          </cell>
        </row>
        <row r="353">
          <cell r="C353" t="str">
            <v>412-2024</v>
          </cell>
          <cell r="D353">
            <v>2000000</v>
          </cell>
        </row>
        <row r="354">
          <cell r="C354" t="str">
            <v>220-2024</v>
          </cell>
          <cell r="D354">
            <v>4825600</v>
          </cell>
        </row>
        <row r="355">
          <cell r="C355" t="str">
            <v>181-2024</v>
          </cell>
          <cell r="D355">
            <v>6000000</v>
          </cell>
        </row>
        <row r="356">
          <cell r="C356" t="str">
            <v>205-2024</v>
          </cell>
          <cell r="D356">
            <v>4825600</v>
          </cell>
        </row>
        <row r="357">
          <cell r="C357" t="str">
            <v>192-2024</v>
          </cell>
          <cell r="D357">
            <v>2000000</v>
          </cell>
        </row>
        <row r="358">
          <cell r="C358" t="str">
            <v>229-2024</v>
          </cell>
          <cell r="D358">
            <v>2000000</v>
          </cell>
        </row>
        <row r="359">
          <cell r="C359" t="str">
            <v>173-2024</v>
          </cell>
          <cell r="D359">
            <v>2000000</v>
          </cell>
        </row>
        <row r="360">
          <cell r="C360" t="str">
            <v>282-2024</v>
          </cell>
          <cell r="D360">
            <v>2000000</v>
          </cell>
        </row>
        <row r="361">
          <cell r="C361" t="str">
            <v>221-2024</v>
          </cell>
          <cell r="D361">
            <v>2000000</v>
          </cell>
        </row>
        <row r="362">
          <cell r="C362" t="str">
            <v>195-2024</v>
          </cell>
          <cell r="D362">
            <v>6000000</v>
          </cell>
        </row>
        <row r="363">
          <cell r="C363" t="str">
            <v>471-2024</v>
          </cell>
          <cell r="D363">
            <v>2000000</v>
          </cell>
        </row>
        <row r="364">
          <cell r="C364" t="str">
            <v>251-2024</v>
          </cell>
          <cell r="D364">
            <v>2000000</v>
          </cell>
        </row>
        <row r="365">
          <cell r="C365" t="str">
            <v>210-2024</v>
          </cell>
          <cell r="D365">
            <v>7500000</v>
          </cell>
        </row>
        <row r="366">
          <cell r="C366" t="str">
            <v>254-2024</v>
          </cell>
          <cell r="D366">
            <v>2000000</v>
          </cell>
        </row>
        <row r="367">
          <cell r="C367" t="str">
            <v>367-2024</v>
          </cell>
          <cell r="D367">
            <v>2000000</v>
          </cell>
        </row>
        <row r="368">
          <cell r="C368" t="str">
            <v>473-2024</v>
          </cell>
          <cell r="D368">
            <v>2000000</v>
          </cell>
        </row>
        <row r="369">
          <cell r="C369" t="str">
            <v>149-2024</v>
          </cell>
          <cell r="D369">
            <v>2000000</v>
          </cell>
        </row>
        <row r="370">
          <cell r="C370" t="str">
            <v>368-2024</v>
          </cell>
          <cell r="D370">
            <v>2000000</v>
          </cell>
        </row>
        <row r="371">
          <cell r="C371" t="str">
            <v>453-2024</v>
          </cell>
          <cell r="D371">
            <v>2000000</v>
          </cell>
        </row>
        <row r="372">
          <cell r="C372" t="str">
            <v>239-2024</v>
          </cell>
          <cell r="D372">
            <v>2000000</v>
          </cell>
        </row>
        <row r="373">
          <cell r="C373" t="str">
            <v>246-2024</v>
          </cell>
          <cell r="D373">
            <v>2000000</v>
          </cell>
        </row>
        <row r="374">
          <cell r="C374" t="str">
            <v>373-2024</v>
          </cell>
          <cell r="D374">
            <v>2000000</v>
          </cell>
        </row>
        <row r="375">
          <cell r="C375" t="str">
            <v>247-2024</v>
          </cell>
          <cell r="D375">
            <v>2000000</v>
          </cell>
        </row>
        <row r="376">
          <cell r="C376" t="str">
            <v>308-2024</v>
          </cell>
          <cell r="D376">
            <v>2000000</v>
          </cell>
        </row>
        <row r="377">
          <cell r="C377" t="str">
            <v>364-2024</v>
          </cell>
          <cell r="D377">
            <v>2000000</v>
          </cell>
        </row>
        <row r="378">
          <cell r="C378" t="str">
            <v>406-2024</v>
          </cell>
          <cell r="D378">
            <v>6000000</v>
          </cell>
        </row>
        <row r="379">
          <cell r="C379" t="str">
            <v>256-2024</v>
          </cell>
          <cell r="D379">
            <v>2000000</v>
          </cell>
        </row>
        <row r="380">
          <cell r="C380" t="str">
            <v>360-2024</v>
          </cell>
          <cell r="D380">
            <v>4750000</v>
          </cell>
        </row>
        <row r="381">
          <cell r="C381" t="str">
            <v>287-2024</v>
          </cell>
          <cell r="D381">
            <v>4750000</v>
          </cell>
        </row>
        <row r="382">
          <cell r="C382" t="str">
            <v>472-2024</v>
          </cell>
          <cell r="D382">
            <v>2000000</v>
          </cell>
        </row>
        <row r="383">
          <cell r="C383" t="str">
            <v>375-2024</v>
          </cell>
          <cell r="D383">
            <v>4750000</v>
          </cell>
        </row>
        <row r="384">
          <cell r="C384" t="str">
            <v>262-2024</v>
          </cell>
          <cell r="D384">
            <v>2000000</v>
          </cell>
        </row>
        <row r="385">
          <cell r="C385" t="str">
            <v>280-2024</v>
          </cell>
          <cell r="D385">
            <v>2000000</v>
          </cell>
        </row>
        <row r="386">
          <cell r="C386" t="str">
            <v>214-2024</v>
          </cell>
          <cell r="D386">
            <v>7500000</v>
          </cell>
        </row>
        <row r="387">
          <cell r="C387" t="str">
            <v>283-2024</v>
          </cell>
          <cell r="D387">
            <v>2000000</v>
          </cell>
        </row>
        <row r="388">
          <cell r="C388" t="str">
            <v>233-2024</v>
          </cell>
          <cell r="D388">
            <v>4750000</v>
          </cell>
        </row>
        <row r="389">
          <cell r="C389" t="str">
            <v>151-2024</v>
          </cell>
          <cell r="D389">
            <v>2000000</v>
          </cell>
        </row>
        <row r="390">
          <cell r="C390" t="str">
            <v>157-2024</v>
          </cell>
          <cell r="D390">
            <v>7500000</v>
          </cell>
        </row>
        <row r="391">
          <cell r="C391" t="str">
            <v>261-2024</v>
          </cell>
          <cell r="D391">
            <v>4825600</v>
          </cell>
        </row>
        <row r="392">
          <cell r="C392" t="str">
            <v>366-2024</v>
          </cell>
          <cell r="D392">
            <v>2000000</v>
          </cell>
        </row>
        <row r="393">
          <cell r="C393" t="str">
            <v>376-2024</v>
          </cell>
          <cell r="D393">
            <v>4825600</v>
          </cell>
        </row>
        <row r="394">
          <cell r="C394" t="str">
            <v>217-2024</v>
          </cell>
          <cell r="D394">
            <v>4825600</v>
          </cell>
        </row>
        <row r="395">
          <cell r="C395" t="str">
            <v>236-2024</v>
          </cell>
          <cell r="D395">
            <v>4750000</v>
          </cell>
        </row>
        <row r="396">
          <cell r="C396" t="str">
            <v>362-2024</v>
          </cell>
          <cell r="D396">
            <v>2000000</v>
          </cell>
        </row>
        <row r="397">
          <cell r="C397" t="str">
            <v>361-2024</v>
          </cell>
          <cell r="D397">
            <v>2000000</v>
          </cell>
        </row>
        <row r="398">
          <cell r="C398" t="str">
            <v>211-2024</v>
          </cell>
          <cell r="D398">
            <v>64529002</v>
          </cell>
        </row>
        <row r="399">
          <cell r="C399" t="str">
            <v>391-2024</v>
          </cell>
          <cell r="D399">
            <v>2000000</v>
          </cell>
        </row>
        <row r="400">
          <cell r="C400" t="str">
            <v>478-2024</v>
          </cell>
          <cell r="D400">
            <v>2000000</v>
          </cell>
        </row>
        <row r="401">
          <cell r="C401" t="str">
            <v>491-2024</v>
          </cell>
          <cell r="D401">
            <v>2000000</v>
          </cell>
        </row>
        <row r="402">
          <cell r="C402" t="str">
            <v>492-2024</v>
          </cell>
          <cell r="D402">
            <v>2000000</v>
          </cell>
        </row>
        <row r="403">
          <cell r="C403" t="str">
            <v>383-2024</v>
          </cell>
          <cell r="D403">
            <v>2000000</v>
          </cell>
        </row>
        <row r="404">
          <cell r="C404" t="str">
            <v>202-2024</v>
          </cell>
          <cell r="D404">
            <v>6000000</v>
          </cell>
        </row>
        <row r="405">
          <cell r="C405" t="str">
            <v>374-2024</v>
          </cell>
          <cell r="D405">
            <v>2000000</v>
          </cell>
        </row>
        <row r="406">
          <cell r="C406" t="str">
            <v>242-2024</v>
          </cell>
          <cell r="D406">
            <v>2000000</v>
          </cell>
        </row>
        <row r="407">
          <cell r="C407" t="str">
            <v>286-2024</v>
          </cell>
          <cell r="D407">
            <v>4750000</v>
          </cell>
        </row>
        <row r="408">
          <cell r="C408" t="str">
            <v>259-2024</v>
          </cell>
          <cell r="D408">
            <v>2000000</v>
          </cell>
        </row>
        <row r="409">
          <cell r="C409" t="str">
            <v>200-2024</v>
          </cell>
          <cell r="D409">
            <v>4825600</v>
          </cell>
        </row>
        <row r="410">
          <cell r="C410" t="str">
            <v>253-2024</v>
          </cell>
          <cell r="D410">
            <v>2000000</v>
          </cell>
        </row>
        <row r="411">
          <cell r="C411" t="str">
            <v>240-2024</v>
          </cell>
          <cell r="D411">
            <v>4800600</v>
          </cell>
        </row>
        <row r="412">
          <cell r="C412" t="str">
            <v>365-2024</v>
          </cell>
          <cell r="D412">
            <v>2000000</v>
          </cell>
        </row>
        <row r="413">
          <cell r="C413" t="str">
            <v>476-2024</v>
          </cell>
          <cell r="D413">
            <v>2000000</v>
          </cell>
        </row>
        <row r="414">
          <cell r="C414" t="str">
            <v>460-2024</v>
          </cell>
          <cell r="D414">
            <v>2000000</v>
          </cell>
        </row>
        <row r="415">
          <cell r="C415" t="str">
            <v>474-2024</v>
          </cell>
          <cell r="D415">
            <v>2000000</v>
          </cell>
        </row>
        <row r="416">
          <cell r="C416" t="str">
            <v>166-2024</v>
          </cell>
          <cell r="D416">
            <v>4750000</v>
          </cell>
        </row>
        <row r="417">
          <cell r="C417" t="str">
            <v>461-2024</v>
          </cell>
          <cell r="D417">
            <v>2000000</v>
          </cell>
        </row>
        <row r="418">
          <cell r="C418" t="str">
            <v>438-2024</v>
          </cell>
          <cell r="D418">
            <v>2000000</v>
          </cell>
        </row>
        <row r="419">
          <cell r="C419" t="str">
            <v>238-2024</v>
          </cell>
          <cell r="D419">
            <v>2000000</v>
          </cell>
        </row>
        <row r="420">
          <cell r="C420" t="str">
            <v>182-2024</v>
          </cell>
          <cell r="D420">
            <v>2000000</v>
          </cell>
        </row>
        <row r="421">
          <cell r="C421" t="str">
            <v>496-2024</v>
          </cell>
          <cell r="D421">
            <v>2000000</v>
          </cell>
        </row>
        <row r="422">
          <cell r="C422" t="str">
            <v>230-2024</v>
          </cell>
          <cell r="D422">
            <v>4825600</v>
          </cell>
        </row>
        <row r="423">
          <cell r="C423" t="str">
            <v>249-2024</v>
          </cell>
          <cell r="D423">
            <v>2000000</v>
          </cell>
        </row>
        <row r="424">
          <cell r="C424" t="str">
            <v>403-2024</v>
          </cell>
          <cell r="D424">
            <v>4825600</v>
          </cell>
        </row>
        <row r="425">
          <cell r="C425" t="str">
            <v>404-2024</v>
          </cell>
          <cell r="D425">
            <v>6000000</v>
          </cell>
        </row>
        <row r="426">
          <cell r="C426" t="str">
            <v>264-2024</v>
          </cell>
          <cell r="D426">
            <v>2000000</v>
          </cell>
        </row>
        <row r="427">
          <cell r="C427" t="str">
            <v>264-2024</v>
          </cell>
          <cell r="D427">
            <v>2000000</v>
          </cell>
        </row>
        <row r="428">
          <cell r="C428" t="str">
            <v>493-2024</v>
          </cell>
          <cell r="D428">
            <v>2000000</v>
          </cell>
        </row>
        <row r="429">
          <cell r="C429" t="str">
            <v>392-2024</v>
          </cell>
          <cell r="D429">
            <v>2000000</v>
          </cell>
        </row>
        <row r="430">
          <cell r="C430" t="str">
            <v>393-2024</v>
          </cell>
          <cell r="D430">
            <v>2000000</v>
          </cell>
        </row>
        <row r="431">
          <cell r="C431" t="str">
            <v>470-2024</v>
          </cell>
          <cell r="D431">
            <v>2000000</v>
          </cell>
        </row>
        <row r="432">
          <cell r="C432" t="str">
            <v>497-2024</v>
          </cell>
          <cell r="D432">
            <v>2000000</v>
          </cell>
        </row>
        <row r="433">
          <cell r="C433" t="str">
            <v>418-2024</v>
          </cell>
          <cell r="D433">
            <v>7500000</v>
          </cell>
        </row>
        <row r="434">
          <cell r="C434" t="str">
            <v>387-2024</v>
          </cell>
          <cell r="D434">
            <v>6000000</v>
          </cell>
        </row>
        <row r="435">
          <cell r="C435" t="str">
            <v>485-2024</v>
          </cell>
          <cell r="D435">
            <v>2000000</v>
          </cell>
        </row>
        <row r="436">
          <cell r="C436" t="str">
            <v>467-2024</v>
          </cell>
          <cell r="D436">
            <v>2000000</v>
          </cell>
        </row>
        <row r="437">
          <cell r="C437" t="str">
            <v>487-2024</v>
          </cell>
          <cell r="D437">
            <v>2000000</v>
          </cell>
        </row>
        <row r="438">
          <cell r="C438" t="str">
            <v>452-2024</v>
          </cell>
          <cell r="D438">
            <v>2000000</v>
          </cell>
        </row>
        <row r="439">
          <cell r="C439" t="str">
            <v>401-2024</v>
          </cell>
          <cell r="D439">
            <v>6000000</v>
          </cell>
        </row>
        <row r="440">
          <cell r="C440" t="str">
            <v>255-2024</v>
          </cell>
          <cell r="D440">
            <v>2000000</v>
          </cell>
        </row>
        <row r="441">
          <cell r="C441" t="str">
            <v>266-2024</v>
          </cell>
          <cell r="D441">
            <v>4750000</v>
          </cell>
        </row>
        <row r="442">
          <cell r="C442" t="str">
            <v>525-2024</v>
          </cell>
          <cell r="D442">
            <v>2625000</v>
          </cell>
        </row>
        <row r="443">
          <cell r="C443" t="str">
            <v>480-2024</v>
          </cell>
          <cell r="D443">
            <v>2000000</v>
          </cell>
        </row>
        <row r="444">
          <cell r="C444" t="str">
            <v>479-2024</v>
          </cell>
          <cell r="D444">
            <v>2000000</v>
          </cell>
        </row>
        <row r="445">
          <cell r="C445" t="str">
            <v>167-2024</v>
          </cell>
          <cell r="D445">
            <v>6000000</v>
          </cell>
        </row>
        <row r="446">
          <cell r="C446" t="str">
            <v>399-2024</v>
          </cell>
          <cell r="D446">
            <v>2000000</v>
          </cell>
        </row>
        <row r="447">
          <cell r="C447" t="str">
            <v>409-2024</v>
          </cell>
          <cell r="D447">
            <v>2000000</v>
          </cell>
        </row>
        <row r="448">
          <cell r="C448" t="str">
            <v>234-2024</v>
          </cell>
          <cell r="D448">
            <v>2000000</v>
          </cell>
        </row>
        <row r="449">
          <cell r="C449" t="str">
            <v>237-2024</v>
          </cell>
          <cell r="D449">
            <v>4825600</v>
          </cell>
        </row>
        <row r="450">
          <cell r="C450" t="str">
            <v>260-2024</v>
          </cell>
          <cell r="D450">
            <v>2000000</v>
          </cell>
        </row>
        <row r="451">
          <cell r="C451" t="str">
            <v>386-2024</v>
          </cell>
          <cell r="D451">
            <v>6000000</v>
          </cell>
        </row>
        <row r="452">
          <cell r="C452" t="str">
            <v>490-2024</v>
          </cell>
          <cell r="D452">
            <v>2000000</v>
          </cell>
        </row>
        <row r="453">
          <cell r="C453" t="str">
            <v>486-2024</v>
          </cell>
          <cell r="D453">
            <v>2000000</v>
          </cell>
        </row>
        <row r="454">
          <cell r="C454" t="str">
            <v>382-2024</v>
          </cell>
          <cell r="D454">
            <v>6000000</v>
          </cell>
        </row>
        <row r="455">
          <cell r="C455" t="str">
            <v>484-2024</v>
          </cell>
          <cell r="D455">
            <v>2000000</v>
          </cell>
        </row>
        <row r="456">
          <cell r="C456" t="str">
            <v>489-2024</v>
          </cell>
          <cell r="D456">
            <v>2000000</v>
          </cell>
        </row>
        <row r="457">
          <cell r="C457" t="str">
            <v>258-2024</v>
          </cell>
          <cell r="D457">
            <v>2000000</v>
          </cell>
        </row>
        <row r="458">
          <cell r="C458" t="str">
            <v>377-2024</v>
          </cell>
          <cell r="D458">
            <v>4750000</v>
          </cell>
        </row>
        <row r="459">
          <cell r="C459" t="str">
            <v>281-2024</v>
          </cell>
          <cell r="D459">
            <v>4750000</v>
          </cell>
        </row>
        <row r="460">
          <cell r="C460" t="str">
            <v>272-2024</v>
          </cell>
          <cell r="D460">
            <v>2000000</v>
          </cell>
        </row>
        <row r="461">
          <cell r="C461" t="str">
            <v>394-2024</v>
          </cell>
          <cell r="D461">
            <v>2000000</v>
          </cell>
        </row>
        <row r="462">
          <cell r="C462" t="str">
            <v>257-2024</v>
          </cell>
          <cell r="D462">
            <v>4750000</v>
          </cell>
        </row>
        <row r="463">
          <cell r="C463" t="str">
            <v>495-2024</v>
          </cell>
          <cell r="D463">
            <v>2000000</v>
          </cell>
        </row>
        <row r="464">
          <cell r="C464" t="str">
            <v>385-2024</v>
          </cell>
          <cell r="D464">
            <v>7500000</v>
          </cell>
        </row>
        <row r="465">
          <cell r="C465" t="str">
            <v>270-2024</v>
          </cell>
          <cell r="D465">
            <v>7500000</v>
          </cell>
        </row>
        <row r="466">
          <cell r="C466" t="str">
            <v>390-2024</v>
          </cell>
          <cell r="D466">
            <v>7500000</v>
          </cell>
        </row>
        <row r="467">
          <cell r="C467" t="str">
            <v>400-2024</v>
          </cell>
          <cell r="D467">
            <v>2000000</v>
          </cell>
        </row>
        <row r="468">
          <cell r="C468" t="str">
            <v>381-2024</v>
          </cell>
          <cell r="D468">
            <v>7500000</v>
          </cell>
        </row>
        <row r="469">
          <cell r="C469" t="str">
            <v>209-2024</v>
          </cell>
          <cell r="D469">
            <v>4825600</v>
          </cell>
        </row>
        <row r="470">
          <cell r="C470" t="str">
            <v>277-2024</v>
          </cell>
          <cell r="D470">
            <v>2000000</v>
          </cell>
        </row>
        <row r="471">
          <cell r="C471" t="str">
            <v>194-2024</v>
          </cell>
          <cell r="D471">
            <v>2000000</v>
          </cell>
        </row>
        <row r="472">
          <cell r="C472" t="str">
            <v>500-2024</v>
          </cell>
          <cell r="D472">
            <v>2000000</v>
          </cell>
        </row>
        <row r="473">
          <cell r="C473" t="str">
            <v>469-2024</v>
          </cell>
          <cell r="D473">
            <v>2000000</v>
          </cell>
        </row>
        <row r="474">
          <cell r="C474" t="str">
            <v>210-2024</v>
          </cell>
          <cell r="D474">
            <v>7500000</v>
          </cell>
        </row>
        <row r="475">
          <cell r="C475" t="str">
            <v>321-2024</v>
          </cell>
          <cell r="D475">
            <v>6000000</v>
          </cell>
        </row>
        <row r="476">
          <cell r="C476" t="str">
            <v>449-2024</v>
          </cell>
          <cell r="D476">
            <v>2000000</v>
          </cell>
        </row>
        <row r="477">
          <cell r="C477" t="str">
            <v>408-2024</v>
          </cell>
          <cell r="D477">
            <v>6000000</v>
          </cell>
        </row>
        <row r="478">
          <cell r="C478" t="str">
            <v>454-2024</v>
          </cell>
          <cell r="D478">
            <v>2000000</v>
          </cell>
        </row>
        <row r="479">
          <cell r="C479" t="str">
            <v>308-2024</v>
          </cell>
          <cell r="D479">
            <v>2000000</v>
          </cell>
        </row>
        <row r="480">
          <cell r="C480" t="str">
            <v>170-2024</v>
          </cell>
          <cell r="D480">
            <v>4825600</v>
          </cell>
        </row>
        <row r="481">
          <cell r="C481" t="str">
            <v>161-2024</v>
          </cell>
          <cell r="D481">
            <v>4825600</v>
          </cell>
        </row>
        <row r="482">
          <cell r="C482" t="str">
            <v>262-2024</v>
          </cell>
          <cell r="D482">
            <v>2000000</v>
          </cell>
        </row>
        <row r="483">
          <cell r="C483" t="str">
            <v>267-2024</v>
          </cell>
          <cell r="D483">
            <v>2000000</v>
          </cell>
        </row>
        <row r="484">
          <cell r="C484" t="str">
            <v>398-2024</v>
          </cell>
          <cell r="D484">
            <v>4750000</v>
          </cell>
        </row>
        <row r="485">
          <cell r="C485" t="str">
            <v>344-2024</v>
          </cell>
          <cell r="D485">
            <v>2000000</v>
          </cell>
        </row>
        <row r="486">
          <cell r="C486" t="str">
            <v>156-2024</v>
          </cell>
          <cell r="D486">
            <v>7500000</v>
          </cell>
        </row>
        <row r="487">
          <cell r="C487" t="str">
            <v>284-2024</v>
          </cell>
          <cell r="D487">
            <v>7500000</v>
          </cell>
        </row>
        <row r="488">
          <cell r="C488" t="str">
            <v>148-2024</v>
          </cell>
          <cell r="D488">
            <v>4825600</v>
          </cell>
        </row>
        <row r="489">
          <cell r="C489" t="str">
            <v>285-2024</v>
          </cell>
          <cell r="D489">
            <v>2000000</v>
          </cell>
        </row>
        <row r="490">
          <cell r="C490" t="str">
            <v>268-2024</v>
          </cell>
          <cell r="D490">
            <v>2000000</v>
          </cell>
        </row>
        <row r="491">
          <cell r="C491" t="str">
            <v>187-2024</v>
          </cell>
          <cell r="D491">
            <v>4750000</v>
          </cell>
        </row>
        <row r="492">
          <cell r="C492" t="str">
            <v>250-2024</v>
          </cell>
          <cell r="D492">
            <v>2000000</v>
          </cell>
        </row>
        <row r="493">
          <cell r="C493" t="str">
            <v>501-2024</v>
          </cell>
          <cell r="D493">
            <v>2000000</v>
          </cell>
        </row>
        <row r="494">
          <cell r="C494" t="str">
            <v>199-2024</v>
          </cell>
          <cell r="D494">
            <v>7500000</v>
          </cell>
        </row>
        <row r="495">
          <cell r="C495" t="str">
            <v>280-2024</v>
          </cell>
          <cell r="D495">
            <v>2000000</v>
          </cell>
        </row>
        <row r="496">
          <cell r="C496" t="str">
            <v>276-2024</v>
          </cell>
          <cell r="D496">
            <v>6000000</v>
          </cell>
        </row>
        <row r="497">
          <cell r="C497" t="str">
            <v>218-2024</v>
          </cell>
          <cell r="D497">
            <v>7500000</v>
          </cell>
        </row>
        <row r="498">
          <cell r="C498" t="str">
            <v>176-2024</v>
          </cell>
          <cell r="D498">
            <v>7500000</v>
          </cell>
        </row>
        <row r="499">
          <cell r="C499" t="str">
            <v>195-2024</v>
          </cell>
          <cell r="D499">
            <v>6000000</v>
          </cell>
        </row>
        <row r="500">
          <cell r="C500" t="str">
            <v>516-2024</v>
          </cell>
          <cell r="D500">
            <v>6000000</v>
          </cell>
        </row>
        <row r="501">
          <cell r="C501" t="str">
            <v>279-2024</v>
          </cell>
          <cell r="D501">
            <v>2000000</v>
          </cell>
        </row>
        <row r="502">
          <cell r="C502" t="str">
            <v>145-2024</v>
          </cell>
          <cell r="D502">
            <v>2000000</v>
          </cell>
        </row>
        <row r="503">
          <cell r="C503" t="str">
            <v>200-2024</v>
          </cell>
          <cell r="D503">
            <v>4825600</v>
          </cell>
        </row>
        <row r="504">
          <cell r="C504" t="str">
            <v>517-2024</v>
          </cell>
          <cell r="D504">
            <v>6000000</v>
          </cell>
        </row>
        <row r="505">
          <cell r="C505" t="str">
            <v>402-2024</v>
          </cell>
          <cell r="D505">
            <v>4825600</v>
          </cell>
        </row>
        <row r="506">
          <cell r="C506" t="str">
            <v>275-2024</v>
          </cell>
          <cell r="D506">
            <v>2000000</v>
          </cell>
        </row>
        <row r="507">
          <cell r="C507" t="str">
            <v>163-2024</v>
          </cell>
          <cell r="D507">
            <v>2000000</v>
          </cell>
        </row>
        <row r="508">
          <cell r="C508" t="str">
            <v>261-2024</v>
          </cell>
          <cell r="D508">
            <v>4825600</v>
          </cell>
        </row>
        <row r="509">
          <cell r="C509" t="str">
            <v>406-2024</v>
          </cell>
          <cell r="D509">
            <v>6000000</v>
          </cell>
        </row>
        <row r="510">
          <cell r="C510" t="str">
            <v>204-2024</v>
          </cell>
          <cell r="D510">
            <v>4750000</v>
          </cell>
        </row>
        <row r="511">
          <cell r="C511" t="str">
            <v>223-2024</v>
          </cell>
          <cell r="D511">
            <v>4750000</v>
          </cell>
        </row>
        <row r="512">
          <cell r="C512" t="str">
            <v>153-2024</v>
          </cell>
          <cell r="D512">
            <v>7500000</v>
          </cell>
        </row>
        <row r="513">
          <cell r="C513" t="str">
            <v>213-2024</v>
          </cell>
          <cell r="D513">
            <v>6000000</v>
          </cell>
        </row>
        <row r="514">
          <cell r="C514" t="str">
            <v>189-2024</v>
          </cell>
          <cell r="D514">
            <v>2000000</v>
          </cell>
        </row>
        <row r="515">
          <cell r="C515" t="str">
            <v>221-2024</v>
          </cell>
          <cell r="D515">
            <v>2000000</v>
          </cell>
        </row>
        <row r="516">
          <cell r="C516" t="str">
            <v>180-2024</v>
          </cell>
          <cell r="D516">
            <v>4750000</v>
          </cell>
        </row>
        <row r="517">
          <cell r="C517" t="str">
            <v>186-2024</v>
          </cell>
          <cell r="D517">
            <v>4825600</v>
          </cell>
        </row>
        <row r="518">
          <cell r="C518" t="str">
            <v>150-2024</v>
          </cell>
          <cell r="D518">
            <v>2000000</v>
          </cell>
        </row>
        <row r="519">
          <cell r="C519" t="str">
            <v>387-2024</v>
          </cell>
          <cell r="D519">
            <v>6000000</v>
          </cell>
        </row>
        <row r="520">
          <cell r="C520" t="str">
            <v>205-2024</v>
          </cell>
          <cell r="D520">
            <v>4825600</v>
          </cell>
        </row>
        <row r="521">
          <cell r="C521" t="str">
            <v>162-2024</v>
          </cell>
          <cell r="D521">
            <v>2000000</v>
          </cell>
        </row>
        <row r="522">
          <cell r="C522" t="str">
            <v>415-2024</v>
          </cell>
          <cell r="D522">
            <v>7500000</v>
          </cell>
        </row>
        <row r="523">
          <cell r="C523" t="str">
            <v>508-2024</v>
          </cell>
          <cell r="D523">
            <v>2000000</v>
          </cell>
        </row>
        <row r="524">
          <cell r="C524" t="str">
            <v>322-2024</v>
          </cell>
          <cell r="D524">
            <v>2000000</v>
          </cell>
        </row>
        <row r="525">
          <cell r="C525" t="str">
            <v>271-2024</v>
          </cell>
          <cell r="D525">
            <v>2000000</v>
          </cell>
        </row>
        <row r="526">
          <cell r="C526" t="str">
            <v>159-2024</v>
          </cell>
          <cell r="D526">
            <v>2000000</v>
          </cell>
        </row>
        <row r="527">
          <cell r="C527" t="str">
            <v>228-2024</v>
          </cell>
          <cell r="D527">
            <v>6000000</v>
          </cell>
        </row>
        <row r="528">
          <cell r="C528" t="str">
            <v>319-2024</v>
          </cell>
          <cell r="D528">
            <v>7500000</v>
          </cell>
        </row>
        <row r="529">
          <cell r="C529" t="str">
            <v>286-2024</v>
          </cell>
          <cell r="D529">
            <v>4750000</v>
          </cell>
        </row>
        <row r="530">
          <cell r="C530" t="str">
            <v>151-2024</v>
          </cell>
          <cell r="D530">
            <v>2000000</v>
          </cell>
        </row>
        <row r="531">
          <cell r="C531" t="str">
            <v>164-2024</v>
          </cell>
          <cell r="D531">
            <v>4825600</v>
          </cell>
        </row>
        <row r="532">
          <cell r="C532" t="str">
            <v>507-2024</v>
          </cell>
          <cell r="D532">
            <v>7500000</v>
          </cell>
        </row>
        <row r="533">
          <cell r="C533" t="str">
            <v>242-2024</v>
          </cell>
          <cell r="D533">
            <v>2000000</v>
          </cell>
        </row>
        <row r="534">
          <cell r="C534" t="str">
            <v>174-2024</v>
          </cell>
          <cell r="D534">
            <v>2000000</v>
          </cell>
        </row>
        <row r="535">
          <cell r="C535" t="str">
            <v>154-2024</v>
          </cell>
          <cell r="D535">
            <v>4750000</v>
          </cell>
        </row>
        <row r="536">
          <cell r="C536" t="str">
            <v>171-2024</v>
          </cell>
          <cell r="D536">
            <v>2000000</v>
          </cell>
        </row>
        <row r="537">
          <cell r="C537" t="str">
            <v>413-2024</v>
          </cell>
          <cell r="D537">
            <v>2000000</v>
          </cell>
        </row>
        <row r="538">
          <cell r="C538" t="str">
            <v>147-2024</v>
          </cell>
          <cell r="D538">
            <v>7500000</v>
          </cell>
        </row>
        <row r="539">
          <cell r="C539" t="str">
            <v>265-2024</v>
          </cell>
          <cell r="D539">
            <v>124950000</v>
          </cell>
        </row>
        <row r="540">
          <cell r="C540" t="str">
            <v>519-2024</v>
          </cell>
          <cell r="D540">
            <v>2000000</v>
          </cell>
        </row>
        <row r="541">
          <cell r="C541" t="str">
            <v>185-2024</v>
          </cell>
          <cell r="D541">
            <v>2000000</v>
          </cell>
        </row>
        <row r="542">
          <cell r="C542" t="str">
            <v>251-2024</v>
          </cell>
          <cell r="D542">
            <v>2000000</v>
          </cell>
        </row>
        <row r="543">
          <cell r="C543" t="str">
            <v>287-2024</v>
          </cell>
          <cell r="D543">
            <v>4750000</v>
          </cell>
        </row>
        <row r="544">
          <cell r="C544" t="str">
            <v>184-2024</v>
          </cell>
          <cell r="D544">
            <v>4750000</v>
          </cell>
        </row>
        <row r="545">
          <cell r="C545" t="str">
            <v>188-2024</v>
          </cell>
          <cell r="D545">
            <v>4000000</v>
          </cell>
        </row>
        <row r="546">
          <cell r="C546" t="str">
            <v>453-2024</v>
          </cell>
          <cell r="D546">
            <v>2000000</v>
          </cell>
        </row>
        <row r="547">
          <cell r="C547" t="str">
            <v>193-2024</v>
          </cell>
          <cell r="D547">
            <v>4825600</v>
          </cell>
        </row>
        <row r="548">
          <cell r="C548" t="str">
            <v>198-2024</v>
          </cell>
          <cell r="D548">
            <v>7500000</v>
          </cell>
        </row>
        <row r="549">
          <cell r="C549" t="str">
            <v>509-2024</v>
          </cell>
          <cell r="D549">
            <v>2000000</v>
          </cell>
        </row>
        <row r="550">
          <cell r="C550" t="str">
            <v>157-2024</v>
          </cell>
          <cell r="D550">
            <v>7500000</v>
          </cell>
        </row>
        <row r="551">
          <cell r="C551" t="str">
            <v>471-2024</v>
          </cell>
          <cell r="D551">
            <v>2000000</v>
          </cell>
        </row>
        <row r="552">
          <cell r="C552" t="str">
            <v>149-2024</v>
          </cell>
          <cell r="D552">
            <v>2000000</v>
          </cell>
        </row>
        <row r="553">
          <cell r="C553" t="str">
            <v>178-2024</v>
          </cell>
          <cell r="D553">
            <v>2000000</v>
          </cell>
        </row>
        <row r="554">
          <cell r="C554" t="str">
            <v>474-2024</v>
          </cell>
          <cell r="D554">
            <v>2000000</v>
          </cell>
        </row>
        <row r="555">
          <cell r="C555" t="str">
            <v>476-2024</v>
          </cell>
          <cell r="D555">
            <v>2000000</v>
          </cell>
        </row>
        <row r="556">
          <cell r="C556" t="str">
            <v>365-2024</v>
          </cell>
          <cell r="D556">
            <v>2000000</v>
          </cell>
        </row>
        <row r="557">
          <cell r="C557" t="str">
            <v>368-2024</v>
          </cell>
          <cell r="D557">
            <v>2000000</v>
          </cell>
        </row>
        <row r="558">
          <cell r="C558" t="str">
            <v>244-2024</v>
          </cell>
          <cell r="D558">
            <v>2000000</v>
          </cell>
        </row>
        <row r="559">
          <cell r="C559" t="str">
            <v>246-2024</v>
          </cell>
          <cell r="D559">
            <v>2000000</v>
          </cell>
        </row>
        <row r="560">
          <cell r="C560" t="str">
            <v>247-2024</v>
          </cell>
          <cell r="D560">
            <v>2000000</v>
          </cell>
        </row>
        <row r="561">
          <cell r="C561" t="str">
            <v>219-2024</v>
          </cell>
          <cell r="D561">
            <v>2000000</v>
          </cell>
        </row>
        <row r="562">
          <cell r="C562" t="str">
            <v>212-2024</v>
          </cell>
          <cell r="D562">
            <v>2000000</v>
          </cell>
        </row>
        <row r="563">
          <cell r="C563" t="str">
            <v>197-2024</v>
          </cell>
          <cell r="D563">
            <v>4825600</v>
          </cell>
        </row>
        <row r="564">
          <cell r="C564" t="str">
            <v>160-2024</v>
          </cell>
          <cell r="D564">
            <v>2000000</v>
          </cell>
        </row>
        <row r="565">
          <cell r="C565" t="str">
            <v>202-2024</v>
          </cell>
          <cell r="D565">
            <v>6000000</v>
          </cell>
        </row>
        <row r="566">
          <cell r="C566" t="str">
            <v>173-2024</v>
          </cell>
          <cell r="D566">
            <v>2000000</v>
          </cell>
        </row>
        <row r="567">
          <cell r="C567" t="str">
            <v>229-2024</v>
          </cell>
          <cell r="D567">
            <v>2000000</v>
          </cell>
        </row>
        <row r="568">
          <cell r="C568" t="str">
            <v>362-2024</v>
          </cell>
          <cell r="D568">
            <v>2000000</v>
          </cell>
        </row>
        <row r="569">
          <cell r="C569" t="str">
            <v>179-2024</v>
          </cell>
          <cell r="D569">
            <v>4750000</v>
          </cell>
        </row>
        <row r="570">
          <cell r="C570" t="str">
            <v>215-2024</v>
          </cell>
          <cell r="D570">
            <v>4750000</v>
          </cell>
        </row>
        <row r="571">
          <cell r="C571" t="str">
            <v>192-2024</v>
          </cell>
          <cell r="D571">
            <v>2000000</v>
          </cell>
        </row>
        <row r="572">
          <cell r="C572" t="str">
            <v>146-2024</v>
          </cell>
          <cell r="D572">
            <v>2000000</v>
          </cell>
        </row>
        <row r="573">
          <cell r="C573" t="str">
            <v>206-2024</v>
          </cell>
          <cell r="D573">
            <v>7500000</v>
          </cell>
        </row>
        <row r="574">
          <cell r="C574" t="str">
            <v>238-2024</v>
          </cell>
          <cell r="D574">
            <v>2000000</v>
          </cell>
        </row>
        <row r="575">
          <cell r="C575" t="str">
            <v>454-2024</v>
          </cell>
          <cell r="D575">
            <v>2000000</v>
          </cell>
        </row>
        <row r="576">
          <cell r="C576" t="str">
            <v>239-2024</v>
          </cell>
          <cell r="D576">
            <v>2000000</v>
          </cell>
        </row>
        <row r="577">
          <cell r="C577" t="str">
            <v>378-2024</v>
          </cell>
          <cell r="D577">
            <v>6000000</v>
          </cell>
        </row>
        <row r="578">
          <cell r="C578" t="str">
            <v>452-2024</v>
          </cell>
          <cell r="D578">
            <v>2000000</v>
          </cell>
        </row>
        <row r="579">
          <cell r="C579" t="str">
            <v>201-2024</v>
          </cell>
          <cell r="D579">
            <v>2000000</v>
          </cell>
        </row>
        <row r="580">
          <cell r="C580" t="str">
            <v>418-2024</v>
          </cell>
          <cell r="D580">
            <v>7500000</v>
          </cell>
        </row>
        <row r="581">
          <cell r="C581" t="str">
            <v>396-2024</v>
          </cell>
          <cell r="D581">
            <v>4825600</v>
          </cell>
        </row>
        <row r="582">
          <cell r="C582" t="str">
            <v>460-2024</v>
          </cell>
          <cell r="D582">
            <v>2000000</v>
          </cell>
        </row>
        <row r="583">
          <cell r="C583" t="str">
            <v>222-2024</v>
          </cell>
          <cell r="D583">
            <v>2000000</v>
          </cell>
        </row>
        <row r="584">
          <cell r="C584" t="str">
            <v>469-2024</v>
          </cell>
          <cell r="D584">
            <v>2000000</v>
          </cell>
        </row>
        <row r="585">
          <cell r="C585" t="str">
            <v>491-2024</v>
          </cell>
          <cell r="D585">
            <v>2000000</v>
          </cell>
        </row>
        <row r="586">
          <cell r="C586" t="str">
            <v>220-2024</v>
          </cell>
          <cell r="D586">
            <v>4825600</v>
          </cell>
        </row>
        <row r="587">
          <cell r="C587" t="str">
            <v>169-2024</v>
          </cell>
          <cell r="D587">
            <v>7500000</v>
          </cell>
        </row>
        <row r="588">
          <cell r="C588" t="str">
            <v>177-2024</v>
          </cell>
          <cell r="D588">
            <v>2000000</v>
          </cell>
        </row>
        <row r="589">
          <cell r="C589" t="str">
            <v>182-2024</v>
          </cell>
          <cell r="D589">
            <v>2000000</v>
          </cell>
        </row>
        <row r="590">
          <cell r="C590" t="str">
            <v>376-2024</v>
          </cell>
          <cell r="D590">
            <v>4825600</v>
          </cell>
        </row>
        <row r="591">
          <cell r="C591" t="str">
            <v>236-2024</v>
          </cell>
          <cell r="D591">
            <v>4750000</v>
          </cell>
        </row>
        <row r="592">
          <cell r="C592" t="str">
            <v>282-2024</v>
          </cell>
          <cell r="D592">
            <v>2000000</v>
          </cell>
        </row>
        <row r="593">
          <cell r="C593" t="str">
            <v>283-2024</v>
          </cell>
          <cell r="D593">
            <v>2000000</v>
          </cell>
        </row>
        <row r="594">
          <cell r="C594" t="str">
            <v>375-2024</v>
          </cell>
          <cell r="D594">
            <v>4750000</v>
          </cell>
        </row>
        <row r="595">
          <cell r="C595" t="str">
            <v>214-2024</v>
          </cell>
          <cell r="D595">
            <v>7500000</v>
          </cell>
        </row>
        <row r="596">
          <cell r="C596" t="str">
            <v>495-2024</v>
          </cell>
          <cell r="D596">
            <v>2000000</v>
          </cell>
        </row>
        <row r="597">
          <cell r="C597" t="str">
            <v>264-2024</v>
          </cell>
          <cell r="D597">
            <v>2000000</v>
          </cell>
        </row>
        <row r="598">
          <cell r="C598" t="str">
            <v>478-2024</v>
          </cell>
          <cell r="D598">
            <v>2000000</v>
          </cell>
        </row>
        <row r="599">
          <cell r="C599" t="str">
            <v>243-2024</v>
          </cell>
          <cell r="D599">
            <v>4825600</v>
          </cell>
        </row>
        <row r="600">
          <cell r="C600" t="str">
            <v>361-2024</v>
          </cell>
          <cell r="D600">
            <v>2000000</v>
          </cell>
        </row>
        <row r="601">
          <cell r="C601" t="str">
            <v>216-2024</v>
          </cell>
          <cell r="D601">
            <v>4750000</v>
          </cell>
        </row>
        <row r="602">
          <cell r="C602" t="str">
            <v>256-2024</v>
          </cell>
          <cell r="D602">
            <v>2000000</v>
          </cell>
        </row>
        <row r="603">
          <cell r="C603" t="str">
            <v>497-2024</v>
          </cell>
          <cell r="D603">
            <v>2000000</v>
          </cell>
        </row>
        <row r="604">
          <cell r="C604" t="str">
            <v>493-2024</v>
          </cell>
          <cell r="D604">
            <v>2000000</v>
          </cell>
        </row>
        <row r="605">
          <cell r="C605" t="str">
            <v>254-2024</v>
          </cell>
          <cell r="D605">
            <v>2000000</v>
          </cell>
        </row>
        <row r="606">
          <cell r="C606" t="str">
            <v>259-2024</v>
          </cell>
          <cell r="D606">
            <v>2000000</v>
          </cell>
        </row>
        <row r="607">
          <cell r="C607" t="str">
            <v>490-2024</v>
          </cell>
          <cell r="D607">
            <v>2000000</v>
          </cell>
        </row>
        <row r="608">
          <cell r="C608" t="str">
            <v>366-2024</v>
          </cell>
          <cell r="D608">
            <v>2000000</v>
          </cell>
        </row>
        <row r="609">
          <cell r="C609" t="str">
            <v>438-2024</v>
          </cell>
          <cell r="D609">
            <v>2000000</v>
          </cell>
        </row>
        <row r="610">
          <cell r="C610" t="str">
            <v>449-2024</v>
          </cell>
          <cell r="D610">
            <v>2000000</v>
          </cell>
        </row>
        <row r="611">
          <cell r="C611" t="str">
            <v>487-2024</v>
          </cell>
          <cell r="D611">
            <v>2000000</v>
          </cell>
        </row>
        <row r="612">
          <cell r="C612" t="str">
            <v>524-2024</v>
          </cell>
          <cell r="D612">
            <v>2000000</v>
          </cell>
        </row>
        <row r="613">
          <cell r="C613" t="str">
            <v>183-2024</v>
          </cell>
          <cell r="D613">
            <v>6000000</v>
          </cell>
        </row>
        <row r="614">
          <cell r="C614" t="str">
            <v>384-2024</v>
          </cell>
          <cell r="D614">
            <v>6000000</v>
          </cell>
        </row>
        <row r="615">
          <cell r="C615" t="str">
            <v>211-2024</v>
          </cell>
          <cell r="D615">
            <v>64141827</v>
          </cell>
        </row>
        <row r="616">
          <cell r="C616" t="str">
            <v>412-2024</v>
          </cell>
          <cell r="D616">
            <v>2000000</v>
          </cell>
        </row>
        <row r="617">
          <cell r="C617" t="str">
            <v>234-2024</v>
          </cell>
          <cell r="D617">
            <v>2000000</v>
          </cell>
        </row>
        <row r="618">
          <cell r="C618" t="str">
            <v>209-2024</v>
          </cell>
          <cell r="D618">
            <v>4825600</v>
          </cell>
        </row>
        <row r="619">
          <cell r="C619" t="str">
            <v>258-2024</v>
          </cell>
          <cell r="D619">
            <v>2000000</v>
          </cell>
        </row>
        <row r="620">
          <cell r="C620" t="str">
            <v>360-2024</v>
          </cell>
          <cell r="D620">
            <v>4750000</v>
          </cell>
        </row>
        <row r="621">
          <cell r="C621" t="str">
            <v>496-2024</v>
          </cell>
          <cell r="D621">
            <v>2000000</v>
          </cell>
        </row>
        <row r="622">
          <cell r="C622" t="str">
            <v>175-2024</v>
          </cell>
          <cell r="D622">
            <v>2000000</v>
          </cell>
        </row>
        <row r="623">
          <cell r="C623" t="str">
            <v>203-2024</v>
          </cell>
          <cell r="D623">
            <v>2000000</v>
          </cell>
        </row>
        <row r="624">
          <cell r="C624" t="str">
            <v>374-2024</v>
          </cell>
          <cell r="D624">
            <v>2000000</v>
          </cell>
        </row>
        <row r="625">
          <cell r="C625" t="str">
            <v>181-2024</v>
          </cell>
          <cell r="D625">
            <v>6000000</v>
          </cell>
        </row>
        <row r="626">
          <cell r="C626" t="str">
            <v>232-2024</v>
          </cell>
          <cell r="D626">
            <v>7500000</v>
          </cell>
        </row>
        <row r="627">
          <cell r="C627" t="str">
            <v>233-2024</v>
          </cell>
          <cell r="D627">
            <v>4750000</v>
          </cell>
        </row>
        <row r="628">
          <cell r="C628" t="str">
            <v>230-2024</v>
          </cell>
          <cell r="D628">
            <v>4825600</v>
          </cell>
        </row>
        <row r="629">
          <cell r="C629" t="str">
            <v>364-2024</v>
          </cell>
          <cell r="D629">
            <v>2000000</v>
          </cell>
        </row>
        <row r="630">
          <cell r="C630" t="str">
            <v>472-2024</v>
          </cell>
          <cell r="D630">
            <v>2000000</v>
          </cell>
        </row>
        <row r="631">
          <cell r="C631" t="str">
            <v>467-2024</v>
          </cell>
          <cell r="D631">
            <v>2000000</v>
          </cell>
        </row>
        <row r="632">
          <cell r="C632" t="str">
            <v>367-2024</v>
          </cell>
          <cell r="D632">
            <v>2000000</v>
          </cell>
        </row>
        <row r="633">
          <cell r="C633" t="str">
            <v>479-2024</v>
          </cell>
          <cell r="D633">
            <v>2000000</v>
          </cell>
        </row>
        <row r="634">
          <cell r="C634" t="str">
            <v>381-2024</v>
          </cell>
          <cell r="D634">
            <v>7500000</v>
          </cell>
        </row>
        <row r="635">
          <cell r="C635" t="str">
            <v>255-2024</v>
          </cell>
          <cell r="D635">
            <v>2000000</v>
          </cell>
        </row>
        <row r="636">
          <cell r="C636" t="str">
            <v>484-2024</v>
          </cell>
          <cell r="D636">
            <v>2000000</v>
          </cell>
        </row>
        <row r="637">
          <cell r="C637" t="str">
            <v>470-2024</v>
          </cell>
          <cell r="D637">
            <v>2000000</v>
          </cell>
        </row>
        <row r="638">
          <cell r="C638" t="str">
            <v>152-2024</v>
          </cell>
          <cell r="D638">
            <v>4750000</v>
          </cell>
        </row>
        <row r="639">
          <cell r="C639" t="str">
            <v>461-2024</v>
          </cell>
          <cell r="D639">
            <v>2000000</v>
          </cell>
        </row>
        <row r="640">
          <cell r="C640" t="str">
            <v>240-2024</v>
          </cell>
          <cell r="D640">
            <v>4825600</v>
          </cell>
        </row>
        <row r="641">
          <cell r="C641" t="str">
            <v>504-2024</v>
          </cell>
          <cell r="D641">
            <v>2000000</v>
          </cell>
        </row>
        <row r="642">
          <cell r="C642" t="str">
            <v>399-2024</v>
          </cell>
          <cell r="D642">
            <v>2000000</v>
          </cell>
        </row>
        <row r="643">
          <cell r="C643" t="str">
            <v>393-2024</v>
          </cell>
          <cell r="D643">
            <v>2000000</v>
          </cell>
        </row>
        <row r="644">
          <cell r="C644" t="str">
            <v>373-2024</v>
          </cell>
          <cell r="D644">
            <v>2000000</v>
          </cell>
        </row>
        <row r="645">
          <cell r="C645" t="str">
            <v>401-2024</v>
          </cell>
          <cell r="D645">
            <v>6000000</v>
          </cell>
        </row>
        <row r="646">
          <cell r="C646" t="str">
            <v>386-2024</v>
          </cell>
          <cell r="D646">
            <v>6000000</v>
          </cell>
        </row>
        <row r="647">
          <cell r="C647" t="str">
            <v>489-2024</v>
          </cell>
          <cell r="D647">
            <v>2000000</v>
          </cell>
        </row>
        <row r="648">
          <cell r="C648" t="str">
            <v>403-2024</v>
          </cell>
          <cell r="D648">
            <v>4825600</v>
          </cell>
        </row>
        <row r="649">
          <cell r="C649" t="str">
            <v>377-2024</v>
          </cell>
          <cell r="D649">
            <v>4750000</v>
          </cell>
        </row>
        <row r="650">
          <cell r="C650" t="str">
            <v>392-2024</v>
          </cell>
          <cell r="D650">
            <v>2000000</v>
          </cell>
        </row>
        <row r="651">
          <cell r="C651" t="str">
            <v>480-2024</v>
          </cell>
          <cell r="D651">
            <v>2000000</v>
          </cell>
        </row>
        <row r="652">
          <cell r="C652" t="str">
            <v>249-2024</v>
          </cell>
          <cell r="D652">
            <v>2000000</v>
          </cell>
        </row>
        <row r="653">
          <cell r="C653" t="str">
            <v>383-2024</v>
          </cell>
          <cell r="D653">
            <v>2000000</v>
          </cell>
        </row>
        <row r="654">
          <cell r="C654" t="str">
            <v>260-2024</v>
          </cell>
          <cell r="D654">
            <v>2000000</v>
          </cell>
        </row>
        <row r="655">
          <cell r="C655" t="str">
            <v>382-2024</v>
          </cell>
          <cell r="D655">
            <v>6000000</v>
          </cell>
        </row>
        <row r="656">
          <cell r="C656" t="str">
            <v>168-2024</v>
          </cell>
          <cell r="D656">
            <v>2000000</v>
          </cell>
        </row>
        <row r="657">
          <cell r="C657" t="str">
            <v>485-2024</v>
          </cell>
          <cell r="D657">
            <v>2000000</v>
          </cell>
        </row>
        <row r="658">
          <cell r="C658" t="str">
            <v>253-2024</v>
          </cell>
          <cell r="D658">
            <v>2000000</v>
          </cell>
        </row>
        <row r="659">
          <cell r="C659" t="str">
            <v>270-2024</v>
          </cell>
          <cell r="D659">
            <v>7500000</v>
          </cell>
        </row>
        <row r="660">
          <cell r="C660" t="str">
            <v>165-2024</v>
          </cell>
          <cell r="D660">
            <v>2000000</v>
          </cell>
        </row>
        <row r="661">
          <cell r="C661" t="str">
            <v>321-2024</v>
          </cell>
          <cell r="D661">
            <v>6000000</v>
          </cell>
        </row>
        <row r="662">
          <cell r="C662" t="str">
            <v>257-2024</v>
          </cell>
          <cell r="D662">
            <v>4750000</v>
          </cell>
        </row>
        <row r="663">
          <cell r="C663" t="str">
            <v>390-2024</v>
          </cell>
          <cell r="D663">
            <v>7500000</v>
          </cell>
        </row>
        <row r="664">
          <cell r="C664" t="str">
            <v>196-2024</v>
          </cell>
          <cell r="D664">
            <v>6000000</v>
          </cell>
        </row>
        <row r="665">
          <cell r="C665" t="str">
            <v>492-2024</v>
          </cell>
          <cell r="D665">
            <v>2000000</v>
          </cell>
        </row>
        <row r="666">
          <cell r="C666" t="str">
            <v>394-2024</v>
          </cell>
          <cell r="D666">
            <v>2000000</v>
          </cell>
        </row>
        <row r="667">
          <cell r="C667" t="str">
            <v>266-2024</v>
          </cell>
          <cell r="D667">
            <v>4750000</v>
          </cell>
        </row>
        <row r="668">
          <cell r="C668" t="str">
            <v>267-2024</v>
          </cell>
          <cell r="D668">
            <v>2000000</v>
          </cell>
        </row>
        <row r="669">
          <cell r="C669" t="str">
            <v>391-2024</v>
          </cell>
          <cell r="D669">
            <v>2000000</v>
          </cell>
        </row>
        <row r="670">
          <cell r="C670" t="str">
            <v>387-2024</v>
          </cell>
          <cell r="D670">
            <v>6000000</v>
          </cell>
        </row>
        <row r="671">
          <cell r="C671" t="str">
            <v>486-2024</v>
          </cell>
          <cell r="D671">
            <v>2000000</v>
          </cell>
        </row>
        <row r="672">
          <cell r="C672" t="str">
            <v>621-2024</v>
          </cell>
          <cell r="D672">
            <v>9506000</v>
          </cell>
        </row>
        <row r="673">
          <cell r="C673" t="str">
            <v>398-2024</v>
          </cell>
          <cell r="D673">
            <v>4750000</v>
          </cell>
        </row>
        <row r="674">
          <cell r="C674" t="str">
            <v>167-2024</v>
          </cell>
          <cell r="D674">
            <v>6000000</v>
          </cell>
        </row>
        <row r="675">
          <cell r="C675" t="str">
            <v>409-2024</v>
          </cell>
          <cell r="D675">
            <v>2000000</v>
          </cell>
        </row>
        <row r="676">
          <cell r="C676" t="str">
            <v>281-2024</v>
          </cell>
          <cell r="D676">
            <v>4750000</v>
          </cell>
        </row>
        <row r="677">
          <cell r="C677" t="str">
            <v>268-2024</v>
          </cell>
          <cell r="D677">
            <v>2000000</v>
          </cell>
        </row>
        <row r="678">
          <cell r="C678" t="str">
            <v>275-2024</v>
          </cell>
          <cell r="D678">
            <v>2000000</v>
          </cell>
        </row>
        <row r="679">
          <cell r="C679" t="str">
            <v>344-2024</v>
          </cell>
          <cell r="D679">
            <v>2000000</v>
          </cell>
        </row>
        <row r="680">
          <cell r="C680" t="str">
            <v>217-2024</v>
          </cell>
          <cell r="D680">
            <v>4825600</v>
          </cell>
        </row>
        <row r="681">
          <cell r="C681" t="str">
            <v>287-2024</v>
          </cell>
          <cell r="D681">
            <v>4750000</v>
          </cell>
        </row>
        <row r="682">
          <cell r="C682" t="str">
            <v>285-2024</v>
          </cell>
          <cell r="D682">
            <v>2000000</v>
          </cell>
        </row>
        <row r="683">
          <cell r="C683" t="str">
            <v>402-2024</v>
          </cell>
          <cell r="D683">
            <v>4825600</v>
          </cell>
        </row>
        <row r="684">
          <cell r="C684" t="str">
            <v>412-2024</v>
          </cell>
          <cell r="D684">
            <v>2000000</v>
          </cell>
        </row>
        <row r="685">
          <cell r="C685" t="str">
            <v>473-2024</v>
          </cell>
          <cell r="D685">
            <v>2000000</v>
          </cell>
        </row>
        <row r="686">
          <cell r="C686" t="str">
            <v>237-2024</v>
          </cell>
          <cell r="D686">
            <v>4825600</v>
          </cell>
        </row>
        <row r="687">
          <cell r="C687" t="str">
            <v>277-2024</v>
          </cell>
          <cell r="D687">
            <v>2000000</v>
          </cell>
        </row>
        <row r="688">
          <cell r="C688" t="str">
            <v>501-2024</v>
          </cell>
          <cell r="D688">
            <v>2000000</v>
          </cell>
        </row>
        <row r="689">
          <cell r="C689" t="str">
            <v>500-2024</v>
          </cell>
          <cell r="D689">
            <v>2000000</v>
          </cell>
        </row>
        <row r="690">
          <cell r="C690" t="str">
            <v>400-2024</v>
          </cell>
          <cell r="D690">
            <v>2000000</v>
          </cell>
        </row>
        <row r="691">
          <cell r="C691" t="str">
            <v>280-2024</v>
          </cell>
          <cell r="D691">
            <v>2000000</v>
          </cell>
        </row>
        <row r="692">
          <cell r="C692" t="str">
            <v>201-2024</v>
          </cell>
          <cell r="D692">
            <v>2000000</v>
          </cell>
        </row>
        <row r="693">
          <cell r="C693" t="str">
            <v>396-2024</v>
          </cell>
          <cell r="D693">
            <v>4825600</v>
          </cell>
        </row>
        <row r="694">
          <cell r="C694" t="str">
            <v>404-2024</v>
          </cell>
          <cell r="D694">
            <v>6000000</v>
          </cell>
        </row>
        <row r="695">
          <cell r="C695" t="str">
            <v>204-2024</v>
          </cell>
          <cell r="D695">
            <v>4750000</v>
          </cell>
        </row>
        <row r="696">
          <cell r="C696" t="str">
            <v>308-2024</v>
          </cell>
          <cell r="D696">
            <v>2000000</v>
          </cell>
        </row>
        <row r="697">
          <cell r="C697" t="str">
            <v>284-2024</v>
          </cell>
          <cell r="D697">
            <v>7500000</v>
          </cell>
        </row>
        <row r="698">
          <cell r="C698" t="str">
            <v>406-2024</v>
          </cell>
          <cell r="D698">
            <v>6000000</v>
          </cell>
        </row>
        <row r="699">
          <cell r="C699" t="str">
            <v>276-2024</v>
          </cell>
          <cell r="D699">
            <v>6000000</v>
          </cell>
        </row>
        <row r="700">
          <cell r="C700" t="str">
            <v>166-2024</v>
          </cell>
          <cell r="D700">
            <v>4750000</v>
          </cell>
        </row>
        <row r="701">
          <cell r="C701" t="str">
            <v>378-2024</v>
          </cell>
          <cell r="D701">
            <v>6000000</v>
          </cell>
        </row>
        <row r="702">
          <cell r="C702" t="str">
            <v>384-2024</v>
          </cell>
          <cell r="D702">
            <v>6000000</v>
          </cell>
        </row>
        <row r="703">
          <cell r="C703" t="str">
            <v>282-2024</v>
          </cell>
          <cell r="D703">
            <v>2000000</v>
          </cell>
        </row>
        <row r="704">
          <cell r="C704" t="str">
            <v>415-2024</v>
          </cell>
          <cell r="D704">
            <v>7500000</v>
          </cell>
        </row>
        <row r="705">
          <cell r="C705" t="str">
            <v>418-2024</v>
          </cell>
          <cell r="D705">
            <v>7500000</v>
          </cell>
        </row>
        <row r="706">
          <cell r="C706" t="str">
            <v>286-2024</v>
          </cell>
          <cell r="D706">
            <v>4750000</v>
          </cell>
        </row>
        <row r="707">
          <cell r="C707" t="str">
            <v>272-2024</v>
          </cell>
          <cell r="D707">
            <v>2000000</v>
          </cell>
        </row>
        <row r="708">
          <cell r="C708" t="str">
            <v>319-2024</v>
          </cell>
          <cell r="D708">
            <v>7500000</v>
          </cell>
        </row>
        <row r="709">
          <cell r="C709" t="str">
            <v>262-2024</v>
          </cell>
          <cell r="D709">
            <v>2000000</v>
          </cell>
        </row>
        <row r="710">
          <cell r="C710" t="str">
            <v>413-2024</v>
          </cell>
          <cell r="D710">
            <v>2000000</v>
          </cell>
        </row>
        <row r="711">
          <cell r="C711" t="str">
            <v>384-2024</v>
          </cell>
          <cell r="D711">
            <v>6000000</v>
          </cell>
        </row>
        <row r="712">
          <cell r="C712" t="str">
            <v>265-2024</v>
          </cell>
          <cell r="D712">
            <v>39900000</v>
          </cell>
        </row>
        <row r="713">
          <cell r="C713" t="str">
            <v>279-2024</v>
          </cell>
          <cell r="D713">
            <v>2000000</v>
          </cell>
        </row>
        <row r="714">
          <cell r="C714" t="str">
            <v>375-2024</v>
          </cell>
          <cell r="D714">
            <v>4750000</v>
          </cell>
        </row>
        <row r="715">
          <cell r="C715" t="str">
            <v>261-2024</v>
          </cell>
          <cell r="D715">
            <v>4825600</v>
          </cell>
        </row>
        <row r="716">
          <cell r="C716" t="str">
            <v>271-2024</v>
          </cell>
          <cell r="D716">
            <v>2000000</v>
          </cell>
        </row>
        <row r="717">
          <cell r="C717" t="str">
            <v>408-2024</v>
          </cell>
          <cell r="D717">
            <v>6000000</v>
          </cell>
        </row>
        <row r="718">
          <cell r="C718" t="str">
            <v>551-2024</v>
          </cell>
          <cell r="D718">
            <v>7500000</v>
          </cell>
        </row>
        <row r="719">
          <cell r="C719" t="str">
            <v>389-2024</v>
          </cell>
          <cell r="D719">
            <v>6000000</v>
          </cell>
        </row>
        <row r="720">
          <cell r="C720" t="str">
            <v>389-2024</v>
          </cell>
          <cell r="D720">
            <v>6000000</v>
          </cell>
        </row>
        <row r="721">
          <cell r="C721" t="str">
            <v>389-2024</v>
          </cell>
          <cell r="D721">
            <v>6000000</v>
          </cell>
        </row>
        <row r="722">
          <cell r="C722" t="str">
            <v>385-2024</v>
          </cell>
          <cell r="D722">
            <v>7500000</v>
          </cell>
        </row>
        <row r="723">
          <cell r="C723" t="str">
            <v>283-2024</v>
          </cell>
          <cell r="D723">
            <v>2000000</v>
          </cell>
        </row>
        <row r="724">
          <cell r="C724" t="str">
            <v>194-2024</v>
          </cell>
          <cell r="D724">
            <v>2000000</v>
          </cell>
        </row>
        <row r="725">
          <cell r="C725" t="str">
            <v>264-2024</v>
          </cell>
          <cell r="D725">
            <v>2000000</v>
          </cell>
        </row>
        <row r="726">
          <cell r="C726" t="str">
            <v>477-2024</v>
          </cell>
          <cell r="D726">
            <v>733333.33</v>
          </cell>
        </row>
        <row r="727">
          <cell r="C727" t="str">
            <v>322-2024</v>
          </cell>
          <cell r="D727">
            <v>2000000</v>
          </cell>
        </row>
        <row r="728">
          <cell r="C728" t="str">
            <v>704-2024</v>
          </cell>
          <cell r="D728">
            <v>106805500</v>
          </cell>
        </row>
        <row r="729">
          <cell r="C729" t="str">
            <v>250-2024</v>
          </cell>
          <cell r="D729">
            <v>2000000</v>
          </cell>
        </row>
        <row r="730">
          <cell r="C730" t="str">
            <v>250-2024</v>
          </cell>
          <cell r="D730">
            <v>1000000</v>
          </cell>
        </row>
        <row r="731">
          <cell r="C731" t="str">
            <v>657-2024</v>
          </cell>
          <cell r="D731">
            <v>7540000</v>
          </cell>
        </row>
        <row r="732">
          <cell r="C732" t="str">
            <v>667-2024</v>
          </cell>
          <cell r="D732">
            <v>6000000</v>
          </cell>
        </row>
        <row r="733">
          <cell r="C733" t="str">
            <v>690-2024</v>
          </cell>
          <cell r="D733">
            <v>6000000</v>
          </cell>
        </row>
        <row r="734">
          <cell r="C734" t="str">
            <v>655-2024</v>
          </cell>
          <cell r="D734">
            <v>7540000</v>
          </cell>
        </row>
        <row r="735">
          <cell r="C735" t="str">
            <v>760-2024</v>
          </cell>
          <cell r="D735">
            <v>6000000</v>
          </cell>
        </row>
        <row r="736">
          <cell r="C736" t="str">
            <v>663-2024</v>
          </cell>
          <cell r="D736">
            <v>7540000</v>
          </cell>
        </row>
        <row r="737">
          <cell r="C737" t="str">
            <v>750-2024</v>
          </cell>
          <cell r="D737">
            <v>3000000</v>
          </cell>
        </row>
        <row r="738">
          <cell r="C738" t="str">
            <v>719-2024</v>
          </cell>
          <cell r="D738">
            <v>3000000</v>
          </cell>
        </row>
        <row r="739">
          <cell r="C739" t="str">
            <v>703-2024</v>
          </cell>
          <cell r="D739">
            <v>3000000</v>
          </cell>
        </row>
        <row r="740">
          <cell r="C740" t="str">
            <v>799-2024</v>
          </cell>
          <cell r="D740">
            <v>3000000</v>
          </cell>
        </row>
        <row r="741">
          <cell r="C741" t="str">
            <v>738-2024</v>
          </cell>
          <cell r="D741">
            <v>6000000</v>
          </cell>
        </row>
        <row r="742">
          <cell r="C742" t="str">
            <v>672-2024</v>
          </cell>
          <cell r="D742">
            <v>6000000</v>
          </cell>
        </row>
        <row r="743">
          <cell r="C743" t="str">
            <v>731-2024</v>
          </cell>
          <cell r="D743">
            <v>3000000</v>
          </cell>
        </row>
        <row r="744">
          <cell r="C744" t="str">
            <v>898-2024</v>
          </cell>
          <cell r="D744">
            <v>4750000</v>
          </cell>
        </row>
        <row r="745">
          <cell r="C745" t="str">
            <v>851-2024</v>
          </cell>
          <cell r="D745">
            <v>6000000</v>
          </cell>
        </row>
        <row r="746">
          <cell r="C746" t="str">
            <v>945-2024</v>
          </cell>
          <cell r="D746">
            <v>9853200</v>
          </cell>
        </row>
        <row r="747">
          <cell r="C747" t="str">
            <v>741-2024</v>
          </cell>
          <cell r="D747">
            <v>6000000</v>
          </cell>
        </row>
        <row r="748">
          <cell r="C748" t="str">
            <v>819-2024</v>
          </cell>
          <cell r="D748">
            <v>6000000</v>
          </cell>
        </row>
        <row r="749">
          <cell r="C749" t="str">
            <v>822-2024</v>
          </cell>
          <cell r="D749">
            <v>4825000</v>
          </cell>
        </row>
        <row r="750">
          <cell r="C750" t="str">
            <v>817-2024</v>
          </cell>
          <cell r="D750">
            <v>4825000</v>
          </cell>
        </row>
        <row r="751">
          <cell r="C751" t="str">
            <v>639-2024</v>
          </cell>
          <cell r="D751">
            <v>4750000</v>
          </cell>
        </row>
        <row r="752">
          <cell r="C752" t="str">
            <v>722-2024</v>
          </cell>
          <cell r="D752">
            <v>4825000</v>
          </cell>
        </row>
        <row r="753">
          <cell r="C753" t="str">
            <v>642-2024</v>
          </cell>
          <cell r="D753">
            <v>4750000</v>
          </cell>
        </row>
        <row r="754">
          <cell r="C754" t="str">
            <v>659-2024</v>
          </cell>
          <cell r="D754">
            <v>4825000</v>
          </cell>
        </row>
        <row r="755">
          <cell r="C755" t="str">
            <v>739-2024</v>
          </cell>
          <cell r="D755">
            <v>3000000</v>
          </cell>
        </row>
        <row r="756">
          <cell r="C756" t="str">
            <v>730-2024</v>
          </cell>
          <cell r="D756">
            <v>3000000</v>
          </cell>
        </row>
        <row r="757">
          <cell r="C757" t="str">
            <v>895-2024</v>
          </cell>
          <cell r="D757">
            <v>2500000</v>
          </cell>
        </row>
        <row r="758">
          <cell r="C758" t="str">
            <v>689-2024</v>
          </cell>
          <cell r="D758">
            <v>3000000</v>
          </cell>
        </row>
        <row r="759">
          <cell r="C759" t="str">
            <v>681-2024</v>
          </cell>
          <cell r="D759">
            <v>6000000</v>
          </cell>
        </row>
        <row r="760">
          <cell r="C760" t="str">
            <v>712-2024</v>
          </cell>
          <cell r="D760">
            <v>6000000</v>
          </cell>
        </row>
        <row r="761">
          <cell r="C761" t="str">
            <v>789-2024</v>
          </cell>
          <cell r="D761">
            <v>7540000</v>
          </cell>
        </row>
        <row r="762">
          <cell r="C762" t="str">
            <v>888-2024</v>
          </cell>
          <cell r="D762">
            <v>30171550</v>
          </cell>
        </row>
        <row r="763">
          <cell r="C763" t="str">
            <v>889-2024</v>
          </cell>
          <cell r="D763">
            <v>32976500</v>
          </cell>
        </row>
        <row r="764">
          <cell r="C764" t="str">
            <v>890-2024</v>
          </cell>
          <cell r="D764">
            <v>40641250</v>
          </cell>
        </row>
        <row r="765">
          <cell r="C765" t="str">
            <v>652-2024</v>
          </cell>
          <cell r="D765">
            <v>6000000</v>
          </cell>
        </row>
        <row r="766">
          <cell r="C766" t="str">
            <v>759-2024</v>
          </cell>
          <cell r="D766">
            <v>3000000</v>
          </cell>
        </row>
        <row r="767">
          <cell r="C767" t="str">
            <v>777-2024</v>
          </cell>
          <cell r="D767">
            <v>3000000</v>
          </cell>
        </row>
        <row r="768">
          <cell r="C768" t="str">
            <v>796-2024</v>
          </cell>
          <cell r="D768">
            <v>2500000</v>
          </cell>
        </row>
        <row r="769">
          <cell r="C769" t="str">
            <v>629-2024</v>
          </cell>
          <cell r="D769">
            <v>1800000</v>
          </cell>
        </row>
        <row r="770">
          <cell r="C770" t="str">
            <v>698-2024</v>
          </cell>
          <cell r="D770">
            <v>3000000</v>
          </cell>
        </row>
        <row r="771">
          <cell r="C771" t="str">
            <v>891-2024</v>
          </cell>
          <cell r="D771">
            <v>27667150</v>
          </cell>
        </row>
        <row r="772">
          <cell r="C772" t="str">
            <v>647-2024</v>
          </cell>
          <cell r="D772">
            <v>7540000</v>
          </cell>
        </row>
        <row r="773">
          <cell r="C773" t="str">
            <v>646-2024</v>
          </cell>
          <cell r="D773">
            <v>7540000</v>
          </cell>
        </row>
        <row r="774">
          <cell r="C774" t="str">
            <v>775-2024</v>
          </cell>
          <cell r="D774">
            <v>4825000</v>
          </cell>
        </row>
        <row r="775">
          <cell r="C775" t="str">
            <v>638-2024</v>
          </cell>
          <cell r="D775">
            <v>4825000</v>
          </cell>
        </row>
        <row r="776">
          <cell r="C776" t="str">
            <v>947-2024</v>
          </cell>
          <cell r="D776">
            <v>9891756</v>
          </cell>
        </row>
        <row r="777">
          <cell r="C777" t="str">
            <v>961-2024</v>
          </cell>
          <cell r="D777">
            <v>13508223.119999999</v>
          </cell>
        </row>
        <row r="778">
          <cell r="C778" t="str">
            <v>964-2024</v>
          </cell>
          <cell r="D778">
            <v>36842400</v>
          </cell>
        </row>
        <row r="779">
          <cell r="C779" t="str">
            <v>967-2024</v>
          </cell>
          <cell r="D779">
            <v>2403324</v>
          </cell>
        </row>
        <row r="780">
          <cell r="C780" t="str">
            <v>792-2024</v>
          </cell>
          <cell r="D780">
            <v>3000000</v>
          </cell>
        </row>
        <row r="781">
          <cell r="C781" t="str">
            <v>765-2024</v>
          </cell>
          <cell r="D781">
            <v>3000000</v>
          </cell>
        </row>
        <row r="782">
          <cell r="C782" t="str">
            <v>729-2024</v>
          </cell>
          <cell r="D782">
            <v>7540000</v>
          </cell>
        </row>
        <row r="783">
          <cell r="C783" t="str">
            <v>648-2024</v>
          </cell>
          <cell r="D783">
            <v>6000000</v>
          </cell>
        </row>
        <row r="784">
          <cell r="C784" t="str">
            <v>629-2024</v>
          </cell>
          <cell r="D784">
            <v>6000000</v>
          </cell>
        </row>
        <row r="785">
          <cell r="C785" t="str">
            <v>801-2024</v>
          </cell>
          <cell r="D785">
            <v>2500000</v>
          </cell>
        </row>
        <row r="786">
          <cell r="C786" t="str">
            <v>687-2024</v>
          </cell>
          <cell r="D786">
            <v>4750000</v>
          </cell>
        </row>
        <row r="787">
          <cell r="C787" t="str">
            <v>633-2024</v>
          </cell>
          <cell r="D787">
            <v>4750000</v>
          </cell>
        </row>
        <row r="788">
          <cell r="C788" t="str">
            <v>754-2024</v>
          </cell>
          <cell r="D788">
            <v>3000000</v>
          </cell>
        </row>
        <row r="789">
          <cell r="C789" t="str">
            <v>755-2024</v>
          </cell>
          <cell r="D789">
            <v>2500000</v>
          </cell>
        </row>
        <row r="790">
          <cell r="C790" t="str">
            <v>978-2024</v>
          </cell>
          <cell r="D790">
            <v>31498000</v>
          </cell>
        </row>
        <row r="791">
          <cell r="C791" t="str">
            <v>820-2024</v>
          </cell>
          <cell r="D791">
            <v>6000000</v>
          </cell>
        </row>
        <row r="792">
          <cell r="C792" t="str">
            <v>713-2024</v>
          </cell>
          <cell r="D792">
            <v>6000000</v>
          </cell>
        </row>
        <row r="793">
          <cell r="C793" t="str">
            <v>640-2024</v>
          </cell>
          <cell r="D793">
            <v>4750000</v>
          </cell>
        </row>
        <row r="794">
          <cell r="C794" t="str">
            <v>836-2024</v>
          </cell>
          <cell r="D794">
            <v>2500000</v>
          </cell>
        </row>
        <row r="795">
          <cell r="C795" t="str">
            <v>795-2024</v>
          </cell>
          <cell r="D795">
            <v>3000000</v>
          </cell>
        </row>
        <row r="796">
          <cell r="C796" t="str">
            <v>776-2024</v>
          </cell>
          <cell r="D796">
            <v>3000000</v>
          </cell>
        </row>
        <row r="797">
          <cell r="C797" t="str">
            <v>637-2024</v>
          </cell>
          <cell r="D797">
            <v>4750000</v>
          </cell>
        </row>
        <row r="798">
          <cell r="C798" t="str">
            <v>840-2024</v>
          </cell>
          <cell r="D798">
            <v>3000000</v>
          </cell>
        </row>
        <row r="799">
          <cell r="C799" t="str">
            <v>697-2024</v>
          </cell>
          <cell r="D799">
            <v>3000000</v>
          </cell>
        </row>
        <row r="800">
          <cell r="C800" t="str">
            <v>733-2024</v>
          </cell>
          <cell r="D800">
            <v>3000000</v>
          </cell>
        </row>
        <row r="801">
          <cell r="C801" t="str">
            <v>798-2024</v>
          </cell>
          <cell r="D801">
            <v>3000000</v>
          </cell>
        </row>
        <row r="802">
          <cell r="C802" t="str">
            <v>700-2024</v>
          </cell>
          <cell r="D802">
            <v>4825000</v>
          </cell>
        </row>
        <row r="803">
          <cell r="C803" t="str">
            <v>753-2024</v>
          </cell>
          <cell r="D803">
            <v>3000000</v>
          </cell>
        </row>
        <row r="804">
          <cell r="C804" t="str">
            <v>645-2024</v>
          </cell>
          <cell r="D804">
            <v>6000000</v>
          </cell>
        </row>
        <row r="805">
          <cell r="C805" t="str">
            <v>809-2024</v>
          </cell>
          <cell r="D805">
            <v>3000000</v>
          </cell>
        </row>
        <row r="806">
          <cell r="C806" t="str">
            <v>847-2024</v>
          </cell>
          <cell r="D806">
            <v>3000000</v>
          </cell>
        </row>
        <row r="807">
          <cell r="C807" t="str">
            <v>846-2024</v>
          </cell>
          <cell r="D807">
            <v>3000000</v>
          </cell>
        </row>
        <row r="808">
          <cell r="C808" t="str">
            <v>852-2024</v>
          </cell>
          <cell r="D808">
            <v>3000000</v>
          </cell>
        </row>
        <row r="809">
          <cell r="C809" t="str">
            <v>896-2024</v>
          </cell>
          <cell r="D809">
            <v>2500000</v>
          </cell>
        </row>
        <row r="810">
          <cell r="C810" t="str">
            <v>660-2024</v>
          </cell>
          <cell r="D810">
            <v>4825000</v>
          </cell>
        </row>
        <row r="811">
          <cell r="C811" t="str">
            <v>726-2024</v>
          </cell>
          <cell r="D811">
            <v>3000000</v>
          </cell>
        </row>
        <row r="812">
          <cell r="C812" t="str">
            <v>901-2024</v>
          </cell>
          <cell r="D812">
            <v>3000000</v>
          </cell>
        </row>
        <row r="813">
          <cell r="C813" t="str">
            <v>913-2024</v>
          </cell>
          <cell r="D813">
            <v>2500000</v>
          </cell>
        </row>
        <row r="814">
          <cell r="C814" t="str">
            <v>812-2024</v>
          </cell>
          <cell r="D814">
            <v>3000000</v>
          </cell>
        </row>
        <row r="815">
          <cell r="C815" t="str">
            <v>842-2024</v>
          </cell>
          <cell r="D815">
            <v>4825000</v>
          </cell>
        </row>
        <row r="816">
          <cell r="C816" t="str">
            <v>651-2024</v>
          </cell>
          <cell r="D816">
            <v>7540000</v>
          </cell>
        </row>
        <row r="817">
          <cell r="C817" t="str">
            <v>811-2024</v>
          </cell>
          <cell r="D817">
            <v>2500000</v>
          </cell>
        </row>
        <row r="818">
          <cell r="C818" t="str">
            <v>653-2024</v>
          </cell>
          <cell r="D818">
            <v>7540000</v>
          </cell>
        </row>
        <row r="819">
          <cell r="C819" t="str">
            <v>963-2024</v>
          </cell>
          <cell r="D819">
            <v>800000</v>
          </cell>
        </row>
        <row r="820">
          <cell r="C820" t="str">
            <v>857-2024</v>
          </cell>
          <cell r="D820">
            <v>4825000</v>
          </cell>
        </row>
        <row r="821">
          <cell r="C821" t="str">
            <v>802-2024</v>
          </cell>
          <cell r="D821">
            <v>3000000</v>
          </cell>
        </row>
        <row r="822">
          <cell r="C822" t="str">
            <v>778-2024</v>
          </cell>
          <cell r="D822">
            <v>4750000</v>
          </cell>
        </row>
        <row r="823">
          <cell r="C823" t="str">
            <v>641-2024</v>
          </cell>
          <cell r="D823">
            <v>7500000</v>
          </cell>
        </row>
        <row r="824">
          <cell r="C824" t="str">
            <v>805-2024</v>
          </cell>
          <cell r="D824">
            <v>3000000</v>
          </cell>
        </row>
        <row r="825">
          <cell r="C825" t="str">
            <v>675-2024</v>
          </cell>
          <cell r="D825">
            <v>4750000</v>
          </cell>
        </row>
        <row r="826">
          <cell r="C826" t="str">
            <v>658-2024</v>
          </cell>
          <cell r="D826">
            <v>4750000</v>
          </cell>
        </row>
        <row r="827">
          <cell r="C827" t="str">
            <v>748-2024</v>
          </cell>
          <cell r="D827">
            <v>3000000</v>
          </cell>
        </row>
        <row r="828">
          <cell r="C828" t="str">
            <v>715-2024</v>
          </cell>
          <cell r="D828">
            <v>3000000</v>
          </cell>
        </row>
        <row r="829">
          <cell r="C829" t="str">
            <v>837-2024</v>
          </cell>
          <cell r="D829">
            <v>2500000</v>
          </cell>
        </row>
        <row r="830">
          <cell r="C830" t="str">
            <v>912-2024</v>
          </cell>
          <cell r="D830">
            <v>7540000</v>
          </cell>
        </row>
        <row r="831">
          <cell r="C831" t="str">
            <v>824-2024</v>
          </cell>
          <cell r="D831">
            <v>3000000</v>
          </cell>
        </row>
        <row r="832">
          <cell r="C832" t="str">
            <v>644-2024</v>
          </cell>
          <cell r="D832">
            <v>4750000</v>
          </cell>
        </row>
        <row r="833">
          <cell r="C833" t="str">
            <v>747-2024</v>
          </cell>
          <cell r="D833">
            <v>3000000</v>
          </cell>
        </row>
        <row r="834">
          <cell r="C834" t="str">
            <v>856-2024</v>
          </cell>
          <cell r="D834">
            <v>3000000</v>
          </cell>
        </row>
        <row r="835">
          <cell r="C835" t="str">
            <v>784-2024</v>
          </cell>
          <cell r="D835">
            <v>3000000</v>
          </cell>
        </row>
        <row r="836">
          <cell r="C836" t="str">
            <v>917-2024</v>
          </cell>
          <cell r="D836">
            <v>2500000</v>
          </cell>
        </row>
        <row r="837">
          <cell r="C837" t="str">
            <v>654-2024</v>
          </cell>
          <cell r="D837">
            <v>4825000</v>
          </cell>
        </row>
        <row r="838">
          <cell r="C838" t="str">
            <v>910-2024</v>
          </cell>
          <cell r="D838">
            <v>2500000</v>
          </cell>
        </row>
        <row r="839">
          <cell r="C839" t="str">
            <v>788-2024</v>
          </cell>
          <cell r="D839">
            <v>3000000</v>
          </cell>
        </row>
        <row r="840">
          <cell r="C840" t="str">
            <v>918-2024</v>
          </cell>
          <cell r="D840">
            <v>3000000</v>
          </cell>
        </row>
        <row r="841">
          <cell r="C841" t="str">
            <v>835-2024</v>
          </cell>
          <cell r="D841">
            <v>4825000</v>
          </cell>
        </row>
        <row r="842">
          <cell r="C842" t="str">
            <v>911-2024</v>
          </cell>
          <cell r="D842">
            <v>2500000</v>
          </cell>
        </row>
        <row r="843">
          <cell r="C843" t="str">
            <v>914-2024</v>
          </cell>
          <cell r="D843">
            <v>2500000</v>
          </cell>
        </row>
        <row r="844">
          <cell r="C844" t="str">
            <v>770-2024</v>
          </cell>
          <cell r="D844">
            <v>3000000</v>
          </cell>
        </row>
        <row r="845">
          <cell r="C845" t="str">
            <v>949-2024</v>
          </cell>
          <cell r="D845">
            <v>1250000</v>
          </cell>
        </row>
        <row r="846">
          <cell r="C846" t="str">
            <v>951-2024</v>
          </cell>
          <cell r="D846">
            <v>916300</v>
          </cell>
        </row>
        <row r="847">
          <cell r="C847" t="str">
            <v>744-2024</v>
          </cell>
          <cell r="D847">
            <v>3000000</v>
          </cell>
        </row>
        <row r="848">
          <cell r="C848" t="str">
            <v>915-2024</v>
          </cell>
          <cell r="D848">
            <v>4750000</v>
          </cell>
        </row>
        <row r="849">
          <cell r="C849" t="str">
            <v>679-2024</v>
          </cell>
          <cell r="D849">
            <v>6000000</v>
          </cell>
        </row>
        <row r="850">
          <cell r="C850" t="str">
            <v>923-2024</v>
          </cell>
          <cell r="D850">
            <v>6000000</v>
          </cell>
        </row>
        <row r="851">
          <cell r="C851" t="str">
            <v>806-2024</v>
          </cell>
          <cell r="D851">
            <v>3000000</v>
          </cell>
        </row>
        <row r="852">
          <cell r="C852" t="str">
            <v>828-2024</v>
          </cell>
          <cell r="D852">
            <v>2500000</v>
          </cell>
        </row>
        <row r="853">
          <cell r="C853" t="str">
            <v>688-2024</v>
          </cell>
          <cell r="D853">
            <v>6000000</v>
          </cell>
        </row>
        <row r="854">
          <cell r="C854" t="str">
            <v>957-2024</v>
          </cell>
          <cell r="D854">
            <v>800000</v>
          </cell>
        </row>
        <row r="855">
          <cell r="C855" t="str">
            <v>708-2024</v>
          </cell>
          <cell r="D855">
            <v>3000000</v>
          </cell>
        </row>
        <row r="856">
          <cell r="C856" t="str">
            <v>661-2024</v>
          </cell>
          <cell r="D856">
            <v>7540000</v>
          </cell>
        </row>
        <row r="857">
          <cell r="C857" t="str">
            <v>880-2024</v>
          </cell>
          <cell r="D857">
            <v>7540000</v>
          </cell>
        </row>
        <row r="858">
          <cell r="C858" t="str">
            <v>878-2024</v>
          </cell>
          <cell r="D858">
            <v>7540000</v>
          </cell>
        </row>
        <row r="859">
          <cell r="C859" t="str">
            <v>872-2024</v>
          </cell>
          <cell r="D859">
            <v>7540000</v>
          </cell>
        </row>
        <row r="860">
          <cell r="C860" t="str">
            <v>674-2024</v>
          </cell>
          <cell r="D860">
            <v>7540000</v>
          </cell>
        </row>
        <row r="861">
          <cell r="C861" t="str">
            <v>685-2024</v>
          </cell>
          <cell r="D861">
            <v>4750000</v>
          </cell>
        </row>
        <row r="862">
          <cell r="C862" t="str">
            <v>673-2024</v>
          </cell>
          <cell r="D862">
            <v>7540000</v>
          </cell>
        </row>
        <row r="863">
          <cell r="C863" t="str">
            <v>816-2024</v>
          </cell>
          <cell r="D863">
            <v>3000000</v>
          </cell>
        </row>
        <row r="864">
          <cell r="C864" t="str">
            <v>710-2024</v>
          </cell>
          <cell r="D864">
            <v>3000000</v>
          </cell>
        </row>
        <row r="865">
          <cell r="C865" t="str">
            <v>868-2024</v>
          </cell>
          <cell r="D865">
            <v>6000000</v>
          </cell>
        </row>
        <row r="866">
          <cell r="C866" t="str">
            <v>839-2024</v>
          </cell>
          <cell r="D866">
            <v>3000000</v>
          </cell>
        </row>
        <row r="867">
          <cell r="C867" t="str">
            <v>669-2024</v>
          </cell>
          <cell r="D867">
            <v>6000000</v>
          </cell>
        </row>
        <row r="868">
          <cell r="C868" t="str">
            <v>782-2024</v>
          </cell>
          <cell r="D868">
            <v>3000000</v>
          </cell>
        </row>
        <row r="869">
          <cell r="C869" t="str">
            <v>671-2024</v>
          </cell>
          <cell r="D869">
            <v>7540000</v>
          </cell>
        </row>
        <row r="870">
          <cell r="C870" t="str">
            <v>813-2024</v>
          </cell>
          <cell r="D870">
            <v>2500000</v>
          </cell>
        </row>
        <row r="871">
          <cell r="C871" t="str">
            <v>740-2024</v>
          </cell>
          <cell r="D871">
            <v>3000000</v>
          </cell>
        </row>
        <row r="872">
          <cell r="C872" t="str">
            <v>706-2024</v>
          </cell>
          <cell r="D872">
            <v>3000000</v>
          </cell>
        </row>
        <row r="873">
          <cell r="C873" t="str">
            <v>968-2024</v>
          </cell>
          <cell r="D873">
            <v>916300</v>
          </cell>
        </row>
        <row r="874">
          <cell r="C874" t="str">
            <v>906-2024</v>
          </cell>
          <cell r="D874">
            <v>4750000</v>
          </cell>
        </row>
        <row r="875">
          <cell r="C875" t="str">
            <v>714-2024</v>
          </cell>
          <cell r="D875">
            <v>3000000</v>
          </cell>
        </row>
        <row r="876">
          <cell r="C876" t="str">
            <v>956-2024</v>
          </cell>
          <cell r="D876">
            <v>800000</v>
          </cell>
        </row>
        <row r="877">
          <cell r="C877" t="str">
            <v>783-2024</v>
          </cell>
          <cell r="D877">
            <v>2500000</v>
          </cell>
        </row>
        <row r="878">
          <cell r="C878" t="str">
            <v>725-2024</v>
          </cell>
          <cell r="D878">
            <v>3000000</v>
          </cell>
        </row>
        <row r="879">
          <cell r="C879" t="str">
            <v>665-2024</v>
          </cell>
          <cell r="D879">
            <v>4825000</v>
          </cell>
        </row>
        <row r="880">
          <cell r="C880" t="str">
            <v>699-2024</v>
          </cell>
          <cell r="D880">
            <v>3000000</v>
          </cell>
        </row>
        <row r="881">
          <cell r="C881" t="str">
            <v>728-2024</v>
          </cell>
          <cell r="D881">
            <v>3000000</v>
          </cell>
        </row>
        <row r="882">
          <cell r="C882" t="str">
            <v>761-2024</v>
          </cell>
          <cell r="D882">
            <v>3000000</v>
          </cell>
        </row>
        <row r="883">
          <cell r="C883" t="str">
            <v>803-2024</v>
          </cell>
          <cell r="D883">
            <v>3000000</v>
          </cell>
        </row>
        <row r="884">
          <cell r="C884" t="str">
            <v>869-2024</v>
          </cell>
          <cell r="D884">
            <v>3000000</v>
          </cell>
        </row>
        <row r="885">
          <cell r="C885" t="str">
            <v>808-2024</v>
          </cell>
          <cell r="D885">
            <v>4825000</v>
          </cell>
        </row>
        <row r="886">
          <cell r="C886" t="str">
            <v>954-2024</v>
          </cell>
          <cell r="D886">
            <v>1100000</v>
          </cell>
        </row>
        <row r="887">
          <cell r="C887" t="str">
            <v>800-2024</v>
          </cell>
          <cell r="D887">
            <v>2500000</v>
          </cell>
        </row>
        <row r="888">
          <cell r="C888" t="str">
            <v>909-2024</v>
          </cell>
          <cell r="D888">
            <v>3000000</v>
          </cell>
        </row>
        <row r="889">
          <cell r="C889" t="str">
            <v>834-2024</v>
          </cell>
          <cell r="D889">
            <v>3000000</v>
          </cell>
        </row>
        <row r="890">
          <cell r="C890" t="str">
            <v>717-2024</v>
          </cell>
          <cell r="D890">
            <v>4750000</v>
          </cell>
        </row>
        <row r="891">
          <cell r="C891" t="str">
            <v>873-2024</v>
          </cell>
          <cell r="D891">
            <v>3000000</v>
          </cell>
        </row>
        <row r="892">
          <cell r="C892" t="str">
            <v>694-2024</v>
          </cell>
          <cell r="D892">
            <v>3000000</v>
          </cell>
        </row>
        <row r="893">
          <cell r="C893" t="str">
            <v>931-2024</v>
          </cell>
          <cell r="D893">
            <v>7540000</v>
          </cell>
        </row>
        <row r="894">
          <cell r="C894" t="str">
            <v>939-2024</v>
          </cell>
          <cell r="D894">
            <v>3000000</v>
          </cell>
        </row>
        <row r="895">
          <cell r="C895" t="str">
            <v>662-2024</v>
          </cell>
          <cell r="D895">
            <v>7540000</v>
          </cell>
        </row>
        <row r="896">
          <cell r="C896" t="str">
            <v>711-2024</v>
          </cell>
          <cell r="D896">
            <v>3000000</v>
          </cell>
        </row>
        <row r="897">
          <cell r="C897" t="str">
            <v>894-2024</v>
          </cell>
          <cell r="D897">
            <v>3000000</v>
          </cell>
        </row>
        <row r="898">
          <cell r="C898" t="str">
            <v>757-2024</v>
          </cell>
          <cell r="D898">
            <v>6000000</v>
          </cell>
        </row>
        <row r="899">
          <cell r="C899" t="str">
            <v>844-2024</v>
          </cell>
          <cell r="D899">
            <v>2500000</v>
          </cell>
        </row>
        <row r="900">
          <cell r="C900" t="str">
            <v>787-2024</v>
          </cell>
          <cell r="D900">
            <v>3000000</v>
          </cell>
        </row>
        <row r="901">
          <cell r="C901" t="str">
            <v>933-2024</v>
          </cell>
          <cell r="D901">
            <v>1250000</v>
          </cell>
        </row>
        <row r="902">
          <cell r="C902" t="str">
            <v>702-2024</v>
          </cell>
          <cell r="D902">
            <v>7540000</v>
          </cell>
        </row>
        <row r="903">
          <cell r="C903" t="str">
            <v>727-2024</v>
          </cell>
          <cell r="D903">
            <v>3000000</v>
          </cell>
        </row>
        <row r="904">
          <cell r="C904" t="str">
            <v>771-2024</v>
          </cell>
          <cell r="D904">
            <v>3000000</v>
          </cell>
        </row>
        <row r="905">
          <cell r="C905" t="str">
            <v>720-2024</v>
          </cell>
          <cell r="D905">
            <v>4750000</v>
          </cell>
        </row>
        <row r="906">
          <cell r="C906" t="str">
            <v>785-2024</v>
          </cell>
          <cell r="D906">
            <v>2500000</v>
          </cell>
        </row>
        <row r="907">
          <cell r="C907" t="str">
            <v>876-2024</v>
          </cell>
          <cell r="D907">
            <v>3000000</v>
          </cell>
        </row>
        <row r="908">
          <cell r="C908" t="str">
            <v>786-2024</v>
          </cell>
          <cell r="D908">
            <v>2500000</v>
          </cell>
        </row>
        <row r="909">
          <cell r="C909" t="str">
            <v>818-2024</v>
          </cell>
          <cell r="D909">
            <v>4825000</v>
          </cell>
        </row>
        <row r="910">
          <cell r="C910" t="str">
            <v>745-2024</v>
          </cell>
          <cell r="D910">
            <v>3000000</v>
          </cell>
        </row>
        <row r="911">
          <cell r="C911" t="str">
            <v>723-2024</v>
          </cell>
          <cell r="D911">
            <v>4750000</v>
          </cell>
        </row>
        <row r="912">
          <cell r="C912" t="str">
            <v>962-2024</v>
          </cell>
          <cell r="D912">
            <v>2200000</v>
          </cell>
        </row>
        <row r="913">
          <cell r="C913" t="str">
            <v>680-2024</v>
          </cell>
          <cell r="D913">
            <v>6000000</v>
          </cell>
        </row>
        <row r="914">
          <cell r="C914" t="str">
            <v>682-2024</v>
          </cell>
          <cell r="D914">
            <v>4750000</v>
          </cell>
        </row>
        <row r="915">
          <cell r="C915" t="str">
            <v>908-2024</v>
          </cell>
          <cell r="D915">
            <v>3000000</v>
          </cell>
        </row>
        <row r="916">
          <cell r="C916" t="str">
            <v>833-2024</v>
          </cell>
          <cell r="D916">
            <v>3000000</v>
          </cell>
        </row>
        <row r="917">
          <cell r="C917" t="str">
            <v>932-2024</v>
          </cell>
          <cell r="D917">
            <v>4825000</v>
          </cell>
        </row>
        <row r="918">
          <cell r="C918" t="str">
            <v>736-2024</v>
          </cell>
          <cell r="D918">
            <v>3000000</v>
          </cell>
        </row>
        <row r="919">
          <cell r="C919" t="str">
            <v>743-2024</v>
          </cell>
          <cell r="D919">
            <v>3000000</v>
          </cell>
        </row>
        <row r="920">
          <cell r="C920" t="str">
            <v>686-2024</v>
          </cell>
          <cell r="D920">
            <v>4750000</v>
          </cell>
        </row>
        <row r="921">
          <cell r="C921" t="str">
            <v>737-2024</v>
          </cell>
          <cell r="D921">
            <v>4825000</v>
          </cell>
        </row>
        <row r="922">
          <cell r="C922" t="str">
            <v>821-2024</v>
          </cell>
          <cell r="D922">
            <v>3000000</v>
          </cell>
        </row>
        <row r="923">
          <cell r="C923" t="str">
            <v>884-2024</v>
          </cell>
          <cell r="D923">
            <v>2500000</v>
          </cell>
        </row>
        <row r="924">
          <cell r="C924" t="str">
            <v>825-2024</v>
          </cell>
          <cell r="D924">
            <v>6000000</v>
          </cell>
        </row>
        <row r="925">
          <cell r="C925" t="str">
            <v>779-2024</v>
          </cell>
          <cell r="D925">
            <v>3000000</v>
          </cell>
        </row>
        <row r="926">
          <cell r="C926" t="str">
            <v>885-2024</v>
          </cell>
          <cell r="D926">
            <v>2500000</v>
          </cell>
        </row>
        <row r="927">
          <cell r="C927" t="str">
            <v>718-2024</v>
          </cell>
          <cell r="D927">
            <v>3000000</v>
          </cell>
        </row>
        <row r="928">
          <cell r="C928" t="str">
            <v>832-2024</v>
          </cell>
          <cell r="D928">
            <v>3000000</v>
          </cell>
        </row>
        <row r="929">
          <cell r="C929" t="str">
            <v>656-2024</v>
          </cell>
          <cell r="D929">
            <v>7540000</v>
          </cell>
        </row>
        <row r="930">
          <cell r="C930" t="str">
            <v>865-2024</v>
          </cell>
          <cell r="D930">
            <v>3000000</v>
          </cell>
        </row>
        <row r="931">
          <cell r="C931" t="str">
            <v>864-2024</v>
          </cell>
          <cell r="D931">
            <v>2500000</v>
          </cell>
        </row>
        <row r="932">
          <cell r="C932" t="str">
            <v>854-2024</v>
          </cell>
          <cell r="D932">
            <v>3000000</v>
          </cell>
        </row>
        <row r="933">
          <cell r="C933" t="str">
            <v>793-2024</v>
          </cell>
          <cell r="D933">
            <v>3000000</v>
          </cell>
        </row>
        <row r="934">
          <cell r="C934" t="str">
            <v>907-2024</v>
          </cell>
          <cell r="D934">
            <v>4825000</v>
          </cell>
        </row>
        <row r="935">
          <cell r="C935" t="str">
            <v>794-2024</v>
          </cell>
          <cell r="D935">
            <v>3000000</v>
          </cell>
        </row>
        <row r="936">
          <cell r="C936" t="str">
            <v>848-2024</v>
          </cell>
          <cell r="D936">
            <v>4825000</v>
          </cell>
        </row>
        <row r="937">
          <cell r="C937" t="str">
            <v>881-2024</v>
          </cell>
          <cell r="D937">
            <v>6000000</v>
          </cell>
        </row>
        <row r="938">
          <cell r="C938" t="str">
            <v>814-2024</v>
          </cell>
          <cell r="D938">
            <v>4825000</v>
          </cell>
        </row>
        <row r="939">
          <cell r="C939" t="str">
            <v>926-2024</v>
          </cell>
          <cell r="D939">
            <v>2412500</v>
          </cell>
        </row>
        <row r="940">
          <cell r="C940" t="str">
            <v>860-2024</v>
          </cell>
          <cell r="D940">
            <v>3000000</v>
          </cell>
        </row>
        <row r="941">
          <cell r="C941" t="str">
            <v>886-2024</v>
          </cell>
          <cell r="D941">
            <v>3000000</v>
          </cell>
        </row>
        <row r="942">
          <cell r="C942" t="str">
            <v>732-2024</v>
          </cell>
          <cell r="D942">
            <v>3000000</v>
          </cell>
        </row>
        <row r="943">
          <cell r="C943" t="str">
            <v>838-2024</v>
          </cell>
          <cell r="D943">
            <v>2500000</v>
          </cell>
        </row>
        <row r="944">
          <cell r="C944" t="str">
            <v>666-2024</v>
          </cell>
          <cell r="D944">
            <v>4825000</v>
          </cell>
        </row>
        <row r="945">
          <cell r="C945" t="str">
            <v>749-2024</v>
          </cell>
          <cell r="D945">
            <v>3000000</v>
          </cell>
        </row>
        <row r="946">
          <cell r="C946" t="str">
            <v>709-2024</v>
          </cell>
          <cell r="D946">
            <v>4750000</v>
          </cell>
        </row>
        <row r="947">
          <cell r="C947" t="str">
            <v>823-2024</v>
          </cell>
          <cell r="D947">
            <v>2500000</v>
          </cell>
        </row>
        <row r="948">
          <cell r="C948" t="str">
            <v>950-2024</v>
          </cell>
          <cell r="D948">
            <v>1250000</v>
          </cell>
        </row>
        <row r="949">
          <cell r="C949" t="str">
            <v>724-2024</v>
          </cell>
          <cell r="D949">
            <v>3000000</v>
          </cell>
        </row>
        <row r="950">
          <cell r="C950" t="str">
            <v>670-2024</v>
          </cell>
          <cell r="D950">
            <v>6000000</v>
          </cell>
        </row>
        <row r="951">
          <cell r="C951" t="str">
            <v>756-2024</v>
          </cell>
          <cell r="D951">
            <v>3000000</v>
          </cell>
        </row>
        <row r="952">
          <cell r="C952" t="str">
            <v>746-2024</v>
          </cell>
          <cell r="D952">
            <v>3000000</v>
          </cell>
        </row>
        <row r="953">
          <cell r="C953" t="str">
            <v>678-2024</v>
          </cell>
          <cell r="D953">
            <v>7540000</v>
          </cell>
        </row>
        <row r="954">
          <cell r="C954" t="str">
            <v>924-2024</v>
          </cell>
          <cell r="D954">
            <v>1250000</v>
          </cell>
        </row>
        <row r="955">
          <cell r="C955" t="str">
            <v>841-2024</v>
          </cell>
          <cell r="D955">
            <v>4825000</v>
          </cell>
        </row>
        <row r="956">
          <cell r="C956" t="str">
            <v>684-2024</v>
          </cell>
          <cell r="D956">
            <v>4825000</v>
          </cell>
        </row>
        <row r="957">
          <cell r="C957" t="str">
            <v>810-2024</v>
          </cell>
          <cell r="D957">
            <v>3000000</v>
          </cell>
        </row>
        <row r="958">
          <cell r="C958" t="str">
            <v>827-2024</v>
          </cell>
          <cell r="D958">
            <v>2500000</v>
          </cell>
        </row>
        <row r="959">
          <cell r="C959" t="str">
            <v>649-2024</v>
          </cell>
          <cell r="D959">
            <v>7540000</v>
          </cell>
        </row>
        <row r="960">
          <cell r="C960" t="str">
            <v>797-2024</v>
          </cell>
          <cell r="D960">
            <v>3000000</v>
          </cell>
        </row>
        <row r="961">
          <cell r="C961" t="str">
            <v>691-2024</v>
          </cell>
          <cell r="D961">
            <v>4750000</v>
          </cell>
        </row>
        <row r="962">
          <cell r="C962" t="str">
            <v>960-2024</v>
          </cell>
          <cell r="D962">
            <v>800000</v>
          </cell>
        </row>
        <row r="963">
          <cell r="C963" t="str">
            <v>635-2024</v>
          </cell>
          <cell r="D963">
            <v>4825000</v>
          </cell>
        </row>
        <row r="964">
          <cell r="C964" t="str">
            <v>751-2024</v>
          </cell>
          <cell r="D964">
            <v>3000000</v>
          </cell>
        </row>
        <row r="965">
          <cell r="C965" t="str">
            <v>859-2024</v>
          </cell>
          <cell r="D965">
            <v>3000000</v>
          </cell>
        </row>
        <row r="966">
          <cell r="C966" t="str">
            <v>893-2024</v>
          </cell>
          <cell r="D966">
            <v>2500000</v>
          </cell>
        </row>
        <row r="967">
          <cell r="C967" t="str">
            <v>762-2024</v>
          </cell>
          <cell r="D967">
            <v>3000000</v>
          </cell>
        </row>
        <row r="968">
          <cell r="C968" t="str">
            <v>636-2024</v>
          </cell>
          <cell r="D968">
            <v>4750000</v>
          </cell>
        </row>
        <row r="969">
          <cell r="C969" t="str">
            <v>900-2024</v>
          </cell>
          <cell r="D969">
            <v>3000000</v>
          </cell>
        </row>
        <row r="970">
          <cell r="C970" t="str">
            <v>871-2024</v>
          </cell>
          <cell r="D970">
            <v>3000000</v>
          </cell>
        </row>
        <row r="971">
          <cell r="C971" t="str">
            <v>866-2024</v>
          </cell>
          <cell r="D971">
            <v>3000000</v>
          </cell>
        </row>
        <row r="972">
          <cell r="C972" t="str">
            <v>764-2024</v>
          </cell>
          <cell r="D972">
            <v>3000000</v>
          </cell>
        </row>
        <row r="973">
          <cell r="C973" t="str">
            <v>928-2024</v>
          </cell>
          <cell r="D973">
            <v>3770000</v>
          </cell>
        </row>
        <row r="974">
          <cell r="C974" t="str">
            <v>849-2024</v>
          </cell>
          <cell r="D974">
            <v>3000000</v>
          </cell>
        </row>
        <row r="975">
          <cell r="C975" t="str">
            <v>742-2024</v>
          </cell>
          <cell r="D975">
            <v>3000000</v>
          </cell>
        </row>
        <row r="976">
          <cell r="C976" t="str">
            <v>650-2024</v>
          </cell>
          <cell r="D976">
            <v>6000000</v>
          </cell>
        </row>
        <row r="977">
          <cell r="C977" t="str">
            <v>862-2024</v>
          </cell>
          <cell r="D977">
            <v>6000000</v>
          </cell>
        </row>
        <row r="978">
          <cell r="C978" t="str">
            <v>752-2024</v>
          </cell>
          <cell r="D978">
            <v>4825000</v>
          </cell>
        </row>
        <row r="979">
          <cell r="C979" t="str">
            <v>677-2024</v>
          </cell>
          <cell r="D979">
            <v>4750000</v>
          </cell>
        </row>
        <row r="980">
          <cell r="C980" t="str">
            <v>858-2024</v>
          </cell>
          <cell r="D980">
            <v>4750000</v>
          </cell>
        </row>
        <row r="981">
          <cell r="C981" t="str">
            <v>930-2024</v>
          </cell>
          <cell r="D981">
            <v>1500000</v>
          </cell>
        </row>
        <row r="982">
          <cell r="C982" t="str">
            <v>867-2024</v>
          </cell>
          <cell r="D982">
            <v>3000000</v>
          </cell>
        </row>
        <row r="983">
          <cell r="C983" t="str">
            <v>791-2024</v>
          </cell>
          <cell r="D983">
            <v>3000000</v>
          </cell>
        </row>
        <row r="984">
          <cell r="C984" t="str">
            <v>781-2024</v>
          </cell>
          <cell r="D984">
            <v>3000000</v>
          </cell>
        </row>
        <row r="985">
          <cell r="C985" t="str">
            <v>929-2024</v>
          </cell>
          <cell r="D985">
            <v>1500000</v>
          </cell>
        </row>
        <row r="986">
          <cell r="C986" t="str">
            <v>925-2024</v>
          </cell>
          <cell r="D986">
            <v>3000000</v>
          </cell>
        </row>
        <row r="987">
          <cell r="C987" t="str">
            <v>942-2024</v>
          </cell>
          <cell r="D987">
            <v>7540000</v>
          </cell>
        </row>
        <row r="988">
          <cell r="C988" t="str">
            <v>883-2024</v>
          </cell>
          <cell r="D988">
            <v>2500000</v>
          </cell>
        </row>
        <row r="989">
          <cell r="C989" t="str">
            <v>855-2024</v>
          </cell>
          <cell r="D989">
            <v>2500000</v>
          </cell>
        </row>
        <row r="990">
          <cell r="C990" t="str">
            <v>707-2024</v>
          </cell>
          <cell r="D990">
            <v>4750000</v>
          </cell>
        </row>
        <row r="991">
          <cell r="C991" t="str">
            <v>738-2024</v>
          </cell>
          <cell r="D991">
            <v>6000000</v>
          </cell>
        </row>
        <row r="992">
          <cell r="C992" t="str">
            <v>897-2024</v>
          </cell>
          <cell r="D992">
            <v>4750000</v>
          </cell>
        </row>
        <row r="993">
          <cell r="C993" t="str">
            <v>829-2024</v>
          </cell>
          <cell r="D993">
            <v>3000000</v>
          </cell>
        </row>
        <row r="994">
          <cell r="C994" t="str">
            <v>887-2024</v>
          </cell>
          <cell r="D994">
            <v>7540000</v>
          </cell>
        </row>
        <row r="995">
          <cell r="C995" t="str">
            <v>695-2024</v>
          </cell>
          <cell r="D995">
            <v>3000000</v>
          </cell>
        </row>
        <row r="996">
          <cell r="C996" t="str">
            <v>1005-2024</v>
          </cell>
          <cell r="D996">
            <v>7540000</v>
          </cell>
        </row>
        <row r="997">
          <cell r="C997" t="str">
            <v>815-2024</v>
          </cell>
          <cell r="D997">
            <v>3000000</v>
          </cell>
        </row>
        <row r="998">
          <cell r="C998" t="str">
            <v>882-2024</v>
          </cell>
          <cell r="D998">
            <v>3000000</v>
          </cell>
        </row>
        <row r="999">
          <cell r="C999" t="str">
            <v>927-2024</v>
          </cell>
          <cell r="D999">
            <v>2412500</v>
          </cell>
        </row>
        <row r="1000">
          <cell r="C1000" t="str">
            <v>902-2024</v>
          </cell>
          <cell r="D1000">
            <v>4750000</v>
          </cell>
        </row>
        <row r="1001">
          <cell r="C1001" t="str">
            <v>634-2024</v>
          </cell>
          <cell r="D1001">
            <v>7540000</v>
          </cell>
        </row>
        <row r="1002">
          <cell r="C1002" t="str">
            <v>727-2024</v>
          </cell>
          <cell r="D1002">
            <v>3000000</v>
          </cell>
        </row>
        <row r="1003">
          <cell r="C1003" t="str">
            <v>916-2024</v>
          </cell>
          <cell r="D1003">
            <v>3000000</v>
          </cell>
        </row>
        <row r="1004">
          <cell r="C1004" t="str">
            <v>853-2024</v>
          </cell>
          <cell r="D1004">
            <v>7540000</v>
          </cell>
        </row>
        <row r="1005">
          <cell r="C1005" t="str">
            <v>759-2024</v>
          </cell>
          <cell r="D1005">
            <v>3000000</v>
          </cell>
        </row>
        <row r="1006">
          <cell r="C1006" t="str">
            <v>850-2024</v>
          </cell>
          <cell r="D1006">
            <v>3000000</v>
          </cell>
        </row>
        <row r="1007">
          <cell r="C1007" t="str">
            <v>643-2024</v>
          </cell>
          <cell r="D1007">
            <v>4825000</v>
          </cell>
        </row>
        <row r="1008">
          <cell r="C1008" t="str">
            <v>693-2024</v>
          </cell>
          <cell r="D1008">
            <v>3000000</v>
          </cell>
        </row>
        <row r="1009">
          <cell r="C1009" t="str">
            <v>879-2024</v>
          </cell>
          <cell r="D1009">
            <v>7540000</v>
          </cell>
        </row>
        <row r="1010">
          <cell r="C1010" t="str">
            <v>1030-2024</v>
          </cell>
          <cell r="D1010">
            <v>2090400</v>
          </cell>
        </row>
        <row r="1011">
          <cell r="C1011" t="str">
            <v>674-2024</v>
          </cell>
          <cell r="D1011">
            <v>7540000</v>
          </cell>
        </row>
        <row r="1012">
          <cell r="C1012" t="str">
            <v>842-2024</v>
          </cell>
          <cell r="D1012">
            <v>4825000</v>
          </cell>
        </row>
        <row r="1013">
          <cell r="C1013" t="str">
            <v>746-2024</v>
          </cell>
          <cell r="D1013">
            <v>3000000</v>
          </cell>
        </row>
        <row r="1014">
          <cell r="C1014" t="str">
            <v>748-2024</v>
          </cell>
          <cell r="D1014">
            <v>3000000</v>
          </cell>
        </row>
        <row r="1015">
          <cell r="C1015" t="str">
            <v>761-2024</v>
          </cell>
          <cell r="D1015">
            <v>3000000</v>
          </cell>
        </row>
        <row r="1016">
          <cell r="C1016" t="str">
            <v>736-2024</v>
          </cell>
          <cell r="D1016">
            <v>3000000</v>
          </cell>
        </row>
        <row r="1017">
          <cell r="C1017" t="str">
            <v>852-2024</v>
          </cell>
          <cell r="D1017">
            <v>3000000</v>
          </cell>
        </row>
        <row r="1018">
          <cell r="C1018" t="str">
            <v>847-2024</v>
          </cell>
          <cell r="D1018">
            <v>3000000</v>
          </cell>
        </row>
        <row r="1019">
          <cell r="C1019" t="str">
            <v>846-2024</v>
          </cell>
          <cell r="D1019">
            <v>3000000</v>
          </cell>
        </row>
        <row r="1020">
          <cell r="C1020" t="str">
            <v>843-2024</v>
          </cell>
          <cell r="D1020">
            <v>3000000</v>
          </cell>
        </row>
        <row r="1021">
          <cell r="C1021" t="str">
            <v>877-2024</v>
          </cell>
          <cell r="D1021">
            <v>4825000</v>
          </cell>
        </row>
        <row r="1022">
          <cell r="C1022" t="str">
            <v>836-2024</v>
          </cell>
          <cell r="D1022">
            <v>2500000</v>
          </cell>
        </row>
        <row r="1023">
          <cell r="C1023" t="str">
            <v>638-2024</v>
          </cell>
          <cell r="D1023">
            <v>4825000</v>
          </cell>
        </row>
        <row r="1024">
          <cell r="C1024" t="str">
            <v>731-2024</v>
          </cell>
          <cell r="D1024">
            <v>3000000</v>
          </cell>
        </row>
        <row r="1025">
          <cell r="C1025" t="str">
            <v>809-2024</v>
          </cell>
          <cell r="D1025">
            <v>3000000</v>
          </cell>
        </row>
        <row r="1026">
          <cell r="C1026" t="str">
            <v>990-2024</v>
          </cell>
          <cell r="D1026">
            <v>4825000</v>
          </cell>
        </row>
        <row r="1027">
          <cell r="C1027" t="str">
            <v>790-2024</v>
          </cell>
          <cell r="D1027">
            <v>2500000</v>
          </cell>
        </row>
        <row r="1028">
          <cell r="C1028" t="str">
            <v>780-2024</v>
          </cell>
          <cell r="D1028">
            <v>4825000</v>
          </cell>
        </row>
        <row r="1029">
          <cell r="C1029" t="str">
            <v>669-2024</v>
          </cell>
          <cell r="D1029">
            <v>6000000</v>
          </cell>
        </row>
        <row r="1030">
          <cell r="C1030" t="str">
            <v>756-2024</v>
          </cell>
          <cell r="D1030">
            <v>3000000</v>
          </cell>
        </row>
        <row r="1031">
          <cell r="C1031" t="str">
            <v>724-2024</v>
          </cell>
          <cell r="D1031">
            <v>3000000</v>
          </cell>
        </row>
        <row r="1032">
          <cell r="C1032" t="str">
            <v>725-2024</v>
          </cell>
          <cell r="D1032">
            <v>3000000</v>
          </cell>
        </row>
        <row r="1033">
          <cell r="C1033" t="str">
            <v>754-2024</v>
          </cell>
          <cell r="D1033">
            <v>3000000</v>
          </cell>
        </row>
        <row r="1034">
          <cell r="C1034" t="str">
            <v>777-2024</v>
          </cell>
          <cell r="D1034">
            <v>3000000</v>
          </cell>
        </row>
        <row r="1035">
          <cell r="C1035" t="str">
            <v>812-2024</v>
          </cell>
          <cell r="D1035">
            <v>3000000</v>
          </cell>
        </row>
        <row r="1036">
          <cell r="C1036" t="str">
            <v>637-2024</v>
          </cell>
          <cell r="D1036">
            <v>4750000</v>
          </cell>
        </row>
        <row r="1037">
          <cell r="C1037" t="str">
            <v>906-2024</v>
          </cell>
          <cell r="D1037">
            <v>4750000</v>
          </cell>
        </row>
        <row r="1038">
          <cell r="C1038" t="str">
            <v>913-2024</v>
          </cell>
          <cell r="D1038">
            <v>2500000</v>
          </cell>
        </row>
        <row r="1039">
          <cell r="C1039" t="str">
            <v>657-2024</v>
          </cell>
          <cell r="D1039">
            <v>7540000</v>
          </cell>
        </row>
        <row r="1040">
          <cell r="C1040" t="str">
            <v>957-2024</v>
          </cell>
          <cell r="D1040">
            <v>3000000</v>
          </cell>
        </row>
        <row r="1041">
          <cell r="C1041" t="str">
            <v>726-2024</v>
          </cell>
          <cell r="D1041">
            <v>3000000</v>
          </cell>
        </row>
        <row r="1042">
          <cell r="C1042" t="str">
            <v>675-2024</v>
          </cell>
          <cell r="D1042">
            <v>4750000</v>
          </cell>
        </row>
        <row r="1043">
          <cell r="C1043" t="str">
            <v>927-2024</v>
          </cell>
          <cell r="D1043">
            <v>4825000</v>
          </cell>
        </row>
        <row r="1044">
          <cell r="C1044" t="str">
            <v>850-2024</v>
          </cell>
          <cell r="D1044">
            <v>3000000</v>
          </cell>
        </row>
        <row r="1045">
          <cell r="C1045" t="str">
            <v>700-2024</v>
          </cell>
          <cell r="D1045">
            <v>4825000</v>
          </cell>
        </row>
        <row r="1046">
          <cell r="C1046" t="str">
            <v>960-2024</v>
          </cell>
          <cell r="D1046">
            <v>3000000</v>
          </cell>
        </row>
        <row r="1047">
          <cell r="C1047" t="str">
            <v>875-2024</v>
          </cell>
          <cell r="D1047">
            <v>6000000</v>
          </cell>
        </row>
        <row r="1048">
          <cell r="C1048" t="str">
            <v>665-2024</v>
          </cell>
          <cell r="D1048">
            <v>4825000</v>
          </cell>
        </row>
        <row r="1049">
          <cell r="C1049" t="str">
            <v>958-2024</v>
          </cell>
          <cell r="D1049">
            <v>800000</v>
          </cell>
        </row>
        <row r="1050">
          <cell r="C1050" t="str">
            <v>926-2024</v>
          </cell>
          <cell r="D1050">
            <v>4825000</v>
          </cell>
        </row>
        <row r="1051">
          <cell r="C1051" t="str">
            <v>783-2024</v>
          </cell>
          <cell r="D1051">
            <v>2500000</v>
          </cell>
        </row>
        <row r="1052">
          <cell r="C1052" t="str">
            <v>740-2024</v>
          </cell>
          <cell r="D1052">
            <v>3000000</v>
          </cell>
        </row>
        <row r="1053">
          <cell r="C1053" t="str">
            <v>800-2024</v>
          </cell>
          <cell r="D1053">
            <v>2500000</v>
          </cell>
        </row>
        <row r="1054">
          <cell r="C1054" t="str">
            <v>645-2024</v>
          </cell>
          <cell r="D1054">
            <v>6000000</v>
          </cell>
        </row>
        <row r="1055">
          <cell r="C1055" t="str">
            <v>1007-2024</v>
          </cell>
          <cell r="D1055">
            <v>7540000</v>
          </cell>
        </row>
        <row r="1056">
          <cell r="C1056" t="str">
            <v>744-2024</v>
          </cell>
          <cell r="D1056">
            <v>3000000</v>
          </cell>
        </row>
        <row r="1057">
          <cell r="C1057" t="str">
            <v>914-2024</v>
          </cell>
          <cell r="D1057">
            <v>2500000</v>
          </cell>
        </row>
        <row r="1058">
          <cell r="C1058" t="str">
            <v>662-2024</v>
          </cell>
          <cell r="D1058">
            <v>7540000</v>
          </cell>
        </row>
        <row r="1059">
          <cell r="C1059" t="str">
            <v>845-2024</v>
          </cell>
          <cell r="D1059">
            <v>6000000</v>
          </cell>
        </row>
        <row r="1060">
          <cell r="C1060" t="str">
            <v>806-2024</v>
          </cell>
          <cell r="D1060">
            <v>3000000</v>
          </cell>
        </row>
        <row r="1061">
          <cell r="C1061" t="str">
            <v>720-2024</v>
          </cell>
          <cell r="D1061">
            <v>4750000</v>
          </cell>
        </row>
        <row r="1062">
          <cell r="C1062" t="str">
            <v>1001-2024</v>
          </cell>
          <cell r="D1062">
            <v>2500000</v>
          </cell>
        </row>
        <row r="1063">
          <cell r="C1063" t="str">
            <v>1021-2024</v>
          </cell>
          <cell r="D1063">
            <v>2733600</v>
          </cell>
        </row>
        <row r="1064">
          <cell r="C1064" t="str">
            <v>673-2024</v>
          </cell>
          <cell r="D1064">
            <v>7540000</v>
          </cell>
        </row>
        <row r="1065">
          <cell r="C1065" t="str">
            <v>831-2024</v>
          </cell>
          <cell r="D1065">
            <v>3000000</v>
          </cell>
        </row>
        <row r="1066">
          <cell r="C1066" t="str">
            <v>711-2024</v>
          </cell>
          <cell r="D1066">
            <v>3000000</v>
          </cell>
        </row>
        <row r="1067">
          <cell r="C1067" t="str">
            <v>718-2024</v>
          </cell>
          <cell r="D1067">
            <v>3000000</v>
          </cell>
        </row>
        <row r="1068">
          <cell r="C1068" t="str">
            <v>801-2024</v>
          </cell>
          <cell r="D1068">
            <v>2500000</v>
          </cell>
        </row>
        <row r="1069">
          <cell r="C1069" t="str">
            <v>641-2024</v>
          </cell>
          <cell r="D1069">
            <v>7500000</v>
          </cell>
        </row>
        <row r="1070">
          <cell r="C1070" t="str">
            <v>1006-2024</v>
          </cell>
          <cell r="D1070">
            <v>4750000</v>
          </cell>
        </row>
        <row r="1071">
          <cell r="C1071" t="str">
            <v>970-2024</v>
          </cell>
          <cell r="D1071">
            <v>3000000</v>
          </cell>
        </row>
        <row r="1072">
          <cell r="C1072" t="str">
            <v>810-2024</v>
          </cell>
          <cell r="D1072">
            <v>3000000</v>
          </cell>
        </row>
        <row r="1073">
          <cell r="C1073" t="str">
            <v>891-2024</v>
          </cell>
          <cell r="D1073">
            <v>55861750</v>
          </cell>
        </row>
        <row r="1074">
          <cell r="C1074" t="str">
            <v>888-2024</v>
          </cell>
          <cell r="D1074">
            <v>85878450</v>
          </cell>
        </row>
        <row r="1075">
          <cell r="C1075" t="str">
            <v>885-2024</v>
          </cell>
          <cell r="D1075">
            <v>2500000</v>
          </cell>
        </row>
        <row r="1076">
          <cell r="C1076" t="str">
            <v>889-2024</v>
          </cell>
          <cell r="D1076">
            <v>63773500</v>
          </cell>
        </row>
        <row r="1077">
          <cell r="C1077" t="str">
            <v>679-2024</v>
          </cell>
          <cell r="D1077">
            <v>6000000</v>
          </cell>
        </row>
        <row r="1078">
          <cell r="C1078" t="str">
            <v>890-2024</v>
          </cell>
          <cell r="D1078">
            <v>87508750</v>
          </cell>
        </row>
        <row r="1079">
          <cell r="C1079" t="str">
            <v>872-2024</v>
          </cell>
          <cell r="D1079">
            <v>7540000</v>
          </cell>
        </row>
        <row r="1080">
          <cell r="C1080" t="str">
            <v>866-2024</v>
          </cell>
          <cell r="D1080">
            <v>3000000</v>
          </cell>
        </row>
        <row r="1081">
          <cell r="C1081" t="str">
            <v>704-2024</v>
          </cell>
          <cell r="D1081">
            <v>106164667</v>
          </cell>
        </row>
        <row r="1082">
          <cell r="C1082" t="str">
            <v>792-2024</v>
          </cell>
          <cell r="D1082">
            <v>3000000</v>
          </cell>
        </row>
        <row r="1083">
          <cell r="C1083" t="str">
            <v>880-2024</v>
          </cell>
          <cell r="D1083">
            <v>7540000</v>
          </cell>
        </row>
        <row r="1084">
          <cell r="C1084" t="str">
            <v>786-2024</v>
          </cell>
          <cell r="D1084">
            <v>2500000</v>
          </cell>
        </row>
        <row r="1085">
          <cell r="C1085" t="str">
            <v>995-2024</v>
          </cell>
          <cell r="D1085">
            <v>7540000</v>
          </cell>
        </row>
        <row r="1086">
          <cell r="C1086" t="str">
            <v>829-2024</v>
          </cell>
          <cell r="D1086">
            <v>3000000</v>
          </cell>
        </row>
        <row r="1087">
          <cell r="C1087" t="str">
            <v>747-2024</v>
          </cell>
          <cell r="D1087">
            <v>3000000</v>
          </cell>
        </row>
        <row r="1088">
          <cell r="C1088" t="str">
            <v>856-2024</v>
          </cell>
          <cell r="D1088">
            <v>3000000</v>
          </cell>
        </row>
        <row r="1089">
          <cell r="C1089" t="str">
            <v>933-2024</v>
          </cell>
          <cell r="D1089">
            <v>2500000</v>
          </cell>
        </row>
        <row r="1090">
          <cell r="C1090" t="str">
            <v>742-2024</v>
          </cell>
          <cell r="D1090">
            <v>3000000</v>
          </cell>
        </row>
        <row r="1091">
          <cell r="C1091" t="str">
            <v>644-2024</v>
          </cell>
          <cell r="D1091">
            <v>4750000</v>
          </cell>
        </row>
        <row r="1092">
          <cell r="C1092" t="str">
            <v>778-2024</v>
          </cell>
          <cell r="D1092">
            <v>4750000</v>
          </cell>
        </row>
        <row r="1093">
          <cell r="C1093" t="str">
            <v>666-2024</v>
          </cell>
          <cell r="D1093">
            <v>4825000</v>
          </cell>
        </row>
        <row r="1094">
          <cell r="C1094" t="str">
            <v>699-2024</v>
          </cell>
          <cell r="D1094">
            <v>3000000</v>
          </cell>
        </row>
        <row r="1095">
          <cell r="C1095" t="str">
            <v>728-2024</v>
          </cell>
          <cell r="D1095">
            <v>3000000</v>
          </cell>
        </row>
        <row r="1096">
          <cell r="C1096" t="str">
            <v>682-2024</v>
          </cell>
          <cell r="D1096">
            <v>4750000</v>
          </cell>
        </row>
        <row r="1097">
          <cell r="C1097" t="str">
            <v>672-2024</v>
          </cell>
          <cell r="D1097">
            <v>6000000</v>
          </cell>
        </row>
        <row r="1098">
          <cell r="C1098" t="str">
            <v>646-2024</v>
          </cell>
          <cell r="D1098">
            <v>7540000</v>
          </cell>
        </row>
        <row r="1099">
          <cell r="C1099" t="str">
            <v>745-2024</v>
          </cell>
          <cell r="D1099">
            <v>3000000</v>
          </cell>
        </row>
        <row r="1100">
          <cell r="C1100" t="str">
            <v>658-2024</v>
          </cell>
          <cell r="D1100">
            <v>4750000</v>
          </cell>
        </row>
        <row r="1101">
          <cell r="C1101" t="str">
            <v>845-2024</v>
          </cell>
          <cell r="D1101">
            <v>6000000</v>
          </cell>
        </row>
        <row r="1102">
          <cell r="C1102" t="str">
            <v>928-2024</v>
          </cell>
          <cell r="D1102">
            <v>7540000</v>
          </cell>
        </row>
        <row r="1103">
          <cell r="C1103" t="str">
            <v>925-2024</v>
          </cell>
          <cell r="D1103">
            <v>6000000</v>
          </cell>
        </row>
        <row r="1104">
          <cell r="C1104" t="str">
            <v>703-2024</v>
          </cell>
          <cell r="D1104">
            <v>3000000</v>
          </cell>
        </row>
        <row r="1105">
          <cell r="C1105" t="str">
            <v>663-2024</v>
          </cell>
          <cell r="D1105">
            <v>7540000</v>
          </cell>
        </row>
        <row r="1106">
          <cell r="C1106" t="str">
            <v>915-2024</v>
          </cell>
          <cell r="D1106">
            <v>4750000</v>
          </cell>
        </row>
        <row r="1107">
          <cell r="C1107" t="str">
            <v>992-2024</v>
          </cell>
          <cell r="D1107">
            <v>7540000</v>
          </cell>
        </row>
        <row r="1108">
          <cell r="C1108" t="str">
            <v>1010-2024</v>
          </cell>
          <cell r="D1108">
            <v>7540000</v>
          </cell>
        </row>
        <row r="1109">
          <cell r="C1109" t="str">
            <v>1004-2024</v>
          </cell>
          <cell r="D1109">
            <v>7540000</v>
          </cell>
        </row>
        <row r="1110">
          <cell r="C1110" t="str">
            <v>996-2024</v>
          </cell>
          <cell r="D1110">
            <v>4750000</v>
          </cell>
        </row>
        <row r="1111">
          <cell r="C1111" t="str">
            <v>758-2024</v>
          </cell>
          <cell r="D1111">
            <v>6000000</v>
          </cell>
        </row>
        <row r="1112">
          <cell r="C1112" t="str">
            <v>966-2024</v>
          </cell>
          <cell r="D1112">
            <v>916300</v>
          </cell>
        </row>
        <row r="1113">
          <cell r="C1113" t="str">
            <v>790-2024</v>
          </cell>
          <cell r="D1113">
            <v>2500000</v>
          </cell>
        </row>
        <row r="1114">
          <cell r="C1114" t="str">
            <v>980-2024</v>
          </cell>
          <cell r="D1114">
            <v>4825000</v>
          </cell>
        </row>
        <row r="1115">
          <cell r="C1115" t="str">
            <v>988-2024</v>
          </cell>
          <cell r="D1115">
            <v>4825000</v>
          </cell>
        </row>
        <row r="1116">
          <cell r="C1116" t="str">
            <v>849-2024</v>
          </cell>
          <cell r="D1116">
            <v>3000000</v>
          </cell>
        </row>
        <row r="1117">
          <cell r="C1117" t="str">
            <v>901-2024</v>
          </cell>
          <cell r="D1117">
            <v>3000000</v>
          </cell>
        </row>
        <row r="1118">
          <cell r="C1118" t="str">
            <v>916-2024</v>
          </cell>
          <cell r="D1118">
            <v>3000000</v>
          </cell>
        </row>
        <row r="1119">
          <cell r="C1119" t="str">
            <v>776-2024</v>
          </cell>
          <cell r="D1119">
            <v>3000000</v>
          </cell>
        </row>
        <row r="1120">
          <cell r="C1120" t="str">
            <v>869-2024</v>
          </cell>
          <cell r="D1120">
            <v>3000000</v>
          </cell>
        </row>
        <row r="1121">
          <cell r="C1121" t="str">
            <v>882-2024</v>
          </cell>
          <cell r="D1121">
            <v>3000000</v>
          </cell>
        </row>
        <row r="1122">
          <cell r="C1122" t="str">
            <v>708-2024</v>
          </cell>
          <cell r="D1122">
            <v>3000000</v>
          </cell>
        </row>
        <row r="1123">
          <cell r="C1123" t="str">
            <v>946-2024</v>
          </cell>
          <cell r="D1123">
            <v>2200000</v>
          </cell>
        </row>
        <row r="1124">
          <cell r="C1124" t="str">
            <v>695-2024</v>
          </cell>
          <cell r="D1124">
            <v>3000000</v>
          </cell>
        </row>
        <row r="1125">
          <cell r="C1125" t="str">
            <v>993-2024</v>
          </cell>
          <cell r="D1125">
            <v>7540000</v>
          </cell>
        </row>
        <row r="1126">
          <cell r="C1126" t="str">
            <v>950-2024</v>
          </cell>
          <cell r="D1126">
            <v>2500000</v>
          </cell>
        </row>
        <row r="1127">
          <cell r="C1127" t="str">
            <v>654-2024</v>
          </cell>
          <cell r="D1127">
            <v>4825000</v>
          </cell>
        </row>
        <row r="1128">
          <cell r="C1128" t="str">
            <v>670-2024</v>
          </cell>
          <cell r="D1128">
            <v>6000000</v>
          </cell>
        </row>
        <row r="1129">
          <cell r="C1129" t="str">
            <v>828-2024</v>
          </cell>
          <cell r="D1129">
            <v>2500000</v>
          </cell>
        </row>
        <row r="1130">
          <cell r="C1130" t="str">
            <v>656-2024</v>
          </cell>
          <cell r="D1130">
            <v>7540000</v>
          </cell>
        </row>
        <row r="1131">
          <cell r="C1131" t="str">
            <v>690-2024</v>
          </cell>
          <cell r="D1131">
            <v>6000000</v>
          </cell>
        </row>
        <row r="1132">
          <cell r="C1132" t="str">
            <v>841-2024</v>
          </cell>
          <cell r="D1132">
            <v>4825000</v>
          </cell>
        </row>
        <row r="1133">
          <cell r="C1133" t="str">
            <v>799-2024</v>
          </cell>
          <cell r="D1133">
            <v>3000000</v>
          </cell>
        </row>
        <row r="1134">
          <cell r="C1134" t="str">
            <v>655-2024</v>
          </cell>
          <cell r="D1134">
            <v>7540000</v>
          </cell>
        </row>
        <row r="1135">
          <cell r="C1135" t="str">
            <v>1026-2024</v>
          </cell>
          <cell r="D1135">
            <v>2733600</v>
          </cell>
        </row>
        <row r="1136">
          <cell r="C1136" t="str">
            <v>795-2024</v>
          </cell>
          <cell r="D1136">
            <v>3000000</v>
          </cell>
        </row>
        <row r="1137">
          <cell r="C1137" t="str">
            <v>984-2024</v>
          </cell>
          <cell r="D1137">
            <v>3000000</v>
          </cell>
        </row>
        <row r="1138">
          <cell r="C1138" t="str">
            <v>755-2024</v>
          </cell>
          <cell r="D1138">
            <v>2500000</v>
          </cell>
        </row>
        <row r="1139">
          <cell r="C1139" t="str">
            <v>1015-2024</v>
          </cell>
          <cell r="D1139">
            <v>3000000</v>
          </cell>
        </row>
        <row r="1140">
          <cell r="C1140" t="str">
            <v>1045-2024</v>
          </cell>
          <cell r="D1140">
            <v>600000</v>
          </cell>
        </row>
        <row r="1141">
          <cell r="C1141" t="str">
            <v>918-2024</v>
          </cell>
          <cell r="D1141">
            <v>3000000</v>
          </cell>
        </row>
        <row r="1142">
          <cell r="C1142" t="str">
            <v>835-2024</v>
          </cell>
          <cell r="D1142">
            <v>4825000</v>
          </cell>
        </row>
        <row r="1143">
          <cell r="C1143" t="str">
            <v>824-2024</v>
          </cell>
          <cell r="D1143">
            <v>3000000</v>
          </cell>
        </row>
        <row r="1144">
          <cell r="C1144" t="str">
            <v>894-2024</v>
          </cell>
          <cell r="D1144">
            <v>3000000</v>
          </cell>
        </row>
        <row r="1145">
          <cell r="C1145" t="str">
            <v>911-2024</v>
          </cell>
          <cell r="D1145">
            <v>2500000</v>
          </cell>
        </row>
        <row r="1146">
          <cell r="C1146" t="str">
            <v>741-2024</v>
          </cell>
          <cell r="D1146">
            <v>6000000</v>
          </cell>
        </row>
        <row r="1147">
          <cell r="C1147" t="str">
            <v>739-2024</v>
          </cell>
          <cell r="D1147">
            <v>3000000</v>
          </cell>
        </row>
        <row r="1148">
          <cell r="C1148" t="str">
            <v>698-2024</v>
          </cell>
          <cell r="D1148">
            <v>3000000</v>
          </cell>
        </row>
        <row r="1149">
          <cell r="C1149" t="str">
            <v>815-2024</v>
          </cell>
          <cell r="D1149">
            <v>3000000</v>
          </cell>
        </row>
        <row r="1150">
          <cell r="C1150" t="str">
            <v>860-2024</v>
          </cell>
          <cell r="D1150">
            <v>3000000</v>
          </cell>
        </row>
        <row r="1151">
          <cell r="C1151" t="str">
            <v>827-2024</v>
          </cell>
          <cell r="D1151">
            <v>2500000</v>
          </cell>
        </row>
        <row r="1152">
          <cell r="C1152" t="str">
            <v>671-2024</v>
          </cell>
          <cell r="D1152">
            <v>7540000</v>
          </cell>
        </row>
        <row r="1153">
          <cell r="C1153" t="str">
            <v>717-2024</v>
          </cell>
          <cell r="D1153">
            <v>4750000</v>
          </cell>
        </row>
        <row r="1154">
          <cell r="C1154" t="str">
            <v>814-2024</v>
          </cell>
          <cell r="D1154">
            <v>4825000</v>
          </cell>
        </row>
        <row r="1155">
          <cell r="C1155" t="str">
            <v>714-2024</v>
          </cell>
          <cell r="D1155">
            <v>3000000</v>
          </cell>
        </row>
        <row r="1156">
          <cell r="C1156" t="str">
            <v>730-2024</v>
          </cell>
          <cell r="D1156">
            <v>3000000</v>
          </cell>
        </row>
        <row r="1157">
          <cell r="C1157" t="str">
            <v>789-2024</v>
          </cell>
          <cell r="D1157">
            <v>7540000</v>
          </cell>
        </row>
        <row r="1158">
          <cell r="C1158" t="str">
            <v>715-2024</v>
          </cell>
          <cell r="D1158">
            <v>3000000</v>
          </cell>
        </row>
        <row r="1159">
          <cell r="C1159" t="str">
            <v>840-2024</v>
          </cell>
          <cell r="D1159">
            <v>3000000</v>
          </cell>
        </row>
        <row r="1160">
          <cell r="C1160" t="str">
            <v>685-2024</v>
          </cell>
          <cell r="D1160">
            <v>4750000</v>
          </cell>
        </row>
        <row r="1161">
          <cell r="C1161" t="str">
            <v>653-2024</v>
          </cell>
          <cell r="D1161">
            <v>7540000</v>
          </cell>
        </row>
        <row r="1162">
          <cell r="C1162" t="str">
            <v>661-2024</v>
          </cell>
          <cell r="D1162">
            <v>7540000</v>
          </cell>
        </row>
        <row r="1163">
          <cell r="C1163" t="str">
            <v>898-2024</v>
          </cell>
          <cell r="D1163">
            <v>4750000</v>
          </cell>
        </row>
        <row r="1164">
          <cell r="C1164" t="str">
            <v>681-2024</v>
          </cell>
          <cell r="D1164">
            <v>6000000</v>
          </cell>
        </row>
        <row r="1165">
          <cell r="C1165" t="str">
            <v>686-2024</v>
          </cell>
          <cell r="D1165">
            <v>4750000</v>
          </cell>
        </row>
        <row r="1166">
          <cell r="C1166" t="str">
            <v>820-2024</v>
          </cell>
          <cell r="D1166">
            <v>6000000</v>
          </cell>
        </row>
        <row r="1167">
          <cell r="C1167" t="str">
            <v>688-2024</v>
          </cell>
          <cell r="D1167">
            <v>6000000</v>
          </cell>
        </row>
        <row r="1168">
          <cell r="C1168" t="str">
            <v>737-2024</v>
          </cell>
          <cell r="D1168">
            <v>4825000</v>
          </cell>
        </row>
        <row r="1169">
          <cell r="C1169" t="str">
            <v>923-2024</v>
          </cell>
          <cell r="D1169">
            <v>6000000</v>
          </cell>
        </row>
        <row r="1170">
          <cell r="C1170" t="str">
            <v>667-2024</v>
          </cell>
          <cell r="D1170">
            <v>6000000</v>
          </cell>
        </row>
        <row r="1171">
          <cell r="C1171" t="str">
            <v>968-2024</v>
          </cell>
          <cell r="D1171">
            <v>2500000</v>
          </cell>
        </row>
        <row r="1172">
          <cell r="C1172" t="str">
            <v>753-2024</v>
          </cell>
          <cell r="D1172">
            <v>3000000</v>
          </cell>
        </row>
        <row r="1173">
          <cell r="C1173" t="str">
            <v>917-2024</v>
          </cell>
          <cell r="D1173">
            <v>2500000</v>
          </cell>
        </row>
        <row r="1174">
          <cell r="C1174" t="str">
            <v>705-2024</v>
          </cell>
          <cell r="D1174">
            <v>3000000</v>
          </cell>
        </row>
        <row r="1175">
          <cell r="C1175" t="str">
            <v>1031-2024</v>
          </cell>
          <cell r="D1175">
            <v>1416100</v>
          </cell>
        </row>
        <row r="1176">
          <cell r="C1176" t="str">
            <v>733-2024</v>
          </cell>
          <cell r="D1176">
            <v>3000000</v>
          </cell>
        </row>
        <row r="1177">
          <cell r="C1177" t="str">
            <v>830-2024</v>
          </cell>
          <cell r="D1177">
            <v>3000000</v>
          </cell>
        </row>
        <row r="1178">
          <cell r="C1178" t="str">
            <v>986-2024</v>
          </cell>
          <cell r="D1178">
            <v>4750000</v>
          </cell>
        </row>
        <row r="1179">
          <cell r="C1179" t="str">
            <v>987-2024</v>
          </cell>
          <cell r="D1179">
            <v>2500000</v>
          </cell>
        </row>
        <row r="1180">
          <cell r="C1180" t="str">
            <v>1048-2024</v>
          </cell>
          <cell r="D1180">
            <v>600000</v>
          </cell>
        </row>
        <row r="1181">
          <cell r="C1181" t="str">
            <v>804-2024</v>
          </cell>
          <cell r="D1181">
            <v>3000000</v>
          </cell>
        </row>
        <row r="1182">
          <cell r="C1182" t="str">
            <v>963-2024</v>
          </cell>
          <cell r="D1182">
            <v>3000000</v>
          </cell>
        </row>
        <row r="1183">
          <cell r="C1183" t="str">
            <v>951-2024</v>
          </cell>
          <cell r="D1183">
            <v>2500000</v>
          </cell>
        </row>
        <row r="1184">
          <cell r="C1184" t="str">
            <v>1043-2024</v>
          </cell>
          <cell r="D1184">
            <v>1082900</v>
          </cell>
        </row>
        <row r="1185">
          <cell r="C1185" t="str">
            <v>794-2024</v>
          </cell>
          <cell r="D1185">
            <v>3000000</v>
          </cell>
        </row>
        <row r="1186">
          <cell r="C1186" t="str">
            <v>873-2024</v>
          </cell>
          <cell r="D1186">
            <v>3000000</v>
          </cell>
        </row>
        <row r="1187">
          <cell r="C1187" t="str">
            <v>865-2024</v>
          </cell>
          <cell r="D1187">
            <v>3000000</v>
          </cell>
        </row>
        <row r="1188">
          <cell r="C1188" t="str">
            <v>881-2024</v>
          </cell>
          <cell r="D1188">
            <v>6000000</v>
          </cell>
        </row>
        <row r="1189">
          <cell r="C1189" t="str">
            <v>843-2024</v>
          </cell>
          <cell r="D1189">
            <v>3000000</v>
          </cell>
        </row>
        <row r="1190">
          <cell r="C1190" t="str">
            <v>687-2024</v>
          </cell>
          <cell r="D1190">
            <v>4750000</v>
          </cell>
        </row>
        <row r="1191">
          <cell r="C1191" t="str">
            <v>956-2024</v>
          </cell>
          <cell r="D1191">
            <v>3000000</v>
          </cell>
        </row>
        <row r="1192">
          <cell r="C1192" t="str">
            <v>949-2024</v>
          </cell>
          <cell r="D1192">
            <v>2500000</v>
          </cell>
        </row>
        <row r="1193">
          <cell r="C1193" t="str">
            <v>803-2024</v>
          </cell>
          <cell r="D1193">
            <v>3000000</v>
          </cell>
        </row>
        <row r="1194">
          <cell r="C1194" t="str">
            <v>798-2024</v>
          </cell>
          <cell r="D1194">
            <v>3000000</v>
          </cell>
        </row>
        <row r="1195">
          <cell r="C1195" t="str">
            <v>969-2024</v>
          </cell>
          <cell r="D1195">
            <v>6000000</v>
          </cell>
        </row>
        <row r="1196">
          <cell r="C1196" t="str">
            <v>1029-2024</v>
          </cell>
          <cell r="D1196">
            <v>1416100</v>
          </cell>
        </row>
        <row r="1197">
          <cell r="C1197" t="str">
            <v>834-2024</v>
          </cell>
          <cell r="D1197">
            <v>3000000</v>
          </cell>
        </row>
        <row r="1198">
          <cell r="C1198" t="str">
            <v>1000-2024</v>
          </cell>
          <cell r="D1198">
            <v>3000000</v>
          </cell>
        </row>
        <row r="1199">
          <cell r="C1199" t="str">
            <v>807-2024</v>
          </cell>
          <cell r="D1199">
            <v>3000000</v>
          </cell>
        </row>
        <row r="1200">
          <cell r="C1200" t="str">
            <v>997-2024</v>
          </cell>
          <cell r="D1200">
            <v>4825000</v>
          </cell>
        </row>
        <row r="1201">
          <cell r="C1201" t="str">
            <v>706-2024</v>
          </cell>
          <cell r="D1201">
            <v>3000000</v>
          </cell>
        </row>
        <row r="1202">
          <cell r="C1202" t="str">
            <v>633-2024</v>
          </cell>
          <cell r="D1202">
            <v>4750000</v>
          </cell>
        </row>
        <row r="1203">
          <cell r="C1203" t="str">
            <v>709-2024</v>
          </cell>
          <cell r="D1203">
            <v>4750000</v>
          </cell>
        </row>
        <row r="1204">
          <cell r="C1204" t="str">
            <v>838-2024</v>
          </cell>
          <cell r="D1204">
            <v>2500000</v>
          </cell>
        </row>
        <row r="1205">
          <cell r="C1205" t="str">
            <v>765-2024</v>
          </cell>
          <cell r="D1205">
            <v>3000000</v>
          </cell>
        </row>
        <row r="1206">
          <cell r="C1206" t="str">
            <v>697-2024</v>
          </cell>
          <cell r="D1206">
            <v>3000000</v>
          </cell>
        </row>
        <row r="1207">
          <cell r="C1207" t="str">
            <v>833-2024</v>
          </cell>
          <cell r="D1207">
            <v>3000000</v>
          </cell>
        </row>
        <row r="1208">
          <cell r="C1208" t="str">
            <v>853-2024</v>
          </cell>
          <cell r="D1208">
            <v>7540000</v>
          </cell>
        </row>
        <row r="1209">
          <cell r="C1209" t="str">
            <v>877-2024</v>
          </cell>
          <cell r="D1209">
            <v>4825000</v>
          </cell>
        </row>
        <row r="1210">
          <cell r="C1210" t="str">
            <v>955-2024</v>
          </cell>
          <cell r="D1210">
            <v>916300</v>
          </cell>
        </row>
        <row r="1211">
          <cell r="C1211" t="str">
            <v>955-2024</v>
          </cell>
          <cell r="D1211">
            <v>2500000</v>
          </cell>
        </row>
        <row r="1212">
          <cell r="C1212" t="str">
            <v>1053-2024</v>
          </cell>
          <cell r="D1212">
            <v>804000</v>
          </cell>
        </row>
        <row r="1213">
          <cell r="C1213" t="str">
            <v>668-2024</v>
          </cell>
          <cell r="D1213">
            <v>7540000</v>
          </cell>
        </row>
        <row r="1214">
          <cell r="C1214" t="str">
            <v>634-2024</v>
          </cell>
          <cell r="D1214">
            <v>7540000</v>
          </cell>
        </row>
        <row r="1215">
          <cell r="C1215" t="str">
            <v>702-2024</v>
          </cell>
          <cell r="D1215">
            <v>7540000</v>
          </cell>
        </row>
        <row r="1216">
          <cell r="C1216" t="str">
            <v>878-2024</v>
          </cell>
          <cell r="D1216">
            <v>7540000</v>
          </cell>
        </row>
        <row r="1217">
          <cell r="C1217" t="str">
            <v>648-2024</v>
          </cell>
          <cell r="D1217">
            <v>6000000</v>
          </cell>
        </row>
        <row r="1218">
          <cell r="C1218" t="str">
            <v>862-2024</v>
          </cell>
          <cell r="D1218">
            <v>6000000</v>
          </cell>
        </row>
        <row r="1219">
          <cell r="C1219" t="str">
            <v>707-2024</v>
          </cell>
          <cell r="D1219">
            <v>4750000</v>
          </cell>
        </row>
        <row r="1220">
          <cell r="C1220" t="str">
            <v>652-2024</v>
          </cell>
          <cell r="D1220">
            <v>6000000</v>
          </cell>
        </row>
        <row r="1221">
          <cell r="C1221" t="str">
            <v>876-2024</v>
          </cell>
          <cell r="D1221">
            <v>3000000</v>
          </cell>
        </row>
        <row r="1222">
          <cell r="C1222" t="str">
            <v>771-2024</v>
          </cell>
          <cell r="D1222">
            <v>3000000</v>
          </cell>
        </row>
        <row r="1223">
          <cell r="C1223" t="str">
            <v>818-2024</v>
          </cell>
          <cell r="D1223">
            <v>4825000</v>
          </cell>
        </row>
        <row r="1224">
          <cell r="C1224" t="str">
            <v>897-2024</v>
          </cell>
          <cell r="D1224">
            <v>4750000</v>
          </cell>
        </row>
        <row r="1225">
          <cell r="C1225" t="str">
            <v>899-2024</v>
          </cell>
          <cell r="D1225">
            <v>2500000</v>
          </cell>
        </row>
        <row r="1226">
          <cell r="C1226" t="str">
            <v>1035-2024</v>
          </cell>
          <cell r="D1226">
            <v>1416100</v>
          </cell>
        </row>
        <row r="1227">
          <cell r="C1227" t="str">
            <v>817-2024</v>
          </cell>
          <cell r="D1227">
            <v>4825000</v>
          </cell>
        </row>
        <row r="1228">
          <cell r="C1228" t="str">
            <v>867-2024</v>
          </cell>
          <cell r="D1228">
            <v>3000000</v>
          </cell>
        </row>
        <row r="1229">
          <cell r="C1229" t="str">
            <v>822-2024</v>
          </cell>
          <cell r="D1229">
            <v>4825000</v>
          </cell>
        </row>
        <row r="1230">
          <cell r="C1230" t="str">
            <v>871-2024</v>
          </cell>
          <cell r="D1230">
            <v>3000000</v>
          </cell>
        </row>
        <row r="1231">
          <cell r="C1231" t="str">
            <v>659-2024</v>
          </cell>
          <cell r="D1231">
            <v>4825000</v>
          </cell>
        </row>
        <row r="1232">
          <cell r="C1232" t="str">
            <v>750-2024</v>
          </cell>
          <cell r="D1232">
            <v>3000000</v>
          </cell>
        </row>
        <row r="1233">
          <cell r="C1233" t="str">
            <v>791-2024</v>
          </cell>
          <cell r="D1233">
            <v>3000000</v>
          </cell>
        </row>
        <row r="1234">
          <cell r="C1234" t="str">
            <v>712-2024</v>
          </cell>
          <cell r="D1234">
            <v>6000000</v>
          </cell>
        </row>
        <row r="1235">
          <cell r="C1235" t="str">
            <v>689-2024</v>
          </cell>
          <cell r="D1235">
            <v>3000000</v>
          </cell>
        </row>
        <row r="1236">
          <cell r="C1236" t="str">
            <v>896-2024</v>
          </cell>
          <cell r="D1236">
            <v>2500000</v>
          </cell>
        </row>
        <row r="1237">
          <cell r="C1237" t="str">
            <v>764-2024</v>
          </cell>
          <cell r="D1237">
            <v>3000000</v>
          </cell>
        </row>
        <row r="1238">
          <cell r="C1238" t="str">
            <v>749-2024</v>
          </cell>
          <cell r="D1238">
            <v>3000000</v>
          </cell>
        </row>
        <row r="1239">
          <cell r="C1239" t="str">
            <v>924-2024</v>
          </cell>
          <cell r="D1239">
            <v>2500000</v>
          </cell>
        </row>
        <row r="1240">
          <cell r="C1240" t="str">
            <v>854-2024</v>
          </cell>
          <cell r="D1240">
            <v>3000000</v>
          </cell>
        </row>
        <row r="1241">
          <cell r="C1241" t="str">
            <v>1051-2024</v>
          </cell>
          <cell r="D1241">
            <v>804000</v>
          </cell>
        </row>
        <row r="1242">
          <cell r="C1242" t="str">
            <v>770-2024</v>
          </cell>
          <cell r="D1242">
            <v>3000000</v>
          </cell>
        </row>
        <row r="1243">
          <cell r="C1243" t="str">
            <v>701-2024</v>
          </cell>
          <cell r="D1243">
            <v>3000000</v>
          </cell>
        </row>
        <row r="1244">
          <cell r="C1244" t="str">
            <v>785-2024</v>
          </cell>
          <cell r="D1244">
            <v>2500000</v>
          </cell>
        </row>
        <row r="1245">
          <cell r="C1245" t="str">
            <v>743-2024</v>
          </cell>
          <cell r="D1245">
            <v>3000000</v>
          </cell>
        </row>
        <row r="1246">
          <cell r="C1246" t="str">
            <v>912-2024</v>
          </cell>
          <cell r="D1246">
            <v>7540000</v>
          </cell>
        </row>
        <row r="1247">
          <cell r="C1247" t="str">
            <v>813-2024</v>
          </cell>
          <cell r="D1247">
            <v>2500000</v>
          </cell>
        </row>
        <row r="1248">
          <cell r="C1248" t="str">
            <v>999-2024</v>
          </cell>
          <cell r="D1248">
            <v>2500000</v>
          </cell>
        </row>
        <row r="1249">
          <cell r="C1249" t="str">
            <v>851-2024</v>
          </cell>
          <cell r="D1249">
            <v>6000000</v>
          </cell>
        </row>
        <row r="1250">
          <cell r="C1250" t="str">
            <v>989-2024</v>
          </cell>
          <cell r="D1250">
            <v>3000000</v>
          </cell>
        </row>
        <row r="1251">
          <cell r="C1251" t="str">
            <v>907-2024</v>
          </cell>
          <cell r="D1251">
            <v>4825000</v>
          </cell>
        </row>
        <row r="1252">
          <cell r="C1252" t="str">
            <v>781-2024</v>
          </cell>
          <cell r="D1252">
            <v>3000000</v>
          </cell>
        </row>
        <row r="1253">
          <cell r="C1253" t="str">
            <v>647-2024</v>
          </cell>
          <cell r="D1253">
            <v>7540000</v>
          </cell>
        </row>
        <row r="1254">
          <cell r="C1254" t="str">
            <v>651-2024</v>
          </cell>
          <cell r="D1254">
            <v>7540000</v>
          </cell>
        </row>
        <row r="1255">
          <cell r="C1255" t="str">
            <v>775-2024</v>
          </cell>
          <cell r="D1255">
            <v>4825000</v>
          </cell>
        </row>
        <row r="1256">
          <cell r="C1256" t="str">
            <v>805-2024</v>
          </cell>
          <cell r="D1256">
            <v>3000000</v>
          </cell>
        </row>
        <row r="1257">
          <cell r="C1257" t="str">
            <v>1044-2024</v>
          </cell>
          <cell r="D1257">
            <v>833000</v>
          </cell>
        </row>
        <row r="1258">
          <cell r="C1258" t="str">
            <v>816-2024</v>
          </cell>
          <cell r="D1258">
            <v>3000000</v>
          </cell>
        </row>
        <row r="1259">
          <cell r="C1259" t="str">
            <v>910-2024</v>
          </cell>
          <cell r="D1259">
            <v>2500000</v>
          </cell>
        </row>
        <row r="1260">
          <cell r="C1260" t="str">
            <v>844-2024</v>
          </cell>
          <cell r="D1260">
            <v>2500000</v>
          </cell>
        </row>
        <row r="1261">
          <cell r="C1261" t="str">
            <v>719-2024</v>
          </cell>
          <cell r="D1261">
            <v>3000000</v>
          </cell>
        </row>
        <row r="1262">
          <cell r="C1262" t="str">
            <v>636-2024</v>
          </cell>
          <cell r="D1262">
            <v>4750000</v>
          </cell>
        </row>
        <row r="1263">
          <cell r="C1263" t="str">
            <v>900-2024</v>
          </cell>
          <cell r="D1263">
            <v>3000000</v>
          </cell>
        </row>
        <row r="1264">
          <cell r="C1264" t="str">
            <v>762-2024</v>
          </cell>
          <cell r="D1264">
            <v>3000000</v>
          </cell>
        </row>
        <row r="1265">
          <cell r="C1265" t="str">
            <v>751-2024</v>
          </cell>
          <cell r="D1265">
            <v>3000000</v>
          </cell>
        </row>
        <row r="1266">
          <cell r="C1266" t="str">
            <v>893-2024</v>
          </cell>
          <cell r="D1266">
            <v>2500000</v>
          </cell>
        </row>
        <row r="1267">
          <cell r="C1267" t="str">
            <v>660-2024</v>
          </cell>
          <cell r="D1267">
            <v>4825000</v>
          </cell>
        </row>
        <row r="1268">
          <cell r="C1268" t="str">
            <v>1024-2024</v>
          </cell>
          <cell r="D1268">
            <v>1416100</v>
          </cell>
        </row>
        <row r="1269">
          <cell r="C1269" t="str">
            <v>823-2024</v>
          </cell>
          <cell r="D1269">
            <v>2500000</v>
          </cell>
        </row>
        <row r="1270">
          <cell r="C1270" t="str">
            <v>868-2024</v>
          </cell>
          <cell r="D1270">
            <v>6000000</v>
          </cell>
        </row>
        <row r="1271">
          <cell r="C1271" t="str">
            <v>757-2024</v>
          </cell>
          <cell r="D1271">
            <v>6000000</v>
          </cell>
        </row>
        <row r="1272">
          <cell r="C1272" t="str">
            <v>819-2024</v>
          </cell>
          <cell r="D1272">
            <v>6000000</v>
          </cell>
        </row>
        <row r="1273">
          <cell r="C1273" t="str">
            <v>839-2024</v>
          </cell>
          <cell r="D1273">
            <v>3000000</v>
          </cell>
        </row>
        <row r="1274">
          <cell r="C1274" t="str">
            <v>895-2024</v>
          </cell>
          <cell r="D1274">
            <v>2500000</v>
          </cell>
        </row>
        <row r="1275">
          <cell r="C1275" t="str">
            <v>796-2024</v>
          </cell>
          <cell r="D1275">
            <v>2500000</v>
          </cell>
        </row>
        <row r="1276">
          <cell r="C1276" t="str">
            <v>629-2024</v>
          </cell>
          <cell r="D1276">
            <v>6000000</v>
          </cell>
        </row>
        <row r="1277">
          <cell r="C1277" t="str">
            <v>693-2024</v>
          </cell>
          <cell r="D1277">
            <v>3000000</v>
          </cell>
        </row>
        <row r="1278">
          <cell r="C1278" t="str">
            <v>930-2024</v>
          </cell>
          <cell r="D1278">
            <v>3000000</v>
          </cell>
        </row>
        <row r="1279">
          <cell r="C1279" t="str">
            <v>643-2024</v>
          </cell>
          <cell r="D1279">
            <v>4825000</v>
          </cell>
        </row>
        <row r="1280">
          <cell r="C1280" t="str">
            <v>884-2024</v>
          </cell>
          <cell r="D1280">
            <v>2500000</v>
          </cell>
        </row>
        <row r="1281">
          <cell r="C1281" t="str">
            <v>832-2024</v>
          </cell>
          <cell r="D1281">
            <v>3000000</v>
          </cell>
        </row>
        <row r="1282">
          <cell r="C1282" t="str">
            <v>821-2024</v>
          </cell>
          <cell r="D1282">
            <v>3000000</v>
          </cell>
        </row>
        <row r="1283">
          <cell r="C1283" t="str">
            <v>942-2024</v>
          </cell>
          <cell r="D1283">
            <v>7540000</v>
          </cell>
        </row>
        <row r="1284">
          <cell r="C1284" t="str">
            <v>639-2024</v>
          </cell>
          <cell r="D1284">
            <v>4750000</v>
          </cell>
        </row>
        <row r="1285">
          <cell r="C1285" t="str">
            <v>782-2024</v>
          </cell>
          <cell r="D1285">
            <v>3000000</v>
          </cell>
        </row>
        <row r="1286">
          <cell r="C1286" t="str">
            <v>802-2024</v>
          </cell>
          <cell r="D1286">
            <v>3000000</v>
          </cell>
        </row>
        <row r="1287">
          <cell r="C1287" t="str">
            <v>954-2024</v>
          </cell>
          <cell r="D1287">
            <v>3000000</v>
          </cell>
        </row>
        <row r="1288">
          <cell r="C1288" t="str">
            <v>713-2024</v>
          </cell>
          <cell r="D1288">
            <v>6000000</v>
          </cell>
        </row>
        <row r="1289">
          <cell r="C1289" t="str">
            <v>908-2024</v>
          </cell>
          <cell r="D1289">
            <v>3000000</v>
          </cell>
        </row>
        <row r="1290">
          <cell r="C1290" t="str">
            <v>710-2024</v>
          </cell>
          <cell r="D1290">
            <v>3000000</v>
          </cell>
        </row>
        <row r="1291">
          <cell r="C1291" t="str">
            <v>788-2024</v>
          </cell>
          <cell r="D1291">
            <v>3000000</v>
          </cell>
        </row>
        <row r="1292">
          <cell r="C1292" t="str">
            <v>848-2024</v>
          </cell>
          <cell r="D1292">
            <v>4825000</v>
          </cell>
        </row>
        <row r="1293">
          <cell r="C1293" t="str">
            <v>694-2024</v>
          </cell>
          <cell r="D1293">
            <v>3000000</v>
          </cell>
        </row>
        <row r="1294">
          <cell r="C1294" t="str">
            <v>929-2024</v>
          </cell>
          <cell r="D1294">
            <v>3000000</v>
          </cell>
        </row>
        <row r="1295">
          <cell r="C1295" t="str">
            <v>857-2024</v>
          </cell>
          <cell r="D1295">
            <v>4825000</v>
          </cell>
        </row>
        <row r="1296">
          <cell r="C1296" t="str">
            <v>1034-2024</v>
          </cell>
          <cell r="D1296">
            <v>2090400</v>
          </cell>
        </row>
        <row r="1297">
          <cell r="C1297" t="str">
            <v>729-2024</v>
          </cell>
          <cell r="D1297">
            <v>7540000</v>
          </cell>
        </row>
        <row r="1298">
          <cell r="C1298" t="str">
            <v>649-2024</v>
          </cell>
          <cell r="D1298">
            <v>7540000</v>
          </cell>
        </row>
        <row r="1299">
          <cell r="C1299" t="str">
            <v>1011-2024</v>
          </cell>
          <cell r="D1299">
            <v>1700000</v>
          </cell>
        </row>
        <row r="1300">
          <cell r="C1300" t="str">
            <v>760-2024</v>
          </cell>
          <cell r="D1300">
            <v>6000000</v>
          </cell>
        </row>
        <row r="1301">
          <cell r="C1301" t="str">
            <v>931-2024</v>
          </cell>
          <cell r="D1301">
            <v>7540000</v>
          </cell>
        </row>
        <row r="1302">
          <cell r="C1302" t="str">
            <v>678-2024</v>
          </cell>
          <cell r="D1302">
            <v>7540000</v>
          </cell>
        </row>
        <row r="1303">
          <cell r="C1303" t="str">
            <v>858-2024</v>
          </cell>
          <cell r="D1303">
            <v>4750000</v>
          </cell>
        </row>
        <row r="1304">
          <cell r="C1304" t="str">
            <v>787-2024</v>
          </cell>
          <cell r="D1304">
            <v>3000000</v>
          </cell>
        </row>
        <row r="1305">
          <cell r="C1305" t="str">
            <v>864-2024</v>
          </cell>
          <cell r="D1305">
            <v>2500000</v>
          </cell>
        </row>
        <row r="1306">
          <cell r="C1306" t="str">
            <v>642-2024</v>
          </cell>
          <cell r="D1306">
            <v>4750000</v>
          </cell>
        </row>
        <row r="1307">
          <cell r="C1307" t="str">
            <v>1012-2024</v>
          </cell>
          <cell r="D1307">
            <v>1416100</v>
          </cell>
        </row>
        <row r="1308">
          <cell r="C1308" t="str">
            <v>830-2024</v>
          </cell>
          <cell r="D1308">
            <v>3000000</v>
          </cell>
        </row>
        <row r="1309">
          <cell r="C1309" t="str">
            <v>1025-2024</v>
          </cell>
          <cell r="D1309">
            <v>1700000</v>
          </cell>
        </row>
        <row r="1310">
          <cell r="C1310" t="str">
            <v>1013-2024</v>
          </cell>
          <cell r="D1310">
            <v>3000000</v>
          </cell>
        </row>
        <row r="1311">
          <cell r="C1311" t="str">
            <v>784-2024</v>
          </cell>
          <cell r="D1311">
            <v>3000000</v>
          </cell>
        </row>
        <row r="1312">
          <cell r="C1312" t="str">
            <v>991-2024</v>
          </cell>
          <cell r="D1312">
            <v>4750000</v>
          </cell>
        </row>
        <row r="1313">
          <cell r="C1313" t="str">
            <v>959-2024</v>
          </cell>
          <cell r="D1313">
            <v>1100000</v>
          </cell>
        </row>
        <row r="1314">
          <cell r="C1314" t="str">
            <v>958-2024</v>
          </cell>
          <cell r="D1314">
            <v>3000000</v>
          </cell>
        </row>
        <row r="1315">
          <cell r="C1315" t="str">
            <v>696-2024</v>
          </cell>
          <cell r="D1315">
            <v>4750000</v>
          </cell>
        </row>
        <row r="1316">
          <cell r="C1316" t="str">
            <v>696-2024</v>
          </cell>
          <cell r="D1316">
            <v>4750000</v>
          </cell>
        </row>
        <row r="1317">
          <cell r="C1317" t="str">
            <v>946-2024</v>
          </cell>
          <cell r="D1317">
            <v>6000000</v>
          </cell>
        </row>
        <row r="1318">
          <cell r="C1318" t="str">
            <v>811-2024</v>
          </cell>
          <cell r="D1318">
            <v>2500000</v>
          </cell>
        </row>
        <row r="1319">
          <cell r="C1319" t="str">
            <v>985-2024</v>
          </cell>
          <cell r="D1319">
            <v>4750000</v>
          </cell>
        </row>
        <row r="1320">
          <cell r="C1320" t="str">
            <v>804-2024</v>
          </cell>
          <cell r="D1320">
            <v>3000000</v>
          </cell>
        </row>
        <row r="1321">
          <cell r="C1321" t="str">
            <v>477-2024</v>
          </cell>
          <cell r="D1321">
            <v>1000000</v>
          </cell>
        </row>
        <row r="1322">
          <cell r="C1322" t="str">
            <v>722-2024</v>
          </cell>
          <cell r="D1322">
            <v>4825000</v>
          </cell>
        </row>
        <row r="1323">
          <cell r="C1323" t="str">
            <v>797-2024</v>
          </cell>
          <cell r="D1323">
            <v>3000000</v>
          </cell>
        </row>
        <row r="1324">
          <cell r="C1324" t="str">
            <v>825-2024</v>
          </cell>
          <cell r="D1324">
            <v>6000000</v>
          </cell>
        </row>
        <row r="1325">
          <cell r="C1325" t="str">
            <v>1032-2024</v>
          </cell>
          <cell r="D1325">
            <v>1300000</v>
          </cell>
        </row>
        <row r="1326">
          <cell r="C1326" t="str">
            <v>909-2024</v>
          </cell>
          <cell r="D1326">
            <v>3000000</v>
          </cell>
        </row>
        <row r="1327">
          <cell r="C1327" t="str">
            <v>975-2024</v>
          </cell>
          <cell r="D1327">
            <v>4825000</v>
          </cell>
        </row>
        <row r="1328">
          <cell r="C1328" t="str">
            <v>1033-2024</v>
          </cell>
          <cell r="D1328">
            <v>1082900</v>
          </cell>
        </row>
        <row r="1329">
          <cell r="C1329" t="str">
            <v>732-2024</v>
          </cell>
          <cell r="D1329">
            <v>3000000</v>
          </cell>
        </row>
        <row r="1330">
          <cell r="C1330" t="str">
            <v>640-2024</v>
          </cell>
          <cell r="D1330">
            <v>4750000</v>
          </cell>
        </row>
        <row r="1331">
          <cell r="C1331" t="str">
            <v>1020-2024</v>
          </cell>
          <cell r="D1331">
            <v>4750000</v>
          </cell>
        </row>
        <row r="1332">
          <cell r="C1332" t="str">
            <v>779-2024</v>
          </cell>
          <cell r="D1332">
            <v>2100000</v>
          </cell>
        </row>
        <row r="1333">
          <cell r="C1333" t="str">
            <v>886-2024</v>
          </cell>
          <cell r="D1333">
            <v>3000000</v>
          </cell>
        </row>
        <row r="1334">
          <cell r="C1334" t="str">
            <v>962-2024</v>
          </cell>
          <cell r="D1334">
            <v>6000000</v>
          </cell>
        </row>
        <row r="1335">
          <cell r="C1335" t="str">
            <v>1002-2024</v>
          </cell>
          <cell r="D1335">
            <v>2500000</v>
          </cell>
        </row>
        <row r="1336">
          <cell r="C1336" t="str">
            <v>1003-2024</v>
          </cell>
          <cell r="D1336">
            <v>4750000</v>
          </cell>
        </row>
        <row r="1337">
          <cell r="C1337" t="str">
            <v>1037-2024</v>
          </cell>
          <cell r="D1337">
            <v>2691100</v>
          </cell>
        </row>
        <row r="1338">
          <cell r="C1338" t="str">
            <v>793-2024</v>
          </cell>
          <cell r="D1338">
            <v>3000000</v>
          </cell>
        </row>
        <row r="1339">
          <cell r="C1339" t="str">
            <v>859-2024</v>
          </cell>
          <cell r="D1339">
            <v>3000000</v>
          </cell>
        </row>
        <row r="1340">
          <cell r="C1340" t="str">
            <v>939-2024</v>
          </cell>
          <cell r="D1340">
            <v>6000000</v>
          </cell>
        </row>
        <row r="1341">
          <cell r="C1341" t="str">
            <v>684-2024</v>
          </cell>
          <cell r="D1341">
            <v>4825000</v>
          </cell>
        </row>
        <row r="1342">
          <cell r="C1342" t="str">
            <v>883-2024</v>
          </cell>
          <cell r="D1342">
            <v>2500000</v>
          </cell>
        </row>
        <row r="1343">
          <cell r="C1343" t="str">
            <v>855-2024</v>
          </cell>
          <cell r="D1343">
            <v>2500000</v>
          </cell>
        </row>
        <row r="1344">
          <cell r="C1344" t="str">
            <v>752-2024</v>
          </cell>
          <cell r="D1344">
            <v>4825000</v>
          </cell>
        </row>
        <row r="1345">
          <cell r="C1345" t="str">
            <v>758-2024</v>
          </cell>
          <cell r="D1345">
            <v>6000000</v>
          </cell>
        </row>
        <row r="1346">
          <cell r="C1346" t="str">
            <v>643-2024</v>
          </cell>
          <cell r="D1346">
            <v>4825000</v>
          </cell>
        </row>
        <row r="1347">
          <cell r="C1347" t="str">
            <v>852-2024</v>
          </cell>
          <cell r="D1347">
            <v>3000000</v>
          </cell>
        </row>
        <row r="1348">
          <cell r="C1348" t="str">
            <v>913-2024</v>
          </cell>
          <cell r="D1348">
            <v>2500000</v>
          </cell>
        </row>
        <row r="1349">
          <cell r="C1349" t="str">
            <v>842-2024</v>
          </cell>
          <cell r="D1349">
            <v>4825000</v>
          </cell>
        </row>
        <row r="1350">
          <cell r="C1350" t="str">
            <v>700-2024</v>
          </cell>
          <cell r="D1350">
            <v>4825000</v>
          </cell>
        </row>
        <row r="1351">
          <cell r="C1351" t="str">
            <v>1005-2024</v>
          </cell>
          <cell r="D1351">
            <v>7540000</v>
          </cell>
        </row>
        <row r="1352">
          <cell r="C1352" t="str">
            <v>902-2024</v>
          </cell>
          <cell r="D1352">
            <v>4750000</v>
          </cell>
        </row>
        <row r="1353">
          <cell r="C1353" t="str">
            <v>738-2024</v>
          </cell>
          <cell r="D1353">
            <v>6000000</v>
          </cell>
        </row>
        <row r="1354">
          <cell r="C1354" t="str">
            <v>838-2024</v>
          </cell>
          <cell r="D1354">
            <v>2500000</v>
          </cell>
        </row>
        <row r="1355">
          <cell r="C1355" t="str">
            <v>828-2024</v>
          </cell>
          <cell r="D1355">
            <v>2500000</v>
          </cell>
        </row>
        <row r="1356">
          <cell r="C1356" t="str">
            <v>812-2024</v>
          </cell>
          <cell r="D1356">
            <v>3000000</v>
          </cell>
        </row>
        <row r="1357">
          <cell r="C1357" t="str">
            <v>671-2024</v>
          </cell>
          <cell r="D1357">
            <v>7540000</v>
          </cell>
        </row>
        <row r="1358">
          <cell r="C1358" t="str">
            <v>926-2024</v>
          </cell>
          <cell r="D1358">
            <v>4825000</v>
          </cell>
        </row>
        <row r="1359">
          <cell r="C1359" t="str">
            <v>827-2024</v>
          </cell>
          <cell r="D1359">
            <v>2500000</v>
          </cell>
        </row>
        <row r="1360">
          <cell r="C1360" t="str">
            <v>1052-2024</v>
          </cell>
          <cell r="D1360">
            <v>600000</v>
          </cell>
        </row>
        <row r="1361">
          <cell r="C1361" t="str">
            <v>1052-2024</v>
          </cell>
          <cell r="D1361">
            <v>3000000</v>
          </cell>
        </row>
        <row r="1362">
          <cell r="C1362" t="str">
            <v>765-2024</v>
          </cell>
          <cell r="D1362">
            <v>3000000</v>
          </cell>
        </row>
        <row r="1363">
          <cell r="C1363" t="str">
            <v>885-2024</v>
          </cell>
          <cell r="D1363">
            <v>2500000</v>
          </cell>
        </row>
        <row r="1364">
          <cell r="C1364" t="str">
            <v>637-2024</v>
          </cell>
          <cell r="D1364">
            <v>4750000</v>
          </cell>
        </row>
        <row r="1365">
          <cell r="C1365" t="str">
            <v>935-2024</v>
          </cell>
          <cell r="D1365">
            <v>1500000</v>
          </cell>
        </row>
        <row r="1366">
          <cell r="C1366" t="str">
            <v>935-2024</v>
          </cell>
          <cell r="D1366">
            <v>3000000</v>
          </cell>
        </row>
        <row r="1367">
          <cell r="C1367" t="str">
            <v>1055-2024</v>
          </cell>
          <cell r="D1367">
            <v>1000000</v>
          </cell>
        </row>
        <row r="1368">
          <cell r="C1368" t="str">
            <v>831-2024</v>
          </cell>
          <cell r="D1368">
            <v>3000000</v>
          </cell>
        </row>
        <row r="1369">
          <cell r="C1369" t="str">
            <v>974-2024</v>
          </cell>
          <cell r="D1369">
            <v>4750000</v>
          </cell>
        </row>
        <row r="1370">
          <cell r="C1370" t="str">
            <v>932-2024</v>
          </cell>
          <cell r="D1370">
            <v>4825000</v>
          </cell>
        </row>
        <row r="1371">
          <cell r="C1371" t="str">
            <v>879-2024</v>
          </cell>
          <cell r="D1371">
            <v>7540000</v>
          </cell>
        </row>
        <row r="1372">
          <cell r="C1372" t="str">
            <v>1047-2024</v>
          </cell>
          <cell r="D1372">
            <v>600000</v>
          </cell>
        </row>
        <row r="1373">
          <cell r="C1373" t="str">
            <v>680-2024</v>
          </cell>
          <cell r="D1373">
            <v>6000000</v>
          </cell>
        </row>
        <row r="1374">
          <cell r="C1374" t="str">
            <v>899-2024</v>
          </cell>
          <cell r="D1374">
            <v>2500000</v>
          </cell>
        </row>
        <row r="1375">
          <cell r="C1375" t="str">
            <v>1054-2024</v>
          </cell>
          <cell r="D1375">
            <v>1200000</v>
          </cell>
        </row>
        <row r="1376">
          <cell r="C1376" t="str">
            <v>887-2024</v>
          </cell>
          <cell r="D1376">
            <v>7540000</v>
          </cell>
        </row>
        <row r="1377">
          <cell r="C1377" t="str">
            <v>668-2024</v>
          </cell>
          <cell r="D1377">
            <v>7540000</v>
          </cell>
        </row>
        <row r="1378">
          <cell r="C1378" t="str">
            <v>669-2024</v>
          </cell>
          <cell r="D1378">
            <v>6000000</v>
          </cell>
        </row>
        <row r="1379">
          <cell r="C1379" t="str">
            <v>777-2024</v>
          </cell>
          <cell r="D1379">
            <v>3000000</v>
          </cell>
        </row>
        <row r="1380">
          <cell r="C1380" t="str">
            <v>698-2024</v>
          </cell>
          <cell r="D1380">
            <v>3000000</v>
          </cell>
        </row>
        <row r="1381">
          <cell r="C1381" t="str">
            <v>850-2024</v>
          </cell>
          <cell r="D1381">
            <v>3000000</v>
          </cell>
        </row>
        <row r="1382">
          <cell r="C1382" t="str">
            <v>749-2024</v>
          </cell>
          <cell r="D1382">
            <v>3000000</v>
          </cell>
        </row>
        <row r="1383">
          <cell r="C1383" t="str">
            <v>672-2024</v>
          </cell>
          <cell r="D1383">
            <v>6000000</v>
          </cell>
        </row>
        <row r="1384">
          <cell r="C1384" t="str">
            <v>807-2024</v>
          </cell>
          <cell r="D1384">
            <v>3000000</v>
          </cell>
        </row>
        <row r="1385">
          <cell r="C1385" t="str">
            <v>1020-2024</v>
          </cell>
          <cell r="D1385">
            <v>4750000</v>
          </cell>
        </row>
        <row r="1386">
          <cell r="C1386" t="str">
            <v>878-2024</v>
          </cell>
          <cell r="D1386">
            <v>7540000</v>
          </cell>
        </row>
        <row r="1387">
          <cell r="C1387" t="str">
            <v>829-2024</v>
          </cell>
          <cell r="D1387">
            <v>3000000</v>
          </cell>
        </row>
        <row r="1388">
          <cell r="C1388" t="str">
            <v>985-2024</v>
          </cell>
          <cell r="D1388">
            <v>4750000</v>
          </cell>
        </row>
        <row r="1389">
          <cell r="C1389" t="str">
            <v>670-2024</v>
          </cell>
          <cell r="D1389">
            <v>6000000</v>
          </cell>
        </row>
        <row r="1390">
          <cell r="C1390" t="str">
            <v>756-2024</v>
          </cell>
          <cell r="D1390">
            <v>3000000</v>
          </cell>
        </row>
        <row r="1391">
          <cell r="C1391" t="str">
            <v>648-2024</v>
          </cell>
          <cell r="D1391">
            <v>6000000</v>
          </cell>
        </row>
        <row r="1392">
          <cell r="C1392" t="str">
            <v>882-2024</v>
          </cell>
          <cell r="D1392">
            <v>3000000</v>
          </cell>
        </row>
        <row r="1393">
          <cell r="C1393" t="str">
            <v>1006-2024</v>
          </cell>
          <cell r="D1393">
            <v>4750000</v>
          </cell>
        </row>
        <row r="1394">
          <cell r="C1394" t="str">
            <v>846-2024</v>
          </cell>
          <cell r="D1394">
            <v>3000000</v>
          </cell>
        </row>
        <row r="1395">
          <cell r="C1395" t="str">
            <v>667-2024</v>
          </cell>
          <cell r="D1395">
            <v>6000000</v>
          </cell>
        </row>
        <row r="1396">
          <cell r="C1396" t="str">
            <v>1012-2024</v>
          </cell>
          <cell r="D1396">
            <v>2500000</v>
          </cell>
        </row>
        <row r="1397">
          <cell r="C1397" t="str">
            <v>706-2024</v>
          </cell>
          <cell r="D1397">
            <v>3000000</v>
          </cell>
        </row>
        <row r="1398">
          <cell r="C1398" t="str">
            <v>776-2024</v>
          </cell>
          <cell r="D1398">
            <v>3000000</v>
          </cell>
        </row>
        <row r="1399">
          <cell r="C1399" t="str">
            <v>795-2024</v>
          </cell>
          <cell r="D1399">
            <v>3000000</v>
          </cell>
        </row>
        <row r="1400">
          <cell r="C1400" t="str">
            <v>794-2024</v>
          </cell>
          <cell r="D1400">
            <v>3000000</v>
          </cell>
        </row>
        <row r="1401">
          <cell r="C1401" t="str">
            <v>809-2024</v>
          </cell>
          <cell r="D1401">
            <v>3000000</v>
          </cell>
        </row>
        <row r="1402">
          <cell r="C1402" t="str">
            <v>803-2024</v>
          </cell>
          <cell r="D1402">
            <v>3000000</v>
          </cell>
        </row>
        <row r="1403">
          <cell r="C1403" t="str">
            <v>996-2024</v>
          </cell>
          <cell r="D1403">
            <v>4750000</v>
          </cell>
        </row>
        <row r="1404">
          <cell r="C1404" t="str">
            <v>956-2024</v>
          </cell>
          <cell r="D1404">
            <v>3000000</v>
          </cell>
        </row>
        <row r="1405">
          <cell r="C1405" t="str">
            <v>833-2024</v>
          </cell>
          <cell r="D1405">
            <v>3000000</v>
          </cell>
        </row>
        <row r="1406">
          <cell r="C1406" t="str">
            <v>715-2024</v>
          </cell>
          <cell r="D1406">
            <v>3000000</v>
          </cell>
        </row>
        <row r="1407">
          <cell r="C1407" t="str">
            <v>841-2024</v>
          </cell>
          <cell r="D1407">
            <v>4825000</v>
          </cell>
        </row>
        <row r="1408">
          <cell r="C1408" t="str">
            <v>652-2024</v>
          </cell>
          <cell r="D1408">
            <v>6000000</v>
          </cell>
        </row>
        <row r="1409">
          <cell r="C1409" t="str">
            <v>727-2024</v>
          </cell>
          <cell r="D1409">
            <v>3000000</v>
          </cell>
        </row>
        <row r="1410">
          <cell r="C1410" t="str">
            <v>836-2024</v>
          </cell>
          <cell r="D1410">
            <v>2500000</v>
          </cell>
        </row>
        <row r="1411">
          <cell r="C1411" t="str">
            <v>847-2024</v>
          </cell>
          <cell r="D1411">
            <v>3000000</v>
          </cell>
        </row>
        <row r="1412">
          <cell r="C1412" t="str">
            <v>650-2024</v>
          </cell>
          <cell r="D1412">
            <v>6000000</v>
          </cell>
        </row>
        <row r="1413">
          <cell r="C1413" t="str">
            <v>709-2024</v>
          </cell>
          <cell r="D1413">
            <v>4750000</v>
          </cell>
        </row>
        <row r="1414">
          <cell r="C1414" t="str">
            <v>906-2024</v>
          </cell>
          <cell r="D1414">
            <v>4750000</v>
          </cell>
        </row>
        <row r="1415">
          <cell r="C1415" t="str">
            <v>707-2024</v>
          </cell>
          <cell r="D1415">
            <v>4750000</v>
          </cell>
        </row>
        <row r="1416">
          <cell r="C1416" t="str">
            <v>822-2024</v>
          </cell>
          <cell r="D1416">
            <v>4825000</v>
          </cell>
        </row>
        <row r="1417">
          <cell r="C1417" t="str">
            <v>681-2024</v>
          </cell>
          <cell r="D1417">
            <v>6000000</v>
          </cell>
        </row>
        <row r="1418">
          <cell r="C1418" t="str">
            <v>754-2024</v>
          </cell>
          <cell r="D1418">
            <v>3000000</v>
          </cell>
        </row>
        <row r="1419">
          <cell r="C1419" t="str">
            <v>817-2024</v>
          </cell>
          <cell r="D1419">
            <v>4825000</v>
          </cell>
        </row>
        <row r="1420">
          <cell r="C1420" t="str">
            <v>694-2024</v>
          </cell>
          <cell r="D1420">
            <v>3000000</v>
          </cell>
        </row>
        <row r="1421">
          <cell r="C1421" t="str">
            <v>771-2024</v>
          </cell>
          <cell r="D1421">
            <v>3000000</v>
          </cell>
        </row>
        <row r="1422">
          <cell r="C1422" t="str">
            <v>684-2024</v>
          </cell>
          <cell r="D1422">
            <v>4825000</v>
          </cell>
        </row>
        <row r="1423">
          <cell r="C1423" t="str">
            <v>761-2024</v>
          </cell>
          <cell r="D1423">
            <v>3000000</v>
          </cell>
        </row>
        <row r="1424">
          <cell r="C1424" t="str">
            <v>1004-2024</v>
          </cell>
          <cell r="D1424">
            <v>7540000</v>
          </cell>
        </row>
        <row r="1425">
          <cell r="C1425" t="str">
            <v>728-2024</v>
          </cell>
          <cell r="D1425">
            <v>3000000</v>
          </cell>
        </row>
        <row r="1426">
          <cell r="C1426" t="str">
            <v>748-2024</v>
          </cell>
          <cell r="D1426">
            <v>3000000</v>
          </cell>
        </row>
        <row r="1427">
          <cell r="C1427" t="str">
            <v>1001-2024</v>
          </cell>
          <cell r="D1427">
            <v>2500000</v>
          </cell>
        </row>
        <row r="1428">
          <cell r="C1428" t="str">
            <v>1084-2024</v>
          </cell>
          <cell r="D1428">
            <v>6000000</v>
          </cell>
        </row>
        <row r="1429">
          <cell r="C1429" t="str">
            <v>674-2024</v>
          </cell>
          <cell r="D1429">
            <v>7540000</v>
          </cell>
        </row>
        <row r="1430">
          <cell r="C1430" t="str">
            <v>1049-2024</v>
          </cell>
          <cell r="D1430">
            <v>499800</v>
          </cell>
        </row>
        <row r="1431">
          <cell r="C1431" t="str">
            <v>1049-2024</v>
          </cell>
          <cell r="D1431">
            <v>2500000</v>
          </cell>
        </row>
        <row r="1432">
          <cell r="C1432" t="str">
            <v>921-2024</v>
          </cell>
          <cell r="D1432">
            <v>3000000</v>
          </cell>
        </row>
        <row r="1433">
          <cell r="C1433" t="str">
            <v>713-2024</v>
          </cell>
          <cell r="D1433">
            <v>6000000</v>
          </cell>
        </row>
        <row r="1434">
          <cell r="C1434" t="str">
            <v>840-2024</v>
          </cell>
          <cell r="D1434">
            <v>3000000</v>
          </cell>
        </row>
        <row r="1435">
          <cell r="C1435" t="str">
            <v>818-2024</v>
          </cell>
          <cell r="D1435">
            <v>4825000</v>
          </cell>
        </row>
        <row r="1436">
          <cell r="C1436" t="str">
            <v>725-2024</v>
          </cell>
          <cell r="D1436">
            <v>3000000</v>
          </cell>
        </row>
        <row r="1437">
          <cell r="C1437" t="str">
            <v>993-2024</v>
          </cell>
          <cell r="D1437">
            <v>7540000</v>
          </cell>
        </row>
        <row r="1438">
          <cell r="C1438" t="str">
            <v>1034-2024</v>
          </cell>
          <cell r="D1438">
            <v>4825000</v>
          </cell>
        </row>
        <row r="1439">
          <cell r="C1439" t="str">
            <v>1008-2024</v>
          </cell>
          <cell r="D1439">
            <v>7540000</v>
          </cell>
        </row>
        <row r="1440">
          <cell r="C1440" t="str">
            <v>641-2024</v>
          </cell>
          <cell r="D1440">
            <v>7500000</v>
          </cell>
        </row>
        <row r="1441">
          <cell r="C1441" t="str">
            <v>702-2024</v>
          </cell>
          <cell r="D1441">
            <v>7540000</v>
          </cell>
        </row>
        <row r="1442">
          <cell r="C1442" t="str">
            <v>1029-2024</v>
          </cell>
          <cell r="D1442">
            <v>2500000</v>
          </cell>
        </row>
        <row r="1443">
          <cell r="C1443" t="str">
            <v>792-2024</v>
          </cell>
          <cell r="D1443">
            <v>3000000</v>
          </cell>
        </row>
        <row r="1444">
          <cell r="C1444" t="str">
            <v>866-2024</v>
          </cell>
          <cell r="D1444">
            <v>3000000</v>
          </cell>
        </row>
        <row r="1445">
          <cell r="C1445" t="str">
            <v>845-2024</v>
          </cell>
          <cell r="D1445">
            <v>6000000</v>
          </cell>
        </row>
        <row r="1446">
          <cell r="C1446" t="str">
            <v>951-2024</v>
          </cell>
          <cell r="D1446">
            <v>2500000</v>
          </cell>
        </row>
        <row r="1447">
          <cell r="C1447" t="str">
            <v>720-2024</v>
          </cell>
          <cell r="D1447">
            <v>4750000</v>
          </cell>
        </row>
        <row r="1448">
          <cell r="C1448" t="str">
            <v>708-2024</v>
          </cell>
          <cell r="D1448">
            <v>3000000</v>
          </cell>
        </row>
        <row r="1449">
          <cell r="C1449" t="str">
            <v>981-2024</v>
          </cell>
          <cell r="D1449">
            <v>2500000</v>
          </cell>
        </row>
        <row r="1450">
          <cell r="C1450" t="str">
            <v>949-2024</v>
          </cell>
          <cell r="D1450">
            <v>2500000</v>
          </cell>
        </row>
        <row r="1451">
          <cell r="C1451" t="str">
            <v>789-2024</v>
          </cell>
          <cell r="D1451">
            <v>7540000</v>
          </cell>
        </row>
        <row r="1452">
          <cell r="C1452" t="str">
            <v>764-2024</v>
          </cell>
          <cell r="D1452">
            <v>3000000</v>
          </cell>
        </row>
        <row r="1453">
          <cell r="C1453" t="str">
            <v>1080-2024</v>
          </cell>
          <cell r="D1453">
            <v>6000000</v>
          </cell>
        </row>
        <row r="1454">
          <cell r="C1454" t="str">
            <v>697-2024</v>
          </cell>
          <cell r="D1454">
            <v>3000000</v>
          </cell>
        </row>
        <row r="1455">
          <cell r="C1455" t="str">
            <v>963-2024</v>
          </cell>
          <cell r="D1455">
            <v>3000000</v>
          </cell>
        </row>
        <row r="1456">
          <cell r="C1456" t="str">
            <v>724-2024</v>
          </cell>
          <cell r="D1456">
            <v>3000000</v>
          </cell>
        </row>
        <row r="1457">
          <cell r="C1457" t="str">
            <v>745-2024</v>
          </cell>
          <cell r="D1457">
            <v>3000000</v>
          </cell>
        </row>
        <row r="1458">
          <cell r="C1458" t="str">
            <v>656-2024</v>
          </cell>
          <cell r="D1458">
            <v>7540000</v>
          </cell>
        </row>
        <row r="1459">
          <cell r="C1459" t="str">
            <v>823-2024</v>
          </cell>
          <cell r="D1459">
            <v>2500000</v>
          </cell>
        </row>
        <row r="1460">
          <cell r="C1460" t="str">
            <v>1050-2024</v>
          </cell>
          <cell r="D1460">
            <v>2500000</v>
          </cell>
        </row>
        <row r="1461">
          <cell r="C1461" t="str">
            <v>758-2024</v>
          </cell>
          <cell r="D1461">
            <v>6000000</v>
          </cell>
        </row>
        <row r="1462">
          <cell r="C1462" t="str">
            <v>857-2024</v>
          </cell>
          <cell r="D1462">
            <v>4825000</v>
          </cell>
        </row>
        <row r="1463">
          <cell r="C1463" t="str">
            <v>957-2024</v>
          </cell>
          <cell r="D1463">
            <v>3000000</v>
          </cell>
        </row>
        <row r="1464">
          <cell r="C1464" t="str">
            <v>666-2024</v>
          </cell>
          <cell r="D1464">
            <v>4825000</v>
          </cell>
        </row>
        <row r="1465">
          <cell r="C1465" t="str">
            <v>914-2024</v>
          </cell>
          <cell r="D1465">
            <v>2500000</v>
          </cell>
        </row>
        <row r="1466">
          <cell r="C1466" t="str">
            <v>634-2024</v>
          </cell>
          <cell r="D1466">
            <v>7540000</v>
          </cell>
        </row>
        <row r="1467">
          <cell r="C1467" t="str">
            <v>726-2024</v>
          </cell>
          <cell r="D1467">
            <v>3000000</v>
          </cell>
        </row>
        <row r="1468">
          <cell r="C1468" t="str">
            <v>786-2024</v>
          </cell>
          <cell r="D1468">
            <v>2500000</v>
          </cell>
        </row>
        <row r="1469">
          <cell r="C1469" t="str">
            <v>654-2024</v>
          </cell>
          <cell r="D1469">
            <v>4825000</v>
          </cell>
        </row>
        <row r="1470">
          <cell r="C1470" t="str">
            <v>988-2024</v>
          </cell>
          <cell r="D1470">
            <v>4825000</v>
          </cell>
        </row>
        <row r="1471">
          <cell r="C1471" t="str">
            <v>992-2024</v>
          </cell>
          <cell r="D1471">
            <v>7540000</v>
          </cell>
        </row>
        <row r="1472">
          <cell r="C1472" t="str">
            <v>657-2024</v>
          </cell>
          <cell r="D1472">
            <v>7540000</v>
          </cell>
        </row>
        <row r="1473">
          <cell r="C1473" t="str">
            <v>869-2024</v>
          </cell>
          <cell r="D1473">
            <v>3000000</v>
          </cell>
        </row>
        <row r="1474">
          <cell r="C1474" t="str">
            <v>901-2024</v>
          </cell>
          <cell r="D1474">
            <v>3000000</v>
          </cell>
        </row>
        <row r="1475">
          <cell r="C1475" t="str">
            <v>849-2024</v>
          </cell>
          <cell r="D1475">
            <v>3000000</v>
          </cell>
        </row>
        <row r="1476">
          <cell r="C1476" t="str">
            <v>801-2024</v>
          </cell>
          <cell r="D1476">
            <v>2500000</v>
          </cell>
        </row>
        <row r="1477">
          <cell r="C1477" t="str">
            <v>790-2024</v>
          </cell>
          <cell r="D1477">
            <v>2500000</v>
          </cell>
        </row>
        <row r="1478">
          <cell r="C1478" t="str">
            <v>635-2024</v>
          </cell>
          <cell r="D1478">
            <v>4825000</v>
          </cell>
        </row>
        <row r="1479">
          <cell r="C1479" t="str">
            <v>743-2024</v>
          </cell>
          <cell r="D1479">
            <v>3000000</v>
          </cell>
        </row>
        <row r="1480">
          <cell r="C1480" t="str">
            <v>682-2024</v>
          </cell>
          <cell r="D1480">
            <v>4750000</v>
          </cell>
        </row>
        <row r="1481">
          <cell r="C1481" t="str">
            <v>1031-2024</v>
          </cell>
          <cell r="D1481">
            <v>2500000</v>
          </cell>
        </row>
        <row r="1482">
          <cell r="C1482" t="str">
            <v>653-2024</v>
          </cell>
          <cell r="D1482">
            <v>7540000</v>
          </cell>
        </row>
        <row r="1483">
          <cell r="C1483" t="str">
            <v>1025-2024</v>
          </cell>
          <cell r="D1483">
            <v>3000000</v>
          </cell>
        </row>
        <row r="1484">
          <cell r="C1484" t="str">
            <v>873-2024</v>
          </cell>
          <cell r="D1484">
            <v>3000000</v>
          </cell>
        </row>
        <row r="1485">
          <cell r="C1485" t="str">
            <v>969-2024</v>
          </cell>
          <cell r="D1485">
            <v>6000000</v>
          </cell>
        </row>
        <row r="1486">
          <cell r="C1486" t="str">
            <v>981-2024</v>
          </cell>
          <cell r="D1486">
            <v>2500000</v>
          </cell>
        </row>
        <row r="1487">
          <cell r="C1487" t="str">
            <v>902-2024</v>
          </cell>
          <cell r="D1487">
            <v>4750000</v>
          </cell>
        </row>
        <row r="1488">
          <cell r="C1488" t="str">
            <v>1043-2024</v>
          </cell>
          <cell r="D1488">
            <v>2500000</v>
          </cell>
        </row>
        <row r="1489">
          <cell r="C1489" t="str">
            <v>1033-2024</v>
          </cell>
          <cell r="D1489">
            <v>2500000</v>
          </cell>
        </row>
        <row r="1490">
          <cell r="C1490" t="str">
            <v>729-2024</v>
          </cell>
          <cell r="D1490">
            <v>7540000</v>
          </cell>
        </row>
        <row r="1491">
          <cell r="C1491" t="str">
            <v>633-2024</v>
          </cell>
          <cell r="D1491">
            <v>4750000</v>
          </cell>
        </row>
        <row r="1492">
          <cell r="C1492" t="str">
            <v>970-2024</v>
          </cell>
          <cell r="D1492">
            <v>3000000</v>
          </cell>
        </row>
        <row r="1493">
          <cell r="C1493" t="str">
            <v>732-2024</v>
          </cell>
          <cell r="D1493">
            <v>3000000</v>
          </cell>
        </row>
        <row r="1494">
          <cell r="C1494" t="str">
            <v>798-2024</v>
          </cell>
          <cell r="D1494">
            <v>3000000</v>
          </cell>
        </row>
        <row r="1495">
          <cell r="C1495" t="str">
            <v>960-2024</v>
          </cell>
          <cell r="D1495">
            <v>3000000</v>
          </cell>
        </row>
        <row r="1496">
          <cell r="C1496" t="str">
            <v>699-2024</v>
          </cell>
          <cell r="D1496">
            <v>3000000</v>
          </cell>
        </row>
        <row r="1497">
          <cell r="C1497" t="str">
            <v>881-2024</v>
          </cell>
          <cell r="D1497">
            <v>6000000</v>
          </cell>
        </row>
        <row r="1498">
          <cell r="C1498" t="str">
            <v>871-2024</v>
          </cell>
          <cell r="D1498">
            <v>3000000</v>
          </cell>
        </row>
        <row r="1499">
          <cell r="C1499" t="str">
            <v>1000-2024</v>
          </cell>
          <cell r="D1499">
            <v>3000000</v>
          </cell>
        </row>
        <row r="1500">
          <cell r="C1500" t="str">
            <v>898-2024</v>
          </cell>
          <cell r="D1500">
            <v>4750000</v>
          </cell>
        </row>
        <row r="1501">
          <cell r="C1501" t="str">
            <v>819-2024</v>
          </cell>
          <cell r="D1501">
            <v>6000000</v>
          </cell>
        </row>
        <row r="1502">
          <cell r="C1502" t="str">
            <v>800-2024</v>
          </cell>
          <cell r="D1502">
            <v>2500000</v>
          </cell>
        </row>
        <row r="1503">
          <cell r="C1503" t="str">
            <v>665-2024</v>
          </cell>
          <cell r="D1503">
            <v>4825000</v>
          </cell>
        </row>
        <row r="1504">
          <cell r="C1504" t="str">
            <v>687-2024</v>
          </cell>
          <cell r="D1504">
            <v>4750000</v>
          </cell>
        </row>
        <row r="1505">
          <cell r="C1505" t="str">
            <v>872-2024</v>
          </cell>
          <cell r="D1505">
            <v>7540000</v>
          </cell>
        </row>
        <row r="1506">
          <cell r="C1506" t="str">
            <v>731-2024</v>
          </cell>
          <cell r="D1506">
            <v>3000000</v>
          </cell>
        </row>
        <row r="1507">
          <cell r="C1507" t="str">
            <v>759-2024</v>
          </cell>
          <cell r="D1507">
            <v>3000000</v>
          </cell>
        </row>
        <row r="1508">
          <cell r="C1508" t="str">
            <v>935-2024</v>
          </cell>
          <cell r="D1508">
            <v>3000000</v>
          </cell>
        </row>
        <row r="1509">
          <cell r="C1509" t="str">
            <v>662-2024</v>
          </cell>
          <cell r="D1509">
            <v>7540000</v>
          </cell>
        </row>
        <row r="1510">
          <cell r="C1510" t="str">
            <v>675-2024</v>
          </cell>
          <cell r="D1510">
            <v>4750000</v>
          </cell>
        </row>
        <row r="1511">
          <cell r="C1511" t="str">
            <v>910-2024</v>
          </cell>
          <cell r="D1511">
            <v>2500000</v>
          </cell>
        </row>
        <row r="1512">
          <cell r="C1512" t="str">
            <v>968-2024</v>
          </cell>
          <cell r="D1512">
            <v>2500000</v>
          </cell>
        </row>
        <row r="1513">
          <cell r="C1513" t="str">
            <v>638-2024</v>
          </cell>
          <cell r="D1513">
            <v>4825000</v>
          </cell>
        </row>
        <row r="1514">
          <cell r="C1514" t="str">
            <v>950-2024</v>
          </cell>
          <cell r="D1514">
            <v>2500000</v>
          </cell>
        </row>
        <row r="1515">
          <cell r="C1515" t="str">
            <v>834-2024</v>
          </cell>
          <cell r="D1515">
            <v>3000000</v>
          </cell>
        </row>
        <row r="1516">
          <cell r="C1516" t="str">
            <v>783-2024</v>
          </cell>
          <cell r="D1516">
            <v>2500000</v>
          </cell>
        </row>
        <row r="1517">
          <cell r="C1517" t="str">
            <v>740-2024</v>
          </cell>
          <cell r="D1517">
            <v>3000000</v>
          </cell>
        </row>
        <row r="1518">
          <cell r="C1518" t="str">
            <v>746-2024</v>
          </cell>
          <cell r="D1518">
            <v>3000000</v>
          </cell>
        </row>
        <row r="1519">
          <cell r="C1519" t="str">
            <v>1021-2024</v>
          </cell>
          <cell r="D1519">
            <v>4825000</v>
          </cell>
        </row>
        <row r="1520">
          <cell r="C1520" t="str">
            <v>695-2024</v>
          </cell>
          <cell r="D1520">
            <v>3000000</v>
          </cell>
        </row>
        <row r="1521">
          <cell r="C1521" t="str">
            <v>1053-2024</v>
          </cell>
          <cell r="D1521">
            <v>4825000</v>
          </cell>
        </row>
        <row r="1522">
          <cell r="C1522" t="str">
            <v>778-2024</v>
          </cell>
          <cell r="D1522">
            <v>4750000</v>
          </cell>
        </row>
        <row r="1523">
          <cell r="C1523" t="str">
            <v>862-2024</v>
          </cell>
          <cell r="D1523">
            <v>6000000</v>
          </cell>
        </row>
        <row r="1524">
          <cell r="C1524" t="str">
            <v>868-2024</v>
          </cell>
          <cell r="D1524">
            <v>6000000</v>
          </cell>
        </row>
        <row r="1525">
          <cell r="C1525" t="str">
            <v>923-2024</v>
          </cell>
          <cell r="D1525">
            <v>6000000</v>
          </cell>
        </row>
        <row r="1526">
          <cell r="C1526" t="str">
            <v>658-2024</v>
          </cell>
          <cell r="D1526">
            <v>4750000</v>
          </cell>
        </row>
        <row r="1527">
          <cell r="C1527" t="str">
            <v>753-2024</v>
          </cell>
          <cell r="D1527">
            <v>3000000</v>
          </cell>
        </row>
        <row r="1528">
          <cell r="C1528" t="str">
            <v>646-2024</v>
          </cell>
          <cell r="D1528">
            <v>7540000</v>
          </cell>
        </row>
        <row r="1529">
          <cell r="C1529" t="str">
            <v>647-2024</v>
          </cell>
          <cell r="D1529">
            <v>7540000</v>
          </cell>
        </row>
        <row r="1530">
          <cell r="C1530" t="str">
            <v>775-2024</v>
          </cell>
          <cell r="D1530">
            <v>4825000</v>
          </cell>
        </row>
        <row r="1531">
          <cell r="C1531" t="str">
            <v>782-2024</v>
          </cell>
          <cell r="D1531">
            <v>3000000</v>
          </cell>
        </row>
        <row r="1532">
          <cell r="C1532" t="str">
            <v>1045-2024</v>
          </cell>
          <cell r="D1532">
            <v>3000000</v>
          </cell>
        </row>
        <row r="1533">
          <cell r="C1533" t="str">
            <v>640-2024</v>
          </cell>
          <cell r="D1533">
            <v>4750000</v>
          </cell>
        </row>
        <row r="1534">
          <cell r="C1534" t="str">
            <v>909-2024</v>
          </cell>
          <cell r="D1534">
            <v>3000000</v>
          </cell>
        </row>
        <row r="1535">
          <cell r="C1535" t="str">
            <v>661-2024</v>
          </cell>
          <cell r="D1535">
            <v>7540000</v>
          </cell>
        </row>
        <row r="1536">
          <cell r="C1536" t="str">
            <v>705-2024</v>
          </cell>
          <cell r="D1536">
            <v>3000000</v>
          </cell>
        </row>
        <row r="1537">
          <cell r="C1537" t="str">
            <v>990-2024</v>
          </cell>
          <cell r="D1537">
            <v>4825000</v>
          </cell>
        </row>
        <row r="1538">
          <cell r="C1538" t="str">
            <v>1047-2024</v>
          </cell>
          <cell r="D1538">
            <v>3000000</v>
          </cell>
        </row>
        <row r="1539">
          <cell r="C1539" t="str">
            <v>752-2024</v>
          </cell>
          <cell r="D1539">
            <v>4825000</v>
          </cell>
        </row>
        <row r="1540">
          <cell r="C1540" t="str">
            <v>853-2024</v>
          </cell>
          <cell r="D1540">
            <v>7540000</v>
          </cell>
        </row>
        <row r="1541">
          <cell r="C1541" t="str">
            <v>880-2024</v>
          </cell>
          <cell r="D1541">
            <v>7540000</v>
          </cell>
        </row>
        <row r="1542">
          <cell r="C1542" t="str">
            <v>806-2024</v>
          </cell>
          <cell r="D1542">
            <v>3000000</v>
          </cell>
        </row>
        <row r="1543">
          <cell r="C1543" t="str">
            <v>997-2024</v>
          </cell>
          <cell r="D1543">
            <v>4825000</v>
          </cell>
        </row>
        <row r="1544">
          <cell r="C1544" t="str">
            <v>741-2024</v>
          </cell>
          <cell r="D1544">
            <v>6000000</v>
          </cell>
        </row>
        <row r="1545">
          <cell r="C1545" t="str">
            <v>843-2024</v>
          </cell>
          <cell r="D1545">
            <v>3000000</v>
          </cell>
        </row>
        <row r="1546">
          <cell r="C1546" t="str">
            <v>779-2024</v>
          </cell>
          <cell r="D1546">
            <v>3000000</v>
          </cell>
        </row>
        <row r="1547">
          <cell r="C1547" t="str">
            <v>1055-2024</v>
          </cell>
          <cell r="D1547">
            <v>3000000</v>
          </cell>
        </row>
        <row r="1548">
          <cell r="C1548" t="str">
            <v>733-2024</v>
          </cell>
          <cell r="D1548">
            <v>3000000</v>
          </cell>
        </row>
        <row r="1549">
          <cell r="C1549" t="str">
            <v>788-2024</v>
          </cell>
          <cell r="D1549">
            <v>3000000</v>
          </cell>
        </row>
        <row r="1550">
          <cell r="C1550" t="str">
            <v>820-2024</v>
          </cell>
          <cell r="D1550">
            <v>6000000</v>
          </cell>
        </row>
        <row r="1551">
          <cell r="C1551" t="str">
            <v>685-2024</v>
          </cell>
          <cell r="D1551">
            <v>4750000</v>
          </cell>
        </row>
        <row r="1552">
          <cell r="C1552" t="str">
            <v>696-2024</v>
          </cell>
          <cell r="D1552">
            <v>4750000</v>
          </cell>
        </row>
        <row r="1553">
          <cell r="C1553" t="str">
            <v>1032-2024</v>
          </cell>
          <cell r="D1553">
            <v>3000000</v>
          </cell>
        </row>
        <row r="1554">
          <cell r="C1554" t="str">
            <v>995-2024</v>
          </cell>
          <cell r="D1554">
            <v>7540000</v>
          </cell>
        </row>
        <row r="1555">
          <cell r="C1555" t="str">
            <v>635-2024</v>
          </cell>
          <cell r="D1555">
            <v>4825000</v>
          </cell>
        </row>
        <row r="1556">
          <cell r="C1556" t="str">
            <v>644-2024</v>
          </cell>
          <cell r="D1556">
            <v>4750000</v>
          </cell>
        </row>
        <row r="1557">
          <cell r="C1557" t="str">
            <v>689-2024</v>
          </cell>
          <cell r="D1557">
            <v>3000000</v>
          </cell>
        </row>
        <row r="1558">
          <cell r="C1558" t="str">
            <v>855-2024</v>
          </cell>
          <cell r="D1558">
            <v>2500000</v>
          </cell>
        </row>
        <row r="1559">
          <cell r="C1559" t="str">
            <v>645-2024</v>
          </cell>
          <cell r="D1559">
            <v>6000000</v>
          </cell>
        </row>
        <row r="1560">
          <cell r="C1560" t="str">
            <v>808-2024</v>
          </cell>
          <cell r="D1560">
            <v>4825000</v>
          </cell>
        </row>
        <row r="1561">
          <cell r="C1561" t="str">
            <v>877-2024</v>
          </cell>
          <cell r="D1561">
            <v>4825000</v>
          </cell>
        </row>
        <row r="1562">
          <cell r="C1562" t="str">
            <v>1068-2024</v>
          </cell>
          <cell r="D1562">
            <v>3000000</v>
          </cell>
        </row>
        <row r="1563">
          <cell r="C1563" t="str">
            <v>824-2024</v>
          </cell>
          <cell r="D1563">
            <v>3000000</v>
          </cell>
        </row>
        <row r="1564">
          <cell r="C1564" t="str">
            <v>915-2024</v>
          </cell>
          <cell r="D1564">
            <v>4750000</v>
          </cell>
        </row>
        <row r="1565">
          <cell r="C1565" t="str">
            <v>848-2024</v>
          </cell>
          <cell r="D1565">
            <v>4825000</v>
          </cell>
        </row>
        <row r="1566">
          <cell r="C1566" t="str">
            <v>835-2024</v>
          </cell>
          <cell r="D1566">
            <v>4825000</v>
          </cell>
        </row>
        <row r="1567">
          <cell r="C1567" t="str">
            <v>744-2024</v>
          </cell>
          <cell r="D1567">
            <v>3000000</v>
          </cell>
        </row>
        <row r="1568">
          <cell r="C1568" t="str">
            <v>704-2024</v>
          </cell>
          <cell r="D1568">
            <v>90846333</v>
          </cell>
        </row>
        <row r="1569">
          <cell r="C1569" t="str">
            <v>1007-2024</v>
          </cell>
          <cell r="D1569">
            <v>7540000</v>
          </cell>
        </row>
        <row r="1570">
          <cell r="C1570" t="str">
            <v>815-2024</v>
          </cell>
          <cell r="D1570">
            <v>3000000</v>
          </cell>
        </row>
        <row r="1571">
          <cell r="C1571" t="str">
            <v>747-2024</v>
          </cell>
          <cell r="D1571">
            <v>3000000</v>
          </cell>
        </row>
        <row r="1572">
          <cell r="C1572" t="str">
            <v>925-2024</v>
          </cell>
          <cell r="D1572">
            <v>6000000</v>
          </cell>
        </row>
        <row r="1573">
          <cell r="C1573" t="str">
            <v>928-2024</v>
          </cell>
          <cell r="D1573">
            <v>7540000</v>
          </cell>
        </row>
        <row r="1574">
          <cell r="C1574" t="str">
            <v>856-2024</v>
          </cell>
          <cell r="D1574">
            <v>3000000</v>
          </cell>
        </row>
        <row r="1575">
          <cell r="C1575" t="str">
            <v>876-2024</v>
          </cell>
          <cell r="D1575">
            <v>3000000</v>
          </cell>
        </row>
        <row r="1576">
          <cell r="C1576" t="str">
            <v>814-2024</v>
          </cell>
          <cell r="D1576">
            <v>4825000</v>
          </cell>
        </row>
        <row r="1577">
          <cell r="C1577" t="str">
            <v>966-2024</v>
          </cell>
          <cell r="D1577">
            <v>2500000</v>
          </cell>
        </row>
        <row r="1578">
          <cell r="C1578" t="str">
            <v>946-2024</v>
          </cell>
          <cell r="D1578">
            <v>6000000</v>
          </cell>
        </row>
        <row r="1579">
          <cell r="C1579" t="str">
            <v>1010-2024</v>
          </cell>
          <cell r="D1579">
            <v>7540000</v>
          </cell>
        </row>
        <row r="1580">
          <cell r="C1580" t="str">
            <v>1039-2024</v>
          </cell>
          <cell r="D1580">
            <v>195005000</v>
          </cell>
        </row>
        <row r="1581">
          <cell r="C1581" t="str">
            <v>813-2024</v>
          </cell>
          <cell r="D1581">
            <v>2500000</v>
          </cell>
        </row>
        <row r="1582">
          <cell r="C1582" t="str">
            <v>1058-2024</v>
          </cell>
          <cell r="D1582">
            <v>2500000</v>
          </cell>
        </row>
        <row r="1583">
          <cell r="C1583" t="str">
            <v>911-2024</v>
          </cell>
          <cell r="D1583">
            <v>2500000</v>
          </cell>
        </row>
        <row r="1584">
          <cell r="C1584" t="str">
            <v>974-2024</v>
          </cell>
          <cell r="D1584">
            <v>4750000</v>
          </cell>
        </row>
        <row r="1585">
          <cell r="C1585" t="str">
            <v>917-2024</v>
          </cell>
          <cell r="D1585">
            <v>2500000</v>
          </cell>
        </row>
        <row r="1586">
          <cell r="C1586" t="str">
            <v>894-2024</v>
          </cell>
          <cell r="D1586">
            <v>3000000</v>
          </cell>
        </row>
        <row r="1587">
          <cell r="C1587" t="str">
            <v>649-2024</v>
          </cell>
          <cell r="D1587">
            <v>7540000</v>
          </cell>
        </row>
        <row r="1588">
          <cell r="C1588" t="str">
            <v>966-2024</v>
          </cell>
          <cell r="D1588">
            <v>2500000</v>
          </cell>
        </row>
        <row r="1589">
          <cell r="C1589" t="str">
            <v>742-2024</v>
          </cell>
          <cell r="D1589">
            <v>3000000</v>
          </cell>
        </row>
        <row r="1590">
          <cell r="C1590" t="str">
            <v>918-2024</v>
          </cell>
          <cell r="D1590">
            <v>3000000</v>
          </cell>
        </row>
        <row r="1591">
          <cell r="C1591" t="str">
            <v>933-2024</v>
          </cell>
          <cell r="D1591">
            <v>2500000</v>
          </cell>
        </row>
        <row r="1592">
          <cell r="C1592" t="str">
            <v>717-2024</v>
          </cell>
          <cell r="D1592">
            <v>4750000</v>
          </cell>
        </row>
        <row r="1593">
          <cell r="C1593" t="str">
            <v>984-2024</v>
          </cell>
          <cell r="D1593">
            <v>3000000</v>
          </cell>
        </row>
        <row r="1594">
          <cell r="C1594" t="str">
            <v>673-2024</v>
          </cell>
          <cell r="D1594">
            <v>7540000</v>
          </cell>
        </row>
        <row r="1595">
          <cell r="C1595" t="str">
            <v>677-2024</v>
          </cell>
          <cell r="D1595">
            <v>4750000</v>
          </cell>
        </row>
        <row r="1596">
          <cell r="C1596" t="str">
            <v>677-2024</v>
          </cell>
          <cell r="D1596">
            <v>4750000</v>
          </cell>
        </row>
        <row r="1597">
          <cell r="C1597" t="str">
            <v>650-2024</v>
          </cell>
          <cell r="D1597">
            <v>6000000</v>
          </cell>
        </row>
        <row r="1598">
          <cell r="C1598" t="str">
            <v>1015-2024</v>
          </cell>
          <cell r="D1598">
            <v>3000000</v>
          </cell>
        </row>
        <row r="1599">
          <cell r="C1599" t="str">
            <v>679-2024</v>
          </cell>
          <cell r="D1599">
            <v>6000000</v>
          </cell>
        </row>
        <row r="1600">
          <cell r="C1600" t="str">
            <v>811-2024</v>
          </cell>
          <cell r="D1600">
            <v>2500000</v>
          </cell>
        </row>
        <row r="1601">
          <cell r="C1601" t="str">
            <v>959-2024</v>
          </cell>
          <cell r="D1601">
            <v>3000000</v>
          </cell>
        </row>
        <row r="1602">
          <cell r="C1602" t="str">
            <v>939-2024</v>
          </cell>
          <cell r="D1602">
            <v>6000000</v>
          </cell>
        </row>
        <row r="1603">
          <cell r="C1603" t="str">
            <v>916-2024</v>
          </cell>
          <cell r="D1603">
            <v>3000000</v>
          </cell>
        </row>
        <row r="1604">
          <cell r="C1604" t="str">
            <v>807-2024</v>
          </cell>
          <cell r="D1604">
            <v>3000000</v>
          </cell>
        </row>
        <row r="1605">
          <cell r="C1605" t="str">
            <v>805-2024</v>
          </cell>
          <cell r="D1605">
            <v>3000000</v>
          </cell>
        </row>
        <row r="1606">
          <cell r="C1606" t="str">
            <v>942-2024</v>
          </cell>
          <cell r="D1606">
            <v>7540000</v>
          </cell>
        </row>
        <row r="1607">
          <cell r="C1607" t="str">
            <v>954-2024</v>
          </cell>
          <cell r="D1607">
            <v>3000000</v>
          </cell>
        </row>
        <row r="1608">
          <cell r="C1608" t="str">
            <v>897-2024</v>
          </cell>
          <cell r="D1608">
            <v>4750000</v>
          </cell>
        </row>
        <row r="1609">
          <cell r="C1609" t="str">
            <v>896-2024</v>
          </cell>
          <cell r="D1609">
            <v>2500000</v>
          </cell>
        </row>
        <row r="1610">
          <cell r="C1610" t="str">
            <v>865-2024</v>
          </cell>
          <cell r="D1610">
            <v>3000000</v>
          </cell>
        </row>
        <row r="1611">
          <cell r="C1611" t="str">
            <v>639-2024</v>
          </cell>
          <cell r="D1611">
            <v>4750000</v>
          </cell>
        </row>
        <row r="1612">
          <cell r="C1612" t="str">
            <v>714-2024</v>
          </cell>
          <cell r="D1612">
            <v>3000000</v>
          </cell>
        </row>
        <row r="1613">
          <cell r="C1613" t="str">
            <v>879-2024</v>
          </cell>
          <cell r="D1613">
            <v>7540000</v>
          </cell>
        </row>
        <row r="1614">
          <cell r="C1614" t="str">
            <v>1024-2024</v>
          </cell>
          <cell r="D1614">
            <v>2500000</v>
          </cell>
        </row>
        <row r="1615">
          <cell r="C1615" t="str">
            <v>739-2024</v>
          </cell>
          <cell r="D1615">
            <v>3000000</v>
          </cell>
        </row>
        <row r="1616">
          <cell r="C1616" t="str">
            <v>999-2024</v>
          </cell>
          <cell r="D1616">
            <v>2500000</v>
          </cell>
        </row>
        <row r="1617">
          <cell r="C1617" t="str">
            <v>1018-2024</v>
          </cell>
          <cell r="D1617">
            <v>4825000</v>
          </cell>
        </row>
        <row r="1618">
          <cell r="C1618" t="str">
            <v>975-2024</v>
          </cell>
          <cell r="D1618">
            <v>4825000</v>
          </cell>
        </row>
        <row r="1619">
          <cell r="C1619" t="str">
            <v>931-2024</v>
          </cell>
          <cell r="D1619">
            <v>7540000</v>
          </cell>
        </row>
        <row r="1620">
          <cell r="C1620" t="str">
            <v>900-2024</v>
          </cell>
          <cell r="D1620">
            <v>3000000</v>
          </cell>
        </row>
        <row r="1621">
          <cell r="C1621" t="str">
            <v>1018-2024</v>
          </cell>
          <cell r="D1621">
            <v>4825000</v>
          </cell>
        </row>
        <row r="1622">
          <cell r="C1622" t="str">
            <v>864-2024</v>
          </cell>
          <cell r="D1622">
            <v>2500000</v>
          </cell>
        </row>
        <row r="1623">
          <cell r="C1623" t="str">
            <v>1071-2024</v>
          </cell>
          <cell r="D1623">
            <v>6000000</v>
          </cell>
        </row>
        <row r="1624">
          <cell r="C1624" t="str">
            <v>867-2024</v>
          </cell>
          <cell r="D1624">
            <v>3000000</v>
          </cell>
        </row>
        <row r="1625">
          <cell r="C1625" t="str">
            <v>832-2024</v>
          </cell>
          <cell r="D1625">
            <v>3000000</v>
          </cell>
        </row>
        <row r="1626">
          <cell r="C1626" t="str">
            <v>799-2024</v>
          </cell>
          <cell r="D1626">
            <v>3000000</v>
          </cell>
        </row>
        <row r="1627">
          <cell r="C1627" t="str">
            <v>680-2024</v>
          </cell>
          <cell r="D1627">
            <v>6000000</v>
          </cell>
        </row>
        <row r="1628">
          <cell r="C1628" t="str">
            <v>796-2024</v>
          </cell>
          <cell r="D1628">
            <v>2500000</v>
          </cell>
        </row>
        <row r="1629">
          <cell r="C1629" t="str">
            <v>787-2024</v>
          </cell>
          <cell r="D1629">
            <v>3000000</v>
          </cell>
        </row>
        <row r="1630">
          <cell r="C1630" t="str">
            <v>629-2024</v>
          </cell>
          <cell r="D1630">
            <v>6000000</v>
          </cell>
        </row>
        <row r="1631">
          <cell r="C1631" t="str">
            <v>781-2024</v>
          </cell>
          <cell r="D1631">
            <v>3000000</v>
          </cell>
        </row>
        <row r="1632">
          <cell r="C1632" t="str">
            <v>678-2024</v>
          </cell>
          <cell r="D1632">
            <v>7540000</v>
          </cell>
        </row>
        <row r="1633">
          <cell r="C1633" t="str">
            <v>1003-2024</v>
          </cell>
          <cell r="D1633">
            <v>4750000</v>
          </cell>
        </row>
        <row r="1634">
          <cell r="C1634" t="str">
            <v>924-2024</v>
          </cell>
          <cell r="D1634">
            <v>2500000</v>
          </cell>
        </row>
        <row r="1635">
          <cell r="C1635" t="str">
            <v>895-2024</v>
          </cell>
          <cell r="D1635">
            <v>2500000</v>
          </cell>
        </row>
        <row r="1636">
          <cell r="C1636" t="str">
            <v>1008-2024</v>
          </cell>
          <cell r="D1636">
            <v>7540000</v>
          </cell>
        </row>
        <row r="1637">
          <cell r="C1637" t="str">
            <v>962-2024</v>
          </cell>
          <cell r="D1637">
            <v>6000000</v>
          </cell>
        </row>
        <row r="1638">
          <cell r="C1638" t="str">
            <v>793-2024</v>
          </cell>
          <cell r="D1638">
            <v>3000000</v>
          </cell>
        </row>
        <row r="1639">
          <cell r="C1639" t="str">
            <v>991-2024</v>
          </cell>
          <cell r="D1639">
            <v>4750000</v>
          </cell>
        </row>
        <row r="1640">
          <cell r="C1640" t="str">
            <v>784-2024</v>
          </cell>
          <cell r="D1640">
            <v>3000000</v>
          </cell>
        </row>
        <row r="1641">
          <cell r="C1641" t="str">
            <v>989-2024</v>
          </cell>
          <cell r="D1641">
            <v>3000000</v>
          </cell>
        </row>
        <row r="1642">
          <cell r="C1642" t="str">
            <v>908-2024</v>
          </cell>
          <cell r="D1642">
            <v>3000000</v>
          </cell>
        </row>
        <row r="1643">
          <cell r="C1643" t="str">
            <v>1013-2024</v>
          </cell>
          <cell r="D1643">
            <v>3000000</v>
          </cell>
        </row>
        <row r="1644">
          <cell r="C1644" t="str">
            <v>886-2024</v>
          </cell>
          <cell r="D1644">
            <v>3000000</v>
          </cell>
        </row>
        <row r="1645">
          <cell r="C1645" t="str">
            <v>860-2024</v>
          </cell>
          <cell r="D1645">
            <v>3000000</v>
          </cell>
        </row>
        <row r="1646">
          <cell r="C1646" t="str">
            <v>821-2024</v>
          </cell>
          <cell r="D1646">
            <v>3000000</v>
          </cell>
        </row>
        <row r="1647">
          <cell r="C1647" t="str">
            <v>1002-2024</v>
          </cell>
          <cell r="D1647">
            <v>2500000</v>
          </cell>
        </row>
        <row r="1648">
          <cell r="C1648" t="str">
            <v>785-2024</v>
          </cell>
          <cell r="D1648">
            <v>2500000</v>
          </cell>
        </row>
        <row r="1649">
          <cell r="C1649" t="str">
            <v>705-2024</v>
          </cell>
          <cell r="D1649">
            <v>3000000</v>
          </cell>
        </row>
        <row r="1650">
          <cell r="C1650" t="str">
            <v>1011-2024</v>
          </cell>
          <cell r="D1650">
            <v>3000000</v>
          </cell>
        </row>
        <row r="1651">
          <cell r="C1651" t="str">
            <v>730-2024</v>
          </cell>
          <cell r="D1651">
            <v>3000000</v>
          </cell>
        </row>
        <row r="1652">
          <cell r="C1652" t="str">
            <v>930-2024</v>
          </cell>
          <cell r="D1652">
            <v>3000000</v>
          </cell>
        </row>
        <row r="1653">
          <cell r="C1653" t="str">
            <v>854-2024</v>
          </cell>
          <cell r="D1653">
            <v>3000000</v>
          </cell>
        </row>
        <row r="1654">
          <cell r="C1654" t="str">
            <v>851-2024</v>
          </cell>
          <cell r="D1654">
            <v>6000000</v>
          </cell>
        </row>
        <row r="1655">
          <cell r="C1655" t="str">
            <v>737-2024</v>
          </cell>
          <cell r="D1655">
            <v>4825000</v>
          </cell>
        </row>
        <row r="1656">
          <cell r="C1656" t="str">
            <v>686-2024</v>
          </cell>
          <cell r="D1656">
            <v>4750000</v>
          </cell>
        </row>
        <row r="1657">
          <cell r="C1657" t="str">
            <v>651-2024</v>
          </cell>
          <cell r="D1657">
            <v>7540000</v>
          </cell>
        </row>
        <row r="1658">
          <cell r="C1658" t="str">
            <v>770-2024</v>
          </cell>
          <cell r="D1658">
            <v>3000000</v>
          </cell>
        </row>
        <row r="1659">
          <cell r="C1659" t="str">
            <v>762-2024</v>
          </cell>
          <cell r="D1659">
            <v>3000000</v>
          </cell>
        </row>
        <row r="1660">
          <cell r="C1660" t="str">
            <v>760-2024</v>
          </cell>
          <cell r="D1660">
            <v>6000000</v>
          </cell>
        </row>
        <row r="1661">
          <cell r="C1661" t="str">
            <v>757-2024</v>
          </cell>
          <cell r="D1661">
            <v>6000000</v>
          </cell>
        </row>
        <row r="1662">
          <cell r="C1662" t="str">
            <v>723-2024</v>
          </cell>
          <cell r="D1662">
            <v>4750000</v>
          </cell>
        </row>
        <row r="1663">
          <cell r="C1663" t="str">
            <v>719-2024</v>
          </cell>
          <cell r="D1663">
            <v>3000000</v>
          </cell>
        </row>
        <row r="1664">
          <cell r="C1664" t="str">
            <v>710-2024</v>
          </cell>
          <cell r="D1664">
            <v>3000000</v>
          </cell>
        </row>
        <row r="1665">
          <cell r="C1665" t="str">
            <v>712-2024</v>
          </cell>
          <cell r="D1665">
            <v>6000000</v>
          </cell>
        </row>
        <row r="1666">
          <cell r="C1666" t="str">
            <v>703-2024</v>
          </cell>
          <cell r="D1666">
            <v>3000000</v>
          </cell>
        </row>
        <row r="1667">
          <cell r="C1667" t="str">
            <v>663-2024</v>
          </cell>
          <cell r="D1667">
            <v>7540000</v>
          </cell>
        </row>
        <row r="1668">
          <cell r="C1668" t="str">
            <v>659-2024</v>
          </cell>
          <cell r="D1668">
            <v>4825000</v>
          </cell>
        </row>
        <row r="1669">
          <cell r="C1669" t="str">
            <v>655-2024</v>
          </cell>
          <cell r="D1669">
            <v>7540000</v>
          </cell>
        </row>
        <row r="1670">
          <cell r="C1670" t="str">
            <v>718-2024</v>
          </cell>
          <cell r="D1670">
            <v>3000000</v>
          </cell>
        </row>
        <row r="1671">
          <cell r="C1671" t="str">
            <v>831-2024</v>
          </cell>
          <cell r="D1671">
            <v>3000000</v>
          </cell>
        </row>
        <row r="1672">
          <cell r="C1672" t="str">
            <v>690-2024</v>
          </cell>
          <cell r="D1672">
            <v>6000000</v>
          </cell>
        </row>
        <row r="1673">
          <cell r="C1673" t="str">
            <v>711-2024</v>
          </cell>
          <cell r="D1673">
            <v>3000000</v>
          </cell>
        </row>
        <row r="1674">
          <cell r="C1674" t="str">
            <v>810-2024</v>
          </cell>
          <cell r="D1674">
            <v>3000000</v>
          </cell>
        </row>
        <row r="1675">
          <cell r="C1675" t="str">
            <v>883-2024</v>
          </cell>
          <cell r="D1675">
            <v>2500000</v>
          </cell>
        </row>
        <row r="1676">
          <cell r="C1676" t="str">
            <v>899-2024</v>
          </cell>
          <cell r="D1676">
            <v>2500000</v>
          </cell>
        </row>
        <row r="1677">
          <cell r="C1677" t="str">
            <v>723-2024</v>
          </cell>
          <cell r="D1677">
            <v>4750000</v>
          </cell>
        </row>
        <row r="1678">
          <cell r="C1678" t="str">
            <v>1035-2024</v>
          </cell>
          <cell r="D1678">
            <v>2499900</v>
          </cell>
        </row>
        <row r="1679">
          <cell r="C1679" t="str">
            <v>808-2024</v>
          </cell>
          <cell r="D1679">
            <v>4825000</v>
          </cell>
        </row>
        <row r="1680">
          <cell r="C1680" t="str">
            <v>955-2024</v>
          </cell>
          <cell r="D1680">
            <v>2500000</v>
          </cell>
        </row>
        <row r="1681">
          <cell r="C1681" t="str">
            <v>750-2024</v>
          </cell>
          <cell r="D1681">
            <v>3000000</v>
          </cell>
        </row>
        <row r="1682">
          <cell r="C1682" t="str">
            <v>912-2024</v>
          </cell>
          <cell r="D1682">
            <v>7540000</v>
          </cell>
        </row>
        <row r="1683">
          <cell r="C1683" t="str">
            <v>986-2024</v>
          </cell>
          <cell r="D1683">
            <v>4750000</v>
          </cell>
        </row>
        <row r="1684">
          <cell r="C1684" t="str">
            <v>932-2024</v>
          </cell>
          <cell r="D1684">
            <v>4825000</v>
          </cell>
        </row>
        <row r="1685">
          <cell r="C1685" t="str">
            <v>660-2024</v>
          </cell>
          <cell r="D1685">
            <v>4825000</v>
          </cell>
        </row>
        <row r="1686">
          <cell r="C1686" t="str">
            <v>830-2024</v>
          </cell>
          <cell r="D1686">
            <v>3000000</v>
          </cell>
        </row>
        <row r="1687">
          <cell r="C1687" t="str">
            <v>839-2024</v>
          </cell>
          <cell r="D1687">
            <v>3000000</v>
          </cell>
        </row>
        <row r="1688">
          <cell r="C1688" t="str">
            <v>816-2024</v>
          </cell>
          <cell r="D1688">
            <v>3000000</v>
          </cell>
        </row>
        <row r="1689">
          <cell r="C1689" t="str">
            <v>844-2024</v>
          </cell>
          <cell r="D1689">
            <v>2500000</v>
          </cell>
        </row>
        <row r="1690">
          <cell r="C1690" t="str">
            <v>722-2024</v>
          </cell>
          <cell r="D1690">
            <v>4825000</v>
          </cell>
        </row>
        <row r="1691">
          <cell r="C1691" t="str">
            <v>668-2024</v>
          </cell>
          <cell r="D1691">
            <v>6283000</v>
          </cell>
        </row>
        <row r="1692">
          <cell r="C1692" t="str">
            <v>688-2024</v>
          </cell>
          <cell r="D1692">
            <v>6000000</v>
          </cell>
        </row>
        <row r="1693">
          <cell r="C1693" t="str">
            <v>1056-2024</v>
          </cell>
          <cell r="D1693">
            <v>500000</v>
          </cell>
        </row>
        <row r="1694">
          <cell r="C1694" t="str">
            <v>1056-2024</v>
          </cell>
          <cell r="D1694">
            <v>3000000</v>
          </cell>
        </row>
        <row r="1695">
          <cell r="C1695" t="str">
            <v>797-2024</v>
          </cell>
          <cell r="D1695">
            <v>3000000</v>
          </cell>
        </row>
        <row r="1696">
          <cell r="C1696" t="str">
            <v>887-2024</v>
          </cell>
          <cell r="D1696">
            <v>7540000</v>
          </cell>
        </row>
        <row r="1697">
          <cell r="C1697" t="str">
            <v>791-2024</v>
          </cell>
          <cell r="D1697">
            <v>3000000</v>
          </cell>
        </row>
        <row r="1698">
          <cell r="C1698" t="str">
            <v>1048-2024</v>
          </cell>
          <cell r="D1698">
            <v>3000000</v>
          </cell>
        </row>
        <row r="1699">
          <cell r="C1699" t="str">
            <v>1044-2024</v>
          </cell>
          <cell r="D1699">
            <v>2500000</v>
          </cell>
        </row>
        <row r="1700">
          <cell r="C1700" t="str">
            <v>825-2024</v>
          </cell>
          <cell r="D1700">
            <v>6000000</v>
          </cell>
        </row>
        <row r="1701">
          <cell r="C1701" t="str">
            <v>859-2024</v>
          </cell>
          <cell r="D1701">
            <v>3000000</v>
          </cell>
        </row>
        <row r="1702">
          <cell r="C1702" t="str">
            <v>858-2024</v>
          </cell>
          <cell r="D1702">
            <v>4750000</v>
          </cell>
        </row>
        <row r="1703">
          <cell r="C1703" t="str">
            <v>736-2024</v>
          </cell>
          <cell r="D1703">
            <v>3000000</v>
          </cell>
        </row>
        <row r="1704">
          <cell r="C1704" t="str">
            <v>907-2024</v>
          </cell>
          <cell r="D1704">
            <v>4825000</v>
          </cell>
        </row>
        <row r="1705">
          <cell r="C1705" t="str">
            <v>751-2024</v>
          </cell>
          <cell r="D1705">
            <v>3000000</v>
          </cell>
        </row>
        <row r="1706">
          <cell r="C1706" t="str">
            <v>802-2024</v>
          </cell>
          <cell r="D1706">
            <v>3000000</v>
          </cell>
        </row>
        <row r="1707">
          <cell r="C1707" t="str">
            <v>804-2024</v>
          </cell>
          <cell r="D1707">
            <v>3000000</v>
          </cell>
        </row>
        <row r="1708">
          <cell r="C1708" t="str">
            <v>980-2024</v>
          </cell>
          <cell r="D1708">
            <v>4825000</v>
          </cell>
        </row>
        <row r="1709">
          <cell r="C1709" t="str">
            <v>755-2024</v>
          </cell>
          <cell r="D1709">
            <v>2500000</v>
          </cell>
        </row>
        <row r="1710">
          <cell r="C1710" t="str">
            <v>642-2024</v>
          </cell>
          <cell r="D1710">
            <v>4750000</v>
          </cell>
        </row>
        <row r="1711">
          <cell r="C1711" t="str">
            <v>693-2024</v>
          </cell>
          <cell r="D1711">
            <v>3000000</v>
          </cell>
        </row>
        <row r="1712">
          <cell r="C1712" t="str">
            <v>893-2024</v>
          </cell>
          <cell r="D1712">
            <v>2500000</v>
          </cell>
        </row>
        <row r="1713">
          <cell r="C1713" t="str">
            <v>636-2024</v>
          </cell>
          <cell r="D1713">
            <v>4750000</v>
          </cell>
        </row>
        <row r="1714">
          <cell r="C1714" t="str">
            <v>958-2024</v>
          </cell>
          <cell r="D1714">
            <v>3000000</v>
          </cell>
        </row>
        <row r="1715">
          <cell r="C1715" t="str">
            <v>987-2024</v>
          </cell>
          <cell r="D1715">
            <v>2500000</v>
          </cell>
        </row>
        <row r="1716">
          <cell r="C1716" t="str">
            <v>691-2024</v>
          </cell>
          <cell r="D1716">
            <v>4750000</v>
          </cell>
        </row>
        <row r="1717">
          <cell r="C1717" t="str">
            <v>1042-2024</v>
          </cell>
          <cell r="D1717">
            <v>2691100</v>
          </cell>
        </row>
        <row r="1718">
          <cell r="C1718" t="str">
            <v>884-2024</v>
          </cell>
          <cell r="D1718">
            <v>2500000</v>
          </cell>
        </row>
        <row r="1719">
          <cell r="C1719" t="str">
            <v>691-2024</v>
          </cell>
          <cell r="D1719">
            <v>4750000</v>
          </cell>
        </row>
        <row r="1720">
          <cell r="C1720" t="str">
            <v>1051-2024</v>
          </cell>
          <cell r="D1720">
            <v>4825000</v>
          </cell>
        </row>
        <row r="1721">
          <cell r="C1721" t="str">
            <v>1042-2024</v>
          </cell>
          <cell r="D1721">
            <v>4750000</v>
          </cell>
        </row>
        <row r="1722">
          <cell r="C1722" t="str">
            <v>1030-2024</v>
          </cell>
          <cell r="D1722">
            <v>4825000</v>
          </cell>
        </row>
        <row r="1723">
          <cell r="C1723" t="str">
            <v>927-2024</v>
          </cell>
          <cell r="D1723">
            <v>4825000</v>
          </cell>
        </row>
        <row r="1724">
          <cell r="C1724" t="str">
            <v>1037-2024</v>
          </cell>
          <cell r="D1724">
            <v>4750000</v>
          </cell>
        </row>
        <row r="1725">
          <cell r="C1725" t="str">
            <v>1054-2024</v>
          </cell>
          <cell r="D1725">
            <v>6000000</v>
          </cell>
        </row>
        <row r="1726">
          <cell r="C1726" t="str">
            <v>1026-2024</v>
          </cell>
          <cell r="D1726">
            <v>4825000</v>
          </cell>
        </row>
        <row r="1727">
          <cell r="C1727" t="str">
            <v>929-2024</v>
          </cell>
          <cell r="D1727">
            <v>3000000</v>
          </cell>
        </row>
        <row r="1728">
          <cell r="C1728" t="str">
            <v>1017-2024</v>
          </cell>
          <cell r="D1728">
            <v>20049120</v>
          </cell>
        </row>
        <row r="1729">
          <cell r="C1729" t="str">
            <v>1027-2024</v>
          </cell>
          <cell r="D1729">
            <v>33001556</v>
          </cell>
        </row>
        <row r="1730">
          <cell r="C1730" t="str">
            <v>1022-2024</v>
          </cell>
          <cell r="D1730">
            <v>25704000</v>
          </cell>
        </row>
        <row r="1731">
          <cell r="C1731" t="str">
            <v>890-2024</v>
          </cell>
          <cell r="D1731">
            <v>122800000</v>
          </cell>
        </row>
        <row r="1732">
          <cell r="C1732" t="str">
            <v>891-2024</v>
          </cell>
          <cell r="D1732">
            <v>61371100</v>
          </cell>
        </row>
        <row r="1733">
          <cell r="C1733" t="str">
            <v>889-2024</v>
          </cell>
          <cell r="D1733">
            <v>43950000</v>
          </cell>
        </row>
        <row r="1734">
          <cell r="C1734" t="str">
            <v>888-2024</v>
          </cell>
          <cell r="D1734">
            <v>50900000</v>
          </cell>
        </row>
        <row r="1735">
          <cell r="C1735" t="str">
            <v>701-2024</v>
          </cell>
          <cell r="D1735">
            <v>2000000</v>
          </cell>
        </row>
        <row r="1736">
          <cell r="C1736" t="str">
            <v>959-2024</v>
          </cell>
          <cell r="D1736">
            <v>3000000</v>
          </cell>
        </row>
        <row r="1737">
          <cell r="C1737" t="str">
            <v>837-2024</v>
          </cell>
          <cell r="D1737">
            <v>5000000</v>
          </cell>
        </row>
        <row r="1738">
          <cell r="C1738" t="str">
            <v>207-2024</v>
          </cell>
          <cell r="D1738">
            <v>2600000</v>
          </cell>
        </row>
        <row r="1739">
          <cell r="C1739" t="str">
            <v>220-2025</v>
          </cell>
          <cell r="D1739">
            <v>3000000</v>
          </cell>
        </row>
        <row r="1740">
          <cell r="C1740" t="str">
            <v>208-2025</v>
          </cell>
          <cell r="D1740">
            <v>3000000</v>
          </cell>
        </row>
        <row r="1741">
          <cell r="C1741" t="str">
            <v>194-2025</v>
          </cell>
          <cell r="D1741">
            <v>4750000</v>
          </cell>
        </row>
        <row r="1742">
          <cell r="C1742" t="str">
            <v>248-2025</v>
          </cell>
          <cell r="D1742">
            <v>4825000</v>
          </cell>
        </row>
        <row r="1743">
          <cell r="C1743" t="str">
            <v>182-2025</v>
          </cell>
          <cell r="D1743">
            <v>3000000</v>
          </cell>
        </row>
        <row r="1744">
          <cell r="C1744" t="str">
            <v>243-2025</v>
          </cell>
          <cell r="D1744">
            <v>6000000</v>
          </cell>
        </row>
        <row r="1745">
          <cell r="C1745" t="str">
            <v>198-2025</v>
          </cell>
          <cell r="D1745">
            <v>6000000</v>
          </cell>
        </row>
        <row r="1746">
          <cell r="C1746" t="str">
            <v>212-2025</v>
          </cell>
          <cell r="D1746">
            <v>3000000</v>
          </cell>
        </row>
        <row r="1747">
          <cell r="C1747" t="str">
            <v>269-2025</v>
          </cell>
          <cell r="D1747">
            <v>6000000</v>
          </cell>
        </row>
        <row r="1748">
          <cell r="C1748" t="str">
            <v>234-2025</v>
          </cell>
          <cell r="D1748">
            <v>3000000</v>
          </cell>
        </row>
        <row r="1749">
          <cell r="C1749" t="str">
            <v>222-2025</v>
          </cell>
          <cell r="D1749">
            <v>4750000</v>
          </cell>
        </row>
        <row r="1750">
          <cell r="C1750" t="str">
            <v>235-2025</v>
          </cell>
          <cell r="D1750">
            <v>6000000</v>
          </cell>
        </row>
        <row r="1751">
          <cell r="C1751" t="str">
            <v>190-2025</v>
          </cell>
          <cell r="D1751">
            <v>3000000</v>
          </cell>
        </row>
        <row r="1752">
          <cell r="C1752" t="str">
            <v>180-2025</v>
          </cell>
          <cell r="D1752">
            <v>4825000</v>
          </cell>
        </row>
        <row r="1753">
          <cell r="C1753" t="str">
            <v>229-2025</v>
          </cell>
          <cell r="D1753">
            <v>3000000</v>
          </cell>
        </row>
        <row r="1754">
          <cell r="C1754" t="str">
            <v>185-2025</v>
          </cell>
          <cell r="D1754">
            <v>4750000</v>
          </cell>
        </row>
        <row r="1755">
          <cell r="C1755" t="str">
            <v>216-2025</v>
          </cell>
          <cell r="D1755">
            <v>4750000</v>
          </cell>
        </row>
        <row r="1756">
          <cell r="C1756" t="str">
            <v>246-2025</v>
          </cell>
          <cell r="D1756">
            <v>3000000</v>
          </cell>
        </row>
        <row r="1757">
          <cell r="C1757" t="str">
            <v>210-2025</v>
          </cell>
          <cell r="D1757">
            <v>3000000</v>
          </cell>
        </row>
        <row r="1758">
          <cell r="C1758" t="str">
            <v>192-2025</v>
          </cell>
          <cell r="D1758">
            <v>6000000</v>
          </cell>
        </row>
        <row r="1759">
          <cell r="C1759" t="str">
            <v>204-2025</v>
          </cell>
          <cell r="D1759">
            <v>3000000</v>
          </cell>
        </row>
        <row r="1760">
          <cell r="C1760" t="str">
            <v>247-2025</v>
          </cell>
          <cell r="D1760">
            <v>3000000</v>
          </cell>
        </row>
        <row r="1761">
          <cell r="C1761" t="str">
            <v>211-2025</v>
          </cell>
          <cell r="D1761">
            <v>3000000</v>
          </cell>
        </row>
        <row r="1762">
          <cell r="C1762" t="str">
            <v>181-2025</v>
          </cell>
          <cell r="D1762">
            <v>4825000</v>
          </cell>
        </row>
        <row r="1763">
          <cell r="C1763" t="str">
            <v>244-2025</v>
          </cell>
          <cell r="D1763">
            <v>3000000</v>
          </cell>
        </row>
        <row r="1764">
          <cell r="C1764" t="str">
            <v>205-2025</v>
          </cell>
          <cell r="D1764">
            <v>4825000</v>
          </cell>
        </row>
        <row r="1765">
          <cell r="C1765" t="str">
            <v>258-2025</v>
          </cell>
          <cell r="D1765">
            <v>3000000</v>
          </cell>
        </row>
        <row r="1766">
          <cell r="C1766" t="str">
            <v>218-2025</v>
          </cell>
          <cell r="D1766">
            <v>3000000</v>
          </cell>
        </row>
        <row r="1767">
          <cell r="C1767" t="str">
            <v>254-2025</v>
          </cell>
          <cell r="D1767">
            <v>4750000</v>
          </cell>
        </row>
        <row r="1768">
          <cell r="C1768" t="str">
            <v>249-2025</v>
          </cell>
          <cell r="D1768">
            <v>2500000</v>
          </cell>
        </row>
        <row r="1769">
          <cell r="C1769" t="str">
            <v>186-2025</v>
          </cell>
          <cell r="D1769">
            <v>4750000</v>
          </cell>
        </row>
        <row r="1770">
          <cell r="C1770" t="str">
            <v>277-2025</v>
          </cell>
          <cell r="D1770">
            <v>3000000</v>
          </cell>
        </row>
        <row r="1771">
          <cell r="C1771" t="str">
            <v>250-2025</v>
          </cell>
          <cell r="D1771">
            <v>2500000</v>
          </cell>
        </row>
        <row r="1772">
          <cell r="C1772" t="str">
            <v>189-2025</v>
          </cell>
          <cell r="D1772">
            <v>3000000</v>
          </cell>
        </row>
        <row r="1773">
          <cell r="C1773" t="str">
            <v>188-2025</v>
          </cell>
          <cell r="D1773">
            <v>3000000</v>
          </cell>
        </row>
        <row r="1774">
          <cell r="C1774" t="str">
            <v>177-2025</v>
          </cell>
          <cell r="D1774">
            <v>4750000</v>
          </cell>
        </row>
        <row r="1775">
          <cell r="C1775" t="str">
            <v>201-2025</v>
          </cell>
          <cell r="D1775">
            <v>3000000</v>
          </cell>
        </row>
        <row r="1776">
          <cell r="C1776" t="str">
            <v>187-2025</v>
          </cell>
          <cell r="D1776">
            <v>4750000</v>
          </cell>
        </row>
        <row r="1777">
          <cell r="C1777" t="str">
            <v>209-2025</v>
          </cell>
          <cell r="D1777">
            <v>3000000</v>
          </cell>
        </row>
        <row r="1778">
          <cell r="C1778" t="str">
            <v>276-2025</v>
          </cell>
          <cell r="D1778">
            <v>3000000</v>
          </cell>
        </row>
        <row r="1779">
          <cell r="C1779" t="str">
            <v>226-2025</v>
          </cell>
          <cell r="D1779">
            <v>4750000</v>
          </cell>
        </row>
        <row r="1780">
          <cell r="C1780" t="str">
            <v>214-2025</v>
          </cell>
          <cell r="D1780">
            <v>3000000</v>
          </cell>
        </row>
        <row r="1781">
          <cell r="C1781" t="str">
            <v>178-2025</v>
          </cell>
          <cell r="D1781">
            <v>4750000</v>
          </cell>
        </row>
        <row r="1782">
          <cell r="C1782" t="str">
            <v>240-2025</v>
          </cell>
          <cell r="D1782">
            <v>7500000</v>
          </cell>
        </row>
        <row r="1783">
          <cell r="C1783" t="str">
            <v>233-2025</v>
          </cell>
          <cell r="D1783">
            <v>6000000</v>
          </cell>
        </row>
        <row r="1784">
          <cell r="C1784" t="str">
            <v>238-2025</v>
          </cell>
          <cell r="D1784">
            <v>3000000</v>
          </cell>
        </row>
        <row r="1785">
          <cell r="C1785" t="str">
            <v>270-2025</v>
          </cell>
          <cell r="D1785">
            <v>3000000</v>
          </cell>
        </row>
        <row r="1786">
          <cell r="C1786" t="str">
            <v>223-2025</v>
          </cell>
          <cell r="D1786">
            <v>3000000</v>
          </cell>
        </row>
        <row r="1787">
          <cell r="C1787" t="str">
            <v>179-2025</v>
          </cell>
          <cell r="D1787">
            <v>4825000</v>
          </cell>
        </row>
        <row r="1788">
          <cell r="C1788" t="str">
            <v>263-2025</v>
          </cell>
          <cell r="D1788">
            <v>3000000</v>
          </cell>
        </row>
        <row r="1789">
          <cell r="C1789" t="str">
            <v>193-2025</v>
          </cell>
          <cell r="D1789">
            <v>4750000</v>
          </cell>
        </row>
        <row r="1790">
          <cell r="C1790" t="str">
            <v>271-2025</v>
          </cell>
          <cell r="D1790">
            <v>4825000</v>
          </cell>
        </row>
        <row r="1791">
          <cell r="C1791" t="str">
            <v>261-2025</v>
          </cell>
          <cell r="D1791">
            <v>2500000</v>
          </cell>
        </row>
        <row r="1792">
          <cell r="C1792" t="str">
            <v>302-2025</v>
          </cell>
          <cell r="D1792">
            <v>3000000</v>
          </cell>
        </row>
        <row r="1793">
          <cell r="C1793" t="str">
            <v>266-2025</v>
          </cell>
          <cell r="D1793">
            <v>2500000</v>
          </cell>
        </row>
        <row r="1794">
          <cell r="C1794" t="str">
            <v>228-2025</v>
          </cell>
          <cell r="D1794">
            <v>7500000</v>
          </cell>
        </row>
        <row r="1795">
          <cell r="C1795" t="str">
            <v>221-2025</v>
          </cell>
          <cell r="D1795">
            <v>3000000</v>
          </cell>
        </row>
        <row r="1796">
          <cell r="C1796" t="str">
            <v>267-2025</v>
          </cell>
          <cell r="D1796">
            <v>3000000</v>
          </cell>
        </row>
        <row r="1797">
          <cell r="C1797" t="str">
            <v>278-2025</v>
          </cell>
          <cell r="D1797">
            <v>6000000</v>
          </cell>
        </row>
        <row r="1798">
          <cell r="C1798" t="str">
            <v>262-2025</v>
          </cell>
          <cell r="D1798">
            <v>2500000</v>
          </cell>
        </row>
        <row r="1799">
          <cell r="C1799" t="str">
            <v>217-2025</v>
          </cell>
          <cell r="D1799">
            <v>4750000</v>
          </cell>
        </row>
        <row r="1800">
          <cell r="C1800" t="str">
            <v>265-2025</v>
          </cell>
          <cell r="D1800">
            <v>4750000</v>
          </cell>
        </row>
        <row r="1801">
          <cell r="C1801" t="str">
            <v>282-2025</v>
          </cell>
          <cell r="D1801">
            <v>2500000</v>
          </cell>
        </row>
        <row r="1802">
          <cell r="C1802" t="str">
            <v>292-2025</v>
          </cell>
          <cell r="D1802">
            <v>80825000</v>
          </cell>
        </row>
        <row r="1803">
          <cell r="C1803" t="str">
            <v>245-2025</v>
          </cell>
          <cell r="D1803">
            <v>3000000</v>
          </cell>
        </row>
        <row r="1804">
          <cell r="C1804" t="str">
            <v>242-2025</v>
          </cell>
          <cell r="D1804">
            <v>4750000</v>
          </cell>
        </row>
        <row r="1805">
          <cell r="C1805" t="str">
            <v>202-2025</v>
          </cell>
          <cell r="D1805">
            <v>6000000</v>
          </cell>
        </row>
        <row r="1806">
          <cell r="C1806" t="str">
            <v>183-2025</v>
          </cell>
          <cell r="D1806">
            <v>3000000</v>
          </cell>
        </row>
        <row r="1807">
          <cell r="C1807" t="str">
            <v>227-2025</v>
          </cell>
          <cell r="D1807">
            <v>3000000</v>
          </cell>
        </row>
        <row r="1808">
          <cell r="C1808" t="str">
            <v>219-2025</v>
          </cell>
          <cell r="D1808">
            <v>2500000</v>
          </cell>
        </row>
        <row r="1809">
          <cell r="C1809" t="str">
            <v>199-2025</v>
          </cell>
          <cell r="D1809">
            <v>3000000</v>
          </cell>
        </row>
        <row r="1810">
          <cell r="C1810" t="str">
            <v>200-2025</v>
          </cell>
          <cell r="D1810">
            <v>2500000</v>
          </cell>
        </row>
        <row r="1811">
          <cell r="C1811" t="str">
            <v>279-2025</v>
          </cell>
          <cell r="D1811">
            <v>2500000</v>
          </cell>
        </row>
        <row r="1812">
          <cell r="C1812" t="str">
            <v>281-2025</v>
          </cell>
          <cell r="D1812">
            <v>4750000</v>
          </cell>
        </row>
        <row r="1813">
          <cell r="C1813" t="str">
            <v>251-2025</v>
          </cell>
          <cell r="D1813">
            <v>3000000</v>
          </cell>
        </row>
        <row r="1814">
          <cell r="C1814" t="str">
            <v>274-2025</v>
          </cell>
          <cell r="D1814">
            <v>3000000</v>
          </cell>
        </row>
        <row r="1815">
          <cell r="C1815" t="str">
            <v>268-2025</v>
          </cell>
          <cell r="D1815">
            <v>2500000</v>
          </cell>
        </row>
        <row r="1816">
          <cell r="C1816" t="str">
            <v>310-2025</v>
          </cell>
          <cell r="D1816">
            <v>700000</v>
          </cell>
        </row>
        <row r="1817">
          <cell r="C1817" t="str">
            <v>239-2025</v>
          </cell>
          <cell r="D1817">
            <v>3000000</v>
          </cell>
        </row>
        <row r="1818">
          <cell r="C1818" t="str">
            <v>184-2025</v>
          </cell>
          <cell r="D1818">
            <v>3000000</v>
          </cell>
        </row>
        <row r="1819">
          <cell r="C1819" t="str">
            <v>224-2025</v>
          </cell>
          <cell r="D1819">
            <v>3000000</v>
          </cell>
        </row>
        <row r="1820">
          <cell r="C1820" t="str">
            <v>259-2025</v>
          </cell>
          <cell r="D1820">
            <v>73000000</v>
          </cell>
        </row>
        <row r="1821">
          <cell r="C1821" t="str">
            <v>260-2025</v>
          </cell>
          <cell r="D1821">
            <v>53823767</v>
          </cell>
        </row>
        <row r="1822">
          <cell r="C1822" t="str">
            <v>311-2025</v>
          </cell>
          <cell r="D1822">
            <v>600000</v>
          </cell>
        </row>
        <row r="1823">
          <cell r="C1823" t="str">
            <v>252-2025</v>
          </cell>
          <cell r="D1823">
            <v>2500000</v>
          </cell>
        </row>
        <row r="1824">
          <cell r="C1824" t="str">
            <v>304-2025</v>
          </cell>
          <cell r="D1824">
            <v>2500000</v>
          </cell>
        </row>
        <row r="1825">
          <cell r="C1825" t="str">
            <v>309-2025</v>
          </cell>
          <cell r="D1825">
            <v>600000</v>
          </cell>
        </row>
        <row r="1826">
          <cell r="C1826" t="str">
            <v>303-2025</v>
          </cell>
          <cell r="D1826">
            <v>2500000</v>
          </cell>
        </row>
        <row r="1827">
          <cell r="C1827" t="str">
            <v>247-2025</v>
          </cell>
          <cell r="D1827">
            <v>3000000</v>
          </cell>
        </row>
        <row r="1828">
          <cell r="C1828" t="str">
            <v>246-2025</v>
          </cell>
          <cell r="D1828">
            <v>3000000</v>
          </cell>
        </row>
        <row r="1829">
          <cell r="C1829" t="str">
            <v>204-2025</v>
          </cell>
          <cell r="D1829">
            <v>3000000</v>
          </cell>
        </row>
        <row r="1830">
          <cell r="C1830" t="str">
            <v>210-2025</v>
          </cell>
          <cell r="D1830">
            <v>3000000</v>
          </cell>
        </row>
        <row r="1831">
          <cell r="C1831" t="str">
            <v>260-2025</v>
          </cell>
          <cell r="D1831">
            <v>53181733</v>
          </cell>
        </row>
        <row r="1832">
          <cell r="C1832" t="str">
            <v>259-2025</v>
          </cell>
          <cell r="D1832">
            <v>73000000</v>
          </cell>
        </row>
        <row r="1833">
          <cell r="C1833" t="str">
            <v>302-2025</v>
          </cell>
          <cell r="D1833">
            <v>6000000</v>
          </cell>
        </row>
        <row r="1834">
          <cell r="C1834" t="str">
            <v>261-2025</v>
          </cell>
          <cell r="D1834">
            <v>2500000</v>
          </cell>
        </row>
        <row r="1835">
          <cell r="C1835" t="str">
            <v>186-2025</v>
          </cell>
          <cell r="D1835">
            <v>4750000</v>
          </cell>
        </row>
        <row r="1836">
          <cell r="C1836" t="str">
            <v>182-2025</v>
          </cell>
          <cell r="D1836">
            <v>3000000</v>
          </cell>
        </row>
        <row r="1837">
          <cell r="C1837" t="str">
            <v>227-2025</v>
          </cell>
          <cell r="D1837">
            <v>3000000</v>
          </cell>
        </row>
        <row r="1838">
          <cell r="C1838" t="str">
            <v>180-2025</v>
          </cell>
          <cell r="D1838">
            <v>4825000</v>
          </cell>
        </row>
        <row r="1839">
          <cell r="C1839" t="str">
            <v>228-2025</v>
          </cell>
          <cell r="D1839">
            <v>7500000</v>
          </cell>
        </row>
        <row r="1840">
          <cell r="C1840" t="str">
            <v>216-2025</v>
          </cell>
          <cell r="D1840">
            <v>4750000</v>
          </cell>
        </row>
        <row r="1841">
          <cell r="C1841" t="str">
            <v>205-2025</v>
          </cell>
          <cell r="D1841">
            <v>4825000</v>
          </cell>
        </row>
        <row r="1842">
          <cell r="C1842" t="str">
            <v>249-2025</v>
          </cell>
          <cell r="D1842">
            <v>2500000</v>
          </cell>
        </row>
        <row r="1843">
          <cell r="C1843" t="str">
            <v>214-2025</v>
          </cell>
          <cell r="D1843">
            <v>3000000</v>
          </cell>
        </row>
        <row r="1844">
          <cell r="C1844" t="str">
            <v>178-2025</v>
          </cell>
          <cell r="D1844">
            <v>4750000</v>
          </cell>
        </row>
        <row r="1845">
          <cell r="C1845" t="str">
            <v>181-2025</v>
          </cell>
          <cell r="D1845">
            <v>4825000</v>
          </cell>
        </row>
        <row r="1846">
          <cell r="C1846" t="str">
            <v>262-2025</v>
          </cell>
          <cell r="D1846">
            <v>2500000</v>
          </cell>
        </row>
        <row r="1847">
          <cell r="C1847" t="str">
            <v>188-2025</v>
          </cell>
          <cell r="D1847">
            <v>3000000</v>
          </cell>
        </row>
        <row r="1848">
          <cell r="C1848" t="str">
            <v>187-2025</v>
          </cell>
          <cell r="D1848">
            <v>4750000</v>
          </cell>
        </row>
        <row r="1849">
          <cell r="C1849" t="str">
            <v>209-2025</v>
          </cell>
          <cell r="D1849">
            <v>3000000</v>
          </cell>
        </row>
        <row r="1850">
          <cell r="C1850" t="str">
            <v>364-2025</v>
          </cell>
          <cell r="D1850">
            <v>2500000</v>
          </cell>
        </row>
        <row r="1851">
          <cell r="C1851" t="str">
            <v>202-2025</v>
          </cell>
          <cell r="D1851">
            <v>6000000</v>
          </cell>
        </row>
        <row r="1852">
          <cell r="C1852" t="str">
            <v>240-2025</v>
          </cell>
          <cell r="D1852">
            <v>7500000</v>
          </cell>
        </row>
        <row r="1853">
          <cell r="C1853" t="str">
            <v>244-2025</v>
          </cell>
          <cell r="D1853">
            <v>3000000</v>
          </cell>
        </row>
        <row r="1854">
          <cell r="C1854" t="str">
            <v>192-2025</v>
          </cell>
          <cell r="D1854">
            <v>6000000</v>
          </cell>
        </row>
        <row r="1855">
          <cell r="C1855" t="str">
            <v>225-2025</v>
          </cell>
          <cell r="D1855">
            <v>3000000</v>
          </cell>
        </row>
        <row r="1856">
          <cell r="C1856" t="str">
            <v>314-2025</v>
          </cell>
          <cell r="D1856">
            <v>1400000</v>
          </cell>
        </row>
        <row r="1857">
          <cell r="C1857" t="str">
            <v>251-2025</v>
          </cell>
          <cell r="D1857">
            <v>3000000</v>
          </cell>
        </row>
        <row r="1858">
          <cell r="C1858" t="str">
            <v>194-2025</v>
          </cell>
          <cell r="D1858">
            <v>4750000</v>
          </cell>
        </row>
        <row r="1859">
          <cell r="C1859" t="str">
            <v>229-2025</v>
          </cell>
          <cell r="D1859">
            <v>3000000</v>
          </cell>
        </row>
        <row r="1860">
          <cell r="C1860" t="str">
            <v>185-2025</v>
          </cell>
          <cell r="D1860">
            <v>4750000</v>
          </cell>
        </row>
        <row r="1861">
          <cell r="C1861" t="str">
            <v>346-2025</v>
          </cell>
          <cell r="D1861">
            <v>6000000</v>
          </cell>
        </row>
        <row r="1862">
          <cell r="C1862" t="str">
            <v>225-2025</v>
          </cell>
          <cell r="D1862">
            <v>3000000</v>
          </cell>
        </row>
        <row r="1863">
          <cell r="C1863" t="str">
            <v>211-2025</v>
          </cell>
          <cell r="D1863">
            <v>3000000</v>
          </cell>
        </row>
        <row r="1864">
          <cell r="C1864" t="str">
            <v>268-2025</v>
          </cell>
          <cell r="D1864">
            <v>2500000</v>
          </cell>
        </row>
        <row r="1865">
          <cell r="C1865" t="str">
            <v>254-2025</v>
          </cell>
          <cell r="D1865">
            <v>4750000</v>
          </cell>
        </row>
        <row r="1866">
          <cell r="C1866" t="str">
            <v>277-2025</v>
          </cell>
          <cell r="D1866">
            <v>3000000</v>
          </cell>
        </row>
        <row r="1867">
          <cell r="C1867" t="str">
            <v>208-2025</v>
          </cell>
          <cell r="D1867">
            <v>3000000</v>
          </cell>
        </row>
        <row r="1868">
          <cell r="C1868" t="str">
            <v>224-2025</v>
          </cell>
          <cell r="D1868">
            <v>3000000</v>
          </cell>
        </row>
        <row r="1869">
          <cell r="C1869" t="str">
            <v>222-2025</v>
          </cell>
          <cell r="D1869">
            <v>4750000</v>
          </cell>
        </row>
        <row r="1870">
          <cell r="C1870" t="str">
            <v>196-2025</v>
          </cell>
          <cell r="D1870">
            <v>400000</v>
          </cell>
        </row>
        <row r="1871">
          <cell r="C1871" t="str">
            <v>266-2025</v>
          </cell>
          <cell r="D1871">
            <v>2500000</v>
          </cell>
        </row>
        <row r="1872">
          <cell r="C1872" t="str">
            <v>219-2025</v>
          </cell>
          <cell r="D1872">
            <v>2500000</v>
          </cell>
        </row>
        <row r="1873">
          <cell r="C1873" t="str">
            <v>190-2025</v>
          </cell>
          <cell r="D1873">
            <v>3000000</v>
          </cell>
        </row>
        <row r="1874">
          <cell r="C1874" t="str">
            <v>269-2025</v>
          </cell>
          <cell r="D1874">
            <v>6000000</v>
          </cell>
        </row>
        <row r="1875">
          <cell r="C1875" t="str">
            <v>310-2025</v>
          </cell>
          <cell r="D1875">
            <v>3000000</v>
          </cell>
        </row>
        <row r="1876">
          <cell r="C1876" t="str">
            <v>193-2025</v>
          </cell>
          <cell r="D1876">
            <v>4750000</v>
          </cell>
        </row>
        <row r="1877">
          <cell r="C1877" t="str">
            <v>179-2025</v>
          </cell>
          <cell r="D1877">
            <v>4825000</v>
          </cell>
        </row>
        <row r="1878">
          <cell r="C1878" t="str">
            <v>282-2025</v>
          </cell>
          <cell r="D1878">
            <v>2500000</v>
          </cell>
        </row>
        <row r="1879">
          <cell r="C1879" t="str">
            <v>304-2025</v>
          </cell>
          <cell r="D1879">
            <v>2500000</v>
          </cell>
        </row>
        <row r="1880">
          <cell r="C1880" t="str">
            <v>226-2025</v>
          </cell>
          <cell r="D1880">
            <v>4750000</v>
          </cell>
        </row>
        <row r="1881">
          <cell r="C1881" t="str">
            <v>278-2025</v>
          </cell>
          <cell r="D1881">
            <v>6000000</v>
          </cell>
        </row>
        <row r="1882">
          <cell r="C1882" t="str">
            <v>200-2025</v>
          </cell>
          <cell r="D1882">
            <v>2500000</v>
          </cell>
        </row>
        <row r="1883">
          <cell r="C1883" t="str">
            <v>248-2025</v>
          </cell>
          <cell r="D1883">
            <v>4825000</v>
          </cell>
        </row>
        <row r="1884">
          <cell r="C1884" t="str">
            <v>234-2025</v>
          </cell>
          <cell r="D1884">
            <v>3000000</v>
          </cell>
        </row>
        <row r="1885">
          <cell r="C1885" t="str">
            <v>235-2025</v>
          </cell>
          <cell r="D1885">
            <v>6000000</v>
          </cell>
        </row>
        <row r="1886">
          <cell r="C1886" t="str">
            <v>212-2025</v>
          </cell>
          <cell r="D1886">
            <v>3000000</v>
          </cell>
        </row>
        <row r="1887">
          <cell r="C1887" t="str">
            <v>360-2025</v>
          </cell>
          <cell r="D1887">
            <v>3000000</v>
          </cell>
        </row>
        <row r="1888">
          <cell r="C1888" t="str">
            <v>218-2025</v>
          </cell>
          <cell r="D1888">
            <v>3000000</v>
          </cell>
        </row>
        <row r="1889">
          <cell r="C1889" t="str">
            <v>276-2025</v>
          </cell>
          <cell r="D1889">
            <v>3000000</v>
          </cell>
        </row>
        <row r="1890">
          <cell r="C1890" t="str">
            <v>217-2025</v>
          </cell>
          <cell r="D1890">
            <v>4750000</v>
          </cell>
        </row>
        <row r="1891">
          <cell r="C1891" t="str">
            <v>184-2025</v>
          </cell>
          <cell r="D1891">
            <v>3000000</v>
          </cell>
        </row>
        <row r="1892">
          <cell r="C1892" t="str">
            <v>274-2025</v>
          </cell>
          <cell r="D1892">
            <v>3000000</v>
          </cell>
        </row>
        <row r="1893">
          <cell r="C1893" t="str">
            <v>307-2025</v>
          </cell>
          <cell r="D1893">
            <v>7500000</v>
          </cell>
        </row>
        <row r="1894">
          <cell r="C1894" t="str">
            <v>243-2025</v>
          </cell>
          <cell r="D1894">
            <v>6000000</v>
          </cell>
        </row>
        <row r="1895">
          <cell r="C1895" t="str">
            <v>183-2025</v>
          </cell>
          <cell r="D1895">
            <v>3000000</v>
          </cell>
        </row>
        <row r="1896">
          <cell r="C1896" t="str">
            <v>311-2025</v>
          </cell>
          <cell r="D1896">
            <v>3000000</v>
          </cell>
        </row>
        <row r="1897">
          <cell r="C1897" t="str">
            <v>271-2025</v>
          </cell>
          <cell r="D1897">
            <v>4825000</v>
          </cell>
        </row>
        <row r="1898">
          <cell r="C1898" t="str">
            <v>265-2025</v>
          </cell>
          <cell r="D1898">
            <v>4750000</v>
          </cell>
        </row>
        <row r="1899">
          <cell r="C1899" t="str">
            <v>221-2025</v>
          </cell>
          <cell r="D1899">
            <v>3000000</v>
          </cell>
        </row>
        <row r="1900">
          <cell r="C1900" t="str">
            <v>239-2025</v>
          </cell>
          <cell r="D1900">
            <v>3000000</v>
          </cell>
        </row>
        <row r="1901">
          <cell r="C1901" t="str">
            <v>238-2025</v>
          </cell>
          <cell r="D1901">
            <v>3000000</v>
          </cell>
        </row>
        <row r="1902">
          <cell r="C1902" t="str">
            <v>223-2025</v>
          </cell>
          <cell r="D1902">
            <v>3000000</v>
          </cell>
        </row>
        <row r="1903">
          <cell r="C1903" t="str">
            <v>279-2025</v>
          </cell>
          <cell r="D1903">
            <v>2500000</v>
          </cell>
        </row>
        <row r="1904">
          <cell r="C1904" t="str">
            <v>314-2025</v>
          </cell>
          <cell r="D1904">
            <v>6000000</v>
          </cell>
        </row>
        <row r="1905">
          <cell r="C1905" t="str">
            <v>309-2025</v>
          </cell>
          <cell r="D1905">
            <v>3000000</v>
          </cell>
        </row>
        <row r="1906">
          <cell r="C1906" t="str">
            <v>307-2025</v>
          </cell>
          <cell r="D1906">
            <v>7500000</v>
          </cell>
        </row>
        <row r="1907">
          <cell r="C1907" t="str">
            <v>250-2025</v>
          </cell>
          <cell r="D1907">
            <v>2500000</v>
          </cell>
        </row>
        <row r="1908">
          <cell r="C1908" t="str">
            <v>252-2025</v>
          </cell>
          <cell r="D1908">
            <v>2500000</v>
          </cell>
        </row>
        <row r="1909">
          <cell r="C1909" t="str">
            <v>363-2025</v>
          </cell>
          <cell r="D1909">
            <v>6000000</v>
          </cell>
        </row>
        <row r="1910">
          <cell r="C1910" t="str">
            <v>359-2025</v>
          </cell>
          <cell r="D1910">
            <v>6000000</v>
          </cell>
        </row>
        <row r="1911">
          <cell r="C1911" t="str">
            <v>292-2025</v>
          </cell>
          <cell r="D1911">
            <v>82375000</v>
          </cell>
        </row>
        <row r="1912">
          <cell r="C1912" t="str">
            <v>270-2025</v>
          </cell>
          <cell r="D1912">
            <v>3000000</v>
          </cell>
        </row>
        <row r="1913">
          <cell r="C1913" t="str">
            <v>245-2025</v>
          </cell>
          <cell r="D1913">
            <v>3000000</v>
          </cell>
        </row>
        <row r="1914">
          <cell r="C1914" t="str">
            <v>201-2025</v>
          </cell>
          <cell r="D1914">
            <v>3000000</v>
          </cell>
        </row>
        <row r="1915">
          <cell r="C1915" t="str">
            <v>267-2025</v>
          </cell>
          <cell r="D1915">
            <v>3000000</v>
          </cell>
        </row>
        <row r="1916">
          <cell r="C1916" t="str">
            <v>281-2025</v>
          </cell>
          <cell r="D1916">
            <v>4750000</v>
          </cell>
        </row>
        <row r="1917">
          <cell r="C1917" t="str">
            <v>242-2025</v>
          </cell>
          <cell r="D1917">
            <v>4750000</v>
          </cell>
        </row>
        <row r="1918">
          <cell r="C1918" t="str">
            <v>263-2025</v>
          </cell>
          <cell r="D1918">
            <v>3000000</v>
          </cell>
        </row>
        <row r="1919">
          <cell r="C1919" t="str">
            <v>358-2025</v>
          </cell>
          <cell r="D1919">
            <v>3000000</v>
          </cell>
        </row>
        <row r="1920">
          <cell r="C1920" t="str">
            <v>177-2025</v>
          </cell>
          <cell r="D1920">
            <v>4750000</v>
          </cell>
        </row>
        <row r="1921">
          <cell r="C1921" t="str">
            <v>258-2025</v>
          </cell>
          <cell r="D1921">
            <v>3000000</v>
          </cell>
        </row>
        <row r="1922">
          <cell r="C1922" t="str">
            <v>189-2025</v>
          </cell>
          <cell r="D1922">
            <v>3000000</v>
          </cell>
        </row>
        <row r="1923">
          <cell r="C1923" t="str">
            <v>220-2025</v>
          </cell>
          <cell r="D1923">
            <v>3000000</v>
          </cell>
        </row>
        <row r="1924">
          <cell r="C1924" t="str">
            <v>350-2025</v>
          </cell>
          <cell r="D1924">
            <v>6000000</v>
          </cell>
        </row>
        <row r="1925">
          <cell r="C1925" t="str">
            <v>303-2025</v>
          </cell>
          <cell r="D1925">
            <v>2500000</v>
          </cell>
        </row>
        <row r="1926">
          <cell r="C1926" t="str">
            <v>449-2025</v>
          </cell>
          <cell r="D1926">
            <v>4825000</v>
          </cell>
        </row>
        <row r="1927">
          <cell r="C1927" t="str">
            <v>199-2025</v>
          </cell>
          <cell r="D1927">
            <v>1500000</v>
          </cell>
        </row>
        <row r="1928">
          <cell r="C1928" t="str">
            <v>241-2025</v>
          </cell>
          <cell r="D1928">
            <v>3000000</v>
          </cell>
        </row>
        <row r="1929">
          <cell r="C1929" t="str">
            <v>233-2025</v>
          </cell>
          <cell r="D1929">
            <v>6000000</v>
          </cell>
        </row>
        <row r="1930">
          <cell r="C1930" t="str">
            <v>790-2025</v>
          </cell>
          <cell r="D1930">
            <v>3150000</v>
          </cell>
        </row>
        <row r="1931">
          <cell r="C1931" t="str">
            <v>806-2025</v>
          </cell>
          <cell r="D1931">
            <v>3150000</v>
          </cell>
        </row>
        <row r="1932">
          <cell r="C1932" t="str">
            <v>887-2025</v>
          </cell>
          <cell r="D1932">
            <v>1575000</v>
          </cell>
        </row>
        <row r="1933">
          <cell r="C1933" t="str">
            <v>761-2025</v>
          </cell>
          <cell r="D1933">
            <v>3150000</v>
          </cell>
        </row>
        <row r="1934">
          <cell r="C1934" t="str">
            <v>829-2025</v>
          </cell>
          <cell r="D1934">
            <v>3150000</v>
          </cell>
        </row>
        <row r="1935">
          <cell r="C1935" t="str">
            <v>904-2025</v>
          </cell>
          <cell r="D1935">
            <v>3150000</v>
          </cell>
        </row>
        <row r="1936">
          <cell r="C1936" t="str">
            <v>714-2025</v>
          </cell>
          <cell r="D1936">
            <v>4730000</v>
          </cell>
        </row>
        <row r="1937">
          <cell r="C1937" t="str">
            <v>696-2025</v>
          </cell>
          <cell r="D1937">
            <v>151250000</v>
          </cell>
        </row>
        <row r="1938">
          <cell r="C1938" t="str">
            <v>862-2025</v>
          </cell>
          <cell r="D1938">
            <v>6300000</v>
          </cell>
        </row>
        <row r="1939">
          <cell r="C1939" t="str">
            <v>810-2025</v>
          </cell>
          <cell r="D1939">
            <v>3150000</v>
          </cell>
        </row>
        <row r="1940">
          <cell r="C1940" t="str">
            <v>872-2025</v>
          </cell>
          <cell r="D1940">
            <v>3150000</v>
          </cell>
        </row>
        <row r="1941">
          <cell r="C1941" t="str">
            <v>850-2025</v>
          </cell>
          <cell r="D1941">
            <v>6300000</v>
          </cell>
        </row>
        <row r="1942">
          <cell r="C1942" t="str">
            <v>832-2025</v>
          </cell>
          <cell r="D1942">
            <v>3150000</v>
          </cell>
        </row>
        <row r="1943">
          <cell r="C1943" t="str">
            <v>817-2025</v>
          </cell>
          <cell r="D1943">
            <v>6300000</v>
          </cell>
        </row>
        <row r="1944">
          <cell r="C1944" t="str">
            <v>783-2025</v>
          </cell>
          <cell r="D1944">
            <v>3150000</v>
          </cell>
        </row>
        <row r="1945">
          <cell r="C1945" t="str">
            <v>886-2025</v>
          </cell>
          <cell r="D1945">
            <v>1575000</v>
          </cell>
        </row>
        <row r="1946">
          <cell r="C1946" t="str">
            <v>798-2025</v>
          </cell>
          <cell r="D1946">
            <v>3150000</v>
          </cell>
        </row>
        <row r="1947">
          <cell r="C1947" t="str">
            <v>765-2025</v>
          </cell>
          <cell r="D1947">
            <v>3150000</v>
          </cell>
        </row>
        <row r="1948">
          <cell r="C1948" t="str">
            <v>876-2025</v>
          </cell>
          <cell r="D1948">
            <v>3150000</v>
          </cell>
        </row>
        <row r="1949">
          <cell r="C1949" t="str">
            <v>808-2025</v>
          </cell>
          <cell r="D1949">
            <v>7800000</v>
          </cell>
        </row>
        <row r="1950">
          <cell r="C1950" t="str">
            <v>789-2025</v>
          </cell>
          <cell r="D1950">
            <v>6300000</v>
          </cell>
        </row>
        <row r="1951">
          <cell r="C1951" t="str">
            <v>812-2025</v>
          </cell>
          <cell r="D1951">
            <v>3150000</v>
          </cell>
        </row>
        <row r="1952">
          <cell r="C1952" t="str">
            <v>821-2025</v>
          </cell>
          <cell r="D1952">
            <v>3150000</v>
          </cell>
        </row>
        <row r="1953">
          <cell r="C1953" t="str">
            <v>869-2025</v>
          </cell>
          <cell r="D1953">
            <v>3150000</v>
          </cell>
        </row>
        <row r="1954">
          <cell r="C1954" t="str">
            <v>865-2025</v>
          </cell>
          <cell r="D1954">
            <v>6300000</v>
          </cell>
        </row>
        <row r="1955">
          <cell r="C1955" t="str">
            <v>895-2025</v>
          </cell>
          <cell r="D1955">
            <v>1575000</v>
          </cell>
        </row>
        <row r="1956">
          <cell r="C1956" t="str">
            <v>781-2025</v>
          </cell>
          <cell r="D1956">
            <v>6300000</v>
          </cell>
        </row>
        <row r="1957">
          <cell r="C1957" t="str">
            <v>787-2025</v>
          </cell>
          <cell r="D1957">
            <v>4730000</v>
          </cell>
        </row>
        <row r="1958">
          <cell r="C1958" t="str">
            <v>795-2025</v>
          </cell>
          <cell r="D1958">
            <v>3150000</v>
          </cell>
        </row>
        <row r="1959">
          <cell r="C1959" t="str">
            <v>804-2025</v>
          </cell>
          <cell r="D1959">
            <v>3150000</v>
          </cell>
        </row>
        <row r="1960">
          <cell r="C1960" t="str">
            <v>827-2025</v>
          </cell>
          <cell r="D1960">
            <v>3150000</v>
          </cell>
        </row>
        <row r="1961">
          <cell r="C1961" t="str">
            <v>773-2025</v>
          </cell>
          <cell r="D1961">
            <v>6300000</v>
          </cell>
        </row>
        <row r="1962">
          <cell r="C1962" t="str">
            <v>920-2025</v>
          </cell>
          <cell r="D1962">
            <v>3150000</v>
          </cell>
        </row>
        <row r="1963">
          <cell r="C1963" t="str">
            <v>784-2025</v>
          </cell>
          <cell r="D1963">
            <v>3150000</v>
          </cell>
        </row>
        <row r="1964">
          <cell r="C1964" t="str">
            <v>848-2025</v>
          </cell>
          <cell r="D1964">
            <v>3150000</v>
          </cell>
        </row>
        <row r="1965">
          <cell r="C1965" t="str">
            <v>849-2025</v>
          </cell>
          <cell r="D1965">
            <v>3150000</v>
          </cell>
        </row>
        <row r="1966">
          <cell r="C1966" t="str">
            <v>877-2025</v>
          </cell>
          <cell r="D1966">
            <v>3150000</v>
          </cell>
        </row>
        <row r="1967">
          <cell r="C1967" t="str">
            <v>816-2025</v>
          </cell>
          <cell r="D1967">
            <v>3150000</v>
          </cell>
        </row>
        <row r="1968">
          <cell r="C1968" t="str">
            <v>910-2025</v>
          </cell>
          <cell r="D1968">
            <v>3150000</v>
          </cell>
        </row>
        <row r="1969">
          <cell r="C1969" t="str">
            <v>774-2025</v>
          </cell>
          <cell r="D1969">
            <v>3150000</v>
          </cell>
        </row>
        <row r="1970">
          <cell r="C1970" t="str">
            <v>888-2025</v>
          </cell>
          <cell r="D1970">
            <v>3900000</v>
          </cell>
        </row>
        <row r="1971">
          <cell r="C1971" t="str">
            <v>906-2025</v>
          </cell>
          <cell r="D1971">
            <v>3900000</v>
          </cell>
        </row>
        <row r="1972">
          <cell r="C1972" t="str">
            <v>929-2025</v>
          </cell>
          <cell r="D1972">
            <v>3900000</v>
          </cell>
        </row>
        <row r="1973">
          <cell r="C1973" t="str">
            <v>913-2025</v>
          </cell>
          <cell r="D1973">
            <v>3900000</v>
          </cell>
        </row>
        <row r="1974">
          <cell r="C1974" t="str">
            <v>908-2025</v>
          </cell>
          <cell r="D1974">
            <v>3150000</v>
          </cell>
        </row>
        <row r="1975">
          <cell r="C1975" t="str">
            <v>916-2025</v>
          </cell>
          <cell r="D1975">
            <v>1575000</v>
          </cell>
        </row>
        <row r="1976">
          <cell r="C1976" t="str">
            <v>912-2025</v>
          </cell>
          <cell r="D1976">
            <v>1575000</v>
          </cell>
        </row>
        <row r="1977">
          <cell r="C1977" t="str">
            <v>793-2025</v>
          </cell>
          <cell r="D1977">
            <v>3150000</v>
          </cell>
        </row>
        <row r="1978">
          <cell r="C1978" t="str">
            <v>759-2025</v>
          </cell>
          <cell r="D1978">
            <v>3150000</v>
          </cell>
        </row>
        <row r="1979">
          <cell r="C1979" t="str">
            <v>815-2025</v>
          </cell>
          <cell r="D1979">
            <v>3150000</v>
          </cell>
        </row>
        <row r="1980">
          <cell r="C1980" t="str">
            <v>839-2025</v>
          </cell>
          <cell r="D1980">
            <v>3150000</v>
          </cell>
        </row>
        <row r="1981">
          <cell r="C1981" t="str">
            <v>818-2025</v>
          </cell>
          <cell r="D1981">
            <v>4730000</v>
          </cell>
        </row>
        <row r="1982">
          <cell r="C1982" t="str">
            <v>833-2025</v>
          </cell>
          <cell r="D1982">
            <v>7800000</v>
          </cell>
        </row>
        <row r="1983">
          <cell r="C1983" t="str">
            <v>794-2025</v>
          </cell>
          <cell r="D1983">
            <v>3150000</v>
          </cell>
        </row>
        <row r="1984">
          <cell r="C1984" t="str">
            <v>925-2025</v>
          </cell>
          <cell r="D1984">
            <v>1575000</v>
          </cell>
        </row>
        <row r="1985">
          <cell r="C1985" t="str">
            <v>831-2025</v>
          </cell>
          <cell r="D1985">
            <v>7800000</v>
          </cell>
        </row>
        <row r="1986">
          <cell r="C1986" t="str">
            <v>811-2025</v>
          </cell>
          <cell r="D1986">
            <v>3150000</v>
          </cell>
        </row>
        <row r="1987">
          <cell r="C1987" t="str">
            <v>834-2025</v>
          </cell>
          <cell r="D1987">
            <v>6300000</v>
          </cell>
        </row>
        <row r="1988">
          <cell r="C1988" t="str">
            <v>826-2025</v>
          </cell>
          <cell r="D1988">
            <v>3150000</v>
          </cell>
        </row>
        <row r="1989">
          <cell r="C1989" t="str">
            <v>749-2025</v>
          </cell>
          <cell r="D1989">
            <v>4730000</v>
          </cell>
        </row>
        <row r="1990">
          <cell r="C1990" t="str">
            <v>775-2025</v>
          </cell>
          <cell r="D1990">
            <v>6300000</v>
          </cell>
        </row>
        <row r="1991">
          <cell r="C1991" t="str">
            <v>726-2025</v>
          </cell>
          <cell r="D1991">
            <v>4730000</v>
          </cell>
        </row>
        <row r="1992">
          <cell r="C1992" t="str">
            <v>744-2025</v>
          </cell>
          <cell r="D1992">
            <v>7800000</v>
          </cell>
        </row>
        <row r="1993">
          <cell r="C1993" t="str">
            <v>859-2025</v>
          </cell>
          <cell r="D1993">
            <v>3150000</v>
          </cell>
        </row>
        <row r="1994">
          <cell r="C1994" t="str">
            <v>822-2025</v>
          </cell>
          <cell r="D1994">
            <v>7800000</v>
          </cell>
        </row>
        <row r="1995">
          <cell r="C1995" t="str">
            <v>853-2025</v>
          </cell>
          <cell r="D1995">
            <v>6300000</v>
          </cell>
        </row>
        <row r="1996">
          <cell r="C1996" t="str">
            <v>856-2025</v>
          </cell>
          <cell r="D1996">
            <v>6300000</v>
          </cell>
        </row>
        <row r="1997">
          <cell r="C1997" t="str">
            <v>711-2025</v>
          </cell>
          <cell r="D1997">
            <v>7800000</v>
          </cell>
        </row>
        <row r="1998">
          <cell r="C1998" t="str">
            <v>748-2025</v>
          </cell>
          <cell r="D1998">
            <v>4730000</v>
          </cell>
        </row>
        <row r="1999">
          <cell r="C1999" t="str">
            <v>772-2025</v>
          </cell>
          <cell r="D1999">
            <v>7800000</v>
          </cell>
        </row>
        <row r="2000">
          <cell r="C2000" t="str">
            <v>770-2025</v>
          </cell>
          <cell r="D2000">
            <v>4730000</v>
          </cell>
        </row>
        <row r="2001">
          <cell r="C2001" t="str">
            <v>788-2025</v>
          </cell>
          <cell r="D2001">
            <v>6300000</v>
          </cell>
        </row>
        <row r="2002">
          <cell r="C2002" t="str">
            <v>737-2025</v>
          </cell>
          <cell r="D2002">
            <v>3150000</v>
          </cell>
        </row>
        <row r="2003">
          <cell r="C2003" t="str">
            <v>754-2025</v>
          </cell>
          <cell r="D2003">
            <v>3150000</v>
          </cell>
        </row>
        <row r="2004">
          <cell r="C2004" t="str">
            <v>838-2025</v>
          </cell>
          <cell r="D2004">
            <v>4730000</v>
          </cell>
        </row>
        <row r="2005">
          <cell r="C2005" t="str">
            <v>807-2025</v>
          </cell>
          <cell r="D2005">
            <v>7800000</v>
          </cell>
        </row>
        <row r="2006">
          <cell r="C2006" t="str">
            <v>723-2025</v>
          </cell>
          <cell r="D2006">
            <v>7800000</v>
          </cell>
        </row>
        <row r="2007">
          <cell r="C2007" t="str">
            <v>785-2025</v>
          </cell>
          <cell r="D2007">
            <v>6300000</v>
          </cell>
        </row>
        <row r="2008">
          <cell r="C2008" t="str">
            <v>813-2025</v>
          </cell>
          <cell r="D2008">
            <v>3150000</v>
          </cell>
        </row>
        <row r="2009">
          <cell r="C2009" t="str">
            <v>803-2025</v>
          </cell>
          <cell r="D2009">
            <v>3150000</v>
          </cell>
        </row>
        <row r="2010">
          <cell r="C2010" t="str">
            <v>732-2025</v>
          </cell>
          <cell r="D2010">
            <v>3150000</v>
          </cell>
        </row>
        <row r="2011">
          <cell r="C2011" t="str">
            <v>762-2025</v>
          </cell>
          <cell r="D2011">
            <v>7800000</v>
          </cell>
        </row>
        <row r="2012">
          <cell r="C2012" t="str">
            <v>730-2025</v>
          </cell>
          <cell r="D2012">
            <v>4730000</v>
          </cell>
        </row>
        <row r="2013">
          <cell r="C2013" t="str">
            <v>786-2025</v>
          </cell>
          <cell r="D2013">
            <v>7800000</v>
          </cell>
        </row>
        <row r="2014">
          <cell r="C2014" t="str">
            <v>782-2025</v>
          </cell>
          <cell r="D2014">
            <v>3150000</v>
          </cell>
        </row>
        <row r="2015">
          <cell r="C2015" t="str">
            <v>755-2025</v>
          </cell>
          <cell r="D2015">
            <v>7800000</v>
          </cell>
        </row>
        <row r="2016">
          <cell r="C2016" t="str">
            <v>855-2025</v>
          </cell>
          <cell r="D2016">
            <v>3150000</v>
          </cell>
        </row>
        <row r="2017">
          <cell r="C2017" t="str">
            <v>894-2025</v>
          </cell>
          <cell r="D2017">
            <v>1575000</v>
          </cell>
        </row>
        <row r="2018">
          <cell r="C2018" t="str">
            <v>840-2025</v>
          </cell>
          <cell r="D2018">
            <v>3150000</v>
          </cell>
        </row>
        <row r="2019">
          <cell r="C2019" t="str">
            <v>830-2025</v>
          </cell>
          <cell r="D2019">
            <v>3150000</v>
          </cell>
        </row>
        <row r="2020">
          <cell r="C2020" t="str">
            <v>864-2025</v>
          </cell>
          <cell r="D2020">
            <v>3150000</v>
          </cell>
        </row>
        <row r="2021">
          <cell r="C2021" t="str">
            <v>757-2025</v>
          </cell>
          <cell r="D2021">
            <v>6300000</v>
          </cell>
        </row>
        <row r="2022">
          <cell r="C2022" t="str">
            <v>871-2025</v>
          </cell>
          <cell r="D2022">
            <v>3150000</v>
          </cell>
        </row>
        <row r="2023">
          <cell r="C2023" t="str">
            <v>742-2025</v>
          </cell>
          <cell r="D2023">
            <v>4730000</v>
          </cell>
        </row>
        <row r="2024">
          <cell r="C2024" t="str">
            <v>854-2025</v>
          </cell>
          <cell r="D2024">
            <v>3150000</v>
          </cell>
        </row>
        <row r="2025">
          <cell r="C2025" t="str">
            <v>747-2025</v>
          </cell>
          <cell r="D2025">
            <v>4730000</v>
          </cell>
        </row>
        <row r="2026">
          <cell r="C2026" t="str">
            <v>836-2025</v>
          </cell>
          <cell r="D2026">
            <v>3150000</v>
          </cell>
        </row>
        <row r="2027">
          <cell r="C2027" t="str">
            <v>846-2025</v>
          </cell>
          <cell r="D2027">
            <v>3150000</v>
          </cell>
        </row>
        <row r="2028">
          <cell r="C2028" t="str">
            <v>896-2025</v>
          </cell>
          <cell r="D2028">
            <v>1575000</v>
          </cell>
        </row>
        <row r="2029">
          <cell r="C2029" t="str">
            <v>828-2025</v>
          </cell>
          <cell r="D2029">
            <v>3150000</v>
          </cell>
        </row>
        <row r="2030">
          <cell r="C2030" t="str">
            <v>843-2025</v>
          </cell>
          <cell r="D2030">
            <v>6300000</v>
          </cell>
        </row>
        <row r="2031">
          <cell r="C2031" t="str">
            <v>199-2025</v>
          </cell>
          <cell r="D2031">
            <v>1500000</v>
          </cell>
        </row>
        <row r="2032">
          <cell r="C2032" t="str">
            <v>860-2025</v>
          </cell>
          <cell r="D2032">
            <v>4730000</v>
          </cell>
        </row>
        <row r="2033">
          <cell r="C2033" t="str">
            <v>823-2025</v>
          </cell>
          <cell r="D2033">
            <v>6300000</v>
          </cell>
        </row>
        <row r="2034">
          <cell r="C2034" t="str">
            <v>763-2025</v>
          </cell>
          <cell r="D2034">
            <v>6300000</v>
          </cell>
        </row>
        <row r="2035">
          <cell r="C2035" t="str">
            <v>767-2025</v>
          </cell>
          <cell r="D2035">
            <v>7800000</v>
          </cell>
        </row>
        <row r="2036">
          <cell r="C2036" t="str">
            <v>797-2025</v>
          </cell>
          <cell r="D2036">
            <v>3150000</v>
          </cell>
        </row>
        <row r="2037">
          <cell r="C2037" t="str">
            <v>771-2025</v>
          </cell>
          <cell r="D2037">
            <v>4730000</v>
          </cell>
        </row>
        <row r="2038">
          <cell r="C2038" t="str">
            <v>706-2025</v>
          </cell>
          <cell r="D2038">
            <v>7800000</v>
          </cell>
        </row>
        <row r="2039">
          <cell r="C2039" t="str">
            <v>741-2025</v>
          </cell>
          <cell r="D2039">
            <v>6300000</v>
          </cell>
        </row>
        <row r="2040">
          <cell r="C2040" t="str">
            <v>764-2025</v>
          </cell>
          <cell r="D2040">
            <v>4730000</v>
          </cell>
        </row>
        <row r="2041">
          <cell r="C2041" t="str">
            <v>802-2025</v>
          </cell>
          <cell r="D2041">
            <v>3150000</v>
          </cell>
        </row>
        <row r="2042">
          <cell r="C2042" t="str">
            <v>837-2025</v>
          </cell>
          <cell r="D2042">
            <v>3150000</v>
          </cell>
        </row>
        <row r="2043">
          <cell r="C2043" t="str">
            <v>868-2025</v>
          </cell>
          <cell r="D2043">
            <v>7800000</v>
          </cell>
        </row>
        <row r="2044">
          <cell r="C2044" t="str">
            <v>778-2025</v>
          </cell>
          <cell r="D2044">
            <v>6300000</v>
          </cell>
        </row>
        <row r="2045">
          <cell r="C2045" t="str">
            <v>824-2025</v>
          </cell>
          <cell r="D2045">
            <v>3150000</v>
          </cell>
        </row>
        <row r="2046">
          <cell r="C2046" t="str">
            <v>890-2025</v>
          </cell>
          <cell r="D2046">
            <v>3150000</v>
          </cell>
        </row>
        <row r="2047">
          <cell r="C2047" t="str">
            <v>905-2025</v>
          </cell>
          <cell r="D2047">
            <v>3900000</v>
          </cell>
        </row>
        <row r="2048">
          <cell r="C2048" t="str">
            <v>792-2025</v>
          </cell>
          <cell r="D2048">
            <v>4730000</v>
          </cell>
        </row>
        <row r="2049">
          <cell r="C2049" t="str">
            <v>858-2025</v>
          </cell>
          <cell r="D2049">
            <v>4730000</v>
          </cell>
        </row>
        <row r="2050">
          <cell r="C2050" t="str">
            <v>875-2025</v>
          </cell>
          <cell r="D2050">
            <v>7800000</v>
          </cell>
        </row>
        <row r="2051">
          <cell r="C2051" t="str">
            <v>805-2025</v>
          </cell>
          <cell r="D2051">
            <v>6300000</v>
          </cell>
        </row>
        <row r="2052">
          <cell r="C2052" t="str">
            <v>847-2025</v>
          </cell>
          <cell r="D2052">
            <v>4730000</v>
          </cell>
        </row>
        <row r="2053">
          <cell r="C2053" t="str">
            <v>899-2025</v>
          </cell>
          <cell r="D2053">
            <v>1575000</v>
          </cell>
        </row>
        <row r="2054">
          <cell r="C2054" t="str">
            <v>819-2025</v>
          </cell>
          <cell r="D2054">
            <v>6300000</v>
          </cell>
        </row>
        <row r="2055">
          <cell r="C2055" t="str">
            <v>885-2025</v>
          </cell>
          <cell r="D2055">
            <v>1575000</v>
          </cell>
        </row>
        <row r="2056">
          <cell r="C2056" t="str">
            <v>750-2025</v>
          </cell>
          <cell r="D2056">
            <v>7800000</v>
          </cell>
        </row>
        <row r="2057">
          <cell r="C2057" t="str">
            <v>196-2025</v>
          </cell>
          <cell r="D2057">
            <v>3600000</v>
          </cell>
        </row>
        <row r="2058">
          <cell r="C2058" t="str">
            <v>745-2025</v>
          </cell>
          <cell r="D2058">
            <v>4730000</v>
          </cell>
        </row>
        <row r="2059">
          <cell r="C2059" t="str">
            <v>768-2025</v>
          </cell>
          <cell r="D2059">
            <v>4730000</v>
          </cell>
        </row>
        <row r="2060">
          <cell r="C2060" t="str">
            <v>897-2025</v>
          </cell>
          <cell r="D2060">
            <v>1575000</v>
          </cell>
        </row>
        <row r="2061">
          <cell r="C2061" t="str">
            <v>740-2025</v>
          </cell>
          <cell r="D2061">
            <v>4730000</v>
          </cell>
        </row>
        <row r="2062">
          <cell r="C2062" t="str">
            <v>898-2025</v>
          </cell>
          <cell r="D2062">
            <v>3150000</v>
          </cell>
        </row>
        <row r="2063">
          <cell r="C2063" t="str">
            <v>743-2025</v>
          </cell>
          <cell r="D2063">
            <v>3150000</v>
          </cell>
        </row>
        <row r="2064">
          <cell r="C2064" t="str">
            <v>921-2025</v>
          </cell>
          <cell r="D2064">
            <v>3150000</v>
          </cell>
        </row>
        <row r="2065">
          <cell r="C2065" t="str">
            <v>777-2025</v>
          </cell>
          <cell r="D2065">
            <v>3150000</v>
          </cell>
        </row>
        <row r="2066">
          <cell r="C2066" t="str">
            <v>844-2025</v>
          </cell>
          <cell r="D2066">
            <v>3150000</v>
          </cell>
        </row>
        <row r="2067">
          <cell r="C2067" t="str">
            <v>809-2025</v>
          </cell>
          <cell r="D2067">
            <v>3150000</v>
          </cell>
        </row>
        <row r="2068">
          <cell r="C2068" t="str">
            <v>766-2025</v>
          </cell>
          <cell r="D2068">
            <v>4730000</v>
          </cell>
        </row>
        <row r="2069">
          <cell r="C2069" t="str">
            <v>842-2025</v>
          </cell>
          <cell r="D2069">
            <v>3150000</v>
          </cell>
        </row>
        <row r="2070">
          <cell r="C2070" t="str">
            <v>873-2025</v>
          </cell>
          <cell r="D2070">
            <v>3150000</v>
          </cell>
        </row>
        <row r="2071">
          <cell r="C2071" t="str">
            <v>883-2025</v>
          </cell>
          <cell r="D2071">
            <v>3150000</v>
          </cell>
        </row>
        <row r="2072">
          <cell r="C2072" t="str">
            <v>841-2025</v>
          </cell>
          <cell r="D2072">
            <v>3150000</v>
          </cell>
        </row>
        <row r="2073">
          <cell r="C2073" t="str">
            <v>861-2025</v>
          </cell>
          <cell r="D2073">
            <v>7800000</v>
          </cell>
        </row>
        <row r="2074">
          <cell r="C2074" t="str">
            <v>878-2025</v>
          </cell>
          <cell r="D2074">
            <v>3150000</v>
          </cell>
        </row>
        <row r="2075">
          <cell r="C2075" t="str">
            <v>752-2025</v>
          </cell>
          <cell r="D2075">
            <v>4730000</v>
          </cell>
        </row>
        <row r="2076">
          <cell r="C2076" t="str">
            <v>780-2025</v>
          </cell>
          <cell r="D2076">
            <v>7800000</v>
          </cell>
        </row>
        <row r="2077">
          <cell r="C2077" t="str">
            <v>857-2025</v>
          </cell>
          <cell r="D2077">
            <v>6300000</v>
          </cell>
        </row>
        <row r="2078">
          <cell r="C2078" t="str">
            <v>791-2025</v>
          </cell>
          <cell r="D2078">
            <v>3150000</v>
          </cell>
        </row>
        <row r="2079">
          <cell r="C2079" t="str">
            <v>927-2025</v>
          </cell>
          <cell r="D2079">
            <v>3900000</v>
          </cell>
        </row>
        <row r="2080">
          <cell r="C2080" t="str">
            <v>901-2025</v>
          </cell>
          <cell r="D2080">
            <v>1575000</v>
          </cell>
        </row>
        <row r="2081">
          <cell r="C2081" t="str">
            <v>919-2025</v>
          </cell>
          <cell r="D2081">
            <v>1575000</v>
          </cell>
        </row>
        <row r="2082">
          <cell r="C2082" t="str">
            <v>923-2025</v>
          </cell>
          <cell r="D2082">
            <v>1575000</v>
          </cell>
        </row>
        <row r="2083">
          <cell r="C2083" t="str">
            <v>903-2025</v>
          </cell>
          <cell r="D2083">
            <v>1575000</v>
          </cell>
        </row>
        <row r="2084">
          <cell r="C2084" t="str">
            <v>907-2025</v>
          </cell>
          <cell r="D2084">
            <v>1575000</v>
          </cell>
        </row>
        <row r="2085">
          <cell r="C2085" t="str">
            <v>751-2025</v>
          </cell>
          <cell r="D2085">
            <v>6300000</v>
          </cell>
        </row>
        <row r="2086">
          <cell r="C2086" t="str">
            <v>769-2025</v>
          </cell>
          <cell r="D2086">
            <v>4730000</v>
          </cell>
        </row>
        <row r="2087">
          <cell r="C2087" t="str">
            <v>731-2025</v>
          </cell>
          <cell r="D2087">
            <v>4730000</v>
          </cell>
        </row>
        <row r="2088">
          <cell r="C2088" t="str">
            <v>760-2025</v>
          </cell>
          <cell r="D2088">
            <v>6300000</v>
          </cell>
        </row>
        <row r="2089">
          <cell r="C2089" t="str">
            <v>835-2025</v>
          </cell>
          <cell r="D2089">
            <v>3900000</v>
          </cell>
        </row>
        <row r="2090">
          <cell r="C2090" t="str">
            <v>926-2025</v>
          </cell>
          <cell r="D2090">
            <v>1575000</v>
          </cell>
        </row>
        <row r="2091">
          <cell r="C2091" t="str">
            <v>779-2025</v>
          </cell>
          <cell r="D2091">
            <v>7800000</v>
          </cell>
        </row>
        <row r="2092">
          <cell r="C2092" t="str">
            <v>820-2025</v>
          </cell>
          <cell r="D2092">
            <v>3150000</v>
          </cell>
        </row>
        <row r="2093">
          <cell r="C2093" t="str">
            <v>909-2025</v>
          </cell>
          <cell r="D2093">
            <v>1575000</v>
          </cell>
        </row>
        <row r="2094">
          <cell r="C2094" t="str">
            <v>851-2025</v>
          </cell>
          <cell r="D2094">
            <v>3150000</v>
          </cell>
        </row>
        <row r="2095">
          <cell r="C2095" t="str">
            <v>924-2025</v>
          </cell>
          <cell r="D2095">
            <v>1575000</v>
          </cell>
        </row>
        <row r="2096">
          <cell r="C2096" t="str">
            <v>928-2025</v>
          </cell>
          <cell r="D2096">
            <v>1575000</v>
          </cell>
        </row>
        <row r="2097">
          <cell r="C2097" t="str">
            <v>776-2025</v>
          </cell>
          <cell r="D2097">
            <v>4730000</v>
          </cell>
        </row>
        <row r="2098">
          <cell r="C2098" t="str">
            <v>917-2025</v>
          </cell>
          <cell r="D2098">
            <v>1575000</v>
          </cell>
        </row>
        <row r="2099">
          <cell r="C2099" t="str">
            <v>900-2025</v>
          </cell>
          <cell r="D2099">
            <v>3900000</v>
          </cell>
        </row>
        <row r="2100">
          <cell r="C2100" t="str">
            <v>1076-2025</v>
          </cell>
          <cell r="D2100">
            <v>72218841.359999999</v>
          </cell>
        </row>
        <row r="2101">
          <cell r="C2101" t="str">
            <v>683-2025</v>
          </cell>
          <cell r="D2101">
            <v>3000000</v>
          </cell>
        </row>
        <row r="2102">
          <cell r="C2102" t="str">
            <v>685-2025</v>
          </cell>
          <cell r="D2102">
            <v>3000000</v>
          </cell>
        </row>
        <row r="2103">
          <cell r="C2103" t="str">
            <v>679-2025</v>
          </cell>
          <cell r="D2103">
            <v>3000000</v>
          </cell>
        </row>
        <row r="2104">
          <cell r="C2104" t="str">
            <v>756-2025</v>
          </cell>
          <cell r="D2104">
            <v>4730000</v>
          </cell>
        </row>
        <row r="2105">
          <cell r="C2105" t="str">
            <v>661-2025</v>
          </cell>
          <cell r="D2105">
            <v>3000000</v>
          </cell>
        </row>
        <row r="2106">
          <cell r="C2106" t="str">
            <v>739-2025</v>
          </cell>
          <cell r="D2106">
            <v>3153000</v>
          </cell>
        </row>
        <row r="2107">
          <cell r="C2107" t="str">
            <v>696-2025</v>
          </cell>
          <cell r="D2107">
            <v>152157500</v>
          </cell>
        </row>
        <row r="2108">
          <cell r="C2108" t="str">
            <v>773-2025</v>
          </cell>
          <cell r="D2108">
            <v>6300000</v>
          </cell>
        </row>
        <row r="2109">
          <cell r="C2109" t="str">
            <v>860-2025</v>
          </cell>
          <cell r="D2109">
            <v>4730000</v>
          </cell>
        </row>
        <row r="2110">
          <cell r="C2110" t="str">
            <v>754-2025</v>
          </cell>
          <cell r="D2110">
            <v>3150000</v>
          </cell>
        </row>
        <row r="2111">
          <cell r="C2111" t="str">
            <v>737-2025</v>
          </cell>
          <cell r="D2111">
            <v>3150000</v>
          </cell>
        </row>
        <row r="2112">
          <cell r="C2112" t="str">
            <v>777-2025</v>
          </cell>
          <cell r="D2112">
            <v>3150000</v>
          </cell>
        </row>
        <row r="2113">
          <cell r="C2113" t="str">
            <v>732-2025</v>
          </cell>
          <cell r="D2113">
            <v>3150000</v>
          </cell>
        </row>
        <row r="2114">
          <cell r="C2114" t="str">
            <v>784-2025</v>
          </cell>
          <cell r="D2114">
            <v>3150000</v>
          </cell>
        </row>
        <row r="2115">
          <cell r="C2115" t="str">
            <v>798-2025</v>
          </cell>
          <cell r="D2115">
            <v>3150000</v>
          </cell>
        </row>
        <row r="2116">
          <cell r="C2116" t="str">
            <v>883-2025</v>
          </cell>
          <cell r="D2116">
            <v>3150000</v>
          </cell>
        </row>
        <row r="2117">
          <cell r="C2117" t="str">
            <v>766-2025</v>
          </cell>
          <cell r="D2117">
            <v>4730000</v>
          </cell>
        </row>
        <row r="2118">
          <cell r="C2118" t="str">
            <v>862-2025</v>
          </cell>
          <cell r="D2118">
            <v>6300000</v>
          </cell>
        </row>
        <row r="2119">
          <cell r="C2119" t="str">
            <v>831-2025</v>
          </cell>
          <cell r="D2119">
            <v>7800000</v>
          </cell>
        </row>
        <row r="2120">
          <cell r="C2120" t="str">
            <v>904-2025</v>
          </cell>
          <cell r="D2120">
            <v>6300000</v>
          </cell>
        </row>
        <row r="2121">
          <cell r="C2121" t="str">
            <v>926-2025</v>
          </cell>
          <cell r="D2121">
            <v>3150000</v>
          </cell>
        </row>
        <row r="2122">
          <cell r="C2122" t="str">
            <v>782-2025</v>
          </cell>
          <cell r="D2122">
            <v>3150000</v>
          </cell>
        </row>
        <row r="2123">
          <cell r="C2123" t="str">
            <v>749-2025</v>
          </cell>
          <cell r="D2123">
            <v>4730000</v>
          </cell>
        </row>
        <row r="2124">
          <cell r="C2124" t="str">
            <v>886-2025</v>
          </cell>
          <cell r="D2124">
            <v>3150000</v>
          </cell>
        </row>
        <row r="2125">
          <cell r="C2125" t="str">
            <v>887-2025</v>
          </cell>
          <cell r="D2125">
            <v>3150000</v>
          </cell>
        </row>
        <row r="2126">
          <cell r="C2126" t="str">
            <v>772-2025</v>
          </cell>
          <cell r="D2126">
            <v>7800000</v>
          </cell>
        </row>
        <row r="2127">
          <cell r="C2127" t="str">
            <v>845-2025</v>
          </cell>
          <cell r="D2127">
            <v>4572333</v>
          </cell>
        </row>
        <row r="2128">
          <cell r="C2128" t="str">
            <v>795-2025</v>
          </cell>
          <cell r="D2128">
            <v>3150000</v>
          </cell>
        </row>
        <row r="2129">
          <cell r="C2129" t="str">
            <v>747-2025</v>
          </cell>
          <cell r="D2129">
            <v>4730000</v>
          </cell>
        </row>
        <row r="2130">
          <cell r="C2130" t="str">
            <v>829-2025</v>
          </cell>
          <cell r="D2130">
            <v>3150000</v>
          </cell>
        </row>
        <row r="2131">
          <cell r="C2131" t="str">
            <v>813-2025</v>
          </cell>
          <cell r="D2131">
            <v>3150000</v>
          </cell>
        </row>
        <row r="2132">
          <cell r="C2132" t="str">
            <v>783-2025</v>
          </cell>
          <cell r="D2132">
            <v>3150000</v>
          </cell>
        </row>
        <row r="2133">
          <cell r="C2133" t="str">
            <v>726-2025</v>
          </cell>
          <cell r="D2133">
            <v>4730000</v>
          </cell>
        </row>
        <row r="2134">
          <cell r="C2134" t="str">
            <v>894-2025</v>
          </cell>
          <cell r="D2134">
            <v>3150000</v>
          </cell>
        </row>
        <row r="2135">
          <cell r="C2135" t="str">
            <v>843-2025</v>
          </cell>
          <cell r="D2135">
            <v>6300000</v>
          </cell>
        </row>
        <row r="2136">
          <cell r="C2136" t="str">
            <v>874-2025</v>
          </cell>
          <cell r="D2136">
            <v>36863960</v>
          </cell>
        </row>
        <row r="2137">
          <cell r="C2137" t="str">
            <v>780-2025</v>
          </cell>
          <cell r="D2137">
            <v>7800000</v>
          </cell>
        </row>
        <row r="2138">
          <cell r="C2138" t="str">
            <v>742-2025</v>
          </cell>
          <cell r="D2138">
            <v>4730000</v>
          </cell>
        </row>
        <row r="2139">
          <cell r="C2139" t="str">
            <v>820-2025</v>
          </cell>
          <cell r="D2139">
            <v>3150000</v>
          </cell>
        </row>
        <row r="2140">
          <cell r="C2140" t="str">
            <v>1021-2025</v>
          </cell>
          <cell r="D2140">
            <v>2000000</v>
          </cell>
        </row>
        <row r="2141">
          <cell r="C2141" t="str">
            <v>960-2025</v>
          </cell>
          <cell r="D2141">
            <v>3150000</v>
          </cell>
        </row>
        <row r="2142">
          <cell r="C2142" t="str">
            <v>755-2025</v>
          </cell>
          <cell r="D2142">
            <v>7800000</v>
          </cell>
        </row>
        <row r="2143">
          <cell r="C2143" t="str">
            <v>878-2025</v>
          </cell>
          <cell r="D2143">
            <v>1575000</v>
          </cell>
        </row>
        <row r="2144">
          <cell r="C2144" t="str">
            <v>730-2025</v>
          </cell>
          <cell r="D2144">
            <v>4730000</v>
          </cell>
        </row>
        <row r="2145">
          <cell r="C2145" t="str">
            <v>757-2025</v>
          </cell>
          <cell r="D2145">
            <v>6300000</v>
          </cell>
        </row>
        <row r="2146">
          <cell r="C2146" t="str">
            <v>770-2025</v>
          </cell>
          <cell r="D2146">
            <v>4730000</v>
          </cell>
        </row>
        <row r="2147">
          <cell r="C2147" t="str">
            <v>822-2025</v>
          </cell>
          <cell r="D2147">
            <v>7800000</v>
          </cell>
        </row>
        <row r="2148">
          <cell r="C2148" t="str">
            <v>830-2025</v>
          </cell>
          <cell r="D2148">
            <v>3150000</v>
          </cell>
        </row>
        <row r="2149">
          <cell r="C2149" t="str">
            <v>841-2025</v>
          </cell>
          <cell r="D2149">
            <v>3150000</v>
          </cell>
        </row>
        <row r="2150">
          <cell r="C2150" t="str">
            <v>711-2025</v>
          </cell>
          <cell r="D2150">
            <v>7800000</v>
          </cell>
        </row>
        <row r="2151">
          <cell r="C2151" t="str">
            <v>761-2025</v>
          </cell>
          <cell r="D2151">
            <v>3150000</v>
          </cell>
        </row>
        <row r="2152">
          <cell r="C2152" t="str">
            <v>817-2025</v>
          </cell>
          <cell r="D2152">
            <v>6300000</v>
          </cell>
        </row>
        <row r="2153">
          <cell r="C2153" t="str">
            <v>826-2025</v>
          </cell>
          <cell r="D2153">
            <v>3150000</v>
          </cell>
        </row>
        <row r="2154">
          <cell r="C2154" t="str">
            <v>840-2025</v>
          </cell>
          <cell r="D2154">
            <v>3150000</v>
          </cell>
        </row>
        <row r="2155">
          <cell r="C2155" t="str">
            <v>743-2025</v>
          </cell>
          <cell r="D2155">
            <v>3150000</v>
          </cell>
        </row>
        <row r="2156">
          <cell r="C2156" t="str">
            <v>750-2025</v>
          </cell>
          <cell r="D2156">
            <v>7800000</v>
          </cell>
        </row>
        <row r="2157">
          <cell r="C2157" t="str">
            <v>768-2025</v>
          </cell>
          <cell r="D2157">
            <v>4730000</v>
          </cell>
        </row>
        <row r="2158">
          <cell r="C2158" t="str">
            <v>774-2025</v>
          </cell>
          <cell r="D2158">
            <v>3150000</v>
          </cell>
        </row>
        <row r="2159">
          <cell r="C2159" t="str">
            <v>778-2025</v>
          </cell>
          <cell r="D2159">
            <v>6300000</v>
          </cell>
        </row>
        <row r="2160">
          <cell r="C2160" t="str">
            <v>688-2025</v>
          </cell>
          <cell r="D2160">
            <v>3000000</v>
          </cell>
        </row>
        <row r="2161">
          <cell r="C2161" t="str">
            <v>888-2025</v>
          </cell>
          <cell r="D2161">
            <v>7800000</v>
          </cell>
        </row>
        <row r="2162">
          <cell r="C2162" t="str">
            <v>875-2025</v>
          </cell>
          <cell r="D2162">
            <v>7800000</v>
          </cell>
        </row>
        <row r="2163">
          <cell r="C2163" t="str">
            <v>839-2025</v>
          </cell>
          <cell r="D2163">
            <v>3150000</v>
          </cell>
        </row>
        <row r="2164">
          <cell r="C2164" t="str">
            <v>816-2025</v>
          </cell>
          <cell r="D2164">
            <v>3150000</v>
          </cell>
        </row>
        <row r="2165">
          <cell r="C2165" t="str">
            <v>805-2025</v>
          </cell>
          <cell r="D2165">
            <v>6300000</v>
          </cell>
        </row>
        <row r="2166">
          <cell r="C2166" t="str">
            <v>723-2025</v>
          </cell>
          <cell r="D2166">
            <v>7800000</v>
          </cell>
        </row>
        <row r="2167">
          <cell r="C2167" t="str">
            <v>793-2025</v>
          </cell>
          <cell r="D2167">
            <v>3150000</v>
          </cell>
        </row>
        <row r="2168">
          <cell r="C2168" t="str">
            <v>682-2025</v>
          </cell>
          <cell r="D2168">
            <v>3000000</v>
          </cell>
        </row>
        <row r="2169">
          <cell r="C2169" t="str">
            <v>611-2025</v>
          </cell>
          <cell r="D2169">
            <v>3000000</v>
          </cell>
        </row>
        <row r="2170">
          <cell r="C2170" t="str">
            <v>470-2025</v>
          </cell>
          <cell r="D2170">
            <v>4825000</v>
          </cell>
        </row>
        <row r="2171">
          <cell r="C2171" t="str">
            <v>794-2025</v>
          </cell>
          <cell r="D2171">
            <v>3150000</v>
          </cell>
        </row>
        <row r="2172">
          <cell r="C2172" t="str">
            <v>803-2025</v>
          </cell>
          <cell r="D2172">
            <v>3150000</v>
          </cell>
        </row>
        <row r="2173">
          <cell r="C2173" t="str">
            <v>842-2025</v>
          </cell>
          <cell r="D2173">
            <v>3150000</v>
          </cell>
        </row>
        <row r="2174">
          <cell r="C2174" t="str">
            <v>854-2025</v>
          </cell>
          <cell r="D2174">
            <v>3150000</v>
          </cell>
        </row>
        <row r="2175">
          <cell r="C2175" t="str">
            <v>864-2025</v>
          </cell>
          <cell r="D2175">
            <v>3150000</v>
          </cell>
        </row>
        <row r="2176">
          <cell r="C2176" t="str">
            <v>857-2025</v>
          </cell>
          <cell r="D2176">
            <v>6300000</v>
          </cell>
        </row>
        <row r="2177">
          <cell r="C2177" t="str">
            <v>809-2025</v>
          </cell>
          <cell r="D2177">
            <v>3150000</v>
          </cell>
        </row>
        <row r="2178">
          <cell r="C2178" t="str">
            <v>873-2025</v>
          </cell>
          <cell r="D2178">
            <v>3150000</v>
          </cell>
        </row>
        <row r="2179">
          <cell r="C2179" t="str">
            <v>775-2025</v>
          </cell>
          <cell r="D2179">
            <v>6300000</v>
          </cell>
        </row>
        <row r="2180">
          <cell r="C2180" t="str">
            <v>744-2025</v>
          </cell>
          <cell r="D2180">
            <v>7800000</v>
          </cell>
        </row>
        <row r="2181">
          <cell r="C2181" t="str">
            <v>806-2025</v>
          </cell>
          <cell r="D2181">
            <v>3150000</v>
          </cell>
        </row>
        <row r="2182">
          <cell r="C2182" t="str">
            <v>791-2025</v>
          </cell>
          <cell r="D2182">
            <v>3150000</v>
          </cell>
        </row>
        <row r="2183">
          <cell r="C2183" t="str">
            <v>786-2025</v>
          </cell>
          <cell r="D2183">
            <v>7800000</v>
          </cell>
        </row>
        <row r="2184">
          <cell r="C2184" t="str">
            <v>850-2025</v>
          </cell>
          <cell r="D2184">
            <v>6300000</v>
          </cell>
        </row>
        <row r="2185">
          <cell r="C2185" t="str">
            <v>856-2025</v>
          </cell>
          <cell r="D2185">
            <v>6300000</v>
          </cell>
        </row>
        <row r="2186">
          <cell r="C2186" t="str">
            <v>929-2025</v>
          </cell>
          <cell r="D2186">
            <v>7800000</v>
          </cell>
        </row>
        <row r="2187">
          <cell r="C2187" t="str">
            <v>913-2025</v>
          </cell>
          <cell r="D2187">
            <v>7800000</v>
          </cell>
        </row>
        <row r="2188">
          <cell r="C2188" t="str">
            <v>906-2025</v>
          </cell>
          <cell r="D2188">
            <v>7800000</v>
          </cell>
        </row>
        <row r="2189">
          <cell r="C2189" t="str">
            <v>900-2025</v>
          </cell>
          <cell r="D2189">
            <v>7800000</v>
          </cell>
        </row>
        <row r="2190">
          <cell r="C2190" t="str">
            <v>898-2025</v>
          </cell>
          <cell r="D2190">
            <v>6300000</v>
          </cell>
        </row>
        <row r="2191">
          <cell r="C2191" t="str">
            <v>897-2025</v>
          </cell>
          <cell r="D2191">
            <v>3150000</v>
          </cell>
        </row>
        <row r="2192">
          <cell r="C2192" t="str">
            <v>890-2025</v>
          </cell>
          <cell r="D2192">
            <v>6300000</v>
          </cell>
        </row>
        <row r="2193">
          <cell r="C2193" t="str">
            <v>787-2025</v>
          </cell>
          <cell r="D2193">
            <v>4730000</v>
          </cell>
        </row>
        <row r="2194">
          <cell r="C2194" t="str">
            <v>810-2025</v>
          </cell>
          <cell r="D2194">
            <v>3150000</v>
          </cell>
        </row>
        <row r="2195">
          <cell r="C2195" t="str">
            <v>859-2025</v>
          </cell>
          <cell r="D2195">
            <v>3150000</v>
          </cell>
        </row>
        <row r="2196">
          <cell r="C2196" t="str">
            <v>896-2025</v>
          </cell>
          <cell r="D2196">
            <v>3150000</v>
          </cell>
        </row>
        <row r="2197">
          <cell r="C2197" t="str">
            <v>714-2025</v>
          </cell>
          <cell r="D2197">
            <v>4730000</v>
          </cell>
        </row>
        <row r="2198">
          <cell r="C2198" t="str">
            <v>1039-2025</v>
          </cell>
          <cell r="D2198">
            <v>2000000</v>
          </cell>
        </row>
        <row r="2199">
          <cell r="C2199" t="str">
            <v>1027-2025</v>
          </cell>
          <cell r="D2199">
            <v>2000000</v>
          </cell>
        </row>
        <row r="2200">
          <cell r="C2200" t="str">
            <v>1032-2025</v>
          </cell>
          <cell r="D2200">
            <v>2000000</v>
          </cell>
        </row>
        <row r="2201">
          <cell r="C2201" t="str">
            <v>925-2025</v>
          </cell>
          <cell r="D2201">
            <v>3150000</v>
          </cell>
        </row>
        <row r="2202">
          <cell r="C2202" t="str">
            <v>762-2025</v>
          </cell>
          <cell r="D2202">
            <v>7800000</v>
          </cell>
        </row>
        <row r="2203">
          <cell r="C2203" t="str">
            <v>785-2025</v>
          </cell>
          <cell r="D2203">
            <v>6300000</v>
          </cell>
        </row>
        <row r="2204">
          <cell r="C2204" t="str">
            <v>748-2025</v>
          </cell>
          <cell r="D2204">
            <v>4730000</v>
          </cell>
        </row>
        <row r="2205">
          <cell r="C2205" t="str">
            <v>838-2025</v>
          </cell>
          <cell r="D2205">
            <v>4730000</v>
          </cell>
        </row>
        <row r="2206">
          <cell r="C2206" t="str">
            <v>1003-2025</v>
          </cell>
          <cell r="D2206">
            <v>2000000</v>
          </cell>
        </row>
        <row r="2207">
          <cell r="C2207" t="str">
            <v>804-2025</v>
          </cell>
          <cell r="D2207">
            <v>3150000</v>
          </cell>
        </row>
        <row r="2208">
          <cell r="C2208" t="str">
            <v>1066-2025</v>
          </cell>
          <cell r="D2208">
            <v>3150000</v>
          </cell>
        </row>
        <row r="2209">
          <cell r="C2209" t="str">
            <v>877-2025</v>
          </cell>
          <cell r="D2209">
            <v>3150000</v>
          </cell>
        </row>
        <row r="2210">
          <cell r="C2210" t="str">
            <v>827-2025</v>
          </cell>
          <cell r="D2210">
            <v>3150000</v>
          </cell>
        </row>
        <row r="2211">
          <cell r="C2211" t="str">
            <v>849-2025</v>
          </cell>
          <cell r="D2211">
            <v>3150000</v>
          </cell>
        </row>
        <row r="2212">
          <cell r="C2212" t="str">
            <v>1028-2025</v>
          </cell>
          <cell r="D2212">
            <v>2000000</v>
          </cell>
        </row>
        <row r="2213">
          <cell r="C2213" t="str">
            <v>1049-2025</v>
          </cell>
          <cell r="D2213">
            <v>1575000</v>
          </cell>
        </row>
        <row r="2214">
          <cell r="C2214" t="str">
            <v>790-2025</v>
          </cell>
          <cell r="D2214">
            <v>3150000</v>
          </cell>
        </row>
        <row r="2215">
          <cell r="C2215" t="str">
            <v>807-2025</v>
          </cell>
          <cell r="D2215">
            <v>7800000</v>
          </cell>
        </row>
        <row r="2216">
          <cell r="C2216" t="str">
            <v>1063-2025</v>
          </cell>
          <cell r="D2216">
            <v>1575000</v>
          </cell>
        </row>
        <row r="2217">
          <cell r="C2217" t="str">
            <v>912-2025</v>
          </cell>
          <cell r="D2217">
            <v>3150000</v>
          </cell>
        </row>
        <row r="2218">
          <cell r="C2218" t="str">
            <v>823-2025</v>
          </cell>
          <cell r="D2218">
            <v>6300000</v>
          </cell>
        </row>
        <row r="2219">
          <cell r="C2219" t="str">
            <v>824-2025</v>
          </cell>
          <cell r="D2219">
            <v>3150000</v>
          </cell>
        </row>
        <row r="2220">
          <cell r="C2220" t="str">
            <v>818-2025</v>
          </cell>
          <cell r="D2220">
            <v>4730000</v>
          </cell>
        </row>
        <row r="2221">
          <cell r="C2221" t="str">
            <v>588-2025</v>
          </cell>
          <cell r="D2221">
            <v>3000000</v>
          </cell>
        </row>
        <row r="2222">
          <cell r="C2222" t="str">
            <v>1043-2025</v>
          </cell>
          <cell r="D2222">
            <v>1575000</v>
          </cell>
        </row>
        <row r="2223">
          <cell r="C2223" t="str">
            <v>815-2025</v>
          </cell>
          <cell r="D2223">
            <v>3150000</v>
          </cell>
        </row>
        <row r="2224">
          <cell r="C2224" t="str">
            <v>885-2025</v>
          </cell>
          <cell r="D2224">
            <v>3150000</v>
          </cell>
        </row>
        <row r="2225">
          <cell r="C2225" t="str">
            <v>916-2025</v>
          </cell>
          <cell r="D2225">
            <v>3150000</v>
          </cell>
        </row>
        <row r="2226">
          <cell r="C2226" t="str">
            <v>858-2025</v>
          </cell>
          <cell r="D2226">
            <v>4730000</v>
          </cell>
        </row>
        <row r="2227">
          <cell r="C2227" t="str">
            <v>1012-2025</v>
          </cell>
          <cell r="D2227">
            <v>6300000</v>
          </cell>
        </row>
        <row r="2228">
          <cell r="C2228" t="str">
            <v>1011-2025</v>
          </cell>
          <cell r="D2228">
            <v>2000000</v>
          </cell>
        </row>
        <row r="2229">
          <cell r="C2229" t="str">
            <v>1005-2025</v>
          </cell>
          <cell r="D2229">
            <v>2000000</v>
          </cell>
        </row>
        <row r="2230">
          <cell r="C2230" t="str">
            <v>909-2025</v>
          </cell>
          <cell r="D2230">
            <v>3150000</v>
          </cell>
        </row>
        <row r="2231">
          <cell r="C2231" t="str">
            <v>674-2025</v>
          </cell>
          <cell r="D2231">
            <v>6000000</v>
          </cell>
        </row>
        <row r="2232">
          <cell r="C2232" t="str">
            <v>811-2025</v>
          </cell>
          <cell r="D2232">
            <v>3150000</v>
          </cell>
        </row>
        <row r="2233">
          <cell r="C2233" t="str">
            <v>752-2025</v>
          </cell>
          <cell r="D2233">
            <v>4730000</v>
          </cell>
        </row>
        <row r="2234">
          <cell r="C2234" t="str">
            <v>779-2025</v>
          </cell>
          <cell r="D2234">
            <v>7800000</v>
          </cell>
        </row>
        <row r="2235">
          <cell r="C2235" t="str">
            <v>855-2025</v>
          </cell>
          <cell r="D2235">
            <v>3150000</v>
          </cell>
        </row>
        <row r="2236">
          <cell r="C2236" t="str">
            <v>832-2025</v>
          </cell>
          <cell r="D2236">
            <v>1050000</v>
          </cell>
        </row>
        <row r="2237">
          <cell r="C2237" t="str">
            <v>828-2025</v>
          </cell>
          <cell r="D2237">
            <v>3150000</v>
          </cell>
        </row>
        <row r="2238">
          <cell r="C2238" t="str">
            <v>846-2025</v>
          </cell>
          <cell r="D2238">
            <v>3150000</v>
          </cell>
        </row>
        <row r="2239">
          <cell r="C2239" t="str">
            <v>991-2025</v>
          </cell>
          <cell r="D2239">
            <v>3150000</v>
          </cell>
        </row>
        <row r="2240">
          <cell r="C2240" t="str">
            <v>836-2025</v>
          </cell>
          <cell r="D2240">
            <v>3150000</v>
          </cell>
        </row>
        <row r="2241">
          <cell r="C2241" t="str">
            <v>851-2025</v>
          </cell>
          <cell r="D2241">
            <v>3150000</v>
          </cell>
        </row>
        <row r="2242">
          <cell r="C2242" t="str">
            <v>789-2025</v>
          </cell>
          <cell r="D2242">
            <v>6300000</v>
          </cell>
        </row>
        <row r="2243">
          <cell r="C2243" t="str">
            <v>1000-2025</v>
          </cell>
          <cell r="D2243">
            <v>2000000</v>
          </cell>
        </row>
        <row r="2244">
          <cell r="C2244" t="str">
            <v>767-2025</v>
          </cell>
          <cell r="D2244">
            <v>7800000</v>
          </cell>
        </row>
        <row r="2245">
          <cell r="C2245" t="str">
            <v>868-2025</v>
          </cell>
          <cell r="D2245">
            <v>7800000</v>
          </cell>
        </row>
        <row r="2246">
          <cell r="C2246" t="str">
            <v>993-2025</v>
          </cell>
          <cell r="D2246">
            <v>7800000</v>
          </cell>
        </row>
        <row r="2247">
          <cell r="C2247" t="str">
            <v>706-2025</v>
          </cell>
          <cell r="D2247">
            <v>7800000</v>
          </cell>
        </row>
        <row r="2248">
          <cell r="C2248" t="str">
            <v>1030-2025</v>
          </cell>
          <cell r="D2248">
            <v>2000000</v>
          </cell>
        </row>
        <row r="2249">
          <cell r="C2249" t="str">
            <v>934-2025</v>
          </cell>
          <cell r="D2249">
            <v>3150000</v>
          </cell>
        </row>
        <row r="2250">
          <cell r="C2250" t="str">
            <v>821-2025</v>
          </cell>
          <cell r="D2250">
            <v>3150000</v>
          </cell>
        </row>
        <row r="2251">
          <cell r="C2251" t="str">
            <v>876-2025</v>
          </cell>
          <cell r="D2251">
            <v>3150000</v>
          </cell>
        </row>
        <row r="2252">
          <cell r="C2252" t="str">
            <v>923-2025</v>
          </cell>
          <cell r="D2252">
            <v>3150000</v>
          </cell>
        </row>
        <row r="2253">
          <cell r="C2253" t="str">
            <v>797-2025</v>
          </cell>
          <cell r="D2253">
            <v>3150000</v>
          </cell>
        </row>
        <row r="2254">
          <cell r="C2254" t="str">
            <v>1020-2025</v>
          </cell>
          <cell r="D2254">
            <v>2000000</v>
          </cell>
        </row>
        <row r="2255">
          <cell r="C2255" t="str">
            <v>907-2025</v>
          </cell>
          <cell r="D2255">
            <v>3150000</v>
          </cell>
        </row>
        <row r="2256">
          <cell r="C2256" t="str">
            <v>763-2025</v>
          </cell>
          <cell r="D2256">
            <v>6300000</v>
          </cell>
        </row>
        <row r="2257">
          <cell r="C2257" t="str">
            <v>741-2025</v>
          </cell>
          <cell r="D2257">
            <v>6300000</v>
          </cell>
        </row>
        <row r="2258">
          <cell r="C2258" t="str">
            <v>992-2025</v>
          </cell>
          <cell r="D2258">
            <v>6300000</v>
          </cell>
        </row>
        <row r="2259">
          <cell r="C2259" t="str">
            <v>1025-2025</v>
          </cell>
          <cell r="D2259">
            <v>2000000</v>
          </cell>
        </row>
        <row r="2260">
          <cell r="C2260" t="str">
            <v>1061-2025</v>
          </cell>
          <cell r="D2260">
            <v>1575000</v>
          </cell>
        </row>
        <row r="2261">
          <cell r="C2261" t="str">
            <v>852-2025</v>
          </cell>
          <cell r="D2261">
            <v>4730000</v>
          </cell>
        </row>
        <row r="2262">
          <cell r="C2262" t="str">
            <v>1058-2025</v>
          </cell>
          <cell r="D2262">
            <v>3150000</v>
          </cell>
        </row>
        <row r="2263">
          <cell r="C2263" t="str">
            <v>1053-2025</v>
          </cell>
          <cell r="D2263">
            <v>3900000</v>
          </cell>
        </row>
        <row r="2264">
          <cell r="C2264" t="str">
            <v>1047-2025</v>
          </cell>
          <cell r="D2264">
            <v>3900000</v>
          </cell>
        </row>
        <row r="2265">
          <cell r="C2265" t="str">
            <v>1048-2025</v>
          </cell>
          <cell r="D2265">
            <v>1575000</v>
          </cell>
        </row>
        <row r="2266">
          <cell r="C2266" t="str">
            <v>1065-2025</v>
          </cell>
          <cell r="D2266">
            <v>1575000</v>
          </cell>
        </row>
        <row r="2267">
          <cell r="C2267" t="str">
            <v>919-2025</v>
          </cell>
          <cell r="D2267">
            <v>3150000</v>
          </cell>
        </row>
        <row r="2268">
          <cell r="C2268" t="str">
            <v>947-2025</v>
          </cell>
          <cell r="D2268">
            <v>3150000</v>
          </cell>
        </row>
        <row r="2269">
          <cell r="C2269" t="str">
            <v>901-2025</v>
          </cell>
          <cell r="D2269">
            <v>3150000</v>
          </cell>
        </row>
        <row r="2270">
          <cell r="C2270" t="str">
            <v>983-2025</v>
          </cell>
          <cell r="D2270">
            <v>3150000</v>
          </cell>
        </row>
        <row r="2271">
          <cell r="C2271" t="str">
            <v>869-2025</v>
          </cell>
          <cell r="D2271">
            <v>3150000</v>
          </cell>
        </row>
        <row r="2272">
          <cell r="C2272" t="str">
            <v>959-2025</v>
          </cell>
          <cell r="D2272">
            <v>3150000</v>
          </cell>
        </row>
        <row r="2273">
          <cell r="C2273" t="str">
            <v>968-2025</v>
          </cell>
          <cell r="D2273">
            <v>4730000</v>
          </cell>
        </row>
        <row r="2274">
          <cell r="C2274" t="str">
            <v>970-2025</v>
          </cell>
          <cell r="D2274">
            <v>4730000</v>
          </cell>
        </row>
        <row r="2275">
          <cell r="C2275" t="str">
            <v>764-2025</v>
          </cell>
          <cell r="D2275">
            <v>4730000</v>
          </cell>
        </row>
        <row r="2276">
          <cell r="C2276" t="str">
            <v>769-2025</v>
          </cell>
          <cell r="D2276">
            <v>4730000</v>
          </cell>
        </row>
        <row r="2277">
          <cell r="C2277" t="str">
            <v>948-2025</v>
          </cell>
          <cell r="D2277">
            <v>4730000</v>
          </cell>
        </row>
        <row r="2278">
          <cell r="C2278" t="str">
            <v>739-2025</v>
          </cell>
          <cell r="D2278">
            <v>3626333</v>
          </cell>
        </row>
        <row r="2279">
          <cell r="C2279" t="str">
            <v>865-2025</v>
          </cell>
          <cell r="D2279">
            <v>6300000</v>
          </cell>
        </row>
        <row r="2280">
          <cell r="C2280" t="str">
            <v>837-2025</v>
          </cell>
          <cell r="D2280">
            <v>3150000</v>
          </cell>
        </row>
        <row r="2281">
          <cell r="C2281" t="str">
            <v>808-2025</v>
          </cell>
          <cell r="D2281">
            <v>7800000</v>
          </cell>
        </row>
        <row r="2282">
          <cell r="C2282" t="str">
            <v>760-2025</v>
          </cell>
          <cell r="D2282">
            <v>6300000</v>
          </cell>
        </row>
        <row r="2283">
          <cell r="C2283" t="str">
            <v>765-2025</v>
          </cell>
          <cell r="D2283">
            <v>3150000</v>
          </cell>
        </row>
        <row r="2284">
          <cell r="C2284" t="str">
            <v>966-2025</v>
          </cell>
          <cell r="D2284">
            <v>4730000</v>
          </cell>
        </row>
        <row r="2285">
          <cell r="C2285" t="str">
            <v>945-2025</v>
          </cell>
          <cell r="D2285">
            <v>6300000</v>
          </cell>
        </row>
        <row r="2286">
          <cell r="C2286" t="str">
            <v>899-2025</v>
          </cell>
          <cell r="D2286">
            <v>3150000</v>
          </cell>
        </row>
        <row r="2287">
          <cell r="C2287" t="str">
            <v>908-2025</v>
          </cell>
          <cell r="D2287">
            <v>6300000</v>
          </cell>
        </row>
        <row r="2288">
          <cell r="C2288" t="str">
            <v>905-2025</v>
          </cell>
          <cell r="D2288">
            <v>7800000</v>
          </cell>
        </row>
        <row r="2289">
          <cell r="C2289" t="str">
            <v>910-2025</v>
          </cell>
          <cell r="D2289">
            <v>6300000</v>
          </cell>
        </row>
        <row r="2290">
          <cell r="C2290" t="str">
            <v>921-2025</v>
          </cell>
          <cell r="D2290">
            <v>6300000</v>
          </cell>
        </row>
        <row r="2291">
          <cell r="C2291" t="str">
            <v>833-2025</v>
          </cell>
          <cell r="D2291">
            <v>7800000</v>
          </cell>
        </row>
        <row r="2292">
          <cell r="C2292" t="str">
            <v>917-2025</v>
          </cell>
          <cell r="D2292">
            <v>3150000</v>
          </cell>
        </row>
        <row r="2293">
          <cell r="C2293" t="str">
            <v>759-2025</v>
          </cell>
          <cell r="D2293">
            <v>3150000</v>
          </cell>
        </row>
        <row r="2294">
          <cell r="C2294" t="str">
            <v>745-2025</v>
          </cell>
          <cell r="D2294">
            <v>4730000</v>
          </cell>
        </row>
        <row r="2295">
          <cell r="C2295" t="str">
            <v>928-2025</v>
          </cell>
          <cell r="D2295">
            <v>3150000</v>
          </cell>
        </row>
        <row r="2296">
          <cell r="C2296" t="str">
            <v>1041-2025</v>
          </cell>
          <cell r="D2296">
            <v>53230000</v>
          </cell>
        </row>
        <row r="2297">
          <cell r="C2297" t="str">
            <v>874-2025</v>
          </cell>
          <cell r="D2297">
            <v>233136040</v>
          </cell>
        </row>
        <row r="2298">
          <cell r="C2298" t="str">
            <v>1055-2025</v>
          </cell>
          <cell r="D2298">
            <v>1575000</v>
          </cell>
        </row>
        <row r="2299">
          <cell r="C2299" t="str">
            <v>953-2025</v>
          </cell>
          <cell r="D2299">
            <v>4730000</v>
          </cell>
        </row>
        <row r="2300">
          <cell r="C2300" t="str">
            <v>1004-2025</v>
          </cell>
          <cell r="D2300">
            <v>2000000</v>
          </cell>
        </row>
        <row r="2301">
          <cell r="C2301" t="str">
            <v>1064-2025</v>
          </cell>
          <cell r="D2301">
            <v>1575000</v>
          </cell>
        </row>
        <row r="2302">
          <cell r="C2302" t="str">
            <v>812-2025</v>
          </cell>
          <cell r="D2302">
            <v>3150000</v>
          </cell>
        </row>
        <row r="2303">
          <cell r="C2303" t="str">
            <v>982-2025</v>
          </cell>
          <cell r="D2303">
            <v>3150000</v>
          </cell>
        </row>
        <row r="2304">
          <cell r="C2304" t="str">
            <v>1040-2025</v>
          </cell>
          <cell r="D2304">
            <v>3900000</v>
          </cell>
        </row>
        <row r="2305">
          <cell r="C2305" t="str">
            <v>781-2025</v>
          </cell>
          <cell r="D2305">
            <v>6300000</v>
          </cell>
        </row>
        <row r="2306">
          <cell r="C2306" t="str">
            <v>751-2025</v>
          </cell>
          <cell r="D2306">
            <v>6300000</v>
          </cell>
        </row>
        <row r="2307">
          <cell r="C2307" t="str">
            <v>999-2025</v>
          </cell>
          <cell r="D2307">
            <v>2000000</v>
          </cell>
        </row>
        <row r="2308">
          <cell r="C2308" t="str">
            <v>977-2025</v>
          </cell>
          <cell r="D2308">
            <v>3150000</v>
          </cell>
        </row>
        <row r="2309">
          <cell r="C2309" t="str">
            <v>872-2025</v>
          </cell>
          <cell r="D2309">
            <v>3150000</v>
          </cell>
        </row>
        <row r="2310">
          <cell r="C2310" t="str">
            <v>511-2025</v>
          </cell>
          <cell r="D2310">
            <v>2500000</v>
          </cell>
        </row>
        <row r="2311">
          <cell r="C2311" t="str">
            <v>853-2025</v>
          </cell>
          <cell r="D2311">
            <v>6300000</v>
          </cell>
        </row>
        <row r="2312">
          <cell r="C2312" t="str">
            <v>976-2025</v>
          </cell>
          <cell r="D2312">
            <v>3150000</v>
          </cell>
        </row>
        <row r="2313">
          <cell r="C2313" t="str">
            <v>678-2025</v>
          </cell>
          <cell r="D2313">
            <v>2500000</v>
          </cell>
        </row>
        <row r="2314">
          <cell r="C2314" t="str">
            <v>936-2025</v>
          </cell>
          <cell r="D2314">
            <v>3150000</v>
          </cell>
        </row>
        <row r="2315">
          <cell r="C2315" t="str">
            <v>895-2025</v>
          </cell>
          <cell r="D2315">
            <v>3150000</v>
          </cell>
        </row>
        <row r="2316">
          <cell r="C2316" t="str">
            <v>927-2025</v>
          </cell>
          <cell r="D2316">
            <v>7800000</v>
          </cell>
        </row>
        <row r="2317">
          <cell r="C2317" t="str">
            <v>903-2025</v>
          </cell>
          <cell r="D2317">
            <v>3150000</v>
          </cell>
        </row>
        <row r="2318">
          <cell r="C2318" t="str">
            <v>731-2025</v>
          </cell>
          <cell r="D2318">
            <v>4730000</v>
          </cell>
        </row>
        <row r="2319">
          <cell r="C2319" t="str">
            <v>756-2025</v>
          </cell>
          <cell r="D2319">
            <v>4730000</v>
          </cell>
        </row>
        <row r="2320">
          <cell r="C2320" t="str">
            <v>1033-2025</v>
          </cell>
          <cell r="D2320">
            <v>2000000</v>
          </cell>
        </row>
        <row r="2321">
          <cell r="C2321" t="str">
            <v>834-2025</v>
          </cell>
          <cell r="D2321">
            <v>6300000</v>
          </cell>
        </row>
        <row r="2322">
          <cell r="C2322" t="str">
            <v>952-2025</v>
          </cell>
          <cell r="D2322">
            <v>3150000</v>
          </cell>
        </row>
        <row r="2323">
          <cell r="C2323" t="str">
            <v>1026-2025</v>
          </cell>
          <cell r="D2323">
            <v>2000000</v>
          </cell>
        </row>
        <row r="2324">
          <cell r="C2324" t="str">
            <v>1015-2025</v>
          </cell>
          <cell r="D2324">
            <v>2000000</v>
          </cell>
        </row>
        <row r="2325">
          <cell r="C2325" t="str">
            <v>802-2025</v>
          </cell>
          <cell r="D2325">
            <v>3150000</v>
          </cell>
        </row>
        <row r="2326">
          <cell r="C2326" t="str">
            <v>1022-2025</v>
          </cell>
          <cell r="D2326">
            <v>2000000</v>
          </cell>
        </row>
        <row r="2327">
          <cell r="C2327" t="str">
            <v>951-2025</v>
          </cell>
          <cell r="D2327">
            <v>6300000</v>
          </cell>
        </row>
        <row r="2328">
          <cell r="C2328" t="str">
            <v>1050-2025</v>
          </cell>
          <cell r="D2328">
            <v>1575000</v>
          </cell>
        </row>
        <row r="2329">
          <cell r="C2329" t="str">
            <v>1034-2025</v>
          </cell>
          <cell r="D2329">
            <v>2000000</v>
          </cell>
        </row>
        <row r="2330">
          <cell r="C2330" t="str">
            <v>848-2025</v>
          </cell>
          <cell r="D2330">
            <v>3150000</v>
          </cell>
        </row>
        <row r="2331">
          <cell r="C2331" t="str">
            <v>871-2025</v>
          </cell>
          <cell r="D2331">
            <v>1575000</v>
          </cell>
        </row>
        <row r="2332">
          <cell r="C2332" t="str">
            <v>1076-2025</v>
          </cell>
          <cell r="D2332">
            <v>144437682.74000001</v>
          </cell>
        </row>
        <row r="2333">
          <cell r="C2333" t="str">
            <v>965-2025</v>
          </cell>
          <cell r="D2333">
            <v>3150000</v>
          </cell>
        </row>
        <row r="2334">
          <cell r="C2334" t="str">
            <v>946-2025</v>
          </cell>
          <cell r="D2334">
            <v>4730000</v>
          </cell>
        </row>
        <row r="2335">
          <cell r="C2335" t="str">
            <v>924-2025</v>
          </cell>
          <cell r="D2335">
            <v>3150000</v>
          </cell>
        </row>
        <row r="2336">
          <cell r="C2336" t="str">
            <v>740-2025</v>
          </cell>
          <cell r="D2336">
            <v>4730000</v>
          </cell>
        </row>
        <row r="2337">
          <cell r="C2337" t="str">
            <v>1038-2025</v>
          </cell>
          <cell r="D2337">
            <v>1575000</v>
          </cell>
        </row>
        <row r="2338">
          <cell r="C2338" t="str">
            <v>1042-2025</v>
          </cell>
          <cell r="D2338">
            <v>1575000</v>
          </cell>
        </row>
        <row r="2339">
          <cell r="C2339" t="str">
            <v>1069-2025</v>
          </cell>
          <cell r="D2339">
            <v>1575000</v>
          </cell>
        </row>
        <row r="2340">
          <cell r="C2340" t="str">
            <v>1007-2025</v>
          </cell>
          <cell r="D2340">
            <v>2000000</v>
          </cell>
        </row>
        <row r="2341">
          <cell r="C2341" t="str">
            <v>1031-2025</v>
          </cell>
          <cell r="D2341">
            <v>2000000</v>
          </cell>
        </row>
        <row r="2342">
          <cell r="C2342" t="str">
            <v>963-2025</v>
          </cell>
          <cell r="D2342">
            <v>3150000</v>
          </cell>
        </row>
        <row r="2343">
          <cell r="C2343" t="str">
            <v>930-2025</v>
          </cell>
          <cell r="D2343">
            <v>3150000</v>
          </cell>
        </row>
        <row r="2344">
          <cell r="C2344" t="str">
            <v>1029-2025</v>
          </cell>
          <cell r="D2344">
            <v>3150000</v>
          </cell>
        </row>
        <row r="2345">
          <cell r="C2345" t="str">
            <v>889-2025</v>
          </cell>
          <cell r="D2345">
            <v>4725000</v>
          </cell>
        </row>
        <row r="2346">
          <cell r="C2346" t="str">
            <v>958-2025</v>
          </cell>
          <cell r="D2346">
            <v>3150000</v>
          </cell>
        </row>
        <row r="2347">
          <cell r="C2347" t="str">
            <v>1062-2025</v>
          </cell>
          <cell r="D2347">
            <v>2365000</v>
          </cell>
        </row>
        <row r="2348">
          <cell r="C2348" t="str">
            <v>987-2025</v>
          </cell>
          <cell r="D2348">
            <v>4730000</v>
          </cell>
        </row>
        <row r="2349">
          <cell r="C2349" t="str">
            <v>949-2025</v>
          </cell>
          <cell r="D2349">
            <v>6300000</v>
          </cell>
        </row>
        <row r="2350">
          <cell r="C2350" t="str">
            <v>1013-2025</v>
          </cell>
          <cell r="D2350">
            <v>2000000</v>
          </cell>
        </row>
        <row r="2351">
          <cell r="C2351" t="str">
            <v>938-2025</v>
          </cell>
          <cell r="D2351">
            <v>3150000</v>
          </cell>
        </row>
        <row r="2352">
          <cell r="C2352" t="str">
            <v>998-2025</v>
          </cell>
          <cell r="D2352">
            <v>3150000</v>
          </cell>
        </row>
        <row r="2353">
          <cell r="C2353" t="str">
            <v>1060-2025</v>
          </cell>
          <cell r="D2353">
            <v>1575000</v>
          </cell>
        </row>
        <row r="2354">
          <cell r="C2354" t="str">
            <v>569-2025</v>
          </cell>
          <cell r="D2354">
            <v>2500000</v>
          </cell>
        </row>
        <row r="2355">
          <cell r="C2355" t="str">
            <v>776-2025</v>
          </cell>
          <cell r="D2355">
            <v>4730000</v>
          </cell>
        </row>
        <row r="2356">
          <cell r="C2356" t="str">
            <v>847-2025</v>
          </cell>
          <cell r="D2356">
            <v>4730000</v>
          </cell>
        </row>
        <row r="2357">
          <cell r="C2357" t="str">
            <v>792-2025</v>
          </cell>
          <cell r="D2357">
            <v>4730000</v>
          </cell>
        </row>
        <row r="2358">
          <cell r="C2358" t="str">
            <v>820-2025</v>
          </cell>
          <cell r="D2358">
            <v>3150000</v>
          </cell>
        </row>
        <row r="2359">
          <cell r="C2359" t="str">
            <v>749-2025</v>
          </cell>
          <cell r="D2359">
            <v>4730000</v>
          </cell>
        </row>
        <row r="2360">
          <cell r="C2360" t="str">
            <v>730-2025</v>
          </cell>
          <cell r="D2360">
            <v>4730000</v>
          </cell>
        </row>
        <row r="2361">
          <cell r="C2361" t="str">
            <v>770-2025</v>
          </cell>
          <cell r="D2361">
            <v>4730000</v>
          </cell>
        </row>
        <row r="2362">
          <cell r="C2362" t="str">
            <v>752-2025</v>
          </cell>
          <cell r="D2362">
            <v>4730000</v>
          </cell>
        </row>
        <row r="2363">
          <cell r="C2363" t="str">
            <v>726-2025</v>
          </cell>
          <cell r="D2363">
            <v>4730000</v>
          </cell>
        </row>
        <row r="2364">
          <cell r="C2364" t="str">
            <v>755-2025</v>
          </cell>
          <cell r="D2364">
            <v>7800000</v>
          </cell>
        </row>
        <row r="2365">
          <cell r="C2365" t="str">
            <v>786-2025</v>
          </cell>
          <cell r="D2365">
            <v>7800000</v>
          </cell>
        </row>
        <row r="2366">
          <cell r="C2366" t="str">
            <v>772-2025</v>
          </cell>
          <cell r="D2366">
            <v>7800000</v>
          </cell>
        </row>
        <row r="2367">
          <cell r="C2367" t="str">
            <v>785-2025</v>
          </cell>
          <cell r="D2367">
            <v>6300000</v>
          </cell>
        </row>
        <row r="2368">
          <cell r="C2368" t="str">
            <v>831-2025</v>
          </cell>
          <cell r="D2368">
            <v>7800000</v>
          </cell>
        </row>
        <row r="2369">
          <cell r="C2369" t="str">
            <v>711-2025</v>
          </cell>
          <cell r="D2369">
            <v>7800000</v>
          </cell>
        </row>
        <row r="2370">
          <cell r="C2370" t="str">
            <v>779-2025</v>
          </cell>
          <cell r="D2370">
            <v>7800000</v>
          </cell>
        </row>
        <row r="2371">
          <cell r="C2371" t="str">
            <v>850-2025</v>
          </cell>
          <cell r="D2371">
            <v>6300000</v>
          </cell>
        </row>
        <row r="2372">
          <cell r="C2372" t="str">
            <v>904-2025</v>
          </cell>
          <cell r="D2372">
            <v>6300000</v>
          </cell>
        </row>
        <row r="2373">
          <cell r="C2373" t="str">
            <v>775-2025</v>
          </cell>
          <cell r="D2373">
            <v>6300000</v>
          </cell>
        </row>
        <row r="2374">
          <cell r="C2374" t="str">
            <v>817-2025</v>
          </cell>
          <cell r="D2374">
            <v>6300000</v>
          </cell>
        </row>
        <row r="2375">
          <cell r="C2375" t="str">
            <v>757-2025</v>
          </cell>
          <cell r="D2375">
            <v>6300000</v>
          </cell>
        </row>
        <row r="2376">
          <cell r="C2376" t="str">
            <v>744-2025</v>
          </cell>
          <cell r="D2376">
            <v>7800000</v>
          </cell>
        </row>
        <row r="2377">
          <cell r="C2377" t="str">
            <v>811-2025</v>
          </cell>
          <cell r="D2377">
            <v>3150000</v>
          </cell>
        </row>
        <row r="2378">
          <cell r="C2378" t="str">
            <v>829-2025</v>
          </cell>
          <cell r="D2378">
            <v>3150000</v>
          </cell>
        </row>
        <row r="2379">
          <cell r="C2379" t="str">
            <v>855-2025</v>
          </cell>
          <cell r="D2379">
            <v>3150000</v>
          </cell>
        </row>
        <row r="2380">
          <cell r="C2380" t="str">
            <v>840-2025</v>
          </cell>
          <cell r="D2380">
            <v>3150000</v>
          </cell>
        </row>
        <row r="2381">
          <cell r="C2381" t="str">
            <v>762-2025</v>
          </cell>
          <cell r="D2381">
            <v>7800000</v>
          </cell>
        </row>
        <row r="2382">
          <cell r="C2382" t="str">
            <v>886-2025</v>
          </cell>
          <cell r="D2382">
            <v>3150000</v>
          </cell>
        </row>
        <row r="2383">
          <cell r="C2383" t="str">
            <v>887-2025</v>
          </cell>
          <cell r="D2383">
            <v>3150000</v>
          </cell>
        </row>
        <row r="2384">
          <cell r="C2384" t="str">
            <v>933-2025</v>
          </cell>
          <cell r="D2384">
            <v>4730000</v>
          </cell>
        </row>
        <row r="2385">
          <cell r="C2385" t="str">
            <v>937-2025</v>
          </cell>
          <cell r="D2385">
            <v>4730000</v>
          </cell>
        </row>
        <row r="2386">
          <cell r="C2386" t="str">
            <v>931-2025</v>
          </cell>
          <cell r="D2386">
            <v>6300000</v>
          </cell>
        </row>
        <row r="2387">
          <cell r="C2387" t="str">
            <v>939-2025</v>
          </cell>
          <cell r="D2387">
            <v>3150000</v>
          </cell>
        </row>
        <row r="2388">
          <cell r="C2388" t="str">
            <v>1010-2025</v>
          </cell>
          <cell r="D2388">
            <v>7800000</v>
          </cell>
        </row>
        <row r="2389">
          <cell r="C2389" t="str">
            <v>962-2025</v>
          </cell>
          <cell r="D2389">
            <v>4730000</v>
          </cell>
        </row>
        <row r="2390">
          <cell r="C2390" t="str">
            <v>784-2025</v>
          </cell>
          <cell r="D2390">
            <v>3150000</v>
          </cell>
        </row>
        <row r="2391">
          <cell r="C2391" t="str">
            <v>723-2025</v>
          </cell>
          <cell r="D2391">
            <v>7800000</v>
          </cell>
        </row>
        <row r="2392">
          <cell r="C2392" t="str">
            <v>787-2025</v>
          </cell>
          <cell r="D2392">
            <v>4730000</v>
          </cell>
        </row>
        <row r="2393">
          <cell r="C2393" t="str">
            <v>819-2025</v>
          </cell>
          <cell r="D2393">
            <v>6300000</v>
          </cell>
        </row>
        <row r="2394">
          <cell r="C2394" t="str">
            <v>980-2025</v>
          </cell>
          <cell r="D2394">
            <v>3150000</v>
          </cell>
        </row>
        <row r="2395">
          <cell r="C2395" t="str">
            <v>955-2025</v>
          </cell>
          <cell r="D2395">
            <v>7800000</v>
          </cell>
        </row>
        <row r="2396">
          <cell r="C2396" t="str">
            <v>980-2025</v>
          </cell>
          <cell r="D2396">
            <v>3150000</v>
          </cell>
        </row>
        <row r="2397">
          <cell r="C2397" t="str">
            <v>1063-2025</v>
          </cell>
          <cell r="D2397">
            <v>3150000</v>
          </cell>
        </row>
        <row r="2398">
          <cell r="C2398" t="str">
            <v>714-2025</v>
          </cell>
          <cell r="D2398">
            <v>4730000</v>
          </cell>
        </row>
        <row r="2399">
          <cell r="C2399" t="str">
            <v>449-2025</v>
          </cell>
          <cell r="D2399">
            <v>4825000</v>
          </cell>
        </row>
        <row r="2400">
          <cell r="C2400" t="str">
            <v>696-2025</v>
          </cell>
          <cell r="D2400">
            <v>150342500</v>
          </cell>
        </row>
        <row r="2401">
          <cell r="C2401" t="str">
            <v>1004-2025</v>
          </cell>
          <cell r="D2401">
            <v>2000000</v>
          </cell>
        </row>
        <row r="2402">
          <cell r="C2402" t="str">
            <v>1065-2025</v>
          </cell>
          <cell r="D2402">
            <v>3150000</v>
          </cell>
        </row>
        <row r="2403">
          <cell r="C2403" t="str">
            <v>773-2025</v>
          </cell>
          <cell r="D2403">
            <v>6300000</v>
          </cell>
        </row>
        <row r="2404">
          <cell r="C2404" t="str">
            <v>790-2025</v>
          </cell>
          <cell r="D2404">
            <v>3150000</v>
          </cell>
        </row>
        <row r="2405">
          <cell r="C2405" t="str">
            <v>1107-2025</v>
          </cell>
          <cell r="D2405">
            <v>2000000</v>
          </cell>
        </row>
        <row r="2406">
          <cell r="C2406" t="str">
            <v>1167-2025</v>
          </cell>
          <cell r="D2406">
            <v>3150000</v>
          </cell>
        </row>
        <row r="2407">
          <cell r="C2407" t="str">
            <v>777-2025</v>
          </cell>
          <cell r="D2407">
            <v>3150000</v>
          </cell>
        </row>
        <row r="2408">
          <cell r="C2408" t="str">
            <v>795-2025</v>
          </cell>
          <cell r="D2408">
            <v>3150000</v>
          </cell>
        </row>
        <row r="2409">
          <cell r="C2409" t="str">
            <v>1047-2025</v>
          </cell>
          <cell r="D2409">
            <v>7800000</v>
          </cell>
        </row>
        <row r="2410">
          <cell r="C2410" t="str">
            <v>732-2025</v>
          </cell>
          <cell r="D2410">
            <v>3150000</v>
          </cell>
        </row>
        <row r="2411">
          <cell r="C2411" t="str">
            <v>754-2025</v>
          </cell>
          <cell r="D2411">
            <v>3150000</v>
          </cell>
        </row>
        <row r="2412">
          <cell r="C2412" t="str">
            <v>1067-2025</v>
          </cell>
          <cell r="D2412">
            <v>1575000</v>
          </cell>
        </row>
        <row r="2413">
          <cell r="C2413" t="str">
            <v>1003-2025</v>
          </cell>
          <cell r="D2413">
            <v>2000000</v>
          </cell>
        </row>
        <row r="2414">
          <cell r="C2414" t="str">
            <v>1009-2025</v>
          </cell>
          <cell r="D2414">
            <v>2000000</v>
          </cell>
        </row>
        <row r="2415">
          <cell r="C2415" t="str">
            <v>737-2025</v>
          </cell>
          <cell r="D2415">
            <v>3150000</v>
          </cell>
        </row>
        <row r="2416">
          <cell r="C2416" t="str">
            <v>1164-2025</v>
          </cell>
          <cell r="D2416">
            <v>2000000</v>
          </cell>
        </row>
        <row r="2417">
          <cell r="C2417" t="str">
            <v>953-2025</v>
          </cell>
          <cell r="D2417">
            <v>4730000</v>
          </cell>
        </row>
        <row r="2418">
          <cell r="C2418" t="str">
            <v>877-2025</v>
          </cell>
          <cell r="D2418">
            <v>3150000</v>
          </cell>
        </row>
        <row r="2419">
          <cell r="C2419" t="str">
            <v>982-2025</v>
          </cell>
          <cell r="D2419">
            <v>3150000</v>
          </cell>
        </row>
        <row r="2420">
          <cell r="C2420" t="str">
            <v>1034-2025</v>
          </cell>
          <cell r="D2420">
            <v>2000000</v>
          </cell>
        </row>
        <row r="2421">
          <cell r="C2421" t="str">
            <v>1150-2025</v>
          </cell>
          <cell r="D2421">
            <v>3150000</v>
          </cell>
        </row>
        <row r="2422">
          <cell r="C2422" t="str">
            <v>827-2025</v>
          </cell>
          <cell r="D2422">
            <v>3150000</v>
          </cell>
        </row>
        <row r="2423">
          <cell r="C2423" t="str">
            <v>951-2025</v>
          </cell>
          <cell r="D2423">
            <v>6300000</v>
          </cell>
        </row>
        <row r="2424">
          <cell r="C2424" t="str">
            <v>1112-2025</v>
          </cell>
          <cell r="D2424">
            <v>6300000</v>
          </cell>
        </row>
        <row r="2425">
          <cell r="C2425" t="str">
            <v>1165-2025</v>
          </cell>
          <cell r="D2425">
            <v>3150000</v>
          </cell>
        </row>
        <row r="2426">
          <cell r="C2426" t="str">
            <v>1140-2025</v>
          </cell>
          <cell r="D2426">
            <v>7800000</v>
          </cell>
        </row>
        <row r="2427">
          <cell r="C2427" t="str">
            <v>860-2025</v>
          </cell>
          <cell r="D2427">
            <v>4730000</v>
          </cell>
        </row>
        <row r="2428">
          <cell r="C2428" t="str">
            <v>1040-2025</v>
          </cell>
          <cell r="D2428">
            <v>7800000</v>
          </cell>
        </row>
        <row r="2429">
          <cell r="C2429" t="str">
            <v>1055-2025</v>
          </cell>
          <cell r="D2429">
            <v>3150000</v>
          </cell>
        </row>
        <row r="2430">
          <cell r="C2430" t="str">
            <v>1025-2025</v>
          </cell>
          <cell r="D2430">
            <v>2000000</v>
          </cell>
        </row>
        <row r="2431">
          <cell r="C2431" t="str">
            <v>1050-2025</v>
          </cell>
          <cell r="D2431">
            <v>3150000</v>
          </cell>
        </row>
        <row r="2432">
          <cell r="C2432" t="str">
            <v>1048-2025</v>
          </cell>
          <cell r="D2432">
            <v>3150000</v>
          </cell>
        </row>
        <row r="2433">
          <cell r="C2433" t="str">
            <v>1028-2025</v>
          </cell>
          <cell r="D2433">
            <v>2000000</v>
          </cell>
        </row>
        <row r="2434">
          <cell r="C2434" t="str">
            <v>1058-2025</v>
          </cell>
          <cell r="D2434">
            <v>6300000</v>
          </cell>
        </row>
        <row r="2435">
          <cell r="C2435" t="str">
            <v>838-2025</v>
          </cell>
          <cell r="D2435">
            <v>4730000</v>
          </cell>
        </row>
        <row r="2436">
          <cell r="C2436" t="str">
            <v>804-2025</v>
          </cell>
          <cell r="D2436">
            <v>3150000</v>
          </cell>
        </row>
        <row r="2437">
          <cell r="C2437" t="str">
            <v>797-2025</v>
          </cell>
          <cell r="D2437">
            <v>3150000</v>
          </cell>
        </row>
        <row r="2438">
          <cell r="C2438" t="str">
            <v>837-2025</v>
          </cell>
          <cell r="D2438">
            <v>3150000</v>
          </cell>
        </row>
        <row r="2439">
          <cell r="C2439" t="str">
            <v>760-2025</v>
          </cell>
          <cell r="D2439">
            <v>6300000</v>
          </cell>
        </row>
        <row r="2440">
          <cell r="C2440" t="str">
            <v>927-2025</v>
          </cell>
          <cell r="D2440">
            <v>7800000</v>
          </cell>
        </row>
        <row r="2441">
          <cell r="C2441" t="str">
            <v>767-2025</v>
          </cell>
          <cell r="D2441">
            <v>7800000</v>
          </cell>
        </row>
        <row r="2442">
          <cell r="C2442" t="str">
            <v>948-2025</v>
          </cell>
          <cell r="D2442">
            <v>4730000</v>
          </cell>
        </row>
        <row r="2443">
          <cell r="C2443" t="str">
            <v>1030-2025</v>
          </cell>
          <cell r="D2443">
            <v>2000000</v>
          </cell>
        </row>
        <row r="2444">
          <cell r="C2444" t="str">
            <v>1020-2025</v>
          </cell>
          <cell r="D2444">
            <v>2000000</v>
          </cell>
        </row>
        <row r="2445">
          <cell r="C2445" t="str">
            <v>802-2025</v>
          </cell>
          <cell r="D2445">
            <v>3150000</v>
          </cell>
        </row>
        <row r="2446">
          <cell r="C2446" t="str">
            <v>756-2025</v>
          </cell>
          <cell r="D2446">
            <v>4730000</v>
          </cell>
        </row>
        <row r="2447">
          <cell r="C2447" t="str">
            <v>966-2025</v>
          </cell>
          <cell r="D2447">
            <v>4730000</v>
          </cell>
        </row>
        <row r="2448">
          <cell r="C2448" t="str">
            <v>993-2025</v>
          </cell>
          <cell r="D2448">
            <v>7800000</v>
          </cell>
        </row>
        <row r="2449">
          <cell r="C2449" t="str">
            <v>959-2025</v>
          </cell>
          <cell r="D2449">
            <v>3150000</v>
          </cell>
        </row>
        <row r="2450">
          <cell r="C2450" t="str">
            <v>1151-2025</v>
          </cell>
          <cell r="D2450">
            <v>7800000</v>
          </cell>
        </row>
        <row r="2451">
          <cell r="C2451" t="str">
            <v>934-2025</v>
          </cell>
          <cell r="D2451">
            <v>3150000</v>
          </cell>
        </row>
        <row r="2452">
          <cell r="C2452" t="str">
            <v>1099-2025</v>
          </cell>
          <cell r="D2452">
            <v>3150000</v>
          </cell>
        </row>
        <row r="2453">
          <cell r="C2453" t="str">
            <v>769-2025</v>
          </cell>
          <cell r="D2453">
            <v>4730000</v>
          </cell>
        </row>
        <row r="2454">
          <cell r="C2454" t="str">
            <v>865-2025</v>
          </cell>
          <cell r="D2454">
            <v>6300000</v>
          </cell>
        </row>
        <row r="2455">
          <cell r="C2455" t="str">
            <v>781-2025</v>
          </cell>
          <cell r="D2455">
            <v>6300000</v>
          </cell>
        </row>
        <row r="2456">
          <cell r="C2456" t="str">
            <v>1124-2025</v>
          </cell>
          <cell r="D2456">
            <v>3150000</v>
          </cell>
        </row>
        <row r="2457">
          <cell r="C2457" t="str">
            <v>1022-2025</v>
          </cell>
          <cell r="D2457">
            <v>2000000</v>
          </cell>
        </row>
        <row r="2458">
          <cell r="C2458" t="str">
            <v>895-2025</v>
          </cell>
          <cell r="D2458">
            <v>3150000</v>
          </cell>
        </row>
        <row r="2459">
          <cell r="C2459" t="str">
            <v>1000-2025</v>
          </cell>
          <cell r="D2459">
            <v>2000000</v>
          </cell>
        </row>
        <row r="2460">
          <cell r="C2460" t="str">
            <v>901-2025</v>
          </cell>
          <cell r="D2460">
            <v>3150000</v>
          </cell>
        </row>
        <row r="2461">
          <cell r="C2461" t="str">
            <v>968-2025</v>
          </cell>
          <cell r="D2461">
            <v>4730000</v>
          </cell>
        </row>
        <row r="2462">
          <cell r="C2462" t="str">
            <v>1064-2025</v>
          </cell>
          <cell r="D2462">
            <v>3150000</v>
          </cell>
        </row>
        <row r="2463">
          <cell r="C2463" t="str">
            <v>1095-2025</v>
          </cell>
          <cell r="D2463">
            <v>3150000</v>
          </cell>
        </row>
        <row r="2464">
          <cell r="C2464" t="str">
            <v>903-2025</v>
          </cell>
          <cell r="D2464">
            <v>3150000</v>
          </cell>
        </row>
        <row r="2465">
          <cell r="C2465" t="str">
            <v>1185-2025</v>
          </cell>
          <cell r="D2465">
            <v>1575000</v>
          </cell>
        </row>
        <row r="2466">
          <cell r="C2466" t="str">
            <v>706-2025</v>
          </cell>
          <cell r="D2466">
            <v>7800000</v>
          </cell>
        </row>
        <row r="2467">
          <cell r="C2467" t="str">
            <v>1143-2025</v>
          </cell>
          <cell r="D2467">
            <v>3150000</v>
          </cell>
        </row>
        <row r="2468">
          <cell r="C2468" t="str">
            <v>1033-2025</v>
          </cell>
          <cell r="D2468">
            <v>2000000</v>
          </cell>
        </row>
        <row r="2469">
          <cell r="C2469" t="str">
            <v>1086-2025</v>
          </cell>
          <cell r="D2469">
            <v>3150000</v>
          </cell>
        </row>
        <row r="2470">
          <cell r="C2470" t="str">
            <v>789-2025</v>
          </cell>
          <cell r="D2470">
            <v>6300000</v>
          </cell>
        </row>
        <row r="2471">
          <cell r="C2471" t="str">
            <v>923-2025</v>
          </cell>
          <cell r="D2471">
            <v>3150000</v>
          </cell>
        </row>
        <row r="2472">
          <cell r="C2472" t="str">
            <v>751-2025</v>
          </cell>
          <cell r="D2472">
            <v>2240000</v>
          </cell>
        </row>
        <row r="2473">
          <cell r="C2473" t="str">
            <v>765-2025</v>
          </cell>
          <cell r="D2473">
            <v>3150000</v>
          </cell>
        </row>
        <row r="2474">
          <cell r="C2474" t="str">
            <v>1106-2025</v>
          </cell>
          <cell r="D2474">
            <v>3150000</v>
          </cell>
        </row>
        <row r="2475">
          <cell r="C2475" t="str">
            <v>1097-2025</v>
          </cell>
          <cell r="D2475">
            <v>3150000</v>
          </cell>
        </row>
        <row r="2476">
          <cell r="C2476" t="str">
            <v>849-2025</v>
          </cell>
          <cell r="D2476">
            <v>3150000</v>
          </cell>
        </row>
        <row r="2477">
          <cell r="C2477" t="str">
            <v>907-2025</v>
          </cell>
          <cell r="D2477">
            <v>3150000</v>
          </cell>
        </row>
        <row r="2478">
          <cell r="C2478" t="str">
            <v>1122-2025</v>
          </cell>
          <cell r="D2478">
            <v>7800000</v>
          </cell>
        </row>
        <row r="2479">
          <cell r="C2479" t="str">
            <v>1142-2025</v>
          </cell>
          <cell r="D2479">
            <v>3150000</v>
          </cell>
        </row>
        <row r="2480">
          <cell r="C2480" t="str">
            <v>898-2025</v>
          </cell>
          <cell r="D2480">
            <v>6300000</v>
          </cell>
        </row>
        <row r="2481">
          <cell r="C2481" t="str">
            <v>763-2025</v>
          </cell>
          <cell r="D2481">
            <v>6300000</v>
          </cell>
        </row>
        <row r="2482">
          <cell r="C2482" t="str">
            <v>1115-2025</v>
          </cell>
          <cell r="D2482">
            <v>7800000</v>
          </cell>
        </row>
        <row r="2483">
          <cell r="C2483" t="str">
            <v>1133-2025</v>
          </cell>
          <cell r="D2483">
            <v>2000000</v>
          </cell>
        </row>
        <row r="2484">
          <cell r="C2484" t="str">
            <v>1026-2025</v>
          </cell>
          <cell r="D2484">
            <v>2000000</v>
          </cell>
        </row>
        <row r="2485">
          <cell r="C2485" t="str">
            <v>1198-2025</v>
          </cell>
          <cell r="D2485">
            <v>1050000</v>
          </cell>
        </row>
        <row r="2486">
          <cell r="C2486" t="str">
            <v>821-2025</v>
          </cell>
          <cell r="D2486">
            <v>3150000</v>
          </cell>
        </row>
        <row r="2487">
          <cell r="C2487" t="str">
            <v>876-2025</v>
          </cell>
          <cell r="D2487">
            <v>3150000</v>
          </cell>
        </row>
        <row r="2488">
          <cell r="C2488" t="str">
            <v>1114-2025</v>
          </cell>
          <cell r="D2488">
            <v>3150000</v>
          </cell>
        </row>
        <row r="2489">
          <cell r="C2489" t="str">
            <v>1104-2025</v>
          </cell>
          <cell r="D2489">
            <v>2000000</v>
          </cell>
        </row>
        <row r="2490">
          <cell r="C2490" t="str">
            <v>1155-2025</v>
          </cell>
          <cell r="D2490">
            <v>3150000</v>
          </cell>
        </row>
        <row r="2491">
          <cell r="C2491" t="str">
            <v>1197-2025</v>
          </cell>
          <cell r="D2491">
            <v>1050000</v>
          </cell>
        </row>
        <row r="2492">
          <cell r="C2492" t="str">
            <v>970-2025</v>
          </cell>
          <cell r="D2492">
            <v>4730000</v>
          </cell>
        </row>
        <row r="2493">
          <cell r="C2493" t="str">
            <v>1125-2025</v>
          </cell>
          <cell r="D2493">
            <v>3150000</v>
          </cell>
        </row>
        <row r="2494">
          <cell r="C2494" t="str">
            <v>1015-2025</v>
          </cell>
          <cell r="D2494">
            <v>2000000</v>
          </cell>
        </row>
        <row r="2495">
          <cell r="C2495" t="str">
            <v>764-2025</v>
          </cell>
          <cell r="D2495">
            <v>4730000</v>
          </cell>
        </row>
        <row r="2496">
          <cell r="C2496" t="str">
            <v>731-2025</v>
          </cell>
          <cell r="D2496">
            <v>4730000</v>
          </cell>
        </row>
        <row r="2497">
          <cell r="C2497" t="str">
            <v>947-2025</v>
          </cell>
          <cell r="D2497">
            <v>3150000</v>
          </cell>
        </row>
        <row r="2498">
          <cell r="C2498" t="str">
            <v>919-2025</v>
          </cell>
          <cell r="D2498">
            <v>3150000</v>
          </cell>
        </row>
        <row r="2499">
          <cell r="C2499" t="str">
            <v>808-2025</v>
          </cell>
          <cell r="D2499">
            <v>7800000</v>
          </cell>
        </row>
        <row r="2500">
          <cell r="C2500" t="str">
            <v>868-2025</v>
          </cell>
          <cell r="D2500">
            <v>7800000</v>
          </cell>
        </row>
        <row r="2501">
          <cell r="C2501" t="str">
            <v>812-2025</v>
          </cell>
          <cell r="D2501">
            <v>3150000</v>
          </cell>
        </row>
        <row r="2502">
          <cell r="C2502" t="str">
            <v>1126-2025</v>
          </cell>
          <cell r="D2502">
            <v>3150000</v>
          </cell>
        </row>
        <row r="2503">
          <cell r="C2503" t="str">
            <v>1149-2025</v>
          </cell>
          <cell r="D2503">
            <v>2000000</v>
          </cell>
        </row>
        <row r="2504">
          <cell r="C2504" t="str">
            <v>741-2025</v>
          </cell>
          <cell r="D2504">
            <v>6300000</v>
          </cell>
        </row>
        <row r="2505">
          <cell r="C2505" t="str">
            <v>1113-2025</v>
          </cell>
          <cell r="D2505">
            <v>2000000</v>
          </cell>
        </row>
        <row r="2506">
          <cell r="C2506" t="str">
            <v>869-2025</v>
          </cell>
          <cell r="D2506">
            <v>3150000</v>
          </cell>
        </row>
        <row r="2507">
          <cell r="C2507" t="str">
            <v>739-2025</v>
          </cell>
          <cell r="D2507">
            <v>4730000</v>
          </cell>
        </row>
        <row r="2508">
          <cell r="C2508" t="str">
            <v>1184-2025</v>
          </cell>
          <cell r="D2508">
            <v>1575000</v>
          </cell>
        </row>
        <row r="2509">
          <cell r="C2509" t="str">
            <v>1016-2025</v>
          </cell>
          <cell r="D2509">
            <v>265680000</v>
          </cell>
        </row>
        <row r="2510">
          <cell r="C2510" t="str">
            <v>1017-2025</v>
          </cell>
          <cell r="D2510">
            <v>144210000</v>
          </cell>
        </row>
        <row r="2511">
          <cell r="C2511" t="str">
            <v>931-2025</v>
          </cell>
          <cell r="D2511">
            <v>6300000</v>
          </cell>
        </row>
        <row r="2512">
          <cell r="C2512" t="str">
            <v>939-2025</v>
          </cell>
          <cell r="D2512">
            <v>3150000</v>
          </cell>
        </row>
        <row r="2513">
          <cell r="C2513" t="str">
            <v>1007-2025</v>
          </cell>
          <cell r="D2513">
            <v>2000000</v>
          </cell>
        </row>
        <row r="2514">
          <cell r="C2514" t="str">
            <v>1013-2025</v>
          </cell>
          <cell r="D2514">
            <v>2000000</v>
          </cell>
        </row>
        <row r="2515">
          <cell r="C2515" t="str">
            <v>949-2025</v>
          </cell>
          <cell r="D2515">
            <v>6300000</v>
          </cell>
        </row>
        <row r="2516">
          <cell r="C2516" t="str">
            <v>987-2025</v>
          </cell>
          <cell r="D2516">
            <v>4730000</v>
          </cell>
        </row>
        <row r="2517">
          <cell r="C2517" t="str">
            <v>1084-2025</v>
          </cell>
          <cell r="D2517">
            <v>3150000</v>
          </cell>
        </row>
        <row r="2518">
          <cell r="C2518" t="str">
            <v>1100-2025</v>
          </cell>
          <cell r="D2518">
            <v>3150000</v>
          </cell>
        </row>
        <row r="2519">
          <cell r="C2519" t="str">
            <v>1119-2025</v>
          </cell>
          <cell r="D2519">
            <v>3150000</v>
          </cell>
        </row>
        <row r="2520">
          <cell r="C2520" t="str">
            <v>1128-2025</v>
          </cell>
          <cell r="D2520">
            <v>3150000</v>
          </cell>
        </row>
        <row r="2521">
          <cell r="C2521" t="str">
            <v>1139-2025</v>
          </cell>
          <cell r="D2521">
            <v>3150000</v>
          </cell>
        </row>
        <row r="2522">
          <cell r="C2522" t="str">
            <v>1066-2025</v>
          </cell>
          <cell r="D2522">
            <v>6300000</v>
          </cell>
        </row>
        <row r="2523">
          <cell r="C2523" t="str">
            <v>807-2025</v>
          </cell>
          <cell r="D2523">
            <v>7800000</v>
          </cell>
        </row>
        <row r="2524">
          <cell r="C2524" t="str">
            <v>992-2025</v>
          </cell>
          <cell r="D2524">
            <v>6300000</v>
          </cell>
        </row>
        <row r="2525">
          <cell r="C2525" t="str">
            <v>1053-2025</v>
          </cell>
          <cell r="D2525">
            <v>7800000</v>
          </cell>
        </row>
        <row r="2526">
          <cell r="C2526" t="str">
            <v>1160-2025</v>
          </cell>
          <cell r="D2526">
            <v>3150000</v>
          </cell>
        </row>
        <row r="2527">
          <cell r="C2527" t="str">
            <v>1061-2025</v>
          </cell>
          <cell r="D2527">
            <v>3150000</v>
          </cell>
        </row>
        <row r="2528">
          <cell r="C2528" t="str">
            <v>1145-2025</v>
          </cell>
          <cell r="D2528">
            <v>3150000</v>
          </cell>
        </row>
        <row r="2529">
          <cell r="C2529" t="str">
            <v>920-2025</v>
          </cell>
          <cell r="D2529">
            <v>4200000</v>
          </cell>
        </row>
        <row r="2530">
          <cell r="C2530" t="str">
            <v>1049-2025</v>
          </cell>
          <cell r="D2530">
            <v>3150000</v>
          </cell>
        </row>
        <row r="2531">
          <cell r="C2531" t="str">
            <v>1067-2025</v>
          </cell>
          <cell r="D2531">
            <v>3150000</v>
          </cell>
        </row>
        <row r="2532">
          <cell r="C2532" t="str">
            <v>944-2025</v>
          </cell>
          <cell r="D2532">
            <v>15600000</v>
          </cell>
        </row>
        <row r="2533">
          <cell r="C2533" t="str">
            <v>822-2025</v>
          </cell>
          <cell r="D2533">
            <v>7800000</v>
          </cell>
        </row>
        <row r="2534">
          <cell r="C2534" t="str">
            <v>894-2025</v>
          </cell>
          <cell r="D2534">
            <v>3150000</v>
          </cell>
        </row>
        <row r="2535">
          <cell r="C2535" t="str">
            <v>854-2025</v>
          </cell>
          <cell r="D2535">
            <v>3150000</v>
          </cell>
        </row>
        <row r="2536">
          <cell r="C2536" t="str">
            <v>810-2025</v>
          </cell>
          <cell r="D2536">
            <v>3150000</v>
          </cell>
        </row>
        <row r="2537">
          <cell r="C2537" t="str">
            <v>830-2025</v>
          </cell>
          <cell r="D2537">
            <v>3150000</v>
          </cell>
        </row>
        <row r="2538">
          <cell r="C2538" t="str">
            <v>925-2025</v>
          </cell>
          <cell r="D2538">
            <v>3150000</v>
          </cell>
        </row>
        <row r="2539">
          <cell r="C2539" t="str">
            <v>826-2025</v>
          </cell>
          <cell r="D2539">
            <v>3150000</v>
          </cell>
        </row>
        <row r="2540">
          <cell r="C2540" t="str">
            <v>834-2025</v>
          </cell>
          <cell r="D2540">
            <v>6300000</v>
          </cell>
        </row>
        <row r="2541">
          <cell r="C2541" t="str">
            <v>1021-2025</v>
          </cell>
          <cell r="D2541">
            <v>2000000</v>
          </cell>
        </row>
        <row r="2542">
          <cell r="C2542" t="str">
            <v>1101-2025</v>
          </cell>
          <cell r="D2542">
            <v>2000000</v>
          </cell>
        </row>
        <row r="2543">
          <cell r="C2543" t="str">
            <v>782-2025</v>
          </cell>
          <cell r="D2543">
            <v>3150000</v>
          </cell>
        </row>
        <row r="2544">
          <cell r="C2544" t="str">
            <v>806-2025</v>
          </cell>
          <cell r="D2544">
            <v>3150000</v>
          </cell>
        </row>
        <row r="2545">
          <cell r="C2545" t="str">
            <v>798-2025</v>
          </cell>
          <cell r="D2545">
            <v>3150000</v>
          </cell>
        </row>
        <row r="2546">
          <cell r="C2546" t="str">
            <v>883-2025</v>
          </cell>
          <cell r="D2546">
            <v>3150000</v>
          </cell>
        </row>
        <row r="2547">
          <cell r="C2547" t="str">
            <v>1148-2025</v>
          </cell>
          <cell r="D2547">
            <v>7800000</v>
          </cell>
        </row>
        <row r="2548">
          <cell r="C2548" t="str">
            <v>803-2025</v>
          </cell>
          <cell r="D2548">
            <v>3150000</v>
          </cell>
        </row>
        <row r="2549">
          <cell r="C2549" t="str">
            <v>926-2025</v>
          </cell>
          <cell r="D2549">
            <v>3150000</v>
          </cell>
        </row>
        <row r="2550">
          <cell r="C2550" t="str">
            <v>813-2025</v>
          </cell>
          <cell r="D2550">
            <v>3150000</v>
          </cell>
        </row>
        <row r="2551">
          <cell r="C2551" t="str">
            <v>783-2025</v>
          </cell>
          <cell r="D2551">
            <v>3150000</v>
          </cell>
        </row>
        <row r="2552">
          <cell r="C2552" t="str">
            <v>846-2025</v>
          </cell>
          <cell r="D2552">
            <v>3150000</v>
          </cell>
        </row>
        <row r="2553">
          <cell r="C2553" t="str">
            <v>1111-2025</v>
          </cell>
          <cell r="D2553">
            <v>2000000</v>
          </cell>
        </row>
        <row r="2554">
          <cell r="C2554" t="str">
            <v>859-2025</v>
          </cell>
          <cell r="D2554">
            <v>3150000</v>
          </cell>
        </row>
        <row r="2555">
          <cell r="C2555" t="str">
            <v>842-2025</v>
          </cell>
          <cell r="D2555">
            <v>3150000</v>
          </cell>
        </row>
        <row r="2556">
          <cell r="C2556" t="str">
            <v>976-2025</v>
          </cell>
          <cell r="D2556">
            <v>3150000</v>
          </cell>
        </row>
        <row r="2557">
          <cell r="C2557" t="str">
            <v>864-2025</v>
          </cell>
          <cell r="D2557">
            <v>3150000</v>
          </cell>
        </row>
        <row r="2558">
          <cell r="C2558" t="str">
            <v>766-2025</v>
          </cell>
          <cell r="D2558">
            <v>4730000</v>
          </cell>
        </row>
        <row r="2559">
          <cell r="C2559" t="str">
            <v>776-2025</v>
          </cell>
          <cell r="D2559">
            <v>4730000</v>
          </cell>
        </row>
        <row r="2560">
          <cell r="C2560" t="str">
            <v>851-2025</v>
          </cell>
          <cell r="D2560">
            <v>3150000</v>
          </cell>
        </row>
        <row r="2561">
          <cell r="C2561" t="str">
            <v>1039-2025</v>
          </cell>
          <cell r="D2561">
            <v>2000000</v>
          </cell>
        </row>
        <row r="2562">
          <cell r="C2562" t="str">
            <v>1032-2025</v>
          </cell>
          <cell r="D2562">
            <v>2000000</v>
          </cell>
        </row>
        <row r="2563">
          <cell r="C2563" t="str">
            <v>1029-2025</v>
          </cell>
          <cell r="D2563">
            <v>3150000</v>
          </cell>
        </row>
        <row r="2564">
          <cell r="C2564" t="str">
            <v>1060-2025</v>
          </cell>
          <cell r="D2564">
            <v>3150000</v>
          </cell>
        </row>
        <row r="2565">
          <cell r="C2565" t="str">
            <v>824-2025</v>
          </cell>
          <cell r="D2565">
            <v>3150000</v>
          </cell>
        </row>
        <row r="2566">
          <cell r="C2566" t="str">
            <v>921-2025</v>
          </cell>
          <cell r="D2566">
            <v>6300000</v>
          </cell>
        </row>
        <row r="2567">
          <cell r="C2567" t="str">
            <v>930-2025</v>
          </cell>
          <cell r="D2567">
            <v>6300000</v>
          </cell>
        </row>
        <row r="2568">
          <cell r="C2568" t="str">
            <v>917-2025</v>
          </cell>
          <cell r="D2568">
            <v>3150000</v>
          </cell>
        </row>
        <row r="2569">
          <cell r="C2569" t="str">
            <v>1098-2025</v>
          </cell>
          <cell r="D2569">
            <v>2000000</v>
          </cell>
        </row>
        <row r="2570">
          <cell r="C2570" t="str">
            <v>1043-2025</v>
          </cell>
          <cell r="D2570">
            <v>3150000</v>
          </cell>
        </row>
        <row r="2571">
          <cell r="C2571" t="str">
            <v>816-2025</v>
          </cell>
          <cell r="D2571">
            <v>3150000</v>
          </cell>
        </row>
        <row r="2572">
          <cell r="C2572" t="str">
            <v>847-2025</v>
          </cell>
          <cell r="D2572">
            <v>4730000</v>
          </cell>
        </row>
        <row r="2573">
          <cell r="C2573" t="str">
            <v>862-2025</v>
          </cell>
          <cell r="D2573">
            <v>6300000</v>
          </cell>
        </row>
        <row r="2574">
          <cell r="C2574" t="str">
            <v>843-2025</v>
          </cell>
          <cell r="D2574">
            <v>6300000</v>
          </cell>
        </row>
        <row r="2575">
          <cell r="C2575" t="str">
            <v>841-2025</v>
          </cell>
          <cell r="D2575">
            <v>3150000</v>
          </cell>
        </row>
        <row r="2576">
          <cell r="C2576" t="str">
            <v>747-2025</v>
          </cell>
          <cell r="D2576">
            <v>4730000</v>
          </cell>
        </row>
        <row r="2577">
          <cell r="C2577" t="str">
            <v>853-2025</v>
          </cell>
          <cell r="D2577">
            <v>6300000</v>
          </cell>
        </row>
        <row r="2578">
          <cell r="C2578" t="str">
            <v>836-2025</v>
          </cell>
          <cell r="D2578">
            <v>3150000</v>
          </cell>
        </row>
        <row r="2579">
          <cell r="C2579" t="str">
            <v>1027-2025</v>
          </cell>
          <cell r="D2579">
            <v>2000000</v>
          </cell>
        </row>
        <row r="2580">
          <cell r="C2580" t="str">
            <v>873-2025</v>
          </cell>
          <cell r="D2580">
            <v>3150000</v>
          </cell>
        </row>
        <row r="2581">
          <cell r="C2581" t="str">
            <v>977-2025</v>
          </cell>
          <cell r="D2581">
            <v>3150000</v>
          </cell>
        </row>
        <row r="2582">
          <cell r="C2582" t="str">
            <v>743-2025</v>
          </cell>
          <cell r="D2582">
            <v>3150000</v>
          </cell>
        </row>
        <row r="2583">
          <cell r="C2583" t="str">
            <v>1018-2025</v>
          </cell>
          <cell r="D2583">
            <v>263910000</v>
          </cell>
        </row>
        <row r="2584">
          <cell r="C2584" t="str">
            <v>750-2025</v>
          </cell>
          <cell r="D2584">
            <v>7800000</v>
          </cell>
        </row>
        <row r="2585">
          <cell r="C2585" t="str">
            <v>778-2025</v>
          </cell>
          <cell r="D2585">
            <v>6300000</v>
          </cell>
        </row>
        <row r="2586">
          <cell r="C2586" t="str">
            <v>774-2025</v>
          </cell>
          <cell r="D2586">
            <v>3150000</v>
          </cell>
        </row>
        <row r="2587">
          <cell r="C2587" t="str">
            <v>759-2025</v>
          </cell>
          <cell r="D2587">
            <v>3150000</v>
          </cell>
        </row>
        <row r="2588">
          <cell r="C2588" t="str">
            <v>793-2025</v>
          </cell>
          <cell r="D2588">
            <v>3150000</v>
          </cell>
        </row>
        <row r="2589">
          <cell r="C2589" t="str">
            <v>794-2025</v>
          </cell>
          <cell r="D2589">
            <v>3150000</v>
          </cell>
        </row>
        <row r="2590">
          <cell r="C2590" t="str">
            <v>818-2025</v>
          </cell>
          <cell r="D2590">
            <v>4730000</v>
          </cell>
        </row>
        <row r="2591">
          <cell r="C2591" t="str">
            <v>819-2025</v>
          </cell>
          <cell r="D2591">
            <v>6300000</v>
          </cell>
        </row>
        <row r="2592">
          <cell r="C2592" t="str">
            <v>858-2025</v>
          </cell>
          <cell r="D2592">
            <v>4730000</v>
          </cell>
        </row>
        <row r="2593">
          <cell r="C2593" t="str">
            <v>787-2025</v>
          </cell>
          <cell r="D2593">
            <v>4730000</v>
          </cell>
        </row>
        <row r="2594">
          <cell r="C2594" t="str">
            <v>732-2025</v>
          </cell>
          <cell r="D2594">
            <v>3150000</v>
          </cell>
        </row>
        <row r="2595">
          <cell r="C2595" t="str">
            <v>875-2025</v>
          </cell>
          <cell r="D2595">
            <v>7800000</v>
          </cell>
        </row>
        <row r="2596">
          <cell r="C2596" t="str">
            <v>951-2025</v>
          </cell>
          <cell r="D2596">
            <v>6300000</v>
          </cell>
        </row>
        <row r="2597">
          <cell r="C2597" t="str">
            <v>754-2025</v>
          </cell>
          <cell r="D2597">
            <v>3150000</v>
          </cell>
        </row>
        <row r="2598">
          <cell r="C2598" t="str">
            <v>890-2025</v>
          </cell>
          <cell r="D2598">
            <v>6300000</v>
          </cell>
        </row>
        <row r="2599">
          <cell r="C2599" t="str">
            <v>838-2025</v>
          </cell>
          <cell r="D2599">
            <v>4730000</v>
          </cell>
        </row>
        <row r="2600">
          <cell r="C2600" t="str">
            <v>928-2025</v>
          </cell>
          <cell r="D2600">
            <v>3150000</v>
          </cell>
        </row>
        <row r="2601">
          <cell r="C2601" t="str">
            <v>916-2025</v>
          </cell>
          <cell r="D2601">
            <v>3150000</v>
          </cell>
        </row>
        <row r="2602">
          <cell r="C2602" t="str">
            <v>912-2025</v>
          </cell>
          <cell r="D2602">
            <v>3150000</v>
          </cell>
        </row>
        <row r="2603">
          <cell r="C2603" t="str">
            <v>1097-2025</v>
          </cell>
          <cell r="D2603">
            <v>3150000</v>
          </cell>
        </row>
        <row r="2604">
          <cell r="C2604" t="str">
            <v>906-2025</v>
          </cell>
          <cell r="D2604">
            <v>7800000</v>
          </cell>
        </row>
        <row r="2605">
          <cell r="C2605" t="str">
            <v>1055-2025</v>
          </cell>
          <cell r="D2605">
            <v>3150000</v>
          </cell>
        </row>
        <row r="2606">
          <cell r="C2606" t="str">
            <v>929-2025</v>
          </cell>
          <cell r="D2606">
            <v>7800000</v>
          </cell>
        </row>
        <row r="2607">
          <cell r="C2607" t="str">
            <v>1004-2025</v>
          </cell>
          <cell r="D2607">
            <v>2000000</v>
          </cell>
        </row>
        <row r="2608">
          <cell r="C2608" t="str">
            <v>1034-2025</v>
          </cell>
          <cell r="D2608">
            <v>2000000</v>
          </cell>
        </row>
        <row r="2609">
          <cell r="C2609" t="str">
            <v>827-2025</v>
          </cell>
          <cell r="D2609">
            <v>3150000</v>
          </cell>
        </row>
        <row r="2610">
          <cell r="C2610" t="str">
            <v>806-2025</v>
          </cell>
          <cell r="D2610">
            <v>3150000</v>
          </cell>
        </row>
        <row r="2611">
          <cell r="C2611" t="str">
            <v>904-2025</v>
          </cell>
          <cell r="D2611">
            <v>6300000</v>
          </cell>
        </row>
        <row r="2612">
          <cell r="C2612" t="str">
            <v>810-2025</v>
          </cell>
          <cell r="D2612">
            <v>3150000</v>
          </cell>
        </row>
        <row r="2613">
          <cell r="C2613" t="str">
            <v>770-2025</v>
          </cell>
          <cell r="D2613">
            <v>4730000</v>
          </cell>
        </row>
        <row r="2614">
          <cell r="C2614" t="str">
            <v>851-2025</v>
          </cell>
          <cell r="D2614">
            <v>3150000</v>
          </cell>
        </row>
        <row r="2615">
          <cell r="C2615" t="str">
            <v>803-2025</v>
          </cell>
          <cell r="D2615">
            <v>3150000</v>
          </cell>
        </row>
        <row r="2616">
          <cell r="C2616" t="str">
            <v>757-2025</v>
          </cell>
          <cell r="D2616">
            <v>6300000</v>
          </cell>
        </row>
        <row r="2617">
          <cell r="C2617" t="str">
            <v>887-2025</v>
          </cell>
          <cell r="D2617">
            <v>3150000</v>
          </cell>
        </row>
        <row r="2618">
          <cell r="C2618" t="str">
            <v>886-2025</v>
          </cell>
          <cell r="D2618">
            <v>3150000</v>
          </cell>
        </row>
        <row r="2619">
          <cell r="C2619" t="str">
            <v>730-2025</v>
          </cell>
          <cell r="D2619">
            <v>4730000</v>
          </cell>
        </row>
        <row r="2620">
          <cell r="C2620" t="str">
            <v>817-2025</v>
          </cell>
          <cell r="D2620">
            <v>6300000</v>
          </cell>
        </row>
        <row r="2621">
          <cell r="C2621" t="str">
            <v>798-2025</v>
          </cell>
          <cell r="D2621">
            <v>3150000</v>
          </cell>
        </row>
        <row r="2622">
          <cell r="C2622" t="str">
            <v>1111-2025</v>
          </cell>
          <cell r="D2622">
            <v>2000000</v>
          </cell>
        </row>
        <row r="2623">
          <cell r="C2623" t="str">
            <v>977-2025</v>
          </cell>
          <cell r="D2623">
            <v>3150000</v>
          </cell>
        </row>
        <row r="2624">
          <cell r="C2624" t="str">
            <v>1026-2025</v>
          </cell>
          <cell r="D2624">
            <v>2000000</v>
          </cell>
        </row>
        <row r="2625">
          <cell r="C2625" t="str">
            <v>1106-2025</v>
          </cell>
          <cell r="D2625">
            <v>3150000</v>
          </cell>
        </row>
        <row r="2626">
          <cell r="C2626" t="str">
            <v>959-2025</v>
          </cell>
          <cell r="D2626">
            <v>3150000</v>
          </cell>
        </row>
        <row r="2627">
          <cell r="C2627" t="str">
            <v>947-2025</v>
          </cell>
          <cell r="D2627">
            <v>3150000</v>
          </cell>
        </row>
        <row r="2628">
          <cell r="C2628" t="str">
            <v>1126-2025</v>
          </cell>
          <cell r="D2628">
            <v>3150000</v>
          </cell>
        </row>
        <row r="2629">
          <cell r="C2629" t="str">
            <v>1198-2025</v>
          </cell>
          <cell r="D2629">
            <v>3150000</v>
          </cell>
        </row>
        <row r="2630">
          <cell r="C2630" t="str">
            <v>934-2025</v>
          </cell>
          <cell r="D2630">
            <v>3150000</v>
          </cell>
        </row>
        <row r="2631">
          <cell r="C2631" t="str">
            <v>711-2025</v>
          </cell>
          <cell r="D2631">
            <v>7800000</v>
          </cell>
        </row>
        <row r="2632">
          <cell r="C2632" t="str">
            <v>755-2025</v>
          </cell>
          <cell r="D2632">
            <v>7800000</v>
          </cell>
        </row>
        <row r="2633">
          <cell r="C2633" t="str">
            <v>1015-2025</v>
          </cell>
          <cell r="D2633">
            <v>2000000</v>
          </cell>
        </row>
        <row r="2634">
          <cell r="C2634" t="str">
            <v>767-2025</v>
          </cell>
          <cell r="D2634">
            <v>7800000</v>
          </cell>
        </row>
        <row r="2635">
          <cell r="C2635" t="str">
            <v>927-2025</v>
          </cell>
          <cell r="D2635">
            <v>7800000</v>
          </cell>
        </row>
        <row r="2636">
          <cell r="C2636" t="str">
            <v>1159-2025</v>
          </cell>
          <cell r="D2636">
            <v>2000000</v>
          </cell>
        </row>
        <row r="2637">
          <cell r="C2637" t="str">
            <v>1102-2025</v>
          </cell>
          <cell r="D2637">
            <v>3150000</v>
          </cell>
        </row>
        <row r="2638">
          <cell r="C2638" t="str">
            <v>1129-2025</v>
          </cell>
          <cell r="D2638">
            <v>3150000</v>
          </cell>
        </row>
        <row r="2639">
          <cell r="C2639" t="str">
            <v>983-2025</v>
          </cell>
          <cell r="D2639">
            <v>3150000</v>
          </cell>
        </row>
        <row r="2640">
          <cell r="C2640" t="str">
            <v>792-2025</v>
          </cell>
          <cell r="D2640">
            <v>4730000</v>
          </cell>
        </row>
        <row r="2641">
          <cell r="C2641" t="str">
            <v>907-2025</v>
          </cell>
          <cell r="D2641">
            <v>3150000</v>
          </cell>
        </row>
        <row r="2642">
          <cell r="C2642" t="str">
            <v>744-2025</v>
          </cell>
          <cell r="D2642">
            <v>7800000</v>
          </cell>
        </row>
        <row r="2643">
          <cell r="C2643" t="str">
            <v>811-2025</v>
          </cell>
          <cell r="D2643">
            <v>3150000</v>
          </cell>
        </row>
        <row r="2644">
          <cell r="C2644" t="str">
            <v>896-2025</v>
          </cell>
          <cell r="D2644">
            <v>3150000</v>
          </cell>
        </row>
        <row r="2645">
          <cell r="C2645" t="str">
            <v>802-2025</v>
          </cell>
          <cell r="D2645">
            <v>3150000</v>
          </cell>
        </row>
        <row r="2646">
          <cell r="C2646" t="str">
            <v>752-2025</v>
          </cell>
          <cell r="D2646">
            <v>4730000</v>
          </cell>
        </row>
        <row r="2647">
          <cell r="C2647" t="str">
            <v>1185-2025</v>
          </cell>
          <cell r="D2647">
            <v>3150000</v>
          </cell>
        </row>
        <row r="2648">
          <cell r="C2648" t="str">
            <v>894-2025</v>
          </cell>
          <cell r="D2648">
            <v>3150000</v>
          </cell>
        </row>
        <row r="2649">
          <cell r="C2649" t="str">
            <v>901-2025</v>
          </cell>
          <cell r="D2649">
            <v>3150000</v>
          </cell>
        </row>
        <row r="2650">
          <cell r="C2650" t="str">
            <v>1129-2025</v>
          </cell>
          <cell r="D2650">
            <v>3150000</v>
          </cell>
        </row>
        <row r="2651">
          <cell r="C2651" t="str">
            <v>1020-2025</v>
          </cell>
          <cell r="D2651">
            <v>2000000</v>
          </cell>
        </row>
        <row r="2652">
          <cell r="C2652" t="str">
            <v>1133-2025</v>
          </cell>
          <cell r="D2652">
            <v>2000000</v>
          </cell>
        </row>
        <row r="2653">
          <cell r="C2653" t="str">
            <v>983-2025</v>
          </cell>
          <cell r="D2653">
            <v>3150000</v>
          </cell>
        </row>
        <row r="2654">
          <cell r="C2654" t="str">
            <v>1124-2025</v>
          </cell>
          <cell r="D2654">
            <v>3150000</v>
          </cell>
        </row>
        <row r="2655">
          <cell r="C2655" t="str">
            <v>895-2025</v>
          </cell>
          <cell r="D2655">
            <v>3150000</v>
          </cell>
        </row>
        <row r="2656">
          <cell r="C2656" t="str">
            <v>1104-2025</v>
          </cell>
          <cell r="D2656">
            <v>2000000</v>
          </cell>
        </row>
        <row r="2657">
          <cell r="C2657" t="str">
            <v>1142-2025</v>
          </cell>
          <cell r="D2657">
            <v>3150000</v>
          </cell>
        </row>
        <row r="2658">
          <cell r="C2658" t="str">
            <v>763-2025</v>
          </cell>
          <cell r="D2658">
            <v>6300000</v>
          </cell>
        </row>
        <row r="2659">
          <cell r="C2659" t="str">
            <v>1033-2025</v>
          </cell>
          <cell r="D2659">
            <v>2000000</v>
          </cell>
        </row>
        <row r="2660">
          <cell r="C2660" t="str">
            <v>1113-2025</v>
          </cell>
          <cell r="D2660">
            <v>2000000</v>
          </cell>
        </row>
        <row r="2661">
          <cell r="C2661" t="str">
            <v>1095-2025</v>
          </cell>
          <cell r="D2661">
            <v>3150000</v>
          </cell>
        </row>
        <row r="2662">
          <cell r="C2662" t="str">
            <v>1149-2025</v>
          </cell>
          <cell r="D2662">
            <v>2000000</v>
          </cell>
        </row>
        <row r="2663">
          <cell r="C2663" t="str">
            <v>781-2025</v>
          </cell>
          <cell r="D2663">
            <v>6300000</v>
          </cell>
        </row>
        <row r="2664">
          <cell r="C2664" t="str">
            <v>1022-2025</v>
          </cell>
          <cell r="D2664">
            <v>2000000</v>
          </cell>
        </row>
        <row r="2665">
          <cell r="C2665" t="str">
            <v>903-2025</v>
          </cell>
          <cell r="D2665">
            <v>3150000</v>
          </cell>
        </row>
        <row r="2666">
          <cell r="C2666" t="str">
            <v>1125-2025</v>
          </cell>
          <cell r="D2666">
            <v>3150000</v>
          </cell>
        </row>
        <row r="2667">
          <cell r="C2667" t="str">
            <v>780-2025</v>
          </cell>
          <cell r="D2667">
            <v>7800000</v>
          </cell>
        </row>
        <row r="2668">
          <cell r="C2668" t="str">
            <v>869-2025</v>
          </cell>
          <cell r="D2668">
            <v>3150000</v>
          </cell>
        </row>
        <row r="2669">
          <cell r="C2669" t="str">
            <v>898-2025</v>
          </cell>
          <cell r="D2669">
            <v>6300000</v>
          </cell>
        </row>
        <row r="2670">
          <cell r="C2670" t="str">
            <v>1143-2025</v>
          </cell>
          <cell r="D2670">
            <v>3150000</v>
          </cell>
        </row>
        <row r="2671">
          <cell r="C2671" t="str">
            <v>1000-2025</v>
          </cell>
          <cell r="D2671">
            <v>2000000</v>
          </cell>
        </row>
        <row r="2672">
          <cell r="C2672" t="str">
            <v>1030-2025</v>
          </cell>
          <cell r="D2672">
            <v>2000000</v>
          </cell>
        </row>
        <row r="2673">
          <cell r="C2673" t="str">
            <v>837-2025</v>
          </cell>
          <cell r="D2673">
            <v>3150000</v>
          </cell>
        </row>
        <row r="2674">
          <cell r="C2674" t="str">
            <v>1184-2025</v>
          </cell>
          <cell r="D2674">
            <v>3150000</v>
          </cell>
        </row>
        <row r="2675">
          <cell r="C2675" t="str">
            <v>751-2025</v>
          </cell>
          <cell r="D2675">
            <v>6300000</v>
          </cell>
        </row>
        <row r="2676">
          <cell r="C2676" t="str">
            <v>1102-2025</v>
          </cell>
          <cell r="D2676">
            <v>3150000</v>
          </cell>
        </row>
        <row r="2677">
          <cell r="C2677" t="str">
            <v>1086-2025</v>
          </cell>
          <cell r="D2677">
            <v>3150000</v>
          </cell>
        </row>
        <row r="2678">
          <cell r="C2678" t="str">
            <v>1099-2025</v>
          </cell>
          <cell r="D2678">
            <v>3150000</v>
          </cell>
        </row>
        <row r="2679">
          <cell r="C2679" t="str">
            <v>769-2025</v>
          </cell>
          <cell r="D2679">
            <v>4730000</v>
          </cell>
        </row>
        <row r="2680">
          <cell r="C2680" t="str">
            <v>756-2025</v>
          </cell>
          <cell r="D2680">
            <v>4730000</v>
          </cell>
        </row>
        <row r="2681">
          <cell r="C2681" t="str">
            <v>968-2025</v>
          </cell>
          <cell r="D2681">
            <v>4730000</v>
          </cell>
        </row>
        <row r="2682">
          <cell r="C2682" t="str">
            <v>865-2025</v>
          </cell>
          <cell r="D2682">
            <v>6300000</v>
          </cell>
        </row>
        <row r="2683">
          <cell r="C2683" t="str">
            <v>970-2025</v>
          </cell>
          <cell r="D2683">
            <v>4730000</v>
          </cell>
        </row>
        <row r="2684">
          <cell r="C2684" t="str">
            <v>1064-2025</v>
          </cell>
          <cell r="D2684">
            <v>3150000</v>
          </cell>
        </row>
        <row r="2685">
          <cell r="C2685" t="str">
            <v>821-2025</v>
          </cell>
          <cell r="D2685">
            <v>3150000</v>
          </cell>
        </row>
        <row r="2686">
          <cell r="C2686" t="str">
            <v>919-2025</v>
          </cell>
          <cell r="D2686">
            <v>3150000</v>
          </cell>
        </row>
        <row r="2687">
          <cell r="C2687" t="str">
            <v>876-2025</v>
          </cell>
          <cell r="D2687">
            <v>3150000</v>
          </cell>
        </row>
        <row r="2688">
          <cell r="C2688" t="str">
            <v>1155-2025</v>
          </cell>
          <cell r="D2688">
            <v>3150000</v>
          </cell>
        </row>
        <row r="2689">
          <cell r="C2689" t="str">
            <v>1114-2025</v>
          </cell>
          <cell r="D2689">
            <v>3150000</v>
          </cell>
        </row>
        <row r="2690">
          <cell r="C2690" t="str">
            <v>812-2025</v>
          </cell>
          <cell r="D2690">
            <v>3150000</v>
          </cell>
        </row>
        <row r="2691">
          <cell r="C2691" t="str">
            <v>1197-2025</v>
          </cell>
          <cell r="D2691">
            <v>3150000</v>
          </cell>
        </row>
        <row r="2692">
          <cell r="C2692" t="str">
            <v>797-2025</v>
          </cell>
          <cell r="D2692">
            <v>3150000</v>
          </cell>
        </row>
        <row r="2693">
          <cell r="C2693" t="str">
            <v>789-2025</v>
          </cell>
          <cell r="D2693">
            <v>6300000</v>
          </cell>
        </row>
        <row r="2694">
          <cell r="C2694" t="str">
            <v>948-2025</v>
          </cell>
          <cell r="D2694">
            <v>4730000</v>
          </cell>
        </row>
        <row r="2695">
          <cell r="C2695" t="str">
            <v>966-2025</v>
          </cell>
          <cell r="D2695">
            <v>4730000</v>
          </cell>
        </row>
        <row r="2696">
          <cell r="C2696" t="str">
            <v>764-2025</v>
          </cell>
          <cell r="D2696">
            <v>4730000</v>
          </cell>
        </row>
        <row r="2697">
          <cell r="C2697" t="str">
            <v>731-2025</v>
          </cell>
          <cell r="D2697">
            <v>4730000</v>
          </cell>
        </row>
        <row r="2698">
          <cell r="C2698" t="str">
            <v>993-2025</v>
          </cell>
          <cell r="D2698">
            <v>7800000</v>
          </cell>
        </row>
        <row r="2699">
          <cell r="C2699" t="str">
            <v>1122-2025</v>
          </cell>
          <cell r="D2699">
            <v>7800000</v>
          </cell>
        </row>
        <row r="2700">
          <cell r="C2700" t="str">
            <v>741-2025</v>
          </cell>
          <cell r="D2700">
            <v>6300000</v>
          </cell>
        </row>
        <row r="2701">
          <cell r="C2701" t="str">
            <v>1115-2025</v>
          </cell>
          <cell r="D2701">
            <v>7800000</v>
          </cell>
        </row>
        <row r="2702">
          <cell r="C2702" t="str">
            <v>1151-2025</v>
          </cell>
          <cell r="D2702">
            <v>7800000</v>
          </cell>
        </row>
        <row r="2703">
          <cell r="C2703" t="str">
            <v>706-2025</v>
          </cell>
          <cell r="D2703">
            <v>7800000</v>
          </cell>
        </row>
        <row r="2704">
          <cell r="C2704" t="str">
            <v>1088-2025</v>
          </cell>
          <cell r="D2704">
            <v>3150000</v>
          </cell>
        </row>
        <row r="2705">
          <cell r="C2705" t="str">
            <v>1157-2025</v>
          </cell>
          <cell r="D2705">
            <v>2000000</v>
          </cell>
        </row>
        <row r="2706">
          <cell r="C2706" t="str">
            <v>1158-2025</v>
          </cell>
          <cell r="D2706">
            <v>7800000</v>
          </cell>
        </row>
        <row r="2707">
          <cell r="C2707" t="str">
            <v>839-2025</v>
          </cell>
          <cell r="D2707">
            <v>3150000</v>
          </cell>
        </row>
        <row r="2708">
          <cell r="C2708" t="str">
            <v>1062-2025</v>
          </cell>
          <cell r="D2708">
            <v>4730000</v>
          </cell>
        </row>
        <row r="2709">
          <cell r="C2709" t="str">
            <v>899-2025</v>
          </cell>
          <cell r="D2709">
            <v>3150000</v>
          </cell>
        </row>
        <row r="2710">
          <cell r="C2710" t="str">
            <v>1038-2025</v>
          </cell>
          <cell r="D2710">
            <v>3150000</v>
          </cell>
        </row>
        <row r="2711">
          <cell r="C2711" t="str">
            <v>998-2025</v>
          </cell>
          <cell r="D2711">
            <v>1050000</v>
          </cell>
        </row>
        <row r="2712">
          <cell r="C2712" t="str">
            <v>808-2025</v>
          </cell>
          <cell r="D2712">
            <v>7800000</v>
          </cell>
        </row>
        <row r="2713">
          <cell r="C2713" t="str">
            <v>938-2025</v>
          </cell>
          <cell r="D2713">
            <v>3150000</v>
          </cell>
        </row>
        <row r="2714">
          <cell r="C2714" t="str">
            <v>885-2025</v>
          </cell>
          <cell r="D2714">
            <v>3150000</v>
          </cell>
        </row>
        <row r="2715">
          <cell r="C2715" t="str">
            <v>888-2025</v>
          </cell>
          <cell r="D2715">
            <v>7800000</v>
          </cell>
        </row>
        <row r="2716">
          <cell r="C2716" t="str">
            <v>740-2025</v>
          </cell>
          <cell r="D2716">
            <v>4730000</v>
          </cell>
        </row>
        <row r="2717">
          <cell r="C2717" t="str">
            <v>745-2025</v>
          </cell>
          <cell r="D2717">
            <v>4730000</v>
          </cell>
        </row>
        <row r="2718">
          <cell r="C2718" t="str">
            <v>805-2025</v>
          </cell>
          <cell r="D2718">
            <v>6300000</v>
          </cell>
        </row>
        <row r="2719">
          <cell r="C2719" t="str">
            <v>897-2025</v>
          </cell>
          <cell r="D2719">
            <v>3150000</v>
          </cell>
        </row>
        <row r="2720">
          <cell r="C2720" t="str">
            <v>910-2025</v>
          </cell>
          <cell r="D2720">
            <v>6300000</v>
          </cell>
        </row>
        <row r="2721">
          <cell r="C2721" t="str">
            <v>913-2025</v>
          </cell>
          <cell r="D2721">
            <v>7800000</v>
          </cell>
        </row>
        <row r="2722">
          <cell r="C2722" t="str">
            <v>933-2025</v>
          </cell>
          <cell r="D2722">
            <v>4730000</v>
          </cell>
        </row>
        <row r="2723">
          <cell r="C2723" t="str">
            <v>945-2025</v>
          </cell>
          <cell r="D2723">
            <v>6300000</v>
          </cell>
        </row>
        <row r="2724">
          <cell r="C2724" t="str">
            <v>955-2025</v>
          </cell>
          <cell r="D2724">
            <v>7800000</v>
          </cell>
        </row>
        <row r="2725">
          <cell r="C2725" t="str">
            <v>958-2025</v>
          </cell>
          <cell r="D2725">
            <v>3150000</v>
          </cell>
        </row>
        <row r="2726">
          <cell r="C2726" t="str">
            <v>962-2025</v>
          </cell>
          <cell r="D2726">
            <v>4730000</v>
          </cell>
        </row>
        <row r="2727">
          <cell r="C2727" t="str">
            <v>963-2025</v>
          </cell>
          <cell r="D2727">
            <v>3150000</v>
          </cell>
        </row>
        <row r="2728">
          <cell r="C2728" t="str">
            <v>965-2025</v>
          </cell>
          <cell r="D2728">
            <v>3150000</v>
          </cell>
        </row>
        <row r="2729">
          <cell r="C2729" t="str">
            <v>1010-2025</v>
          </cell>
          <cell r="D2729">
            <v>7800000</v>
          </cell>
        </row>
        <row r="2730">
          <cell r="C2730" t="str">
            <v>1069-2025</v>
          </cell>
          <cell r="D2730">
            <v>3150000</v>
          </cell>
        </row>
        <row r="2731">
          <cell r="C2731" t="str">
            <v>1075-2025</v>
          </cell>
          <cell r="D2731">
            <v>3150000</v>
          </cell>
        </row>
        <row r="2732">
          <cell r="C2732" t="str">
            <v>1103-2025</v>
          </cell>
          <cell r="D2732">
            <v>3150000</v>
          </cell>
        </row>
        <row r="2733">
          <cell r="C2733" t="str">
            <v>1105-2025</v>
          </cell>
          <cell r="D2733">
            <v>2000000</v>
          </cell>
        </row>
        <row r="2734">
          <cell r="C2734" t="str">
            <v>1121-2025</v>
          </cell>
          <cell r="D2734">
            <v>4730000</v>
          </cell>
        </row>
        <row r="2735">
          <cell r="C2735" t="str">
            <v>1187-2025</v>
          </cell>
          <cell r="D2735">
            <v>3150000</v>
          </cell>
        </row>
        <row r="2736">
          <cell r="C2736" t="str">
            <v>1194-2025</v>
          </cell>
          <cell r="D2736">
            <v>3150000</v>
          </cell>
        </row>
        <row r="2737">
          <cell r="C2737" t="str">
            <v>768-2025</v>
          </cell>
          <cell r="D2737">
            <v>4730000</v>
          </cell>
        </row>
        <row r="2738">
          <cell r="C2738" t="str">
            <v>833-2025</v>
          </cell>
          <cell r="D2738">
            <v>7800000</v>
          </cell>
        </row>
        <row r="2739">
          <cell r="C2739" t="str">
            <v>815-2025</v>
          </cell>
          <cell r="D2739">
            <v>3150000</v>
          </cell>
        </row>
        <row r="2740">
          <cell r="C2740" t="str">
            <v>872-2025</v>
          </cell>
          <cell r="D2740">
            <v>3150000</v>
          </cell>
        </row>
        <row r="2741">
          <cell r="C2741" t="str">
            <v>909-2025</v>
          </cell>
          <cell r="D2741">
            <v>3150000</v>
          </cell>
        </row>
        <row r="2742">
          <cell r="C2742" t="str">
            <v>773-2025</v>
          </cell>
          <cell r="D2742">
            <v>6300000</v>
          </cell>
        </row>
        <row r="2743">
          <cell r="C2743" t="str">
            <v>848-2025</v>
          </cell>
          <cell r="D2743">
            <v>3150000</v>
          </cell>
        </row>
        <row r="2744">
          <cell r="C2744" t="str">
            <v>723-2025</v>
          </cell>
          <cell r="D2744">
            <v>7800000</v>
          </cell>
        </row>
        <row r="2745">
          <cell r="C2745" t="str">
            <v>1162-2025</v>
          </cell>
          <cell r="D2745">
            <v>6300000</v>
          </cell>
        </row>
        <row r="2746">
          <cell r="C2746" t="str">
            <v>857-2025</v>
          </cell>
          <cell r="D2746">
            <v>3150000</v>
          </cell>
        </row>
        <row r="2747">
          <cell r="C2747" t="str">
            <v>1005-2025</v>
          </cell>
          <cell r="D2747">
            <v>2000000</v>
          </cell>
        </row>
        <row r="2748">
          <cell r="C2748" t="str">
            <v>932-2025</v>
          </cell>
          <cell r="D2748">
            <v>4730000</v>
          </cell>
        </row>
        <row r="2749">
          <cell r="C2749" t="str">
            <v>1108-2025</v>
          </cell>
          <cell r="D2749">
            <v>2000000</v>
          </cell>
        </row>
        <row r="2750">
          <cell r="C2750" t="str">
            <v>784-2025</v>
          </cell>
          <cell r="D2750">
            <v>3150000</v>
          </cell>
        </row>
        <row r="2751">
          <cell r="C2751" t="str">
            <v>1061-2025</v>
          </cell>
          <cell r="D2751">
            <v>3150000</v>
          </cell>
        </row>
        <row r="2752">
          <cell r="C2752" t="str">
            <v>1009-2025</v>
          </cell>
          <cell r="D2752">
            <v>2000000</v>
          </cell>
        </row>
        <row r="2753">
          <cell r="C2753" t="str">
            <v>992-2025</v>
          </cell>
          <cell r="D2753">
            <v>6300000</v>
          </cell>
        </row>
        <row r="2754">
          <cell r="C2754" t="str">
            <v>836-2025</v>
          </cell>
          <cell r="D2754">
            <v>3150000</v>
          </cell>
        </row>
        <row r="2755">
          <cell r="C2755" t="str">
            <v>1139-2025</v>
          </cell>
          <cell r="D2755">
            <v>3150000</v>
          </cell>
        </row>
        <row r="2756">
          <cell r="C2756" t="str">
            <v>791-2025</v>
          </cell>
          <cell r="D2756">
            <v>3150000</v>
          </cell>
        </row>
        <row r="2757">
          <cell r="C2757" t="str">
            <v>842-2025</v>
          </cell>
          <cell r="D2757">
            <v>3150000</v>
          </cell>
        </row>
        <row r="2758">
          <cell r="C2758" t="str">
            <v>980-2025</v>
          </cell>
          <cell r="D2758">
            <v>3150000</v>
          </cell>
        </row>
        <row r="2759">
          <cell r="C2759" t="str">
            <v>999-2025</v>
          </cell>
          <cell r="D2759">
            <v>2000000</v>
          </cell>
        </row>
        <row r="2760">
          <cell r="C2760" t="str">
            <v>843-2025</v>
          </cell>
          <cell r="D2760">
            <v>6300000</v>
          </cell>
        </row>
        <row r="2761">
          <cell r="C2761" t="str">
            <v>783-2025</v>
          </cell>
          <cell r="D2761">
            <v>3150000</v>
          </cell>
        </row>
        <row r="2762">
          <cell r="C2762" t="str">
            <v>991-2025</v>
          </cell>
          <cell r="D2762">
            <v>3150000</v>
          </cell>
        </row>
        <row r="2763">
          <cell r="C2763" t="str">
            <v>761-2025</v>
          </cell>
          <cell r="D2763">
            <v>3150000</v>
          </cell>
        </row>
        <row r="2764">
          <cell r="C2764" t="str">
            <v>925-2025</v>
          </cell>
          <cell r="D2764">
            <v>3150000</v>
          </cell>
        </row>
        <row r="2765">
          <cell r="C2765" t="str">
            <v>859-2025</v>
          </cell>
          <cell r="D2765">
            <v>3150000</v>
          </cell>
        </row>
        <row r="2766">
          <cell r="C2766" t="str">
            <v>826-2025</v>
          </cell>
          <cell r="D2766">
            <v>3150000</v>
          </cell>
        </row>
        <row r="2767">
          <cell r="C2767" t="str">
            <v>853-2025</v>
          </cell>
          <cell r="D2767">
            <v>6300000</v>
          </cell>
        </row>
        <row r="2768">
          <cell r="C2768" t="str">
            <v>862-2025</v>
          </cell>
          <cell r="D2768">
            <v>6300000</v>
          </cell>
        </row>
        <row r="2769">
          <cell r="C2769" t="str">
            <v>847-2025</v>
          </cell>
          <cell r="D2769">
            <v>4730000</v>
          </cell>
        </row>
        <row r="2770">
          <cell r="C2770" t="str">
            <v>936-2025</v>
          </cell>
          <cell r="D2770">
            <v>3150000</v>
          </cell>
        </row>
        <row r="2771">
          <cell r="C2771" t="str">
            <v>747-2025</v>
          </cell>
          <cell r="D2771">
            <v>4730000</v>
          </cell>
        </row>
        <row r="2772">
          <cell r="C2772" t="str">
            <v>748-2025</v>
          </cell>
          <cell r="D2772">
            <v>4730000</v>
          </cell>
        </row>
        <row r="2773">
          <cell r="C2773" t="str">
            <v>873-2025</v>
          </cell>
          <cell r="D2773">
            <v>3150000</v>
          </cell>
        </row>
        <row r="2774">
          <cell r="C2774" t="str">
            <v>1012-2025</v>
          </cell>
          <cell r="D2774">
            <v>6300000</v>
          </cell>
        </row>
        <row r="2775">
          <cell r="C2775" t="str">
            <v>809-2025</v>
          </cell>
          <cell r="D2775">
            <v>3150000</v>
          </cell>
        </row>
        <row r="2776">
          <cell r="C2776" t="str">
            <v>680-2025</v>
          </cell>
          <cell r="D2776">
            <v>3000000</v>
          </cell>
        </row>
        <row r="2777">
          <cell r="C2777" t="str">
            <v>926-2025</v>
          </cell>
          <cell r="D2777">
            <v>3150000</v>
          </cell>
        </row>
        <row r="2778">
          <cell r="C2778" t="str">
            <v>782-2025</v>
          </cell>
          <cell r="D2778">
            <v>3150000</v>
          </cell>
        </row>
        <row r="2779">
          <cell r="C2779" t="str">
            <v>831-2025</v>
          </cell>
          <cell r="D2779">
            <v>7800000</v>
          </cell>
        </row>
        <row r="2780">
          <cell r="C2780" t="str">
            <v>762-2025</v>
          </cell>
          <cell r="D2780">
            <v>7800000</v>
          </cell>
        </row>
        <row r="2781">
          <cell r="C2781" t="str">
            <v>830-2025</v>
          </cell>
          <cell r="D2781">
            <v>3150000</v>
          </cell>
        </row>
        <row r="2782">
          <cell r="C2782" t="str">
            <v>1058-2025</v>
          </cell>
          <cell r="D2782">
            <v>6300000</v>
          </cell>
        </row>
        <row r="2783">
          <cell r="C2783" t="str">
            <v>872-2025</v>
          </cell>
          <cell r="D2783">
            <v>3150000</v>
          </cell>
        </row>
        <row r="2784">
          <cell r="C2784" t="str">
            <v>1145-2025</v>
          </cell>
          <cell r="D2784">
            <v>3150000</v>
          </cell>
        </row>
        <row r="2785">
          <cell r="C2785" t="str">
            <v>1101-2025</v>
          </cell>
          <cell r="D2785">
            <v>2000000</v>
          </cell>
        </row>
        <row r="2786">
          <cell r="C2786" t="str">
            <v>1032-2025</v>
          </cell>
          <cell r="D2786">
            <v>2000000</v>
          </cell>
        </row>
        <row r="2787">
          <cell r="C2787" t="str">
            <v>1063-2025</v>
          </cell>
          <cell r="D2787">
            <v>3150000</v>
          </cell>
        </row>
        <row r="2788">
          <cell r="C2788" t="str">
            <v>1047-2025</v>
          </cell>
          <cell r="D2788">
            <v>7800000</v>
          </cell>
        </row>
        <row r="2789">
          <cell r="C2789" t="str">
            <v>1162-2025</v>
          </cell>
          <cell r="D2789">
            <v>6300000</v>
          </cell>
        </row>
        <row r="2790">
          <cell r="C2790" t="str">
            <v>828-2025</v>
          </cell>
          <cell r="D2790">
            <v>3150000</v>
          </cell>
        </row>
        <row r="2791">
          <cell r="C2791" t="str">
            <v>748-2025</v>
          </cell>
          <cell r="D2791">
            <v>4730000</v>
          </cell>
        </row>
        <row r="2792">
          <cell r="C2792" t="str">
            <v>991-2025</v>
          </cell>
          <cell r="D2792">
            <v>3150000</v>
          </cell>
        </row>
        <row r="2793">
          <cell r="C2793" t="str">
            <v>742-2025</v>
          </cell>
          <cell r="D2793">
            <v>4730000</v>
          </cell>
        </row>
        <row r="2794">
          <cell r="C2794" t="str">
            <v>1160-2025</v>
          </cell>
          <cell r="D2794">
            <v>3150000</v>
          </cell>
        </row>
        <row r="2795">
          <cell r="C2795" t="str">
            <v>936-2025</v>
          </cell>
          <cell r="D2795">
            <v>3150000</v>
          </cell>
        </row>
        <row r="2796">
          <cell r="C2796" t="str">
            <v>761-2025</v>
          </cell>
          <cell r="D2796">
            <v>3150000</v>
          </cell>
        </row>
        <row r="2797">
          <cell r="C2797" t="str">
            <v>792-2025</v>
          </cell>
          <cell r="D2797">
            <v>4730000</v>
          </cell>
        </row>
        <row r="2798">
          <cell r="C2798" t="str">
            <v>960-2025</v>
          </cell>
          <cell r="D2798">
            <v>3150000</v>
          </cell>
        </row>
        <row r="2799">
          <cell r="C2799" t="str">
            <v>854-2025</v>
          </cell>
          <cell r="D2799">
            <v>3150000</v>
          </cell>
        </row>
        <row r="2800">
          <cell r="C2800" t="str">
            <v>786-2025</v>
          </cell>
          <cell r="D2800">
            <v>7800000</v>
          </cell>
        </row>
        <row r="2801">
          <cell r="C2801" t="str">
            <v>790-2025</v>
          </cell>
          <cell r="D2801">
            <v>3150000</v>
          </cell>
        </row>
        <row r="2802">
          <cell r="C2802" t="str">
            <v>749-2025</v>
          </cell>
          <cell r="D2802">
            <v>4730000</v>
          </cell>
        </row>
        <row r="2803">
          <cell r="C2803" t="str">
            <v>999-2025</v>
          </cell>
          <cell r="D2803">
            <v>2000000</v>
          </cell>
        </row>
        <row r="2804">
          <cell r="C2804" t="str">
            <v>960-2025</v>
          </cell>
          <cell r="D2804">
            <v>3150000</v>
          </cell>
        </row>
        <row r="2805">
          <cell r="C2805" t="str">
            <v>1011-2025</v>
          </cell>
          <cell r="D2805">
            <v>2000000</v>
          </cell>
        </row>
        <row r="2806">
          <cell r="C2806" t="str">
            <v>791-2025</v>
          </cell>
          <cell r="D2806">
            <v>3150000</v>
          </cell>
        </row>
        <row r="2807">
          <cell r="C2807" t="str">
            <v>1021-2025</v>
          </cell>
          <cell r="D2807">
            <v>2000000</v>
          </cell>
        </row>
        <row r="2808">
          <cell r="C2808" t="str">
            <v>1167-2025</v>
          </cell>
          <cell r="D2808">
            <v>3150000</v>
          </cell>
        </row>
        <row r="2809">
          <cell r="C2809" t="str">
            <v>1148-2025</v>
          </cell>
          <cell r="D2809">
            <v>7800000</v>
          </cell>
        </row>
        <row r="2810">
          <cell r="C2810" t="str">
            <v>1039-2025</v>
          </cell>
          <cell r="D2810">
            <v>2000000</v>
          </cell>
        </row>
        <row r="2811">
          <cell r="C2811" t="str">
            <v>1164-2025</v>
          </cell>
          <cell r="D2811">
            <v>2000000</v>
          </cell>
        </row>
        <row r="2812">
          <cell r="C2812" t="str">
            <v>850-2025</v>
          </cell>
          <cell r="D2812">
            <v>6300000</v>
          </cell>
        </row>
        <row r="2813">
          <cell r="C2813" t="str">
            <v>820-2025</v>
          </cell>
          <cell r="D2813">
            <v>3150000</v>
          </cell>
        </row>
        <row r="2814">
          <cell r="C2814" t="str">
            <v>772-2025</v>
          </cell>
          <cell r="D2814">
            <v>7800000</v>
          </cell>
        </row>
        <row r="2815">
          <cell r="C2815" t="str">
            <v>1027-2025</v>
          </cell>
          <cell r="D2815">
            <v>2000000</v>
          </cell>
        </row>
        <row r="2816">
          <cell r="C2816" t="str">
            <v>780-2025</v>
          </cell>
          <cell r="D2816">
            <v>7800000</v>
          </cell>
        </row>
        <row r="2817">
          <cell r="C2817" t="str">
            <v>834-2025</v>
          </cell>
          <cell r="D2817">
            <v>6300000</v>
          </cell>
        </row>
        <row r="2818">
          <cell r="C2818" t="str">
            <v>807-2025</v>
          </cell>
          <cell r="D2818">
            <v>7800000</v>
          </cell>
        </row>
        <row r="2819">
          <cell r="C2819" t="str">
            <v>1005-2025</v>
          </cell>
          <cell r="D2819">
            <v>2000000</v>
          </cell>
        </row>
        <row r="2820">
          <cell r="C2820" t="str">
            <v>976-2025</v>
          </cell>
          <cell r="D2820">
            <v>3150000</v>
          </cell>
        </row>
        <row r="2821">
          <cell r="C2821" t="str">
            <v>766-2025</v>
          </cell>
          <cell r="D2821">
            <v>4730000</v>
          </cell>
        </row>
        <row r="2822">
          <cell r="C2822" t="str">
            <v>840-2025</v>
          </cell>
          <cell r="D2822">
            <v>3150000</v>
          </cell>
        </row>
        <row r="2823">
          <cell r="C2823" t="str">
            <v>1040-2025</v>
          </cell>
          <cell r="D2823">
            <v>7800000</v>
          </cell>
        </row>
        <row r="2824">
          <cell r="C2824" t="str">
            <v>841-2025</v>
          </cell>
          <cell r="D2824">
            <v>3150000</v>
          </cell>
        </row>
        <row r="2825">
          <cell r="C2825" t="str">
            <v>1165-2025</v>
          </cell>
          <cell r="D2825">
            <v>3150000</v>
          </cell>
        </row>
        <row r="2826">
          <cell r="C2826" t="str">
            <v>1048-2025</v>
          </cell>
          <cell r="D2826">
            <v>3150000</v>
          </cell>
        </row>
        <row r="2827">
          <cell r="C2827" t="str">
            <v>1009-2025</v>
          </cell>
          <cell r="D2827">
            <v>2000000</v>
          </cell>
        </row>
        <row r="2828">
          <cell r="C2828" t="str">
            <v>1028-2025</v>
          </cell>
          <cell r="D2828">
            <v>2000000</v>
          </cell>
        </row>
        <row r="2829">
          <cell r="C2829" t="str">
            <v>848-2025</v>
          </cell>
          <cell r="D2829">
            <v>3150000</v>
          </cell>
        </row>
        <row r="2830">
          <cell r="C2830" t="str">
            <v>1065-2025</v>
          </cell>
          <cell r="D2830">
            <v>3150000</v>
          </cell>
        </row>
        <row r="2831">
          <cell r="C2831" t="str">
            <v>1011-2025</v>
          </cell>
          <cell r="D2831">
            <v>2000000</v>
          </cell>
        </row>
        <row r="2832">
          <cell r="C2832" t="str">
            <v>868-2025</v>
          </cell>
          <cell r="D2832">
            <v>7800000</v>
          </cell>
        </row>
        <row r="2833">
          <cell r="C2833" t="str">
            <v>776-2025</v>
          </cell>
          <cell r="D2833">
            <v>4730000</v>
          </cell>
        </row>
        <row r="2834">
          <cell r="C2834" t="str">
            <v>1108-2025</v>
          </cell>
          <cell r="D2834">
            <v>2000000</v>
          </cell>
        </row>
        <row r="2835">
          <cell r="C2835" t="str">
            <v>777-2025</v>
          </cell>
          <cell r="D2835">
            <v>3150000</v>
          </cell>
        </row>
        <row r="2836">
          <cell r="C2836" t="str">
            <v>795-2025</v>
          </cell>
          <cell r="D2836">
            <v>3150000</v>
          </cell>
        </row>
        <row r="2837">
          <cell r="C2837" t="str">
            <v>1025-2025</v>
          </cell>
          <cell r="D2837">
            <v>2000000</v>
          </cell>
        </row>
        <row r="2838">
          <cell r="C2838" t="str">
            <v>1003-2025</v>
          </cell>
          <cell r="D2838">
            <v>2000000</v>
          </cell>
        </row>
        <row r="2839">
          <cell r="C2839" t="str">
            <v>1049-2025</v>
          </cell>
          <cell r="D2839">
            <v>3150000</v>
          </cell>
        </row>
        <row r="2840">
          <cell r="C2840" t="str">
            <v>696-2025</v>
          </cell>
          <cell r="D2840">
            <v>151250000</v>
          </cell>
        </row>
        <row r="2841">
          <cell r="C2841" t="str">
            <v>1150-2025</v>
          </cell>
          <cell r="D2841">
            <v>3150000</v>
          </cell>
        </row>
        <row r="2842">
          <cell r="C2842" t="str">
            <v>1107-2025</v>
          </cell>
          <cell r="D2842">
            <v>2000000</v>
          </cell>
        </row>
        <row r="2843">
          <cell r="C2843" t="str">
            <v>857-2025</v>
          </cell>
          <cell r="D2843">
            <v>6300000</v>
          </cell>
        </row>
        <row r="2844">
          <cell r="C2844" t="str">
            <v>953-2025</v>
          </cell>
          <cell r="D2844">
            <v>4730000</v>
          </cell>
        </row>
        <row r="2845">
          <cell r="C2845" t="str">
            <v>982-2025</v>
          </cell>
          <cell r="D2845">
            <v>3150000</v>
          </cell>
        </row>
        <row r="2846">
          <cell r="C2846" t="str">
            <v>952-2025</v>
          </cell>
          <cell r="D2846">
            <v>3150000</v>
          </cell>
        </row>
        <row r="2847">
          <cell r="C2847" t="str">
            <v>1112-2025</v>
          </cell>
          <cell r="D2847">
            <v>6300000</v>
          </cell>
        </row>
        <row r="2848">
          <cell r="C2848" t="str">
            <v>877-2025</v>
          </cell>
          <cell r="D2848">
            <v>3150000</v>
          </cell>
        </row>
        <row r="2849">
          <cell r="C2849" t="str">
            <v>1053-2025</v>
          </cell>
          <cell r="D2849">
            <v>7800000</v>
          </cell>
        </row>
        <row r="2850">
          <cell r="C2850" t="str">
            <v>714-2025</v>
          </cell>
          <cell r="D2850">
            <v>4730000</v>
          </cell>
        </row>
        <row r="2851">
          <cell r="C2851" t="str">
            <v>1140-2025</v>
          </cell>
          <cell r="D2851">
            <v>7800000</v>
          </cell>
        </row>
        <row r="2852">
          <cell r="C2852" t="str">
            <v>1067-2025</v>
          </cell>
          <cell r="D2852">
            <v>3150000</v>
          </cell>
        </row>
        <row r="2853">
          <cell r="C2853" t="str">
            <v>944-2025</v>
          </cell>
          <cell r="D2853">
            <v>7800000</v>
          </cell>
        </row>
        <row r="2854">
          <cell r="C2854" t="str">
            <v>849-2025</v>
          </cell>
          <cell r="D2854">
            <v>3150000</v>
          </cell>
        </row>
        <row r="2855">
          <cell r="C2855" t="str">
            <v>1050-2025</v>
          </cell>
          <cell r="D2855">
            <v>3150000</v>
          </cell>
        </row>
        <row r="2856">
          <cell r="C2856" t="str">
            <v>1066-2025</v>
          </cell>
          <cell r="D2856">
            <v>6300000</v>
          </cell>
        </row>
        <row r="2857">
          <cell r="C2857" t="str">
            <v>779-2025</v>
          </cell>
          <cell r="D2857">
            <v>7800000</v>
          </cell>
        </row>
        <row r="2858">
          <cell r="C2858" t="str">
            <v>813-2025</v>
          </cell>
          <cell r="D2858">
            <v>3150000</v>
          </cell>
        </row>
        <row r="2859">
          <cell r="C2859" t="str">
            <v>804-2025</v>
          </cell>
          <cell r="D2859">
            <v>3150000</v>
          </cell>
        </row>
        <row r="2860">
          <cell r="C2860" t="str">
            <v>855-2025</v>
          </cell>
          <cell r="D2860">
            <v>3150000</v>
          </cell>
        </row>
        <row r="2861">
          <cell r="C2861" t="str">
            <v>1069-2025</v>
          </cell>
          <cell r="D2861">
            <v>3150000</v>
          </cell>
        </row>
        <row r="2862">
          <cell r="C2862" t="str">
            <v>1013-2025</v>
          </cell>
          <cell r="D2862">
            <v>2000000</v>
          </cell>
        </row>
        <row r="2863">
          <cell r="C2863" t="str">
            <v>1119-2025</v>
          </cell>
          <cell r="D2863">
            <v>3150000</v>
          </cell>
        </row>
        <row r="2864">
          <cell r="C2864" t="str">
            <v>913-2025</v>
          </cell>
          <cell r="D2864">
            <v>7800000</v>
          </cell>
        </row>
        <row r="2865">
          <cell r="C2865" t="str">
            <v>924-2025</v>
          </cell>
          <cell r="D2865">
            <v>3150000</v>
          </cell>
        </row>
        <row r="2866">
          <cell r="C2866" t="str">
            <v>726-2025</v>
          </cell>
          <cell r="D2866">
            <v>4730000</v>
          </cell>
        </row>
        <row r="2867">
          <cell r="C2867" t="str">
            <v>737-2025</v>
          </cell>
          <cell r="D2867">
            <v>3150000</v>
          </cell>
        </row>
        <row r="2868">
          <cell r="C2868" t="str">
            <v>742-2025</v>
          </cell>
          <cell r="D2868">
            <v>4730000</v>
          </cell>
        </row>
        <row r="2869">
          <cell r="C2869" t="str">
            <v>864-2025</v>
          </cell>
          <cell r="D2869">
            <v>3150000</v>
          </cell>
        </row>
        <row r="2870">
          <cell r="C2870" t="str">
            <v>829-2025</v>
          </cell>
          <cell r="D2870">
            <v>3150000</v>
          </cell>
        </row>
        <row r="2871">
          <cell r="C2871" t="str">
            <v>883-2025</v>
          </cell>
          <cell r="D2871">
            <v>3150000</v>
          </cell>
        </row>
        <row r="2872">
          <cell r="C2872" t="str">
            <v>931-2025</v>
          </cell>
          <cell r="D2872">
            <v>6300000</v>
          </cell>
        </row>
        <row r="2873">
          <cell r="C2873" t="str">
            <v>819-2025</v>
          </cell>
          <cell r="D2873">
            <v>6300000</v>
          </cell>
        </row>
        <row r="2874">
          <cell r="C2874" t="str">
            <v>1084-2025</v>
          </cell>
          <cell r="D2874">
            <v>3150000</v>
          </cell>
        </row>
        <row r="2875">
          <cell r="C2875" t="str">
            <v>1092-2025</v>
          </cell>
          <cell r="D2875">
            <v>3150000</v>
          </cell>
        </row>
        <row r="2876">
          <cell r="C2876" t="str">
            <v>933-2025</v>
          </cell>
          <cell r="D2876">
            <v>4730000</v>
          </cell>
        </row>
        <row r="2877">
          <cell r="C2877" t="str">
            <v>949-2025</v>
          </cell>
          <cell r="D2877">
            <v>6300000</v>
          </cell>
        </row>
        <row r="2878">
          <cell r="C2878" t="str">
            <v>905-2025</v>
          </cell>
          <cell r="D2878">
            <v>7800000</v>
          </cell>
        </row>
        <row r="2879">
          <cell r="C2879" t="str">
            <v>1121-2025</v>
          </cell>
          <cell r="D2879">
            <v>4730000</v>
          </cell>
        </row>
        <row r="2880">
          <cell r="C2880" t="str">
            <v>937-2025</v>
          </cell>
          <cell r="D2880">
            <v>4730000</v>
          </cell>
        </row>
        <row r="2881">
          <cell r="C2881" t="str">
            <v>1256-2025</v>
          </cell>
          <cell r="D2881">
            <v>2000000</v>
          </cell>
        </row>
        <row r="2882">
          <cell r="C2882" t="str">
            <v>910-2025</v>
          </cell>
          <cell r="D2882">
            <v>6300000</v>
          </cell>
        </row>
        <row r="2883">
          <cell r="C2883" t="str">
            <v>1098-2025</v>
          </cell>
          <cell r="D2883">
            <v>2000000</v>
          </cell>
        </row>
        <row r="2884">
          <cell r="C2884" t="str">
            <v>888-2025</v>
          </cell>
          <cell r="D2884">
            <v>7800000</v>
          </cell>
        </row>
        <row r="2885">
          <cell r="C2885" t="str">
            <v>1123-2025</v>
          </cell>
          <cell r="D2885">
            <v>3150000</v>
          </cell>
        </row>
        <row r="2886">
          <cell r="C2886" t="str">
            <v>917-2025</v>
          </cell>
          <cell r="D2886">
            <v>3150000</v>
          </cell>
        </row>
        <row r="2887">
          <cell r="C2887" t="str">
            <v>1105-2025</v>
          </cell>
          <cell r="D2887">
            <v>2000000</v>
          </cell>
        </row>
        <row r="2888">
          <cell r="C2888" t="str">
            <v>778-2025</v>
          </cell>
          <cell r="D2888">
            <v>6300000</v>
          </cell>
        </row>
        <row r="2889">
          <cell r="C2889" t="str">
            <v>1010-2025</v>
          </cell>
          <cell r="D2889">
            <v>7800000</v>
          </cell>
        </row>
        <row r="2890">
          <cell r="C2890" t="str">
            <v>745-2025</v>
          </cell>
          <cell r="D2890">
            <v>4730000</v>
          </cell>
        </row>
        <row r="2891">
          <cell r="C2891" t="str">
            <v>946-2025</v>
          </cell>
          <cell r="D2891">
            <v>4730000</v>
          </cell>
        </row>
        <row r="2892">
          <cell r="C2892" t="str">
            <v>965-2025</v>
          </cell>
          <cell r="D2892">
            <v>3150000</v>
          </cell>
        </row>
        <row r="2893">
          <cell r="C2893" t="str">
            <v>1007-2025</v>
          </cell>
          <cell r="D2893">
            <v>2000000</v>
          </cell>
        </row>
        <row r="2894">
          <cell r="C2894" t="str">
            <v>818-2025</v>
          </cell>
          <cell r="D2894">
            <v>4730000</v>
          </cell>
        </row>
        <row r="2895">
          <cell r="C2895" t="str">
            <v>858-2025</v>
          </cell>
          <cell r="D2895">
            <v>4730000</v>
          </cell>
        </row>
        <row r="2896">
          <cell r="C2896" t="str">
            <v>875-2025</v>
          </cell>
          <cell r="D2896">
            <v>7800000</v>
          </cell>
        </row>
        <row r="2897">
          <cell r="C2897" t="str">
            <v>833-2025</v>
          </cell>
          <cell r="D2897">
            <v>7800000</v>
          </cell>
        </row>
        <row r="2898">
          <cell r="C2898" t="str">
            <v>908-2025</v>
          </cell>
          <cell r="D2898">
            <v>6300000</v>
          </cell>
        </row>
        <row r="2899">
          <cell r="C2899" t="str">
            <v>928-2025</v>
          </cell>
          <cell r="D2899">
            <v>3150000</v>
          </cell>
        </row>
        <row r="2900">
          <cell r="C2900" t="str">
            <v>962-2025</v>
          </cell>
          <cell r="D2900">
            <v>4730000</v>
          </cell>
        </row>
        <row r="2901">
          <cell r="C2901" t="str">
            <v>987-2025</v>
          </cell>
          <cell r="D2901">
            <v>4730000</v>
          </cell>
        </row>
        <row r="2902">
          <cell r="C2902" t="str">
            <v>1088-2025</v>
          </cell>
          <cell r="D2902">
            <v>3150000</v>
          </cell>
        </row>
        <row r="2903">
          <cell r="C2903" t="str">
            <v>906-2025</v>
          </cell>
          <cell r="D2903">
            <v>7800000</v>
          </cell>
        </row>
        <row r="2904">
          <cell r="C2904" t="str">
            <v>1060-2025</v>
          </cell>
          <cell r="D2904">
            <v>3150000</v>
          </cell>
        </row>
        <row r="2905">
          <cell r="C2905" t="str">
            <v>890-2025</v>
          </cell>
          <cell r="D2905">
            <v>6300000</v>
          </cell>
        </row>
        <row r="2906">
          <cell r="C2906" t="str">
            <v>759-2025</v>
          </cell>
          <cell r="D2906">
            <v>3150000</v>
          </cell>
        </row>
        <row r="2907">
          <cell r="C2907" t="str">
            <v>889-2025</v>
          </cell>
          <cell r="D2907">
            <v>3150000</v>
          </cell>
        </row>
        <row r="2908">
          <cell r="C2908" t="str">
            <v>1159-2025</v>
          </cell>
          <cell r="D2908">
            <v>2000000</v>
          </cell>
        </row>
        <row r="2909">
          <cell r="C2909" t="str">
            <v>899-2025</v>
          </cell>
          <cell r="D2909">
            <v>3150000</v>
          </cell>
        </row>
        <row r="2910">
          <cell r="C2910" t="str">
            <v>1042-2025</v>
          </cell>
          <cell r="D2910">
            <v>3150000</v>
          </cell>
        </row>
        <row r="2911">
          <cell r="C2911" t="str">
            <v>824-2025</v>
          </cell>
          <cell r="D2911">
            <v>3150000</v>
          </cell>
        </row>
        <row r="2912">
          <cell r="C2912" t="str">
            <v>1103-2025</v>
          </cell>
          <cell r="D2912">
            <v>3150000</v>
          </cell>
        </row>
        <row r="2913">
          <cell r="C2913" t="str">
            <v>912-2025</v>
          </cell>
          <cell r="D2913">
            <v>3150000</v>
          </cell>
        </row>
        <row r="2914">
          <cell r="C2914" t="str">
            <v>768-2025</v>
          </cell>
          <cell r="D2914">
            <v>4730000</v>
          </cell>
        </row>
        <row r="2915">
          <cell r="C2915" t="str">
            <v>793-2025</v>
          </cell>
          <cell r="D2915">
            <v>3150000</v>
          </cell>
        </row>
        <row r="2916">
          <cell r="C2916" t="str">
            <v>958-2025</v>
          </cell>
          <cell r="D2916">
            <v>3150000</v>
          </cell>
        </row>
        <row r="2917">
          <cell r="C2917" t="str">
            <v>1194-2025</v>
          </cell>
          <cell r="D2917">
            <v>6300000</v>
          </cell>
        </row>
        <row r="2918">
          <cell r="C2918" t="str">
            <v>805-2025</v>
          </cell>
          <cell r="D2918">
            <v>6300000</v>
          </cell>
        </row>
        <row r="2919">
          <cell r="C2919" t="str">
            <v>921-2025</v>
          </cell>
          <cell r="D2919">
            <v>6300000</v>
          </cell>
        </row>
        <row r="2920">
          <cell r="C2920" t="str">
            <v>929-2025</v>
          </cell>
          <cell r="D2920">
            <v>7800000</v>
          </cell>
        </row>
        <row r="2921">
          <cell r="C2921" t="str">
            <v>900-2025</v>
          </cell>
          <cell r="D2921">
            <v>7800000</v>
          </cell>
        </row>
        <row r="2922">
          <cell r="C2922" t="str">
            <v>1062-2025</v>
          </cell>
          <cell r="D2922">
            <v>4730000</v>
          </cell>
        </row>
        <row r="2923">
          <cell r="C2923" t="str">
            <v>1179-2025</v>
          </cell>
          <cell r="D2923">
            <v>6300000</v>
          </cell>
        </row>
        <row r="2924">
          <cell r="C2924" t="str">
            <v>1123-2025</v>
          </cell>
          <cell r="D2924">
            <v>3150000</v>
          </cell>
        </row>
        <row r="2925">
          <cell r="C2925" t="str">
            <v>1016-2025</v>
          </cell>
          <cell r="D2925">
            <v>16920000</v>
          </cell>
        </row>
        <row r="2926">
          <cell r="C2926" t="str">
            <v>1017-2025</v>
          </cell>
          <cell r="D2926">
            <v>45120000</v>
          </cell>
        </row>
        <row r="2927">
          <cell r="C2927" t="str">
            <v>1100-2025</v>
          </cell>
          <cell r="D2927">
            <v>3150000</v>
          </cell>
        </row>
        <row r="2928">
          <cell r="C2928" t="str">
            <v>924-2025</v>
          </cell>
          <cell r="D2928">
            <v>3150000</v>
          </cell>
        </row>
        <row r="2929">
          <cell r="C2929" t="str">
            <v>1018-2025</v>
          </cell>
          <cell r="D2929">
            <v>17040000</v>
          </cell>
        </row>
        <row r="2930">
          <cell r="C2930" t="str">
            <v>946-2025</v>
          </cell>
          <cell r="D2930">
            <v>4730000</v>
          </cell>
        </row>
        <row r="2931">
          <cell r="C2931" t="str">
            <v>1042-2025</v>
          </cell>
          <cell r="D2931">
            <v>3150000</v>
          </cell>
        </row>
        <row r="2932">
          <cell r="C2932" t="str">
            <v>1092-2025</v>
          </cell>
          <cell r="D2932">
            <v>3150000</v>
          </cell>
        </row>
        <row r="2933">
          <cell r="C2933" t="str">
            <v>1094-2025</v>
          </cell>
          <cell r="D2933">
            <v>3150000</v>
          </cell>
        </row>
        <row r="2934">
          <cell r="C2934" t="str">
            <v>905-2025</v>
          </cell>
          <cell r="D2934">
            <v>7800000</v>
          </cell>
        </row>
        <row r="2935">
          <cell r="C2935" t="str">
            <v>1087-2025</v>
          </cell>
          <cell r="D2935">
            <v>3150000</v>
          </cell>
        </row>
        <row r="2936">
          <cell r="C2936" t="str">
            <v>937-2025</v>
          </cell>
          <cell r="D2936">
            <v>4730000</v>
          </cell>
        </row>
        <row r="2937">
          <cell r="C2937" t="str">
            <v>889-2025</v>
          </cell>
          <cell r="D2937">
            <v>3150000</v>
          </cell>
        </row>
        <row r="2938">
          <cell r="C2938" t="str">
            <v>1179-2025</v>
          </cell>
          <cell r="D2938">
            <v>3150000</v>
          </cell>
        </row>
        <row r="2939">
          <cell r="C2939" t="str">
            <v>908-2025</v>
          </cell>
          <cell r="D2939">
            <v>6300000</v>
          </cell>
        </row>
        <row r="2940">
          <cell r="C2940" t="str">
            <v>823-2025</v>
          </cell>
          <cell r="D2940">
            <v>6300000</v>
          </cell>
        </row>
        <row r="2941">
          <cell r="C2941" t="str">
            <v>1187-2025</v>
          </cell>
          <cell r="D2941">
            <v>6300000</v>
          </cell>
        </row>
        <row r="2942">
          <cell r="C2942" t="str">
            <v>740-2025</v>
          </cell>
          <cell r="D2942">
            <v>4730000</v>
          </cell>
        </row>
        <row r="2943">
          <cell r="C2943" t="str">
            <v>1029-2025</v>
          </cell>
          <cell r="D2943">
            <v>3150000</v>
          </cell>
        </row>
        <row r="2944">
          <cell r="C2944" t="str">
            <v>1038-2025</v>
          </cell>
          <cell r="D2944">
            <v>3150000</v>
          </cell>
        </row>
        <row r="2945">
          <cell r="C2945" t="str">
            <v>816-2025</v>
          </cell>
          <cell r="D2945">
            <v>3150000</v>
          </cell>
        </row>
        <row r="2946">
          <cell r="C2946" t="str">
            <v>794-2025</v>
          </cell>
          <cell r="D2946">
            <v>3150000</v>
          </cell>
        </row>
        <row r="2947">
          <cell r="C2947" t="str">
            <v>1043-2025</v>
          </cell>
          <cell r="D2947">
            <v>3150000</v>
          </cell>
        </row>
        <row r="2948">
          <cell r="C2948" t="str">
            <v>939-2025</v>
          </cell>
          <cell r="D2948">
            <v>3150000</v>
          </cell>
        </row>
        <row r="2949">
          <cell r="C2949" t="str">
            <v>900-2025</v>
          </cell>
          <cell r="D2949">
            <v>7800000</v>
          </cell>
        </row>
        <row r="2950">
          <cell r="C2950" t="str">
            <v>743-2025</v>
          </cell>
          <cell r="D2950">
            <v>3150000</v>
          </cell>
        </row>
        <row r="2951">
          <cell r="C2951" t="str">
            <v>774-2025</v>
          </cell>
          <cell r="D2951">
            <v>3150000</v>
          </cell>
        </row>
        <row r="2952">
          <cell r="C2952" t="str">
            <v>1041-2025</v>
          </cell>
          <cell r="D2952">
            <v>226770000</v>
          </cell>
        </row>
        <row r="2953">
          <cell r="C2953" t="str">
            <v>839-2025</v>
          </cell>
          <cell r="D2953">
            <v>3150000</v>
          </cell>
        </row>
        <row r="2954">
          <cell r="C2954" t="str">
            <v>938-2025</v>
          </cell>
          <cell r="D2954">
            <v>3150000</v>
          </cell>
        </row>
        <row r="2955">
          <cell r="C2955" t="str">
            <v>1128-2025</v>
          </cell>
          <cell r="D2955">
            <v>3150000</v>
          </cell>
        </row>
        <row r="2956">
          <cell r="C2956" t="str">
            <v>1158-2025</v>
          </cell>
          <cell r="D2956">
            <v>7800000</v>
          </cell>
        </row>
        <row r="2957">
          <cell r="C2957" t="str">
            <v>897-2025</v>
          </cell>
          <cell r="D2957">
            <v>3150000</v>
          </cell>
        </row>
        <row r="2958">
          <cell r="C2958" t="str">
            <v>885-2025</v>
          </cell>
          <cell r="D2958">
            <v>3150000</v>
          </cell>
        </row>
        <row r="2959">
          <cell r="C2959" t="str">
            <v>963-2025</v>
          </cell>
          <cell r="D2959">
            <v>3150000</v>
          </cell>
        </row>
        <row r="2960">
          <cell r="C2960" t="str">
            <v>1157-2025</v>
          </cell>
          <cell r="D2960">
            <v>2000000</v>
          </cell>
        </row>
        <row r="2961">
          <cell r="C2961" t="str">
            <v>916-2025</v>
          </cell>
          <cell r="D2961">
            <v>3150000</v>
          </cell>
        </row>
        <row r="2962">
          <cell r="C2962" t="str">
            <v>1094-2025</v>
          </cell>
          <cell r="D2962">
            <v>3150000</v>
          </cell>
        </row>
        <row r="2963">
          <cell r="C2963" t="str">
            <v>945-2025</v>
          </cell>
          <cell r="D2963">
            <v>6300000</v>
          </cell>
        </row>
        <row r="2964">
          <cell r="C2964" t="str">
            <v>750-2025</v>
          </cell>
          <cell r="D2964">
            <v>7800000</v>
          </cell>
        </row>
        <row r="2965">
          <cell r="C2965" t="str">
            <v>815-2025</v>
          </cell>
          <cell r="D2965">
            <v>3150000</v>
          </cell>
        </row>
        <row r="2966">
          <cell r="C2966" t="str">
            <v>941-2025</v>
          </cell>
          <cell r="D2966">
            <v>9450000</v>
          </cell>
        </row>
        <row r="2967">
          <cell r="C2967" t="str">
            <v>952-2025</v>
          </cell>
          <cell r="D2967">
            <v>3150000</v>
          </cell>
        </row>
        <row r="2968">
          <cell r="C2968" t="str">
            <v>1016-2025</v>
          </cell>
          <cell r="D2968">
            <v>70000000</v>
          </cell>
        </row>
        <row r="2969">
          <cell r="C2969" t="str">
            <v>1017-2025</v>
          </cell>
          <cell r="D2969">
            <v>93670000</v>
          </cell>
        </row>
        <row r="2970">
          <cell r="C2970" t="str">
            <v>1018-2025</v>
          </cell>
          <cell r="D2970">
            <v>70000000</v>
          </cell>
        </row>
        <row r="2971">
          <cell r="C2971" t="str">
            <v>078-2026</v>
          </cell>
          <cell r="D2971">
            <v>3150000</v>
          </cell>
        </row>
        <row r="2972">
          <cell r="C2972" t="str">
            <v>094-2026</v>
          </cell>
          <cell r="D2972">
            <v>238752640</v>
          </cell>
        </row>
        <row r="2973">
          <cell r="C2973" t="str">
            <v>095-2026</v>
          </cell>
          <cell r="D2973">
            <v>207105640</v>
          </cell>
        </row>
        <row r="2974">
          <cell r="C2974" t="str">
            <v>125-2026</v>
          </cell>
          <cell r="D2974">
            <v>98453314</v>
          </cell>
        </row>
        <row r="2975">
          <cell r="C2975" t="str">
            <v>118-2026</v>
          </cell>
          <cell r="D2975">
            <v>4730000</v>
          </cell>
        </row>
        <row r="2976">
          <cell r="C2976" t="str">
            <v>071-2026</v>
          </cell>
          <cell r="D2976">
            <v>7800000</v>
          </cell>
        </row>
        <row r="2977">
          <cell r="C2977" t="str">
            <v>091-2026</v>
          </cell>
          <cell r="D2977">
            <v>7800000</v>
          </cell>
        </row>
        <row r="2978">
          <cell r="C2978" t="str">
            <v>096-2026</v>
          </cell>
          <cell r="D2978">
            <v>3150000</v>
          </cell>
        </row>
        <row r="2979">
          <cell r="C2979" t="str">
            <v>089-2026</v>
          </cell>
          <cell r="D2979">
            <v>3150000</v>
          </cell>
        </row>
        <row r="2980">
          <cell r="C2980" t="str">
            <v>047-2026</v>
          </cell>
          <cell r="D2980">
            <v>6300000</v>
          </cell>
        </row>
        <row r="2981">
          <cell r="C2981" t="str">
            <v>049-2026</v>
          </cell>
          <cell r="D2981">
            <v>3150000</v>
          </cell>
        </row>
        <row r="2982">
          <cell r="C2982" t="str">
            <v>087-2026</v>
          </cell>
          <cell r="D2982">
            <v>7800000</v>
          </cell>
        </row>
        <row r="2983">
          <cell r="C2983" t="str">
            <v>077-2026</v>
          </cell>
          <cell r="D2983">
            <v>3150000</v>
          </cell>
        </row>
        <row r="2984">
          <cell r="C2984" t="str">
            <v>075-2026</v>
          </cell>
          <cell r="D2984">
            <v>4730000</v>
          </cell>
        </row>
        <row r="2985">
          <cell r="C2985" t="str">
            <v>085-2026</v>
          </cell>
          <cell r="D2985">
            <v>3150000</v>
          </cell>
        </row>
        <row r="2986">
          <cell r="C2986" t="str">
            <v>057-2026</v>
          </cell>
          <cell r="D2986">
            <v>6300000</v>
          </cell>
        </row>
        <row r="2987">
          <cell r="C2987" t="str">
            <v>097-2026</v>
          </cell>
          <cell r="D2987">
            <v>4730000</v>
          </cell>
        </row>
        <row r="2988">
          <cell r="C2988" t="str">
            <v>080-2026</v>
          </cell>
          <cell r="D2988">
            <v>3150000</v>
          </cell>
        </row>
        <row r="2989">
          <cell r="C2989" t="str">
            <v>064-2026</v>
          </cell>
          <cell r="D2989">
            <v>7800000</v>
          </cell>
        </row>
        <row r="2990">
          <cell r="C2990" t="str">
            <v>067-2026</v>
          </cell>
          <cell r="D2990">
            <v>4730000</v>
          </cell>
        </row>
        <row r="2991">
          <cell r="C2991" t="str">
            <v>092-2026</v>
          </cell>
          <cell r="D2991">
            <v>3150000</v>
          </cell>
        </row>
        <row r="2992">
          <cell r="C2992" t="str">
            <v>052-2026</v>
          </cell>
          <cell r="D2992">
            <v>3150000</v>
          </cell>
        </row>
        <row r="2993">
          <cell r="C2993" t="str">
            <v>088-2026</v>
          </cell>
          <cell r="D2993">
            <v>4730000</v>
          </cell>
        </row>
        <row r="2994">
          <cell r="C2994" t="str">
            <v>065-2026</v>
          </cell>
          <cell r="D2994">
            <v>7800000</v>
          </cell>
        </row>
        <row r="2995">
          <cell r="C2995" t="str">
            <v>072-2026</v>
          </cell>
          <cell r="D2995">
            <v>7800000</v>
          </cell>
        </row>
        <row r="2996">
          <cell r="C2996" t="str">
            <v>084-2026</v>
          </cell>
          <cell r="D2996">
            <v>4730000</v>
          </cell>
        </row>
        <row r="2997">
          <cell r="C2997" t="str">
            <v>110-2026</v>
          </cell>
          <cell r="D2997">
            <v>3150000</v>
          </cell>
        </row>
        <row r="2998">
          <cell r="C2998" t="str">
            <v>081-2026</v>
          </cell>
          <cell r="D2998">
            <v>3150000</v>
          </cell>
        </row>
        <row r="2999">
          <cell r="C2999" t="str">
            <v>113-2026</v>
          </cell>
          <cell r="D2999">
            <v>7800000</v>
          </cell>
        </row>
        <row r="3000">
          <cell r="C3000" t="str">
            <v>100-2026</v>
          </cell>
          <cell r="D3000">
            <v>4730000</v>
          </cell>
        </row>
        <row r="3001">
          <cell r="C3001" t="str">
            <v>107-2026</v>
          </cell>
          <cell r="D3001">
            <v>3150000</v>
          </cell>
        </row>
        <row r="3002">
          <cell r="C3002" t="str">
            <v>123-2026</v>
          </cell>
          <cell r="D3002">
            <v>4730000</v>
          </cell>
        </row>
        <row r="3003">
          <cell r="C3003" t="str">
            <v>046-2026</v>
          </cell>
          <cell r="D3003">
            <v>3150000</v>
          </cell>
        </row>
        <row r="3004">
          <cell r="C3004" t="str">
            <v>011-2026</v>
          </cell>
          <cell r="D3004">
            <v>3150000</v>
          </cell>
        </row>
        <row r="3005">
          <cell r="C3005" t="str">
            <v>093-2026</v>
          </cell>
          <cell r="D3005">
            <v>3150000</v>
          </cell>
        </row>
        <row r="3006">
          <cell r="C3006" t="str">
            <v>102-2026</v>
          </cell>
          <cell r="D3006">
            <v>4730000</v>
          </cell>
        </row>
        <row r="3007">
          <cell r="C3007" t="str">
            <v>109-2026</v>
          </cell>
          <cell r="D3007">
            <v>6300000</v>
          </cell>
        </row>
        <row r="3008">
          <cell r="C3008" t="str">
            <v>056-2026</v>
          </cell>
          <cell r="D3008">
            <v>3150000</v>
          </cell>
        </row>
        <row r="3009">
          <cell r="C3009" t="str">
            <v>114-2026</v>
          </cell>
          <cell r="D3009">
            <v>7800000</v>
          </cell>
        </row>
        <row r="3010">
          <cell r="C3010" t="str">
            <v>059-2026</v>
          </cell>
          <cell r="D3010">
            <v>3150000</v>
          </cell>
        </row>
        <row r="3011">
          <cell r="C3011" t="str">
            <v>060-2026</v>
          </cell>
          <cell r="D3011">
            <v>3150000</v>
          </cell>
        </row>
        <row r="3012">
          <cell r="C3012" t="str">
            <v>266-2026</v>
          </cell>
          <cell r="D3012">
            <v>3150000</v>
          </cell>
        </row>
        <row r="3013">
          <cell r="C3013" t="str">
            <v>281-2026</v>
          </cell>
          <cell r="D3013">
            <v>3150000</v>
          </cell>
        </row>
        <row r="3014">
          <cell r="C3014" t="str">
            <v>168-2026</v>
          </cell>
          <cell r="D3014">
            <v>6300000</v>
          </cell>
        </row>
        <row r="3015">
          <cell r="C3015" t="str">
            <v>101-2026</v>
          </cell>
          <cell r="D3015">
            <v>4730000</v>
          </cell>
        </row>
        <row r="3016">
          <cell r="C3016" t="str">
            <v>090-2026</v>
          </cell>
          <cell r="D3016">
            <v>3150000</v>
          </cell>
        </row>
        <row r="3017">
          <cell r="C3017" t="str">
            <v>074-2026</v>
          </cell>
          <cell r="D3017">
            <v>3150000</v>
          </cell>
        </row>
        <row r="3018">
          <cell r="C3018" t="str">
            <v>068-2026</v>
          </cell>
          <cell r="D3018">
            <v>4730000</v>
          </cell>
        </row>
        <row r="3019">
          <cell r="C3019" t="str">
            <v>173-2026</v>
          </cell>
          <cell r="D3019">
            <v>6300000</v>
          </cell>
        </row>
        <row r="3020">
          <cell r="C3020" t="str">
            <v>053-2026</v>
          </cell>
          <cell r="D3020">
            <v>3150000</v>
          </cell>
        </row>
        <row r="3021">
          <cell r="C3021" t="str">
            <v>209-2026</v>
          </cell>
          <cell r="D3021">
            <v>4730000</v>
          </cell>
        </row>
        <row r="3022">
          <cell r="C3022" t="str">
            <v>157-2026</v>
          </cell>
          <cell r="D3022">
            <v>3150000</v>
          </cell>
        </row>
        <row r="3023">
          <cell r="C3023" t="str">
            <v>261-2026</v>
          </cell>
          <cell r="D3023">
            <v>3150000</v>
          </cell>
        </row>
        <row r="3024">
          <cell r="C3024" t="str">
            <v>111-2026</v>
          </cell>
          <cell r="D3024">
            <v>3150000</v>
          </cell>
        </row>
        <row r="3025">
          <cell r="C3025" t="str">
            <v>082-2026</v>
          </cell>
          <cell r="D3025">
            <v>7800000</v>
          </cell>
        </row>
        <row r="3026">
          <cell r="C3026" t="str">
            <v>083-2026</v>
          </cell>
          <cell r="D3026">
            <v>7800000</v>
          </cell>
        </row>
        <row r="3027">
          <cell r="C3027" t="str">
            <v>048-2026</v>
          </cell>
          <cell r="D3027">
            <v>3150000</v>
          </cell>
        </row>
        <row r="3028">
          <cell r="C3028" t="str">
            <v>023-2026</v>
          </cell>
          <cell r="D3028">
            <v>3150000</v>
          </cell>
        </row>
        <row r="3029">
          <cell r="C3029" t="str">
            <v>058-2026</v>
          </cell>
          <cell r="D3029">
            <v>3150000</v>
          </cell>
        </row>
        <row r="3030">
          <cell r="C3030" t="str">
            <v>104-2026</v>
          </cell>
          <cell r="D3030">
            <v>3150000</v>
          </cell>
        </row>
        <row r="3031">
          <cell r="C3031" t="str">
            <v>079-2026</v>
          </cell>
          <cell r="D3031">
            <v>6300000</v>
          </cell>
        </row>
        <row r="3032">
          <cell r="C3032" t="str">
            <v>050-2026</v>
          </cell>
          <cell r="D3032">
            <v>3150000</v>
          </cell>
        </row>
        <row r="3033">
          <cell r="C3033" t="str">
            <v>069-2026</v>
          </cell>
          <cell r="D3033">
            <v>4730000</v>
          </cell>
        </row>
        <row r="3034">
          <cell r="C3034" t="str">
            <v>070-2026</v>
          </cell>
          <cell r="D3034">
            <v>6300000</v>
          </cell>
        </row>
        <row r="3035">
          <cell r="C3035" t="str">
            <v>103-2026</v>
          </cell>
          <cell r="D3035">
            <v>4730000</v>
          </cell>
        </row>
        <row r="3036">
          <cell r="C3036" t="str">
            <v>045-2026</v>
          </cell>
          <cell r="D3036">
            <v>3150000</v>
          </cell>
        </row>
        <row r="3037">
          <cell r="C3037" t="str">
            <v>066-2026</v>
          </cell>
          <cell r="D3037">
            <v>6300000</v>
          </cell>
        </row>
        <row r="3038">
          <cell r="C3038" t="str">
            <v>306-2026</v>
          </cell>
          <cell r="D3038">
            <v>3150000</v>
          </cell>
        </row>
        <row r="3039">
          <cell r="C3039" t="str">
            <v>149-2026</v>
          </cell>
          <cell r="D3039">
            <v>3150000</v>
          </cell>
        </row>
        <row r="3040">
          <cell r="C3040" t="str">
            <v>014-2026</v>
          </cell>
          <cell r="D3040">
            <v>3150000</v>
          </cell>
        </row>
        <row r="3041">
          <cell r="C3041" t="str">
            <v>051-2026</v>
          </cell>
          <cell r="D3041">
            <v>3150000</v>
          </cell>
        </row>
        <row r="3042">
          <cell r="C3042" t="str">
            <v>299-2026</v>
          </cell>
          <cell r="D3042">
            <v>3150000</v>
          </cell>
        </row>
        <row r="3043">
          <cell r="C3043" t="str">
            <v>271-2026</v>
          </cell>
          <cell r="D3043">
            <v>3150000</v>
          </cell>
        </row>
        <row r="3044">
          <cell r="C3044" t="str">
            <v>220-2026</v>
          </cell>
          <cell r="D3044">
            <v>6300000</v>
          </cell>
        </row>
        <row r="3045">
          <cell r="C3045" t="str">
            <v>250-2026</v>
          </cell>
          <cell r="D3045">
            <v>3150000</v>
          </cell>
        </row>
        <row r="3046">
          <cell r="C3046" t="str">
            <v>063-2026</v>
          </cell>
          <cell r="D3046">
            <v>6300000</v>
          </cell>
        </row>
        <row r="3047">
          <cell r="C3047" t="str">
            <v>190-2026</v>
          </cell>
          <cell r="D3047">
            <v>4730000</v>
          </cell>
        </row>
        <row r="3048">
          <cell r="C3048" t="str">
            <v>062-2026</v>
          </cell>
          <cell r="D3048">
            <v>3150000</v>
          </cell>
        </row>
        <row r="3049">
          <cell r="C3049" t="str">
            <v>055-2026</v>
          </cell>
          <cell r="D3049">
            <v>3150000</v>
          </cell>
        </row>
        <row r="3050">
          <cell r="C3050" t="str">
            <v>073-2026</v>
          </cell>
          <cell r="D3050">
            <v>3150000</v>
          </cell>
        </row>
        <row r="3051">
          <cell r="C3051" t="str">
            <v>217-2026</v>
          </cell>
          <cell r="D3051">
            <v>7800000</v>
          </cell>
        </row>
        <row r="3052">
          <cell r="C3052" t="str">
            <v>252-2026</v>
          </cell>
          <cell r="D3052">
            <v>3150000</v>
          </cell>
        </row>
        <row r="3053">
          <cell r="C3053" t="str">
            <v>180-2026</v>
          </cell>
          <cell r="D3053">
            <v>3150000</v>
          </cell>
        </row>
        <row r="3054">
          <cell r="C3054" t="str">
            <v>291-2026</v>
          </cell>
          <cell r="D3054">
            <v>3150000</v>
          </cell>
        </row>
        <row r="3055">
          <cell r="C3055" t="str">
            <v>1265-2025</v>
          </cell>
          <cell r="D3055">
            <v>6300000</v>
          </cell>
        </row>
        <row r="3056">
          <cell r="C3056" t="str">
            <v>192-2026</v>
          </cell>
          <cell r="D3056">
            <v>6300000</v>
          </cell>
        </row>
        <row r="3057">
          <cell r="C3057" t="str">
            <v>178-2026</v>
          </cell>
          <cell r="D3057">
            <v>6300000</v>
          </cell>
        </row>
        <row r="3058">
          <cell r="C3058" t="str">
            <v>158-2026</v>
          </cell>
          <cell r="D3058">
            <v>3150000</v>
          </cell>
        </row>
        <row r="3059">
          <cell r="C3059" t="str">
            <v>169-2026</v>
          </cell>
          <cell r="D3059">
            <v>3150000</v>
          </cell>
        </row>
        <row r="3060">
          <cell r="C3060" t="str">
            <v>932-2025</v>
          </cell>
          <cell r="D3060">
            <v>1576000</v>
          </cell>
        </row>
        <row r="3061">
          <cell r="C3061" t="str">
            <v>814-2025</v>
          </cell>
          <cell r="D3061">
            <v>7800000</v>
          </cell>
        </row>
        <row r="3062">
          <cell r="C3062" t="str">
            <v>187-2026</v>
          </cell>
          <cell r="D3062">
            <v>4730000</v>
          </cell>
        </row>
        <row r="3063">
          <cell r="C3063" t="str">
            <v>181-2026</v>
          </cell>
          <cell r="D3063">
            <v>6300000</v>
          </cell>
        </row>
        <row r="3064">
          <cell r="C3064" t="str">
            <v>248-2026</v>
          </cell>
          <cell r="D3064">
            <v>3150000</v>
          </cell>
        </row>
        <row r="3065">
          <cell r="C3065" t="str">
            <v>242-2026</v>
          </cell>
          <cell r="D3065">
            <v>7800000</v>
          </cell>
        </row>
        <row r="3066">
          <cell r="C3066" t="str">
            <v>246-2026</v>
          </cell>
          <cell r="D3066">
            <v>3150000</v>
          </cell>
        </row>
        <row r="3067">
          <cell r="C3067" t="str">
            <v>161-2026</v>
          </cell>
          <cell r="D3067">
            <v>3150000</v>
          </cell>
        </row>
        <row r="3068">
          <cell r="C3068" t="str">
            <v>164-2026</v>
          </cell>
          <cell r="D3068">
            <v>3150000</v>
          </cell>
        </row>
        <row r="3069">
          <cell r="C3069" t="str">
            <v>292-2026</v>
          </cell>
          <cell r="D3069">
            <v>3150000</v>
          </cell>
        </row>
        <row r="3070">
          <cell r="C3070" t="str">
            <v>333-2026</v>
          </cell>
          <cell r="D3070">
            <v>2000000</v>
          </cell>
        </row>
        <row r="3071">
          <cell r="C3071" t="str">
            <v>307-2026</v>
          </cell>
          <cell r="D3071">
            <v>2000000</v>
          </cell>
        </row>
        <row r="3072">
          <cell r="C3072" t="str">
            <v>099-2026</v>
          </cell>
          <cell r="D3072">
            <v>6300000</v>
          </cell>
        </row>
        <row r="3073">
          <cell r="C3073" t="str">
            <v>852-2025</v>
          </cell>
          <cell r="D3073">
            <v>1419000</v>
          </cell>
        </row>
        <row r="3074">
          <cell r="C3074" t="str">
            <v>208-2026</v>
          </cell>
          <cell r="D3074">
            <v>3150000</v>
          </cell>
        </row>
        <row r="3075">
          <cell r="C3075" t="str">
            <v>086-2026</v>
          </cell>
          <cell r="D3075">
            <v>1260000</v>
          </cell>
        </row>
        <row r="3076">
          <cell r="C3076" t="str">
            <v>315-2026</v>
          </cell>
          <cell r="D3076">
            <v>2000000</v>
          </cell>
        </row>
        <row r="3077">
          <cell r="C3077" t="str">
            <v>256-2026</v>
          </cell>
          <cell r="D3077">
            <v>3150000</v>
          </cell>
        </row>
        <row r="3078">
          <cell r="C3078" t="str">
            <v>174-2026</v>
          </cell>
          <cell r="D3078">
            <v>6300000</v>
          </cell>
        </row>
        <row r="3079">
          <cell r="C3079" t="str">
            <v>283-2026</v>
          </cell>
          <cell r="D3079">
            <v>3150000</v>
          </cell>
        </row>
        <row r="3080">
          <cell r="C3080" t="str">
            <v>215-2026</v>
          </cell>
          <cell r="D3080">
            <v>4730000</v>
          </cell>
        </row>
        <row r="3081">
          <cell r="C3081" t="str">
            <v>175-2026</v>
          </cell>
          <cell r="D3081">
            <v>6300000</v>
          </cell>
        </row>
        <row r="3082">
          <cell r="C3082" t="str">
            <v>375-2025</v>
          </cell>
          <cell r="D3082">
            <v>3000000</v>
          </cell>
        </row>
        <row r="3083">
          <cell r="C3083" t="str">
            <v>450-2025</v>
          </cell>
          <cell r="D3083">
            <v>4750000</v>
          </cell>
        </row>
        <row r="3084">
          <cell r="C3084" t="str">
            <v>466-2025</v>
          </cell>
          <cell r="D3084">
            <v>4825000</v>
          </cell>
        </row>
        <row r="3085">
          <cell r="C3085" t="str">
            <v>442-2025</v>
          </cell>
          <cell r="D3085">
            <v>6000000</v>
          </cell>
        </row>
        <row r="3086">
          <cell r="C3086" t="str">
            <v>471-2025</v>
          </cell>
          <cell r="D3086">
            <v>7500000</v>
          </cell>
        </row>
        <row r="3087">
          <cell r="C3087" t="str">
            <v>443-2025</v>
          </cell>
          <cell r="D3087">
            <v>6000000</v>
          </cell>
        </row>
        <row r="3088">
          <cell r="C3088" t="str">
            <v>494-2025</v>
          </cell>
          <cell r="D3088">
            <v>6000000</v>
          </cell>
        </row>
        <row r="3089">
          <cell r="C3089" t="str">
            <v>452-2025</v>
          </cell>
          <cell r="D3089">
            <v>4825000</v>
          </cell>
        </row>
        <row r="3090">
          <cell r="C3090" t="str">
            <v>474-2025</v>
          </cell>
          <cell r="D3090">
            <v>2500000</v>
          </cell>
        </row>
        <row r="3091">
          <cell r="C3091" t="str">
            <v>501-2025</v>
          </cell>
          <cell r="D3091">
            <v>36412170</v>
          </cell>
        </row>
        <row r="3092">
          <cell r="C3092" t="str">
            <v>464-2025</v>
          </cell>
          <cell r="D3092">
            <v>6000000</v>
          </cell>
        </row>
        <row r="3093">
          <cell r="C3093" t="str">
            <v>459-2025</v>
          </cell>
          <cell r="D3093">
            <v>3000000</v>
          </cell>
        </row>
        <row r="3094">
          <cell r="C3094" t="str">
            <v>454-2025</v>
          </cell>
          <cell r="D3094">
            <v>7500000</v>
          </cell>
        </row>
        <row r="3095">
          <cell r="C3095" t="str">
            <v>507-2025</v>
          </cell>
          <cell r="D3095">
            <v>3000000</v>
          </cell>
        </row>
        <row r="3096">
          <cell r="C3096" t="str">
            <v>467-2025</v>
          </cell>
          <cell r="D3096">
            <v>3000000</v>
          </cell>
        </row>
        <row r="3097">
          <cell r="C3097" t="str">
            <v>461-2025</v>
          </cell>
          <cell r="D3097">
            <v>4825000</v>
          </cell>
        </row>
        <row r="3098">
          <cell r="C3098" t="str">
            <v>510-2025</v>
          </cell>
          <cell r="D3098">
            <v>3000000</v>
          </cell>
        </row>
        <row r="3099">
          <cell r="C3099" t="str">
            <v>473-2025</v>
          </cell>
          <cell r="D3099">
            <v>3000000</v>
          </cell>
        </row>
        <row r="3100">
          <cell r="C3100" t="str">
            <v>468-2025</v>
          </cell>
          <cell r="D3100">
            <v>4750000</v>
          </cell>
        </row>
        <row r="3101">
          <cell r="C3101" t="str">
            <v>490-2025</v>
          </cell>
          <cell r="D3101">
            <v>3000000</v>
          </cell>
        </row>
        <row r="3102">
          <cell r="C3102" t="str">
            <v>518-2025</v>
          </cell>
          <cell r="D3102">
            <v>3000000</v>
          </cell>
        </row>
        <row r="3103">
          <cell r="C3103" t="str">
            <v>453-2025</v>
          </cell>
          <cell r="D3103">
            <v>4750000</v>
          </cell>
        </row>
        <row r="3104">
          <cell r="C3104" t="str">
            <v>491-2025</v>
          </cell>
          <cell r="D3104">
            <v>4750000</v>
          </cell>
        </row>
        <row r="3105">
          <cell r="C3105" t="str">
            <v>543-2025</v>
          </cell>
          <cell r="D3105">
            <v>3000000</v>
          </cell>
        </row>
        <row r="3106">
          <cell r="C3106" t="str">
            <v>476-2025</v>
          </cell>
          <cell r="D3106">
            <v>4750000</v>
          </cell>
        </row>
        <row r="3107">
          <cell r="C3107" t="str">
            <v>458-2025</v>
          </cell>
          <cell r="D3107">
            <v>3000000</v>
          </cell>
        </row>
        <row r="3108">
          <cell r="C3108" t="str">
            <v>539-2025</v>
          </cell>
          <cell r="D3108">
            <v>4825000</v>
          </cell>
        </row>
        <row r="3109">
          <cell r="C3109" t="str">
            <v>493-2025</v>
          </cell>
          <cell r="D3109">
            <v>7500000</v>
          </cell>
        </row>
        <row r="3110">
          <cell r="C3110" t="str">
            <v>524-2025</v>
          </cell>
          <cell r="D3110">
            <v>7500000</v>
          </cell>
        </row>
        <row r="3111">
          <cell r="C3111" t="str">
            <v>477-2025</v>
          </cell>
          <cell r="D3111">
            <v>7500000</v>
          </cell>
        </row>
        <row r="3112">
          <cell r="C3112" t="str">
            <v>499-2025</v>
          </cell>
          <cell r="D3112">
            <v>3000000</v>
          </cell>
        </row>
        <row r="3113">
          <cell r="C3113" t="str">
            <v>537-2025</v>
          </cell>
          <cell r="D3113">
            <v>6000000</v>
          </cell>
        </row>
        <row r="3114">
          <cell r="C3114" t="str">
            <v>517-2025</v>
          </cell>
          <cell r="D3114">
            <v>3000000</v>
          </cell>
        </row>
        <row r="3115">
          <cell r="C3115" t="str">
            <v>513-2025</v>
          </cell>
          <cell r="D3115">
            <v>3000000</v>
          </cell>
        </row>
        <row r="3116">
          <cell r="C3116" t="str">
            <v>516-2025</v>
          </cell>
          <cell r="D3116">
            <v>3000000</v>
          </cell>
        </row>
        <row r="3117">
          <cell r="C3117" t="str">
            <v>495-2025</v>
          </cell>
          <cell r="D3117">
            <v>3000000</v>
          </cell>
        </row>
        <row r="3118">
          <cell r="C3118" t="str">
            <v>536-2025</v>
          </cell>
          <cell r="D3118">
            <v>4825000</v>
          </cell>
        </row>
        <row r="3119">
          <cell r="C3119" t="str">
            <v>521-2025</v>
          </cell>
          <cell r="D3119">
            <v>6000000</v>
          </cell>
        </row>
        <row r="3120">
          <cell r="C3120" t="str">
            <v>509-2025</v>
          </cell>
          <cell r="D3120">
            <v>4825000</v>
          </cell>
        </row>
        <row r="3121">
          <cell r="C3121" t="str">
            <v>472-2025</v>
          </cell>
          <cell r="D3121">
            <v>3000000</v>
          </cell>
        </row>
        <row r="3122">
          <cell r="C3122" t="str">
            <v>489-2025</v>
          </cell>
          <cell r="D3122">
            <v>3000000</v>
          </cell>
        </row>
        <row r="3123">
          <cell r="C3123" t="str">
            <v>465-2025</v>
          </cell>
          <cell r="D3123">
            <v>4750000</v>
          </cell>
        </row>
        <row r="3124">
          <cell r="C3124" t="str">
            <v>478-2025</v>
          </cell>
          <cell r="D3124">
            <v>2500000</v>
          </cell>
        </row>
        <row r="3125">
          <cell r="C3125" t="str">
            <v>527-2025</v>
          </cell>
          <cell r="D3125">
            <v>4750000</v>
          </cell>
        </row>
        <row r="3126">
          <cell r="C3126" t="str">
            <v>480-2025</v>
          </cell>
          <cell r="D3126">
            <v>3000000</v>
          </cell>
        </row>
        <row r="3127">
          <cell r="C3127" t="str">
            <v>482-2025</v>
          </cell>
          <cell r="D3127">
            <v>3000000</v>
          </cell>
        </row>
        <row r="3128">
          <cell r="C3128" t="str">
            <v>483-2025</v>
          </cell>
          <cell r="D3128">
            <v>3000000</v>
          </cell>
        </row>
        <row r="3129">
          <cell r="C3129" t="str">
            <v>573-2025</v>
          </cell>
          <cell r="D3129">
            <v>3000000</v>
          </cell>
        </row>
        <row r="3130">
          <cell r="C3130" t="str">
            <v>568-2025</v>
          </cell>
          <cell r="D3130">
            <v>3000000</v>
          </cell>
        </row>
        <row r="3131">
          <cell r="C3131" t="str">
            <v>572-2025</v>
          </cell>
          <cell r="D3131">
            <v>6000000</v>
          </cell>
        </row>
        <row r="3132">
          <cell r="C3132" t="str">
            <v>552-2025</v>
          </cell>
          <cell r="D3132">
            <v>3000000</v>
          </cell>
        </row>
        <row r="3133">
          <cell r="C3133" t="str">
            <v>504-2025</v>
          </cell>
          <cell r="D3133">
            <v>6000000</v>
          </cell>
        </row>
        <row r="3134">
          <cell r="C3134" t="str">
            <v>592-2025</v>
          </cell>
          <cell r="D3134">
            <v>3000000</v>
          </cell>
        </row>
        <row r="3135">
          <cell r="C3135" t="str">
            <v>606-2025</v>
          </cell>
          <cell r="D3135">
            <v>3000000</v>
          </cell>
        </row>
        <row r="3136">
          <cell r="C3136" t="str">
            <v>565-2025</v>
          </cell>
          <cell r="D3136">
            <v>3000000</v>
          </cell>
        </row>
        <row r="3137">
          <cell r="C3137" t="str">
            <v>498-2025</v>
          </cell>
          <cell r="D3137">
            <v>3000000</v>
          </cell>
        </row>
        <row r="3138">
          <cell r="C3138" t="str">
            <v>442-2025</v>
          </cell>
          <cell r="D3138">
            <v>6000000</v>
          </cell>
        </row>
        <row r="3139">
          <cell r="C3139" t="str">
            <v>575-2025</v>
          </cell>
          <cell r="D3139">
            <v>3000000</v>
          </cell>
        </row>
        <row r="3140">
          <cell r="C3140" t="str">
            <v>607-2025</v>
          </cell>
          <cell r="D3140">
            <v>3000000</v>
          </cell>
        </row>
        <row r="3141">
          <cell r="C3141" t="str">
            <v>462-2025</v>
          </cell>
          <cell r="D3141">
            <v>2500000</v>
          </cell>
        </row>
        <row r="3142">
          <cell r="C3142" t="str">
            <v>500-2025</v>
          </cell>
          <cell r="D3142">
            <v>3000000</v>
          </cell>
        </row>
        <row r="3143">
          <cell r="C3143" t="str">
            <v>455-2025</v>
          </cell>
          <cell r="D3143">
            <v>7500000</v>
          </cell>
        </row>
        <row r="3144">
          <cell r="C3144" t="str">
            <v>514-2025</v>
          </cell>
          <cell r="D3144">
            <v>3000000</v>
          </cell>
        </row>
        <row r="3145">
          <cell r="C3145" t="str">
            <v>501-2025</v>
          </cell>
          <cell r="D3145">
            <v>35977830</v>
          </cell>
        </row>
        <row r="3146">
          <cell r="C3146" t="str">
            <v>443-2025</v>
          </cell>
          <cell r="D3146">
            <v>6000000</v>
          </cell>
        </row>
        <row r="3147">
          <cell r="C3147" t="str">
            <v>502-2025</v>
          </cell>
          <cell r="D3147">
            <v>3000000</v>
          </cell>
        </row>
        <row r="3148">
          <cell r="C3148" t="str">
            <v>541-2025</v>
          </cell>
          <cell r="D3148">
            <v>6000000</v>
          </cell>
        </row>
        <row r="3149">
          <cell r="C3149" t="str">
            <v>463-2025</v>
          </cell>
          <cell r="D3149">
            <v>6000000</v>
          </cell>
        </row>
        <row r="3150">
          <cell r="C3150" t="str">
            <v>450-2025</v>
          </cell>
          <cell r="D3150">
            <v>4750000</v>
          </cell>
        </row>
        <row r="3151">
          <cell r="C3151" t="str">
            <v>550-2025</v>
          </cell>
          <cell r="D3151">
            <v>3000000</v>
          </cell>
        </row>
        <row r="3152">
          <cell r="C3152" t="str">
            <v>453-2025</v>
          </cell>
          <cell r="D3152">
            <v>4750000</v>
          </cell>
        </row>
        <row r="3153">
          <cell r="C3153" t="str">
            <v>545-2025</v>
          </cell>
          <cell r="D3153">
            <v>6000000</v>
          </cell>
        </row>
        <row r="3154">
          <cell r="C3154" t="str">
            <v>533-2025</v>
          </cell>
          <cell r="D3154">
            <v>2500000</v>
          </cell>
        </row>
        <row r="3155">
          <cell r="C3155" t="str">
            <v>540-2025</v>
          </cell>
          <cell r="D3155">
            <v>4750000</v>
          </cell>
        </row>
        <row r="3156">
          <cell r="C3156" t="str">
            <v>576-2025</v>
          </cell>
          <cell r="D3156">
            <v>2500000</v>
          </cell>
        </row>
        <row r="3157">
          <cell r="C3157" t="str">
            <v>608-2025</v>
          </cell>
          <cell r="D3157">
            <v>3000000</v>
          </cell>
        </row>
        <row r="3158">
          <cell r="C3158" t="str">
            <v>605-2025</v>
          </cell>
          <cell r="D3158">
            <v>3000000</v>
          </cell>
        </row>
        <row r="3159">
          <cell r="C3159" t="str">
            <v>615-2025</v>
          </cell>
          <cell r="D3159">
            <v>3000000</v>
          </cell>
        </row>
        <row r="3160">
          <cell r="C3160" t="str">
            <v>594-2025</v>
          </cell>
          <cell r="D3160">
            <v>3000000</v>
          </cell>
        </row>
        <row r="3161">
          <cell r="C3161" t="str">
            <v>557-2025</v>
          </cell>
          <cell r="D3161">
            <v>6000000</v>
          </cell>
        </row>
        <row r="3162">
          <cell r="C3162" t="str">
            <v>466-2025</v>
          </cell>
          <cell r="D3162">
            <v>4825000</v>
          </cell>
        </row>
        <row r="3163">
          <cell r="C3163" t="str">
            <v>515-2025</v>
          </cell>
          <cell r="D3163">
            <v>7500000</v>
          </cell>
        </row>
        <row r="3164">
          <cell r="C3164" t="str">
            <v>454-2025</v>
          </cell>
          <cell r="D3164">
            <v>7500000</v>
          </cell>
        </row>
        <row r="3165">
          <cell r="C3165" t="str">
            <v>497-2025</v>
          </cell>
          <cell r="D3165">
            <v>3000000</v>
          </cell>
        </row>
        <row r="3166">
          <cell r="C3166" t="str">
            <v>503-2025</v>
          </cell>
          <cell r="D3166">
            <v>3000000</v>
          </cell>
        </row>
        <row r="3167">
          <cell r="C3167" t="str">
            <v>480-2025</v>
          </cell>
          <cell r="D3167">
            <v>3000000</v>
          </cell>
        </row>
        <row r="3168">
          <cell r="C3168" t="str">
            <v>478-2025</v>
          </cell>
          <cell r="D3168">
            <v>2500000</v>
          </cell>
        </row>
        <row r="3169">
          <cell r="C3169" t="str">
            <v>536-2025</v>
          </cell>
          <cell r="D3169">
            <v>4825000</v>
          </cell>
        </row>
        <row r="3170">
          <cell r="C3170" t="str">
            <v>489-2025</v>
          </cell>
          <cell r="D3170">
            <v>3000000</v>
          </cell>
        </row>
        <row r="3171">
          <cell r="C3171" t="str">
            <v>477-2025</v>
          </cell>
          <cell r="D3171">
            <v>7500000</v>
          </cell>
        </row>
        <row r="3172">
          <cell r="C3172" t="str">
            <v>472-2025</v>
          </cell>
          <cell r="D3172">
            <v>3000000</v>
          </cell>
        </row>
        <row r="3173">
          <cell r="C3173" t="str">
            <v>465-2025</v>
          </cell>
          <cell r="D3173">
            <v>4750000</v>
          </cell>
        </row>
        <row r="3174">
          <cell r="C3174" t="str">
            <v>457-2025</v>
          </cell>
          <cell r="D3174">
            <v>2500000</v>
          </cell>
        </row>
        <row r="3175">
          <cell r="C3175" t="str">
            <v>537-2025</v>
          </cell>
          <cell r="D3175">
            <v>6000000</v>
          </cell>
        </row>
        <row r="3176">
          <cell r="C3176" t="str">
            <v>520-2025</v>
          </cell>
          <cell r="D3176">
            <v>4750000</v>
          </cell>
        </row>
        <row r="3177">
          <cell r="C3177" t="str">
            <v>547-2025</v>
          </cell>
          <cell r="D3177">
            <v>7500000</v>
          </cell>
        </row>
        <row r="3178">
          <cell r="C3178" t="str">
            <v>496-2025</v>
          </cell>
          <cell r="D3178">
            <v>6000000</v>
          </cell>
        </row>
        <row r="3179">
          <cell r="C3179" t="str">
            <v>461-2025</v>
          </cell>
          <cell r="D3179">
            <v>4825000</v>
          </cell>
        </row>
        <row r="3180">
          <cell r="C3180" t="str">
            <v>554-2025</v>
          </cell>
          <cell r="D3180">
            <v>2500000</v>
          </cell>
        </row>
        <row r="3181">
          <cell r="C3181" t="str">
            <v>535-2025</v>
          </cell>
          <cell r="D3181">
            <v>6000000</v>
          </cell>
        </row>
        <row r="3182">
          <cell r="C3182" t="str">
            <v>635-2025</v>
          </cell>
          <cell r="D3182">
            <v>173682694</v>
          </cell>
        </row>
        <row r="3183">
          <cell r="C3183" t="str">
            <v>452-2025</v>
          </cell>
          <cell r="D3183">
            <v>4825000</v>
          </cell>
        </row>
        <row r="3184">
          <cell r="C3184" t="str">
            <v>553-2025</v>
          </cell>
          <cell r="D3184">
            <v>2500000</v>
          </cell>
        </row>
        <row r="3185">
          <cell r="C3185" t="str">
            <v>464-2025</v>
          </cell>
          <cell r="D3185">
            <v>6000000</v>
          </cell>
        </row>
        <row r="3186">
          <cell r="C3186" t="str">
            <v>459-2025</v>
          </cell>
          <cell r="D3186">
            <v>3000000</v>
          </cell>
        </row>
        <row r="3187">
          <cell r="C3187" t="str">
            <v>548-2025</v>
          </cell>
          <cell r="D3187">
            <v>3000000</v>
          </cell>
        </row>
        <row r="3188">
          <cell r="C3188" t="str">
            <v>544-2025</v>
          </cell>
          <cell r="D3188">
            <v>2500000</v>
          </cell>
        </row>
        <row r="3189">
          <cell r="C3189" t="str">
            <v>502-2025</v>
          </cell>
          <cell r="D3189">
            <v>3000000</v>
          </cell>
        </row>
        <row r="3190">
          <cell r="C3190" t="str">
            <v>495-2025</v>
          </cell>
          <cell r="D3190">
            <v>3000000</v>
          </cell>
        </row>
        <row r="3191">
          <cell r="C3191" t="str">
            <v>468-2025</v>
          </cell>
          <cell r="D3191">
            <v>4750000</v>
          </cell>
        </row>
        <row r="3192">
          <cell r="C3192" t="str">
            <v>493-2025</v>
          </cell>
          <cell r="D3192">
            <v>7500000</v>
          </cell>
        </row>
        <row r="3193">
          <cell r="C3193" t="str">
            <v>516-2025</v>
          </cell>
          <cell r="D3193">
            <v>3000000</v>
          </cell>
        </row>
        <row r="3194">
          <cell r="C3194" t="str">
            <v>479-2025</v>
          </cell>
          <cell r="D3194">
            <v>3000000</v>
          </cell>
        </row>
        <row r="3195">
          <cell r="C3195" t="str">
            <v>481-2025</v>
          </cell>
          <cell r="D3195">
            <v>3000000</v>
          </cell>
        </row>
        <row r="3196">
          <cell r="C3196" t="str">
            <v>517-2025</v>
          </cell>
          <cell r="D3196">
            <v>3000000</v>
          </cell>
        </row>
        <row r="3197">
          <cell r="C3197" t="str">
            <v>564-2025</v>
          </cell>
          <cell r="D3197">
            <v>3000000</v>
          </cell>
        </row>
        <row r="3198">
          <cell r="C3198" t="str">
            <v>524-2025</v>
          </cell>
          <cell r="D3198">
            <v>7500000</v>
          </cell>
        </row>
        <row r="3199">
          <cell r="C3199" t="str">
            <v>484-2025</v>
          </cell>
          <cell r="D3199">
            <v>2500000</v>
          </cell>
        </row>
        <row r="3200">
          <cell r="C3200" t="str">
            <v>467-2025</v>
          </cell>
          <cell r="D3200">
            <v>3000000</v>
          </cell>
        </row>
        <row r="3201">
          <cell r="C3201" t="str">
            <v>637-2025</v>
          </cell>
          <cell r="D3201">
            <v>2500000</v>
          </cell>
        </row>
        <row r="3202">
          <cell r="C3202" t="str">
            <v>539-2025</v>
          </cell>
          <cell r="D3202">
            <v>4825000</v>
          </cell>
        </row>
        <row r="3203">
          <cell r="C3203" t="str">
            <v>556-2025</v>
          </cell>
          <cell r="D3203">
            <v>2600000</v>
          </cell>
        </row>
        <row r="3204">
          <cell r="C3204" t="str">
            <v>458-2025</v>
          </cell>
          <cell r="D3204">
            <v>3000000</v>
          </cell>
        </row>
        <row r="3205">
          <cell r="C3205" t="str">
            <v>633-2025</v>
          </cell>
          <cell r="D3205">
            <v>3000000</v>
          </cell>
        </row>
        <row r="3206">
          <cell r="C3206" t="str">
            <v>654-2025</v>
          </cell>
          <cell r="D3206">
            <v>3000000</v>
          </cell>
        </row>
        <row r="3207">
          <cell r="C3207" t="str">
            <v>494-2025</v>
          </cell>
          <cell r="D3207">
            <v>6000000</v>
          </cell>
        </row>
        <row r="3208">
          <cell r="C3208" t="str">
            <v>527-2025</v>
          </cell>
          <cell r="D3208">
            <v>4750000</v>
          </cell>
        </row>
        <row r="3209">
          <cell r="C3209" t="str">
            <v>525-2025</v>
          </cell>
          <cell r="D3209">
            <v>2500000</v>
          </cell>
        </row>
        <row r="3210">
          <cell r="C3210" t="str">
            <v>655-2025</v>
          </cell>
          <cell r="D3210">
            <v>3000000</v>
          </cell>
        </row>
        <row r="3211">
          <cell r="C3211" t="str">
            <v>518-2025</v>
          </cell>
          <cell r="D3211">
            <v>3000000</v>
          </cell>
        </row>
        <row r="3212">
          <cell r="C3212" t="str">
            <v>483-2025</v>
          </cell>
          <cell r="D3212">
            <v>3000000</v>
          </cell>
        </row>
        <row r="3213">
          <cell r="C3213" t="str">
            <v>540-2025</v>
          </cell>
          <cell r="D3213">
            <v>4750000</v>
          </cell>
        </row>
        <row r="3214">
          <cell r="C3214" t="str">
            <v>463-2025</v>
          </cell>
          <cell r="D3214">
            <v>6000000</v>
          </cell>
        </row>
        <row r="3215">
          <cell r="C3215" t="str">
            <v>549-2025</v>
          </cell>
          <cell r="D3215">
            <v>3000000</v>
          </cell>
        </row>
        <row r="3216">
          <cell r="C3216" t="str">
            <v>499-2025</v>
          </cell>
          <cell r="D3216">
            <v>3000000</v>
          </cell>
        </row>
        <row r="3217">
          <cell r="C3217" t="str">
            <v>590-2025</v>
          </cell>
          <cell r="D3217">
            <v>4825000</v>
          </cell>
        </row>
        <row r="3218">
          <cell r="C3218" t="str">
            <v>491-2025</v>
          </cell>
          <cell r="D3218">
            <v>4750000</v>
          </cell>
        </row>
        <row r="3219">
          <cell r="C3219" t="str">
            <v>498-2025</v>
          </cell>
          <cell r="D3219">
            <v>3000000</v>
          </cell>
        </row>
        <row r="3220">
          <cell r="C3220" t="str">
            <v>515-2025</v>
          </cell>
          <cell r="D3220">
            <v>7500000</v>
          </cell>
        </row>
        <row r="3221">
          <cell r="C3221" t="str">
            <v>503-2025</v>
          </cell>
          <cell r="D3221">
            <v>3000000</v>
          </cell>
        </row>
        <row r="3222">
          <cell r="C3222" t="str">
            <v>660-2025</v>
          </cell>
          <cell r="D3222">
            <v>6000000</v>
          </cell>
        </row>
        <row r="3223">
          <cell r="C3223" t="str">
            <v>557-2025</v>
          </cell>
          <cell r="D3223">
            <v>6000000</v>
          </cell>
        </row>
        <row r="3224">
          <cell r="C3224" t="str">
            <v>601-2025</v>
          </cell>
          <cell r="D3224">
            <v>6000000</v>
          </cell>
        </row>
        <row r="3225">
          <cell r="C3225" t="str">
            <v>564-2025</v>
          </cell>
          <cell r="D3225">
            <v>3000000</v>
          </cell>
        </row>
        <row r="3226">
          <cell r="C3226" t="str">
            <v>533-2025</v>
          </cell>
          <cell r="D3226">
            <v>2500000</v>
          </cell>
        </row>
        <row r="3227">
          <cell r="C3227" t="str">
            <v>547-2025</v>
          </cell>
          <cell r="D3227">
            <v>7500000</v>
          </cell>
        </row>
        <row r="3228">
          <cell r="C3228" t="str">
            <v>513-2025</v>
          </cell>
          <cell r="D3228">
            <v>3000000</v>
          </cell>
        </row>
        <row r="3229">
          <cell r="C3229" t="str">
            <v>457-2025</v>
          </cell>
          <cell r="D3229">
            <v>2500000</v>
          </cell>
        </row>
        <row r="3230">
          <cell r="C3230" t="str">
            <v>522-2025</v>
          </cell>
          <cell r="D3230">
            <v>2500000</v>
          </cell>
        </row>
        <row r="3231">
          <cell r="C3231" t="str">
            <v>487-2025</v>
          </cell>
          <cell r="D3231">
            <v>7500000</v>
          </cell>
        </row>
        <row r="3232">
          <cell r="C3232" t="str">
            <v>530-2025</v>
          </cell>
          <cell r="D3232">
            <v>75393000</v>
          </cell>
        </row>
        <row r="3233">
          <cell r="C3233" t="str">
            <v>543-2025</v>
          </cell>
          <cell r="D3233">
            <v>3000000</v>
          </cell>
        </row>
        <row r="3234">
          <cell r="C3234" t="str">
            <v>500-2025</v>
          </cell>
          <cell r="D3234">
            <v>3000000</v>
          </cell>
        </row>
        <row r="3235">
          <cell r="C3235" t="str">
            <v>474-2025</v>
          </cell>
          <cell r="D3235">
            <v>2500000</v>
          </cell>
        </row>
        <row r="3236">
          <cell r="C3236" t="str">
            <v>455-2025</v>
          </cell>
          <cell r="D3236">
            <v>7500000</v>
          </cell>
        </row>
        <row r="3237">
          <cell r="C3237" t="str">
            <v>565-2025</v>
          </cell>
          <cell r="D3237">
            <v>3000000</v>
          </cell>
        </row>
        <row r="3238">
          <cell r="C3238" t="str">
            <v>592-2025</v>
          </cell>
          <cell r="D3238">
            <v>3000000</v>
          </cell>
        </row>
        <row r="3239">
          <cell r="C3239" t="str">
            <v>614-2025</v>
          </cell>
          <cell r="D3239">
            <v>3000000</v>
          </cell>
        </row>
        <row r="3240">
          <cell r="C3240" t="str">
            <v>545-2025</v>
          </cell>
          <cell r="D3240">
            <v>6000000</v>
          </cell>
        </row>
        <row r="3241">
          <cell r="C3241" t="str">
            <v>643-2025</v>
          </cell>
          <cell r="D3241">
            <v>6000000</v>
          </cell>
        </row>
        <row r="3242">
          <cell r="C3242" t="str">
            <v>569-2025</v>
          </cell>
          <cell r="D3242">
            <v>2500000</v>
          </cell>
        </row>
        <row r="3243">
          <cell r="C3243" t="str">
            <v>575-2025</v>
          </cell>
          <cell r="D3243">
            <v>3000000</v>
          </cell>
        </row>
        <row r="3244">
          <cell r="C3244" t="str">
            <v>507-2025</v>
          </cell>
          <cell r="D3244">
            <v>3000000</v>
          </cell>
        </row>
        <row r="3245">
          <cell r="C3245" t="str">
            <v>573-2025</v>
          </cell>
          <cell r="D3245">
            <v>3000000</v>
          </cell>
        </row>
        <row r="3246">
          <cell r="C3246" t="str">
            <v>607-2025</v>
          </cell>
          <cell r="D3246">
            <v>3000000</v>
          </cell>
        </row>
        <row r="3247">
          <cell r="C3247" t="str">
            <v>510-2025</v>
          </cell>
          <cell r="D3247">
            <v>3000000</v>
          </cell>
        </row>
        <row r="3248">
          <cell r="C3248" t="str">
            <v>471-2025</v>
          </cell>
          <cell r="D3248">
            <v>7500000</v>
          </cell>
        </row>
        <row r="3249">
          <cell r="C3249" t="str">
            <v>488-2025</v>
          </cell>
          <cell r="D3249">
            <v>5000000</v>
          </cell>
        </row>
        <row r="3250">
          <cell r="C3250" t="str">
            <v>532-2025</v>
          </cell>
          <cell r="D3250">
            <v>5000000</v>
          </cell>
        </row>
        <row r="3251">
          <cell r="C3251" t="str">
            <v>642-2025</v>
          </cell>
          <cell r="D3251">
            <v>3000000</v>
          </cell>
        </row>
        <row r="3252">
          <cell r="C3252" t="str">
            <v>552-2025</v>
          </cell>
          <cell r="D3252">
            <v>3000000</v>
          </cell>
        </row>
        <row r="3253">
          <cell r="C3253" t="str">
            <v>609-2025</v>
          </cell>
          <cell r="D3253">
            <v>2500000</v>
          </cell>
        </row>
        <row r="3254">
          <cell r="C3254" t="str">
            <v>631-2025</v>
          </cell>
          <cell r="D3254">
            <v>6000000</v>
          </cell>
        </row>
        <row r="3255">
          <cell r="C3255" t="str">
            <v>475-2025</v>
          </cell>
          <cell r="D3255">
            <v>6000000</v>
          </cell>
        </row>
        <row r="3256">
          <cell r="C3256" t="str">
            <v>572-2025</v>
          </cell>
          <cell r="D3256">
            <v>6000000</v>
          </cell>
        </row>
        <row r="3257">
          <cell r="C3257" t="str">
            <v>509-2025</v>
          </cell>
          <cell r="D3257">
            <v>4825000</v>
          </cell>
        </row>
        <row r="3258">
          <cell r="C3258" t="str">
            <v>504-2025</v>
          </cell>
          <cell r="D3258">
            <v>6000000</v>
          </cell>
        </row>
        <row r="3259">
          <cell r="C3259" t="str">
            <v>476-2025</v>
          </cell>
          <cell r="D3259">
            <v>4750000</v>
          </cell>
        </row>
        <row r="3260">
          <cell r="C3260" t="str">
            <v>605-2025</v>
          </cell>
          <cell r="D3260">
            <v>3000000</v>
          </cell>
        </row>
        <row r="3261">
          <cell r="C3261" t="str">
            <v>580-2025</v>
          </cell>
          <cell r="D3261">
            <v>3000000</v>
          </cell>
        </row>
        <row r="3262">
          <cell r="C3262" t="str">
            <v>615-2025</v>
          </cell>
          <cell r="D3262">
            <v>3000000</v>
          </cell>
        </row>
        <row r="3263">
          <cell r="C3263" t="str">
            <v>667-2025</v>
          </cell>
          <cell r="D3263">
            <v>3000000</v>
          </cell>
        </row>
        <row r="3264">
          <cell r="C3264" t="str">
            <v>594-2025</v>
          </cell>
          <cell r="D3264">
            <v>3000000</v>
          </cell>
        </row>
        <row r="3265">
          <cell r="C3265" t="str">
            <v>470-2025</v>
          </cell>
          <cell r="D3265">
            <v>4825000</v>
          </cell>
        </row>
        <row r="3266">
          <cell r="C3266" t="str">
            <v>608-2025</v>
          </cell>
          <cell r="D3266">
            <v>3000000</v>
          </cell>
        </row>
        <row r="3267">
          <cell r="C3267" t="str">
            <v>663-2025</v>
          </cell>
          <cell r="D3267">
            <v>6000000</v>
          </cell>
        </row>
        <row r="3268">
          <cell r="C3268" t="str">
            <v>496-2025</v>
          </cell>
          <cell r="D3268">
            <v>6000000</v>
          </cell>
        </row>
        <row r="3269">
          <cell r="C3269" t="str">
            <v>479-2025</v>
          </cell>
          <cell r="D3269">
            <v>3000000</v>
          </cell>
        </row>
        <row r="3270">
          <cell r="C3270" t="str">
            <v>481-2025</v>
          </cell>
          <cell r="D3270">
            <v>3000000</v>
          </cell>
        </row>
        <row r="3271">
          <cell r="C3271" t="str">
            <v>606-2025</v>
          </cell>
          <cell r="D3271">
            <v>3000000</v>
          </cell>
        </row>
        <row r="3272">
          <cell r="C3272" t="str">
            <v>574-2025</v>
          </cell>
          <cell r="D3272">
            <v>2500000</v>
          </cell>
        </row>
        <row r="3273">
          <cell r="C3273" t="str">
            <v>492-2025</v>
          </cell>
          <cell r="D3273">
            <v>3000000</v>
          </cell>
        </row>
        <row r="3274">
          <cell r="C3274" t="str">
            <v>688-2025</v>
          </cell>
          <cell r="D3274">
            <v>3000000</v>
          </cell>
        </row>
        <row r="3275">
          <cell r="C3275" t="str">
            <v>601-2025</v>
          </cell>
          <cell r="D3275">
            <v>6000000</v>
          </cell>
        </row>
        <row r="3276">
          <cell r="C3276" t="str">
            <v>609-2025</v>
          </cell>
          <cell r="D3276">
            <v>2500000</v>
          </cell>
        </row>
        <row r="3277">
          <cell r="C3277" t="str">
            <v>482-2025</v>
          </cell>
          <cell r="D3277">
            <v>3000000</v>
          </cell>
        </row>
        <row r="3278">
          <cell r="C3278" t="str">
            <v>568-2025</v>
          </cell>
          <cell r="D3278">
            <v>3000000</v>
          </cell>
        </row>
        <row r="3279">
          <cell r="C3279" t="str">
            <v>521-2025</v>
          </cell>
          <cell r="D3279">
            <v>6000000</v>
          </cell>
        </row>
        <row r="3280">
          <cell r="C3280" t="str">
            <v>473-2025</v>
          </cell>
          <cell r="D3280">
            <v>3000000</v>
          </cell>
        </row>
        <row r="3281">
          <cell r="C3281" t="str">
            <v>484-2025</v>
          </cell>
          <cell r="D3281">
            <v>2500000</v>
          </cell>
        </row>
        <row r="3282">
          <cell r="C3282" t="str">
            <v>490-2025</v>
          </cell>
          <cell r="D3282">
            <v>3000000</v>
          </cell>
        </row>
        <row r="3283">
          <cell r="C3283" t="str">
            <v>624-2025</v>
          </cell>
          <cell r="D3283">
            <v>3000000</v>
          </cell>
        </row>
        <row r="3284">
          <cell r="C3284" t="str">
            <v>614-2025</v>
          </cell>
          <cell r="D3284">
            <v>3000000</v>
          </cell>
        </row>
        <row r="3285">
          <cell r="C3285" t="str">
            <v>530-2025</v>
          </cell>
          <cell r="D3285">
            <v>49606946</v>
          </cell>
        </row>
        <row r="3286">
          <cell r="C3286" t="str">
            <v>497-2025</v>
          </cell>
          <cell r="D3286">
            <v>3000000</v>
          </cell>
        </row>
        <row r="3287">
          <cell r="C3287" t="str">
            <v>550-2025</v>
          </cell>
          <cell r="D3287">
            <v>3000000</v>
          </cell>
        </row>
        <row r="3288">
          <cell r="C3288" t="str">
            <v>590-2025</v>
          </cell>
          <cell r="D3288">
            <v>4825000</v>
          </cell>
        </row>
        <row r="3289">
          <cell r="C3289" t="str">
            <v>659-2025</v>
          </cell>
          <cell r="D3289">
            <v>4825000</v>
          </cell>
        </row>
        <row r="3290">
          <cell r="C3290" t="str">
            <v>514-2025</v>
          </cell>
          <cell r="D3290">
            <v>3000000</v>
          </cell>
        </row>
        <row r="3291">
          <cell r="C3291" t="str">
            <v>579-2025</v>
          </cell>
          <cell r="D3291">
            <v>3000000</v>
          </cell>
        </row>
        <row r="3292">
          <cell r="C3292" t="str">
            <v>658-2025</v>
          </cell>
          <cell r="D3292">
            <v>3000000</v>
          </cell>
        </row>
        <row r="3293">
          <cell r="C3293" t="str">
            <v>655-2025</v>
          </cell>
          <cell r="D3293">
            <v>3000000</v>
          </cell>
        </row>
        <row r="3294">
          <cell r="C3294" t="str">
            <v>633-2025</v>
          </cell>
          <cell r="D3294">
            <v>3000000</v>
          </cell>
        </row>
        <row r="3295">
          <cell r="C3295" t="str">
            <v>678-2025</v>
          </cell>
          <cell r="D3295">
            <v>2500000</v>
          </cell>
        </row>
        <row r="3296">
          <cell r="C3296" t="str">
            <v>685-2025</v>
          </cell>
          <cell r="D3296">
            <v>3000000</v>
          </cell>
        </row>
        <row r="3297">
          <cell r="C3297" t="str">
            <v>642-2025</v>
          </cell>
          <cell r="D3297">
            <v>3000000</v>
          </cell>
        </row>
        <row r="3298">
          <cell r="C3298" t="str">
            <v>674-2025</v>
          </cell>
          <cell r="D3298">
            <v>6000000</v>
          </cell>
        </row>
        <row r="3299">
          <cell r="C3299" t="str">
            <v>487-2025</v>
          </cell>
          <cell r="D3299">
            <v>7500000</v>
          </cell>
        </row>
        <row r="3300">
          <cell r="C3300" t="str">
            <v>683-2025</v>
          </cell>
          <cell r="D3300">
            <v>3000000</v>
          </cell>
        </row>
        <row r="3301">
          <cell r="C3301" t="str">
            <v>511-2025</v>
          </cell>
          <cell r="D3301">
            <v>2500000</v>
          </cell>
        </row>
        <row r="3302">
          <cell r="C3302" t="str">
            <v>546-2025</v>
          </cell>
          <cell r="D3302">
            <v>3000000</v>
          </cell>
        </row>
        <row r="3303">
          <cell r="C3303" t="str">
            <v>576-2025</v>
          </cell>
          <cell r="D3303">
            <v>2500000</v>
          </cell>
        </row>
        <row r="3304">
          <cell r="C3304" t="str">
            <v>535-2025</v>
          </cell>
          <cell r="D3304">
            <v>6000000</v>
          </cell>
        </row>
        <row r="3305">
          <cell r="C3305" t="str">
            <v>544-2025</v>
          </cell>
          <cell r="D3305">
            <v>2500000</v>
          </cell>
        </row>
        <row r="3306">
          <cell r="C3306" t="str">
            <v>520-2025</v>
          </cell>
          <cell r="D3306">
            <v>4750000</v>
          </cell>
        </row>
        <row r="3307">
          <cell r="C3307" t="str">
            <v>624-2025</v>
          </cell>
          <cell r="D3307">
            <v>3000000</v>
          </cell>
        </row>
        <row r="3308">
          <cell r="C3308" t="str">
            <v>580-2025</v>
          </cell>
          <cell r="D3308">
            <v>3000000</v>
          </cell>
        </row>
        <row r="3309">
          <cell r="C3309" t="str">
            <v>574-2025</v>
          </cell>
          <cell r="D3309">
            <v>2500000</v>
          </cell>
        </row>
        <row r="3310">
          <cell r="C3310" t="str">
            <v>525-2025</v>
          </cell>
          <cell r="D3310">
            <v>2500000</v>
          </cell>
        </row>
        <row r="3311">
          <cell r="C3311" t="str">
            <v>541-2025</v>
          </cell>
          <cell r="D3311">
            <v>6000000</v>
          </cell>
        </row>
        <row r="3312">
          <cell r="C3312" t="str">
            <v>549-2025</v>
          </cell>
          <cell r="D3312">
            <v>3000000</v>
          </cell>
        </row>
        <row r="3313">
          <cell r="C3313" t="str">
            <v>462-2025</v>
          </cell>
          <cell r="D3313">
            <v>2500000</v>
          </cell>
        </row>
        <row r="3314">
          <cell r="C3314" t="str">
            <v>679-2025</v>
          </cell>
          <cell r="D3314">
            <v>3000000</v>
          </cell>
        </row>
        <row r="3315">
          <cell r="C3315" t="str">
            <v>689-2025</v>
          </cell>
          <cell r="D3315">
            <v>3000000</v>
          </cell>
        </row>
        <row r="3316">
          <cell r="C3316" t="str">
            <v>475-2025</v>
          </cell>
          <cell r="D3316">
            <v>6000000</v>
          </cell>
        </row>
        <row r="3317">
          <cell r="C3317" t="str">
            <v>604-2025</v>
          </cell>
          <cell r="D3317">
            <v>2500000</v>
          </cell>
        </row>
        <row r="3318">
          <cell r="C3318" t="str">
            <v>604-2025</v>
          </cell>
          <cell r="D3318">
            <v>2500000</v>
          </cell>
        </row>
        <row r="3319">
          <cell r="C3319" t="str">
            <v>631-2025</v>
          </cell>
          <cell r="D3319">
            <v>6000000</v>
          </cell>
        </row>
        <row r="3320">
          <cell r="C3320" t="str">
            <v>661-2025</v>
          </cell>
          <cell r="D3320">
            <v>3000000</v>
          </cell>
        </row>
        <row r="3321">
          <cell r="C3321" t="str">
            <v>637-2025</v>
          </cell>
          <cell r="D3321">
            <v>2500000</v>
          </cell>
        </row>
        <row r="3322">
          <cell r="C3322" t="str">
            <v>553-2025</v>
          </cell>
          <cell r="D3322">
            <v>2500000</v>
          </cell>
        </row>
        <row r="3323">
          <cell r="C3323" t="str">
            <v>682-2025</v>
          </cell>
          <cell r="D3323">
            <v>3000000</v>
          </cell>
        </row>
        <row r="3324">
          <cell r="C3324" t="str">
            <v>662-2025</v>
          </cell>
          <cell r="D3324">
            <v>6000000</v>
          </cell>
        </row>
        <row r="3325">
          <cell r="C3325" t="str">
            <v>667-2025</v>
          </cell>
          <cell r="D3325">
            <v>3000000</v>
          </cell>
        </row>
        <row r="3326">
          <cell r="C3326" t="str">
            <v>588-2025</v>
          </cell>
          <cell r="D3326">
            <v>3000000</v>
          </cell>
        </row>
        <row r="3327">
          <cell r="C3327" t="str">
            <v>663-2025</v>
          </cell>
          <cell r="D3327">
            <v>6000000</v>
          </cell>
        </row>
        <row r="3328">
          <cell r="C3328" t="str">
            <v>554-2025</v>
          </cell>
          <cell r="D3328">
            <v>2500000</v>
          </cell>
        </row>
        <row r="3329">
          <cell r="C3329" t="str">
            <v>548-2025</v>
          </cell>
          <cell r="D3329">
            <v>3000000</v>
          </cell>
        </row>
        <row r="3330">
          <cell r="C3330" t="str">
            <v>643-2025</v>
          </cell>
          <cell r="D3330">
            <v>6000000</v>
          </cell>
        </row>
        <row r="3331">
          <cell r="C3331" t="str">
            <v>662-2025</v>
          </cell>
          <cell r="D3331">
            <v>6000000</v>
          </cell>
        </row>
        <row r="3332">
          <cell r="C3332" t="str">
            <v>660-2025</v>
          </cell>
          <cell r="D3332">
            <v>6000000</v>
          </cell>
        </row>
        <row r="3333">
          <cell r="C3333" t="str">
            <v>636-2025</v>
          </cell>
          <cell r="D3333">
            <v>3000000</v>
          </cell>
        </row>
        <row r="3334">
          <cell r="C3334" t="str">
            <v>492-2025</v>
          </cell>
          <cell r="D3334">
            <v>3000000</v>
          </cell>
        </row>
        <row r="3335">
          <cell r="C3335" t="str">
            <v>654-2025</v>
          </cell>
          <cell r="D3335">
            <v>3000000</v>
          </cell>
        </row>
        <row r="3336">
          <cell r="C3336" t="str">
            <v>534-2025</v>
          </cell>
          <cell r="D3336">
            <v>4200000</v>
          </cell>
        </row>
        <row r="3337">
          <cell r="C3337" t="str">
            <v>542-2025</v>
          </cell>
          <cell r="D3337">
            <v>7500000</v>
          </cell>
        </row>
        <row r="3338">
          <cell r="C3338" t="str">
            <v>542-2025</v>
          </cell>
          <cell r="D3338">
            <v>7500000</v>
          </cell>
        </row>
        <row r="3339">
          <cell r="C3339" t="str">
            <v>522-2025</v>
          </cell>
          <cell r="D3339">
            <v>2500000</v>
          </cell>
        </row>
        <row r="3340">
          <cell r="C3340" t="str">
            <v>579-2025</v>
          </cell>
          <cell r="D3340">
            <v>3000000</v>
          </cell>
        </row>
        <row r="3341">
          <cell r="C3341" t="str">
            <v>680-2025</v>
          </cell>
          <cell r="D3341">
            <v>3000000</v>
          </cell>
        </row>
        <row r="3342">
          <cell r="C3342" t="str">
            <v>658-2025</v>
          </cell>
          <cell r="D3342">
            <v>3000000</v>
          </cell>
        </row>
        <row r="3343">
          <cell r="C3343" t="str">
            <v>456-2025</v>
          </cell>
          <cell r="D3343">
            <v>3000000</v>
          </cell>
        </row>
        <row r="3344">
          <cell r="C3344" t="str">
            <v>351-2024</v>
          </cell>
          <cell r="D3344">
            <v>1500000</v>
          </cell>
        </row>
        <row r="3345">
          <cell r="C3345" t="str">
            <v>200-2025</v>
          </cell>
          <cell r="D3345">
            <v>2500000</v>
          </cell>
        </row>
        <row r="3346">
          <cell r="C3346" t="str">
            <v>448-2025</v>
          </cell>
          <cell r="D3346">
            <v>7500000</v>
          </cell>
        </row>
        <row r="3347">
          <cell r="C3347" t="str">
            <v>438-2025</v>
          </cell>
          <cell r="D3347">
            <v>3000000</v>
          </cell>
        </row>
        <row r="3348">
          <cell r="C3348" t="str">
            <v>432-2025</v>
          </cell>
          <cell r="D3348">
            <v>3000000</v>
          </cell>
        </row>
        <row r="3349">
          <cell r="C3349" t="str">
            <v>433-2025</v>
          </cell>
          <cell r="D3349">
            <v>3000000</v>
          </cell>
        </row>
        <row r="3350">
          <cell r="C3350" t="str">
            <v>434-2025</v>
          </cell>
          <cell r="D3350">
            <v>3000000</v>
          </cell>
        </row>
        <row r="3351">
          <cell r="C3351" t="str">
            <v>431-2025</v>
          </cell>
          <cell r="D3351">
            <v>3000000</v>
          </cell>
        </row>
        <row r="3352">
          <cell r="C3352" t="str">
            <v>446-2025</v>
          </cell>
          <cell r="D3352">
            <v>4750000</v>
          </cell>
        </row>
        <row r="3353">
          <cell r="C3353" t="str">
            <v>439-2025</v>
          </cell>
          <cell r="D3353">
            <v>7500000</v>
          </cell>
        </row>
        <row r="3354">
          <cell r="C3354" t="str">
            <v>441-2025</v>
          </cell>
          <cell r="D3354">
            <v>3000000</v>
          </cell>
        </row>
        <row r="3355">
          <cell r="C3355" t="str">
            <v>444-2025</v>
          </cell>
          <cell r="D3355">
            <v>7500000</v>
          </cell>
        </row>
        <row r="3356">
          <cell r="C3356" t="str">
            <v>427-2025</v>
          </cell>
          <cell r="D3356">
            <v>3000000</v>
          </cell>
        </row>
        <row r="3357">
          <cell r="C3357" t="str">
            <v>430-2025</v>
          </cell>
          <cell r="D3357">
            <v>3000000</v>
          </cell>
        </row>
        <row r="3358">
          <cell r="C3358" t="str">
            <v>447-2025</v>
          </cell>
          <cell r="D3358">
            <v>4750000</v>
          </cell>
        </row>
        <row r="3359">
          <cell r="C3359" t="str">
            <v>428-2025</v>
          </cell>
          <cell r="D3359">
            <v>3000000</v>
          </cell>
        </row>
        <row r="3360">
          <cell r="C3360" t="str">
            <v>440-2025</v>
          </cell>
          <cell r="D3360">
            <v>4825000</v>
          </cell>
        </row>
        <row r="3361">
          <cell r="C3361" t="str">
            <v>436-2025</v>
          </cell>
          <cell r="D3361">
            <v>3000000</v>
          </cell>
        </row>
        <row r="3362">
          <cell r="C3362" t="str">
            <v>428-2025</v>
          </cell>
          <cell r="D3362">
            <v>3000000</v>
          </cell>
        </row>
        <row r="3363">
          <cell r="C3363" t="str">
            <v>441-2025</v>
          </cell>
          <cell r="D3363">
            <v>3000000</v>
          </cell>
        </row>
        <row r="3364">
          <cell r="C3364" t="str">
            <v>444-2025</v>
          </cell>
          <cell r="D3364">
            <v>7500000</v>
          </cell>
        </row>
        <row r="3365">
          <cell r="C3365" t="str">
            <v>427-2025</v>
          </cell>
          <cell r="D3365">
            <v>3000000</v>
          </cell>
        </row>
        <row r="3366">
          <cell r="C3366" t="str">
            <v>434-2025</v>
          </cell>
          <cell r="D3366">
            <v>3000000</v>
          </cell>
        </row>
        <row r="3367">
          <cell r="C3367" t="str">
            <v>433-2025</v>
          </cell>
          <cell r="D3367">
            <v>3000000</v>
          </cell>
        </row>
        <row r="3368">
          <cell r="C3368" t="str">
            <v>431-2025</v>
          </cell>
          <cell r="D3368">
            <v>3000000</v>
          </cell>
        </row>
        <row r="3369">
          <cell r="C3369" t="str">
            <v>430-2025</v>
          </cell>
          <cell r="D3369">
            <v>3000000</v>
          </cell>
        </row>
        <row r="3370">
          <cell r="C3370" t="str">
            <v>448-2025</v>
          </cell>
          <cell r="D3370">
            <v>7500000</v>
          </cell>
        </row>
        <row r="3371">
          <cell r="C3371" t="str">
            <v>436-2025</v>
          </cell>
          <cell r="D3371">
            <v>3000000</v>
          </cell>
        </row>
        <row r="3372">
          <cell r="C3372" t="str">
            <v>438-2025</v>
          </cell>
          <cell r="D3372">
            <v>3000000</v>
          </cell>
        </row>
        <row r="3373">
          <cell r="C3373" t="str">
            <v>440-2025</v>
          </cell>
          <cell r="D3373">
            <v>4825000</v>
          </cell>
        </row>
        <row r="3374">
          <cell r="C3374" t="str">
            <v>439-2025</v>
          </cell>
          <cell r="D3374">
            <v>7500000</v>
          </cell>
        </row>
        <row r="3375">
          <cell r="C3375" t="str">
            <v>432-2025</v>
          </cell>
          <cell r="D3375">
            <v>1900000</v>
          </cell>
        </row>
        <row r="3376">
          <cell r="C3376" t="str">
            <v>446-2025</v>
          </cell>
          <cell r="D3376">
            <v>4750000</v>
          </cell>
        </row>
        <row r="3377">
          <cell r="C3377" t="str">
            <v>447-2025</v>
          </cell>
          <cell r="D3377">
            <v>4750000</v>
          </cell>
        </row>
        <row r="3378">
          <cell r="C3378" t="str">
            <v>546-2025</v>
          </cell>
          <cell r="D3378">
            <v>3000000</v>
          </cell>
        </row>
        <row r="3379">
          <cell r="C3379" t="str">
            <v>689-2025</v>
          </cell>
          <cell r="D3379">
            <v>3000000</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BAA26-7F52-4D8D-BFF4-0902A1F6368A}">
  <dimension ref="A1:S1567"/>
  <sheetViews>
    <sheetView workbookViewId="0">
      <selection activeCell="R2" sqref="R2:R1567"/>
    </sheetView>
  </sheetViews>
  <sheetFormatPr baseColWidth="10" defaultRowHeight="15" x14ac:dyDescent="0.25"/>
  <cols>
    <col min="17" max="18" width="15.140625" bestFit="1" customWidth="1"/>
    <col min="19" max="19" width="14.710937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row>
    <row r="2" spans="1:19" x14ac:dyDescent="0.25">
      <c r="A2">
        <v>900091143</v>
      </c>
      <c r="B2" t="s">
        <v>3965</v>
      </c>
      <c r="C2" s="6" t="s">
        <v>3255</v>
      </c>
      <c r="E2" s="6" t="s">
        <v>3255</v>
      </c>
      <c r="H2" t="s">
        <v>22</v>
      </c>
      <c r="I2">
        <v>1089458776</v>
      </c>
      <c r="J2" t="s">
        <v>3966</v>
      </c>
      <c r="P2" t="s">
        <v>4403</v>
      </c>
      <c r="Q2" s="8">
        <v>9450000</v>
      </c>
      <c r="R2" s="8" t="e">
        <f>SUMIFS([1]REPORTADOS!$D$2:$D$3379,[1]REPORTADOS!$C$2:$C$3379,E2)</f>
        <v>#VALUE!</v>
      </c>
      <c r="S2" s="8" t="e">
        <f>Q2-R2</f>
        <v>#VALUE!</v>
      </c>
    </row>
    <row r="3" spans="1:19" x14ac:dyDescent="0.25">
      <c r="A3">
        <v>900091143</v>
      </c>
      <c r="B3" t="s">
        <v>3965</v>
      </c>
      <c r="C3" t="s">
        <v>3256</v>
      </c>
      <c r="E3" t="s">
        <v>3256</v>
      </c>
      <c r="H3" t="s">
        <v>22</v>
      </c>
      <c r="I3">
        <v>1233191133</v>
      </c>
      <c r="J3" t="s">
        <v>3967</v>
      </c>
      <c r="P3" t="s">
        <v>4403</v>
      </c>
      <c r="Q3" s="8">
        <v>9450000</v>
      </c>
      <c r="R3" s="8" t="e">
        <f>SUMIFS([1]REPORTADOS!$D$2:$D$3379,[1]REPORTADOS!$C$2:$C$3379,E3)</f>
        <v>#VALUE!</v>
      </c>
      <c r="S3" s="8" t="e">
        <f t="shared" ref="S3:S66" si="0">Q3-R3</f>
        <v>#VALUE!</v>
      </c>
    </row>
    <row r="4" spans="1:19" x14ac:dyDescent="0.25">
      <c r="A4">
        <v>900091143</v>
      </c>
      <c r="B4" t="s">
        <v>3965</v>
      </c>
      <c r="C4" t="s">
        <v>3257</v>
      </c>
      <c r="E4" t="s">
        <v>3257</v>
      </c>
      <c r="H4" t="s">
        <v>22</v>
      </c>
      <c r="I4">
        <v>1085287296</v>
      </c>
      <c r="J4" t="s">
        <v>3968</v>
      </c>
      <c r="P4" t="s">
        <v>4404</v>
      </c>
      <c r="Q4" s="15">
        <v>4000000</v>
      </c>
      <c r="R4" s="8" t="e">
        <f>SUMIFS([1]REPORTADOS!$D$2:$D$3379,[1]REPORTADOS!$C$2:$C$3379,E4)</f>
        <v>#VALUE!</v>
      </c>
      <c r="S4" s="8" t="e">
        <f t="shared" si="0"/>
        <v>#VALUE!</v>
      </c>
    </row>
    <row r="5" spans="1:19" x14ac:dyDescent="0.25">
      <c r="A5">
        <v>900091143</v>
      </c>
      <c r="B5" t="s">
        <v>3965</v>
      </c>
      <c r="C5" t="s">
        <v>3258</v>
      </c>
      <c r="E5" t="s">
        <v>3258</v>
      </c>
      <c r="H5" t="s">
        <v>22</v>
      </c>
      <c r="I5">
        <v>1085253512</v>
      </c>
      <c r="J5" t="s">
        <v>3969</v>
      </c>
      <c r="P5" t="s">
        <v>4275</v>
      </c>
      <c r="Q5" s="15">
        <v>4000000</v>
      </c>
      <c r="R5" s="8" t="e">
        <f>SUMIFS([1]REPORTADOS!$D$2:$D$3379,[1]REPORTADOS!$C$2:$C$3379,E5)</f>
        <v>#VALUE!</v>
      </c>
      <c r="S5" s="8" t="e">
        <f t="shared" si="0"/>
        <v>#VALUE!</v>
      </c>
    </row>
    <row r="6" spans="1:19" x14ac:dyDescent="0.25">
      <c r="A6">
        <v>900091143</v>
      </c>
      <c r="B6" t="s">
        <v>3965</v>
      </c>
      <c r="C6" t="s">
        <v>3259</v>
      </c>
      <c r="E6" t="s">
        <v>3259</v>
      </c>
      <c r="H6" t="s">
        <v>22</v>
      </c>
      <c r="I6">
        <v>59312779</v>
      </c>
      <c r="J6" t="s">
        <v>3970</v>
      </c>
      <c r="P6" t="s">
        <v>4405</v>
      </c>
      <c r="Q6" s="15">
        <v>4000000</v>
      </c>
      <c r="R6" s="8" t="e">
        <f>SUMIFS([1]REPORTADOS!$D$2:$D$3379,[1]REPORTADOS!$C$2:$C$3379,E6)</f>
        <v>#VALUE!</v>
      </c>
      <c r="S6" s="8" t="e">
        <f t="shared" si="0"/>
        <v>#VALUE!</v>
      </c>
    </row>
    <row r="7" spans="1:19" x14ac:dyDescent="0.25">
      <c r="A7">
        <v>900091143</v>
      </c>
      <c r="B7" t="s">
        <v>3965</v>
      </c>
      <c r="C7" t="s">
        <v>3260</v>
      </c>
      <c r="E7" t="s">
        <v>3260</v>
      </c>
      <c r="H7" t="s">
        <v>22</v>
      </c>
      <c r="I7">
        <v>1085312669</v>
      </c>
      <c r="J7" t="s">
        <v>3971</v>
      </c>
      <c r="P7" t="s">
        <v>4406</v>
      </c>
      <c r="Q7" s="15">
        <v>4000000</v>
      </c>
      <c r="R7" s="8" t="e">
        <f>SUMIFS([1]REPORTADOS!$D$2:$D$3379,[1]REPORTADOS!$C$2:$C$3379,E7)</f>
        <v>#VALUE!</v>
      </c>
      <c r="S7" s="8" t="e">
        <f t="shared" si="0"/>
        <v>#VALUE!</v>
      </c>
    </row>
    <row r="8" spans="1:19" x14ac:dyDescent="0.25">
      <c r="A8">
        <v>900091143</v>
      </c>
      <c r="B8" t="s">
        <v>3965</v>
      </c>
      <c r="C8" t="s">
        <v>3261</v>
      </c>
      <c r="E8" t="s">
        <v>3261</v>
      </c>
      <c r="H8" t="s">
        <v>22</v>
      </c>
      <c r="I8">
        <v>1085327836</v>
      </c>
      <c r="J8" t="s">
        <v>2023</v>
      </c>
      <c r="P8" t="s">
        <v>4407</v>
      </c>
      <c r="Q8" s="15">
        <v>4000000</v>
      </c>
      <c r="R8" s="8" t="e">
        <f>SUMIFS([1]REPORTADOS!$D$2:$D$3379,[1]REPORTADOS!$C$2:$C$3379,E8)</f>
        <v>#VALUE!</v>
      </c>
      <c r="S8" s="8" t="e">
        <f t="shared" si="0"/>
        <v>#VALUE!</v>
      </c>
    </row>
    <row r="9" spans="1:19" x14ac:dyDescent="0.25">
      <c r="A9">
        <v>900091143</v>
      </c>
      <c r="B9" t="s">
        <v>3965</v>
      </c>
      <c r="C9" t="s">
        <v>3262</v>
      </c>
      <c r="E9" t="s">
        <v>3262</v>
      </c>
      <c r="H9" t="s">
        <v>22</v>
      </c>
      <c r="I9">
        <v>37083933</v>
      </c>
      <c r="J9" t="s">
        <v>3972</v>
      </c>
      <c r="P9" t="s">
        <v>4408</v>
      </c>
      <c r="Q9" s="15">
        <v>4000000</v>
      </c>
      <c r="R9" s="8" t="e">
        <f>SUMIFS([1]REPORTADOS!$D$2:$D$3379,[1]REPORTADOS!$C$2:$C$3379,E9)</f>
        <v>#VALUE!</v>
      </c>
      <c r="S9" s="8" t="e">
        <f t="shared" si="0"/>
        <v>#VALUE!</v>
      </c>
    </row>
    <row r="10" spans="1:19" x14ac:dyDescent="0.25">
      <c r="A10">
        <v>900091143</v>
      </c>
      <c r="B10" t="s">
        <v>3965</v>
      </c>
      <c r="C10" t="s">
        <v>3263</v>
      </c>
      <c r="E10" t="s">
        <v>3263</v>
      </c>
      <c r="H10" t="s">
        <v>22</v>
      </c>
      <c r="I10">
        <v>1010113730</v>
      </c>
      <c r="J10" t="s">
        <v>2325</v>
      </c>
      <c r="P10" t="s">
        <v>4409</v>
      </c>
      <c r="Q10" s="15">
        <v>4000000</v>
      </c>
      <c r="R10" s="8" t="e">
        <f>SUMIFS([1]REPORTADOS!$D$2:$D$3379,[1]REPORTADOS!$C$2:$C$3379,E10)</f>
        <v>#VALUE!</v>
      </c>
      <c r="S10" s="8" t="e">
        <f t="shared" si="0"/>
        <v>#VALUE!</v>
      </c>
    </row>
    <row r="11" spans="1:19" x14ac:dyDescent="0.25">
      <c r="A11">
        <v>900091143</v>
      </c>
      <c r="B11" t="s">
        <v>3965</v>
      </c>
      <c r="C11" t="s">
        <v>3264</v>
      </c>
      <c r="E11" t="s">
        <v>3264</v>
      </c>
      <c r="H11" t="s">
        <v>22</v>
      </c>
      <c r="I11">
        <v>1085281545</v>
      </c>
      <c r="J11" t="s">
        <v>2604</v>
      </c>
      <c r="P11" t="s">
        <v>4408</v>
      </c>
      <c r="Q11" s="15">
        <v>4000000</v>
      </c>
      <c r="R11" s="8" t="e">
        <f>SUMIFS([1]REPORTADOS!$D$2:$D$3379,[1]REPORTADOS!$C$2:$C$3379,E11)</f>
        <v>#VALUE!</v>
      </c>
      <c r="S11" s="8" t="e">
        <f t="shared" si="0"/>
        <v>#VALUE!</v>
      </c>
    </row>
    <row r="12" spans="1:19" x14ac:dyDescent="0.25">
      <c r="A12">
        <v>900091143</v>
      </c>
      <c r="B12" t="s">
        <v>3965</v>
      </c>
      <c r="C12" t="s">
        <v>3265</v>
      </c>
      <c r="E12" t="s">
        <v>3265</v>
      </c>
      <c r="H12" t="s">
        <v>22</v>
      </c>
      <c r="I12">
        <v>1081274779</v>
      </c>
      <c r="J12" t="s">
        <v>3973</v>
      </c>
      <c r="P12" t="s">
        <v>4410</v>
      </c>
      <c r="Q12" s="15">
        <v>4000000</v>
      </c>
      <c r="R12" s="8" t="e">
        <f>SUMIFS([1]REPORTADOS!$D$2:$D$3379,[1]REPORTADOS!$C$2:$C$3379,E12)</f>
        <v>#VALUE!</v>
      </c>
      <c r="S12" s="8" t="e">
        <f t="shared" si="0"/>
        <v>#VALUE!</v>
      </c>
    </row>
    <row r="13" spans="1:19" x14ac:dyDescent="0.25">
      <c r="A13">
        <v>900091143</v>
      </c>
      <c r="B13" t="s">
        <v>3965</v>
      </c>
      <c r="C13" t="s">
        <v>3266</v>
      </c>
      <c r="E13" t="s">
        <v>3266</v>
      </c>
      <c r="H13" t="s">
        <v>22</v>
      </c>
      <c r="I13">
        <v>1085275445</v>
      </c>
      <c r="J13" t="s">
        <v>3974</v>
      </c>
      <c r="P13" t="s">
        <v>4408</v>
      </c>
      <c r="Q13" s="15">
        <v>4000000</v>
      </c>
      <c r="R13" s="8" t="e">
        <f>SUMIFS([1]REPORTADOS!$D$2:$D$3379,[1]REPORTADOS!$C$2:$C$3379,E13)</f>
        <v>#VALUE!</v>
      </c>
      <c r="S13" s="8" t="e">
        <f t="shared" si="0"/>
        <v>#VALUE!</v>
      </c>
    </row>
    <row r="14" spans="1:19" x14ac:dyDescent="0.25">
      <c r="A14">
        <v>900091143</v>
      </c>
      <c r="B14" t="s">
        <v>3965</v>
      </c>
      <c r="C14" t="s">
        <v>3267</v>
      </c>
      <c r="E14" t="s">
        <v>3267</v>
      </c>
      <c r="H14" t="s">
        <v>22</v>
      </c>
      <c r="I14">
        <v>1085268450</v>
      </c>
      <c r="J14" t="s">
        <v>3975</v>
      </c>
      <c r="P14" t="s">
        <v>4408</v>
      </c>
      <c r="Q14" s="15">
        <v>4000000</v>
      </c>
      <c r="R14" s="8" t="e">
        <f>SUMIFS([1]REPORTADOS!$D$2:$D$3379,[1]REPORTADOS!$C$2:$C$3379,E14)</f>
        <v>#VALUE!</v>
      </c>
      <c r="S14" s="8" t="e">
        <f t="shared" si="0"/>
        <v>#VALUE!</v>
      </c>
    </row>
    <row r="15" spans="1:19" x14ac:dyDescent="0.25">
      <c r="A15">
        <v>900091143</v>
      </c>
      <c r="B15" t="s">
        <v>3965</v>
      </c>
      <c r="C15" t="s">
        <v>3268</v>
      </c>
      <c r="E15" t="s">
        <v>3268</v>
      </c>
      <c r="H15" t="s">
        <v>22</v>
      </c>
      <c r="I15">
        <v>59815593</v>
      </c>
      <c r="J15" t="s">
        <v>3976</v>
      </c>
      <c r="P15" t="s">
        <v>4411</v>
      </c>
      <c r="Q15" s="15">
        <v>4000000</v>
      </c>
      <c r="R15" s="8" t="e">
        <f>SUMIFS([1]REPORTADOS!$D$2:$D$3379,[1]REPORTADOS!$C$2:$C$3379,E15)</f>
        <v>#VALUE!</v>
      </c>
      <c r="S15" s="8" t="e">
        <f t="shared" si="0"/>
        <v>#VALUE!</v>
      </c>
    </row>
    <row r="16" spans="1:19" x14ac:dyDescent="0.25">
      <c r="A16">
        <v>900091143</v>
      </c>
      <c r="B16" t="s">
        <v>3965</v>
      </c>
      <c r="C16" t="s">
        <v>3269</v>
      </c>
      <c r="E16" t="s">
        <v>3269</v>
      </c>
      <c r="H16" t="s">
        <v>22</v>
      </c>
      <c r="I16">
        <v>36757715</v>
      </c>
      <c r="J16" t="s">
        <v>2347</v>
      </c>
      <c r="P16" t="s">
        <v>4412</v>
      </c>
      <c r="Q16" s="15">
        <v>4000000</v>
      </c>
      <c r="R16" s="8" t="e">
        <f>SUMIFS([1]REPORTADOS!$D$2:$D$3379,[1]REPORTADOS!$C$2:$C$3379,E16)</f>
        <v>#VALUE!</v>
      </c>
      <c r="S16" s="8" t="e">
        <f t="shared" si="0"/>
        <v>#VALUE!</v>
      </c>
    </row>
    <row r="17" spans="1:19" x14ac:dyDescent="0.25">
      <c r="A17">
        <v>900091143</v>
      </c>
      <c r="B17" t="s">
        <v>3965</v>
      </c>
      <c r="C17" t="s">
        <v>3270</v>
      </c>
      <c r="E17" t="s">
        <v>3270</v>
      </c>
      <c r="H17" t="s">
        <v>22</v>
      </c>
      <c r="I17">
        <v>27436186</v>
      </c>
      <c r="J17" t="s">
        <v>3977</v>
      </c>
      <c r="P17" t="s">
        <v>4275</v>
      </c>
      <c r="Q17" s="15">
        <v>4200000</v>
      </c>
      <c r="R17" s="8" t="e">
        <f>SUMIFS([1]REPORTADOS!$D$2:$D$3379,[1]REPORTADOS!$C$2:$C$3379,E17)</f>
        <v>#VALUE!</v>
      </c>
      <c r="S17" s="8" t="e">
        <f t="shared" si="0"/>
        <v>#VALUE!</v>
      </c>
    </row>
    <row r="18" spans="1:19" x14ac:dyDescent="0.25">
      <c r="A18">
        <v>900091143</v>
      </c>
      <c r="B18" t="s">
        <v>3965</v>
      </c>
      <c r="C18" t="s">
        <v>3271</v>
      </c>
      <c r="E18" t="s">
        <v>3271</v>
      </c>
      <c r="H18" t="s">
        <v>22</v>
      </c>
      <c r="I18">
        <v>27549932</v>
      </c>
      <c r="J18" t="s">
        <v>3978</v>
      </c>
      <c r="P18" t="s">
        <v>4403</v>
      </c>
      <c r="Q18" s="15">
        <v>4200000</v>
      </c>
      <c r="R18" s="8" t="e">
        <f>SUMIFS([1]REPORTADOS!$D$2:$D$3379,[1]REPORTADOS!$C$2:$C$3379,E18)</f>
        <v>#VALUE!</v>
      </c>
      <c r="S18" s="8" t="e">
        <f t="shared" si="0"/>
        <v>#VALUE!</v>
      </c>
    </row>
    <row r="19" spans="1:19" x14ac:dyDescent="0.25">
      <c r="A19">
        <v>900091143</v>
      </c>
      <c r="B19" t="s">
        <v>3965</v>
      </c>
      <c r="C19" t="s">
        <v>3272</v>
      </c>
      <c r="E19" t="s">
        <v>3272</v>
      </c>
      <c r="H19" t="s">
        <v>22</v>
      </c>
      <c r="I19">
        <v>1089243630</v>
      </c>
      <c r="J19" t="s">
        <v>2263</v>
      </c>
      <c r="P19" t="s">
        <v>4403</v>
      </c>
      <c r="Q19" s="8">
        <v>9450000</v>
      </c>
      <c r="R19" s="8" t="e">
        <f>SUMIFS([1]REPORTADOS!$D$2:$D$3379,[1]REPORTADOS!$C$2:$C$3379,E19)</f>
        <v>#VALUE!</v>
      </c>
      <c r="S19" s="8" t="e">
        <f t="shared" si="0"/>
        <v>#VALUE!</v>
      </c>
    </row>
    <row r="20" spans="1:19" x14ac:dyDescent="0.25">
      <c r="A20">
        <v>900091143</v>
      </c>
      <c r="B20" t="s">
        <v>3965</v>
      </c>
      <c r="C20" t="s">
        <v>3273</v>
      </c>
      <c r="E20" t="s">
        <v>3273</v>
      </c>
      <c r="H20" t="s">
        <v>22</v>
      </c>
      <c r="I20">
        <v>1085327677</v>
      </c>
      <c r="J20" t="s">
        <v>3979</v>
      </c>
      <c r="P20" t="s">
        <v>4403</v>
      </c>
      <c r="Q20" s="8">
        <v>9450000</v>
      </c>
      <c r="R20" s="8" t="e">
        <f>SUMIFS([1]REPORTADOS!$D$2:$D$3379,[1]REPORTADOS!$C$2:$C$3379,E20)</f>
        <v>#VALUE!</v>
      </c>
      <c r="S20" s="8" t="e">
        <f t="shared" si="0"/>
        <v>#VALUE!</v>
      </c>
    </row>
    <row r="21" spans="1:19" x14ac:dyDescent="0.25">
      <c r="A21">
        <v>900091143</v>
      </c>
      <c r="B21" t="s">
        <v>3965</v>
      </c>
      <c r="C21" t="s">
        <v>3274</v>
      </c>
      <c r="E21" t="s">
        <v>3274</v>
      </c>
      <c r="H21" t="s">
        <v>22</v>
      </c>
      <c r="I21">
        <v>1089243630</v>
      </c>
      <c r="J21" t="s">
        <v>2263</v>
      </c>
      <c r="P21" t="s">
        <v>4403</v>
      </c>
      <c r="Q21" s="15">
        <v>4725000</v>
      </c>
      <c r="R21" s="8" t="e">
        <f>SUMIFS([1]REPORTADOS!$D$2:$D$3379,[1]REPORTADOS!$C$2:$C$3379,E21)</f>
        <v>#VALUE!</v>
      </c>
      <c r="S21" s="8" t="e">
        <f t="shared" si="0"/>
        <v>#VALUE!</v>
      </c>
    </row>
    <row r="22" spans="1:19" x14ac:dyDescent="0.25">
      <c r="A22">
        <v>900091143</v>
      </c>
      <c r="B22" t="s">
        <v>3965</v>
      </c>
      <c r="C22" t="s">
        <v>3275</v>
      </c>
      <c r="E22" t="s">
        <v>3275</v>
      </c>
      <c r="H22" t="s">
        <v>22</v>
      </c>
      <c r="I22">
        <v>36751255</v>
      </c>
      <c r="J22" t="s">
        <v>3980</v>
      </c>
      <c r="P22" t="s">
        <v>4403</v>
      </c>
      <c r="Q22" s="15">
        <v>4725000</v>
      </c>
      <c r="R22" s="8" t="e">
        <f>SUMIFS([1]REPORTADOS!$D$2:$D$3379,[1]REPORTADOS!$C$2:$C$3379,E22)</f>
        <v>#VALUE!</v>
      </c>
      <c r="S22" s="8" t="e">
        <f t="shared" si="0"/>
        <v>#VALUE!</v>
      </c>
    </row>
    <row r="23" spans="1:19" x14ac:dyDescent="0.25">
      <c r="A23">
        <v>900091143</v>
      </c>
      <c r="B23" t="s">
        <v>3965</v>
      </c>
      <c r="C23" t="s">
        <v>3276</v>
      </c>
      <c r="E23" t="s">
        <v>3276</v>
      </c>
      <c r="H23" t="s">
        <v>22</v>
      </c>
      <c r="I23">
        <v>1233193191</v>
      </c>
      <c r="J23" t="s">
        <v>3981</v>
      </c>
      <c r="P23" t="s">
        <v>4403</v>
      </c>
      <c r="Q23" s="8">
        <v>9450000</v>
      </c>
      <c r="R23" s="8" t="e">
        <f>SUMIFS([1]REPORTADOS!$D$2:$D$3379,[1]REPORTADOS!$C$2:$C$3379,E23)</f>
        <v>#VALUE!</v>
      </c>
      <c r="S23" s="8" t="e">
        <f t="shared" si="0"/>
        <v>#VALUE!</v>
      </c>
    </row>
    <row r="24" spans="1:19" x14ac:dyDescent="0.25">
      <c r="A24">
        <v>900091143</v>
      </c>
      <c r="B24" t="s">
        <v>3965</v>
      </c>
      <c r="C24" t="s">
        <v>3277</v>
      </c>
      <c r="E24" t="s">
        <v>3277</v>
      </c>
      <c r="H24" t="s">
        <v>22</v>
      </c>
      <c r="I24">
        <v>1081052090</v>
      </c>
      <c r="J24" t="s">
        <v>2534</v>
      </c>
      <c r="P24" t="s">
        <v>4408</v>
      </c>
      <c r="Q24" s="15">
        <v>6000000</v>
      </c>
      <c r="R24" s="8" t="e">
        <f>SUMIFS([1]REPORTADOS!$D$2:$D$3379,[1]REPORTADOS!$C$2:$C$3379,E24)</f>
        <v>#VALUE!</v>
      </c>
      <c r="S24" s="8" t="e">
        <f t="shared" si="0"/>
        <v>#VALUE!</v>
      </c>
    </row>
    <row r="25" spans="1:19" x14ac:dyDescent="0.25">
      <c r="A25">
        <v>900091143</v>
      </c>
      <c r="B25" t="s">
        <v>3965</v>
      </c>
      <c r="C25" t="s">
        <v>3278</v>
      </c>
      <c r="E25" t="s">
        <v>3278</v>
      </c>
      <c r="H25" t="s">
        <v>22</v>
      </c>
      <c r="I25">
        <v>1080040525</v>
      </c>
      <c r="J25" t="s">
        <v>3982</v>
      </c>
      <c r="P25" t="s">
        <v>4413</v>
      </c>
      <c r="Q25" s="15">
        <v>6000000</v>
      </c>
      <c r="R25" s="8" t="e">
        <f>SUMIFS([1]REPORTADOS!$D$2:$D$3379,[1]REPORTADOS!$C$2:$C$3379,E25)</f>
        <v>#VALUE!</v>
      </c>
      <c r="S25" s="8" t="e">
        <f t="shared" si="0"/>
        <v>#VALUE!</v>
      </c>
    </row>
    <row r="26" spans="1:19" x14ac:dyDescent="0.25">
      <c r="A26">
        <v>900091143</v>
      </c>
      <c r="B26" t="s">
        <v>3965</v>
      </c>
      <c r="C26" t="s">
        <v>3279</v>
      </c>
      <c r="E26" t="s">
        <v>3279</v>
      </c>
      <c r="H26" t="s">
        <v>22</v>
      </c>
      <c r="I26">
        <v>59313273</v>
      </c>
      <c r="J26" t="s">
        <v>3983</v>
      </c>
      <c r="P26" t="s">
        <v>4414</v>
      </c>
      <c r="Q26" s="15">
        <v>6000000</v>
      </c>
      <c r="R26" s="8" t="e">
        <f>SUMIFS([1]REPORTADOS!$D$2:$D$3379,[1]REPORTADOS!$C$2:$C$3379,E26)</f>
        <v>#VALUE!</v>
      </c>
      <c r="S26" s="8" t="e">
        <f t="shared" si="0"/>
        <v>#VALUE!</v>
      </c>
    </row>
    <row r="27" spans="1:19" x14ac:dyDescent="0.25">
      <c r="A27">
        <v>900091143</v>
      </c>
      <c r="B27" t="s">
        <v>3965</v>
      </c>
      <c r="C27" t="s">
        <v>3280</v>
      </c>
      <c r="E27" t="s">
        <v>3280</v>
      </c>
      <c r="H27" t="s">
        <v>22</v>
      </c>
      <c r="I27">
        <v>1085313195</v>
      </c>
      <c r="J27" t="s">
        <v>3984</v>
      </c>
      <c r="P27" t="s">
        <v>4408</v>
      </c>
      <c r="Q27" s="15">
        <v>6000000</v>
      </c>
      <c r="R27" s="8" t="e">
        <f>SUMIFS([1]REPORTADOS!$D$2:$D$3379,[1]REPORTADOS!$C$2:$C$3379,E27)</f>
        <v>#VALUE!</v>
      </c>
      <c r="S27" s="8" t="e">
        <f t="shared" si="0"/>
        <v>#VALUE!</v>
      </c>
    </row>
    <row r="28" spans="1:19" x14ac:dyDescent="0.25">
      <c r="A28">
        <v>900091143</v>
      </c>
      <c r="B28" t="s">
        <v>3965</v>
      </c>
      <c r="C28" t="s">
        <v>3281</v>
      </c>
      <c r="E28" t="s">
        <v>3281</v>
      </c>
      <c r="H28" t="s">
        <v>22</v>
      </c>
      <c r="I28">
        <v>1085334752</v>
      </c>
      <c r="J28" t="s">
        <v>3985</v>
      </c>
      <c r="P28" t="s">
        <v>4415</v>
      </c>
      <c r="Q28" s="15">
        <v>6000000</v>
      </c>
      <c r="R28" s="8" t="e">
        <f>SUMIFS([1]REPORTADOS!$D$2:$D$3379,[1]REPORTADOS!$C$2:$C$3379,E28)</f>
        <v>#VALUE!</v>
      </c>
      <c r="S28" s="8" t="e">
        <f t="shared" si="0"/>
        <v>#VALUE!</v>
      </c>
    </row>
    <row r="29" spans="1:19" x14ac:dyDescent="0.25">
      <c r="A29">
        <v>900091143</v>
      </c>
      <c r="B29" t="s">
        <v>3965</v>
      </c>
      <c r="C29" t="s">
        <v>3282</v>
      </c>
      <c r="E29" t="s">
        <v>3282</v>
      </c>
      <c r="H29" t="s">
        <v>22</v>
      </c>
      <c r="I29">
        <v>87060188</v>
      </c>
      <c r="J29" t="s">
        <v>3986</v>
      </c>
      <c r="P29" t="s">
        <v>4416</v>
      </c>
      <c r="Q29" s="15">
        <v>6000000</v>
      </c>
      <c r="R29" s="8" t="e">
        <f>SUMIFS([1]REPORTADOS!$D$2:$D$3379,[1]REPORTADOS!$C$2:$C$3379,E29)</f>
        <v>#VALUE!</v>
      </c>
      <c r="S29" s="8" t="e">
        <f t="shared" si="0"/>
        <v>#VALUE!</v>
      </c>
    </row>
    <row r="30" spans="1:19" x14ac:dyDescent="0.25">
      <c r="A30">
        <v>900091143</v>
      </c>
      <c r="B30" t="s">
        <v>3965</v>
      </c>
      <c r="C30" t="s">
        <v>3283</v>
      </c>
      <c r="E30" t="s">
        <v>3283</v>
      </c>
      <c r="H30" t="s">
        <v>22</v>
      </c>
      <c r="I30">
        <v>1137089036</v>
      </c>
      <c r="J30" t="s">
        <v>3987</v>
      </c>
      <c r="P30" t="s">
        <v>4407</v>
      </c>
      <c r="Q30" s="15">
        <v>6000000</v>
      </c>
      <c r="R30" s="8" t="e">
        <f>SUMIFS([1]REPORTADOS!$D$2:$D$3379,[1]REPORTADOS!$C$2:$C$3379,E30)</f>
        <v>#VALUE!</v>
      </c>
      <c r="S30" s="8" t="e">
        <f t="shared" si="0"/>
        <v>#VALUE!</v>
      </c>
    </row>
    <row r="31" spans="1:19" x14ac:dyDescent="0.25">
      <c r="A31">
        <v>900091143</v>
      </c>
      <c r="B31" t="s">
        <v>3965</v>
      </c>
      <c r="C31" t="s">
        <v>3284</v>
      </c>
      <c r="E31" t="s">
        <v>3284</v>
      </c>
      <c r="H31" t="s">
        <v>22</v>
      </c>
      <c r="I31">
        <v>1233188221</v>
      </c>
      <c r="J31" t="s">
        <v>3988</v>
      </c>
      <c r="P31" t="s">
        <v>4408</v>
      </c>
      <c r="Q31" s="15">
        <v>6000000</v>
      </c>
      <c r="R31" s="8" t="e">
        <f>SUMIFS([1]REPORTADOS!$D$2:$D$3379,[1]REPORTADOS!$C$2:$C$3379,E31)</f>
        <v>#VALUE!</v>
      </c>
      <c r="S31" s="8" t="e">
        <f t="shared" si="0"/>
        <v>#VALUE!</v>
      </c>
    </row>
    <row r="32" spans="1:19" x14ac:dyDescent="0.25">
      <c r="A32">
        <v>900091143</v>
      </c>
      <c r="B32" t="s">
        <v>3965</v>
      </c>
      <c r="C32" t="s">
        <v>3285</v>
      </c>
      <c r="E32" t="s">
        <v>3285</v>
      </c>
      <c r="H32" t="s">
        <v>22</v>
      </c>
      <c r="I32">
        <v>27082650</v>
      </c>
      <c r="J32" t="s">
        <v>3989</v>
      </c>
      <c r="P32" t="s">
        <v>4407</v>
      </c>
      <c r="Q32" s="15">
        <v>6000000</v>
      </c>
      <c r="R32" s="8" t="e">
        <f>SUMIFS([1]REPORTADOS!$D$2:$D$3379,[1]REPORTADOS!$C$2:$C$3379,E32)</f>
        <v>#VALUE!</v>
      </c>
      <c r="S32" s="8" t="e">
        <f t="shared" si="0"/>
        <v>#VALUE!</v>
      </c>
    </row>
    <row r="33" spans="1:19" x14ac:dyDescent="0.25">
      <c r="A33">
        <v>900091143</v>
      </c>
      <c r="B33" t="s">
        <v>3965</v>
      </c>
      <c r="C33" t="s">
        <v>3286</v>
      </c>
      <c r="E33" t="s">
        <v>3286</v>
      </c>
      <c r="H33" t="s">
        <v>22</v>
      </c>
      <c r="I33">
        <v>1085253462</v>
      </c>
      <c r="J33" t="s">
        <v>3990</v>
      </c>
      <c r="P33" t="s">
        <v>4408</v>
      </c>
      <c r="Q33" s="15">
        <v>6000000</v>
      </c>
      <c r="R33" s="8" t="e">
        <f>SUMIFS([1]REPORTADOS!$D$2:$D$3379,[1]REPORTADOS!$C$2:$C$3379,E33)</f>
        <v>#VALUE!</v>
      </c>
      <c r="S33" s="8" t="e">
        <f t="shared" si="0"/>
        <v>#VALUE!</v>
      </c>
    </row>
    <row r="34" spans="1:19" x14ac:dyDescent="0.25">
      <c r="A34">
        <v>900091143</v>
      </c>
      <c r="B34" t="s">
        <v>3965</v>
      </c>
      <c r="C34" t="s">
        <v>3287</v>
      </c>
      <c r="E34" t="s">
        <v>3287</v>
      </c>
      <c r="H34" t="s">
        <v>22</v>
      </c>
      <c r="I34">
        <v>1081282855</v>
      </c>
      <c r="J34" t="s">
        <v>3991</v>
      </c>
      <c r="P34" t="s">
        <v>4408</v>
      </c>
      <c r="Q34" s="15">
        <v>6000000</v>
      </c>
      <c r="R34" s="8" t="e">
        <f>SUMIFS([1]REPORTADOS!$D$2:$D$3379,[1]REPORTADOS!$C$2:$C$3379,E34)</f>
        <v>#VALUE!</v>
      </c>
      <c r="S34" s="8" t="e">
        <f t="shared" si="0"/>
        <v>#VALUE!</v>
      </c>
    </row>
    <row r="35" spans="1:19" x14ac:dyDescent="0.25">
      <c r="A35">
        <v>900091143</v>
      </c>
      <c r="B35" t="s">
        <v>3965</v>
      </c>
      <c r="C35" t="s">
        <v>3288</v>
      </c>
      <c r="E35" t="s">
        <v>3288</v>
      </c>
      <c r="H35" t="s">
        <v>22</v>
      </c>
      <c r="I35">
        <v>1004217048</v>
      </c>
      <c r="J35" t="s">
        <v>3992</v>
      </c>
      <c r="P35" t="s">
        <v>4408</v>
      </c>
      <c r="Q35" s="15">
        <v>6000000</v>
      </c>
      <c r="R35" s="8" t="e">
        <f>SUMIFS([1]REPORTADOS!$D$2:$D$3379,[1]REPORTADOS!$C$2:$C$3379,E35)</f>
        <v>#VALUE!</v>
      </c>
      <c r="S35" s="8" t="e">
        <f t="shared" si="0"/>
        <v>#VALUE!</v>
      </c>
    </row>
    <row r="36" spans="1:19" x14ac:dyDescent="0.25">
      <c r="A36">
        <v>900091143</v>
      </c>
      <c r="B36" t="s">
        <v>3965</v>
      </c>
      <c r="C36" t="s">
        <v>3289</v>
      </c>
      <c r="E36" t="s">
        <v>3289</v>
      </c>
      <c r="H36" t="s">
        <v>22</v>
      </c>
      <c r="I36">
        <v>1233190640</v>
      </c>
      <c r="J36" t="s">
        <v>3993</v>
      </c>
      <c r="P36" t="s">
        <v>4415</v>
      </c>
      <c r="Q36" s="15">
        <v>6000000</v>
      </c>
      <c r="R36" s="8" t="e">
        <f>SUMIFS([1]REPORTADOS!$D$2:$D$3379,[1]REPORTADOS!$C$2:$C$3379,E36)</f>
        <v>#VALUE!</v>
      </c>
      <c r="S36" s="8" t="e">
        <f t="shared" si="0"/>
        <v>#VALUE!</v>
      </c>
    </row>
    <row r="37" spans="1:19" x14ac:dyDescent="0.25">
      <c r="A37">
        <v>900091143</v>
      </c>
      <c r="B37" t="s">
        <v>3965</v>
      </c>
      <c r="C37" t="s">
        <v>3290</v>
      </c>
      <c r="E37" t="s">
        <v>3290</v>
      </c>
      <c r="H37" t="s">
        <v>22</v>
      </c>
      <c r="I37">
        <v>59314118</v>
      </c>
      <c r="J37" t="s">
        <v>3994</v>
      </c>
      <c r="P37" t="s">
        <v>4408</v>
      </c>
      <c r="Q37" s="15">
        <v>6000000</v>
      </c>
      <c r="R37" s="8" t="e">
        <f>SUMIFS([1]REPORTADOS!$D$2:$D$3379,[1]REPORTADOS!$C$2:$C$3379,E37)</f>
        <v>#VALUE!</v>
      </c>
      <c r="S37" s="8" t="e">
        <f t="shared" si="0"/>
        <v>#VALUE!</v>
      </c>
    </row>
    <row r="38" spans="1:19" x14ac:dyDescent="0.25">
      <c r="A38">
        <v>900091143</v>
      </c>
      <c r="B38" t="s">
        <v>3965</v>
      </c>
      <c r="C38" t="s">
        <v>3291</v>
      </c>
      <c r="E38" t="s">
        <v>3291</v>
      </c>
      <c r="H38" t="s">
        <v>22</v>
      </c>
      <c r="I38">
        <v>1085310465</v>
      </c>
      <c r="J38" t="s">
        <v>2587</v>
      </c>
      <c r="P38" t="s">
        <v>4408</v>
      </c>
      <c r="Q38" s="15">
        <v>6000000</v>
      </c>
      <c r="R38" s="8" t="e">
        <f>SUMIFS([1]REPORTADOS!$D$2:$D$3379,[1]REPORTADOS!$C$2:$C$3379,E38)</f>
        <v>#VALUE!</v>
      </c>
      <c r="S38" s="8" t="e">
        <f t="shared" si="0"/>
        <v>#VALUE!</v>
      </c>
    </row>
    <row r="39" spans="1:19" x14ac:dyDescent="0.25">
      <c r="A39">
        <v>900091143</v>
      </c>
      <c r="B39" t="s">
        <v>3965</v>
      </c>
      <c r="C39" t="s">
        <v>3292</v>
      </c>
      <c r="E39" t="s">
        <v>3292</v>
      </c>
      <c r="H39" t="s">
        <v>22</v>
      </c>
      <c r="I39">
        <v>59829440</v>
      </c>
      <c r="J39" t="s">
        <v>3995</v>
      </c>
      <c r="P39" t="s">
        <v>4417</v>
      </c>
      <c r="Q39" s="15">
        <v>6000000</v>
      </c>
      <c r="R39" s="8" t="e">
        <f>SUMIFS([1]REPORTADOS!$D$2:$D$3379,[1]REPORTADOS!$C$2:$C$3379,E39)</f>
        <v>#VALUE!</v>
      </c>
      <c r="S39" s="8" t="e">
        <f t="shared" si="0"/>
        <v>#VALUE!</v>
      </c>
    </row>
    <row r="40" spans="1:19" x14ac:dyDescent="0.25">
      <c r="A40">
        <v>900091143</v>
      </c>
      <c r="B40" t="s">
        <v>3965</v>
      </c>
      <c r="C40" t="s">
        <v>3293</v>
      </c>
      <c r="E40" t="s">
        <v>3293</v>
      </c>
      <c r="H40" t="s">
        <v>22</v>
      </c>
      <c r="I40">
        <v>27086745</v>
      </c>
      <c r="J40" t="s">
        <v>3996</v>
      </c>
      <c r="P40" t="s">
        <v>4408</v>
      </c>
      <c r="Q40" s="15">
        <v>6000000</v>
      </c>
      <c r="R40" s="8" t="e">
        <f>SUMIFS([1]REPORTADOS!$D$2:$D$3379,[1]REPORTADOS!$C$2:$C$3379,E40)</f>
        <v>#VALUE!</v>
      </c>
      <c r="S40" s="8" t="e">
        <f t="shared" si="0"/>
        <v>#VALUE!</v>
      </c>
    </row>
    <row r="41" spans="1:19" x14ac:dyDescent="0.25">
      <c r="A41">
        <v>900091143</v>
      </c>
      <c r="B41" t="s">
        <v>3965</v>
      </c>
      <c r="C41" t="s">
        <v>3294</v>
      </c>
      <c r="E41" t="s">
        <v>3294</v>
      </c>
      <c r="H41" t="s">
        <v>22</v>
      </c>
      <c r="I41">
        <v>1085334831</v>
      </c>
      <c r="J41" t="s">
        <v>3997</v>
      </c>
      <c r="P41" t="s">
        <v>4418</v>
      </c>
      <c r="Q41" s="15">
        <v>6000000</v>
      </c>
      <c r="R41" s="8" t="e">
        <f>SUMIFS([1]REPORTADOS!$D$2:$D$3379,[1]REPORTADOS!$C$2:$C$3379,E41)</f>
        <v>#VALUE!</v>
      </c>
      <c r="S41" s="8" t="e">
        <f t="shared" si="0"/>
        <v>#VALUE!</v>
      </c>
    </row>
    <row r="42" spans="1:19" x14ac:dyDescent="0.25">
      <c r="A42">
        <v>900091143</v>
      </c>
      <c r="B42" t="s">
        <v>3965</v>
      </c>
      <c r="C42" t="s">
        <v>3295</v>
      </c>
      <c r="E42" t="s">
        <v>3295</v>
      </c>
      <c r="H42" t="s">
        <v>22</v>
      </c>
      <c r="I42">
        <v>36933095</v>
      </c>
      <c r="J42" t="s">
        <v>3998</v>
      </c>
      <c r="P42" t="s">
        <v>4412</v>
      </c>
      <c r="Q42" s="15">
        <v>6000000</v>
      </c>
      <c r="R42" s="8" t="e">
        <f>SUMIFS([1]REPORTADOS!$D$2:$D$3379,[1]REPORTADOS!$C$2:$C$3379,E42)</f>
        <v>#VALUE!</v>
      </c>
      <c r="S42" s="8" t="e">
        <f t="shared" si="0"/>
        <v>#VALUE!</v>
      </c>
    </row>
    <row r="43" spans="1:19" x14ac:dyDescent="0.25">
      <c r="A43">
        <v>900091143</v>
      </c>
      <c r="B43" t="s">
        <v>3965</v>
      </c>
      <c r="C43" t="s">
        <v>3296</v>
      </c>
      <c r="E43" t="s">
        <v>3296</v>
      </c>
      <c r="H43" t="s">
        <v>22</v>
      </c>
      <c r="I43">
        <v>1085317085</v>
      </c>
      <c r="J43" t="s">
        <v>3999</v>
      </c>
      <c r="P43" t="s">
        <v>4408</v>
      </c>
      <c r="Q43" s="15">
        <v>6000000</v>
      </c>
      <c r="R43" s="8" t="e">
        <f>SUMIFS([1]REPORTADOS!$D$2:$D$3379,[1]REPORTADOS!$C$2:$C$3379,E43)</f>
        <v>#VALUE!</v>
      </c>
      <c r="S43" s="8" t="e">
        <f t="shared" si="0"/>
        <v>#VALUE!</v>
      </c>
    </row>
    <row r="44" spans="1:19" x14ac:dyDescent="0.25">
      <c r="A44">
        <v>900091143</v>
      </c>
      <c r="B44" t="s">
        <v>3965</v>
      </c>
      <c r="C44" t="s">
        <v>3297</v>
      </c>
      <c r="E44" t="s">
        <v>3297</v>
      </c>
      <c r="H44" t="s">
        <v>22</v>
      </c>
      <c r="I44">
        <v>12990231</v>
      </c>
      <c r="J44" t="s">
        <v>2748</v>
      </c>
      <c r="P44" t="s">
        <v>4415</v>
      </c>
      <c r="Q44" s="15">
        <v>6000000</v>
      </c>
      <c r="R44" s="8" t="e">
        <f>SUMIFS([1]REPORTADOS!$D$2:$D$3379,[1]REPORTADOS!$C$2:$C$3379,E44)</f>
        <v>#VALUE!</v>
      </c>
      <c r="S44" s="8" t="e">
        <f t="shared" si="0"/>
        <v>#VALUE!</v>
      </c>
    </row>
    <row r="45" spans="1:19" x14ac:dyDescent="0.25">
      <c r="A45">
        <v>900091143</v>
      </c>
      <c r="B45" t="s">
        <v>3965</v>
      </c>
      <c r="C45" t="s">
        <v>3298</v>
      </c>
      <c r="E45" t="s">
        <v>3298</v>
      </c>
      <c r="H45" t="s">
        <v>22</v>
      </c>
      <c r="I45">
        <v>12974849</v>
      </c>
      <c r="J45" t="s">
        <v>2290</v>
      </c>
      <c r="P45" t="s">
        <v>4419</v>
      </c>
      <c r="Q45" s="15">
        <v>6000000</v>
      </c>
      <c r="R45" s="8" t="e">
        <f>SUMIFS([1]REPORTADOS!$D$2:$D$3379,[1]REPORTADOS!$C$2:$C$3379,E45)</f>
        <v>#VALUE!</v>
      </c>
      <c r="S45" s="8" t="e">
        <f t="shared" si="0"/>
        <v>#VALUE!</v>
      </c>
    </row>
    <row r="46" spans="1:19" x14ac:dyDescent="0.25">
      <c r="A46">
        <v>900091143</v>
      </c>
      <c r="B46" t="s">
        <v>3965</v>
      </c>
      <c r="C46" t="s">
        <v>3299</v>
      </c>
      <c r="E46" t="s">
        <v>3299</v>
      </c>
      <c r="H46" t="s">
        <v>22</v>
      </c>
      <c r="I46">
        <v>1085317833</v>
      </c>
      <c r="J46" t="s">
        <v>1791</v>
      </c>
      <c r="P46" t="s">
        <v>4403</v>
      </c>
      <c r="Q46" s="15">
        <v>6300000</v>
      </c>
      <c r="R46" s="8" t="e">
        <f>SUMIFS([1]REPORTADOS!$D$2:$D$3379,[1]REPORTADOS!$C$2:$C$3379,E46)</f>
        <v>#VALUE!</v>
      </c>
      <c r="S46" s="8" t="e">
        <f t="shared" si="0"/>
        <v>#VALUE!</v>
      </c>
    </row>
    <row r="47" spans="1:19" x14ac:dyDescent="0.25">
      <c r="A47">
        <v>900091143</v>
      </c>
      <c r="B47" t="s">
        <v>3965</v>
      </c>
      <c r="C47" t="s">
        <v>3300</v>
      </c>
      <c r="E47" t="s">
        <v>3300</v>
      </c>
      <c r="H47" t="s">
        <v>22</v>
      </c>
      <c r="I47">
        <v>1233192104</v>
      </c>
      <c r="J47" t="s">
        <v>4000</v>
      </c>
      <c r="P47" t="s">
        <v>4275</v>
      </c>
      <c r="Q47" s="15">
        <v>6300000</v>
      </c>
      <c r="R47" s="8" t="e">
        <f>SUMIFS([1]REPORTADOS!$D$2:$D$3379,[1]REPORTADOS!$C$2:$C$3379,E47)</f>
        <v>#VALUE!</v>
      </c>
      <c r="S47" s="8" t="e">
        <f t="shared" si="0"/>
        <v>#VALUE!</v>
      </c>
    </row>
    <row r="48" spans="1:19" x14ac:dyDescent="0.25">
      <c r="A48">
        <v>900091143</v>
      </c>
      <c r="B48" t="s">
        <v>3965</v>
      </c>
      <c r="C48" t="s">
        <v>3301</v>
      </c>
      <c r="E48" t="s">
        <v>3301</v>
      </c>
      <c r="H48" t="s">
        <v>22</v>
      </c>
      <c r="I48">
        <v>1082748420</v>
      </c>
      <c r="J48" t="s">
        <v>1948</v>
      </c>
      <c r="P48" t="s">
        <v>4403</v>
      </c>
      <c r="Q48" s="8">
        <v>18900000</v>
      </c>
      <c r="R48" s="8" t="e">
        <f>SUMIFS([1]REPORTADOS!$D$2:$D$3379,[1]REPORTADOS!$C$2:$C$3379,E48)</f>
        <v>#VALUE!</v>
      </c>
      <c r="S48" s="8" t="e">
        <f t="shared" si="0"/>
        <v>#VALUE!</v>
      </c>
    </row>
    <row r="49" spans="1:19" x14ac:dyDescent="0.25">
      <c r="A49">
        <v>900091143</v>
      </c>
      <c r="B49" t="s">
        <v>3965</v>
      </c>
      <c r="C49" t="s">
        <v>3302</v>
      </c>
      <c r="E49" t="s">
        <v>3302</v>
      </c>
      <c r="H49" t="s">
        <v>22</v>
      </c>
      <c r="I49">
        <v>1085252263</v>
      </c>
      <c r="J49" t="s">
        <v>4001</v>
      </c>
      <c r="P49" t="s">
        <v>4403</v>
      </c>
      <c r="Q49" s="8">
        <v>9450000</v>
      </c>
      <c r="R49" s="8" t="e">
        <f>SUMIFS([1]REPORTADOS!$D$2:$D$3379,[1]REPORTADOS!$C$2:$C$3379,E49)</f>
        <v>#VALUE!</v>
      </c>
      <c r="S49" s="8" t="e">
        <f t="shared" si="0"/>
        <v>#VALUE!</v>
      </c>
    </row>
    <row r="50" spans="1:19" x14ac:dyDescent="0.25">
      <c r="A50">
        <v>900091143</v>
      </c>
      <c r="B50" t="s">
        <v>3965</v>
      </c>
      <c r="C50" t="s">
        <v>3303</v>
      </c>
      <c r="E50" t="s">
        <v>3303</v>
      </c>
      <c r="H50" t="s">
        <v>22</v>
      </c>
      <c r="I50">
        <v>1086222689</v>
      </c>
      <c r="J50" t="s">
        <v>1768</v>
      </c>
      <c r="P50" t="s">
        <v>4403</v>
      </c>
      <c r="Q50" s="15">
        <v>6300000</v>
      </c>
      <c r="R50" s="8" t="e">
        <f>SUMIFS([1]REPORTADOS!$D$2:$D$3379,[1]REPORTADOS!$C$2:$C$3379,E50)</f>
        <v>#VALUE!</v>
      </c>
      <c r="S50" s="8" t="e">
        <f t="shared" si="0"/>
        <v>#VALUE!</v>
      </c>
    </row>
    <row r="51" spans="1:19" x14ac:dyDescent="0.25">
      <c r="A51">
        <v>900091143</v>
      </c>
      <c r="B51" t="s">
        <v>3965</v>
      </c>
      <c r="C51" t="s">
        <v>3304</v>
      </c>
      <c r="E51" t="s">
        <v>3304</v>
      </c>
      <c r="H51" t="s">
        <v>22</v>
      </c>
      <c r="I51">
        <v>1085324685</v>
      </c>
      <c r="J51" t="s">
        <v>2511</v>
      </c>
      <c r="P51" t="s">
        <v>4420</v>
      </c>
      <c r="Q51" s="15">
        <v>6300000</v>
      </c>
      <c r="R51" s="8" t="e">
        <f>SUMIFS([1]REPORTADOS!$D$2:$D$3379,[1]REPORTADOS!$C$2:$C$3379,E51)</f>
        <v>#VALUE!</v>
      </c>
      <c r="S51" s="8" t="e">
        <f t="shared" si="0"/>
        <v>#VALUE!</v>
      </c>
    </row>
    <row r="52" spans="1:19" x14ac:dyDescent="0.25">
      <c r="A52">
        <v>900091143</v>
      </c>
      <c r="B52" t="s">
        <v>3965</v>
      </c>
      <c r="C52" t="s">
        <v>3305</v>
      </c>
      <c r="E52" t="s">
        <v>3305</v>
      </c>
      <c r="H52" t="s">
        <v>22</v>
      </c>
      <c r="I52">
        <v>1085331508</v>
      </c>
      <c r="J52" t="s">
        <v>2377</v>
      </c>
      <c r="P52" t="s">
        <v>4420</v>
      </c>
      <c r="Q52" s="15">
        <v>6300000</v>
      </c>
      <c r="R52" s="8" t="e">
        <f>SUMIFS([1]REPORTADOS!$D$2:$D$3379,[1]REPORTADOS!$C$2:$C$3379,E52)</f>
        <v>#VALUE!</v>
      </c>
      <c r="S52" s="8" t="e">
        <f t="shared" si="0"/>
        <v>#VALUE!</v>
      </c>
    </row>
    <row r="53" spans="1:19" x14ac:dyDescent="0.25">
      <c r="A53">
        <v>900091143</v>
      </c>
      <c r="B53" t="s">
        <v>3965</v>
      </c>
      <c r="C53" t="s">
        <v>3306</v>
      </c>
      <c r="E53" t="s">
        <v>3306</v>
      </c>
      <c r="H53" t="s">
        <v>22</v>
      </c>
      <c r="I53">
        <v>1085281002</v>
      </c>
      <c r="J53" t="s">
        <v>4002</v>
      </c>
      <c r="P53" t="s">
        <v>4421</v>
      </c>
      <c r="Q53" s="15">
        <v>6300000</v>
      </c>
      <c r="R53" s="8" t="e">
        <f>SUMIFS([1]REPORTADOS!$D$2:$D$3379,[1]REPORTADOS!$C$2:$C$3379,E53)</f>
        <v>#VALUE!</v>
      </c>
      <c r="S53" s="8" t="e">
        <f t="shared" si="0"/>
        <v>#VALUE!</v>
      </c>
    </row>
    <row r="54" spans="1:19" x14ac:dyDescent="0.25">
      <c r="A54">
        <v>900091143</v>
      </c>
      <c r="B54" t="s">
        <v>3965</v>
      </c>
      <c r="C54" t="s">
        <v>3307</v>
      </c>
      <c r="E54" t="s">
        <v>3307</v>
      </c>
      <c r="H54" t="s">
        <v>22</v>
      </c>
      <c r="I54">
        <v>1085246674</v>
      </c>
      <c r="J54" t="s">
        <v>4003</v>
      </c>
      <c r="P54" t="s">
        <v>4420</v>
      </c>
      <c r="Q54" s="15">
        <v>6300000</v>
      </c>
      <c r="R54" s="8" t="e">
        <f>SUMIFS([1]REPORTADOS!$D$2:$D$3379,[1]REPORTADOS!$C$2:$C$3379,E54)</f>
        <v>#VALUE!</v>
      </c>
      <c r="S54" s="8" t="e">
        <f t="shared" si="0"/>
        <v>#VALUE!</v>
      </c>
    </row>
    <row r="55" spans="1:19" x14ac:dyDescent="0.25">
      <c r="A55">
        <v>900091143</v>
      </c>
      <c r="B55" t="s">
        <v>3965</v>
      </c>
      <c r="C55" t="s">
        <v>3308</v>
      </c>
      <c r="E55" t="s">
        <v>3308</v>
      </c>
      <c r="H55" t="s">
        <v>22</v>
      </c>
      <c r="I55">
        <v>1088799080</v>
      </c>
      <c r="J55" t="s">
        <v>4004</v>
      </c>
      <c r="P55" t="s">
        <v>4422</v>
      </c>
      <c r="Q55" s="15">
        <v>6300000</v>
      </c>
      <c r="R55" s="8" t="e">
        <f>SUMIFS([1]REPORTADOS!$D$2:$D$3379,[1]REPORTADOS!$C$2:$C$3379,E55)</f>
        <v>#VALUE!</v>
      </c>
      <c r="S55" s="8" t="e">
        <f t="shared" si="0"/>
        <v>#VALUE!</v>
      </c>
    </row>
    <row r="56" spans="1:19" x14ac:dyDescent="0.25">
      <c r="A56">
        <v>900091143</v>
      </c>
      <c r="B56" t="s">
        <v>3965</v>
      </c>
      <c r="C56" t="s">
        <v>3309</v>
      </c>
      <c r="E56" t="s">
        <v>3309</v>
      </c>
      <c r="H56" t="s">
        <v>22</v>
      </c>
      <c r="I56">
        <v>1233191133</v>
      </c>
      <c r="J56" t="s">
        <v>3967</v>
      </c>
      <c r="P56" t="s">
        <v>4423</v>
      </c>
      <c r="Q56" s="15">
        <v>6300000</v>
      </c>
      <c r="R56" s="8" t="e">
        <f>SUMIFS([1]REPORTADOS!$D$2:$D$3379,[1]REPORTADOS!$C$2:$C$3379,E56)</f>
        <v>#VALUE!</v>
      </c>
      <c r="S56" s="8" t="e">
        <f t="shared" si="0"/>
        <v>#VALUE!</v>
      </c>
    </row>
    <row r="57" spans="1:19" x14ac:dyDescent="0.25">
      <c r="A57">
        <v>900091143</v>
      </c>
      <c r="B57" t="s">
        <v>3965</v>
      </c>
      <c r="C57" t="s">
        <v>3310</v>
      </c>
      <c r="E57" t="s">
        <v>3310</v>
      </c>
      <c r="H57" t="s">
        <v>22</v>
      </c>
      <c r="I57">
        <v>1085325325</v>
      </c>
      <c r="J57" t="s">
        <v>2375</v>
      </c>
      <c r="P57" t="s">
        <v>4423</v>
      </c>
      <c r="Q57" s="15">
        <v>6300000</v>
      </c>
      <c r="R57" s="8" t="e">
        <f>SUMIFS([1]REPORTADOS!$D$2:$D$3379,[1]REPORTADOS!$C$2:$C$3379,E57)</f>
        <v>#VALUE!</v>
      </c>
      <c r="S57" s="8" t="e">
        <f t="shared" si="0"/>
        <v>#VALUE!</v>
      </c>
    </row>
    <row r="58" spans="1:19" x14ac:dyDescent="0.25">
      <c r="A58">
        <v>900091143</v>
      </c>
      <c r="B58" t="s">
        <v>3965</v>
      </c>
      <c r="C58" t="s">
        <v>3311</v>
      </c>
      <c r="E58" t="s">
        <v>3311</v>
      </c>
      <c r="H58" t="s">
        <v>22</v>
      </c>
      <c r="I58">
        <v>27091114</v>
      </c>
      <c r="J58" t="s">
        <v>2041</v>
      </c>
      <c r="P58" t="s">
        <v>4424</v>
      </c>
      <c r="Q58" s="15">
        <v>6300000</v>
      </c>
      <c r="R58" s="8" t="e">
        <f>SUMIFS([1]REPORTADOS!$D$2:$D$3379,[1]REPORTADOS!$C$2:$C$3379,E58)</f>
        <v>#VALUE!</v>
      </c>
      <c r="S58" s="8" t="e">
        <f t="shared" si="0"/>
        <v>#VALUE!</v>
      </c>
    </row>
    <row r="59" spans="1:19" x14ac:dyDescent="0.25">
      <c r="A59">
        <v>900091143</v>
      </c>
      <c r="B59" t="s">
        <v>3965</v>
      </c>
      <c r="C59" t="s">
        <v>3312</v>
      </c>
      <c r="E59" t="s">
        <v>3312</v>
      </c>
      <c r="H59" t="s">
        <v>22</v>
      </c>
      <c r="I59">
        <v>1004190751</v>
      </c>
      <c r="J59" t="s">
        <v>4005</v>
      </c>
      <c r="P59" t="s">
        <v>4425</v>
      </c>
      <c r="Q59" s="15">
        <v>6300000</v>
      </c>
      <c r="R59" s="8" t="e">
        <f>SUMIFS([1]REPORTADOS!$D$2:$D$3379,[1]REPORTADOS!$C$2:$C$3379,E59)</f>
        <v>#VALUE!</v>
      </c>
      <c r="S59" s="8" t="e">
        <f t="shared" si="0"/>
        <v>#VALUE!</v>
      </c>
    </row>
    <row r="60" spans="1:19" x14ac:dyDescent="0.25">
      <c r="A60">
        <v>900091143</v>
      </c>
      <c r="B60" t="s">
        <v>3965</v>
      </c>
      <c r="C60" t="s">
        <v>3313</v>
      </c>
      <c r="E60" t="s">
        <v>3313</v>
      </c>
      <c r="H60" t="s">
        <v>22</v>
      </c>
      <c r="I60">
        <v>1082748783</v>
      </c>
      <c r="J60" t="s">
        <v>2009</v>
      </c>
      <c r="P60" t="s">
        <v>4275</v>
      </c>
      <c r="Q60" s="15">
        <v>6300000</v>
      </c>
      <c r="R60" s="8" t="e">
        <f>SUMIFS([1]REPORTADOS!$D$2:$D$3379,[1]REPORTADOS!$C$2:$C$3379,E60)</f>
        <v>#VALUE!</v>
      </c>
      <c r="S60" s="8" t="e">
        <f t="shared" si="0"/>
        <v>#VALUE!</v>
      </c>
    </row>
    <row r="61" spans="1:19" x14ac:dyDescent="0.25">
      <c r="A61">
        <v>900091143</v>
      </c>
      <c r="B61" t="s">
        <v>3965</v>
      </c>
      <c r="C61" t="s">
        <v>3314</v>
      </c>
      <c r="E61" t="s">
        <v>3314</v>
      </c>
      <c r="H61" t="s">
        <v>22</v>
      </c>
      <c r="I61">
        <v>59833899</v>
      </c>
      <c r="J61" t="s">
        <v>2035</v>
      </c>
      <c r="P61" t="s">
        <v>4423</v>
      </c>
      <c r="Q61" s="15">
        <v>6300000</v>
      </c>
      <c r="R61" s="8" t="e">
        <f>SUMIFS([1]REPORTADOS!$D$2:$D$3379,[1]REPORTADOS!$C$2:$C$3379,E61)</f>
        <v>#VALUE!</v>
      </c>
      <c r="S61" s="8" t="e">
        <f t="shared" si="0"/>
        <v>#VALUE!</v>
      </c>
    </row>
    <row r="62" spans="1:19" x14ac:dyDescent="0.25">
      <c r="A62">
        <v>900091143</v>
      </c>
      <c r="B62" t="s">
        <v>3965</v>
      </c>
      <c r="C62" t="s">
        <v>3315</v>
      </c>
      <c r="E62" t="s">
        <v>3315</v>
      </c>
      <c r="H62" t="s">
        <v>22</v>
      </c>
      <c r="I62">
        <v>59828916</v>
      </c>
      <c r="J62" t="s">
        <v>2018</v>
      </c>
      <c r="P62" t="s">
        <v>4426</v>
      </c>
      <c r="Q62" s="15">
        <v>6300000</v>
      </c>
      <c r="R62" s="8" t="e">
        <f>SUMIFS([1]REPORTADOS!$D$2:$D$3379,[1]REPORTADOS!$C$2:$C$3379,E62)</f>
        <v>#VALUE!</v>
      </c>
      <c r="S62" s="8" t="e">
        <f t="shared" si="0"/>
        <v>#VALUE!</v>
      </c>
    </row>
    <row r="63" spans="1:19" x14ac:dyDescent="0.25">
      <c r="A63">
        <v>900091143</v>
      </c>
      <c r="B63" t="s">
        <v>3965</v>
      </c>
      <c r="C63" t="s">
        <v>3316</v>
      </c>
      <c r="E63" t="s">
        <v>3316</v>
      </c>
      <c r="H63" t="s">
        <v>22</v>
      </c>
      <c r="I63">
        <v>1010099104</v>
      </c>
      <c r="J63" t="s">
        <v>4006</v>
      </c>
      <c r="P63" t="s">
        <v>4427</v>
      </c>
      <c r="Q63" s="15">
        <v>6300000</v>
      </c>
      <c r="R63" s="8" t="e">
        <f>SUMIFS([1]REPORTADOS!$D$2:$D$3379,[1]REPORTADOS!$C$2:$C$3379,E63)</f>
        <v>#VALUE!</v>
      </c>
      <c r="S63" s="8" t="e">
        <f t="shared" si="0"/>
        <v>#VALUE!</v>
      </c>
    </row>
    <row r="64" spans="1:19" x14ac:dyDescent="0.25">
      <c r="A64">
        <v>900091143</v>
      </c>
      <c r="B64" t="s">
        <v>3965</v>
      </c>
      <c r="C64" t="s">
        <v>3317</v>
      </c>
      <c r="E64" t="s">
        <v>3317</v>
      </c>
      <c r="H64" t="s">
        <v>22</v>
      </c>
      <c r="I64">
        <v>1088216350</v>
      </c>
      <c r="J64" t="s">
        <v>4007</v>
      </c>
      <c r="P64" t="s">
        <v>4428</v>
      </c>
      <c r="Q64" s="15">
        <v>6300000</v>
      </c>
      <c r="R64" s="8" t="e">
        <f>SUMIFS([1]REPORTADOS!$D$2:$D$3379,[1]REPORTADOS!$C$2:$C$3379,E64)</f>
        <v>#VALUE!</v>
      </c>
      <c r="S64" s="8" t="e">
        <f t="shared" si="0"/>
        <v>#VALUE!</v>
      </c>
    </row>
    <row r="65" spans="1:19" x14ac:dyDescent="0.25">
      <c r="A65">
        <v>900091143</v>
      </c>
      <c r="B65" t="s">
        <v>3965</v>
      </c>
      <c r="C65" t="s">
        <v>3318</v>
      </c>
      <c r="E65" t="s">
        <v>3318</v>
      </c>
      <c r="H65" t="s">
        <v>22</v>
      </c>
      <c r="I65">
        <v>59830040</v>
      </c>
      <c r="J65" t="s">
        <v>2026</v>
      </c>
      <c r="P65" t="s">
        <v>4420</v>
      </c>
      <c r="Q65" s="15">
        <v>6300000</v>
      </c>
      <c r="R65" s="8" t="e">
        <f>SUMIFS([1]REPORTADOS!$D$2:$D$3379,[1]REPORTADOS!$C$2:$C$3379,E65)</f>
        <v>#VALUE!</v>
      </c>
      <c r="S65" s="8" t="e">
        <f t="shared" si="0"/>
        <v>#VALUE!</v>
      </c>
    </row>
    <row r="66" spans="1:19" x14ac:dyDescent="0.25">
      <c r="A66">
        <v>900091143</v>
      </c>
      <c r="B66" t="s">
        <v>3965</v>
      </c>
      <c r="C66" t="s">
        <v>3319</v>
      </c>
      <c r="E66" t="s">
        <v>3319</v>
      </c>
      <c r="H66" t="s">
        <v>22</v>
      </c>
      <c r="I66">
        <v>1085338921</v>
      </c>
      <c r="J66" t="s">
        <v>4008</v>
      </c>
      <c r="P66" t="s">
        <v>4423</v>
      </c>
      <c r="Q66" s="15">
        <v>6300000</v>
      </c>
      <c r="R66" s="8" t="e">
        <f>SUMIFS([1]REPORTADOS!$D$2:$D$3379,[1]REPORTADOS!$C$2:$C$3379,E66)</f>
        <v>#VALUE!</v>
      </c>
      <c r="S66" s="8" t="e">
        <f t="shared" si="0"/>
        <v>#VALUE!</v>
      </c>
    </row>
    <row r="67" spans="1:19" x14ac:dyDescent="0.25">
      <c r="A67">
        <v>900091143</v>
      </c>
      <c r="B67" t="s">
        <v>3965</v>
      </c>
      <c r="C67" t="s">
        <v>3320</v>
      </c>
      <c r="E67" t="s">
        <v>3320</v>
      </c>
      <c r="H67" t="s">
        <v>22</v>
      </c>
      <c r="I67">
        <v>1086328142</v>
      </c>
      <c r="J67" t="s">
        <v>2432</v>
      </c>
      <c r="P67" t="s">
        <v>4429</v>
      </c>
      <c r="Q67" s="15">
        <v>6300000</v>
      </c>
      <c r="R67" s="8" t="e">
        <f>SUMIFS([1]REPORTADOS!$D$2:$D$3379,[1]REPORTADOS!$C$2:$C$3379,E67)</f>
        <v>#VALUE!</v>
      </c>
      <c r="S67" s="8" t="e">
        <f t="shared" ref="S67:S130" si="1">Q67-R67</f>
        <v>#VALUE!</v>
      </c>
    </row>
    <row r="68" spans="1:19" x14ac:dyDescent="0.25">
      <c r="A68">
        <v>900091143</v>
      </c>
      <c r="B68" t="s">
        <v>3965</v>
      </c>
      <c r="C68" t="s">
        <v>3321</v>
      </c>
      <c r="E68" t="s">
        <v>3321</v>
      </c>
      <c r="H68" t="s">
        <v>22</v>
      </c>
      <c r="I68">
        <v>1084224968</v>
      </c>
      <c r="J68" t="s">
        <v>2493</v>
      </c>
      <c r="P68" t="s">
        <v>4430</v>
      </c>
      <c r="Q68" s="15">
        <v>6300000</v>
      </c>
      <c r="R68" s="8" t="e">
        <f>SUMIFS([1]REPORTADOS!$D$2:$D$3379,[1]REPORTADOS!$C$2:$C$3379,E68)</f>
        <v>#VALUE!</v>
      </c>
      <c r="S68" s="8" t="e">
        <f t="shared" si="1"/>
        <v>#VALUE!</v>
      </c>
    </row>
    <row r="69" spans="1:19" x14ac:dyDescent="0.25">
      <c r="A69">
        <v>900091143</v>
      </c>
      <c r="B69" t="s">
        <v>3965</v>
      </c>
      <c r="C69" t="s">
        <v>3322</v>
      </c>
      <c r="E69" t="s">
        <v>3322</v>
      </c>
      <c r="H69" t="s">
        <v>22</v>
      </c>
      <c r="I69">
        <v>1085344795</v>
      </c>
      <c r="J69" t="s">
        <v>2038</v>
      </c>
      <c r="P69" t="s">
        <v>4420</v>
      </c>
      <c r="Q69" s="15">
        <v>6300000</v>
      </c>
      <c r="R69" s="8" t="e">
        <f>SUMIFS([1]REPORTADOS!$D$2:$D$3379,[1]REPORTADOS!$C$2:$C$3379,E69)</f>
        <v>#VALUE!</v>
      </c>
      <c r="S69" s="8" t="e">
        <f t="shared" si="1"/>
        <v>#VALUE!</v>
      </c>
    </row>
    <row r="70" spans="1:19" x14ac:dyDescent="0.25">
      <c r="A70">
        <v>900091143</v>
      </c>
      <c r="B70" t="s">
        <v>3965</v>
      </c>
      <c r="C70" t="s">
        <v>3323</v>
      </c>
      <c r="E70" t="s">
        <v>3323</v>
      </c>
      <c r="H70" t="s">
        <v>22</v>
      </c>
      <c r="I70">
        <v>1085266584</v>
      </c>
      <c r="J70" t="s">
        <v>1981</v>
      </c>
      <c r="P70" t="s">
        <v>4422</v>
      </c>
      <c r="Q70" s="15">
        <v>6300000</v>
      </c>
      <c r="R70" s="8" t="e">
        <f>SUMIFS([1]REPORTADOS!$D$2:$D$3379,[1]REPORTADOS!$C$2:$C$3379,E70)</f>
        <v>#VALUE!</v>
      </c>
      <c r="S70" s="8" t="e">
        <f t="shared" si="1"/>
        <v>#VALUE!</v>
      </c>
    </row>
    <row r="71" spans="1:19" x14ac:dyDescent="0.25">
      <c r="A71">
        <v>900091143</v>
      </c>
      <c r="B71" t="s">
        <v>3965</v>
      </c>
      <c r="C71" t="s">
        <v>3324</v>
      </c>
      <c r="E71" t="s">
        <v>3324</v>
      </c>
      <c r="H71" t="s">
        <v>22</v>
      </c>
      <c r="I71">
        <v>98391531</v>
      </c>
      <c r="J71" t="s">
        <v>2442</v>
      </c>
      <c r="P71" t="s">
        <v>4429</v>
      </c>
      <c r="Q71" s="15">
        <v>6300000</v>
      </c>
      <c r="R71" s="8" t="e">
        <f>SUMIFS([1]REPORTADOS!$D$2:$D$3379,[1]REPORTADOS!$C$2:$C$3379,E71)</f>
        <v>#VALUE!</v>
      </c>
      <c r="S71" s="8" t="e">
        <f t="shared" si="1"/>
        <v>#VALUE!</v>
      </c>
    </row>
    <row r="72" spans="1:19" x14ac:dyDescent="0.25">
      <c r="A72">
        <v>900091143</v>
      </c>
      <c r="B72" t="s">
        <v>3965</v>
      </c>
      <c r="C72" t="s">
        <v>3325</v>
      </c>
      <c r="E72" t="s">
        <v>3325</v>
      </c>
      <c r="H72" t="s">
        <v>22</v>
      </c>
      <c r="I72">
        <v>1081592769</v>
      </c>
      <c r="J72" t="s">
        <v>4009</v>
      </c>
      <c r="P72" t="s">
        <v>4423</v>
      </c>
      <c r="Q72" s="15">
        <v>6300000</v>
      </c>
      <c r="R72" s="8" t="e">
        <f>SUMIFS([1]REPORTADOS!$D$2:$D$3379,[1]REPORTADOS!$C$2:$C$3379,E72)</f>
        <v>#VALUE!</v>
      </c>
      <c r="S72" s="8" t="e">
        <f t="shared" si="1"/>
        <v>#VALUE!</v>
      </c>
    </row>
    <row r="73" spans="1:19" x14ac:dyDescent="0.25">
      <c r="A73">
        <v>900091143</v>
      </c>
      <c r="B73" t="s">
        <v>3965</v>
      </c>
      <c r="C73" t="s">
        <v>3326</v>
      </c>
      <c r="E73" t="s">
        <v>3326</v>
      </c>
      <c r="H73" t="s">
        <v>22</v>
      </c>
      <c r="I73">
        <v>1085286742</v>
      </c>
      <c r="J73" t="s">
        <v>1774</v>
      </c>
      <c r="P73" t="s">
        <v>4429</v>
      </c>
      <c r="Q73" s="15">
        <v>6300000</v>
      </c>
      <c r="R73" s="8" t="e">
        <f>SUMIFS([1]REPORTADOS!$D$2:$D$3379,[1]REPORTADOS!$C$2:$C$3379,E73)</f>
        <v>#VALUE!</v>
      </c>
      <c r="S73" s="8" t="e">
        <f t="shared" si="1"/>
        <v>#VALUE!</v>
      </c>
    </row>
    <row r="74" spans="1:19" x14ac:dyDescent="0.25">
      <c r="A74">
        <v>900091143</v>
      </c>
      <c r="B74" t="s">
        <v>3965</v>
      </c>
      <c r="C74" t="s">
        <v>3327</v>
      </c>
      <c r="E74" t="s">
        <v>3327</v>
      </c>
      <c r="H74" t="s">
        <v>22</v>
      </c>
      <c r="I74">
        <v>1085331558</v>
      </c>
      <c r="J74" t="s">
        <v>4010</v>
      </c>
      <c r="P74" t="s">
        <v>4431</v>
      </c>
      <c r="Q74" s="15">
        <v>6300000</v>
      </c>
      <c r="R74" s="8" t="e">
        <f>SUMIFS([1]REPORTADOS!$D$2:$D$3379,[1]REPORTADOS!$C$2:$C$3379,E74)</f>
        <v>#VALUE!</v>
      </c>
      <c r="S74" s="8" t="e">
        <f t="shared" si="1"/>
        <v>#VALUE!</v>
      </c>
    </row>
    <row r="75" spans="1:19" x14ac:dyDescent="0.25">
      <c r="A75">
        <v>900091143</v>
      </c>
      <c r="B75" t="s">
        <v>3965</v>
      </c>
      <c r="C75" t="s">
        <v>3328</v>
      </c>
      <c r="E75" t="s">
        <v>3328</v>
      </c>
      <c r="H75" t="s">
        <v>22</v>
      </c>
      <c r="I75">
        <v>1086018841</v>
      </c>
      <c r="J75" t="s">
        <v>4011</v>
      </c>
      <c r="P75" t="s">
        <v>4420</v>
      </c>
      <c r="Q75" s="15">
        <v>6300000</v>
      </c>
      <c r="R75" s="8" t="e">
        <f>SUMIFS([1]REPORTADOS!$D$2:$D$3379,[1]REPORTADOS!$C$2:$C$3379,E75)</f>
        <v>#VALUE!</v>
      </c>
      <c r="S75" s="8" t="e">
        <f t="shared" si="1"/>
        <v>#VALUE!</v>
      </c>
    </row>
    <row r="76" spans="1:19" x14ac:dyDescent="0.25">
      <c r="A76">
        <v>900091143</v>
      </c>
      <c r="B76" t="s">
        <v>3965</v>
      </c>
      <c r="C76" t="s">
        <v>3329</v>
      </c>
      <c r="E76" t="s">
        <v>3329</v>
      </c>
      <c r="H76" t="s">
        <v>22</v>
      </c>
      <c r="I76">
        <v>1085270448</v>
      </c>
      <c r="J76" t="s">
        <v>4012</v>
      </c>
      <c r="P76" t="s">
        <v>4429</v>
      </c>
      <c r="Q76" s="15">
        <v>6300000</v>
      </c>
      <c r="R76" s="8" t="e">
        <f>SUMIFS([1]REPORTADOS!$D$2:$D$3379,[1]REPORTADOS!$C$2:$C$3379,E76)</f>
        <v>#VALUE!</v>
      </c>
      <c r="S76" s="8" t="e">
        <f t="shared" si="1"/>
        <v>#VALUE!</v>
      </c>
    </row>
    <row r="77" spans="1:19" x14ac:dyDescent="0.25">
      <c r="A77">
        <v>900091143</v>
      </c>
      <c r="B77" t="s">
        <v>3965</v>
      </c>
      <c r="C77" t="s">
        <v>3330</v>
      </c>
      <c r="E77" t="s">
        <v>3330</v>
      </c>
      <c r="H77" t="s">
        <v>22</v>
      </c>
      <c r="I77">
        <v>59834953</v>
      </c>
      <c r="J77" t="s">
        <v>1759</v>
      </c>
      <c r="P77" t="s">
        <v>4432</v>
      </c>
      <c r="Q77" s="15">
        <v>7875000</v>
      </c>
      <c r="R77" s="8" t="e">
        <f>SUMIFS([1]REPORTADOS!$D$2:$D$3379,[1]REPORTADOS!$C$2:$C$3379,E77)</f>
        <v>#VALUE!</v>
      </c>
      <c r="S77" s="8" t="e">
        <f t="shared" si="1"/>
        <v>#VALUE!</v>
      </c>
    </row>
    <row r="78" spans="1:19" x14ac:dyDescent="0.25">
      <c r="A78">
        <v>900091143</v>
      </c>
      <c r="B78" t="s">
        <v>3965</v>
      </c>
      <c r="C78" t="s">
        <v>3331</v>
      </c>
      <c r="E78" t="s">
        <v>3331</v>
      </c>
      <c r="H78" t="s">
        <v>22</v>
      </c>
      <c r="I78">
        <v>59813323</v>
      </c>
      <c r="J78" t="s">
        <v>1995</v>
      </c>
      <c r="P78" t="s">
        <v>4420</v>
      </c>
      <c r="Q78" s="15">
        <v>7875000</v>
      </c>
      <c r="R78" s="8" t="e">
        <f>SUMIFS([1]REPORTADOS!$D$2:$D$3379,[1]REPORTADOS!$C$2:$C$3379,E78)</f>
        <v>#VALUE!</v>
      </c>
      <c r="S78" s="8" t="e">
        <f t="shared" si="1"/>
        <v>#VALUE!</v>
      </c>
    </row>
    <row r="79" spans="1:19" x14ac:dyDescent="0.25">
      <c r="A79">
        <v>900091143</v>
      </c>
      <c r="B79" t="s">
        <v>3965</v>
      </c>
      <c r="C79" t="s">
        <v>3332</v>
      </c>
      <c r="E79" t="s">
        <v>3332</v>
      </c>
      <c r="H79" t="s">
        <v>22</v>
      </c>
      <c r="I79">
        <v>1193405962</v>
      </c>
      <c r="J79" t="s">
        <v>4013</v>
      </c>
      <c r="P79" t="s">
        <v>4423</v>
      </c>
      <c r="Q79" s="15">
        <v>7875000</v>
      </c>
      <c r="R79" s="8" t="e">
        <f>SUMIFS([1]REPORTADOS!$D$2:$D$3379,[1]REPORTADOS!$C$2:$C$3379,E79)</f>
        <v>#VALUE!</v>
      </c>
      <c r="S79" s="8" t="e">
        <f t="shared" si="1"/>
        <v>#VALUE!</v>
      </c>
    </row>
    <row r="80" spans="1:19" x14ac:dyDescent="0.25">
      <c r="A80">
        <v>900091143</v>
      </c>
      <c r="B80" t="s">
        <v>3965</v>
      </c>
      <c r="C80" t="s">
        <v>3333</v>
      </c>
      <c r="E80" t="s">
        <v>3333</v>
      </c>
      <c r="H80" t="s">
        <v>22</v>
      </c>
      <c r="I80">
        <v>1085327677</v>
      </c>
      <c r="J80" t="s">
        <v>3979</v>
      </c>
      <c r="P80" t="s">
        <v>4433</v>
      </c>
      <c r="Q80" s="15">
        <v>7875000</v>
      </c>
      <c r="R80" s="8" t="e">
        <f>SUMIFS([1]REPORTADOS!$D$2:$D$3379,[1]REPORTADOS!$C$2:$C$3379,E80)</f>
        <v>#VALUE!</v>
      </c>
      <c r="S80" s="8" t="e">
        <f t="shared" si="1"/>
        <v>#VALUE!</v>
      </c>
    </row>
    <row r="81" spans="1:19" x14ac:dyDescent="0.25">
      <c r="A81">
        <v>900091143</v>
      </c>
      <c r="B81" t="s">
        <v>3965</v>
      </c>
      <c r="C81" t="s">
        <v>3334</v>
      </c>
      <c r="E81" t="s">
        <v>3334</v>
      </c>
      <c r="H81" t="s">
        <v>22</v>
      </c>
      <c r="I81">
        <v>36950892</v>
      </c>
      <c r="J81" t="s">
        <v>4014</v>
      </c>
      <c r="P81" t="s">
        <v>4423</v>
      </c>
      <c r="Q81" s="15">
        <v>7875000</v>
      </c>
      <c r="R81" s="8" t="e">
        <f>SUMIFS([1]REPORTADOS!$D$2:$D$3379,[1]REPORTADOS!$C$2:$C$3379,E81)</f>
        <v>#VALUE!</v>
      </c>
      <c r="S81" s="8" t="e">
        <f t="shared" si="1"/>
        <v>#VALUE!</v>
      </c>
    </row>
    <row r="82" spans="1:19" x14ac:dyDescent="0.25">
      <c r="A82">
        <v>900091143</v>
      </c>
      <c r="B82" t="s">
        <v>3965</v>
      </c>
      <c r="C82" t="s">
        <v>3335</v>
      </c>
      <c r="E82" t="s">
        <v>3335</v>
      </c>
      <c r="H82" t="s">
        <v>22</v>
      </c>
      <c r="I82">
        <v>1086329800</v>
      </c>
      <c r="J82" t="s">
        <v>4015</v>
      </c>
      <c r="P82" t="s">
        <v>4434</v>
      </c>
      <c r="Q82" s="15">
        <v>7875000</v>
      </c>
      <c r="R82" s="8" t="e">
        <f>SUMIFS([1]REPORTADOS!$D$2:$D$3379,[1]REPORTADOS!$C$2:$C$3379,E82)</f>
        <v>#VALUE!</v>
      </c>
      <c r="S82" s="8" t="e">
        <f t="shared" si="1"/>
        <v>#VALUE!</v>
      </c>
    </row>
    <row r="83" spans="1:19" x14ac:dyDescent="0.25">
      <c r="A83">
        <v>900091143</v>
      </c>
      <c r="B83" t="s">
        <v>3965</v>
      </c>
      <c r="C83" t="s">
        <v>3336</v>
      </c>
      <c r="E83" t="s">
        <v>3336</v>
      </c>
      <c r="H83" t="s">
        <v>22</v>
      </c>
      <c r="I83">
        <v>27253636</v>
      </c>
      <c r="J83" t="s">
        <v>4016</v>
      </c>
      <c r="P83" t="s">
        <v>4423</v>
      </c>
      <c r="Q83" s="15">
        <v>7875000</v>
      </c>
      <c r="R83" s="8" t="e">
        <f>SUMIFS([1]REPORTADOS!$D$2:$D$3379,[1]REPORTADOS!$C$2:$C$3379,E83)</f>
        <v>#VALUE!</v>
      </c>
      <c r="S83" s="8" t="e">
        <f t="shared" si="1"/>
        <v>#VALUE!</v>
      </c>
    </row>
    <row r="84" spans="1:19" x14ac:dyDescent="0.25">
      <c r="A84">
        <v>900091143</v>
      </c>
      <c r="B84" t="s">
        <v>3965</v>
      </c>
      <c r="C84" t="s">
        <v>3337</v>
      </c>
      <c r="E84" t="s">
        <v>3337</v>
      </c>
      <c r="H84" t="s">
        <v>22</v>
      </c>
      <c r="I84">
        <v>27285974</v>
      </c>
      <c r="J84" t="s">
        <v>4017</v>
      </c>
      <c r="P84" t="s">
        <v>4435</v>
      </c>
      <c r="Q84" s="15">
        <v>7875000</v>
      </c>
      <c r="R84" s="8" t="e">
        <f>SUMIFS([1]REPORTADOS!$D$2:$D$3379,[1]REPORTADOS!$C$2:$C$3379,E84)</f>
        <v>#VALUE!</v>
      </c>
      <c r="S84" s="8" t="e">
        <f t="shared" si="1"/>
        <v>#VALUE!</v>
      </c>
    </row>
    <row r="85" spans="1:19" x14ac:dyDescent="0.25">
      <c r="A85">
        <v>900091143</v>
      </c>
      <c r="B85" t="s">
        <v>3965</v>
      </c>
      <c r="C85" t="s">
        <v>3338</v>
      </c>
      <c r="E85" t="s">
        <v>3338</v>
      </c>
      <c r="H85" t="s">
        <v>22</v>
      </c>
      <c r="I85">
        <v>1088975658</v>
      </c>
      <c r="J85" t="s">
        <v>4018</v>
      </c>
      <c r="P85" t="s">
        <v>4436</v>
      </c>
      <c r="Q85" s="15">
        <v>7875000</v>
      </c>
      <c r="R85" s="8" t="e">
        <f>SUMIFS([1]REPORTADOS!$D$2:$D$3379,[1]REPORTADOS!$C$2:$C$3379,E85)</f>
        <v>#VALUE!</v>
      </c>
      <c r="S85" s="8" t="e">
        <f t="shared" si="1"/>
        <v>#VALUE!</v>
      </c>
    </row>
    <row r="86" spans="1:19" x14ac:dyDescent="0.25">
      <c r="A86">
        <v>900091143</v>
      </c>
      <c r="B86" t="s">
        <v>3965</v>
      </c>
      <c r="C86" t="s">
        <v>3339</v>
      </c>
      <c r="E86" t="s">
        <v>3339</v>
      </c>
      <c r="H86" t="s">
        <v>22</v>
      </c>
      <c r="I86">
        <v>1080693240</v>
      </c>
      <c r="J86" t="s">
        <v>4019</v>
      </c>
      <c r="P86" t="s">
        <v>4420</v>
      </c>
      <c r="Q86" s="15">
        <v>7875000</v>
      </c>
      <c r="R86" s="8" t="e">
        <f>SUMIFS([1]REPORTADOS!$D$2:$D$3379,[1]REPORTADOS!$C$2:$C$3379,E86)</f>
        <v>#VALUE!</v>
      </c>
      <c r="S86" s="8" t="e">
        <f t="shared" si="1"/>
        <v>#VALUE!</v>
      </c>
    </row>
    <row r="87" spans="1:19" x14ac:dyDescent="0.25">
      <c r="A87">
        <v>900091143</v>
      </c>
      <c r="B87" t="s">
        <v>3965</v>
      </c>
      <c r="C87" t="s">
        <v>3340</v>
      </c>
      <c r="E87" t="s">
        <v>3340</v>
      </c>
      <c r="H87" t="s">
        <v>22</v>
      </c>
      <c r="I87">
        <v>1137089268</v>
      </c>
      <c r="J87" t="s">
        <v>4020</v>
      </c>
      <c r="P87" t="s">
        <v>4429</v>
      </c>
      <c r="Q87" s="15">
        <v>7875000</v>
      </c>
      <c r="R87" s="8" t="e">
        <f>SUMIFS([1]REPORTADOS!$D$2:$D$3379,[1]REPORTADOS!$C$2:$C$3379,E87)</f>
        <v>#VALUE!</v>
      </c>
      <c r="S87" s="8" t="e">
        <f t="shared" si="1"/>
        <v>#VALUE!</v>
      </c>
    </row>
    <row r="88" spans="1:19" x14ac:dyDescent="0.25">
      <c r="A88">
        <v>900091143</v>
      </c>
      <c r="B88" t="s">
        <v>3965</v>
      </c>
      <c r="C88" t="s">
        <v>3341</v>
      </c>
      <c r="E88" t="s">
        <v>3341</v>
      </c>
      <c r="H88" t="s">
        <v>22</v>
      </c>
      <c r="I88">
        <v>1004343043</v>
      </c>
      <c r="J88" t="s">
        <v>4021</v>
      </c>
      <c r="P88" t="s">
        <v>4420</v>
      </c>
      <c r="Q88" s="15">
        <v>7875000</v>
      </c>
      <c r="R88" s="8" t="e">
        <f>SUMIFS([1]REPORTADOS!$D$2:$D$3379,[1]REPORTADOS!$C$2:$C$3379,E88)</f>
        <v>#VALUE!</v>
      </c>
      <c r="S88" s="8" t="e">
        <f t="shared" si="1"/>
        <v>#VALUE!</v>
      </c>
    </row>
    <row r="89" spans="1:19" x14ac:dyDescent="0.25">
      <c r="A89">
        <v>900091143</v>
      </c>
      <c r="B89" t="s">
        <v>3965</v>
      </c>
      <c r="C89" t="s">
        <v>3342</v>
      </c>
      <c r="E89" t="s">
        <v>3342</v>
      </c>
      <c r="H89" t="s">
        <v>22</v>
      </c>
      <c r="I89">
        <v>87030128</v>
      </c>
      <c r="J89" t="s">
        <v>2779</v>
      </c>
      <c r="P89" t="s">
        <v>4437</v>
      </c>
      <c r="Q89" s="15">
        <v>7875000</v>
      </c>
      <c r="R89" s="8" t="e">
        <f>SUMIFS([1]REPORTADOS!$D$2:$D$3379,[1]REPORTADOS!$C$2:$C$3379,E89)</f>
        <v>#VALUE!</v>
      </c>
      <c r="S89" s="8" t="e">
        <f t="shared" si="1"/>
        <v>#VALUE!</v>
      </c>
    </row>
    <row r="90" spans="1:19" x14ac:dyDescent="0.25">
      <c r="A90">
        <v>900091143</v>
      </c>
      <c r="B90" t="s">
        <v>3965</v>
      </c>
      <c r="C90" t="s">
        <v>3343</v>
      </c>
      <c r="E90" t="s">
        <v>3343</v>
      </c>
      <c r="H90" t="s">
        <v>22</v>
      </c>
      <c r="I90">
        <v>27388522</v>
      </c>
      <c r="J90" t="s">
        <v>1777</v>
      </c>
      <c r="P90" t="s">
        <v>4438</v>
      </c>
      <c r="Q90" s="15">
        <v>7875000</v>
      </c>
      <c r="R90" s="8" t="e">
        <f>SUMIFS([1]REPORTADOS!$D$2:$D$3379,[1]REPORTADOS!$C$2:$C$3379,E90)</f>
        <v>#VALUE!</v>
      </c>
      <c r="S90" s="8" t="e">
        <f t="shared" si="1"/>
        <v>#VALUE!</v>
      </c>
    </row>
    <row r="91" spans="1:19" x14ac:dyDescent="0.25">
      <c r="A91">
        <v>900091143</v>
      </c>
      <c r="B91" t="s">
        <v>3965</v>
      </c>
      <c r="C91" t="s">
        <v>3344</v>
      </c>
      <c r="E91" t="s">
        <v>3344</v>
      </c>
      <c r="H91" t="s">
        <v>22</v>
      </c>
      <c r="I91">
        <v>1081592742</v>
      </c>
      <c r="J91" t="s">
        <v>4022</v>
      </c>
      <c r="P91" t="s">
        <v>4420</v>
      </c>
      <c r="Q91" s="15">
        <v>9450000</v>
      </c>
      <c r="R91" s="8" t="e">
        <f>SUMIFS([1]REPORTADOS!$D$2:$D$3379,[1]REPORTADOS!$C$2:$C$3379,E91)</f>
        <v>#VALUE!</v>
      </c>
      <c r="S91" s="8" t="e">
        <f t="shared" si="1"/>
        <v>#VALUE!</v>
      </c>
    </row>
    <row r="92" spans="1:19" x14ac:dyDescent="0.25">
      <c r="A92">
        <v>900091143</v>
      </c>
      <c r="B92" t="s">
        <v>3965</v>
      </c>
      <c r="C92" t="s">
        <v>3345</v>
      </c>
      <c r="E92" t="s">
        <v>3345</v>
      </c>
      <c r="H92" t="s">
        <v>22</v>
      </c>
      <c r="I92">
        <v>1081272318</v>
      </c>
      <c r="J92" t="s">
        <v>2653</v>
      </c>
      <c r="P92" t="s">
        <v>4439</v>
      </c>
      <c r="Q92" s="15">
        <v>9450000</v>
      </c>
      <c r="R92" s="8" t="e">
        <f>SUMIFS([1]REPORTADOS!$D$2:$D$3379,[1]REPORTADOS!$C$2:$C$3379,E92)</f>
        <v>#VALUE!</v>
      </c>
      <c r="S92" s="8" t="e">
        <f t="shared" si="1"/>
        <v>#VALUE!</v>
      </c>
    </row>
    <row r="93" spans="1:19" x14ac:dyDescent="0.25">
      <c r="A93">
        <v>900091143</v>
      </c>
      <c r="B93" t="s">
        <v>3965</v>
      </c>
      <c r="C93" t="s">
        <v>3346</v>
      </c>
      <c r="E93" t="s">
        <v>3346</v>
      </c>
      <c r="H93" t="s">
        <v>22</v>
      </c>
      <c r="I93">
        <v>27222016</v>
      </c>
      <c r="J93" t="s">
        <v>4023</v>
      </c>
      <c r="P93" t="s">
        <v>4424</v>
      </c>
      <c r="Q93" s="15">
        <v>9450000</v>
      </c>
      <c r="R93" s="8" t="e">
        <f>SUMIFS([1]REPORTADOS!$D$2:$D$3379,[1]REPORTADOS!$C$2:$C$3379,E93)</f>
        <v>#VALUE!</v>
      </c>
      <c r="S93" s="8" t="e">
        <f t="shared" si="1"/>
        <v>#VALUE!</v>
      </c>
    </row>
    <row r="94" spans="1:19" x14ac:dyDescent="0.25">
      <c r="A94">
        <v>900091143</v>
      </c>
      <c r="B94" t="s">
        <v>3965</v>
      </c>
      <c r="C94" t="s">
        <v>3347</v>
      </c>
      <c r="E94" t="s">
        <v>3347</v>
      </c>
      <c r="H94" t="s">
        <v>22</v>
      </c>
      <c r="I94">
        <v>1085317094</v>
      </c>
      <c r="J94" t="s">
        <v>4024</v>
      </c>
      <c r="P94" t="s">
        <v>4440</v>
      </c>
      <c r="Q94" s="15">
        <v>9450000</v>
      </c>
      <c r="R94" s="8" t="e">
        <f>SUMIFS([1]REPORTADOS!$D$2:$D$3379,[1]REPORTADOS!$C$2:$C$3379,E94)</f>
        <v>#VALUE!</v>
      </c>
      <c r="S94" s="8" t="e">
        <f t="shared" si="1"/>
        <v>#VALUE!</v>
      </c>
    </row>
    <row r="95" spans="1:19" x14ac:dyDescent="0.25">
      <c r="A95">
        <v>900091143</v>
      </c>
      <c r="B95" t="s">
        <v>3965</v>
      </c>
      <c r="C95" t="s">
        <v>3348</v>
      </c>
      <c r="E95" t="s">
        <v>3348</v>
      </c>
      <c r="H95" t="s">
        <v>22</v>
      </c>
      <c r="I95">
        <v>1085261053</v>
      </c>
      <c r="J95" t="s">
        <v>2270</v>
      </c>
      <c r="P95" t="s">
        <v>4441</v>
      </c>
      <c r="Q95" s="15">
        <v>9450000</v>
      </c>
      <c r="R95" s="8" t="e">
        <f>SUMIFS([1]REPORTADOS!$D$2:$D$3379,[1]REPORTADOS!$C$2:$C$3379,E95)</f>
        <v>#VALUE!</v>
      </c>
      <c r="S95" s="8" t="e">
        <f t="shared" si="1"/>
        <v>#VALUE!</v>
      </c>
    </row>
    <row r="96" spans="1:19" x14ac:dyDescent="0.25">
      <c r="A96">
        <v>900091143</v>
      </c>
      <c r="B96" t="s">
        <v>3965</v>
      </c>
      <c r="C96" t="s">
        <v>3349</v>
      </c>
      <c r="E96" t="s">
        <v>3349</v>
      </c>
      <c r="H96" t="s">
        <v>22</v>
      </c>
      <c r="I96">
        <v>1089458048</v>
      </c>
      <c r="J96" t="s">
        <v>4025</v>
      </c>
      <c r="P96" t="s">
        <v>4403</v>
      </c>
      <c r="Q96" s="8">
        <v>9450000</v>
      </c>
      <c r="R96" s="8" t="e">
        <f>SUMIFS([1]REPORTADOS!$D$2:$D$3379,[1]REPORTADOS!$C$2:$C$3379,E96)</f>
        <v>#VALUE!</v>
      </c>
      <c r="S96" s="8" t="e">
        <f t="shared" si="1"/>
        <v>#VALUE!</v>
      </c>
    </row>
    <row r="97" spans="1:19" x14ac:dyDescent="0.25">
      <c r="A97">
        <v>900091143</v>
      </c>
      <c r="B97" t="s">
        <v>3965</v>
      </c>
      <c r="C97" t="s">
        <v>3350</v>
      </c>
      <c r="E97" t="s">
        <v>3350</v>
      </c>
      <c r="H97" t="s">
        <v>22</v>
      </c>
      <c r="I97">
        <v>1081592303</v>
      </c>
      <c r="J97" t="s">
        <v>1739</v>
      </c>
      <c r="P97" t="s">
        <v>4403</v>
      </c>
      <c r="Q97" s="8">
        <v>9450000</v>
      </c>
      <c r="R97" s="8" t="e">
        <f>SUMIFS([1]REPORTADOS!$D$2:$D$3379,[1]REPORTADOS!$C$2:$C$3379,E97)</f>
        <v>#VALUE!</v>
      </c>
      <c r="S97" s="8" t="e">
        <f t="shared" si="1"/>
        <v>#VALUE!</v>
      </c>
    </row>
    <row r="98" spans="1:19" x14ac:dyDescent="0.25">
      <c r="A98">
        <v>900091143</v>
      </c>
      <c r="B98" t="s">
        <v>3965</v>
      </c>
      <c r="C98" t="s">
        <v>3351</v>
      </c>
      <c r="E98" t="s">
        <v>3351</v>
      </c>
      <c r="H98" t="s">
        <v>22</v>
      </c>
      <c r="I98">
        <v>1081272025</v>
      </c>
      <c r="J98" t="s">
        <v>1789</v>
      </c>
      <c r="P98" t="s">
        <v>4403</v>
      </c>
      <c r="Q98" s="8">
        <v>9450000</v>
      </c>
      <c r="R98" s="8" t="e">
        <f>SUMIFS([1]REPORTADOS!$D$2:$D$3379,[1]REPORTADOS!$C$2:$C$3379,E98)</f>
        <v>#VALUE!</v>
      </c>
      <c r="S98" s="8" t="e">
        <f t="shared" si="1"/>
        <v>#VALUE!</v>
      </c>
    </row>
    <row r="99" spans="1:19" x14ac:dyDescent="0.25">
      <c r="A99">
        <v>900091143</v>
      </c>
      <c r="B99" t="s">
        <v>3965</v>
      </c>
      <c r="C99" t="s">
        <v>3352</v>
      </c>
      <c r="E99" t="s">
        <v>3352</v>
      </c>
      <c r="H99" t="s">
        <v>22</v>
      </c>
      <c r="I99">
        <v>1004190984</v>
      </c>
      <c r="J99" t="s">
        <v>4026</v>
      </c>
      <c r="P99" t="s">
        <v>4432</v>
      </c>
      <c r="Q99" s="15">
        <v>9450000</v>
      </c>
      <c r="R99" s="8" t="e">
        <f>SUMIFS([1]REPORTADOS!$D$2:$D$3379,[1]REPORTADOS!$C$2:$C$3379,E99)</f>
        <v>#VALUE!</v>
      </c>
      <c r="S99" s="8" t="e">
        <f t="shared" si="1"/>
        <v>#VALUE!</v>
      </c>
    </row>
    <row r="100" spans="1:19" x14ac:dyDescent="0.25">
      <c r="A100">
        <v>900091143</v>
      </c>
      <c r="B100" t="s">
        <v>3965</v>
      </c>
      <c r="C100" t="s">
        <v>3353</v>
      </c>
      <c r="E100" t="s">
        <v>3353</v>
      </c>
      <c r="H100" t="s">
        <v>22</v>
      </c>
      <c r="I100">
        <v>1081052779</v>
      </c>
      <c r="J100" t="s">
        <v>4027</v>
      </c>
      <c r="P100" t="s">
        <v>4425</v>
      </c>
      <c r="Q100" s="15">
        <v>9450000</v>
      </c>
      <c r="R100" s="8" t="e">
        <f>SUMIFS([1]REPORTADOS!$D$2:$D$3379,[1]REPORTADOS!$C$2:$C$3379,E100)</f>
        <v>#VALUE!</v>
      </c>
      <c r="S100" s="8" t="e">
        <f t="shared" si="1"/>
        <v>#VALUE!</v>
      </c>
    </row>
    <row r="101" spans="1:19" x14ac:dyDescent="0.25">
      <c r="A101">
        <v>900091143</v>
      </c>
      <c r="B101" t="s">
        <v>3965</v>
      </c>
      <c r="C101" t="s">
        <v>3354</v>
      </c>
      <c r="E101" t="s">
        <v>3354</v>
      </c>
      <c r="H101" t="s">
        <v>22</v>
      </c>
      <c r="I101">
        <v>1004592366</v>
      </c>
      <c r="J101" t="s">
        <v>2405</v>
      </c>
      <c r="P101" t="s">
        <v>4442</v>
      </c>
      <c r="Q101" s="15">
        <v>9450000</v>
      </c>
      <c r="R101" s="8" t="e">
        <f>SUMIFS([1]REPORTADOS!$D$2:$D$3379,[1]REPORTADOS!$C$2:$C$3379,E101)</f>
        <v>#VALUE!</v>
      </c>
      <c r="S101" s="8" t="e">
        <f t="shared" si="1"/>
        <v>#VALUE!</v>
      </c>
    </row>
    <row r="102" spans="1:19" x14ac:dyDescent="0.25">
      <c r="A102">
        <v>900091143</v>
      </c>
      <c r="B102" t="s">
        <v>3965</v>
      </c>
      <c r="C102" t="s">
        <v>3355</v>
      </c>
      <c r="E102" t="s">
        <v>3355</v>
      </c>
      <c r="H102" t="s">
        <v>22</v>
      </c>
      <c r="I102">
        <v>1085304308</v>
      </c>
      <c r="J102" t="s">
        <v>1959</v>
      </c>
      <c r="P102" t="s">
        <v>4427</v>
      </c>
      <c r="Q102" s="15">
        <v>9450000</v>
      </c>
      <c r="R102" s="8" t="e">
        <f>SUMIFS([1]REPORTADOS!$D$2:$D$3379,[1]REPORTADOS!$C$2:$C$3379,E102)</f>
        <v>#VALUE!</v>
      </c>
      <c r="S102" s="8" t="e">
        <f t="shared" si="1"/>
        <v>#VALUE!</v>
      </c>
    </row>
    <row r="103" spans="1:19" x14ac:dyDescent="0.25">
      <c r="A103">
        <v>900091143</v>
      </c>
      <c r="B103" t="s">
        <v>3965</v>
      </c>
      <c r="C103" t="s">
        <v>3356</v>
      </c>
      <c r="E103" t="s">
        <v>3356</v>
      </c>
      <c r="H103" t="s">
        <v>22</v>
      </c>
      <c r="I103">
        <v>1085275400</v>
      </c>
      <c r="J103" t="s">
        <v>4028</v>
      </c>
      <c r="P103" t="s">
        <v>4424</v>
      </c>
      <c r="Q103" s="15">
        <v>9450000</v>
      </c>
      <c r="R103" s="8" t="e">
        <f>SUMIFS([1]REPORTADOS!$D$2:$D$3379,[1]REPORTADOS!$C$2:$C$3379,E103)</f>
        <v>#VALUE!</v>
      </c>
      <c r="S103" s="8" t="e">
        <f t="shared" si="1"/>
        <v>#VALUE!</v>
      </c>
    </row>
    <row r="104" spans="1:19" x14ac:dyDescent="0.25">
      <c r="A104">
        <v>900091143</v>
      </c>
      <c r="B104" t="s">
        <v>3965</v>
      </c>
      <c r="C104" t="s">
        <v>3357</v>
      </c>
      <c r="E104" t="s">
        <v>3357</v>
      </c>
      <c r="H104" t="s">
        <v>22</v>
      </c>
      <c r="I104">
        <v>36861874</v>
      </c>
      <c r="J104" t="s">
        <v>1899</v>
      </c>
      <c r="P104" t="s">
        <v>4425</v>
      </c>
      <c r="Q104" s="15">
        <v>9450000</v>
      </c>
      <c r="R104" s="8" t="e">
        <f>SUMIFS([1]REPORTADOS!$D$2:$D$3379,[1]REPORTADOS!$C$2:$C$3379,E104)</f>
        <v>#VALUE!</v>
      </c>
      <c r="S104" s="8" t="e">
        <f t="shared" si="1"/>
        <v>#VALUE!</v>
      </c>
    </row>
    <row r="105" spans="1:19" x14ac:dyDescent="0.25">
      <c r="A105">
        <v>900091143</v>
      </c>
      <c r="B105" t="s">
        <v>3965</v>
      </c>
      <c r="C105" t="s">
        <v>3358</v>
      </c>
      <c r="E105" t="s">
        <v>3358</v>
      </c>
      <c r="H105" t="s">
        <v>22</v>
      </c>
      <c r="I105">
        <v>1086361622</v>
      </c>
      <c r="J105" t="s">
        <v>4029</v>
      </c>
      <c r="P105" t="s">
        <v>4420</v>
      </c>
      <c r="Q105" s="15">
        <v>9450000</v>
      </c>
      <c r="R105" s="8" t="e">
        <f>SUMIFS([1]REPORTADOS!$D$2:$D$3379,[1]REPORTADOS!$C$2:$C$3379,E105)</f>
        <v>#VALUE!</v>
      </c>
      <c r="S105" s="8" t="e">
        <f t="shared" si="1"/>
        <v>#VALUE!</v>
      </c>
    </row>
    <row r="106" spans="1:19" x14ac:dyDescent="0.25">
      <c r="A106">
        <v>900091143</v>
      </c>
      <c r="B106" t="s">
        <v>3965</v>
      </c>
      <c r="C106" t="s">
        <v>3359</v>
      </c>
      <c r="E106" t="s">
        <v>3359</v>
      </c>
      <c r="H106" t="s">
        <v>22</v>
      </c>
      <c r="I106">
        <v>1081572042</v>
      </c>
      <c r="J106" t="s">
        <v>4030</v>
      </c>
      <c r="P106" t="s">
        <v>4443</v>
      </c>
      <c r="Q106" s="15">
        <v>9450000</v>
      </c>
      <c r="R106" s="8" t="e">
        <f>SUMIFS([1]REPORTADOS!$D$2:$D$3379,[1]REPORTADOS!$C$2:$C$3379,E106)</f>
        <v>#VALUE!</v>
      </c>
      <c r="S106" s="8" t="e">
        <f t="shared" si="1"/>
        <v>#VALUE!</v>
      </c>
    </row>
    <row r="107" spans="1:19" x14ac:dyDescent="0.25">
      <c r="A107">
        <v>900091143</v>
      </c>
      <c r="B107" t="s">
        <v>3965</v>
      </c>
      <c r="C107" t="s">
        <v>3360</v>
      </c>
      <c r="E107" t="s">
        <v>3360</v>
      </c>
      <c r="H107" t="s">
        <v>22</v>
      </c>
      <c r="I107">
        <v>1082748032</v>
      </c>
      <c r="J107" t="s">
        <v>4031</v>
      </c>
      <c r="P107" t="s">
        <v>4444</v>
      </c>
      <c r="Q107" s="15">
        <v>9450000</v>
      </c>
      <c r="R107" s="8" t="e">
        <f>SUMIFS([1]REPORTADOS!$D$2:$D$3379,[1]REPORTADOS!$C$2:$C$3379,E107)</f>
        <v>#VALUE!</v>
      </c>
      <c r="S107" s="8" t="e">
        <f t="shared" si="1"/>
        <v>#VALUE!</v>
      </c>
    </row>
    <row r="108" spans="1:19" x14ac:dyDescent="0.25">
      <c r="A108">
        <v>900091143</v>
      </c>
      <c r="B108" t="s">
        <v>3965</v>
      </c>
      <c r="C108" t="s">
        <v>3361</v>
      </c>
      <c r="E108" t="s">
        <v>3361</v>
      </c>
      <c r="H108" t="s">
        <v>22</v>
      </c>
      <c r="I108">
        <v>1085346528</v>
      </c>
      <c r="J108" t="s">
        <v>2621</v>
      </c>
      <c r="P108" t="s">
        <v>4424</v>
      </c>
      <c r="Q108" s="15">
        <v>9450000</v>
      </c>
      <c r="R108" s="8" t="e">
        <f>SUMIFS([1]REPORTADOS!$D$2:$D$3379,[1]REPORTADOS!$C$2:$C$3379,E108)</f>
        <v>#VALUE!</v>
      </c>
      <c r="S108" s="8" t="e">
        <f t="shared" si="1"/>
        <v>#VALUE!</v>
      </c>
    </row>
    <row r="109" spans="1:19" x14ac:dyDescent="0.25">
      <c r="A109">
        <v>900091143</v>
      </c>
      <c r="B109" t="s">
        <v>3965</v>
      </c>
      <c r="C109" t="s">
        <v>3362</v>
      </c>
      <c r="E109" t="s">
        <v>3362</v>
      </c>
      <c r="H109" t="s">
        <v>22</v>
      </c>
      <c r="I109">
        <v>1085246134</v>
      </c>
      <c r="J109" t="s">
        <v>4032</v>
      </c>
      <c r="P109" t="s">
        <v>4275</v>
      </c>
      <c r="Q109" s="15">
        <v>9450000</v>
      </c>
      <c r="R109" s="8" t="e">
        <f>SUMIFS([1]REPORTADOS!$D$2:$D$3379,[1]REPORTADOS!$C$2:$C$3379,E109)</f>
        <v>#VALUE!</v>
      </c>
      <c r="S109" s="8" t="e">
        <f t="shared" si="1"/>
        <v>#VALUE!</v>
      </c>
    </row>
    <row r="110" spans="1:19" x14ac:dyDescent="0.25">
      <c r="A110">
        <v>900091143</v>
      </c>
      <c r="B110" t="s">
        <v>3965</v>
      </c>
      <c r="C110" t="s">
        <v>3363</v>
      </c>
      <c r="E110" t="s">
        <v>3363</v>
      </c>
      <c r="H110" t="s">
        <v>22</v>
      </c>
      <c r="I110">
        <v>1193474724</v>
      </c>
      <c r="J110" t="s">
        <v>4033</v>
      </c>
      <c r="P110" t="s">
        <v>4445</v>
      </c>
      <c r="Q110" s="15">
        <v>9450000</v>
      </c>
      <c r="R110" s="8" t="e">
        <f>SUMIFS([1]REPORTADOS!$D$2:$D$3379,[1]REPORTADOS!$C$2:$C$3379,E110)</f>
        <v>#VALUE!</v>
      </c>
      <c r="S110" s="8" t="e">
        <f t="shared" si="1"/>
        <v>#VALUE!</v>
      </c>
    </row>
    <row r="111" spans="1:19" x14ac:dyDescent="0.25">
      <c r="A111">
        <v>900091143</v>
      </c>
      <c r="B111" t="s">
        <v>3965</v>
      </c>
      <c r="C111" t="s">
        <v>3364</v>
      </c>
      <c r="E111" t="s">
        <v>3364</v>
      </c>
      <c r="H111" t="s">
        <v>22</v>
      </c>
      <c r="I111">
        <v>1233191675</v>
      </c>
      <c r="J111" t="s">
        <v>1720</v>
      </c>
      <c r="P111" t="s">
        <v>4446</v>
      </c>
      <c r="Q111" s="15">
        <v>9450000</v>
      </c>
      <c r="R111" s="8" t="e">
        <f>SUMIFS([1]REPORTADOS!$D$2:$D$3379,[1]REPORTADOS!$C$2:$C$3379,E111)</f>
        <v>#VALUE!</v>
      </c>
      <c r="S111" s="8" t="e">
        <f t="shared" si="1"/>
        <v>#VALUE!</v>
      </c>
    </row>
    <row r="112" spans="1:19" x14ac:dyDescent="0.25">
      <c r="A112">
        <v>900091143</v>
      </c>
      <c r="B112" t="s">
        <v>3965</v>
      </c>
      <c r="C112" t="s">
        <v>3365</v>
      </c>
      <c r="E112" t="s">
        <v>3365</v>
      </c>
      <c r="H112" t="s">
        <v>22</v>
      </c>
      <c r="I112">
        <v>13070247</v>
      </c>
      <c r="J112" t="s">
        <v>4034</v>
      </c>
      <c r="P112" t="s">
        <v>4447</v>
      </c>
      <c r="Q112" s="15">
        <v>9460000</v>
      </c>
      <c r="R112" s="8" t="e">
        <f>SUMIFS([1]REPORTADOS!$D$2:$D$3379,[1]REPORTADOS!$C$2:$C$3379,E112)</f>
        <v>#VALUE!</v>
      </c>
      <c r="S112" s="8" t="e">
        <f t="shared" si="1"/>
        <v>#VALUE!</v>
      </c>
    </row>
    <row r="113" spans="1:19" x14ac:dyDescent="0.25">
      <c r="A113">
        <v>900091143</v>
      </c>
      <c r="B113" t="s">
        <v>3965</v>
      </c>
      <c r="C113" t="s">
        <v>3366</v>
      </c>
      <c r="E113" t="s">
        <v>3366</v>
      </c>
      <c r="H113" t="s">
        <v>22</v>
      </c>
      <c r="I113">
        <v>1005977438</v>
      </c>
      <c r="J113" t="s">
        <v>4035</v>
      </c>
      <c r="P113" t="s">
        <v>4423</v>
      </c>
      <c r="Q113" s="15">
        <v>11025000</v>
      </c>
      <c r="R113" s="8" t="e">
        <f>SUMIFS([1]REPORTADOS!$D$2:$D$3379,[1]REPORTADOS!$C$2:$C$3379,E113)</f>
        <v>#VALUE!</v>
      </c>
      <c r="S113" s="8" t="e">
        <f t="shared" si="1"/>
        <v>#VALUE!</v>
      </c>
    </row>
    <row r="114" spans="1:19" x14ac:dyDescent="0.25">
      <c r="A114">
        <v>900091143</v>
      </c>
      <c r="B114" t="s">
        <v>3965</v>
      </c>
      <c r="C114" t="s">
        <v>3367</v>
      </c>
      <c r="E114" t="s">
        <v>3367</v>
      </c>
      <c r="H114" t="s">
        <v>22</v>
      </c>
      <c r="I114">
        <v>37083086</v>
      </c>
      <c r="J114" t="s">
        <v>2513</v>
      </c>
      <c r="P114" t="s">
        <v>4420</v>
      </c>
      <c r="Q114" s="15">
        <v>11025000</v>
      </c>
      <c r="R114" s="8" t="e">
        <f>SUMIFS([1]REPORTADOS!$D$2:$D$3379,[1]REPORTADOS!$C$2:$C$3379,E114)</f>
        <v>#VALUE!</v>
      </c>
      <c r="S114" s="8" t="e">
        <f t="shared" si="1"/>
        <v>#VALUE!</v>
      </c>
    </row>
    <row r="115" spans="1:19" x14ac:dyDescent="0.25">
      <c r="A115">
        <v>900091143</v>
      </c>
      <c r="B115" t="s">
        <v>3965</v>
      </c>
      <c r="C115" t="s">
        <v>3368</v>
      </c>
      <c r="E115" t="s">
        <v>3368</v>
      </c>
      <c r="H115" t="s">
        <v>22</v>
      </c>
      <c r="I115">
        <v>1086330124</v>
      </c>
      <c r="J115" t="s">
        <v>4036</v>
      </c>
      <c r="P115" t="s">
        <v>4448</v>
      </c>
      <c r="Q115" s="15">
        <v>11025000</v>
      </c>
      <c r="R115" s="8" t="e">
        <f>SUMIFS([1]REPORTADOS!$D$2:$D$3379,[1]REPORTADOS!$C$2:$C$3379,E115)</f>
        <v>#VALUE!</v>
      </c>
      <c r="S115" s="8" t="e">
        <f t="shared" si="1"/>
        <v>#VALUE!</v>
      </c>
    </row>
    <row r="116" spans="1:19" x14ac:dyDescent="0.25">
      <c r="A116">
        <v>900091143</v>
      </c>
      <c r="B116" t="s">
        <v>3965</v>
      </c>
      <c r="C116" t="s">
        <v>3369</v>
      </c>
      <c r="E116" t="s">
        <v>3369</v>
      </c>
      <c r="H116" t="s">
        <v>22</v>
      </c>
      <c r="I116">
        <v>1004437571</v>
      </c>
      <c r="J116" t="s">
        <v>2775</v>
      </c>
      <c r="P116" t="s">
        <v>4420</v>
      </c>
      <c r="Q116" s="15">
        <v>11025000</v>
      </c>
      <c r="R116" s="8" t="e">
        <f>SUMIFS([1]REPORTADOS!$D$2:$D$3379,[1]REPORTADOS!$C$2:$C$3379,E116)</f>
        <v>#VALUE!</v>
      </c>
      <c r="S116" s="8" t="e">
        <f t="shared" si="1"/>
        <v>#VALUE!</v>
      </c>
    </row>
    <row r="117" spans="1:19" x14ac:dyDescent="0.25">
      <c r="A117">
        <v>900091143</v>
      </c>
      <c r="B117" t="s">
        <v>3965</v>
      </c>
      <c r="C117" t="s">
        <v>3370</v>
      </c>
      <c r="E117" t="s">
        <v>3370</v>
      </c>
      <c r="H117" t="s">
        <v>22</v>
      </c>
      <c r="I117">
        <v>1004134014</v>
      </c>
      <c r="J117" t="s">
        <v>4037</v>
      </c>
      <c r="P117" t="s">
        <v>4449</v>
      </c>
      <c r="Q117" s="15">
        <v>11025000</v>
      </c>
      <c r="R117" s="8" t="e">
        <f>SUMIFS([1]REPORTADOS!$D$2:$D$3379,[1]REPORTADOS!$C$2:$C$3379,E117)</f>
        <v>#VALUE!</v>
      </c>
      <c r="S117" s="8" t="e">
        <f t="shared" si="1"/>
        <v>#VALUE!</v>
      </c>
    </row>
    <row r="118" spans="1:19" x14ac:dyDescent="0.25">
      <c r="A118">
        <v>900091143</v>
      </c>
      <c r="B118" t="s">
        <v>3965</v>
      </c>
      <c r="C118" t="s">
        <v>3371</v>
      </c>
      <c r="E118" t="s">
        <v>3371</v>
      </c>
      <c r="H118" t="s">
        <v>22</v>
      </c>
      <c r="I118">
        <v>1004726621</v>
      </c>
      <c r="J118" t="s">
        <v>4038</v>
      </c>
      <c r="P118" t="s">
        <v>4423</v>
      </c>
      <c r="Q118" s="15">
        <v>11025000</v>
      </c>
      <c r="R118" s="8" t="e">
        <f>SUMIFS([1]REPORTADOS!$D$2:$D$3379,[1]REPORTADOS!$C$2:$C$3379,E118)</f>
        <v>#VALUE!</v>
      </c>
      <c r="S118" s="8" t="e">
        <f t="shared" si="1"/>
        <v>#VALUE!</v>
      </c>
    </row>
    <row r="119" spans="1:19" x14ac:dyDescent="0.25">
      <c r="A119">
        <v>900091143</v>
      </c>
      <c r="B119" t="s">
        <v>3965</v>
      </c>
      <c r="C119" t="s">
        <v>3372</v>
      </c>
      <c r="E119" t="s">
        <v>3372</v>
      </c>
      <c r="H119" t="s">
        <v>22</v>
      </c>
      <c r="I119">
        <v>37082272</v>
      </c>
      <c r="J119" t="s">
        <v>4039</v>
      </c>
      <c r="P119" t="s">
        <v>4421</v>
      </c>
      <c r="Q119" s="15">
        <v>11025000</v>
      </c>
      <c r="R119" s="8" t="e">
        <f>SUMIFS([1]REPORTADOS!$D$2:$D$3379,[1]REPORTADOS!$C$2:$C$3379,E119)</f>
        <v>#VALUE!</v>
      </c>
      <c r="S119" s="8" t="e">
        <f t="shared" si="1"/>
        <v>#VALUE!</v>
      </c>
    </row>
    <row r="120" spans="1:19" x14ac:dyDescent="0.25">
      <c r="A120">
        <v>900091143</v>
      </c>
      <c r="B120" t="s">
        <v>3965</v>
      </c>
      <c r="C120" t="s">
        <v>3373</v>
      </c>
      <c r="E120" t="s">
        <v>3373</v>
      </c>
      <c r="H120" t="s">
        <v>22</v>
      </c>
      <c r="I120">
        <v>1085323163</v>
      </c>
      <c r="J120" t="s">
        <v>4040</v>
      </c>
      <c r="P120" t="s">
        <v>4420</v>
      </c>
      <c r="Q120" s="15">
        <v>11025000</v>
      </c>
      <c r="R120" s="8" t="e">
        <f>SUMIFS([1]REPORTADOS!$D$2:$D$3379,[1]REPORTADOS!$C$2:$C$3379,E120)</f>
        <v>#VALUE!</v>
      </c>
      <c r="S120" s="8" t="e">
        <f t="shared" si="1"/>
        <v>#VALUE!</v>
      </c>
    </row>
    <row r="121" spans="1:19" x14ac:dyDescent="0.25">
      <c r="A121">
        <v>900091143</v>
      </c>
      <c r="B121" t="s">
        <v>3965</v>
      </c>
      <c r="C121" t="s">
        <v>3374</v>
      </c>
      <c r="E121" t="s">
        <v>3374</v>
      </c>
      <c r="H121" t="s">
        <v>22</v>
      </c>
      <c r="I121">
        <v>1081592303</v>
      </c>
      <c r="J121" t="s">
        <v>1739</v>
      </c>
      <c r="P121" t="s">
        <v>4423</v>
      </c>
      <c r="Q121" s="15">
        <v>11025000</v>
      </c>
      <c r="R121" s="8" t="e">
        <f>SUMIFS([1]REPORTADOS!$D$2:$D$3379,[1]REPORTADOS!$C$2:$C$3379,E121)</f>
        <v>#VALUE!</v>
      </c>
      <c r="S121" s="8" t="e">
        <f t="shared" si="1"/>
        <v>#VALUE!</v>
      </c>
    </row>
    <row r="122" spans="1:19" x14ac:dyDescent="0.25">
      <c r="A122">
        <v>900091143</v>
      </c>
      <c r="B122" t="s">
        <v>3965</v>
      </c>
      <c r="C122" t="s">
        <v>3375</v>
      </c>
      <c r="E122" t="s">
        <v>3375</v>
      </c>
      <c r="H122" t="s">
        <v>22</v>
      </c>
      <c r="I122">
        <v>1081594639</v>
      </c>
      <c r="J122" t="s">
        <v>1783</v>
      </c>
      <c r="P122" t="s">
        <v>4430</v>
      </c>
      <c r="Q122" s="15">
        <v>11025000</v>
      </c>
      <c r="R122" s="8" t="e">
        <f>SUMIFS([1]REPORTADOS!$D$2:$D$3379,[1]REPORTADOS!$C$2:$C$3379,E122)</f>
        <v>#VALUE!</v>
      </c>
      <c r="S122" s="8" t="e">
        <f t="shared" si="1"/>
        <v>#VALUE!</v>
      </c>
    </row>
    <row r="123" spans="1:19" x14ac:dyDescent="0.25">
      <c r="A123">
        <v>900091143</v>
      </c>
      <c r="B123" t="s">
        <v>3965</v>
      </c>
      <c r="C123" t="s">
        <v>3376</v>
      </c>
      <c r="E123" t="s">
        <v>3376</v>
      </c>
      <c r="H123" t="s">
        <v>22</v>
      </c>
      <c r="I123">
        <v>36752202</v>
      </c>
      <c r="J123" t="s">
        <v>2283</v>
      </c>
      <c r="P123" t="s">
        <v>4403</v>
      </c>
      <c r="Q123" s="8">
        <v>9450000</v>
      </c>
      <c r="R123" s="8" t="e">
        <f>SUMIFS([1]REPORTADOS!$D$2:$D$3379,[1]REPORTADOS!$C$2:$C$3379,E123)</f>
        <v>#VALUE!</v>
      </c>
      <c r="S123" s="8" t="e">
        <f t="shared" si="1"/>
        <v>#VALUE!</v>
      </c>
    </row>
    <row r="124" spans="1:19" x14ac:dyDescent="0.25">
      <c r="A124">
        <v>900091143</v>
      </c>
      <c r="B124" t="s">
        <v>3965</v>
      </c>
      <c r="C124" t="s">
        <v>3377</v>
      </c>
      <c r="E124" t="s">
        <v>3377</v>
      </c>
      <c r="H124" t="s">
        <v>22</v>
      </c>
      <c r="I124">
        <v>1085315209</v>
      </c>
      <c r="J124" t="s">
        <v>2644</v>
      </c>
      <c r="P124" t="s">
        <v>4423</v>
      </c>
      <c r="Q124" s="15">
        <v>11025000</v>
      </c>
      <c r="R124" s="8" t="e">
        <f>SUMIFS([1]REPORTADOS!$D$2:$D$3379,[1]REPORTADOS!$C$2:$C$3379,E124)</f>
        <v>#VALUE!</v>
      </c>
      <c r="S124" s="8" t="e">
        <f t="shared" si="1"/>
        <v>#VALUE!</v>
      </c>
    </row>
    <row r="125" spans="1:19" x14ac:dyDescent="0.25">
      <c r="A125">
        <v>900091143</v>
      </c>
      <c r="B125" t="s">
        <v>3965</v>
      </c>
      <c r="C125" t="s">
        <v>3378</v>
      </c>
      <c r="E125" t="s">
        <v>3378</v>
      </c>
      <c r="H125" t="s">
        <v>22</v>
      </c>
      <c r="I125">
        <v>1085295583</v>
      </c>
      <c r="J125" t="s">
        <v>4041</v>
      </c>
      <c r="P125" t="s">
        <v>4423</v>
      </c>
      <c r="Q125" s="15">
        <v>11025000</v>
      </c>
      <c r="R125" s="8" t="e">
        <f>SUMIFS([1]REPORTADOS!$D$2:$D$3379,[1]REPORTADOS!$C$2:$C$3379,E125)</f>
        <v>#VALUE!</v>
      </c>
      <c r="S125" s="8" t="e">
        <f t="shared" si="1"/>
        <v>#VALUE!</v>
      </c>
    </row>
    <row r="126" spans="1:19" x14ac:dyDescent="0.25">
      <c r="A126">
        <v>900091143</v>
      </c>
      <c r="B126" t="s">
        <v>3965</v>
      </c>
      <c r="C126" t="s">
        <v>3379</v>
      </c>
      <c r="E126" t="s">
        <v>3379</v>
      </c>
      <c r="H126" t="s">
        <v>22</v>
      </c>
      <c r="I126">
        <v>27444591</v>
      </c>
      <c r="J126" t="s">
        <v>4042</v>
      </c>
      <c r="P126" t="s">
        <v>4423</v>
      </c>
      <c r="Q126" s="15">
        <v>11025000</v>
      </c>
      <c r="R126" s="8" t="e">
        <f>SUMIFS([1]REPORTADOS!$D$2:$D$3379,[1]REPORTADOS!$C$2:$C$3379,E126)</f>
        <v>#VALUE!</v>
      </c>
      <c r="S126" s="8" t="e">
        <f t="shared" si="1"/>
        <v>#VALUE!</v>
      </c>
    </row>
    <row r="127" spans="1:19" x14ac:dyDescent="0.25">
      <c r="A127">
        <v>900091143</v>
      </c>
      <c r="B127" t="s">
        <v>3965</v>
      </c>
      <c r="C127" t="s">
        <v>3380</v>
      </c>
      <c r="E127" t="s">
        <v>3380</v>
      </c>
      <c r="H127" t="s">
        <v>22</v>
      </c>
      <c r="I127">
        <v>1086224204</v>
      </c>
      <c r="J127" t="s">
        <v>4043</v>
      </c>
      <c r="P127" t="s">
        <v>4450</v>
      </c>
      <c r="Q127" s="15">
        <v>11025000</v>
      </c>
      <c r="R127" s="8" t="e">
        <f>SUMIFS([1]REPORTADOS!$D$2:$D$3379,[1]REPORTADOS!$C$2:$C$3379,E127)</f>
        <v>#VALUE!</v>
      </c>
      <c r="S127" s="8" t="e">
        <f t="shared" si="1"/>
        <v>#VALUE!</v>
      </c>
    </row>
    <row r="128" spans="1:19" x14ac:dyDescent="0.25">
      <c r="A128">
        <v>900091143</v>
      </c>
      <c r="B128" t="s">
        <v>3965</v>
      </c>
      <c r="C128" t="s">
        <v>3381</v>
      </c>
      <c r="E128" t="s">
        <v>3381</v>
      </c>
      <c r="H128" t="s">
        <v>22</v>
      </c>
      <c r="I128">
        <v>1084552048</v>
      </c>
      <c r="J128" t="s">
        <v>1951</v>
      </c>
      <c r="P128" t="s">
        <v>4423</v>
      </c>
      <c r="Q128" s="15">
        <v>11025000</v>
      </c>
      <c r="R128" s="8" t="e">
        <f>SUMIFS([1]REPORTADOS!$D$2:$D$3379,[1]REPORTADOS!$C$2:$C$3379,E128)</f>
        <v>#VALUE!</v>
      </c>
      <c r="S128" s="8" t="e">
        <f t="shared" si="1"/>
        <v>#VALUE!</v>
      </c>
    </row>
    <row r="129" spans="1:19" x14ac:dyDescent="0.25">
      <c r="A129">
        <v>900091143</v>
      </c>
      <c r="B129" t="s">
        <v>3965</v>
      </c>
      <c r="C129" t="s">
        <v>3382</v>
      </c>
      <c r="E129" t="s">
        <v>3382</v>
      </c>
      <c r="H129" t="s">
        <v>22</v>
      </c>
      <c r="I129">
        <v>5930737</v>
      </c>
      <c r="J129" t="s">
        <v>2536</v>
      </c>
      <c r="P129" t="s">
        <v>4423</v>
      </c>
      <c r="Q129" s="15">
        <v>11025000</v>
      </c>
      <c r="R129" s="8" t="e">
        <f>SUMIFS([1]REPORTADOS!$D$2:$D$3379,[1]REPORTADOS!$C$2:$C$3379,E129)</f>
        <v>#VALUE!</v>
      </c>
      <c r="S129" s="8" t="e">
        <f t="shared" si="1"/>
        <v>#VALUE!</v>
      </c>
    </row>
    <row r="130" spans="1:19" x14ac:dyDescent="0.25">
      <c r="A130">
        <v>900091143</v>
      </c>
      <c r="B130" t="s">
        <v>3965</v>
      </c>
      <c r="C130" t="s">
        <v>3383</v>
      </c>
      <c r="E130" t="s">
        <v>3383</v>
      </c>
      <c r="H130" t="s">
        <v>22</v>
      </c>
      <c r="I130">
        <v>1085317226</v>
      </c>
      <c r="J130" t="s">
        <v>4044</v>
      </c>
      <c r="P130" t="s">
        <v>4430</v>
      </c>
      <c r="Q130" s="15">
        <v>11025000</v>
      </c>
      <c r="R130" s="8" t="e">
        <f>SUMIFS([1]REPORTADOS!$D$2:$D$3379,[1]REPORTADOS!$C$2:$C$3379,E130)</f>
        <v>#VALUE!</v>
      </c>
      <c r="S130" s="8" t="e">
        <f t="shared" si="1"/>
        <v>#VALUE!</v>
      </c>
    </row>
    <row r="131" spans="1:19" x14ac:dyDescent="0.25">
      <c r="A131">
        <v>900091143</v>
      </c>
      <c r="B131" t="s">
        <v>3965</v>
      </c>
      <c r="C131" t="s">
        <v>3384</v>
      </c>
      <c r="E131" t="s">
        <v>3384</v>
      </c>
      <c r="H131" t="s">
        <v>22</v>
      </c>
      <c r="I131">
        <v>1082749295</v>
      </c>
      <c r="J131" t="s">
        <v>4045</v>
      </c>
      <c r="P131" t="s">
        <v>4430</v>
      </c>
      <c r="Q131" s="15">
        <v>11025000</v>
      </c>
      <c r="R131" s="8" t="e">
        <f>SUMIFS([1]REPORTADOS!$D$2:$D$3379,[1]REPORTADOS!$C$2:$C$3379,E131)</f>
        <v>#VALUE!</v>
      </c>
      <c r="S131" s="8" t="e">
        <f t="shared" ref="S131:S194" si="2">Q131-R131</f>
        <v>#VALUE!</v>
      </c>
    </row>
    <row r="132" spans="1:19" x14ac:dyDescent="0.25">
      <c r="A132">
        <v>900091143</v>
      </c>
      <c r="B132" t="s">
        <v>3965</v>
      </c>
      <c r="C132" t="s">
        <v>3385</v>
      </c>
      <c r="E132" t="s">
        <v>3385</v>
      </c>
      <c r="H132" t="s">
        <v>22</v>
      </c>
      <c r="I132">
        <v>1086328063</v>
      </c>
      <c r="J132" t="s">
        <v>4046</v>
      </c>
      <c r="P132" t="s">
        <v>4430</v>
      </c>
      <c r="Q132" s="15">
        <v>11025000</v>
      </c>
      <c r="R132" s="8" t="e">
        <f>SUMIFS([1]REPORTADOS!$D$2:$D$3379,[1]REPORTADOS!$C$2:$C$3379,E132)</f>
        <v>#VALUE!</v>
      </c>
      <c r="S132" s="8" t="e">
        <f t="shared" si="2"/>
        <v>#VALUE!</v>
      </c>
    </row>
    <row r="133" spans="1:19" x14ac:dyDescent="0.25">
      <c r="A133">
        <v>900091143</v>
      </c>
      <c r="B133" t="s">
        <v>3965</v>
      </c>
      <c r="C133" t="s">
        <v>3386</v>
      </c>
      <c r="E133" t="s">
        <v>3386</v>
      </c>
      <c r="H133" t="s">
        <v>22</v>
      </c>
      <c r="I133">
        <v>1085335069</v>
      </c>
      <c r="J133" t="s">
        <v>2633</v>
      </c>
      <c r="P133" t="s">
        <v>4451</v>
      </c>
      <c r="Q133" s="15">
        <v>11825000</v>
      </c>
      <c r="R133" s="8" t="e">
        <f>SUMIFS([1]REPORTADOS!$D$2:$D$3379,[1]REPORTADOS!$C$2:$C$3379,E133)</f>
        <v>#VALUE!</v>
      </c>
      <c r="S133" s="8" t="e">
        <f t="shared" si="2"/>
        <v>#VALUE!</v>
      </c>
    </row>
    <row r="134" spans="1:19" x14ac:dyDescent="0.25">
      <c r="A134">
        <v>900091143</v>
      </c>
      <c r="B134" t="s">
        <v>3965</v>
      </c>
      <c r="C134" t="s">
        <v>3387</v>
      </c>
      <c r="E134" t="s">
        <v>3387</v>
      </c>
      <c r="H134" t="s">
        <v>22</v>
      </c>
      <c r="I134">
        <v>1004547484</v>
      </c>
      <c r="J134" t="s">
        <v>4047</v>
      </c>
      <c r="P134" t="s">
        <v>4430</v>
      </c>
      <c r="Q134" s="15">
        <v>12600000</v>
      </c>
      <c r="R134" s="8" t="e">
        <f>SUMIFS([1]REPORTADOS!$D$2:$D$3379,[1]REPORTADOS!$C$2:$C$3379,E134)</f>
        <v>#VALUE!</v>
      </c>
      <c r="S134" s="8" t="e">
        <f t="shared" si="2"/>
        <v>#VALUE!</v>
      </c>
    </row>
    <row r="135" spans="1:19" x14ac:dyDescent="0.25">
      <c r="A135">
        <v>900091143</v>
      </c>
      <c r="B135" t="s">
        <v>3965</v>
      </c>
      <c r="C135" t="s">
        <v>3388</v>
      </c>
      <c r="E135" t="s">
        <v>3388</v>
      </c>
      <c r="H135" t="s">
        <v>22</v>
      </c>
      <c r="I135">
        <v>1085265947</v>
      </c>
      <c r="J135" t="s">
        <v>2701</v>
      </c>
      <c r="P135" t="s">
        <v>4430</v>
      </c>
      <c r="Q135" s="15">
        <v>12600000</v>
      </c>
      <c r="R135" s="8" t="e">
        <f>SUMIFS([1]REPORTADOS!$D$2:$D$3379,[1]REPORTADOS!$C$2:$C$3379,E135)</f>
        <v>#VALUE!</v>
      </c>
      <c r="S135" s="8" t="e">
        <f t="shared" si="2"/>
        <v>#VALUE!</v>
      </c>
    </row>
    <row r="136" spans="1:19" x14ac:dyDescent="0.25">
      <c r="A136">
        <v>900091143</v>
      </c>
      <c r="B136" t="s">
        <v>3965</v>
      </c>
      <c r="C136" t="s">
        <v>3389</v>
      </c>
      <c r="E136" t="s">
        <v>3389</v>
      </c>
      <c r="H136" t="s">
        <v>22</v>
      </c>
      <c r="I136">
        <v>59311295</v>
      </c>
      <c r="J136" t="s">
        <v>2550</v>
      </c>
      <c r="P136" t="s">
        <v>4430</v>
      </c>
      <c r="Q136" s="15">
        <v>12600000</v>
      </c>
      <c r="R136" s="8" t="e">
        <f>SUMIFS([1]REPORTADOS!$D$2:$D$3379,[1]REPORTADOS!$C$2:$C$3379,E136)</f>
        <v>#VALUE!</v>
      </c>
      <c r="S136" s="8" t="e">
        <f t="shared" si="2"/>
        <v>#VALUE!</v>
      </c>
    </row>
    <row r="137" spans="1:19" x14ac:dyDescent="0.25">
      <c r="A137">
        <v>900091143</v>
      </c>
      <c r="B137" t="s">
        <v>3965</v>
      </c>
      <c r="C137" t="s">
        <v>3390</v>
      </c>
      <c r="E137" t="s">
        <v>3390</v>
      </c>
      <c r="H137" t="s">
        <v>22</v>
      </c>
      <c r="I137">
        <v>1085247449</v>
      </c>
      <c r="J137" t="s">
        <v>4048</v>
      </c>
      <c r="P137" t="s">
        <v>4430</v>
      </c>
      <c r="Q137" s="15">
        <v>12600000</v>
      </c>
      <c r="R137" s="8" t="e">
        <f>SUMIFS([1]REPORTADOS!$D$2:$D$3379,[1]REPORTADOS!$C$2:$C$3379,E137)</f>
        <v>#VALUE!</v>
      </c>
      <c r="S137" s="8" t="e">
        <f t="shared" si="2"/>
        <v>#VALUE!</v>
      </c>
    </row>
    <row r="138" spans="1:19" x14ac:dyDescent="0.25">
      <c r="A138">
        <v>900091143</v>
      </c>
      <c r="B138" t="s">
        <v>3965</v>
      </c>
      <c r="C138" t="s">
        <v>3391</v>
      </c>
      <c r="E138" t="s">
        <v>3391</v>
      </c>
      <c r="H138" t="s">
        <v>22</v>
      </c>
      <c r="I138">
        <v>59122805</v>
      </c>
      <c r="J138" t="s">
        <v>4049</v>
      </c>
      <c r="P138" t="s">
        <v>4430</v>
      </c>
      <c r="Q138" s="15">
        <v>12600000</v>
      </c>
      <c r="R138" s="8" t="e">
        <f>SUMIFS([1]REPORTADOS!$D$2:$D$3379,[1]REPORTADOS!$C$2:$C$3379,E138)</f>
        <v>#VALUE!</v>
      </c>
      <c r="S138" s="8" t="e">
        <f t="shared" si="2"/>
        <v>#VALUE!</v>
      </c>
    </row>
    <row r="139" spans="1:19" x14ac:dyDescent="0.25">
      <c r="A139">
        <v>900091143</v>
      </c>
      <c r="B139" t="s">
        <v>3965</v>
      </c>
      <c r="C139" t="s">
        <v>3392</v>
      </c>
      <c r="E139" t="s">
        <v>3392</v>
      </c>
      <c r="H139" t="s">
        <v>22</v>
      </c>
      <c r="I139">
        <v>1085252263</v>
      </c>
      <c r="J139" t="s">
        <v>2574</v>
      </c>
      <c r="P139" t="s">
        <v>4430</v>
      </c>
      <c r="Q139" s="15">
        <v>12600000</v>
      </c>
      <c r="R139" s="8" t="e">
        <f>SUMIFS([1]REPORTADOS!$D$2:$D$3379,[1]REPORTADOS!$C$2:$C$3379,E139)</f>
        <v>#VALUE!</v>
      </c>
      <c r="S139" s="8" t="e">
        <f t="shared" si="2"/>
        <v>#VALUE!</v>
      </c>
    </row>
    <row r="140" spans="1:19" x14ac:dyDescent="0.25">
      <c r="A140">
        <v>900091143</v>
      </c>
      <c r="B140" t="s">
        <v>3965</v>
      </c>
      <c r="C140" t="s">
        <v>3393</v>
      </c>
      <c r="E140" t="s">
        <v>3393</v>
      </c>
      <c r="H140" t="s">
        <v>22</v>
      </c>
      <c r="I140">
        <v>1085267332</v>
      </c>
      <c r="J140" t="s">
        <v>4050</v>
      </c>
      <c r="P140" t="s">
        <v>4430</v>
      </c>
      <c r="Q140" s="15">
        <v>12600000</v>
      </c>
      <c r="R140" s="8" t="e">
        <f>SUMIFS([1]REPORTADOS!$D$2:$D$3379,[1]REPORTADOS!$C$2:$C$3379,E140)</f>
        <v>#VALUE!</v>
      </c>
      <c r="S140" s="8" t="e">
        <f t="shared" si="2"/>
        <v>#VALUE!</v>
      </c>
    </row>
    <row r="141" spans="1:19" x14ac:dyDescent="0.25">
      <c r="A141">
        <v>900091143</v>
      </c>
      <c r="B141" t="s">
        <v>3965</v>
      </c>
      <c r="C141" t="s">
        <v>3394</v>
      </c>
      <c r="E141" t="s">
        <v>3394</v>
      </c>
      <c r="H141" t="s">
        <v>22</v>
      </c>
      <c r="I141">
        <v>1089458776</v>
      </c>
      <c r="J141" t="s">
        <v>3966</v>
      </c>
      <c r="P141" t="s">
        <v>4430</v>
      </c>
      <c r="Q141" s="15">
        <v>12600000</v>
      </c>
      <c r="R141" s="8" t="e">
        <f>SUMIFS([1]REPORTADOS!$D$2:$D$3379,[1]REPORTADOS!$C$2:$C$3379,E141)</f>
        <v>#VALUE!</v>
      </c>
      <c r="S141" s="8" t="e">
        <f t="shared" si="2"/>
        <v>#VALUE!</v>
      </c>
    </row>
    <row r="142" spans="1:19" x14ac:dyDescent="0.25">
      <c r="A142">
        <v>900091143</v>
      </c>
      <c r="B142" t="s">
        <v>3965</v>
      </c>
      <c r="C142" t="s">
        <v>3395</v>
      </c>
      <c r="E142" t="s">
        <v>3395</v>
      </c>
      <c r="H142" t="s">
        <v>22</v>
      </c>
      <c r="I142">
        <v>1081052746</v>
      </c>
      <c r="J142" t="s">
        <v>2349</v>
      </c>
      <c r="P142" t="s">
        <v>4430</v>
      </c>
      <c r="Q142" s="15">
        <v>12600000</v>
      </c>
      <c r="R142" s="8" t="e">
        <f>SUMIFS([1]REPORTADOS!$D$2:$D$3379,[1]REPORTADOS!$C$2:$C$3379,E142)</f>
        <v>#VALUE!</v>
      </c>
      <c r="S142" s="8" t="e">
        <f t="shared" si="2"/>
        <v>#VALUE!</v>
      </c>
    </row>
    <row r="143" spans="1:19" x14ac:dyDescent="0.25">
      <c r="A143">
        <v>900091143</v>
      </c>
      <c r="B143" t="s">
        <v>3965</v>
      </c>
      <c r="C143" t="s">
        <v>3396</v>
      </c>
      <c r="E143" t="s">
        <v>3396</v>
      </c>
      <c r="H143" t="s">
        <v>22</v>
      </c>
      <c r="I143">
        <v>1082747438</v>
      </c>
      <c r="J143" t="s">
        <v>1919</v>
      </c>
      <c r="P143" t="s">
        <v>4430</v>
      </c>
      <c r="Q143" s="15">
        <v>12600000</v>
      </c>
      <c r="R143" s="8" t="e">
        <f>SUMIFS([1]REPORTADOS!$D$2:$D$3379,[1]REPORTADOS!$C$2:$C$3379,E143)</f>
        <v>#VALUE!</v>
      </c>
      <c r="S143" s="8" t="e">
        <f t="shared" si="2"/>
        <v>#VALUE!</v>
      </c>
    </row>
    <row r="144" spans="1:19" x14ac:dyDescent="0.25">
      <c r="A144">
        <v>900091143</v>
      </c>
      <c r="B144" t="s">
        <v>3965</v>
      </c>
      <c r="C144" t="s">
        <v>3397</v>
      </c>
      <c r="E144" t="s">
        <v>3397</v>
      </c>
      <c r="H144" t="s">
        <v>22</v>
      </c>
      <c r="I144">
        <v>1004543161</v>
      </c>
      <c r="J144" t="s">
        <v>4051</v>
      </c>
      <c r="P144" t="s">
        <v>4430</v>
      </c>
      <c r="Q144" s="15">
        <v>12600000</v>
      </c>
      <c r="R144" s="8" t="e">
        <f>SUMIFS([1]REPORTADOS!$D$2:$D$3379,[1]REPORTADOS!$C$2:$C$3379,E144)</f>
        <v>#VALUE!</v>
      </c>
      <c r="S144" s="8" t="e">
        <f t="shared" si="2"/>
        <v>#VALUE!</v>
      </c>
    </row>
    <row r="145" spans="1:19" x14ac:dyDescent="0.25">
      <c r="A145">
        <v>900091143</v>
      </c>
      <c r="B145" t="s">
        <v>3965</v>
      </c>
      <c r="C145" t="s">
        <v>3398</v>
      </c>
      <c r="E145" t="s">
        <v>3398</v>
      </c>
      <c r="H145" t="s">
        <v>22</v>
      </c>
      <c r="I145">
        <v>1081572043</v>
      </c>
      <c r="J145" t="s">
        <v>1874</v>
      </c>
      <c r="P145" t="s">
        <v>4430</v>
      </c>
      <c r="Q145" s="15">
        <v>12600000</v>
      </c>
      <c r="R145" s="8" t="e">
        <f>SUMIFS([1]REPORTADOS!$D$2:$D$3379,[1]REPORTADOS!$C$2:$C$3379,E145)</f>
        <v>#VALUE!</v>
      </c>
      <c r="S145" s="8" t="e">
        <f t="shared" si="2"/>
        <v>#VALUE!</v>
      </c>
    </row>
    <row r="146" spans="1:19" x14ac:dyDescent="0.25">
      <c r="A146">
        <v>900091143</v>
      </c>
      <c r="B146" t="s">
        <v>3965</v>
      </c>
      <c r="C146" t="s">
        <v>3399</v>
      </c>
      <c r="E146" t="s">
        <v>3399</v>
      </c>
      <c r="H146" t="s">
        <v>22</v>
      </c>
      <c r="I146">
        <v>1080690337</v>
      </c>
      <c r="J146" t="s">
        <v>2781</v>
      </c>
      <c r="P146" t="s">
        <v>4430</v>
      </c>
      <c r="Q146" s="15">
        <v>12600000</v>
      </c>
      <c r="R146" s="8" t="e">
        <f>SUMIFS([1]REPORTADOS!$D$2:$D$3379,[1]REPORTADOS!$C$2:$C$3379,E146)</f>
        <v>#VALUE!</v>
      </c>
      <c r="S146" s="8" t="e">
        <f t="shared" si="2"/>
        <v>#VALUE!</v>
      </c>
    </row>
    <row r="147" spans="1:19" x14ac:dyDescent="0.25">
      <c r="A147">
        <v>900091143</v>
      </c>
      <c r="B147" t="s">
        <v>3965</v>
      </c>
      <c r="C147" t="s">
        <v>3400</v>
      </c>
      <c r="E147" t="s">
        <v>3400</v>
      </c>
      <c r="H147" t="s">
        <v>22</v>
      </c>
      <c r="I147">
        <v>1233193191</v>
      </c>
      <c r="J147" t="s">
        <v>3981</v>
      </c>
      <c r="P147" t="s">
        <v>4430</v>
      </c>
      <c r="Q147" s="15">
        <v>12600000</v>
      </c>
      <c r="R147" s="8" t="e">
        <f>SUMIFS([1]REPORTADOS!$D$2:$D$3379,[1]REPORTADOS!$C$2:$C$3379,E147)</f>
        <v>#VALUE!</v>
      </c>
      <c r="S147" s="8" t="e">
        <f t="shared" si="2"/>
        <v>#VALUE!</v>
      </c>
    </row>
    <row r="148" spans="1:19" x14ac:dyDescent="0.25">
      <c r="A148">
        <v>900091143</v>
      </c>
      <c r="B148" t="s">
        <v>3965</v>
      </c>
      <c r="C148" t="s">
        <v>3401</v>
      </c>
      <c r="E148" t="s">
        <v>3401</v>
      </c>
      <c r="H148" t="s">
        <v>22</v>
      </c>
      <c r="I148">
        <v>59313711</v>
      </c>
      <c r="J148" t="s">
        <v>4052</v>
      </c>
      <c r="P148" t="s">
        <v>4430</v>
      </c>
      <c r="Q148" s="15">
        <v>12600000</v>
      </c>
      <c r="R148" s="8" t="e">
        <f>SUMIFS([1]REPORTADOS!$D$2:$D$3379,[1]REPORTADOS!$C$2:$C$3379,E148)</f>
        <v>#VALUE!</v>
      </c>
      <c r="S148" s="8" t="e">
        <f t="shared" si="2"/>
        <v>#VALUE!</v>
      </c>
    </row>
    <row r="149" spans="1:19" x14ac:dyDescent="0.25">
      <c r="A149">
        <v>900091143</v>
      </c>
      <c r="B149" t="s">
        <v>3965</v>
      </c>
      <c r="C149" t="s">
        <v>3402</v>
      </c>
      <c r="E149" t="s">
        <v>3402</v>
      </c>
      <c r="H149" t="s">
        <v>22</v>
      </c>
      <c r="I149">
        <v>1085302942</v>
      </c>
      <c r="J149" t="s">
        <v>2402</v>
      </c>
      <c r="P149" t="s">
        <v>4430</v>
      </c>
      <c r="Q149" s="15">
        <v>12600000</v>
      </c>
      <c r="R149" s="8" t="e">
        <f>SUMIFS([1]REPORTADOS!$D$2:$D$3379,[1]REPORTADOS!$C$2:$C$3379,E149)</f>
        <v>#VALUE!</v>
      </c>
      <c r="S149" s="8" t="e">
        <f t="shared" si="2"/>
        <v>#VALUE!</v>
      </c>
    </row>
    <row r="150" spans="1:19" x14ac:dyDescent="0.25">
      <c r="A150">
        <v>900091143</v>
      </c>
      <c r="B150" t="s">
        <v>3965</v>
      </c>
      <c r="C150" t="s">
        <v>3403</v>
      </c>
      <c r="E150" t="s">
        <v>3403</v>
      </c>
      <c r="H150" t="s">
        <v>22</v>
      </c>
      <c r="I150">
        <v>1085275473</v>
      </c>
      <c r="J150" t="s">
        <v>2539</v>
      </c>
      <c r="P150" t="s">
        <v>4430</v>
      </c>
      <c r="Q150" s="15">
        <v>12600000</v>
      </c>
      <c r="R150" s="8" t="e">
        <f>SUMIFS([1]REPORTADOS!$D$2:$D$3379,[1]REPORTADOS!$C$2:$C$3379,E150)</f>
        <v>#VALUE!</v>
      </c>
      <c r="S150" s="8" t="e">
        <f t="shared" si="2"/>
        <v>#VALUE!</v>
      </c>
    </row>
    <row r="151" spans="1:19" x14ac:dyDescent="0.25">
      <c r="A151">
        <v>900091143</v>
      </c>
      <c r="B151" t="s">
        <v>3965</v>
      </c>
      <c r="C151" t="s">
        <v>3404</v>
      </c>
      <c r="E151" t="s">
        <v>3404</v>
      </c>
      <c r="H151" t="s">
        <v>22</v>
      </c>
      <c r="I151">
        <v>59310853</v>
      </c>
      <c r="J151" t="s">
        <v>1891</v>
      </c>
      <c r="P151" t="s">
        <v>4430</v>
      </c>
      <c r="Q151" s="15">
        <v>12600000</v>
      </c>
      <c r="R151" s="8" t="e">
        <f>SUMIFS([1]REPORTADOS!$D$2:$D$3379,[1]REPORTADOS!$C$2:$C$3379,E151)</f>
        <v>#VALUE!</v>
      </c>
      <c r="S151" s="8" t="e">
        <f t="shared" si="2"/>
        <v>#VALUE!</v>
      </c>
    </row>
    <row r="152" spans="1:19" x14ac:dyDescent="0.25">
      <c r="A152">
        <v>900091143</v>
      </c>
      <c r="B152" t="s">
        <v>3965</v>
      </c>
      <c r="C152" t="s">
        <v>3405</v>
      </c>
      <c r="E152" t="s">
        <v>3405</v>
      </c>
      <c r="H152" t="s">
        <v>22</v>
      </c>
      <c r="I152">
        <v>37087117</v>
      </c>
      <c r="J152" t="s">
        <v>4053</v>
      </c>
      <c r="P152" t="s">
        <v>4430</v>
      </c>
      <c r="Q152" s="15">
        <v>12600000</v>
      </c>
      <c r="R152" s="8" t="e">
        <f>SUMIFS([1]REPORTADOS!$D$2:$D$3379,[1]REPORTADOS!$C$2:$C$3379,E152)</f>
        <v>#VALUE!</v>
      </c>
      <c r="S152" s="8" t="e">
        <f t="shared" si="2"/>
        <v>#VALUE!</v>
      </c>
    </row>
    <row r="153" spans="1:19" x14ac:dyDescent="0.25">
      <c r="A153">
        <v>900091143</v>
      </c>
      <c r="B153" t="s">
        <v>3965</v>
      </c>
      <c r="C153" t="s">
        <v>3406</v>
      </c>
      <c r="E153" t="s">
        <v>3406</v>
      </c>
      <c r="H153" t="s">
        <v>22</v>
      </c>
      <c r="I153">
        <v>1085335033</v>
      </c>
      <c r="J153" t="s">
        <v>4054</v>
      </c>
      <c r="P153" t="s">
        <v>4430</v>
      </c>
      <c r="Q153" s="15">
        <v>12600000</v>
      </c>
      <c r="R153" s="8" t="e">
        <f>SUMIFS([1]REPORTADOS!$D$2:$D$3379,[1]REPORTADOS!$C$2:$C$3379,E153)</f>
        <v>#VALUE!</v>
      </c>
      <c r="S153" s="8" t="e">
        <f t="shared" si="2"/>
        <v>#VALUE!</v>
      </c>
    </row>
    <row r="154" spans="1:19" x14ac:dyDescent="0.25">
      <c r="A154">
        <v>900091143</v>
      </c>
      <c r="B154" t="s">
        <v>3965</v>
      </c>
      <c r="C154" t="s">
        <v>3407</v>
      </c>
      <c r="E154" t="s">
        <v>3407</v>
      </c>
      <c r="H154" t="s">
        <v>22</v>
      </c>
      <c r="I154">
        <v>1086329609</v>
      </c>
      <c r="J154" t="s">
        <v>1932</v>
      </c>
      <c r="P154" t="s">
        <v>4430</v>
      </c>
      <c r="Q154" s="15">
        <v>12600000</v>
      </c>
      <c r="R154" s="8" t="e">
        <f>SUMIFS([1]REPORTADOS!$D$2:$D$3379,[1]REPORTADOS!$C$2:$C$3379,E154)</f>
        <v>#VALUE!</v>
      </c>
      <c r="S154" s="8" t="e">
        <f t="shared" si="2"/>
        <v>#VALUE!</v>
      </c>
    </row>
    <row r="155" spans="1:19" x14ac:dyDescent="0.25">
      <c r="A155">
        <v>900091143</v>
      </c>
      <c r="B155" t="s">
        <v>3965</v>
      </c>
      <c r="C155" t="s">
        <v>3408</v>
      </c>
      <c r="E155" t="s">
        <v>3408</v>
      </c>
      <c r="H155" t="s">
        <v>22</v>
      </c>
      <c r="I155">
        <v>59310056</v>
      </c>
      <c r="J155" t="s">
        <v>4055</v>
      </c>
      <c r="P155" t="s">
        <v>4430</v>
      </c>
      <c r="Q155" s="15">
        <v>12600000</v>
      </c>
      <c r="R155" s="8" t="e">
        <f>SUMIFS([1]REPORTADOS!$D$2:$D$3379,[1]REPORTADOS!$C$2:$C$3379,E155)</f>
        <v>#VALUE!</v>
      </c>
      <c r="S155" s="8" t="e">
        <f t="shared" si="2"/>
        <v>#VALUE!</v>
      </c>
    </row>
    <row r="156" spans="1:19" x14ac:dyDescent="0.25">
      <c r="A156">
        <v>900091143</v>
      </c>
      <c r="B156" t="s">
        <v>3965</v>
      </c>
      <c r="C156" t="s">
        <v>3409</v>
      </c>
      <c r="E156" t="s">
        <v>3409</v>
      </c>
      <c r="H156" t="s">
        <v>22</v>
      </c>
      <c r="I156">
        <v>27088197</v>
      </c>
      <c r="J156" t="s">
        <v>1921</v>
      </c>
      <c r="P156" t="s">
        <v>4430</v>
      </c>
      <c r="Q156" s="15">
        <v>12600000</v>
      </c>
      <c r="R156" s="8" t="e">
        <f>SUMIFS([1]REPORTADOS!$D$2:$D$3379,[1]REPORTADOS!$C$2:$C$3379,E156)</f>
        <v>#VALUE!</v>
      </c>
      <c r="S156" s="8" t="e">
        <f t="shared" si="2"/>
        <v>#VALUE!</v>
      </c>
    </row>
    <row r="157" spans="1:19" x14ac:dyDescent="0.25">
      <c r="A157">
        <v>900091143</v>
      </c>
      <c r="B157" t="s">
        <v>3965</v>
      </c>
      <c r="C157" t="s">
        <v>3410</v>
      </c>
      <c r="E157" t="s">
        <v>3410</v>
      </c>
      <c r="H157" t="s">
        <v>22</v>
      </c>
      <c r="I157">
        <v>1085286725</v>
      </c>
      <c r="J157" t="s">
        <v>1786</v>
      </c>
      <c r="P157" t="s">
        <v>4430</v>
      </c>
      <c r="Q157" s="15">
        <v>12600000</v>
      </c>
      <c r="R157" s="8" t="e">
        <f>SUMIFS([1]REPORTADOS!$D$2:$D$3379,[1]REPORTADOS!$C$2:$C$3379,E157)</f>
        <v>#VALUE!</v>
      </c>
      <c r="S157" s="8" t="e">
        <f t="shared" si="2"/>
        <v>#VALUE!</v>
      </c>
    </row>
    <row r="158" spans="1:19" x14ac:dyDescent="0.25">
      <c r="A158">
        <v>900091143</v>
      </c>
      <c r="B158" t="s">
        <v>3965</v>
      </c>
      <c r="C158" t="s">
        <v>3411</v>
      </c>
      <c r="E158" t="s">
        <v>3411</v>
      </c>
      <c r="H158" t="s">
        <v>22</v>
      </c>
      <c r="I158">
        <v>59310524</v>
      </c>
      <c r="J158" t="s">
        <v>1672</v>
      </c>
      <c r="P158" t="s">
        <v>4430</v>
      </c>
      <c r="Q158" s="15">
        <v>12600000</v>
      </c>
      <c r="R158" s="8" t="e">
        <f>SUMIFS([1]REPORTADOS!$D$2:$D$3379,[1]REPORTADOS!$C$2:$C$3379,E158)</f>
        <v>#VALUE!</v>
      </c>
      <c r="S158" s="8" t="e">
        <f t="shared" si="2"/>
        <v>#VALUE!</v>
      </c>
    </row>
    <row r="159" spans="1:19" x14ac:dyDescent="0.25">
      <c r="A159">
        <v>900091143</v>
      </c>
      <c r="B159" t="s">
        <v>3965</v>
      </c>
      <c r="C159" t="s">
        <v>3412</v>
      </c>
      <c r="E159" t="s">
        <v>3412</v>
      </c>
      <c r="H159" t="s">
        <v>22</v>
      </c>
      <c r="I159">
        <v>27082649</v>
      </c>
      <c r="J159" t="s">
        <v>2454</v>
      </c>
      <c r="P159" t="s">
        <v>4430</v>
      </c>
      <c r="Q159" s="15">
        <v>12600000</v>
      </c>
      <c r="R159" s="8" t="e">
        <f>SUMIFS([1]REPORTADOS!$D$2:$D$3379,[1]REPORTADOS!$C$2:$C$3379,E159)</f>
        <v>#VALUE!</v>
      </c>
      <c r="S159" s="8" t="e">
        <f t="shared" si="2"/>
        <v>#VALUE!</v>
      </c>
    </row>
    <row r="160" spans="1:19" x14ac:dyDescent="0.25">
      <c r="A160">
        <v>900091143</v>
      </c>
      <c r="B160" t="s">
        <v>3965</v>
      </c>
      <c r="C160" t="s">
        <v>3413</v>
      </c>
      <c r="E160" t="s">
        <v>3413</v>
      </c>
      <c r="H160" t="s">
        <v>22</v>
      </c>
      <c r="I160">
        <v>1087960258</v>
      </c>
      <c r="J160" t="s">
        <v>4056</v>
      </c>
      <c r="P160" t="s">
        <v>4430</v>
      </c>
      <c r="Q160" s="15">
        <v>12600000</v>
      </c>
      <c r="R160" s="8" t="e">
        <f>SUMIFS([1]REPORTADOS!$D$2:$D$3379,[1]REPORTADOS!$C$2:$C$3379,E160)</f>
        <v>#VALUE!</v>
      </c>
      <c r="S160" s="8" t="e">
        <f t="shared" si="2"/>
        <v>#VALUE!</v>
      </c>
    </row>
    <row r="161" spans="1:19" x14ac:dyDescent="0.25">
      <c r="A161">
        <v>900091143</v>
      </c>
      <c r="B161" t="s">
        <v>3965</v>
      </c>
      <c r="C161" t="s">
        <v>3414</v>
      </c>
      <c r="E161" t="s">
        <v>3414</v>
      </c>
      <c r="H161" t="s">
        <v>22</v>
      </c>
      <c r="I161">
        <v>1085339190</v>
      </c>
      <c r="J161" t="s">
        <v>4057</v>
      </c>
      <c r="P161" t="s">
        <v>4430</v>
      </c>
      <c r="Q161" s="15">
        <v>12600000</v>
      </c>
      <c r="R161" s="8" t="e">
        <f>SUMIFS([1]REPORTADOS!$D$2:$D$3379,[1]REPORTADOS!$C$2:$C$3379,E161)</f>
        <v>#VALUE!</v>
      </c>
      <c r="S161" s="8" t="e">
        <f t="shared" si="2"/>
        <v>#VALUE!</v>
      </c>
    </row>
    <row r="162" spans="1:19" x14ac:dyDescent="0.25">
      <c r="A162">
        <v>900091143</v>
      </c>
      <c r="B162" t="s">
        <v>3965</v>
      </c>
      <c r="C162" t="s">
        <v>3415</v>
      </c>
      <c r="E162" t="s">
        <v>3415</v>
      </c>
      <c r="H162" t="s">
        <v>22</v>
      </c>
      <c r="I162">
        <v>1004131976</v>
      </c>
      <c r="J162" t="s">
        <v>2339</v>
      </c>
      <c r="P162" t="s">
        <v>4430</v>
      </c>
      <c r="Q162" s="15">
        <v>12600000</v>
      </c>
      <c r="R162" s="8" t="e">
        <f>SUMIFS([1]REPORTADOS!$D$2:$D$3379,[1]REPORTADOS!$C$2:$C$3379,E162)</f>
        <v>#VALUE!</v>
      </c>
      <c r="S162" s="8" t="e">
        <f t="shared" si="2"/>
        <v>#VALUE!</v>
      </c>
    </row>
    <row r="163" spans="1:19" x14ac:dyDescent="0.25">
      <c r="A163">
        <v>900091143</v>
      </c>
      <c r="B163" t="s">
        <v>3965</v>
      </c>
      <c r="C163" t="s">
        <v>3416</v>
      </c>
      <c r="E163" t="s">
        <v>3416</v>
      </c>
      <c r="H163" t="s">
        <v>22</v>
      </c>
      <c r="I163">
        <v>1089458048</v>
      </c>
      <c r="J163" t="s">
        <v>4025</v>
      </c>
      <c r="P163" t="s">
        <v>4430</v>
      </c>
      <c r="Q163" s="15">
        <v>12600000</v>
      </c>
      <c r="R163" s="8" t="e">
        <f>SUMIFS([1]REPORTADOS!$D$2:$D$3379,[1]REPORTADOS!$C$2:$C$3379,E163)</f>
        <v>#VALUE!</v>
      </c>
      <c r="S163" s="8" t="e">
        <f t="shared" si="2"/>
        <v>#VALUE!</v>
      </c>
    </row>
    <row r="164" spans="1:19" x14ac:dyDescent="0.25">
      <c r="A164">
        <v>900091143</v>
      </c>
      <c r="B164" t="s">
        <v>3965</v>
      </c>
      <c r="C164" t="s">
        <v>3417</v>
      </c>
      <c r="E164" t="s">
        <v>3417</v>
      </c>
      <c r="H164" t="s">
        <v>22</v>
      </c>
      <c r="I164">
        <v>1192717330</v>
      </c>
      <c r="J164" t="s">
        <v>1901</v>
      </c>
      <c r="P164" t="s">
        <v>4430</v>
      </c>
      <c r="Q164" s="15">
        <v>12600000</v>
      </c>
      <c r="R164" s="8" t="e">
        <f>SUMIFS([1]REPORTADOS!$D$2:$D$3379,[1]REPORTADOS!$C$2:$C$3379,E164)</f>
        <v>#VALUE!</v>
      </c>
      <c r="S164" s="8" t="e">
        <f t="shared" si="2"/>
        <v>#VALUE!</v>
      </c>
    </row>
    <row r="165" spans="1:19" x14ac:dyDescent="0.25">
      <c r="A165">
        <v>900091143</v>
      </c>
      <c r="B165" t="s">
        <v>3965</v>
      </c>
      <c r="C165" t="s">
        <v>3418</v>
      </c>
      <c r="E165" t="s">
        <v>3418</v>
      </c>
      <c r="H165" t="s">
        <v>22</v>
      </c>
      <c r="I165">
        <v>1004235479</v>
      </c>
      <c r="J165" t="s">
        <v>1923</v>
      </c>
      <c r="P165" t="s">
        <v>4430</v>
      </c>
      <c r="Q165" s="15">
        <v>12600000</v>
      </c>
      <c r="R165" s="8" t="e">
        <f>SUMIFS([1]REPORTADOS!$D$2:$D$3379,[1]REPORTADOS!$C$2:$C$3379,E165)</f>
        <v>#VALUE!</v>
      </c>
      <c r="S165" s="8" t="e">
        <f t="shared" si="2"/>
        <v>#VALUE!</v>
      </c>
    </row>
    <row r="166" spans="1:19" x14ac:dyDescent="0.25">
      <c r="A166">
        <v>900091143</v>
      </c>
      <c r="B166" t="s">
        <v>3965</v>
      </c>
      <c r="C166" t="s">
        <v>3419</v>
      </c>
      <c r="E166" t="s">
        <v>3419</v>
      </c>
      <c r="H166" t="s">
        <v>22</v>
      </c>
      <c r="I166">
        <v>37084285</v>
      </c>
      <c r="J166" t="s">
        <v>1724</v>
      </c>
      <c r="P166" t="s">
        <v>4430</v>
      </c>
      <c r="Q166" s="15">
        <v>12600000</v>
      </c>
      <c r="R166" s="8" t="e">
        <f>SUMIFS([1]REPORTADOS!$D$2:$D$3379,[1]REPORTADOS!$C$2:$C$3379,E166)</f>
        <v>#VALUE!</v>
      </c>
      <c r="S166" s="8" t="e">
        <f t="shared" si="2"/>
        <v>#VALUE!</v>
      </c>
    </row>
    <row r="167" spans="1:19" x14ac:dyDescent="0.25">
      <c r="A167">
        <v>900091143</v>
      </c>
      <c r="B167" t="s">
        <v>3965</v>
      </c>
      <c r="C167" t="s">
        <v>3420</v>
      </c>
      <c r="E167" t="s">
        <v>3420</v>
      </c>
      <c r="H167" t="s">
        <v>22</v>
      </c>
      <c r="I167">
        <v>1004236159</v>
      </c>
      <c r="J167" t="s">
        <v>4058</v>
      </c>
      <c r="P167" t="s">
        <v>4430</v>
      </c>
      <c r="Q167" s="15">
        <v>12600000</v>
      </c>
      <c r="R167" s="8" t="e">
        <f>SUMIFS([1]REPORTADOS!$D$2:$D$3379,[1]REPORTADOS!$C$2:$C$3379,E167)</f>
        <v>#VALUE!</v>
      </c>
      <c r="S167" s="8" t="e">
        <f t="shared" si="2"/>
        <v>#VALUE!</v>
      </c>
    </row>
    <row r="168" spans="1:19" x14ac:dyDescent="0.25">
      <c r="A168">
        <v>900091143</v>
      </c>
      <c r="B168" t="s">
        <v>3965</v>
      </c>
      <c r="C168" t="s">
        <v>3421</v>
      </c>
      <c r="E168" t="s">
        <v>3421</v>
      </c>
      <c r="H168" t="s">
        <v>22</v>
      </c>
      <c r="I168">
        <v>1081053045</v>
      </c>
      <c r="J168" t="s">
        <v>4059</v>
      </c>
      <c r="P168" t="s">
        <v>4452</v>
      </c>
      <c r="Q168" s="15">
        <v>12600000</v>
      </c>
      <c r="R168" s="8" t="e">
        <f>SUMIFS([1]REPORTADOS!$D$2:$D$3379,[1]REPORTADOS!$C$2:$C$3379,E168)</f>
        <v>#VALUE!</v>
      </c>
      <c r="S168" s="8" t="e">
        <f t="shared" si="2"/>
        <v>#VALUE!</v>
      </c>
    </row>
    <row r="169" spans="1:19" x14ac:dyDescent="0.25">
      <c r="A169">
        <v>900091143</v>
      </c>
      <c r="B169" t="s">
        <v>3965</v>
      </c>
      <c r="C169" t="s">
        <v>3422</v>
      </c>
      <c r="E169" t="s">
        <v>3422</v>
      </c>
      <c r="H169" t="s">
        <v>22</v>
      </c>
      <c r="I169">
        <v>1081272656</v>
      </c>
      <c r="J169" t="s">
        <v>2659</v>
      </c>
      <c r="P169" t="s">
        <v>4430</v>
      </c>
      <c r="Q169" s="15">
        <v>12600000</v>
      </c>
      <c r="R169" s="8" t="e">
        <f>SUMIFS([1]REPORTADOS!$D$2:$D$3379,[1]REPORTADOS!$C$2:$C$3379,E169)</f>
        <v>#VALUE!</v>
      </c>
      <c r="S169" s="8" t="e">
        <f t="shared" si="2"/>
        <v>#VALUE!</v>
      </c>
    </row>
    <row r="170" spans="1:19" x14ac:dyDescent="0.25">
      <c r="A170">
        <v>900091143</v>
      </c>
      <c r="B170" t="s">
        <v>3965</v>
      </c>
      <c r="C170" t="s">
        <v>3423</v>
      </c>
      <c r="E170" t="s">
        <v>3423</v>
      </c>
      <c r="H170" t="s">
        <v>22</v>
      </c>
      <c r="I170">
        <v>1086358836</v>
      </c>
      <c r="J170" t="s">
        <v>4060</v>
      </c>
      <c r="P170" t="s">
        <v>4430</v>
      </c>
      <c r="Q170" s="15">
        <v>12600000</v>
      </c>
      <c r="R170" s="8" t="e">
        <f>SUMIFS([1]REPORTADOS!$D$2:$D$3379,[1]REPORTADOS!$C$2:$C$3379,E170)</f>
        <v>#VALUE!</v>
      </c>
      <c r="S170" s="8" t="e">
        <f t="shared" si="2"/>
        <v>#VALUE!</v>
      </c>
    </row>
    <row r="171" spans="1:19" x14ac:dyDescent="0.25">
      <c r="A171">
        <v>900091143</v>
      </c>
      <c r="B171" t="s">
        <v>3965</v>
      </c>
      <c r="C171" t="s">
        <v>3424</v>
      </c>
      <c r="E171" t="s">
        <v>3424</v>
      </c>
      <c r="H171" t="s">
        <v>22</v>
      </c>
      <c r="I171">
        <v>1085271641</v>
      </c>
      <c r="J171" t="s">
        <v>1727</v>
      </c>
      <c r="P171" t="s">
        <v>4430</v>
      </c>
      <c r="Q171" s="15">
        <v>12600000</v>
      </c>
      <c r="R171" s="8" t="e">
        <f>SUMIFS([1]REPORTADOS!$D$2:$D$3379,[1]REPORTADOS!$C$2:$C$3379,E171)</f>
        <v>#VALUE!</v>
      </c>
      <c r="S171" s="8" t="e">
        <f t="shared" si="2"/>
        <v>#VALUE!</v>
      </c>
    </row>
    <row r="172" spans="1:19" x14ac:dyDescent="0.25">
      <c r="A172">
        <v>900091143</v>
      </c>
      <c r="B172" t="s">
        <v>3965</v>
      </c>
      <c r="C172" t="s">
        <v>3425</v>
      </c>
      <c r="E172" t="s">
        <v>3425</v>
      </c>
      <c r="H172" t="s">
        <v>22</v>
      </c>
      <c r="I172">
        <v>1085343154</v>
      </c>
      <c r="J172" t="s">
        <v>4061</v>
      </c>
      <c r="P172" t="s">
        <v>4430</v>
      </c>
      <c r="Q172" s="15">
        <v>12600000</v>
      </c>
      <c r="R172" s="8" t="e">
        <f>SUMIFS([1]REPORTADOS!$D$2:$D$3379,[1]REPORTADOS!$C$2:$C$3379,E172)</f>
        <v>#VALUE!</v>
      </c>
      <c r="S172" s="8" t="e">
        <f t="shared" si="2"/>
        <v>#VALUE!</v>
      </c>
    </row>
    <row r="173" spans="1:19" x14ac:dyDescent="0.25">
      <c r="A173">
        <v>900091143</v>
      </c>
      <c r="B173" t="s">
        <v>3965</v>
      </c>
      <c r="C173" t="s">
        <v>3426</v>
      </c>
      <c r="E173" t="s">
        <v>3426</v>
      </c>
      <c r="H173" t="s">
        <v>22</v>
      </c>
      <c r="I173">
        <v>36758143</v>
      </c>
      <c r="J173" t="s">
        <v>4062</v>
      </c>
      <c r="P173" t="s">
        <v>4430</v>
      </c>
      <c r="Q173" s="15">
        <v>12600000</v>
      </c>
      <c r="R173" s="8" t="e">
        <f>SUMIFS([1]REPORTADOS!$D$2:$D$3379,[1]REPORTADOS!$C$2:$C$3379,E173)</f>
        <v>#VALUE!</v>
      </c>
      <c r="S173" s="8" t="e">
        <f t="shared" si="2"/>
        <v>#VALUE!</v>
      </c>
    </row>
    <row r="174" spans="1:19" x14ac:dyDescent="0.25">
      <c r="A174">
        <v>900091143</v>
      </c>
      <c r="B174" t="s">
        <v>3965</v>
      </c>
      <c r="C174" t="s">
        <v>3427</v>
      </c>
      <c r="E174" t="s">
        <v>3427</v>
      </c>
      <c r="H174" t="s">
        <v>22</v>
      </c>
      <c r="I174">
        <v>1085300095</v>
      </c>
      <c r="J174" t="s">
        <v>1717</v>
      </c>
      <c r="P174" t="s">
        <v>4430</v>
      </c>
      <c r="Q174" s="15">
        <v>12600000</v>
      </c>
      <c r="R174" s="8" t="e">
        <f>SUMIFS([1]REPORTADOS!$D$2:$D$3379,[1]REPORTADOS!$C$2:$C$3379,E174)</f>
        <v>#VALUE!</v>
      </c>
      <c r="S174" s="8" t="e">
        <f t="shared" si="2"/>
        <v>#VALUE!</v>
      </c>
    </row>
    <row r="175" spans="1:19" x14ac:dyDescent="0.25">
      <c r="A175">
        <v>900091143</v>
      </c>
      <c r="B175" t="s">
        <v>3965</v>
      </c>
      <c r="C175" t="s">
        <v>3428</v>
      </c>
      <c r="E175" t="s">
        <v>3428</v>
      </c>
      <c r="H175" t="s">
        <v>22</v>
      </c>
      <c r="I175">
        <v>1137624011</v>
      </c>
      <c r="J175" t="s">
        <v>2424</v>
      </c>
      <c r="P175" t="s">
        <v>4430</v>
      </c>
      <c r="Q175" s="15">
        <v>12600000</v>
      </c>
      <c r="R175" s="8" t="e">
        <f>SUMIFS([1]REPORTADOS!$D$2:$D$3379,[1]REPORTADOS!$C$2:$C$3379,E175)</f>
        <v>#VALUE!</v>
      </c>
      <c r="S175" s="8" t="e">
        <f t="shared" si="2"/>
        <v>#VALUE!</v>
      </c>
    </row>
    <row r="176" spans="1:19" x14ac:dyDescent="0.25">
      <c r="A176">
        <v>900091143</v>
      </c>
      <c r="B176" t="s">
        <v>3965</v>
      </c>
      <c r="C176" t="s">
        <v>3429</v>
      </c>
      <c r="E176" t="s">
        <v>3429</v>
      </c>
      <c r="H176" t="s">
        <v>22</v>
      </c>
      <c r="I176">
        <v>1085288636</v>
      </c>
      <c r="J176" t="s">
        <v>2384</v>
      </c>
      <c r="P176" t="s">
        <v>4423</v>
      </c>
      <c r="Q176" s="15">
        <v>12600000</v>
      </c>
      <c r="R176" s="8" t="e">
        <f>SUMIFS([1]REPORTADOS!$D$2:$D$3379,[1]REPORTADOS!$C$2:$C$3379,E176)</f>
        <v>#VALUE!</v>
      </c>
      <c r="S176" s="8" t="e">
        <f t="shared" si="2"/>
        <v>#VALUE!</v>
      </c>
    </row>
    <row r="177" spans="1:19" x14ac:dyDescent="0.25">
      <c r="A177">
        <v>900091143</v>
      </c>
      <c r="B177" t="s">
        <v>3965</v>
      </c>
      <c r="C177" t="s">
        <v>3430</v>
      </c>
      <c r="E177" t="s">
        <v>3430</v>
      </c>
      <c r="H177" t="s">
        <v>22</v>
      </c>
      <c r="I177">
        <v>1089291166</v>
      </c>
      <c r="J177" t="s">
        <v>4063</v>
      </c>
      <c r="P177" t="s">
        <v>4424</v>
      </c>
      <c r="Q177" s="15">
        <v>12600000</v>
      </c>
      <c r="R177" s="8" t="e">
        <f>SUMIFS([1]REPORTADOS!$D$2:$D$3379,[1]REPORTADOS!$C$2:$C$3379,E177)</f>
        <v>#VALUE!</v>
      </c>
      <c r="S177" s="8" t="e">
        <f t="shared" si="2"/>
        <v>#VALUE!</v>
      </c>
    </row>
    <row r="178" spans="1:19" x14ac:dyDescent="0.25">
      <c r="A178">
        <v>900091143</v>
      </c>
      <c r="B178" t="s">
        <v>3965</v>
      </c>
      <c r="C178" t="s">
        <v>3431</v>
      </c>
      <c r="E178" t="s">
        <v>3431</v>
      </c>
      <c r="H178" t="s">
        <v>22</v>
      </c>
      <c r="I178">
        <v>30743783</v>
      </c>
      <c r="J178" t="s">
        <v>2440</v>
      </c>
      <c r="P178" t="s">
        <v>4453</v>
      </c>
      <c r="Q178" s="15">
        <v>12600000</v>
      </c>
      <c r="R178" s="8" t="e">
        <f>SUMIFS([1]REPORTADOS!$D$2:$D$3379,[1]REPORTADOS!$C$2:$C$3379,E178)</f>
        <v>#VALUE!</v>
      </c>
      <c r="S178" s="8" t="e">
        <f t="shared" si="2"/>
        <v>#VALUE!</v>
      </c>
    </row>
    <row r="179" spans="1:19" x14ac:dyDescent="0.25">
      <c r="A179">
        <v>900091143</v>
      </c>
      <c r="B179" t="s">
        <v>3965</v>
      </c>
      <c r="C179" t="s">
        <v>3432</v>
      </c>
      <c r="E179" t="s">
        <v>3432</v>
      </c>
      <c r="H179" t="s">
        <v>22</v>
      </c>
      <c r="I179">
        <v>1081272025</v>
      </c>
      <c r="J179" t="s">
        <v>4064</v>
      </c>
      <c r="P179" t="s">
        <v>4454</v>
      </c>
      <c r="Q179" s="15">
        <v>12600000</v>
      </c>
      <c r="R179" s="8" t="e">
        <f>SUMIFS([1]REPORTADOS!$D$2:$D$3379,[1]REPORTADOS!$C$2:$C$3379,E179)</f>
        <v>#VALUE!</v>
      </c>
      <c r="S179" s="8" t="e">
        <f t="shared" si="2"/>
        <v>#VALUE!</v>
      </c>
    </row>
    <row r="180" spans="1:19" x14ac:dyDescent="0.25">
      <c r="A180">
        <v>900091143</v>
      </c>
      <c r="B180" t="s">
        <v>3965</v>
      </c>
      <c r="C180" t="s">
        <v>3433</v>
      </c>
      <c r="E180" t="s">
        <v>3433</v>
      </c>
      <c r="H180" t="s">
        <v>22</v>
      </c>
      <c r="I180">
        <v>1193224810</v>
      </c>
      <c r="J180" t="s">
        <v>1736</v>
      </c>
      <c r="P180" t="s">
        <v>4423</v>
      </c>
      <c r="Q180" s="15">
        <v>12600000</v>
      </c>
      <c r="R180" s="8" t="e">
        <f>SUMIFS([1]REPORTADOS!$D$2:$D$3379,[1]REPORTADOS!$C$2:$C$3379,E180)</f>
        <v>#VALUE!</v>
      </c>
      <c r="S180" s="8" t="e">
        <f t="shared" si="2"/>
        <v>#VALUE!</v>
      </c>
    </row>
    <row r="181" spans="1:19" x14ac:dyDescent="0.25">
      <c r="A181">
        <v>900091143</v>
      </c>
      <c r="B181" t="s">
        <v>3965</v>
      </c>
      <c r="C181" t="s">
        <v>3434</v>
      </c>
      <c r="E181" t="s">
        <v>3434</v>
      </c>
      <c r="H181" t="s">
        <v>22</v>
      </c>
      <c r="I181">
        <v>1087644986</v>
      </c>
      <c r="J181" t="s">
        <v>4065</v>
      </c>
      <c r="P181" t="s">
        <v>4455</v>
      </c>
      <c r="Q181" s="15">
        <v>12600000</v>
      </c>
      <c r="R181" s="8" t="e">
        <f>SUMIFS([1]REPORTADOS!$D$2:$D$3379,[1]REPORTADOS!$C$2:$C$3379,E181)</f>
        <v>#VALUE!</v>
      </c>
      <c r="S181" s="8" t="e">
        <f t="shared" si="2"/>
        <v>#VALUE!</v>
      </c>
    </row>
    <row r="182" spans="1:19" x14ac:dyDescent="0.25">
      <c r="A182">
        <v>900091143</v>
      </c>
      <c r="B182" t="s">
        <v>3965</v>
      </c>
      <c r="C182" t="s">
        <v>3435</v>
      </c>
      <c r="E182" t="s">
        <v>3435</v>
      </c>
      <c r="H182" t="s">
        <v>22</v>
      </c>
      <c r="I182">
        <v>69028150</v>
      </c>
      <c r="J182" t="s">
        <v>1666</v>
      </c>
      <c r="P182" t="s">
        <v>4420</v>
      </c>
      <c r="Q182" s="15">
        <v>12600000</v>
      </c>
      <c r="R182" s="8" t="e">
        <f>SUMIFS([1]REPORTADOS!$D$2:$D$3379,[1]REPORTADOS!$C$2:$C$3379,E182)</f>
        <v>#VALUE!</v>
      </c>
      <c r="S182" s="8" t="e">
        <f t="shared" si="2"/>
        <v>#VALUE!</v>
      </c>
    </row>
    <row r="183" spans="1:19" x14ac:dyDescent="0.25">
      <c r="A183">
        <v>900091143</v>
      </c>
      <c r="B183" t="s">
        <v>3965</v>
      </c>
      <c r="C183" t="s">
        <v>3436</v>
      </c>
      <c r="E183" t="s">
        <v>3436</v>
      </c>
      <c r="H183" t="s">
        <v>22</v>
      </c>
      <c r="I183">
        <v>1085315013</v>
      </c>
      <c r="J183" t="s">
        <v>1913</v>
      </c>
      <c r="P183" t="s">
        <v>4423</v>
      </c>
      <c r="Q183" s="15">
        <v>12600000</v>
      </c>
      <c r="R183" s="8" t="e">
        <f>SUMIFS([1]REPORTADOS!$D$2:$D$3379,[1]REPORTADOS!$C$2:$C$3379,E183)</f>
        <v>#VALUE!</v>
      </c>
      <c r="S183" s="8" t="e">
        <f t="shared" si="2"/>
        <v>#VALUE!</v>
      </c>
    </row>
    <row r="184" spans="1:19" x14ac:dyDescent="0.25">
      <c r="A184">
        <v>900091143</v>
      </c>
      <c r="B184" t="s">
        <v>3965</v>
      </c>
      <c r="C184" t="s">
        <v>3437</v>
      </c>
      <c r="E184" t="s">
        <v>3437</v>
      </c>
      <c r="H184" t="s">
        <v>22</v>
      </c>
      <c r="I184">
        <v>1085269090</v>
      </c>
      <c r="J184" t="s">
        <v>1860</v>
      </c>
      <c r="P184" t="s">
        <v>4456</v>
      </c>
      <c r="Q184" s="15">
        <v>12600000</v>
      </c>
      <c r="R184" s="8" t="e">
        <f>SUMIFS([1]REPORTADOS!$D$2:$D$3379,[1]REPORTADOS!$C$2:$C$3379,E184)</f>
        <v>#VALUE!</v>
      </c>
      <c r="S184" s="8" t="e">
        <f t="shared" si="2"/>
        <v>#VALUE!</v>
      </c>
    </row>
    <row r="185" spans="1:19" x14ac:dyDescent="0.25">
      <c r="A185">
        <v>900091143</v>
      </c>
      <c r="B185" t="s">
        <v>3965</v>
      </c>
      <c r="C185" t="s">
        <v>3438</v>
      </c>
      <c r="E185" t="s">
        <v>3438</v>
      </c>
      <c r="H185" t="s">
        <v>22</v>
      </c>
      <c r="I185">
        <v>1085255829</v>
      </c>
      <c r="J185" t="s">
        <v>1678</v>
      </c>
      <c r="P185" t="s">
        <v>4456</v>
      </c>
      <c r="Q185" s="15">
        <v>12600000</v>
      </c>
      <c r="R185" s="8" t="e">
        <f>SUMIFS([1]REPORTADOS!$D$2:$D$3379,[1]REPORTADOS!$C$2:$C$3379,E185)</f>
        <v>#VALUE!</v>
      </c>
      <c r="S185" s="8" t="e">
        <f t="shared" si="2"/>
        <v>#VALUE!</v>
      </c>
    </row>
    <row r="186" spans="1:19" x14ac:dyDescent="0.25">
      <c r="A186">
        <v>900091143</v>
      </c>
      <c r="B186" t="s">
        <v>3965</v>
      </c>
      <c r="C186" t="s">
        <v>3439</v>
      </c>
      <c r="E186" t="s">
        <v>3439</v>
      </c>
      <c r="H186" t="s">
        <v>22</v>
      </c>
      <c r="I186">
        <v>1233189234</v>
      </c>
      <c r="J186" t="s">
        <v>1869</v>
      </c>
      <c r="P186" t="s">
        <v>4456</v>
      </c>
      <c r="Q186" s="15">
        <v>12600000</v>
      </c>
      <c r="R186" s="8" t="e">
        <f>SUMIFS([1]REPORTADOS!$D$2:$D$3379,[1]REPORTADOS!$C$2:$C$3379,E186)</f>
        <v>#VALUE!</v>
      </c>
      <c r="S186" s="8" t="e">
        <f t="shared" si="2"/>
        <v>#VALUE!</v>
      </c>
    </row>
    <row r="187" spans="1:19" x14ac:dyDescent="0.25">
      <c r="A187">
        <v>900091143</v>
      </c>
      <c r="B187" t="s">
        <v>3965</v>
      </c>
      <c r="C187" t="s">
        <v>3440</v>
      </c>
      <c r="E187" t="s">
        <v>3440</v>
      </c>
      <c r="H187" t="s">
        <v>22</v>
      </c>
      <c r="I187">
        <v>1010082397</v>
      </c>
      <c r="J187" t="s">
        <v>1799</v>
      </c>
      <c r="P187" t="s">
        <v>4456</v>
      </c>
      <c r="Q187" s="15">
        <v>12600000</v>
      </c>
      <c r="R187" s="8" t="e">
        <f>SUMIFS([1]REPORTADOS!$D$2:$D$3379,[1]REPORTADOS!$C$2:$C$3379,E187)</f>
        <v>#VALUE!</v>
      </c>
      <c r="S187" s="8" t="e">
        <f t="shared" si="2"/>
        <v>#VALUE!</v>
      </c>
    </row>
    <row r="188" spans="1:19" x14ac:dyDescent="0.25">
      <c r="A188">
        <v>900091143</v>
      </c>
      <c r="B188" t="s">
        <v>3965</v>
      </c>
      <c r="C188" t="s">
        <v>3441</v>
      </c>
      <c r="E188" t="s">
        <v>3441</v>
      </c>
      <c r="H188" t="s">
        <v>22</v>
      </c>
      <c r="I188">
        <v>1087006717</v>
      </c>
      <c r="J188" t="s">
        <v>1793</v>
      </c>
      <c r="P188" t="s">
        <v>4456</v>
      </c>
      <c r="Q188" s="15">
        <v>12600000</v>
      </c>
      <c r="R188" s="8" t="e">
        <f>SUMIFS([1]REPORTADOS!$D$2:$D$3379,[1]REPORTADOS!$C$2:$C$3379,E188)</f>
        <v>#VALUE!</v>
      </c>
      <c r="S188" s="8" t="e">
        <f t="shared" si="2"/>
        <v>#VALUE!</v>
      </c>
    </row>
    <row r="189" spans="1:19" x14ac:dyDescent="0.25">
      <c r="A189">
        <v>900091143</v>
      </c>
      <c r="B189" t="s">
        <v>3965</v>
      </c>
      <c r="C189" t="s">
        <v>3442</v>
      </c>
      <c r="E189" t="s">
        <v>3442</v>
      </c>
      <c r="H189" t="s">
        <v>22</v>
      </c>
      <c r="I189">
        <v>36752202</v>
      </c>
      <c r="J189" t="s">
        <v>2283</v>
      </c>
      <c r="P189" t="s">
        <v>4457</v>
      </c>
      <c r="Q189" s="15">
        <v>12600000</v>
      </c>
      <c r="R189" s="8" t="e">
        <f>SUMIFS([1]REPORTADOS!$D$2:$D$3379,[1]REPORTADOS!$C$2:$C$3379,E189)</f>
        <v>#VALUE!</v>
      </c>
      <c r="S189" s="8" t="e">
        <f t="shared" si="2"/>
        <v>#VALUE!</v>
      </c>
    </row>
    <row r="190" spans="1:19" x14ac:dyDescent="0.25">
      <c r="A190">
        <v>900091143</v>
      </c>
      <c r="B190" t="s">
        <v>3965</v>
      </c>
      <c r="C190" t="s">
        <v>3443</v>
      </c>
      <c r="E190" t="s">
        <v>3443</v>
      </c>
      <c r="H190" t="s">
        <v>22</v>
      </c>
      <c r="I190">
        <v>1193223736</v>
      </c>
      <c r="J190" t="s">
        <v>2021</v>
      </c>
      <c r="P190" t="s">
        <v>4275</v>
      </c>
      <c r="Q190" s="15">
        <v>12600000</v>
      </c>
      <c r="R190" s="8" t="e">
        <f>SUMIFS([1]REPORTADOS!$D$2:$D$3379,[1]REPORTADOS!$C$2:$C$3379,E190)</f>
        <v>#VALUE!</v>
      </c>
      <c r="S190" s="8" t="e">
        <f t="shared" si="2"/>
        <v>#VALUE!</v>
      </c>
    </row>
    <row r="191" spans="1:19" x14ac:dyDescent="0.25">
      <c r="A191">
        <v>900091143</v>
      </c>
      <c r="B191" t="s">
        <v>3965</v>
      </c>
      <c r="C191" t="s">
        <v>3444</v>
      </c>
      <c r="E191" t="s">
        <v>3444</v>
      </c>
      <c r="H191" t="s">
        <v>22</v>
      </c>
      <c r="I191">
        <v>1085254153</v>
      </c>
      <c r="J191" t="s">
        <v>2555</v>
      </c>
      <c r="P191" t="s">
        <v>4458</v>
      </c>
      <c r="Q191" s="15">
        <v>12600000</v>
      </c>
      <c r="R191" s="8" t="e">
        <f>SUMIFS([1]REPORTADOS!$D$2:$D$3379,[1]REPORTADOS!$C$2:$C$3379,E191)</f>
        <v>#VALUE!</v>
      </c>
      <c r="S191" s="8" t="e">
        <f t="shared" si="2"/>
        <v>#VALUE!</v>
      </c>
    </row>
    <row r="192" spans="1:19" x14ac:dyDescent="0.25">
      <c r="A192">
        <v>900091143</v>
      </c>
      <c r="B192" t="s">
        <v>3965</v>
      </c>
      <c r="C192" t="s">
        <v>3445</v>
      </c>
      <c r="E192" t="s">
        <v>3445</v>
      </c>
      <c r="H192" t="s">
        <v>22</v>
      </c>
      <c r="I192">
        <v>1233190311</v>
      </c>
      <c r="J192" t="s">
        <v>4066</v>
      </c>
      <c r="P192" t="s">
        <v>4459</v>
      </c>
      <c r="Q192" s="15">
        <v>14190000</v>
      </c>
      <c r="R192" s="8" t="e">
        <f>SUMIFS([1]REPORTADOS!$D$2:$D$3379,[1]REPORTADOS!$C$2:$C$3379,E192)</f>
        <v>#VALUE!</v>
      </c>
      <c r="S192" s="8" t="e">
        <f t="shared" si="2"/>
        <v>#VALUE!</v>
      </c>
    </row>
    <row r="193" spans="1:19" x14ac:dyDescent="0.25">
      <c r="A193">
        <v>900091143</v>
      </c>
      <c r="B193" t="s">
        <v>3965</v>
      </c>
      <c r="C193" t="s">
        <v>3446</v>
      </c>
      <c r="E193" t="s">
        <v>3446</v>
      </c>
      <c r="H193" t="s">
        <v>22</v>
      </c>
      <c r="I193">
        <v>1085293619</v>
      </c>
      <c r="J193" t="s">
        <v>2115</v>
      </c>
      <c r="P193" t="s">
        <v>4459</v>
      </c>
      <c r="Q193" s="15">
        <v>14190000</v>
      </c>
      <c r="R193" s="8" t="e">
        <f>SUMIFS([1]REPORTADOS!$D$2:$D$3379,[1]REPORTADOS!$C$2:$C$3379,E193)</f>
        <v>#VALUE!</v>
      </c>
      <c r="S193" s="8" t="e">
        <f t="shared" si="2"/>
        <v>#VALUE!</v>
      </c>
    </row>
    <row r="194" spans="1:19" x14ac:dyDescent="0.25">
      <c r="A194">
        <v>900091143</v>
      </c>
      <c r="B194" t="s">
        <v>3965</v>
      </c>
      <c r="C194" t="s">
        <v>3447</v>
      </c>
      <c r="E194" t="s">
        <v>3447</v>
      </c>
      <c r="H194" t="s">
        <v>22</v>
      </c>
      <c r="I194">
        <v>37084258</v>
      </c>
      <c r="J194" t="s">
        <v>4067</v>
      </c>
      <c r="P194" t="s">
        <v>4460</v>
      </c>
      <c r="Q194" s="15">
        <v>14190000</v>
      </c>
      <c r="R194" s="8" t="e">
        <f>SUMIFS([1]REPORTADOS!$D$2:$D$3379,[1]REPORTADOS!$C$2:$C$3379,E194)</f>
        <v>#VALUE!</v>
      </c>
      <c r="S194" s="8" t="e">
        <f t="shared" si="2"/>
        <v>#VALUE!</v>
      </c>
    </row>
    <row r="195" spans="1:19" x14ac:dyDescent="0.25">
      <c r="A195">
        <v>900091143</v>
      </c>
      <c r="B195" t="s">
        <v>3965</v>
      </c>
      <c r="C195" t="s">
        <v>3448</v>
      </c>
      <c r="E195" t="s">
        <v>3448</v>
      </c>
      <c r="H195" t="s">
        <v>22</v>
      </c>
      <c r="I195">
        <v>1085331301</v>
      </c>
      <c r="J195" t="s">
        <v>4068</v>
      </c>
      <c r="P195" t="s">
        <v>4447</v>
      </c>
      <c r="Q195" s="15">
        <v>14190000</v>
      </c>
      <c r="R195" s="8" t="e">
        <f>SUMIFS([1]REPORTADOS!$D$2:$D$3379,[1]REPORTADOS!$C$2:$C$3379,E195)</f>
        <v>#VALUE!</v>
      </c>
      <c r="S195" s="8" t="e">
        <f t="shared" ref="S195:S258" si="3">Q195-R195</f>
        <v>#VALUE!</v>
      </c>
    </row>
    <row r="196" spans="1:19" x14ac:dyDescent="0.25">
      <c r="A196">
        <v>900091143</v>
      </c>
      <c r="B196" t="s">
        <v>3965</v>
      </c>
      <c r="C196" t="s">
        <v>3449</v>
      </c>
      <c r="E196" t="s">
        <v>3449</v>
      </c>
      <c r="H196" t="s">
        <v>22</v>
      </c>
      <c r="I196">
        <v>1233188033</v>
      </c>
      <c r="J196" t="s">
        <v>4069</v>
      </c>
      <c r="P196" t="s">
        <v>4461</v>
      </c>
      <c r="Q196" s="15">
        <v>14190000</v>
      </c>
      <c r="R196" s="8" t="e">
        <f>SUMIFS([1]REPORTADOS!$D$2:$D$3379,[1]REPORTADOS!$C$2:$C$3379,E196)</f>
        <v>#VALUE!</v>
      </c>
      <c r="S196" s="8" t="e">
        <f t="shared" si="3"/>
        <v>#VALUE!</v>
      </c>
    </row>
    <row r="197" spans="1:19" x14ac:dyDescent="0.25">
      <c r="A197">
        <v>900091143</v>
      </c>
      <c r="B197" t="s">
        <v>3965</v>
      </c>
      <c r="C197" t="s">
        <v>3450</v>
      </c>
      <c r="E197" t="s">
        <v>3450</v>
      </c>
      <c r="H197" t="s">
        <v>22</v>
      </c>
      <c r="I197">
        <v>27105277</v>
      </c>
      <c r="J197" t="s">
        <v>4070</v>
      </c>
      <c r="P197" t="s">
        <v>4447</v>
      </c>
      <c r="Q197" s="15">
        <v>14190000</v>
      </c>
      <c r="R197" s="8" t="e">
        <f>SUMIFS([1]REPORTADOS!$D$2:$D$3379,[1]REPORTADOS!$C$2:$C$3379,E197)</f>
        <v>#VALUE!</v>
      </c>
      <c r="S197" s="8" t="e">
        <f t="shared" si="3"/>
        <v>#VALUE!</v>
      </c>
    </row>
    <row r="198" spans="1:19" x14ac:dyDescent="0.25">
      <c r="A198">
        <v>900091143</v>
      </c>
      <c r="B198" t="s">
        <v>3965</v>
      </c>
      <c r="C198" t="s">
        <v>3451</v>
      </c>
      <c r="E198" t="s">
        <v>3451</v>
      </c>
      <c r="H198" t="s">
        <v>22</v>
      </c>
      <c r="I198">
        <v>1085313870</v>
      </c>
      <c r="J198" t="s">
        <v>2086</v>
      </c>
      <c r="P198" t="s">
        <v>4447</v>
      </c>
      <c r="Q198" s="15">
        <v>14190000</v>
      </c>
      <c r="R198" s="8" t="e">
        <f>SUMIFS([1]REPORTADOS!$D$2:$D$3379,[1]REPORTADOS!$C$2:$C$3379,E198)</f>
        <v>#VALUE!</v>
      </c>
      <c r="S198" s="8" t="e">
        <f t="shared" si="3"/>
        <v>#VALUE!</v>
      </c>
    </row>
    <row r="199" spans="1:19" x14ac:dyDescent="0.25">
      <c r="A199">
        <v>900091143</v>
      </c>
      <c r="B199" t="s">
        <v>3965</v>
      </c>
      <c r="C199" t="s">
        <v>3452</v>
      </c>
      <c r="E199" t="s">
        <v>3452</v>
      </c>
      <c r="H199" t="s">
        <v>22</v>
      </c>
      <c r="I199">
        <v>59816986</v>
      </c>
      <c r="J199" t="s">
        <v>2257</v>
      </c>
      <c r="P199" t="s">
        <v>4451</v>
      </c>
      <c r="Q199" s="15">
        <v>14190000</v>
      </c>
      <c r="R199" s="8" t="e">
        <f>SUMIFS([1]REPORTADOS!$D$2:$D$3379,[1]REPORTADOS!$C$2:$C$3379,E199)</f>
        <v>#VALUE!</v>
      </c>
      <c r="S199" s="8" t="e">
        <f t="shared" si="3"/>
        <v>#VALUE!</v>
      </c>
    </row>
    <row r="200" spans="1:19" x14ac:dyDescent="0.25">
      <c r="A200">
        <v>900091143</v>
      </c>
      <c r="B200" t="s">
        <v>3965</v>
      </c>
      <c r="C200" t="s">
        <v>3453</v>
      </c>
      <c r="E200" t="s">
        <v>3453</v>
      </c>
      <c r="H200" t="s">
        <v>22</v>
      </c>
      <c r="I200">
        <v>1085323338</v>
      </c>
      <c r="J200" t="s">
        <v>4071</v>
      </c>
      <c r="P200" t="s">
        <v>4462</v>
      </c>
      <c r="Q200" s="15">
        <v>14190000</v>
      </c>
      <c r="R200" s="8" t="e">
        <f>SUMIFS([1]REPORTADOS!$D$2:$D$3379,[1]REPORTADOS!$C$2:$C$3379,E200)</f>
        <v>#VALUE!</v>
      </c>
      <c r="S200" s="8" t="e">
        <f t="shared" si="3"/>
        <v>#VALUE!</v>
      </c>
    </row>
    <row r="201" spans="1:19" x14ac:dyDescent="0.25">
      <c r="A201">
        <v>900091143</v>
      </c>
      <c r="B201" t="s">
        <v>3965</v>
      </c>
      <c r="C201" t="s">
        <v>3454</v>
      </c>
      <c r="E201" t="s">
        <v>3454</v>
      </c>
      <c r="H201" t="s">
        <v>22</v>
      </c>
      <c r="I201">
        <v>52381227</v>
      </c>
      <c r="J201" t="s">
        <v>4072</v>
      </c>
      <c r="P201" t="s">
        <v>4463</v>
      </c>
      <c r="Q201" s="15">
        <v>14190000</v>
      </c>
      <c r="R201" s="8" t="e">
        <f>SUMIFS([1]REPORTADOS!$D$2:$D$3379,[1]REPORTADOS!$C$2:$C$3379,E201)</f>
        <v>#VALUE!</v>
      </c>
      <c r="S201" s="8" t="e">
        <f t="shared" si="3"/>
        <v>#VALUE!</v>
      </c>
    </row>
    <row r="202" spans="1:19" x14ac:dyDescent="0.25">
      <c r="A202">
        <v>900091143</v>
      </c>
      <c r="B202" t="s">
        <v>3965</v>
      </c>
      <c r="C202" t="s">
        <v>3455</v>
      </c>
      <c r="E202" t="s">
        <v>3455</v>
      </c>
      <c r="H202" t="s">
        <v>22</v>
      </c>
      <c r="I202">
        <v>1086018206</v>
      </c>
      <c r="J202" t="s">
        <v>4073</v>
      </c>
      <c r="P202" t="s">
        <v>4464</v>
      </c>
      <c r="Q202" s="15">
        <v>15600000</v>
      </c>
      <c r="R202" s="8" t="e">
        <f>SUMIFS([1]REPORTADOS!$D$2:$D$3379,[1]REPORTADOS!$C$2:$C$3379,E202)</f>
        <v>#VALUE!</v>
      </c>
      <c r="S202" s="8" t="e">
        <f t="shared" si="3"/>
        <v>#VALUE!</v>
      </c>
    </row>
    <row r="203" spans="1:19" x14ac:dyDescent="0.25">
      <c r="A203">
        <v>900091143</v>
      </c>
      <c r="B203" t="s">
        <v>3965</v>
      </c>
      <c r="C203" t="s">
        <v>3456</v>
      </c>
      <c r="E203" t="s">
        <v>3456</v>
      </c>
      <c r="H203" t="s">
        <v>22</v>
      </c>
      <c r="I203">
        <v>1010141840</v>
      </c>
      <c r="J203" t="s">
        <v>4074</v>
      </c>
      <c r="P203" t="s">
        <v>4465</v>
      </c>
      <c r="Q203" s="15">
        <v>15600000</v>
      </c>
      <c r="R203" s="8" t="e">
        <f>SUMIFS([1]REPORTADOS!$D$2:$D$3379,[1]REPORTADOS!$C$2:$C$3379,E203)</f>
        <v>#VALUE!</v>
      </c>
      <c r="S203" s="8" t="e">
        <f t="shared" si="3"/>
        <v>#VALUE!</v>
      </c>
    </row>
    <row r="204" spans="1:19" x14ac:dyDescent="0.25">
      <c r="A204">
        <v>900091143</v>
      </c>
      <c r="B204" t="s">
        <v>3965</v>
      </c>
      <c r="C204" t="s">
        <v>3457</v>
      </c>
      <c r="E204" t="s">
        <v>3457</v>
      </c>
      <c r="H204" t="s">
        <v>22</v>
      </c>
      <c r="I204">
        <v>1086331521</v>
      </c>
      <c r="J204" t="s">
        <v>4075</v>
      </c>
      <c r="P204" t="s">
        <v>4466</v>
      </c>
      <c r="Q204" s="15">
        <v>15600000</v>
      </c>
      <c r="R204" s="8" t="e">
        <f>SUMIFS([1]REPORTADOS!$D$2:$D$3379,[1]REPORTADOS!$C$2:$C$3379,E204)</f>
        <v>#VALUE!</v>
      </c>
      <c r="S204" s="8" t="e">
        <f t="shared" si="3"/>
        <v>#VALUE!</v>
      </c>
    </row>
    <row r="205" spans="1:19" x14ac:dyDescent="0.25">
      <c r="A205">
        <v>900091143</v>
      </c>
      <c r="B205" t="s">
        <v>3965</v>
      </c>
      <c r="C205" t="s">
        <v>3458</v>
      </c>
      <c r="E205" t="s">
        <v>3458</v>
      </c>
      <c r="H205" t="s">
        <v>22</v>
      </c>
      <c r="I205">
        <v>1085307962</v>
      </c>
      <c r="J205" t="s">
        <v>4076</v>
      </c>
      <c r="P205" t="s">
        <v>4467</v>
      </c>
      <c r="Q205" s="15">
        <v>15600000</v>
      </c>
      <c r="R205" s="8" t="e">
        <f>SUMIFS([1]REPORTADOS!$D$2:$D$3379,[1]REPORTADOS!$C$2:$C$3379,E205)</f>
        <v>#VALUE!</v>
      </c>
      <c r="S205" s="8" t="e">
        <f t="shared" si="3"/>
        <v>#VALUE!</v>
      </c>
    </row>
    <row r="206" spans="1:19" x14ac:dyDescent="0.25">
      <c r="A206">
        <v>900091143</v>
      </c>
      <c r="B206" t="s">
        <v>3965</v>
      </c>
      <c r="C206" t="s">
        <v>3459</v>
      </c>
      <c r="E206" t="s">
        <v>3459</v>
      </c>
      <c r="H206" t="s">
        <v>22</v>
      </c>
      <c r="I206">
        <v>12969231</v>
      </c>
      <c r="J206" t="s">
        <v>4077</v>
      </c>
      <c r="P206" t="s">
        <v>4464</v>
      </c>
      <c r="Q206" s="15">
        <v>15600000</v>
      </c>
      <c r="R206" s="8" t="e">
        <f>SUMIFS([1]REPORTADOS!$D$2:$D$3379,[1]REPORTADOS!$C$2:$C$3379,E206)</f>
        <v>#VALUE!</v>
      </c>
      <c r="S206" s="8" t="e">
        <f t="shared" si="3"/>
        <v>#VALUE!</v>
      </c>
    </row>
    <row r="207" spans="1:19" x14ac:dyDescent="0.25">
      <c r="A207">
        <v>900091143</v>
      </c>
      <c r="B207" t="s">
        <v>3965</v>
      </c>
      <c r="C207" t="s">
        <v>3460</v>
      </c>
      <c r="E207" t="s">
        <v>3460</v>
      </c>
      <c r="H207" t="s">
        <v>22</v>
      </c>
      <c r="I207">
        <v>1233193848</v>
      </c>
      <c r="J207" t="s">
        <v>4078</v>
      </c>
      <c r="P207" t="s">
        <v>4464</v>
      </c>
      <c r="Q207" s="15">
        <v>15600000</v>
      </c>
      <c r="R207" s="8" t="e">
        <f>SUMIFS([1]REPORTADOS!$D$2:$D$3379,[1]REPORTADOS!$C$2:$C$3379,E207)</f>
        <v>#VALUE!</v>
      </c>
      <c r="S207" s="8" t="e">
        <f t="shared" si="3"/>
        <v>#VALUE!</v>
      </c>
    </row>
    <row r="208" spans="1:19" x14ac:dyDescent="0.25">
      <c r="A208">
        <v>900091143</v>
      </c>
      <c r="B208" t="s">
        <v>3965</v>
      </c>
      <c r="C208" t="s">
        <v>3461</v>
      </c>
      <c r="E208" t="s">
        <v>3461</v>
      </c>
      <c r="H208" t="s">
        <v>22</v>
      </c>
      <c r="I208">
        <v>27252200</v>
      </c>
      <c r="J208" t="s">
        <v>4079</v>
      </c>
      <c r="P208" t="s">
        <v>4468</v>
      </c>
      <c r="Q208" s="15">
        <v>15750000</v>
      </c>
      <c r="R208" s="8" t="e">
        <f>SUMIFS([1]REPORTADOS!$D$2:$D$3379,[1]REPORTADOS!$C$2:$C$3379,E208)</f>
        <v>#VALUE!</v>
      </c>
      <c r="S208" s="8" t="e">
        <f t="shared" si="3"/>
        <v>#VALUE!</v>
      </c>
    </row>
    <row r="209" spans="1:19" x14ac:dyDescent="0.25">
      <c r="A209">
        <v>900091143</v>
      </c>
      <c r="B209" t="s">
        <v>3965</v>
      </c>
      <c r="C209" t="s">
        <v>3462</v>
      </c>
      <c r="E209" t="s">
        <v>3462</v>
      </c>
      <c r="H209" t="s">
        <v>22</v>
      </c>
      <c r="I209">
        <v>1233189234</v>
      </c>
      <c r="J209" t="s">
        <v>4080</v>
      </c>
      <c r="P209" t="s">
        <v>4403</v>
      </c>
      <c r="Q209" s="8">
        <v>9450000</v>
      </c>
      <c r="R209" s="8" t="e">
        <f>SUMIFS([1]REPORTADOS!$D$2:$D$3379,[1]REPORTADOS!$C$2:$C$3379,E209)</f>
        <v>#VALUE!</v>
      </c>
      <c r="S209" s="8" t="e">
        <f t="shared" si="3"/>
        <v>#VALUE!</v>
      </c>
    </row>
    <row r="210" spans="1:19" x14ac:dyDescent="0.25">
      <c r="A210">
        <v>900091143</v>
      </c>
      <c r="B210" t="s">
        <v>3965</v>
      </c>
      <c r="C210" t="s">
        <v>3463</v>
      </c>
      <c r="E210" t="s">
        <v>3463</v>
      </c>
      <c r="H210" t="s">
        <v>22</v>
      </c>
      <c r="I210">
        <v>1085278004</v>
      </c>
      <c r="J210" t="s">
        <v>4081</v>
      </c>
      <c r="P210" t="s">
        <v>4469</v>
      </c>
      <c r="Q210" s="15">
        <v>15750000</v>
      </c>
      <c r="R210" s="8" t="e">
        <f>SUMIFS([1]REPORTADOS!$D$2:$D$3379,[1]REPORTADOS!$C$2:$C$3379,E210)</f>
        <v>#VALUE!</v>
      </c>
      <c r="S210" s="8" t="e">
        <f t="shared" si="3"/>
        <v>#VALUE!</v>
      </c>
    </row>
    <row r="211" spans="1:19" x14ac:dyDescent="0.25">
      <c r="A211">
        <v>900091143</v>
      </c>
      <c r="B211" t="s">
        <v>3965</v>
      </c>
      <c r="C211" t="s">
        <v>3464</v>
      </c>
      <c r="E211" t="s">
        <v>3464</v>
      </c>
      <c r="H211" t="s">
        <v>22</v>
      </c>
      <c r="I211">
        <v>1004213964</v>
      </c>
      <c r="J211" t="s">
        <v>1990</v>
      </c>
      <c r="P211" t="s">
        <v>4470</v>
      </c>
      <c r="Q211" s="15">
        <v>18900000</v>
      </c>
      <c r="R211" s="8" t="e">
        <f>SUMIFS([1]REPORTADOS!$D$2:$D$3379,[1]REPORTADOS!$C$2:$C$3379,E211)</f>
        <v>#VALUE!</v>
      </c>
      <c r="S211" s="8" t="e">
        <f t="shared" si="3"/>
        <v>#VALUE!</v>
      </c>
    </row>
    <row r="212" spans="1:19" x14ac:dyDescent="0.25">
      <c r="A212">
        <v>900091143</v>
      </c>
      <c r="B212" t="s">
        <v>3965</v>
      </c>
      <c r="C212" t="s">
        <v>3465</v>
      </c>
      <c r="E212" t="s">
        <v>3465</v>
      </c>
      <c r="H212" t="s">
        <v>22</v>
      </c>
      <c r="I212">
        <v>37085864</v>
      </c>
      <c r="J212" t="s">
        <v>4082</v>
      </c>
      <c r="P212" t="s">
        <v>4471</v>
      </c>
      <c r="Q212" s="15">
        <v>18900000</v>
      </c>
      <c r="R212" s="8" t="e">
        <f>SUMIFS([1]REPORTADOS!$D$2:$D$3379,[1]REPORTADOS!$C$2:$C$3379,E212)</f>
        <v>#VALUE!</v>
      </c>
      <c r="S212" s="8" t="e">
        <f t="shared" si="3"/>
        <v>#VALUE!</v>
      </c>
    </row>
    <row r="213" spans="1:19" x14ac:dyDescent="0.25">
      <c r="A213">
        <v>900091143</v>
      </c>
      <c r="B213" t="s">
        <v>3965</v>
      </c>
      <c r="C213" t="s">
        <v>3466</v>
      </c>
      <c r="E213" t="s">
        <v>3466</v>
      </c>
      <c r="H213" t="s">
        <v>22</v>
      </c>
      <c r="I213">
        <v>1085253062</v>
      </c>
      <c r="J213" t="s">
        <v>2836</v>
      </c>
      <c r="P213" t="s">
        <v>4458</v>
      </c>
      <c r="Q213" s="15">
        <v>18900000</v>
      </c>
      <c r="R213" s="8" t="e">
        <f>SUMIFS([1]REPORTADOS!$D$2:$D$3379,[1]REPORTADOS!$C$2:$C$3379,E213)</f>
        <v>#VALUE!</v>
      </c>
      <c r="S213" s="8" t="e">
        <f t="shared" si="3"/>
        <v>#VALUE!</v>
      </c>
    </row>
    <row r="214" spans="1:19" x14ac:dyDescent="0.25">
      <c r="A214">
        <v>900091143</v>
      </c>
      <c r="B214" t="s">
        <v>3965</v>
      </c>
      <c r="C214" t="s">
        <v>3467</v>
      </c>
      <c r="E214" t="s">
        <v>3467</v>
      </c>
      <c r="H214" t="s">
        <v>22</v>
      </c>
      <c r="I214">
        <v>1193271485</v>
      </c>
      <c r="J214" t="s">
        <v>4083</v>
      </c>
      <c r="P214" t="s">
        <v>4472</v>
      </c>
      <c r="Q214" s="15">
        <v>18900000</v>
      </c>
      <c r="R214" s="8" t="e">
        <f>SUMIFS([1]REPORTADOS!$D$2:$D$3379,[1]REPORTADOS!$C$2:$C$3379,E214)</f>
        <v>#VALUE!</v>
      </c>
      <c r="S214" s="8" t="e">
        <f t="shared" si="3"/>
        <v>#VALUE!</v>
      </c>
    </row>
    <row r="215" spans="1:19" x14ac:dyDescent="0.25">
      <c r="A215">
        <v>900091143</v>
      </c>
      <c r="B215" t="s">
        <v>3965</v>
      </c>
      <c r="C215" t="s">
        <v>3468</v>
      </c>
      <c r="E215" t="s">
        <v>3468</v>
      </c>
      <c r="H215" t="s">
        <v>22</v>
      </c>
      <c r="I215">
        <v>1086360087</v>
      </c>
      <c r="J215" t="s">
        <v>4084</v>
      </c>
      <c r="P215" t="s">
        <v>4473</v>
      </c>
      <c r="Q215" s="15">
        <v>18900000</v>
      </c>
      <c r="R215" s="8" t="e">
        <f>SUMIFS([1]REPORTADOS!$D$2:$D$3379,[1]REPORTADOS!$C$2:$C$3379,E215)</f>
        <v>#VALUE!</v>
      </c>
      <c r="S215" s="8" t="e">
        <f t="shared" si="3"/>
        <v>#VALUE!</v>
      </c>
    </row>
    <row r="216" spans="1:19" x14ac:dyDescent="0.25">
      <c r="A216">
        <v>900091143</v>
      </c>
      <c r="B216" t="s">
        <v>3965</v>
      </c>
      <c r="C216" t="s">
        <v>3469</v>
      </c>
      <c r="E216" t="s">
        <v>3469</v>
      </c>
      <c r="H216" t="s">
        <v>22</v>
      </c>
      <c r="I216">
        <v>1085248939</v>
      </c>
      <c r="J216" t="s">
        <v>2609</v>
      </c>
      <c r="P216" t="s">
        <v>4474</v>
      </c>
      <c r="Q216" s="15">
        <v>18900000</v>
      </c>
      <c r="R216" s="8" t="e">
        <f>SUMIFS([1]REPORTADOS!$D$2:$D$3379,[1]REPORTADOS!$C$2:$C$3379,E216)</f>
        <v>#VALUE!</v>
      </c>
      <c r="S216" s="8" t="e">
        <f t="shared" si="3"/>
        <v>#VALUE!</v>
      </c>
    </row>
    <row r="217" spans="1:19" x14ac:dyDescent="0.25">
      <c r="A217">
        <v>900091143</v>
      </c>
      <c r="B217" t="s">
        <v>3965</v>
      </c>
      <c r="C217" t="s">
        <v>3470</v>
      </c>
      <c r="E217" t="s">
        <v>3470</v>
      </c>
      <c r="H217" t="s">
        <v>22</v>
      </c>
      <c r="I217">
        <v>1005829176</v>
      </c>
      <c r="J217" t="s">
        <v>4085</v>
      </c>
      <c r="P217" t="s">
        <v>4475</v>
      </c>
      <c r="Q217" s="15">
        <v>18920000</v>
      </c>
      <c r="R217" s="8" t="e">
        <f>SUMIFS([1]REPORTADOS!$D$2:$D$3379,[1]REPORTADOS!$C$2:$C$3379,E217)</f>
        <v>#VALUE!</v>
      </c>
      <c r="S217" s="8" t="e">
        <f t="shared" si="3"/>
        <v>#VALUE!</v>
      </c>
    </row>
    <row r="218" spans="1:19" x14ac:dyDescent="0.25">
      <c r="A218">
        <v>900091143</v>
      </c>
      <c r="B218" t="s">
        <v>3965</v>
      </c>
      <c r="C218" t="s">
        <v>3471</v>
      </c>
      <c r="E218" t="s">
        <v>3471</v>
      </c>
      <c r="H218" t="s">
        <v>22</v>
      </c>
      <c r="I218">
        <v>1086137686</v>
      </c>
      <c r="J218" t="s">
        <v>4086</v>
      </c>
      <c r="P218" t="s">
        <v>4475</v>
      </c>
      <c r="Q218" s="15">
        <v>18920000</v>
      </c>
      <c r="R218" s="8" t="e">
        <f>SUMIFS([1]REPORTADOS!$D$2:$D$3379,[1]REPORTADOS!$C$2:$C$3379,E218)</f>
        <v>#VALUE!</v>
      </c>
      <c r="S218" s="8" t="e">
        <f t="shared" si="3"/>
        <v>#VALUE!</v>
      </c>
    </row>
    <row r="219" spans="1:19" x14ac:dyDescent="0.25">
      <c r="A219">
        <v>900091143</v>
      </c>
      <c r="B219" t="s">
        <v>3965</v>
      </c>
      <c r="C219" t="s">
        <v>3472</v>
      </c>
      <c r="E219" t="s">
        <v>3472</v>
      </c>
      <c r="H219" t="s">
        <v>22</v>
      </c>
      <c r="I219">
        <v>1086360022</v>
      </c>
      <c r="J219" t="s">
        <v>4087</v>
      </c>
      <c r="P219" t="s">
        <v>4475</v>
      </c>
      <c r="Q219" s="15">
        <v>18920000</v>
      </c>
      <c r="R219" s="8" t="e">
        <f>SUMIFS([1]REPORTADOS!$D$2:$D$3379,[1]REPORTADOS!$C$2:$C$3379,E219)</f>
        <v>#VALUE!</v>
      </c>
      <c r="S219" s="8" t="e">
        <f t="shared" si="3"/>
        <v>#VALUE!</v>
      </c>
    </row>
    <row r="220" spans="1:19" x14ac:dyDescent="0.25">
      <c r="A220">
        <v>900091143</v>
      </c>
      <c r="B220" t="s">
        <v>3965</v>
      </c>
      <c r="C220" t="s">
        <v>3473</v>
      </c>
      <c r="E220" t="s">
        <v>3473</v>
      </c>
      <c r="H220" t="s">
        <v>22</v>
      </c>
      <c r="I220">
        <v>1087960287</v>
      </c>
      <c r="J220" t="s">
        <v>4088</v>
      </c>
      <c r="P220" t="s">
        <v>4475</v>
      </c>
      <c r="Q220" s="15">
        <v>18920000</v>
      </c>
      <c r="R220" s="8" t="e">
        <f>SUMIFS([1]REPORTADOS!$D$2:$D$3379,[1]REPORTADOS!$C$2:$C$3379,E220)</f>
        <v>#VALUE!</v>
      </c>
      <c r="S220" s="8" t="e">
        <f t="shared" si="3"/>
        <v>#VALUE!</v>
      </c>
    </row>
    <row r="221" spans="1:19" x14ac:dyDescent="0.25">
      <c r="A221">
        <v>900091143</v>
      </c>
      <c r="B221" t="s">
        <v>3965</v>
      </c>
      <c r="C221" t="s">
        <v>3474</v>
      </c>
      <c r="E221" t="s">
        <v>3474</v>
      </c>
      <c r="H221" t="s">
        <v>22</v>
      </c>
      <c r="I221">
        <v>36756149</v>
      </c>
      <c r="J221" t="s">
        <v>4089</v>
      </c>
      <c r="P221" t="s">
        <v>4475</v>
      </c>
      <c r="Q221" s="15">
        <v>18920000</v>
      </c>
      <c r="R221" s="8" t="e">
        <f>SUMIFS([1]REPORTADOS!$D$2:$D$3379,[1]REPORTADOS!$C$2:$C$3379,E221)</f>
        <v>#VALUE!</v>
      </c>
      <c r="S221" s="8" t="e">
        <f t="shared" si="3"/>
        <v>#VALUE!</v>
      </c>
    </row>
    <row r="222" spans="1:19" x14ac:dyDescent="0.25">
      <c r="A222">
        <v>900091143</v>
      </c>
      <c r="B222" t="s">
        <v>3965</v>
      </c>
      <c r="C222" t="s">
        <v>3475</v>
      </c>
      <c r="E222" t="s">
        <v>3475</v>
      </c>
      <c r="H222" t="s">
        <v>22</v>
      </c>
      <c r="I222">
        <v>36950073</v>
      </c>
      <c r="J222" t="s">
        <v>2482</v>
      </c>
      <c r="P222" t="s">
        <v>4475</v>
      </c>
      <c r="Q222" s="15">
        <v>18920000</v>
      </c>
      <c r="R222" s="8" t="e">
        <f>SUMIFS([1]REPORTADOS!$D$2:$D$3379,[1]REPORTADOS!$C$2:$C$3379,E222)</f>
        <v>#VALUE!</v>
      </c>
      <c r="S222" s="8" t="e">
        <f t="shared" si="3"/>
        <v>#VALUE!</v>
      </c>
    </row>
    <row r="223" spans="1:19" x14ac:dyDescent="0.25">
      <c r="A223">
        <v>900091143</v>
      </c>
      <c r="B223" t="s">
        <v>3965</v>
      </c>
      <c r="C223" t="s">
        <v>3476</v>
      </c>
      <c r="E223" t="s">
        <v>3476</v>
      </c>
      <c r="H223" t="s">
        <v>22</v>
      </c>
      <c r="I223">
        <v>1085343783</v>
      </c>
      <c r="J223" t="s">
        <v>1648</v>
      </c>
      <c r="P223" t="s">
        <v>4476</v>
      </c>
      <c r="Q223" s="15">
        <v>18920000</v>
      </c>
      <c r="R223" s="8" t="e">
        <f>SUMIFS([1]REPORTADOS!$D$2:$D$3379,[1]REPORTADOS!$C$2:$C$3379,E223)</f>
        <v>#VALUE!</v>
      </c>
      <c r="S223" s="8" t="e">
        <f t="shared" si="3"/>
        <v>#VALUE!</v>
      </c>
    </row>
    <row r="224" spans="1:19" x14ac:dyDescent="0.25">
      <c r="A224">
        <v>900091143</v>
      </c>
      <c r="B224" t="s">
        <v>3965</v>
      </c>
      <c r="C224" t="s">
        <v>3477</v>
      </c>
      <c r="E224" t="s">
        <v>3477</v>
      </c>
      <c r="H224" t="s">
        <v>22</v>
      </c>
      <c r="I224">
        <v>1085318201</v>
      </c>
      <c r="J224" t="s">
        <v>2189</v>
      </c>
      <c r="P224" t="s">
        <v>4447</v>
      </c>
      <c r="Q224" s="15">
        <v>18920000</v>
      </c>
      <c r="R224" s="8" t="e">
        <f>SUMIFS([1]REPORTADOS!$D$2:$D$3379,[1]REPORTADOS!$C$2:$C$3379,E224)</f>
        <v>#VALUE!</v>
      </c>
      <c r="S224" s="8" t="e">
        <f t="shared" si="3"/>
        <v>#VALUE!</v>
      </c>
    </row>
    <row r="225" spans="1:19" x14ac:dyDescent="0.25">
      <c r="A225">
        <v>900091143</v>
      </c>
      <c r="B225" t="s">
        <v>3965</v>
      </c>
      <c r="C225" t="s">
        <v>3478</v>
      </c>
      <c r="E225" t="s">
        <v>3478</v>
      </c>
      <c r="H225" t="s">
        <v>22</v>
      </c>
      <c r="I225">
        <v>1085318684</v>
      </c>
      <c r="J225" t="s">
        <v>2138</v>
      </c>
      <c r="P225" t="s">
        <v>4447</v>
      </c>
      <c r="Q225" s="15">
        <v>18920000</v>
      </c>
      <c r="R225" s="8" t="e">
        <f>SUMIFS([1]REPORTADOS!$D$2:$D$3379,[1]REPORTADOS!$C$2:$C$3379,E225)</f>
        <v>#VALUE!</v>
      </c>
      <c r="S225" s="8" t="e">
        <f t="shared" si="3"/>
        <v>#VALUE!</v>
      </c>
    </row>
    <row r="226" spans="1:19" x14ac:dyDescent="0.25">
      <c r="A226">
        <v>900091143</v>
      </c>
      <c r="B226" t="s">
        <v>3965</v>
      </c>
      <c r="C226" t="s">
        <v>3479</v>
      </c>
      <c r="E226" t="s">
        <v>3479</v>
      </c>
      <c r="H226" t="s">
        <v>22</v>
      </c>
      <c r="I226">
        <v>27087475</v>
      </c>
      <c r="J226" t="s">
        <v>1813</v>
      </c>
      <c r="P226" t="s">
        <v>4477</v>
      </c>
      <c r="Q226" s="15">
        <v>18920000</v>
      </c>
      <c r="R226" s="8" t="e">
        <f>SUMIFS([1]REPORTADOS!$D$2:$D$3379,[1]REPORTADOS!$C$2:$C$3379,E226)</f>
        <v>#VALUE!</v>
      </c>
      <c r="S226" s="8" t="e">
        <f t="shared" si="3"/>
        <v>#VALUE!</v>
      </c>
    </row>
    <row r="227" spans="1:19" x14ac:dyDescent="0.25">
      <c r="A227">
        <v>900091143</v>
      </c>
      <c r="B227" t="s">
        <v>3965</v>
      </c>
      <c r="C227" t="s">
        <v>3480</v>
      </c>
      <c r="E227" t="s">
        <v>3480</v>
      </c>
      <c r="H227" t="s">
        <v>22</v>
      </c>
      <c r="I227">
        <v>1085264667</v>
      </c>
      <c r="J227" t="s">
        <v>4090</v>
      </c>
      <c r="P227" t="s">
        <v>4459</v>
      </c>
      <c r="Q227" s="15">
        <v>18920000</v>
      </c>
      <c r="R227" s="8" t="e">
        <f>SUMIFS([1]REPORTADOS!$D$2:$D$3379,[1]REPORTADOS!$C$2:$C$3379,E227)</f>
        <v>#VALUE!</v>
      </c>
      <c r="S227" s="8" t="e">
        <f t="shared" si="3"/>
        <v>#VALUE!</v>
      </c>
    </row>
    <row r="228" spans="1:19" x14ac:dyDescent="0.25">
      <c r="A228">
        <v>900091143</v>
      </c>
      <c r="B228" t="s">
        <v>3965</v>
      </c>
      <c r="C228" t="s">
        <v>3481</v>
      </c>
      <c r="E228" t="s">
        <v>3481</v>
      </c>
      <c r="H228" t="s">
        <v>22</v>
      </c>
      <c r="I228">
        <v>1193424771</v>
      </c>
      <c r="J228" t="s">
        <v>4091</v>
      </c>
      <c r="P228" t="s">
        <v>4478</v>
      </c>
      <c r="Q228" s="15">
        <v>18920000</v>
      </c>
      <c r="R228" s="8" t="e">
        <f>SUMIFS([1]REPORTADOS!$D$2:$D$3379,[1]REPORTADOS!$C$2:$C$3379,E228)</f>
        <v>#VALUE!</v>
      </c>
      <c r="S228" s="8" t="e">
        <f t="shared" si="3"/>
        <v>#VALUE!</v>
      </c>
    </row>
    <row r="229" spans="1:19" x14ac:dyDescent="0.25">
      <c r="A229">
        <v>900091143</v>
      </c>
      <c r="B229" t="s">
        <v>3965</v>
      </c>
      <c r="C229" t="s">
        <v>3482</v>
      </c>
      <c r="E229" t="s">
        <v>3482</v>
      </c>
      <c r="H229" t="s">
        <v>22</v>
      </c>
      <c r="I229">
        <v>59651018</v>
      </c>
      <c r="J229" t="s">
        <v>4092</v>
      </c>
      <c r="P229" t="s">
        <v>4463</v>
      </c>
      <c r="Q229" s="15">
        <v>18920000</v>
      </c>
      <c r="R229" s="8" t="e">
        <f>SUMIFS([1]REPORTADOS!$D$2:$D$3379,[1]REPORTADOS!$C$2:$C$3379,E229)</f>
        <v>#VALUE!</v>
      </c>
      <c r="S229" s="8" t="e">
        <f t="shared" si="3"/>
        <v>#VALUE!</v>
      </c>
    </row>
    <row r="230" spans="1:19" x14ac:dyDescent="0.25">
      <c r="A230">
        <v>900091143</v>
      </c>
      <c r="B230" t="s">
        <v>3965</v>
      </c>
      <c r="C230" t="s">
        <v>3483</v>
      </c>
      <c r="E230" t="s">
        <v>3483</v>
      </c>
      <c r="H230" t="s">
        <v>22</v>
      </c>
      <c r="I230">
        <v>1087414586</v>
      </c>
      <c r="J230" t="s">
        <v>4093</v>
      </c>
      <c r="P230" t="s">
        <v>4479</v>
      </c>
      <c r="Q230" s="15">
        <v>18920000</v>
      </c>
      <c r="R230" s="8" t="e">
        <f>SUMIFS([1]REPORTADOS!$D$2:$D$3379,[1]REPORTADOS!$C$2:$C$3379,E230)</f>
        <v>#VALUE!</v>
      </c>
      <c r="S230" s="8" t="e">
        <f t="shared" si="3"/>
        <v>#VALUE!</v>
      </c>
    </row>
    <row r="231" spans="1:19" x14ac:dyDescent="0.25">
      <c r="A231">
        <v>900091143</v>
      </c>
      <c r="B231" t="s">
        <v>3965</v>
      </c>
      <c r="C231" t="s">
        <v>3484</v>
      </c>
      <c r="E231" t="s">
        <v>3484</v>
      </c>
      <c r="H231" t="s">
        <v>22</v>
      </c>
      <c r="I231">
        <v>1085263018</v>
      </c>
      <c r="J231" t="s">
        <v>2128</v>
      </c>
      <c r="P231" t="s">
        <v>4479</v>
      </c>
      <c r="Q231" s="15">
        <v>18920000</v>
      </c>
      <c r="R231" s="8" t="e">
        <f>SUMIFS([1]REPORTADOS!$D$2:$D$3379,[1]REPORTADOS!$C$2:$C$3379,E231)</f>
        <v>#VALUE!</v>
      </c>
      <c r="S231" s="8" t="e">
        <f t="shared" si="3"/>
        <v>#VALUE!</v>
      </c>
    </row>
    <row r="232" spans="1:19" x14ac:dyDescent="0.25">
      <c r="A232">
        <v>900091143</v>
      </c>
      <c r="B232" t="s">
        <v>3965</v>
      </c>
      <c r="C232" t="s">
        <v>3485</v>
      </c>
      <c r="E232" t="s">
        <v>3485</v>
      </c>
      <c r="H232" t="s">
        <v>22</v>
      </c>
      <c r="I232">
        <v>36757491</v>
      </c>
      <c r="J232" t="s">
        <v>4094</v>
      </c>
      <c r="P232" t="s">
        <v>4479</v>
      </c>
      <c r="Q232" s="15">
        <v>18920000</v>
      </c>
      <c r="R232" s="8" t="e">
        <f>SUMIFS([1]REPORTADOS!$D$2:$D$3379,[1]REPORTADOS!$C$2:$C$3379,E232)</f>
        <v>#VALUE!</v>
      </c>
      <c r="S232" s="8" t="e">
        <f t="shared" si="3"/>
        <v>#VALUE!</v>
      </c>
    </row>
    <row r="233" spans="1:19" x14ac:dyDescent="0.25">
      <c r="A233">
        <v>900091143</v>
      </c>
      <c r="B233" t="s">
        <v>3965</v>
      </c>
      <c r="C233" t="s">
        <v>3486</v>
      </c>
      <c r="E233" t="s">
        <v>3486</v>
      </c>
      <c r="H233" t="s">
        <v>22</v>
      </c>
      <c r="I233">
        <v>1085260497</v>
      </c>
      <c r="J233" t="s">
        <v>2121</v>
      </c>
      <c r="P233" t="s">
        <v>4479</v>
      </c>
      <c r="Q233" s="15">
        <v>18920000</v>
      </c>
      <c r="R233" s="8" t="e">
        <f>SUMIFS([1]REPORTADOS!$D$2:$D$3379,[1]REPORTADOS!$C$2:$C$3379,E233)</f>
        <v>#VALUE!</v>
      </c>
      <c r="S233" s="8" t="e">
        <f t="shared" si="3"/>
        <v>#VALUE!</v>
      </c>
    </row>
    <row r="234" spans="1:19" x14ac:dyDescent="0.25">
      <c r="A234">
        <v>900091143</v>
      </c>
      <c r="B234" t="s">
        <v>3965</v>
      </c>
      <c r="C234" t="s">
        <v>3487</v>
      </c>
      <c r="E234" t="s">
        <v>3487</v>
      </c>
      <c r="H234" t="s">
        <v>22</v>
      </c>
      <c r="I234">
        <v>1082749648</v>
      </c>
      <c r="J234" t="s">
        <v>4095</v>
      </c>
      <c r="P234" t="s">
        <v>4479</v>
      </c>
      <c r="Q234" s="15">
        <v>18920000</v>
      </c>
      <c r="R234" s="8" t="e">
        <f>SUMIFS([1]REPORTADOS!$D$2:$D$3379,[1]REPORTADOS!$C$2:$C$3379,E234)</f>
        <v>#VALUE!</v>
      </c>
      <c r="S234" s="8" t="e">
        <f t="shared" si="3"/>
        <v>#VALUE!</v>
      </c>
    </row>
    <row r="235" spans="1:19" x14ac:dyDescent="0.25">
      <c r="A235">
        <v>900091143</v>
      </c>
      <c r="B235" t="s">
        <v>3965</v>
      </c>
      <c r="C235" t="s">
        <v>3488</v>
      </c>
      <c r="E235" t="s">
        <v>3488</v>
      </c>
      <c r="H235" t="s">
        <v>22</v>
      </c>
      <c r="I235">
        <v>36759759</v>
      </c>
      <c r="J235" t="s">
        <v>1708</v>
      </c>
      <c r="P235" t="s">
        <v>4479</v>
      </c>
      <c r="Q235" s="15">
        <v>18920000</v>
      </c>
      <c r="R235" s="8" t="e">
        <f>SUMIFS([1]REPORTADOS!$D$2:$D$3379,[1]REPORTADOS!$C$2:$C$3379,E235)</f>
        <v>#VALUE!</v>
      </c>
      <c r="S235" s="8" t="e">
        <f t="shared" si="3"/>
        <v>#VALUE!</v>
      </c>
    </row>
    <row r="236" spans="1:19" x14ac:dyDescent="0.25">
      <c r="A236">
        <v>900091143</v>
      </c>
      <c r="B236" t="s">
        <v>3965</v>
      </c>
      <c r="C236" t="s">
        <v>3489</v>
      </c>
      <c r="E236" t="s">
        <v>3489</v>
      </c>
      <c r="H236" t="s">
        <v>22</v>
      </c>
      <c r="I236">
        <v>1084227101</v>
      </c>
      <c r="J236" t="s">
        <v>4096</v>
      </c>
      <c r="P236" t="s">
        <v>4480</v>
      </c>
      <c r="Q236" s="15">
        <v>18920000</v>
      </c>
      <c r="R236" s="8" t="e">
        <f>SUMIFS([1]REPORTADOS!$D$2:$D$3379,[1]REPORTADOS!$C$2:$C$3379,E236)</f>
        <v>#VALUE!</v>
      </c>
      <c r="S236" s="8" t="e">
        <f t="shared" si="3"/>
        <v>#VALUE!</v>
      </c>
    </row>
    <row r="237" spans="1:19" x14ac:dyDescent="0.25">
      <c r="A237">
        <v>900091143</v>
      </c>
      <c r="B237" t="s">
        <v>3965</v>
      </c>
      <c r="C237" t="s">
        <v>3490</v>
      </c>
      <c r="E237" t="s">
        <v>3490</v>
      </c>
      <c r="H237" t="s">
        <v>22</v>
      </c>
      <c r="I237">
        <v>59824313</v>
      </c>
      <c r="J237" t="s">
        <v>2096</v>
      </c>
      <c r="P237" t="s">
        <v>4481</v>
      </c>
      <c r="Q237" s="15">
        <v>18920000</v>
      </c>
      <c r="R237" s="8" t="e">
        <f>SUMIFS([1]REPORTADOS!$D$2:$D$3379,[1]REPORTADOS!$C$2:$C$3379,E237)</f>
        <v>#VALUE!</v>
      </c>
      <c r="S237" s="8" t="e">
        <f t="shared" si="3"/>
        <v>#VALUE!</v>
      </c>
    </row>
    <row r="238" spans="1:19" x14ac:dyDescent="0.25">
      <c r="A238">
        <v>900091143</v>
      </c>
      <c r="B238" t="s">
        <v>3965</v>
      </c>
      <c r="C238" t="s">
        <v>3491</v>
      </c>
      <c r="E238" t="s">
        <v>3491</v>
      </c>
      <c r="H238" t="s">
        <v>22</v>
      </c>
      <c r="I238">
        <v>5930737</v>
      </c>
      <c r="J238" t="s">
        <v>2536</v>
      </c>
      <c r="P238" t="s">
        <v>4403</v>
      </c>
      <c r="Q238" s="8">
        <v>9450000</v>
      </c>
      <c r="R238" s="8" t="e">
        <f>SUMIFS([1]REPORTADOS!$D$2:$D$3379,[1]REPORTADOS!$C$2:$C$3379,E238)</f>
        <v>#VALUE!</v>
      </c>
      <c r="S238" s="8" t="e">
        <f t="shared" si="3"/>
        <v>#VALUE!</v>
      </c>
    </row>
    <row r="239" spans="1:19" x14ac:dyDescent="0.25">
      <c r="A239">
        <v>900091143</v>
      </c>
      <c r="B239" t="s">
        <v>3965</v>
      </c>
      <c r="C239" t="s">
        <v>3492</v>
      </c>
      <c r="E239" t="s">
        <v>3492</v>
      </c>
      <c r="H239" t="s">
        <v>22</v>
      </c>
      <c r="I239">
        <v>1085330309</v>
      </c>
      <c r="J239" t="s">
        <v>1636</v>
      </c>
      <c r="P239" t="s">
        <v>4459</v>
      </c>
      <c r="Q239" s="15">
        <v>18920000</v>
      </c>
      <c r="R239" s="8" t="e">
        <f>SUMIFS([1]REPORTADOS!$D$2:$D$3379,[1]REPORTADOS!$C$2:$C$3379,E239)</f>
        <v>#VALUE!</v>
      </c>
      <c r="S239" s="8" t="e">
        <f t="shared" si="3"/>
        <v>#VALUE!</v>
      </c>
    </row>
    <row r="240" spans="1:19" x14ac:dyDescent="0.25">
      <c r="A240">
        <v>900091143</v>
      </c>
      <c r="B240" t="s">
        <v>3965</v>
      </c>
      <c r="C240" t="s">
        <v>3493</v>
      </c>
      <c r="E240" t="s">
        <v>3493</v>
      </c>
      <c r="H240" t="s">
        <v>22</v>
      </c>
      <c r="I240">
        <v>1087413951</v>
      </c>
      <c r="J240" t="s">
        <v>2123</v>
      </c>
      <c r="P240" t="s">
        <v>4482</v>
      </c>
      <c r="Q240" s="15">
        <v>18920000</v>
      </c>
      <c r="R240" s="8" t="e">
        <f>SUMIFS([1]REPORTADOS!$D$2:$D$3379,[1]REPORTADOS!$C$2:$C$3379,E240)</f>
        <v>#VALUE!</v>
      </c>
      <c r="S240" s="8" t="e">
        <f t="shared" si="3"/>
        <v>#VALUE!</v>
      </c>
    </row>
    <row r="241" spans="1:19" x14ac:dyDescent="0.25">
      <c r="A241">
        <v>900091143</v>
      </c>
      <c r="B241" t="s">
        <v>3965</v>
      </c>
      <c r="C241" t="s">
        <v>3494</v>
      </c>
      <c r="E241" t="s">
        <v>3494</v>
      </c>
      <c r="H241" t="s">
        <v>22</v>
      </c>
      <c r="I241">
        <v>1085340885</v>
      </c>
      <c r="J241" t="s">
        <v>4097</v>
      </c>
      <c r="P241" t="s">
        <v>4483</v>
      </c>
      <c r="Q241" s="15">
        <v>18920000</v>
      </c>
      <c r="R241" s="8" t="e">
        <f>SUMIFS([1]REPORTADOS!$D$2:$D$3379,[1]REPORTADOS!$C$2:$C$3379,E241)</f>
        <v>#VALUE!</v>
      </c>
      <c r="S241" s="8" t="e">
        <f t="shared" si="3"/>
        <v>#VALUE!</v>
      </c>
    </row>
    <row r="242" spans="1:19" x14ac:dyDescent="0.25">
      <c r="A242">
        <v>900091143</v>
      </c>
      <c r="B242" t="s">
        <v>3965</v>
      </c>
      <c r="C242" t="s">
        <v>3495</v>
      </c>
      <c r="E242" t="s">
        <v>3495</v>
      </c>
      <c r="H242" t="s">
        <v>22</v>
      </c>
      <c r="I242">
        <v>1193383306</v>
      </c>
      <c r="J242" t="s">
        <v>2230</v>
      </c>
      <c r="P242" t="s">
        <v>4484</v>
      </c>
      <c r="Q242" s="15">
        <v>18920000</v>
      </c>
      <c r="R242" s="8" t="e">
        <f>SUMIFS([1]REPORTADOS!$D$2:$D$3379,[1]REPORTADOS!$C$2:$C$3379,E242)</f>
        <v>#VALUE!</v>
      </c>
      <c r="S242" s="8" t="e">
        <f t="shared" si="3"/>
        <v>#VALUE!</v>
      </c>
    </row>
    <row r="243" spans="1:19" x14ac:dyDescent="0.25">
      <c r="A243">
        <v>900091143</v>
      </c>
      <c r="B243" t="s">
        <v>3965</v>
      </c>
      <c r="C243" t="s">
        <v>3496</v>
      </c>
      <c r="E243" t="s">
        <v>3496</v>
      </c>
      <c r="H243" t="s">
        <v>22</v>
      </c>
      <c r="I243">
        <v>1061794455</v>
      </c>
      <c r="J243" t="s">
        <v>4098</v>
      </c>
      <c r="P243" t="s">
        <v>4485</v>
      </c>
      <c r="Q243" s="15">
        <v>19500000</v>
      </c>
      <c r="R243" s="8" t="e">
        <f>SUMIFS([1]REPORTADOS!$D$2:$D$3379,[1]REPORTADOS!$C$2:$C$3379,E243)</f>
        <v>#VALUE!</v>
      </c>
      <c r="S243" s="8" t="e">
        <f t="shared" si="3"/>
        <v>#VALUE!</v>
      </c>
    </row>
    <row r="244" spans="1:19" x14ac:dyDescent="0.25">
      <c r="A244">
        <v>900091143</v>
      </c>
      <c r="B244" t="s">
        <v>3965</v>
      </c>
      <c r="C244" t="s">
        <v>3497</v>
      </c>
      <c r="E244" t="s">
        <v>3497</v>
      </c>
      <c r="H244" t="s">
        <v>22</v>
      </c>
      <c r="I244">
        <v>98398376</v>
      </c>
      <c r="J244" t="s">
        <v>4099</v>
      </c>
      <c r="P244" t="s">
        <v>4486</v>
      </c>
      <c r="Q244" s="15">
        <v>19500000</v>
      </c>
      <c r="R244" s="8" t="e">
        <f>SUMIFS([1]REPORTADOS!$D$2:$D$3379,[1]REPORTADOS!$C$2:$C$3379,E244)</f>
        <v>#VALUE!</v>
      </c>
      <c r="S244" s="8" t="e">
        <f t="shared" si="3"/>
        <v>#VALUE!</v>
      </c>
    </row>
    <row r="245" spans="1:19" x14ac:dyDescent="0.25">
      <c r="A245">
        <v>900091143</v>
      </c>
      <c r="B245" t="s">
        <v>3965</v>
      </c>
      <c r="C245" t="s">
        <v>3498</v>
      </c>
      <c r="E245" t="s">
        <v>3498</v>
      </c>
      <c r="H245" t="s">
        <v>22</v>
      </c>
      <c r="I245">
        <v>87065647</v>
      </c>
      <c r="J245" t="s">
        <v>2134</v>
      </c>
      <c r="P245" t="s">
        <v>4487</v>
      </c>
      <c r="Q245" s="15">
        <v>19500000</v>
      </c>
      <c r="R245" s="8" t="e">
        <f>SUMIFS([1]REPORTADOS!$D$2:$D$3379,[1]REPORTADOS!$C$2:$C$3379,E245)</f>
        <v>#VALUE!</v>
      </c>
      <c r="S245" s="8" t="e">
        <f t="shared" si="3"/>
        <v>#VALUE!</v>
      </c>
    </row>
    <row r="246" spans="1:19" x14ac:dyDescent="0.25">
      <c r="A246">
        <v>900091143</v>
      </c>
      <c r="B246" t="s">
        <v>3965</v>
      </c>
      <c r="C246" t="s">
        <v>3499</v>
      </c>
      <c r="E246" t="s">
        <v>3499</v>
      </c>
      <c r="H246" t="s">
        <v>22</v>
      </c>
      <c r="I246">
        <v>27456421</v>
      </c>
      <c r="J246" t="s">
        <v>4100</v>
      </c>
      <c r="P246" t="s">
        <v>4469</v>
      </c>
      <c r="Q246" s="15">
        <v>22050000</v>
      </c>
      <c r="R246" s="8" t="e">
        <f>SUMIFS([1]REPORTADOS!$D$2:$D$3379,[1]REPORTADOS!$C$2:$C$3379,E246)</f>
        <v>#VALUE!</v>
      </c>
      <c r="S246" s="8" t="e">
        <f t="shared" si="3"/>
        <v>#VALUE!</v>
      </c>
    </row>
    <row r="247" spans="1:19" x14ac:dyDescent="0.25">
      <c r="A247">
        <v>900091143</v>
      </c>
      <c r="B247" t="s">
        <v>3965</v>
      </c>
      <c r="C247" t="s">
        <v>3500</v>
      </c>
      <c r="E247" t="s">
        <v>3500</v>
      </c>
      <c r="H247" t="s">
        <v>22</v>
      </c>
      <c r="I247">
        <v>59314458</v>
      </c>
      <c r="J247" t="s">
        <v>1705</v>
      </c>
      <c r="P247" t="s">
        <v>4488</v>
      </c>
      <c r="Q247" s="15">
        <v>22050000</v>
      </c>
      <c r="R247" s="8" t="e">
        <f>SUMIFS([1]REPORTADOS!$D$2:$D$3379,[1]REPORTADOS!$C$2:$C$3379,E247)</f>
        <v>#VALUE!</v>
      </c>
      <c r="S247" s="8" t="e">
        <f t="shared" si="3"/>
        <v>#VALUE!</v>
      </c>
    </row>
    <row r="248" spans="1:19" x14ac:dyDescent="0.25">
      <c r="A248">
        <v>900091143</v>
      </c>
      <c r="B248" t="s">
        <v>3965</v>
      </c>
      <c r="C248" t="s">
        <v>3501</v>
      </c>
      <c r="E248" t="s">
        <v>3501</v>
      </c>
      <c r="H248" t="s">
        <v>22</v>
      </c>
      <c r="I248">
        <v>1193383314</v>
      </c>
      <c r="J248" t="s">
        <v>4101</v>
      </c>
      <c r="P248" t="s">
        <v>4489</v>
      </c>
      <c r="Q248" s="15">
        <v>22050000</v>
      </c>
      <c r="R248" s="8" t="e">
        <f>SUMIFS([1]REPORTADOS!$D$2:$D$3379,[1]REPORTADOS!$C$2:$C$3379,E248)</f>
        <v>#VALUE!</v>
      </c>
      <c r="S248" s="8" t="e">
        <f t="shared" si="3"/>
        <v>#VALUE!</v>
      </c>
    </row>
    <row r="249" spans="1:19" x14ac:dyDescent="0.25">
      <c r="A249">
        <v>900091143</v>
      </c>
      <c r="B249" t="s">
        <v>3965</v>
      </c>
      <c r="C249" t="s">
        <v>3502</v>
      </c>
      <c r="E249" t="s">
        <v>3502</v>
      </c>
      <c r="H249" t="s">
        <v>22</v>
      </c>
      <c r="I249">
        <v>59837608</v>
      </c>
      <c r="J249" t="s">
        <v>1810</v>
      </c>
      <c r="P249" t="s">
        <v>4490</v>
      </c>
      <c r="Q249" s="15">
        <v>22050000</v>
      </c>
      <c r="R249" s="8" t="e">
        <f>SUMIFS([1]REPORTADOS!$D$2:$D$3379,[1]REPORTADOS!$C$2:$C$3379,E249)</f>
        <v>#VALUE!</v>
      </c>
      <c r="S249" s="8" t="e">
        <f t="shared" si="3"/>
        <v>#VALUE!</v>
      </c>
    </row>
    <row r="250" spans="1:19" x14ac:dyDescent="0.25">
      <c r="A250">
        <v>900091143</v>
      </c>
      <c r="B250" t="s">
        <v>3965</v>
      </c>
      <c r="C250" t="s">
        <v>3503</v>
      </c>
      <c r="E250" t="s">
        <v>3503</v>
      </c>
      <c r="H250" t="s">
        <v>22</v>
      </c>
      <c r="I250">
        <v>1004564013</v>
      </c>
      <c r="J250" t="s">
        <v>4102</v>
      </c>
      <c r="P250" t="s">
        <v>4491</v>
      </c>
      <c r="Q250" s="15">
        <v>22050000</v>
      </c>
      <c r="R250" s="8" t="e">
        <f>SUMIFS([1]REPORTADOS!$D$2:$D$3379,[1]REPORTADOS!$C$2:$C$3379,E250)</f>
        <v>#VALUE!</v>
      </c>
      <c r="S250" s="8" t="e">
        <f t="shared" si="3"/>
        <v>#VALUE!</v>
      </c>
    </row>
    <row r="251" spans="1:19" x14ac:dyDescent="0.25">
      <c r="A251">
        <v>900091143</v>
      </c>
      <c r="B251" t="s">
        <v>3965</v>
      </c>
      <c r="C251" t="s">
        <v>3504</v>
      </c>
      <c r="E251" t="s">
        <v>3504</v>
      </c>
      <c r="H251" t="s">
        <v>22</v>
      </c>
      <c r="I251">
        <v>1085275879</v>
      </c>
      <c r="J251" t="s">
        <v>1906</v>
      </c>
      <c r="P251" t="s">
        <v>4492</v>
      </c>
      <c r="Q251" s="15">
        <v>22050000</v>
      </c>
      <c r="R251" s="8" t="e">
        <f>SUMIFS([1]REPORTADOS!$D$2:$D$3379,[1]REPORTADOS!$C$2:$C$3379,E251)</f>
        <v>#VALUE!</v>
      </c>
      <c r="S251" s="8" t="e">
        <f t="shared" si="3"/>
        <v>#VALUE!</v>
      </c>
    </row>
    <row r="252" spans="1:19" x14ac:dyDescent="0.25">
      <c r="A252">
        <v>900091143</v>
      </c>
      <c r="B252" t="s">
        <v>3965</v>
      </c>
      <c r="C252" t="s">
        <v>3505</v>
      </c>
      <c r="E252" t="s">
        <v>3505</v>
      </c>
      <c r="H252" t="s">
        <v>22</v>
      </c>
      <c r="I252">
        <v>1123327071</v>
      </c>
      <c r="J252" t="s">
        <v>4103</v>
      </c>
      <c r="P252" t="s">
        <v>4465</v>
      </c>
      <c r="Q252" s="15">
        <v>23400000</v>
      </c>
      <c r="R252" s="8" t="e">
        <f>SUMIFS([1]REPORTADOS!$D$2:$D$3379,[1]REPORTADOS!$C$2:$C$3379,E252)</f>
        <v>#VALUE!</v>
      </c>
      <c r="S252" s="8" t="e">
        <f t="shared" si="3"/>
        <v>#VALUE!</v>
      </c>
    </row>
    <row r="253" spans="1:19" x14ac:dyDescent="0.25">
      <c r="A253">
        <v>900091143</v>
      </c>
      <c r="B253" t="s">
        <v>3965</v>
      </c>
      <c r="C253" t="s">
        <v>3506</v>
      </c>
      <c r="E253" t="s">
        <v>3506</v>
      </c>
      <c r="H253" t="s">
        <v>22</v>
      </c>
      <c r="I253">
        <v>12961407</v>
      </c>
      <c r="J253" t="s">
        <v>2110</v>
      </c>
      <c r="P253" t="s">
        <v>4493</v>
      </c>
      <c r="Q253" s="15">
        <v>23400000</v>
      </c>
      <c r="R253" s="8" t="e">
        <f>SUMIFS([1]REPORTADOS!$D$2:$D$3379,[1]REPORTADOS!$C$2:$C$3379,E253)</f>
        <v>#VALUE!</v>
      </c>
      <c r="S253" s="8" t="e">
        <f t="shared" si="3"/>
        <v>#VALUE!</v>
      </c>
    </row>
    <row r="254" spans="1:19" x14ac:dyDescent="0.25">
      <c r="A254">
        <v>900091143</v>
      </c>
      <c r="B254" t="s">
        <v>3965</v>
      </c>
      <c r="C254" t="s">
        <v>3507</v>
      </c>
      <c r="E254" t="s">
        <v>3507</v>
      </c>
      <c r="H254" t="s">
        <v>22</v>
      </c>
      <c r="I254">
        <v>59313415</v>
      </c>
      <c r="J254" t="s">
        <v>4104</v>
      </c>
      <c r="P254" t="s">
        <v>4494</v>
      </c>
      <c r="Q254" s="15">
        <v>23400000</v>
      </c>
      <c r="R254" s="8" t="e">
        <f>SUMIFS([1]REPORTADOS!$D$2:$D$3379,[1]REPORTADOS!$C$2:$C$3379,E254)</f>
        <v>#VALUE!</v>
      </c>
      <c r="S254" s="8" t="e">
        <f t="shared" si="3"/>
        <v>#VALUE!</v>
      </c>
    </row>
    <row r="255" spans="1:19" x14ac:dyDescent="0.25">
      <c r="A255">
        <v>900091143</v>
      </c>
      <c r="B255" t="s">
        <v>3965</v>
      </c>
      <c r="C255" t="s">
        <v>3508</v>
      </c>
      <c r="E255" t="s">
        <v>3508</v>
      </c>
      <c r="H255" t="s">
        <v>22</v>
      </c>
      <c r="I255">
        <v>59825948</v>
      </c>
      <c r="J255" t="s">
        <v>1756</v>
      </c>
      <c r="P255" t="s">
        <v>4452</v>
      </c>
      <c r="Q255" s="15">
        <v>25200000</v>
      </c>
      <c r="R255" s="8" t="e">
        <f>SUMIFS([1]REPORTADOS!$D$2:$D$3379,[1]REPORTADOS!$C$2:$C$3379,E255)</f>
        <v>#VALUE!</v>
      </c>
      <c r="S255" s="8" t="e">
        <f t="shared" si="3"/>
        <v>#VALUE!</v>
      </c>
    </row>
    <row r="256" spans="1:19" x14ac:dyDescent="0.25">
      <c r="A256">
        <v>900091143</v>
      </c>
      <c r="B256" t="s">
        <v>3965</v>
      </c>
      <c r="C256" t="s">
        <v>3509</v>
      </c>
      <c r="E256" t="s">
        <v>3509</v>
      </c>
      <c r="H256" t="s">
        <v>22</v>
      </c>
      <c r="I256">
        <v>1085347312</v>
      </c>
      <c r="J256" t="s">
        <v>4105</v>
      </c>
      <c r="P256" t="s">
        <v>4452</v>
      </c>
      <c r="Q256" s="15">
        <v>25200000</v>
      </c>
      <c r="R256" s="8" t="e">
        <f>SUMIFS([1]REPORTADOS!$D$2:$D$3379,[1]REPORTADOS!$C$2:$C$3379,E256)</f>
        <v>#VALUE!</v>
      </c>
      <c r="S256" s="8" t="e">
        <f t="shared" si="3"/>
        <v>#VALUE!</v>
      </c>
    </row>
    <row r="257" spans="1:19" x14ac:dyDescent="0.25">
      <c r="A257">
        <v>900091143</v>
      </c>
      <c r="B257" t="s">
        <v>3965</v>
      </c>
      <c r="C257" t="s">
        <v>3510</v>
      </c>
      <c r="E257" t="s">
        <v>3510</v>
      </c>
      <c r="H257" t="s">
        <v>22</v>
      </c>
      <c r="I257">
        <v>1084551863</v>
      </c>
      <c r="J257" t="s">
        <v>4106</v>
      </c>
      <c r="P257" t="s">
        <v>4452</v>
      </c>
      <c r="Q257" s="15">
        <v>25200000</v>
      </c>
      <c r="R257" s="8" t="e">
        <f>SUMIFS([1]REPORTADOS!$D$2:$D$3379,[1]REPORTADOS!$C$2:$C$3379,E257)</f>
        <v>#VALUE!</v>
      </c>
      <c r="S257" s="8" t="e">
        <f t="shared" si="3"/>
        <v>#VALUE!</v>
      </c>
    </row>
    <row r="258" spans="1:19" x14ac:dyDescent="0.25">
      <c r="A258">
        <v>900091143</v>
      </c>
      <c r="B258" t="s">
        <v>3965</v>
      </c>
      <c r="C258" t="s">
        <v>3511</v>
      </c>
      <c r="E258" t="s">
        <v>3511</v>
      </c>
      <c r="H258" t="s">
        <v>22</v>
      </c>
      <c r="I258">
        <v>97470681</v>
      </c>
      <c r="J258" t="s">
        <v>1883</v>
      </c>
      <c r="P258" t="s">
        <v>4452</v>
      </c>
      <c r="Q258" s="15">
        <v>25200000</v>
      </c>
      <c r="R258" s="8" t="e">
        <f>SUMIFS([1]REPORTADOS!$D$2:$D$3379,[1]REPORTADOS!$C$2:$C$3379,E258)</f>
        <v>#VALUE!</v>
      </c>
      <c r="S258" s="8" t="e">
        <f t="shared" si="3"/>
        <v>#VALUE!</v>
      </c>
    </row>
    <row r="259" spans="1:19" x14ac:dyDescent="0.25">
      <c r="A259">
        <v>900091143</v>
      </c>
      <c r="B259" t="s">
        <v>3965</v>
      </c>
      <c r="C259" t="s">
        <v>3512</v>
      </c>
      <c r="E259" t="s">
        <v>3512</v>
      </c>
      <c r="H259" t="s">
        <v>22</v>
      </c>
      <c r="I259">
        <v>1082748420</v>
      </c>
      <c r="J259" t="s">
        <v>1948</v>
      </c>
      <c r="P259" t="s">
        <v>4452</v>
      </c>
      <c r="Q259" s="15">
        <v>25200000</v>
      </c>
      <c r="R259" s="8" t="e">
        <f>SUMIFS([1]REPORTADOS!$D$2:$D$3379,[1]REPORTADOS!$C$2:$C$3379,E259)</f>
        <v>#VALUE!</v>
      </c>
      <c r="S259" s="8" t="e">
        <f t="shared" ref="S259:S322" si="4">Q259-R259</f>
        <v>#VALUE!</v>
      </c>
    </row>
    <row r="260" spans="1:19" x14ac:dyDescent="0.25">
      <c r="A260">
        <v>900091143</v>
      </c>
      <c r="B260" t="s">
        <v>3965</v>
      </c>
      <c r="C260" t="s">
        <v>3513</v>
      </c>
      <c r="E260" t="s">
        <v>3513</v>
      </c>
      <c r="H260" t="s">
        <v>22</v>
      </c>
      <c r="I260">
        <v>59310291</v>
      </c>
      <c r="J260" t="s">
        <v>4107</v>
      </c>
      <c r="P260" t="s">
        <v>4452</v>
      </c>
      <c r="Q260" s="15">
        <v>25200000</v>
      </c>
      <c r="R260" s="8" t="e">
        <f>SUMIFS([1]REPORTADOS!$D$2:$D$3379,[1]REPORTADOS!$C$2:$C$3379,E260)</f>
        <v>#VALUE!</v>
      </c>
      <c r="S260" s="8" t="e">
        <f t="shared" si="4"/>
        <v>#VALUE!</v>
      </c>
    </row>
    <row r="261" spans="1:19" x14ac:dyDescent="0.25">
      <c r="A261">
        <v>900091143</v>
      </c>
      <c r="B261" t="s">
        <v>3965</v>
      </c>
      <c r="C261" t="s">
        <v>3514</v>
      </c>
      <c r="E261" t="s">
        <v>3514</v>
      </c>
      <c r="H261" t="s">
        <v>22</v>
      </c>
      <c r="I261">
        <v>1085272491</v>
      </c>
      <c r="J261" t="s">
        <v>2484</v>
      </c>
      <c r="P261" t="s">
        <v>4452</v>
      </c>
      <c r="Q261" s="15">
        <v>25200000</v>
      </c>
      <c r="R261" s="8" t="e">
        <f>SUMIFS([1]REPORTADOS!$D$2:$D$3379,[1]REPORTADOS!$C$2:$C$3379,E261)</f>
        <v>#VALUE!</v>
      </c>
      <c r="S261" s="8" t="e">
        <f t="shared" si="4"/>
        <v>#VALUE!</v>
      </c>
    </row>
    <row r="262" spans="1:19" x14ac:dyDescent="0.25">
      <c r="A262">
        <v>900091143</v>
      </c>
      <c r="B262" t="s">
        <v>3965</v>
      </c>
      <c r="C262" t="s">
        <v>3515</v>
      </c>
      <c r="E262" t="s">
        <v>3515</v>
      </c>
      <c r="H262" t="s">
        <v>22</v>
      </c>
      <c r="I262">
        <v>1053793750</v>
      </c>
      <c r="J262" t="s">
        <v>4108</v>
      </c>
      <c r="P262" t="s">
        <v>4452</v>
      </c>
      <c r="Q262" s="15">
        <v>25200000</v>
      </c>
      <c r="R262" s="8" t="e">
        <f>SUMIFS([1]REPORTADOS!$D$2:$D$3379,[1]REPORTADOS!$C$2:$C$3379,E262)</f>
        <v>#VALUE!</v>
      </c>
      <c r="S262" s="8" t="e">
        <f t="shared" si="4"/>
        <v>#VALUE!</v>
      </c>
    </row>
    <row r="263" spans="1:19" x14ac:dyDescent="0.25">
      <c r="A263">
        <v>900091143</v>
      </c>
      <c r="B263" t="s">
        <v>3965</v>
      </c>
      <c r="C263" t="s">
        <v>3516</v>
      </c>
      <c r="E263" t="s">
        <v>3516</v>
      </c>
      <c r="H263" t="s">
        <v>22</v>
      </c>
      <c r="I263">
        <v>27146489</v>
      </c>
      <c r="J263" t="s">
        <v>4109</v>
      </c>
      <c r="P263" t="s">
        <v>4452</v>
      </c>
      <c r="Q263" s="15">
        <v>25200000</v>
      </c>
      <c r="R263" s="8" t="e">
        <f>SUMIFS([1]REPORTADOS!$D$2:$D$3379,[1]REPORTADOS!$C$2:$C$3379,E263)</f>
        <v>#VALUE!</v>
      </c>
      <c r="S263" s="8" t="e">
        <f t="shared" si="4"/>
        <v>#VALUE!</v>
      </c>
    </row>
    <row r="264" spans="1:19" x14ac:dyDescent="0.25">
      <c r="A264">
        <v>900091143</v>
      </c>
      <c r="B264" t="s">
        <v>3965</v>
      </c>
      <c r="C264" t="s">
        <v>3517</v>
      </c>
      <c r="E264" t="s">
        <v>3517</v>
      </c>
      <c r="H264" t="s">
        <v>22</v>
      </c>
      <c r="I264">
        <v>59836480</v>
      </c>
      <c r="J264" t="s">
        <v>4110</v>
      </c>
      <c r="P264" t="s">
        <v>4452</v>
      </c>
      <c r="Q264" s="15">
        <v>25200000</v>
      </c>
      <c r="R264" s="8" t="e">
        <f>SUMIFS([1]REPORTADOS!$D$2:$D$3379,[1]REPORTADOS!$C$2:$C$3379,E264)</f>
        <v>#VALUE!</v>
      </c>
      <c r="S264" s="8" t="e">
        <f t="shared" si="4"/>
        <v>#VALUE!</v>
      </c>
    </row>
    <row r="265" spans="1:19" x14ac:dyDescent="0.25">
      <c r="A265">
        <v>900091143</v>
      </c>
      <c r="B265" t="s">
        <v>3965</v>
      </c>
      <c r="C265" t="s">
        <v>3518</v>
      </c>
      <c r="E265" t="s">
        <v>3518</v>
      </c>
      <c r="H265" t="s">
        <v>22</v>
      </c>
      <c r="I265">
        <v>1010010954</v>
      </c>
      <c r="J265" t="s">
        <v>2140</v>
      </c>
      <c r="P265" t="s">
        <v>4495</v>
      </c>
      <c r="Q265" s="15">
        <v>25200000</v>
      </c>
      <c r="R265" s="8" t="e">
        <f>SUMIFS([1]REPORTADOS!$D$2:$D$3379,[1]REPORTADOS!$C$2:$C$3379,E265)</f>
        <v>#VALUE!</v>
      </c>
      <c r="S265" s="8" t="e">
        <f t="shared" si="4"/>
        <v>#VALUE!</v>
      </c>
    </row>
    <row r="266" spans="1:19" x14ac:dyDescent="0.25">
      <c r="A266">
        <v>900091143</v>
      </c>
      <c r="B266" t="s">
        <v>3965</v>
      </c>
      <c r="C266" t="s">
        <v>3519</v>
      </c>
      <c r="E266" t="s">
        <v>3519</v>
      </c>
      <c r="H266" t="s">
        <v>22</v>
      </c>
      <c r="I266">
        <v>1085299577</v>
      </c>
      <c r="J266" t="s">
        <v>4111</v>
      </c>
      <c r="P266" t="s">
        <v>4458</v>
      </c>
      <c r="Q266" s="15">
        <v>25200000</v>
      </c>
      <c r="R266" s="8" t="e">
        <f>SUMIFS([1]REPORTADOS!$D$2:$D$3379,[1]REPORTADOS!$C$2:$C$3379,E266)</f>
        <v>#VALUE!</v>
      </c>
      <c r="S266" s="8" t="e">
        <f t="shared" si="4"/>
        <v>#VALUE!</v>
      </c>
    </row>
    <row r="267" spans="1:19" x14ac:dyDescent="0.25">
      <c r="A267">
        <v>900091143</v>
      </c>
      <c r="B267" t="s">
        <v>3965</v>
      </c>
      <c r="C267" t="s">
        <v>3520</v>
      </c>
      <c r="E267" t="s">
        <v>3520</v>
      </c>
      <c r="H267" t="s">
        <v>22</v>
      </c>
      <c r="I267">
        <v>1084228089</v>
      </c>
      <c r="J267" t="s">
        <v>2773</v>
      </c>
      <c r="P267" t="s">
        <v>4458</v>
      </c>
      <c r="Q267" s="15">
        <v>25200000</v>
      </c>
      <c r="R267" s="8" t="e">
        <f>SUMIFS([1]REPORTADOS!$D$2:$D$3379,[1]REPORTADOS!$C$2:$C$3379,E267)</f>
        <v>#VALUE!</v>
      </c>
      <c r="S267" s="8" t="e">
        <f t="shared" si="4"/>
        <v>#VALUE!</v>
      </c>
    </row>
    <row r="268" spans="1:19" x14ac:dyDescent="0.25">
      <c r="A268">
        <v>900091143</v>
      </c>
      <c r="B268" t="s">
        <v>3965</v>
      </c>
      <c r="C268" t="s">
        <v>3521</v>
      </c>
      <c r="E268" t="s">
        <v>3521</v>
      </c>
      <c r="H268" t="s">
        <v>22</v>
      </c>
      <c r="I268">
        <v>1085286476</v>
      </c>
      <c r="J268" t="s">
        <v>4112</v>
      </c>
      <c r="P268" t="s">
        <v>4469</v>
      </c>
      <c r="Q268" s="15">
        <v>25200000</v>
      </c>
      <c r="R268" s="8" t="e">
        <f>SUMIFS([1]REPORTADOS!$D$2:$D$3379,[1]REPORTADOS!$C$2:$C$3379,E268)</f>
        <v>#VALUE!</v>
      </c>
      <c r="S268" s="8" t="e">
        <f t="shared" si="4"/>
        <v>#VALUE!</v>
      </c>
    </row>
    <row r="269" spans="1:19" x14ac:dyDescent="0.25">
      <c r="A269">
        <v>900091143</v>
      </c>
      <c r="B269" t="s">
        <v>3965</v>
      </c>
      <c r="C269" t="s">
        <v>3522</v>
      </c>
      <c r="E269" t="s">
        <v>3522</v>
      </c>
      <c r="H269" t="s">
        <v>22</v>
      </c>
      <c r="I269">
        <v>1085277976</v>
      </c>
      <c r="J269" t="s">
        <v>2787</v>
      </c>
      <c r="P269" t="s">
        <v>4496</v>
      </c>
      <c r="Q269" s="15">
        <v>25200000</v>
      </c>
      <c r="R269" s="8" t="e">
        <f>SUMIFS([1]REPORTADOS!$D$2:$D$3379,[1]REPORTADOS!$C$2:$C$3379,E269)</f>
        <v>#VALUE!</v>
      </c>
      <c r="S269" s="8" t="e">
        <f t="shared" si="4"/>
        <v>#VALUE!</v>
      </c>
    </row>
    <row r="270" spans="1:19" x14ac:dyDescent="0.25">
      <c r="A270">
        <v>900091143</v>
      </c>
      <c r="B270" t="s">
        <v>3965</v>
      </c>
      <c r="C270" t="s">
        <v>3523</v>
      </c>
      <c r="E270" t="s">
        <v>3523</v>
      </c>
      <c r="H270" t="s">
        <v>22</v>
      </c>
      <c r="I270">
        <v>1085283868</v>
      </c>
      <c r="J270" t="s">
        <v>4113</v>
      </c>
      <c r="P270" t="s">
        <v>4470</v>
      </c>
      <c r="Q270" s="15">
        <v>25200000</v>
      </c>
      <c r="R270" s="8" t="e">
        <f>SUMIFS([1]REPORTADOS!$D$2:$D$3379,[1]REPORTADOS!$C$2:$C$3379,E270)</f>
        <v>#VALUE!</v>
      </c>
      <c r="S270" s="8" t="e">
        <f t="shared" si="4"/>
        <v>#VALUE!</v>
      </c>
    </row>
    <row r="271" spans="1:19" x14ac:dyDescent="0.25">
      <c r="A271">
        <v>900091143</v>
      </c>
      <c r="B271" t="s">
        <v>3965</v>
      </c>
      <c r="C271" t="s">
        <v>3524</v>
      </c>
      <c r="E271" t="s">
        <v>3524</v>
      </c>
      <c r="H271" t="s">
        <v>22</v>
      </c>
      <c r="I271">
        <v>1085296068</v>
      </c>
      <c r="J271" t="s">
        <v>4114</v>
      </c>
      <c r="P271" t="s">
        <v>4470</v>
      </c>
      <c r="Q271" s="15">
        <v>25200000</v>
      </c>
      <c r="R271" s="8" t="e">
        <f>SUMIFS([1]REPORTADOS!$D$2:$D$3379,[1]REPORTADOS!$C$2:$C$3379,E271)</f>
        <v>#VALUE!</v>
      </c>
      <c r="S271" s="8" t="e">
        <f t="shared" si="4"/>
        <v>#VALUE!</v>
      </c>
    </row>
    <row r="272" spans="1:19" x14ac:dyDescent="0.25">
      <c r="A272">
        <v>900091143</v>
      </c>
      <c r="B272" t="s">
        <v>3965</v>
      </c>
      <c r="C272" t="s">
        <v>3525</v>
      </c>
      <c r="E272" t="s">
        <v>3525</v>
      </c>
      <c r="H272" t="s">
        <v>22</v>
      </c>
      <c r="I272">
        <v>59820414</v>
      </c>
      <c r="J272" t="s">
        <v>4115</v>
      </c>
      <c r="P272" t="s">
        <v>4470</v>
      </c>
      <c r="Q272" s="15">
        <v>25200000</v>
      </c>
      <c r="R272" s="8" t="e">
        <f>SUMIFS([1]REPORTADOS!$D$2:$D$3379,[1]REPORTADOS!$C$2:$C$3379,E272)</f>
        <v>#VALUE!</v>
      </c>
      <c r="S272" s="8" t="e">
        <f t="shared" si="4"/>
        <v>#VALUE!</v>
      </c>
    </row>
    <row r="273" spans="1:19" x14ac:dyDescent="0.25">
      <c r="A273">
        <v>900091143</v>
      </c>
      <c r="B273" t="s">
        <v>3965</v>
      </c>
      <c r="C273" t="s">
        <v>3526</v>
      </c>
      <c r="E273" t="s">
        <v>3526</v>
      </c>
      <c r="H273" t="s">
        <v>22</v>
      </c>
      <c r="I273">
        <v>1233188295</v>
      </c>
      <c r="J273" t="s">
        <v>4116</v>
      </c>
      <c r="P273" t="s">
        <v>4465</v>
      </c>
      <c r="Q273" s="15">
        <v>27300000</v>
      </c>
      <c r="R273" s="8" t="e">
        <f>SUMIFS([1]REPORTADOS!$D$2:$D$3379,[1]REPORTADOS!$C$2:$C$3379,E273)</f>
        <v>#VALUE!</v>
      </c>
      <c r="S273" s="8" t="e">
        <f t="shared" si="4"/>
        <v>#VALUE!</v>
      </c>
    </row>
    <row r="274" spans="1:19" x14ac:dyDescent="0.25">
      <c r="A274">
        <v>900091143</v>
      </c>
      <c r="B274" t="s">
        <v>3965</v>
      </c>
      <c r="C274" t="s">
        <v>3527</v>
      </c>
      <c r="E274" t="s">
        <v>3527</v>
      </c>
      <c r="H274" t="s">
        <v>22</v>
      </c>
      <c r="I274">
        <v>1144172704</v>
      </c>
      <c r="J274" t="s">
        <v>4117</v>
      </c>
      <c r="P274" t="s">
        <v>4465</v>
      </c>
      <c r="Q274" s="15">
        <v>27300000</v>
      </c>
      <c r="R274" s="8" t="e">
        <f>SUMIFS([1]REPORTADOS!$D$2:$D$3379,[1]REPORTADOS!$C$2:$C$3379,E274)</f>
        <v>#VALUE!</v>
      </c>
      <c r="S274" s="8" t="e">
        <f t="shared" si="4"/>
        <v>#VALUE!</v>
      </c>
    </row>
    <row r="275" spans="1:19" x14ac:dyDescent="0.25">
      <c r="A275">
        <v>900091143</v>
      </c>
      <c r="B275" t="s">
        <v>3965</v>
      </c>
      <c r="C275" t="s">
        <v>3528</v>
      </c>
      <c r="E275" t="s">
        <v>3528</v>
      </c>
      <c r="H275" t="s">
        <v>22</v>
      </c>
      <c r="I275">
        <v>1089846684</v>
      </c>
      <c r="J275" t="s">
        <v>4118</v>
      </c>
      <c r="P275" t="s">
        <v>4497</v>
      </c>
      <c r="Q275" s="15">
        <v>27300000</v>
      </c>
      <c r="R275" s="8" t="e">
        <f>SUMIFS([1]REPORTADOS!$D$2:$D$3379,[1]REPORTADOS!$C$2:$C$3379,E275)</f>
        <v>#VALUE!</v>
      </c>
      <c r="S275" s="8" t="e">
        <f t="shared" si="4"/>
        <v>#VALUE!</v>
      </c>
    </row>
    <row r="276" spans="1:19" x14ac:dyDescent="0.25">
      <c r="A276">
        <v>900091143</v>
      </c>
      <c r="B276" t="s">
        <v>3965</v>
      </c>
      <c r="C276" t="s">
        <v>3529</v>
      </c>
      <c r="E276" t="s">
        <v>3529</v>
      </c>
      <c r="H276" t="s">
        <v>22</v>
      </c>
      <c r="I276">
        <v>1085274300</v>
      </c>
      <c r="J276" t="s">
        <v>4119</v>
      </c>
      <c r="P276" t="s">
        <v>4464</v>
      </c>
      <c r="Q276" s="15">
        <v>27300000</v>
      </c>
      <c r="R276" s="8" t="e">
        <f>SUMIFS([1]REPORTADOS!$D$2:$D$3379,[1]REPORTADOS!$C$2:$C$3379,E276)</f>
        <v>#VALUE!</v>
      </c>
      <c r="S276" s="8" t="e">
        <f t="shared" si="4"/>
        <v>#VALUE!</v>
      </c>
    </row>
    <row r="277" spans="1:19" x14ac:dyDescent="0.25">
      <c r="A277">
        <v>900091143</v>
      </c>
      <c r="B277" t="s">
        <v>3965</v>
      </c>
      <c r="C277" t="s">
        <v>3530</v>
      </c>
      <c r="E277" t="s">
        <v>3530</v>
      </c>
      <c r="H277" t="s">
        <v>22</v>
      </c>
      <c r="I277">
        <v>1087645723</v>
      </c>
      <c r="J277" t="s">
        <v>4120</v>
      </c>
      <c r="P277" t="s">
        <v>4465</v>
      </c>
      <c r="Q277" s="15">
        <v>27300000</v>
      </c>
      <c r="R277" s="8" t="e">
        <f>SUMIFS([1]REPORTADOS!$D$2:$D$3379,[1]REPORTADOS!$C$2:$C$3379,E277)</f>
        <v>#VALUE!</v>
      </c>
      <c r="S277" s="8" t="e">
        <f t="shared" si="4"/>
        <v>#VALUE!</v>
      </c>
    </row>
    <row r="278" spans="1:19" x14ac:dyDescent="0.25">
      <c r="A278">
        <v>900091143</v>
      </c>
      <c r="B278" t="s">
        <v>3965</v>
      </c>
      <c r="C278" t="s">
        <v>3531</v>
      </c>
      <c r="E278" t="s">
        <v>3531</v>
      </c>
      <c r="H278" t="s">
        <v>22</v>
      </c>
      <c r="I278">
        <v>1110594073</v>
      </c>
      <c r="J278" t="s">
        <v>4121</v>
      </c>
      <c r="P278" t="s">
        <v>4464</v>
      </c>
      <c r="Q278" s="15">
        <v>27300000</v>
      </c>
      <c r="R278" s="8" t="e">
        <f>SUMIFS([1]REPORTADOS!$D$2:$D$3379,[1]REPORTADOS!$C$2:$C$3379,E278)</f>
        <v>#VALUE!</v>
      </c>
      <c r="S278" s="8" t="e">
        <f t="shared" si="4"/>
        <v>#VALUE!</v>
      </c>
    </row>
    <row r="279" spans="1:19" x14ac:dyDescent="0.25">
      <c r="A279">
        <v>900091143</v>
      </c>
      <c r="B279" t="s">
        <v>3965</v>
      </c>
      <c r="C279" t="s">
        <v>3532</v>
      </c>
      <c r="E279" t="s">
        <v>3532</v>
      </c>
      <c r="H279" t="s">
        <v>22</v>
      </c>
      <c r="I279">
        <v>1233193769</v>
      </c>
      <c r="J279" t="s">
        <v>4122</v>
      </c>
      <c r="P279" t="s">
        <v>4464</v>
      </c>
      <c r="Q279" s="15">
        <v>27300000</v>
      </c>
      <c r="R279" s="8" t="e">
        <f>SUMIFS([1]REPORTADOS!$D$2:$D$3379,[1]REPORTADOS!$C$2:$C$3379,E279)</f>
        <v>#VALUE!</v>
      </c>
      <c r="S279" s="8" t="e">
        <f t="shared" si="4"/>
        <v>#VALUE!</v>
      </c>
    </row>
    <row r="280" spans="1:19" x14ac:dyDescent="0.25">
      <c r="A280">
        <v>900091143</v>
      </c>
      <c r="B280" t="s">
        <v>3965</v>
      </c>
      <c r="C280" t="s">
        <v>3533</v>
      </c>
      <c r="E280" t="s">
        <v>3533</v>
      </c>
      <c r="H280" t="s">
        <v>22</v>
      </c>
      <c r="I280">
        <v>1086361969</v>
      </c>
      <c r="J280" t="s">
        <v>4123</v>
      </c>
      <c r="P280" t="s">
        <v>4498</v>
      </c>
      <c r="Q280" s="15">
        <v>31200000</v>
      </c>
      <c r="R280" s="8" t="e">
        <f>SUMIFS([1]REPORTADOS!$D$2:$D$3379,[1]REPORTADOS!$C$2:$C$3379,E280)</f>
        <v>#VALUE!</v>
      </c>
      <c r="S280" s="8" t="e">
        <f t="shared" si="4"/>
        <v>#VALUE!</v>
      </c>
    </row>
    <row r="281" spans="1:19" x14ac:dyDescent="0.25">
      <c r="A281">
        <v>900091143</v>
      </c>
      <c r="B281" t="s">
        <v>3965</v>
      </c>
      <c r="C281" t="s">
        <v>3534</v>
      </c>
      <c r="E281" t="s">
        <v>3534</v>
      </c>
      <c r="H281" t="s">
        <v>22</v>
      </c>
      <c r="I281">
        <v>1089483067</v>
      </c>
      <c r="J281" t="s">
        <v>4124</v>
      </c>
      <c r="P281" t="s">
        <v>4498</v>
      </c>
      <c r="Q281" s="15">
        <v>31200000</v>
      </c>
      <c r="R281" s="8" t="e">
        <f>SUMIFS([1]REPORTADOS!$D$2:$D$3379,[1]REPORTADOS!$C$2:$C$3379,E281)</f>
        <v>#VALUE!</v>
      </c>
      <c r="S281" s="8" t="e">
        <f t="shared" si="4"/>
        <v>#VALUE!</v>
      </c>
    </row>
    <row r="282" spans="1:19" x14ac:dyDescent="0.25">
      <c r="A282">
        <v>900091143</v>
      </c>
      <c r="B282" t="s">
        <v>3965</v>
      </c>
      <c r="C282" t="s">
        <v>3535</v>
      </c>
      <c r="E282" t="s">
        <v>3535</v>
      </c>
      <c r="H282" t="s">
        <v>22</v>
      </c>
      <c r="I282">
        <v>1233189066</v>
      </c>
      <c r="J282" t="s">
        <v>2171</v>
      </c>
      <c r="P282" t="s">
        <v>4498</v>
      </c>
      <c r="Q282" s="15">
        <v>31200000</v>
      </c>
      <c r="R282" s="8" t="e">
        <f>SUMIFS([1]REPORTADOS!$D$2:$D$3379,[1]REPORTADOS!$C$2:$C$3379,E282)</f>
        <v>#VALUE!</v>
      </c>
      <c r="S282" s="8" t="e">
        <f t="shared" si="4"/>
        <v>#VALUE!</v>
      </c>
    </row>
    <row r="283" spans="1:19" x14ac:dyDescent="0.25">
      <c r="A283">
        <v>900091143</v>
      </c>
      <c r="B283" t="s">
        <v>3965</v>
      </c>
      <c r="C283" t="s">
        <v>3536</v>
      </c>
      <c r="E283" t="s">
        <v>3536</v>
      </c>
      <c r="H283" t="s">
        <v>22</v>
      </c>
      <c r="I283">
        <v>1084552063</v>
      </c>
      <c r="J283" t="s">
        <v>4125</v>
      </c>
      <c r="P283" t="s">
        <v>4498</v>
      </c>
      <c r="Q283" s="15">
        <v>31200000</v>
      </c>
      <c r="R283" s="8" t="e">
        <f>SUMIFS([1]REPORTADOS!$D$2:$D$3379,[1]REPORTADOS!$C$2:$C$3379,E283)</f>
        <v>#VALUE!</v>
      </c>
      <c r="S283" s="8" t="e">
        <f t="shared" si="4"/>
        <v>#VALUE!</v>
      </c>
    </row>
    <row r="284" spans="1:19" x14ac:dyDescent="0.25">
      <c r="A284">
        <v>900091143</v>
      </c>
      <c r="B284" t="s">
        <v>3965</v>
      </c>
      <c r="C284" t="s">
        <v>3537</v>
      </c>
      <c r="E284" t="s">
        <v>3537</v>
      </c>
      <c r="H284" t="s">
        <v>22</v>
      </c>
      <c r="I284">
        <v>37087120</v>
      </c>
      <c r="J284" t="s">
        <v>1851</v>
      </c>
      <c r="P284" t="s">
        <v>4498</v>
      </c>
      <c r="Q284" s="15">
        <v>31200000</v>
      </c>
      <c r="R284" s="8" t="e">
        <f>SUMIFS([1]REPORTADOS!$D$2:$D$3379,[1]REPORTADOS!$C$2:$C$3379,E284)</f>
        <v>#VALUE!</v>
      </c>
      <c r="S284" s="8" t="e">
        <f t="shared" si="4"/>
        <v>#VALUE!</v>
      </c>
    </row>
    <row r="285" spans="1:19" x14ac:dyDescent="0.25">
      <c r="A285">
        <v>900091143</v>
      </c>
      <c r="B285" t="s">
        <v>3965</v>
      </c>
      <c r="C285" t="s">
        <v>3538</v>
      </c>
      <c r="E285" t="s">
        <v>3538</v>
      </c>
      <c r="H285" t="s">
        <v>22</v>
      </c>
      <c r="I285">
        <v>1233192708</v>
      </c>
      <c r="J285" t="s">
        <v>2583</v>
      </c>
      <c r="P285" t="s">
        <v>4498</v>
      </c>
      <c r="Q285" s="15">
        <v>31200000</v>
      </c>
      <c r="R285" s="8" t="e">
        <f>SUMIFS([1]REPORTADOS!$D$2:$D$3379,[1]REPORTADOS!$C$2:$C$3379,E285)</f>
        <v>#VALUE!</v>
      </c>
      <c r="S285" s="8" t="e">
        <f t="shared" si="4"/>
        <v>#VALUE!</v>
      </c>
    </row>
    <row r="286" spans="1:19" x14ac:dyDescent="0.25">
      <c r="A286">
        <v>900091143</v>
      </c>
      <c r="B286" t="s">
        <v>3965</v>
      </c>
      <c r="C286" t="s">
        <v>3539</v>
      </c>
      <c r="E286" t="s">
        <v>3539</v>
      </c>
      <c r="H286" t="s">
        <v>22</v>
      </c>
      <c r="I286">
        <v>80765093</v>
      </c>
      <c r="J286" t="s">
        <v>1651</v>
      </c>
      <c r="P286" t="s">
        <v>4498</v>
      </c>
      <c r="Q286" s="15">
        <v>31200000</v>
      </c>
      <c r="R286" s="8" t="e">
        <f>SUMIFS([1]REPORTADOS!$D$2:$D$3379,[1]REPORTADOS!$C$2:$C$3379,E286)</f>
        <v>#VALUE!</v>
      </c>
      <c r="S286" s="8" t="e">
        <f t="shared" si="4"/>
        <v>#VALUE!</v>
      </c>
    </row>
    <row r="287" spans="1:19" x14ac:dyDescent="0.25">
      <c r="A287">
        <v>900091143</v>
      </c>
      <c r="B287" t="s">
        <v>3965</v>
      </c>
      <c r="C287" t="s">
        <v>3540</v>
      </c>
      <c r="E287" t="s">
        <v>3540</v>
      </c>
      <c r="H287" t="s">
        <v>22</v>
      </c>
      <c r="I287">
        <v>1083814276</v>
      </c>
      <c r="J287" t="s">
        <v>4126</v>
      </c>
      <c r="P287" t="s">
        <v>4498</v>
      </c>
      <c r="Q287" s="15">
        <v>31200000</v>
      </c>
      <c r="R287" s="8" t="e">
        <f>SUMIFS([1]REPORTADOS!$D$2:$D$3379,[1]REPORTADOS!$C$2:$C$3379,E287)</f>
        <v>#VALUE!</v>
      </c>
      <c r="S287" s="8" t="e">
        <f t="shared" si="4"/>
        <v>#VALUE!</v>
      </c>
    </row>
    <row r="288" spans="1:19" x14ac:dyDescent="0.25">
      <c r="A288">
        <v>900091143</v>
      </c>
      <c r="B288" t="s">
        <v>3965</v>
      </c>
      <c r="C288" t="s">
        <v>3541</v>
      </c>
      <c r="E288" t="s">
        <v>3541</v>
      </c>
      <c r="H288" t="s">
        <v>22</v>
      </c>
      <c r="I288">
        <v>1022426162</v>
      </c>
      <c r="J288" t="s">
        <v>4127</v>
      </c>
      <c r="P288" t="s">
        <v>4465</v>
      </c>
      <c r="Q288" s="15">
        <v>31200000</v>
      </c>
      <c r="R288" s="8" t="e">
        <f>SUMIFS([1]REPORTADOS!$D$2:$D$3379,[1]REPORTADOS!$C$2:$C$3379,E288)</f>
        <v>#VALUE!</v>
      </c>
      <c r="S288" s="8" t="e">
        <f t="shared" si="4"/>
        <v>#VALUE!</v>
      </c>
    </row>
    <row r="289" spans="1:19" x14ac:dyDescent="0.25">
      <c r="A289">
        <v>900091143</v>
      </c>
      <c r="B289" t="s">
        <v>3965</v>
      </c>
      <c r="C289" t="s">
        <v>3542</v>
      </c>
      <c r="E289" t="s">
        <v>3542</v>
      </c>
      <c r="H289" t="s">
        <v>22</v>
      </c>
      <c r="I289">
        <v>1088734182</v>
      </c>
      <c r="J289" t="s">
        <v>4128</v>
      </c>
      <c r="P289" t="s">
        <v>4464</v>
      </c>
      <c r="Q289" s="15">
        <v>31200000</v>
      </c>
      <c r="R289" s="8" t="e">
        <f>SUMIFS([1]REPORTADOS!$D$2:$D$3379,[1]REPORTADOS!$C$2:$C$3379,E289)</f>
        <v>#VALUE!</v>
      </c>
      <c r="S289" s="8" t="e">
        <f t="shared" si="4"/>
        <v>#VALUE!</v>
      </c>
    </row>
    <row r="290" spans="1:19" x14ac:dyDescent="0.25">
      <c r="A290">
        <v>900091143</v>
      </c>
      <c r="B290" t="s">
        <v>3965</v>
      </c>
      <c r="C290" t="s">
        <v>3543</v>
      </c>
      <c r="E290" t="s">
        <v>3543</v>
      </c>
      <c r="H290" t="s">
        <v>22</v>
      </c>
      <c r="I290">
        <v>1193292339</v>
      </c>
      <c r="J290" t="s">
        <v>4129</v>
      </c>
      <c r="P290" t="s">
        <v>4465</v>
      </c>
      <c r="Q290" s="15">
        <v>31200000</v>
      </c>
      <c r="R290" s="8" t="e">
        <f>SUMIFS([1]REPORTADOS!$D$2:$D$3379,[1]REPORTADOS!$C$2:$C$3379,E290)</f>
        <v>#VALUE!</v>
      </c>
      <c r="S290" s="8" t="e">
        <f t="shared" si="4"/>
        <v>#VALUE!</v>
      </c>
    </row>
    <row r="291" spans="1:19" x14ac:dyDescent="0.25">
      <c r="A291">
        <v>900091143</v>
      </c>
      <c r="B291" t="s">
        <v>3965</v>
      </c>
      <c r="C291" t="s">
        <v>3544</v>
      </c>
      <c r="E291" t="s">
        <v>3544</v>
      </c>
      <c r="H291" t="s">
        <v>22</v>
      </c>
      <c r="I291">
        <v>1085293105</v>
      </c>
      <c r="J291" t="s">
        <v>1747</v>
      </c>
      <c r="P291" t="s">
        <v>4465</v>
      </c>
      <c r="Q291" s="15">
        <v>31200000</v>
      </c>
      <c r="R291" s="8" t="e">
        <f>SUMIFS([1]REPORTADOS!$D$2:$D$3379,[1]REPORTADOS!$C$2:$C$3379,E291)</f>
        <v>#VALUE!</v>
      </c>
      <c r="S291" s="8" t="e">
        <f t="shared" si="4"/>
        <v>#VALUE!</v>
      </c>
    </row>
    <row r="292" spans="1:19" x14ac:dyDescent="0.25">
      <c r="A292">
        <v>900091143</v>
      </c>
      <c r="B292" t="s">
        <v>3965</v>
      </c>
      <c r="C292" t="s">
        <v>3545</v>
      </c>
      <c r="E292" t="s">
        <v>3545</v>
      </c>
      <c r="H292" t="s">
        <v>22</v>
      </c>
      <c r="I292">
        <v>1085329980</v>
      </c>
      <c r="J292" t="s">
        <v>2617</v>
      </c>
      <c r="P292" t="s">
        <v>4465</v>
      </c>
      <c r="Q292" s="15">
        <v>31200000</v>
      </c>
      <c r="R292" s="8" t="e">
        <f>SUMIFS([1]REPORTADOS!$D$2:$D$3379,[1]REPORTADOS!$C$2:$C$3379,E292)</f>
        <v>#VALUE!</v>
      </c>
      <c r="S292" s="8" t="e">
        <f t="shared" si="4"/>
        <v>#VALUE!</v>
      </c>
    </row>
    <row r="293" spans="1:19" x14ac:dyDescent="0.25">
      <c r="A293">
        <v>900091143</v>
      </c>
      <c r="B293" t="s">
        <v>3965</v>
      </c>
      <c r="C293" t="s">
        <v>3546</v>
      </c>
      <c r="E293" t="s">
        <v>3546</v>
      </c>
      <c r="H293" t="s">
        <v>22</v>
      </c>
      <c r="I293">
        <v>1087006619</v>
      </c>
      <c r="J293" t="s">
        <v>4130</v>
      </c>
      <c r="P293" t="s">
        <v>4498</v>
      </c>
      <c r="Q293" s="15">
        <v>31200000</v>
      </c>
      <c r="R293" s="8" t="e">
        <f>SUMIFS([1]REPORTADOS!$D$2:$D$3379,[1]REPORTADOS!$C$2:$C$3379,E293)</f>
        <v>#VALUE!</v>
      </c>
      <c r="S293" s="8" t="e">
        <f t="shared" si="4"/>
        <v>#VALUE!</v>
      </c>
    </row>
    <row r="294" spans="1:19" x14ac:dyDescent="0.25">
      <c r="A294">
        <v>900091143</v>
      </c>
      <c r="B294" t="s">
        <v>3965</v>
      </c>
      <c r="C294" t="s">
        <v>3547</v>
      </c>
      <c r="E294" t="s">
        <v>3547</v>
      </c>
      <c r="H294" t="s">
        <v>22</v>
      </c>
      <c r="I294">
        <v>1233193882</v>
      </c>
      <c r="J294" t="s">
        <v>2611</v>
      </c>
      <c r="P294" t="s">
        <v>4498</v>
      </c>
      <c r="Q294" s="15">
        <v>31200000</v>
      </c>
      <c r="R294" s="8" t="e">
        <f>SUMIFS([1]REPORTADOS!$D$2:$D$3379,[1]REPORTADOS!$C$2:$C$3379,E294)</f>
        <v>#VALUE!</v>
      </c>
      <c r="S294" s="8" t="e">
        <f t="shared" si="4"/>
        <v>#VALUE!</v>
      </c>
    </row>
    <row r="295" spans="1:19" x14ac:dyDescent="0.25">
      <c r="A295">
        <v>900091143</v>
      </c>
      <c r="B295" t="s">
        <v>3965</v>
      </c>
      <c r="C295" t="s">
        <v>3548</v>
      </c>
      <c r="E295" t="s">
        <v>3548</v>
      </c>
      <c r="H295" t="s">
        <v>22</v>
      </c>
      <c r="I295">
        <v>1085334279</v>
      </c>
      <c r="J295" t="s">
        <v>4131</v>
      </c>
      <c r="P295" t="s">
        <v>4498</v>
      </c>
      <c r="Q295" s="15">
        <v>31200000</v>
      </c>
      <c r="R295" s="8" t="e">
        <f>SUMIFS([1]REPORTADOS!$D$2:$D$3379,[1]REPORTADOS!$C$2:$C$3379,E295)</f>
        <v>#VALUE!</v>
      </c>
      <c r="S295" s="8" t="e">
        <f t="shared" si="4"/>
        <v>#VALUE!</v>
      </c>
    </row>
    <row r="296" spans="1:19" x14ac:dyDescent="0.25">
      <c r="A296">
        <v>900091143</v>
      </c>
      <c r="B296" t="s">
        <v>3965</v>
      </c>
      <c r="C296" t="s">
        <v>3549</v>
      </c>
      <c r="E296" t="s">
        <v>3549</v>
      </c>
      <c r="H296" t="s">
        <v>22</v>
      </c>
      <c r="I296">
        <v>1006946167</v>
      </c>
      <c r="J296" t="s">
        <v>2168</v>
      </c>
      <c r="P296" t="s">
        <v>4498</v>
      </c>
      <c r="Q296" s="15">
        <v>31200000</v>
      </c>
      <c r="R296" s="8" t="e">
        <f>SUMIFS([1]REPORTADOS!$D$2:$D$3379,[1]REPORTADOS!$C$2:$C$3379,E296)</f>
        <v>#VALUE!</v>
      </c>
      <c r="S296" s="8" t="e">
        <f t="shared" si="4"/>
        <v>#VALUE!</v>
      </c>
    </row>
    <row r="297" spans="1:19" x14ac:dyDescent="0.25">
      <c r="A297">
        <v>900091143</v>
      </c>
      <c r="B297" t="s">
        <v>3965</v>
      </c>
      <c r="C297" t="s">
        <v>3550</v>
      </c>
      <c r="E297" t="s">
        <v>3550</v>
      </c>
      <c r="H297" t="s">
        <v>22</v>
      </c>
      <c r="I297">
        <v>1085336362</v>
      </c>
      <c r="J297" t="s">
        <v>1819</v>
      </c>
      <c r="P297" t="s">
        <v>4465</v>
      </c>
      <c r="Q297" s="15">
        <v>31200000</v>
      </c>
      <c r="R297" s="8" t="e">
        <f>SUMIFS([1]REPORTADOS!$D$2:$D$3379,[1]REPORTADOS!$C$2:$C$3379,E297)</f>
        <v>#VALUE!</v>
      </c>
      <c r="S297" s="8" t="e">
        <f t="shared" si="4"/>
        <v>#VALUE!</v>
      </c>
    </row>
    <row r="298" spans="1:19" x14ac:dyDescent="0.25">
      <c r="A298">
        <v>900091143</v>
      </c>
      <c r="B298" t="s">
        <v>3965</v>
      </c>
      <c r="C298" t="s">
        <v>3551</v>
      </c>
      <c r="E298" t="s">
        <v>3551</v>
      </c>
      <c r="H298" t="s">
        <v>22</v>
      </c>
      <c r="I298">
        <v>1193202097</v>
      </c>
      <c r="J298" t="s">
        <v>1796</v>
      </c>
      <c r="P298" t="s">
        <v>4485</v>
      </c>
      <c r="Q298" s="15">
        <v>31200000</v>
      </c>
      <c r="R298" s="8" t="e">
        <f>SUMIFS([1]REPORTADOS!$D$2:$D$3379,[1]REPORTADOS!$C$2:$C$3379,E298)</f>
        <v>#VALUE!</v>
      </c>
      <c r="S298" s="8" t="e">
        <f t="shared" si="4"/>
        <v>#VALUE!</v>
      </c>
    </row>
    <row r="299" spans="1:19" x14ac:dyDescent="0.25">
      <c r="A299">
        <v>900091143</v>
      </c>
      <c r="B299" t="s">
        <v>3965</v>
      </c>
      <c r="C299" t="s">
        <v>3552</v>
      </c>
      <c r="E299" t="s">
        <v>3552</v>
      </c>
      <c r="H299" t="s">
        <v>38</v>
      </c>
      <c r="I299">
        <v>900752343</v>
      </c>
      <c r="J299" t="s">
        <v>4132</v>
      </c>
      <c r="P299" t="s">
        <v>4375</v>
      </c>
      <c r="Q299" s="15">
        <v>283000000</v>
      </c>
      <c r="R299" s="8" t="e">
        <f>SUMIFS([1]REPORTADOS!$D$2:$D$3379,[1]REPORTADOS!$C$2:$C$3379,E299)</f>
        <v>#VALUE!</v>
      </c>
      <c r="S299" s="8" t="e">
        <f t="shared" si="4"/>
        <v>#VALUE!</v>
      </c>
    </row>
    <row r="300" spans="1:19" x14ac:dyDescent="0.25">
      <c r="A300">
        <v>900091143</v>
      </c>
      <c r="B300" t="s">
        <v>3965</v>
      </c>
      <c r="C300" t="s">
        <v>3553</v>
      </c>
      <c r="E300" t="s">
        <v>3553</v>
      </c>
      <c r="H300" t="s">
        <v>22</v>
      </c>
      <c r="I300">
        <v>87070742</v>
      </c>
      <c r="J300" t="s">
        <v>4133</v>
      </c>
      <c r="P300" t="s">
        <v>4408</v>
      </c>
      <c r="Q300" s="15">
        <v>6000000</v>
      </c>
      <c r="R300" s="8" t="e">
        <f>SUMIFS([1]REPORTADOS!$D$2:$D$3379,[1]REPORTADOS!$C$2:$C$3379,E300)</f>
        <v>#VALUE!</v>
      </c>
      <c r="S300" s="8" t="e">
        <f t="shared" si="4"/>
        <v>#VALUE!</v>
      </c>
    </row>
    <row r="301" spans="1:19" x14ac:dyDescent="0.25">
      <c r="A301">
        <v>900091143</v>
      </c>
      <c r="B301" t="s">
        <v>3965</v>
      </c>
      <c r="C301" t="s">
        <v>3554</v>
      </c>
      <c r="E301" t="s">
        <v>3554</v>
      </c>
      <c r="H301" t="s">
        <v>22</v>
      </c>
      <c r="I301">
        <v>1233191359</v>
      </c>
      <c r="J301" t="s">
        <v>4134</v>
      </c>
      <c r="P301" t="s">
        <v>4420</v>
      </c>
      <c r="Q301" s="15">
        <v>6300000</v>
      </c>
      <c r="R301" s="8" t="e">
        <f>SUMIFS([1]REPORTADOS!$D$2:$D$3379,[1]REPORTADOS!$C$2:$C$3379,E301)</f>
        <v>#VALUE!</v>
      </c>
      <c r="S301" s="8" t="e">
        <f t="shared" si="4"/>
        <v>#VALUE!</v>
      </c>
    </row>
    <row r="302" spans="1:19" x14ac:dyDescent="0.25">
      <c r="A302">
        <v>900091143</v>
      </c>
      <c r="B302" t="s">
        <v>3965</v>
      </c>
      <c r="C302" t="s">
        <v>3555</v>
      </c>
      <c r="E302" t="s">
        <v>3555</v>
      </c>
      <c r="H302" t="s">
        <v>22</v>
      </c>
      <c r="I302">
        <v>1193271854</v>
      </c>
      <c r="J302" t="s">
        <v>1695</v>
      </c>
      <c r="P302" t="s">
        <v>4420</v>
      </c>
      <c r="Q302" s="15">
        <v>6720000</v>
      </c>
      <c r="R302" s="8" t="e">
        <f>SUMIFS([1]REPORTADOS!$D$2:$D$3379,[1]REPORTADOS!$C$2:$C$3379,E302)</f>
        <v>#VALUE!</v>
      </c>
      <c r="S302" s="8" t="e">
        <f t="shared" si="4"/>
        <v>#VALUE!</v>
      </c>
    </row>
    <row r="303" spans="1:19" x14ac:dyDescent="0.25">
      <c r="A303">
        <v>900091143</v>
      </c>
      <c r="B303" t="s">
        <v>3965</v>
      </c>
      <c r="C303" t="s">
        <v>3556</v>
      </c>
      <c r="E303" t="s">
        <v>3556</v>
      </c>
      <c r="H303" t="s">
        <v>22</v>
      </c>
      <c r="I303">
        <v>1030606749</v>
      </c>
      <c r="J303" t="s">
        <v>2066</v>
      </c>
      <c r="P303" t="s">
        <v>4499</v>
      </c>
      <c r="Q303" s="15">
        <v>7875000</v>
      </c>
      <c r="R303" s="8" t="e">
        <f>SUMIFS([1]REPORTADOS!$D$2:$D$3379,[1]REPORTADOS!$C$2:$C$3379,E303)</f>
        <v>#VALUE!</v>
      </c>
      <c r="S303" s="8" t="e">
        <f t="shared" si="4"/>
        <v>#VALUE!</v>
      </c>
    </row>
    <row r="304" spans="1:19" x14ac:dyDescent="0.25">
      <c r="A304">
        <v>900091143</v>
      </c>
      <c r="B304" t="s">
        <v>3965</v>
      </c>
      <c r="C304" t="s">
        <v>3557</v>
      </c>
      <c r="E304" t="s">
        <v>3557</v>
      </c>
      <c r="H304" t="s">
        <v>22</v>
      </c>
      <c r="I304">
        <v>1193035720</v>
      </c>
      <c r="J304" t="s">
        <v>2655</v>
      </c>
      <c r="P304" t="s">
        <v>4500</v>
      </c>
      <c r="Q304" s="15">
        <v>9450000</v>
      </c>
      <c r="R304" s="8" t="e">
        <f>SUMIFS([1]REPORTADOS!$D$2:$D$3379,[1]REPORTADOS!$C$2:$C$3379,E304)</f>
        <v>#VALUE!</v>
      </c>
      <c r="S304" s="8" t="e">
        <f t="shared" si="4"/>
        <v>#VALUE!</v>
      </c>
    </row>
    <row r="305" spans="1:19" x14ac:dyDescent="0.25">
      <c r="A305">
        <v>900091143</v>
      </c>
      <c r="B305" t="s">
        <v>3965</v>
      </c>
      <c r="C305" t="s">
        <v>3558</v>
      </c>
      <c r="E305" t="s">
        <v>3558</v>
      </c>
      <c r="H305" t="s">
        <v>22</v>
      </c>
      <c r="I305">
        <v>1081053820</v>
      </c>
      <c r="J305" t="s">
        <v>2368</v>
      </c>
      <c r="P305" t="s">
        <v>4501</v>
      </c>
      <c r="Q305" s="15">
        <v>11025000</v>
      </c>
      <c r="R305" s="8" t="e">
        <f>SUMIFS([1]REPORTADOS!$D$2:$D$3379,[1]REPORTADOS!$C$2:$C$3379,E305)</f>
        <v>#VALUE!</v>
      </c>
      <c r="S305" s="8" t="e">
        <f t="shared" si="4"/>
        <v>#VALUE!</v>
      </c>
    </row>
    <row r="306" spans="1:19" x14ac:dyDescent="0.25">
      <c r="A306">
        <v>900091143</v>
      </c>
      <c r="B306" t="s">
        <v>3965</v>
      </c>
      <c r="C306" t="s">
        <v>3559</v>
      </c>
      <c r="E306" t="s">
        <v>3559</v>
      </c>
      <c r="H306" t="s">
        <v>22</v>
      </c>
      <c r="I306">
        <v>1080041553</v>
      </c>
      <c r="J306" t="s">
        <v>4135</v>
      </c>
      <c r="P306" t="s">
        <v>4502</v>
      </c>
      <c r="Q306" s="15">
        <v>11025000</v>
      </c>
      <c r="R306" s="8" t="e">
        <f>SUMIFS([1]REPORTADOS!$D$2:$D$3379,[1]REPORTADOS!$C$2:$C$3379,E306)</f>
        <v>#VALUE!</v>
      </c>
      <c r="S306" s="8" t="e">
        <f t="shared" si="4"/>
        <v>#VALUE!</v>
      </c>
    </row>
    <row r="307" spans="1:19" x14ac:dyDescent="0.25">
      <c r="A307">
        <v>900091143</v>
      </c>
      <c r="B307" t="s">
        <v>3965</v>
      </c>
      <c r="C307" t="s">
        <v>3560</v>
      </c>
      <c r="E307" t="s">
        <v>3560</v>
      </c>
      <c r="H307" t="s">
        <v>22</v>
      </c>
      <c r="I307">
        <v>1004508406</v>
      </c>
      <c r="J307" t="s">
        <v>4136</v>
      </c>
      <c r="P307" t="s">
        <v>4503</v>
      </c>
      <c r="Q307" s="15">
        <v>11025000</v>
      </c>
      <c r="R307" s="8" t="e">
        <f>SUMIFS([1]REPORTADOS!$D$2:$D$3379,[1]REPORTADOS!$C$2:$C$3379,E307)</f>
        <v>#VALUE!</v>
      </c>
      <c r="S307" s="8" t="e">
        <f t="shared" si="4"/>
        <v>#VALUE!</v>
      </c>
    </row>
    <row r="308" spans="1:19" x14ac:dyDescent="0.25">
      <c r="A308">
        <v>900091143</v>
      </c>
      <c r="B308" t="s">
        <v>3965</v>
      </c>
      <c r="C308" t="s">
        <v>3561</v>
      </c>
      <c r="E308" t="s">
        <v>3561</v>
      </c>
      <c r="H308" t="s">
        <v>22</v>
      </c>
      <c r="I308">
        <v>1004709928</v>
      </c>
      <c r="J308" t="s">
        <v>2228</v>
      </c>
      <c r="P308" t="s">
        <v>4504</v>
      </c>
      <c r="Q308" s="15">
        <v>11025000</v>
      </c>
      <c r="R308" s="8" t="e">
        <f>SUMIFS([1]REPORTADOS!$D$2:$D$3379,[1]REPORTADOS!$C$2:$C$3379,E308)</f>
        <v>#VALUE!</v>
      </c>
      <c r="S308" s="8" t="e">
        <f t="shared" si="4"/>
        <v>#VALUE!</v>
      </c>
    </row>
    <row r="309" spans="1:19" x14ac:dyDescent="0.25">
      <c r="A309">
        <v>900091143</v>
      </c>
      <c r="B309" t="s">
        <v>3965</v>
      </c>
      <c r="C309" t="s">
        <v>3562</v>
      </c>
      <c r="E309" t="s">
        <v>3562</v>
      </c>
      <c r="H309" t="s">
        <v>22</v>
      </c>
      <c r="I309">
        <v>27087122</v>
      </c>
      <c r="J309" t="s">
        <v>1961</v>
      </c>
      <c r="P309" t="s">
        <v>4430</v>
      </c>
      <c r="Q309" s="15">
        <v>11025000</v>
      </c>
      <c r="R309" s="8" t="e">
        <f>SUMIFS([1]REPORTADOS!$D$2:$D$3379,[1]REPORTADOS!$C$2:$C$3379,E309)</f>
        <v>#VALUE!</v>
      </c>
      <c r="S309" s="8" t="e">
        <f t="shared" si="4"/>
        <v>#VALUE!</v>
      </c>
    </row>
    <row r="310" spans="1:19" x14ac:dyDescent="0.25">
      <c r="A310">
        <v>900091143</v>
      </c>
      <c r="B310" t="s">
        <v>3965</v>
      </c>
      <c r="C310" t="s">
        <v>3563</v>
      </c>
      <c r="E310" t="s">
        <v>3563</v>
      </c>
      <c r="H310" t="s">
        <v>22</v>
      </c>
      <c r="I310">
        <v>1087645341</v>
      </c>
      <c r="J310" t="s">
        <v>4137</v>
      </c>
      <c r="P310" t="s">
        <v>4430</v>
      </c>
      <c r="Q310" s="15">
        <v>12600000</v>
      </c>
      <c r="R310" s="8" t="e">
        <f>SUMIFS([1]REPORTADOS!$D$2:$D$3379,[1]REPORTADOS!$C$2:$C$3379,E310)</f>
        <v>#VALUE!</v>
      </c>
      <c r="S310" s="8" t="e">
        <f t="shared" si="4"/>
        <v>#VALUE!</v>
      </c>
    </row>
    <row r="311" spans="1:19" x14ac:dyDescent="0.25">
      <c r="A311">
        <v>900091143</v>
      </c>
      <c r="B311" t="s">
        <v>3965</v>
      </c>
      <c r="C311" t="s">
        <v>3564</v>
      </c>
      <c r="E311" t="s">
        <v>3564</v>
      </c>
      <c r="H311" t="s">
        <v>22</v>
      </c>
      <c r="I311">
        <v>27549931</v>
      </c>
      <c r="J311" t="s">
        <v>4138</v>
      </c>
      <c r="P311" t="s">
        <v>4430</v>
      </c>
      <c r="Q311" s="15">
        <v>12600000</v>
      </c>
      <c r="R311" s="8" t="e">
        <f>SUMIFS([1]REPORTADOS!$D$2:$D$3379,[1]REPORTADOS!$C$2:$C$3379,E311)</f>
        <v>#VALUE!</v>
      </c>
      <c r="S311" s="8" t="e">
        <f t="shared" si="4"/>
        <v>#VALUE!</v>
      </c>
    </row>
    <row r="312" spans="1:19" x14ac:dyDescent="0.25">
      <c r="A312">
        <v>900091143</v>
      </c>
      <c r="B312" t="s">
        <v>3965</v>
      </c>
      <c r="C312" t="s">
        <v>3565</v>
      </c>
      <c r="E312" t="s">
        <v>3565</v>
      </c>
      <c r="H312" t="s">
        <v>22</v>
      </c>
      <c r="I312">
        <v>1085325325</v>
      </c>
      <c r="J312" t="s">
        <v>2375</v>
      </c>
      <c r="P312" t="s">
        <v>4403</v>
      </c>
      <c r="Q312" s="8">
        <v>9450000</v>
      </c>
      <c r="R312" s="8" t="e">
        <f>SUMIFS([1]REPORTADOS!$D$2:$D$3379,[1]REPORTADOS!$C$2:$C$3379,E312)</f>
        <v>#VALUE!</v>
      </c>
      <c r="S312" s="8" t="e">
        <f t="shared" si="4"/>
        <v>#VALUE!</v>
      </c>
    </row>
    <row r="313" spans="1:19" x14ac:dyDescent="0.25">
      <c r="A313">
        <v>900091143</v>
      </c>
      <c r="B313" t="s">
        <v>3965</v>
      </c>
      <c r="C313" t="s">
        <v>3566</v>
      </c>
      <c r="E313" t="s">
        <v>3566</v>
      </c>
      <c r="H313" t="s">
        <v>22</v>
      </c>
      <c r="I313">
        <v>27276869</v>
      </c>
      <c r="J313" t="s">
        <v>4139</v>
      </c>
      <c r="P313" t="s">
        <v>4430</v>
      </c>
      <c r="Q313" s="15">
        <v>12600000</v>
      </c>
      <c r="R313" s="8" t="e">
        <f>SUMIFS([1]REPORTADOS!$D$2:$D$3379,[1]REPORTADOS!$C$2:$C$3379,E313)</f>
        <v>#VALUE!</v>
      </c>
      <c r="S313" s="8" t="e">
        <f t="shared" si="4"/>
        <v>#VALUE!</v>
      </c>
    </row>
    <row r="314" spans="1:19" x14ac:dyDescent="0.25">
      <c r="A314">
        <v>900091143</v>
      </c>
      <c r="B314" t="s">
        <v>3965</v>
      </c>
      <c r="C314" t="s">
        <v>3567</v>
      </c>
      <c r="E314" t="s">
        <v>3567</v>
      </c>
      <c r="H314" t="s">
        <v>22</v>
      </c>
      <c r="I314">
        <v>1086016304</v>
      </c>
      <c r="J314" t="s">
        <v>4140</v>
      </c>
      <c r="P314" t="s">
        <v>4430</v>
      </c>
      <c r="Q314" s="15">
        <v>12600000</v>
      </c>
      <c r="R314" s="8" t="e">
        <f>SUMIFS([1]REPORTADOS!$D$2:$D$3379,[1]REPORTADOS!$C$2:$C$3379,E314)</f>
        <v>#VALUE!</v>
      </c>
      <c r="S314" s="8" t="e">
        <f t="shared" si="4"/>
        <v>#VALUE!</v>
      </c>
    </row>
    <row r="315" spans="1:19" x14ac:dyDescent="0.25">
      <c r="A315">
        <v>900091143</v>
      </c>
      <c r="B315" t="s">
        <v>3965</v>
      </c>
      <c r="C315" t="s">
        <v>3568</v>
      </c>
      <c r="E315" t="s">
        <v>3568</v>
      </c>
      <c r="H315" t="s">
        <v>22</v>
      </c>
      <c r="I315">
        <v>36953590</v>
      </c>
      <c r="J315" t="s">
        <v>4141</v>
      </c>
      <c r="P315" t="s">
        <v>4430</v>
      </c>
      <c r="Q315" s="15">
        <v>12600000</v>
      </c>
      <c r="R315" s="8" t="e">
        <f>SUMIFS([1]REPORTADOS!$D$2:$D$3379,[1]REPORTADOS!$C$2:$C$3379,E315)</f>
        <v>#VALUE!</v>
      </c>
      <c r="S315" s="8" t="e">
        <f t="shared" si="4"/>
        <v>#VALUE!</v>
      </c>
    </row>
    <row r="316" spans="1:19" x14ac:dyDescent="0.25">
      <c r="A316">
        <v>900091143</v>
      </c>
      <c r="B316" t="s">
        <v>3965</v>
      </c>
      <c r="C316" t="s">
        <v>3569</v>
      </c>
      <c r="E316" t="s">
        <v>3569</v>
      </c>
      <c r="H316" t="s">
        <v>22</v>
      </c>
      <c r="I316">
        <v>98382500</v>
      </c>
      <c r="J316" t="s">
        <v>1802</v>
      </c>
      <c r="P316" t="s">
        <v>4505</v>
      </c>
      <c r="Q316" s="15">
        <v>12600000</v>
      </c>
      <c r="R316" s="8" t="e">
        <f>SUMIFS([1]REPORTADOS!$D$2:$D$3379,[1]REPORTADOS!$C$2:$C$3379,E316)</f>
        <v>#VALUE!</v>
      </c>
      <c r="S316" s="8" t="e">
        <f t="shared" si="4"/>
        <v>#VALUE!</v>
      </c>
    </row>
    <row r="317" spans="1:19" x14ac:dyDescent="0.25">
      <c r="A317">
        <v>900091143</v>
      </c>
      <c r="B317" t="s">
        <v>3965</v>
      </c>
      <c r="C317" t="s">
        <v>3570</v>
      </c>
      <c r="E317" t="s">
        <v>3570</v>
      </c>
      <c r="H317" t="s">
        <v>22</v>
      </c>
      <c r="I317">
        <v>12754447</v>
      </c>
      <c r="J317" t="s">
        <v>4142</v>
      </c>
      <c r="P317" t="s">
        <v>4506</v>
      </c>
      <c r="Q317" s="15">
        <v>14190000</v>
      </c>
      <c r="R317" s="8" t="e">
        <f>SUMIFS([1]REPORTADOS!$D$2:$D$3379,[1]REPORTADOS!$C$2:$C$3379,E317)</f>
        <v>#VALUE!</v>
      </c>
      <c r="S317" s="8" t="e">
        <f t="shared" si="4"/>
        <v>#VALUE!</v>
      </c>
    </row>
    <row r="318" spans="1:19" x14ac:dyDescent="0.25">
      <c r="A318">
        <v>900091143</v>
      </c>
      <c r="B318" t="s">
        <v>3965</v>
      </c>
      <c r="C318" t="s">
        <v>3571</v>
      </c>
      <c r="E318" t="s">
        <v>3571</v>
      </c>
      <c r="H318" t="s">
        <v>22</v>
      </c>
      <c r="I318">
        <v>1088730615</v>
      </c>
      <c r="J318" t="s">
        <v>4143</v>
      </c>
      <c r="P318" t="s">
        <v>4475</v>
      </c>
      <c r="Q318" s="15">
        <v>18920000</v>
      </c>
      <c r="R318" s="8" t="e">
        <f>SUMIFS([1]REPORTADOS!$D$2:$D$3379,[1]REPORTADOS!$C$2:$C$3379,E318)</f>
        <v>#VALUE!</v>
      </c>
      <c r="S318" s="8" t="e">
        <f t="shared" si="4"/>
        <v>#VALUE!</v>
      </c>
    </row>
    <row r="319" spans="1:19" x14ac:dyDescent="0.25">
      <c r="A319">
        <v>900091143</v>
      </c>
      <c r="B319" t="s">
        <v>3965</v>
      </c>
      <c r="C319" t="s">
        <v>3572</v>
      </c>
      <c r="E319" t="s">
        <v>3572</v>
      </c>
      <c r="H319" t="s">
        <v>22</v>
      </c>
      <c r="I319">
        <v>1085333467</v>
      </c>
      <c r="J319" t="s">
        <v>4144</v>
      </c>
      <c r="P319" t="s">
        <v>4475</v>
      </c>
      <c r="Q319" s="15">
        <v>18920000</v>
      </c>
      <c r="R319" s="8" t="e">
        <f>SUMIFS([1]REPORTADOS!$D$2:$D$3379,[1]REPORTADOS!$C$2:$C$3379,E319)</f>
        <v>#VALUE!</v>
      </c>
      <c r="S319" s="8" t="e">
        <f t="shared" si="4"/>
        <v>#VALUE!</v>
      </c>
    </row>
    <row r="320" spans="1:19" x14ac:dyDescent="0.25">
      <c r="A320">
        <v>900091143</v>
      </c>
      <c r="B320" t="s">
        <v>3965</v>
      </c>
      <c r="C320" t="s">
        <v>3573</v>
      </c>
      <c r="E320" t="s">
        <v>3573</v>
      </c>
      <c r="H320" t="s">
        <v>22</v>
      </c>
      <c r="I320">
        <v>36953206</v>
      </c>
      <c r="J320" t="s">
        <v>1807</v>
      </c>
      <c r="P320" t="s">
        <v>4507</v>
      </c>
      <c r="Q320" s="15">
        <v>18920000</v>
      </c>
      <c r="R320" s="8" t="e">
        <f>SUMIFS([1]REPORTADOS!$D$2:$D$3379,[1]REPORTADOS!$C$2:$C$3379,E320)</f>
        <v>#VALUE!</v>
      </c>
      <c r="S320" s="8" t="e">
        <f t="shared" si="4"/>
        <v>#VALUE!</v>
      </c>
    </row>
    <row r="321" spans="1:19" x14ac:dyDescent="0.25">
      <c r="A321">
        <v>900091143</v>
      </c>
      <c r="B321" t="s">
        <v>3965</v>
      </c>
      <c r="C321" t="s">
        <v>3574</v>
      </c>
      <c r="E321" t="s">
        <v>3574</v>
      </c>
      <c r="H321" t="s">
        <v>22</v>
      </c>
      <c r="I321">
        <v>59312865</v>
      </c>
      <c r="J321" t="s">
        <v>2197</v>
      </c>
      <c r="P321" t="s">
        <v>4508</v>
      </c>
      <c r="Q321" s="15">
        <v>18920000</v>
      </c>
      <c r="R321" s="8" t="e">
        <f>SUMIFS([1]REPORTADOS!$D$2:$D$3379,[1]REPORTADOS!$C$2:$C$3379,E321)</f>
        <v>#VALUE!</v>
      </c>
      <c r="S321" s="8" t="e">
        <f t="shared" si="4"/>
        <v>#VALUE!</v>
      </c>
    </row>
    <row r="322" spans="1:19" x14ac:dyDescent="0.25">
      <c r="A322">
        <v>900091143</v>
      </c>
      <c r="B322" t="s">
        <v>3965</v>
      </c>
      <c r="C322" t="s">
        <v>3575</v>
      </c>
      <c r="E322" t="s">
        <v>3575</v>
      </c>
      <c r="H322" t="s">
        <v>22</v>
      </c>
      <c r="I322">
        <v>27097745</v>
      </c>
      <c r="J322" t="s">
        <v>1978</v>
      </c>
      <c r="P322" t="s">
        <v>4509</v>
      </c>
      <c r="Q322" s="15">
        <v>22050000</v>
      </c>
      <c r="R322" s="8" t="e">
        <f>SUMIFS([1]REPORTADOS!$D$2:$D$3379,[1]REPORTADOS!$C$2:$C$3379,E322)</f>
        <v>#VALUE!</v>
      </c>
      <c r="S322" s="8" t="e">
        <f t="shared" si="4"/>
        <v>#VALUE!</v>
      </c>
    </row>
    <row r="323" spans="1:19" x14ac:dyDescent="0.25">
      <c r="A323">
        <v>900091143</v>
      </c>
      <c r="B323" t="s">
        <v>3965</v>
      </c>
      <c r="C323" t="s">
        <v>3576</v>
      </c>
      <c r="E323" t="s">
        <v>3576</v>
      </c>
      <c r="H323" t="s">
        <v>22</v>
      </c>
      <c r="I323">
        <v>36952916</v>
      </c>
      <c r="J323" t="s">
        <v>4145</v>
      </c>
      <c r="P323" t="s">
        <v>4510</v>
      </c>
      <c r="Q323" s="15">
        <v>22050000</v>
      </c>
      <c r="R323" s="8" t="e">
        <f>SUMIFS([1]REPORTADOS!$D$2:$D$3379,[1]REPORTADOS!$C$2:$C$3379,E323)</f>
        <v>#VALUE!</v>
      </c>
      <c r="S323" s="8" t="e">
        <f t="shared" ref="S323:S386" si="5">Q323-R323</f>
        <v>#VALUE!</v>
      </c>
    </row>
    <row r="324" spans="1:19" x14ac:dyDescent="0.25">
      <c r="A324">
        <v>900091143</v>
      </c>
      <c r="B324" t="s">
        <v>3965</v>
      </c>
      <c r="C324" t="s">
        <v>3577</v>
      </c>
      <c r="E324" t="s">
        <v>3577</v>
      </c>
      <c r="H324" t="s">
        <v>22</v>
      </c>
      <c r="I324">
        <v>1085298800</v>
      </c>
      <c r="J324" t="s">
        <v>4146</v>
      </c>
      <c r="P324" t="s">
        <v>4511</v>
      </c>
      <c r="Q324" s="15">
        <v>23400000</v>
      </c>
      <c r="R324" s="8" t="e">
        <f>SUMIFS([1]REPORTADOS!$D$2:$D$3379,[1]REPORTADOS!$C$2:$C$3379,E324)</f>
        <v>#VALUE!</v>
      </c>
      <c r="S324" s="8" t="e">
        <f t="shared" si="5"/>
        <v>#VALUE!</v>
      </c>
    </row>
    <row r="325" spans="1:19" x14ac:dyDescent="0.25">
      <c r="A325">
        <v>900091143</v>
      </c>
      <c r="B325" t="s">
        <v>3965</v>
      </c>
      <c r="C325" t="s">
        <v>3578</v>
      </c>
      <c r="E325" t="s">
        <v>3578</v>
      </c>
      <c r="H325" t="s">
        <v>22</v>
      </c>
      <c r="I325">
        <v>1084224761</v>
      </c>
      <c r="J325" t="s">
        <v>4147</v>
      </c>
      <c r="P325" t="s">
        <v>4452</v>
      </c>
      <c r="Q325" s="15">
        <v>25200000</v>
      </c>
      <c r="R325" s="8" t="e">
        <f>SUMIFS([1]REPORTADOS!$D$2:$D$3379,[1]REPORTADOS!$C$2:$C$3379,E325)</f>
        <v>#VALUE!</v>
      </c>
      <c r="S325" s="8" t="e">
        <f t="shared" si="5"/>
        <v>#VALUE!</v>
      </c>
    </row>
    <row r="326" spans="1:19" x14ac:dyDescent="0.25">
      <c r="A326">
        <v>900091143</v>
      </c>
      <c r="B326" t="s">
        <v>3965</v>
      </c>
      <c r="C326" t="s">
        <v>3579</v>
      </c>
      <c r="E326" t="s">
        <v>3579</v>
      </c>
      <c r="H326" t="s">
        <v>22</v>
      </c>
      <c r="I326">
        <v>27090399</v>
      </c>
      <c r="J326" t="s">
        <v>4148</v>
      </c>
      <c r="P326" t="s">
        <v>4452</v>
      </c>
      <c r="Q326" s="15">
        <v>25200000</v>
      </c>
      <c r="R326" s="8" t="e">
        <f>SUMIFS([1]REPORTADOS!$D$2:$D$3379,[1]REPORTADOS!$C$2:$C$3379,E326)</f>
        <v>#VALUE!</v>
      </c>
      <c r="S326" s="8" t="e">
        <f t="shared" si="5"/>
        <v>#VALUE!</v>
      </c>
    </row>
    <row r="327" spans="1:19" x14ac:dyDescent="0.25">
      <c r="A327">
        <v>900091143</v>
      </c>
      <c r="B327" t="s">
        <v>3965</v>
      </c>
      <c r="C327" t="s">
        <v>3580</v>
      </c>
      <c r="E327" t="s">
        <v>3580</v>
      </c>
      <c r="H327" t="s">
        <v>22</v>
      </c>
      <c r="I327">
        <v>1014212900</v>
      </c>
      <c r="J327" t="s">
        <v>4149</v>
      </c>
      <c r="P327" t="s">
        <v>4452</v>
      </c>
      <c r="Q327" s="15">
        <v>25200000</v>
      </c>
      <c r="R327" s="8" t="e">
        <f>SUMIFS([1]REPORTADOS!$D$2:$D$3379,[1]REPORTADOS!$C$2:$C$3379,E327)</f>
        <v>#VALUE!</v>
      </c>
      <c r="S327" s="8" t="e">
        <f t="shared" si="5"/>
        <v>#VALUE!</v>
      </c>
    </row>
    <row r="328" spans="1:19" x14ac:dyDescent="0.25">
      <c r="A328">
        <v>900091143</v>
      </c>
      <c r="B328" t="s">
        <v>3965</v>
      </c>
      <c r="C328" t="s">
        <v>3581</v>
      </c>
      <c r="E328" t="s">
        <v>3581</v>
      </c>
      <c r="H328" t="s">
        <v>22</v>
      </c>
      <c r="I328">
        <v>37086513</v>
      </c>
      <c r="J328" t="s">
        <v>4150</v>
      </c>
      <c r="P328" t="s">
        <v>4509</v>
      </c>
      <c r="Q328" s="15">
        <v>25200000</v>
      </c>
      <c r="R328" s="8" t="e">
        <f>SUMIFS([1]REPORTADOS!$D$2:$D$3379,[1]REPORTADOS!$C$2:$C$3379,E328)</f>
        <v>#VALUE!</v>
      </c>
      <c r="S328" s="8" t="e">
        <f t="shared" si="5"/>
        <v>#VALUE!</v>
      </c>
    </row>
    <row r="329" spans="1:19" x14ac:dyDescent="0.25">
      <c r="A329">
        <v>900091143</v>
      </c>
      <c r="B329" t="s">
        <v>3965</v>
      </c>
      <c r="C329" t="s">
        <v>3582</v>
      </c>
      <c r="E329" t="s">
        <v>3582</v>
      </c>
      <c r="H329" t="s">
        <v>22</v>
      </c>
      <c r="I329">
        <v>1085284997</v>
      </c>
      <c r="J329" t="s">
        <v>4151</v>
      </c>
      <c r="P329" t="s">
        <v>4512</v>
      </c>
      <c r="Q329" s="15">
        <v>25200000</v>
      </c>
      <c r="R329" s="8" t="e">
        <f>SUMIFS([1]REPORTADOS!$D$2:$D$3379,[1]REPORTADOS!$C$2:$C$3379,E329)</f>
        <v>#VALUE!</v>
      </c>
      <c r="S329" s="8" t="e">
        <f t="shared" si="5"/>
        <v>#VALUE!</v>
      </c>
    </row>
    <row r="330" spans="1:19" x14ac:dyDescent="0.25">
      <c r="A330">
        <v>900091143</v>
      </c>
      <c r="B330" t="s">
        <v>3965</v>
      </c>
      <c r="C330" t="s">
        <v>3583</v>
      </c>
      <c r="E330" t="s">
        <v>3583</v>
      </c>
      <c r="H330" t="s">
        <v>22</v>
      </c>
      <c r="I330">
        <v>36757221</v>
      </c>
      <c r="J330" t="s">
        <v>2497</v>
      </c>
      <c r="P330" t="s">
        <v>4470</v>
      </c>
      <c r="Q330" s="15">
        <v>25200000</v>
      </c>
      <c r="R330" s="8" t="e">
        <f>SUMIFS([1]REPORTADOS!$D$2:$D$3379,[1]REPORTADOS!$C$2:$C$3379,E330)</f>
        <v>#VALUE!</v>
      </c>
      <c r="S330" s="8" t="e">
        <f t="shared" si="5"/>
        <v>#VALUE!</v>
      </c>
    </row>
    <row r="331" spans="1:19" x14ac:dyDescent="0.25">
      <c r="A331">
        <v>900091143</v>
      </c>
      <c r="B331" t="s">
        <v>3965</v>
      </c>
      <c r="C331" t="s">
        <v>3584</v>
      </c>
      <c r="E331" t="s">
        <v>3584</v>
      </c>
      <c r="H331" t="s">
        <v>22</v>
      </c>
      <c r="I331">
        <v>1085246871</v>
      </c>
      <c r="J331" t="s">
        <v>4152</v>
      </c>
      <c r="P331" t="s">
        <v>4498</v>
      </c>
      <c r="Q331" s="15">
        <v>31200000</v>
      </c>
      <c r="R331" s="8" t="e">
        <f>SUMIFS([1]REPORTADOS!$D$2:$D$3379,[1]REPORTADOS!$C$2:$C$3379,E331)</f>
        <v>#VALUE!</v>
      </c>
      <c r="S331" s="8" t="e">
        <f t="shared" si="5"/>
        <v>#VALUE!</v>
      </c>
    </row>
    <row r="332" spans="1:19" x14ac:dyDescent="0.25">
      <c r="A332">
        <v>900091143</v>
      </c>
      <c r="B332" t="s">
        <v>3965</v>
      </c>
      <c r="C332" t="s">
        <v>3585</v>
      </c>
      <c r="E332" t="s">
        <v>3585</v>
      </c>
      <c r="H332" t="s">
        <v>22</v>
      </c>
      <c r="I332">
        <v>1085275879</v>
      </c>
      <c r="J332" t="s">
        <v>1906</v>
      </c>
      <c r="P332" t="s">
        <v>4403</v>
      </c>
      <c r="Q332" s="8">
        <v>18900000</v>
      </c>
      <c r="R332" s="8" t="e">
        <f>SUMIFS([1]REPORTADOS!$D$2:$D$3379,[1]REPORTADOS!$C$2:$C$3379,E332)</f>
        <v>#VALUE!</v>
      </c>
      <c r="S332" s="8" t="e">
        <f t="shared" si="5"/>
        <v>#VALUE!</v>
      </c>
    </row>
    <row r="333" spans="1:19" x14ac:dyDescent="0.25">
      <c r="A333">
        <v>900091143</v>
      </c>
      <c r="B333" t="s">
        <v>3965</v>
      </c>
      <c r="C333" t="s">
        <v>3586</v>
      </c>
      <c r="E333" t="s">
        <v>3586</v>
      </c>
      <c r="H333" t="s">
        <v>22</v>
      </c>
      <c r="I333">
        <v>1081594639</v>
      </c>
      <c r="J333" t="s">
        <v>4153</v>
      </c>
      <c r="P333" t="s">
        <v>4403</v>
      </c>
      <c r="Q333" s="8">
        <v>9450000</v>
      </c>
      <c r="R333" s="8" t="e">
        <f>SUMIFS([1]REPORTADOS!$D$2:$D$3379,[1]REPORTADOS!$C$2:$C$3379,E333)</f>
        <v>#VALUE!</v>
      </c>
      <c r="S333" s="8" t="e">
        <f t="shared" si="5"/>
        <v>#VALUE!</v>
      </c>
    </row>
    <row r="334" spans="1:19" x14ac:dyDescent="0.25">
      <c r="A334">
        <v>900091143</v>
      </c>
      <c r="B334" t="s">
        <v>3965</v>
      </c>
      <c r="C334" t="s">
        <v>3587</v>
      </c>
      <c r="E334" t="s">
        <v>3587</v>
      </c>
      <c r="H334" t="s">
        <v>22</v>
      </c>
      <c r="I334">
        <v>1086328142</v>
      </c>
      <c r="J334" t="s">
        <v>2432</v>
      </c>
      <c r="P334" t="s">
        <v>4403</v>
      </c>
      <c r="Q334" s="8">
        <v>9450000</v>
      </c>
      <c r="R334" s="8" t="e">
        <f>SUMIFS([1]REPORTADOS!$D$2:$D$3379,[1]REPORTADOS!$C$2:$C$3379,E334)</f>
        <v>#VALUE!</v>
      </c>
      <c r="S334" s="8" t="e">
        <f t="shared" si="5"/>
        <v>#VALUE!</v>
      </c>
    </row>
    <row r="335" spans="1:19" x14ac:dyDescent="0.25">
      <c r="A335">
        <v>900091143</v>
      </c>
      <c r="B335" t="s">
        <v>3965</v>
      </c>
      <c r="C335" t="s">
        <v>3588</v>
      </c>
      <c r="E335" t="s">
        <v>3588</v>
      </c>
      <c r="H335" t="s">
        <v>22</v>
      </c>
      <c r="I335">
        <v>37084285</v>
      </c>
      <c r="J335" t="s">
        <v>1724</v>
      </c>
      <c r="P335" t="s">
        <v>4403</v>
      </c>
      <c r="Q335" s="8">
        <v>9450000</v>
      </c>
      <c r="R335" s="8" t="e">
        <f>SUMIFS([1]REPORTADOS!$D$2:$D$3379,[1]REPORTADOS!$C$2:$C$3379,E335)</f>
        <v>#VALUE!</v>
      </c>
      <c r="S335" s="8" t="e">
        <f t="shared" si="5"/>
        <v>#VALUE!</v>
      </c>
    </row>
    <row r="336" spans="1:19" x14ac:dyDescent="0.25">
      <c r="A336">
        <v>900091143</v>
      </c>
      <c r="B336" t="s">
        <v>3965</v>
      </c>
      <c r="C336" t="s">
        <v>3589</v>
      </c>
      <c r="E336" t="s">
        <v>3589</v>
      </c>
      <c r="H336" t="s">
        <v>22</v>
      </c>
      <c r="I336">
        <v>1085244624</v>
      </c>
      <c r="J336" t="s">
        <v>4154</v>
      </c>
      <c r="P336" t="s">
        <v>4498</v>
      </c>
      <c r="Q336" s="15">
        <v>31200000</v>
      </c>
      <c r="R336" s="8" t="e">
        <f>SUMIFS([1]REPORTADOS!$D$2:$D$3379,[1]REPORTADOS!$C$2:$C$3379,E336)</f>
        <v>#VALUE!</v>
      </c>
      <c r="S336" s="8" t="e">
        <f t="shared" si="5"/>
        <v>#VALUE!</v>
      </c>
    </row>
    <row r="337" spans="1:19" x14ac:dyDescent="0.25">
      <c r="A337">
        <v>900091143</v>
      </c>
      <c r="B337" t="s">
        <v>3965</v>
      </c>
      <c r="C337" t="s">
        <v>3590</v>
      </c>
      <c r="E337" t="s">
        <v>3590</v>
      </c>
      <c r="H337" t="s">
        <v>22</v>
      </c>
      <c r="I337">
        <v>1086361622</v>
      </c>
      <c r="J337" t="s">
        <v>4029</v>
      </c>
      <c r="P337" t="s">
        <v>4403</v>
      </c>
      <c r="Q337" s="8">
        <v>9450000</v>
      </c>
      <c r="R337" s="8" t="e">
        <f>SUMIFS([1]REPORTADOS!$D$2:$D$3379,[1]REPORTADOS!$C$2:$C$3379,E337)</f>
        <v>#VALUE!</v>
      </c>
      <c r="S337" s="8" t="e">
        <f t="shared" si="5"/>
        <v>#VALUE!</v>
      </c>
    </row>
    <row r="338" spans="1:19" x14ac:dyDescent="0.25">
      <c r="A338">
        <v>900091143</v>
      </c>
      <c r="B338" t="s">
        <v>3965</v>
      </c>
      <c r="C338" t="s">
        <v>3591</v>
      </c>
      <c r="E338" t="s">
        <v>3591</v>
      </c>
      <c r="H338" t="s">
        <v>22</v>
      </c>
      <c r="I338">
        <v>1005977438</v>
      </c>
      <c r="J338" t="s">
        <v>4035</v>
      </c>
      <c r="P338" t="s">
        <v>4403</v>
      </c>
      <c r="Q338" s="8">
        <v>9450000</v>
      </c>
      <c r="R338" s="8" t="e">
        <f>SUMIFS([1]REPORTADOS!$D$2:$D$3379,[1]REPORTADOS!$C$2:$C$3379,E338)</f>
        <v>#VALUE!</v>
      </c>
      <c r="S338" s="8" t="e">
        <f t="shared" si="5"/>
        <v>#VALUE!</v>
      </c>
    </row>
    <row r="339" spans="1:19" x14ac:dyDescent="0.25">
      <c r="A339">
        <v>900091143</v>
      </c>
      <c r="B339" t="s">
        <v>3965</v>
      </c>
      <c r="C339" t="s">
        <v>3592</v>
      </c>
      <c r="E339" t="s">
        <v>3592</v>
      </c>
      <c r="H339" t="s">
        <v>22</v>
      </c>
      <c r="I339">
        <v>1086755989</v>
      </c>
      <c r="J339" t="s">
        <v>4155</v>
      </c>
      <c r="P339" t="s">
        <v>4403</v>
      </c>
      <c r="Q339" s="8">
        <v>18900000</v>
      </c>
      <c r="R339" s="8" t="e">
        <f>SUMIFS([1]REPORTADOS!$D$2:$D$3379,[1]REPORTADOS!$C$2:$C$3379,E339)</f>
        <v>#VALUE!</v>
      </c>
      <c r="S339" s="8" t="e">
        <f t="shared" si="5"/>
        <v>#VALUE!</v>
      </c>
    </row>
    <row r="340" spans="1:19" x14ac:dyDescent="0.25">
      <c r="A340">
        <v>900091143</v>
      </c>
      <c r="B340" t="s">
        <v>3965</v>
      </c>
      <c r="C340" t="s">
        <v>3593</v>
      </c>
      <c r="E340" t="s">
        <v>3593</v>
      </c>
      <c r="H340" t="s">
        <v>22</v>
      </c>
      <c r="I340">
        <v>1233189066</v>
      </c>
      <c r="J340" t="s">
        <v>4156</v>
      </c>
      <c r="P340" t="s">
        <v>4447</v>
      </c>
      <c r="Q340" s="8">
        <v>7800000</v>
      </c>
      <c r="R340" s="8" t="e">
        <f>SUMIFS([1]REPORTADOS!$D$2:$D$3379,[1]REPORTADOS!$C$2:$C$3379,E340)</f>
        <v>#VALUE!</v>
      </c>
      <c r="S340" s="8" t="e">
        <f t="shared" si="5"/>
        <v>#VALUE!</v>
      </c>
    </row>
    <row r="341" spans="1:19" x14ac:dyDescent="0.25">
      <c r="A341">
        <v>900091143</v>
      </c>
      <c r="B341" t="s">
        <v>3965</v>
      </c>
      <c r="C341" t="s">
        <v>3594</v>
      </c>
      <c r="E341" t="s">
        <v>3594</v>
      </c>
      <c r="H341" t="s">
        <v>22</v>
      </c>
      <c r="I341">
        <v>80765093</v>
      </c>
      <c r="J341" t="s">
        <v>1651</v>
      </c>
      <c r="P341" t="s">
        <v>4447</v>
      </c>
      <c r="Q341" s="8">
        <v>23400000</v>
      </c>
      <c r="R341" s="8" t="e">
        <f>SUMIFS([1]REPORTADOS!$D$2:$D$3379,[1]REPORTADOS!$C$2:$C$3379,E341)</f>
        <v>#VALUE!</v>
      </c>
      <c r="S341" s="8" t="e">
        <f t="shared" si="5"/>
        <v>#VALUE!</v>
      </c>
    </row>
    <row r="342" spans="1:19" x14ac:dyDescent="0.25">
      <c r="A342">
        <v>900091143</v>
      </c>
      <c r="B342" t="s">
        <v>3965</v>
      </c>
      <c r="C342" t="s">
        <v>3595</v>
      </c>
      <c r="E342" t="s">
        <v>3595</v>
      </c>
      <c r="H342" t="s">
        <v>22</v>
      </c>
      <c r="I342">
        <v>1085283868</v>
      </c>
      <c r="J342" t="s">
        <v>4113</v>
      </c>
      <c r="P342" t="s">
        <v>4403</v>
      </c>
      <c r="Q342" s="8">
        <v>18900000</v>
      </c>
      <c r="R342" s="8" t="e">
        <f>SUMIFS([1]REPORTADOS!$D$2:$D$3379,[1]REPORTADOS!$C$2:$C$3379,E342)</f>
        <v>#VALUE!</v>
      </c>
      <c r="S342" s="8" t="e">
        <f t="shared" si="5"/>
        <v>#VALUE!</v>
      </c>
    </row>
    <row r="343" spans="1:19" x14ac:dyDescent="0.25">
      <c r="A343">
        <v>900091143</v>
      </c>
      <c r="B343" t="s">
        <v>3965</v>
      </c>
      <c r="C343" t="s">
        <v>3596</v>
      </c>
      <c r="E343" t="s">
        <v>3596</v>
      </c>
      <c r="H343" t="s">
        <v>22</v>
      </c>
      <c r="I343">
        <v>59816986</v>
      </c>
      <c r="J343" t="s">
        <v>2257</v>
      </c>
      <c r="P343" t="s">
        <v>4447</v>
      </c>
      <c r="Q343" s="8">
        <v>14190000</v>
      </c>
      <c r="R343" s="8" t="e">
        <f>SUMIFS([1]REPORTADOS!$D$2:$D$3379,[1]REPORTADOS!$C$2:$C$3379,E343)</f>
        <v>#VALUE!</v>
      </c>
      <c r="S343" s="8" t="e">
        <f t="shared" si="5"/>
        <v>#VALUE!</v>
      </c>
    </row>
    <row r="344" spans="1:19" x14ac:dyDescent="0.25">
      <c r="A344">
        <v>900091143</v>
      </c>
      <c r="B344" t="s">
        <v>3965</v>
      </c>
      <c r="C344" t="s">
        <v>3597</v>
      </c>
      <c r="E344" t="s">
        <v>3597</v>
      </c>
      <c r="H344" t="s">
        <v>22</v>
      </c>
      <c r="I344">
        <v>36756149</v>
      </c>
      <c r="J344" t="s">
        <v>4089</v>
      </c>
      <c r="P344" t="s">
        <v>4447</v>
      </c>
      <c r="Q344" s="8">
        <v>14190000</v>
      </c>
      <c r="R344" s="8" t="e">
        <f>SUMIFS([1]REPORTADOS!$D$2:$D$3379,[1]REPORTADOS!$C$2:$C$3379,E344)</f>
        <v>#VALUE!</v>
      </c>
      <c r="S344" s="8" t="e">
        <f t="shared" si="5"/>
        <v>#VALUE!</v>
      </c>
    </row>
    <row r="345" spans="1:19" x14ac:dyDescent="0.25">
      <c r="A345">
        <v>900091143</v>
      </c>
      <c r="B345" t="s">
        <v>3965</v>
      </c>
      <c r="C345" t="s">
        <v>3598</v>
      </c>
      <c r="E345" t="s">
        <v>3598</v>
      </c>
      <c r="H345" t="s">
        <v>22</v>
      </c>
      <c r="I345">
        <v>1082749648</v>
      </c>
      <c r="J345" t="s">
        <v>4095</v>
      </c>
      <c r="P345" t="s">
        <v>4447</v>
      </c>
      <c r="Q345" s="8">
        <v>14190000</v>
      </c>
      <c r="R345" s="8" t="e">
        <f>SUMIFS([1]REPORTADOS!$D$2:$D$3379,[1]REPORTADOS!$C$2:$C$3379,E345)</f>
        <v>#VALUE!</v>
      </c>
      <c r="S345" s="8" t="e">
        <f t="shared" si="5"/>
        <v>#VALUE!</v>
      </c>
    </row>
    <row r="346" spans="1:19" x14ac:dyDescent="0.25">
      <c r="A346">
        <v>900091143</v>
      </c>
      <c r="B346" t="s">
        <v>3965</v>
      </c>
      <c r="C346" t="s">
        <v>3599</v>
      </c>
      <c r="E346" t="s">
        <v>3599</v>
      </c>
      <c r="H346" t="s">
        <v>22</v>
      </c>
      <c r="I346">
        <v>59825948</v>
      </c>
      <c r="J346" t="s">
        <v>1756</v>
      </c>
      <c r="P346" t="s">
        <v>4403</v>
      </c>
      <c r="Q346" s="8">
        <v>18900000</v>
      </c>
      <c r="R346" s="8" t="e">
        <f>SUMIFS([1]REPORTADOS!$D$2:$D$3379,[1]REPORTADOS!$C$2:$C$3379,E346)</f>
        <v>#VALUE!</v>
      </c>
      <c r="S346" s="8" t="e">
        <f t="shared" si="5"/>
        <v>#VALUE!</v>
      </c>
    </row>
    <row r="347" spans="1:19" x14ac:dyDescent="0.25">
      <c r="A347">
        <v>900091143</v>
      </c>
      <c r="B347" t="s">
        <v>3965</v>
      </c>
      <c r="C347" t="s">
        <v>3600</v>
      </c>
      <c r="E347" t="s">
        <v>3600</v>
      </c>
      <c r="H347" t="s">
        <v>22</v>
      </c>
      <c r="I347">
        <v>1085336362</v>
      </c>
      <c r="J347" t="s">
        <v>1819</v>
      </c>
      <c r="P347" t="s">
        <v>4447</v>
      </c>
      <c r="Q347" s="8">
        <v>23400000</v>
      </c>
      <c r="R347" s="8" t="e">
        <f>SUMIFS([1]REPORTADOS!$D$2:$D$3379,[1]REPORTADOS!$C$2:$C$3379,E347)</f>
        <v>#VALUE!</v>
      </c>
      <c r="S347" s="8" t="e">
        <f t="shared" si="5"/>
        <v>#VALUE!</v>
      </c>
    </row>
    <row r="348" spans="1:19" x14ac:dyDescent="0.25">
      <c r="A348">
        <v>900091143</v>
      </c>
      <c r="B348" t="s">
        <v>3965</v>
      </c>
      <c r="C348" t="s">
        <v>3601</v>
      </c>
      <c r="E348" t="s">
        <v>3601</v>
      </c>
      <c r="H348" t="s">
        <v>22</v>
      </c>
      <c r="I348">
        <v>1006946167</v>
      </c>
      <c r="J348" t="s">
        <v>2168</v>
      </c>
      <c r="P348" t="s">
        <v>4447</v>
      </c>
      <c r="Q348" s="8">
        <v>23400000</v>
      </c>
      <c r="R348" s="8" t="e">
        <f>SUMIFS([1]REPORTADOS!$D$2:$D$3379,[1]REPORTADOS!$C$2:$C$3379,E348)</f>
        <v>#VALUE!</v>
      </c>
      <c r="S348" s="8" t="e">
        <f t="shared" si="5"/>
        <v>#VALUE!</v>
      </c>
    </row>
    <row r="349" spans="1:19" x14ac:dyDescent="0.25">
      <c r="A349">
        <v>900091143</v>
      </c>
      <c r="B349" t="s">
        <v>3965</v>
      </c>
      <c r="C349" t="s">
        <v>3602</v>
      </c>
      <c r="E349" t="s">
        <v>3602</v>
      </c>
      <c r="H349" t="s">
        <v>22</v>
      </c>
      <c r="I349">
        <v>1085275473</v>
      </c>
      <c r="J349" t="s">
        <v>4157</v>
      </c>
      <c r="P349" t="s">
        <v>4403</v>
      </c>
      <c r="Q349" s="8">
        <v>9450000</v>
      </c>
      <c r="R349" s="8" t="e">
        <f>SUMIFS([1]REPORTADOS!$D$2:$D$3379,[1]REPORTADOS!$C$2:$C$3379,E349)</f>
        <v>#VALUE!</v>
      </c>
      <c r="S349" s="8" t="e">
        <f t="shared" si="5"/>
        <v>#VALUE!</v>
      </c>
    </row>
    <row r="350" spans="1:19" x14ac:dyDescent="0.25">
      <c r="A350">
        <v>900091143</v>
      </c>
      <c r="B350" t="s">
        <v>3965</v>
      </c>
      <c r="C350" t="s">
        <v>3603</v>
      </c>
      <c r="E350" t="s">
        <v>3603</v>
      </c>
      <c r="H350" t="s">
        <v>22</v>
      </c>
      <c r="I350">
        <v>59833899</v>
      </c>
      <c r="J350" t="s">
        <v>2035</v>
      </c>
      <c r="P350" t="s">
        <v>4403</v>
      </c>
      <c r="Q350" s="8">
        <v>9450000</v>
      </c>
      <c r="R350" s="8" t="e">
        <f>SUMIFS([1]REPORTADOS!$D$2:$D$3379,[1]REPORTADOS!$C$2:$C$3379,E350)</f>
        <v>#VALUE!</v>
      </c>
      <c r="S350" s="8" t="e">
        <f t="shared" si="5"/>
        <v>#VALUE!</v>
      </c>
    </row>
    <row r="351" spans="1:19" x14ac:dyDescent="0.25">
      <c r="A351">
        <v>900091143</v>
      </c>
      <c r="B351" t="s">
        <v>3965</v>
      </c>
      <c r="C351" t="s">
        <v>3604</v>
      </c>
      <c r="E351" t="s">
        <v>3604</v>
      </c>
      <c r="H351" t="s">
        <v>22</v>
      </c>
      <c r="I351">
        <v>36759759</v>
      </c>
      <c r="J351" t="s">
        <v>1708</v>
      </c>
      <c r="P351" t="s">
        <v>4447</v>
      </c>
      <c r="Q351" s="8">
        <v>14190000</v>
      </c>
      <c r="R351" s="8" t="e">
        <f>SUMIFS([1]REPORTADOS!$D$2:$D$3379,[1]REPORTADOS!$C$2:$C$3379,E351)</f>
        <v>#VALUE!</v>
      </c>
      <c r="S351" s="8" t="e">
        <f t="shared" si="5"/>
        <v>#VALUE!</v>
      </c>
    </row>
    <row r="352" spans="1:19" x14ac:dyDescent="0.25">
      <c r="A352">
        <v>900091143</v>
      </c>
      <c r="B352" t="s">
        <v>3965</v>
      </c>
      <c r="C352" t="s">
        <v>3605</v>
      </c>
      <c r="E352" t="s">
        <v>3605</v>
      </c>
      <c r="H352" t="s">
        <v>22</v>
      </c>
      <c r="I352">
        <v>1085248939</v>
      </c>
      <c r="J352" t="s">
        <v>2609</v>
      </c>
      <c r="P352" t="s">
        <v>4403</v>
      </c>
      <c r="Q352" s="8">
        <v>18900000</v>
      </c>
      <c r="R352" s="8" t="e">
        <f>SUMIFS([1]REPORTADOS!$D$2:$D$3379,[1]REPORTADOS!$C$2:$C$3379,E352)</f>
        <v>#VALUE!</v>
      </c>
      <c r="S352" s="8" t="e">
        <f t="shared" si="5"/>
        <v>#VALUE!</v>
      </c>
    </row>
    <row r="353" spans="1:19" x14ac:dyDescent="0.25">
      <c r="A353">
        <v>900091143</v>
      </c>
      <c r="B353" t="s">
        <v>3965</v>
      </c>
      <c r="C353" t="s">
        <v>3606</v>
      </c>
      <c r="E353" t="s">
        <v>3606</v>
      </c>
      <c r="H353" t="s">
        <v>22</v>
      </c>
      <c r="I353">
        <v>1085339190</v>
      </c>
      <c r="J353" t="s">
        <v>1762</v>
      </c>
      <c r="P353" t="s">
        <v>4403</v>
      </c>
      <c r="Q353" s="8">
        <v>9450000</v>
      </c>
      <c r="R353" s="8" t="e">
        <f>SUMIFS([1]REPORTADOS!$D$2:$D$3379,[1]REPORTADOS!$C$2:$C$3379,E353)</f>
        <v>#VALUE!</v>
      </c>
      <c r="S353" s="8" t="e">
        <f t="shared" si="5"/>
        <v>#VALUE!</v>
      </c>
    </row>
    <row r="354" spans="1:19" x14ac:dyDescent="0.25">
      <c r="A354">
        <v>900091143</v>
      </c>
      <c r="B354" t="s">
        <v>3965</v>
      </c>
      <c r="C354" t="s">
        <v>3607</v>
      </c>
      <c r="E354" t="s">
        <v>3607</v>
      </c>
      <c r="H354" t="s">
        <v>22</v>
      </c>
      <c r="I354">
        <v>1085300095</v>
      </c>
      <c r="J354" t="s">
        <v>1717</v>
      </c>
      <c r="P354" t="s">
        <v>4403</v>
      </c>
      <c r="Q354" s="8">
        <v>9450000</v>
      </c>
      <c r="R354" s="8" t="e">
        <f>SUMIFS([1]REPORTADOS!$D$2:$D$3379,[1]REPORTADOS!$C$2:$C$3379,E354)</f>
        <v>#VALUE!</v>
      </c>
      <c r="S354" s="8" t="e">
        <f t="shared" si="5"/>
        <v>#VALUE!</v>
      </c>
    </row>
    <row r="355" spans="1:19" x14ac:dyDescent="0.25">
      <c r="A355">
        <v>900091143</v>
      </c>
      <c r="B355" t="s">
        <v>3965</v>
      </c>
      <c r="C355" t="s">
        <v>3608</v>
      </c>
      <c r="E355" t="s">
        <v>3608</v>
      </c>
      <c r="H355" t="s">
        <v>22</v>
      </c>
      <c r="I355">
        <v>59820414</v>
      </c>
      <c r="J355" t="s">
        <v>1846</v>
      </c>
      <c r="P355" t="s">
        <v>4403</v>
      </c>
      <c r="Q355" s="8">
        <v>18900000</v>
      </c>
      <c r="R355" s="8" t="e">
        <f>SUMIFS([1]REPORTADOS!$D$2:$D$3379,[1]REPORTADOS!$C$2:$C$3379,E355)</f>
        <v>#VALUE!</v>
      </c>
      <c r="S355" s="8" t="e">
        <f t="shared" si="5"/>
        <v>#VALUE!</v>
      </c>
    </row>
    <row r="356" spans="1:19" x14ac:dyDescent="0.25">
      <c r="A356">
        <v>900091143</v>
      </c>
      <c r="B356" t="s">
        <v>3965</v>
      </c>
      <c r="C356" t="s">
        <v>3609</v>
      </c>
      <c r="E356" t="s">
        <v>3609</v>
      </c>
      <c r="H356" t="s">
        <v>22</v>
      </c>
      <c r="I356">
        <v>1085338921</v>
      </c>
      <c r="J356" t="s">
        <v>4008</v>
      </c>
      <c r="P356" t="s">
        <v>4403</v>
      </c>
      <c r="Q356" s="8">
        <v>9450000</v>
      </c>
      <c r="R356" s="8" t="e">
        <f>SUMIFS([1]REPORTADOS!$D$2:$D$3379,[1]REPORTADOS!$C$2:$C$3379,E356)</f>
        <v>#VALUE!</v>
      </c>
      <c r="S356" s="8" t="e">
        <f t="shared" si="5"/>
        <v>#VALUE!</v>
      </c>
    </row>
    <row r="357" spans="1:19" x14ac:dyDescent="0.25">
      <c r="A357">
        <v>900091143</v>
      </c>
      <c r="B357" t="s">
        <v>3965</v>
      </c>
      <c r="C357" t="s">
        <v>3610</v>
      </c>
      <c r="E357" t="s">
        <v>3610</v>
      </c>
      <c r="H357" t="s">
        <v>22</v>
      </c>
      <c r="I357">
        <v>1137624011</v>
      </c>
      <c r="J357" t="s">
        <v>2424</v>
      </c>
      <c r="P357" t="s">
        <v>4403</v>
      </c>
      <c r="Q357" s="8">
        <v>9450000</v>
      </c>
      <c r="R357" s="8" t="e">
        <f>SUMIFS([1]REPORTADOS!$D$2:$D$3379,[1]REPORTADOS!$C$2:$C$3379,E357)</f>
        <v>#VALUE!</v>
      </c>
      <c r="S357" s="8" t="e">
        <f t="shared" si="5"/>
        <v>#VALUE!</v>
      </c>
    </row>
    <row r="358" spans="1:19" x14ac:dyDescent="0.25">
      <c r="A358">
        <v>900091143</v>
      </c>
      <c r="B358" t="s">
        <v>3965</v>
      </c>
      <c r="C358" t="s">
        <v>3611</v>
      </c>
      <c r="E358" t="s">
        <v>3611</v>
      </c>
      <c r="H358" t="s">
        <v>22</v>
      </c>
      <c r="I358">
        <v>1086331521</v>
      </c>
      <c r="J358" t="s">
        <v>4158</v>
      </c>
      <c r="P358" t="s">
        <v>4447</v>
      </c>
      <c r="Q358" s="8">
        <v>23400000</v>
      </c>
      <c r="R358" s="8" t="e">
        <f>SUMIFS([1]REPORTADOS!$D$2:$D$3379,[1]REPORTADOS!$C$2:$C$3379,E358)</f>
        <v>#VALUE!</v>
      </c>
      <c r="S358" s="8" t="e">
        <f t="shared" si="5"/>
        <v>#VALUE!</v>
      </c>
    </row>
    <row r="359" spans="1:19" x14ac:dyDescent="0.25">
      <c r="A359">
        <v>900091143</v>
      </c>
      <c r="B359" t="s">
        <v>3965</v>
      </c>
      <c r="C359" t="s">
        <v>3612</v>
      </c>
      <c r="E359" t="s">
        <v>3612</v>
      </c>
      <c r="H359" t="s">
        <v>22</v>
      </c>
      <c r="I359">
        <v>1233193882</v>
      </c>
      <c r="J359" t="s">
        <v>2611</v>
      </c>
      <c r="P359" t="s">
        <v>4447</v>
      </c>
      <c r="Q359" s="8">
        <v>23400000</v>
      </c>
      <c r="R359" s="8" t="e">
        <f>SUMIFS([1]REPORTADOS!$D$2:$D$3379,[1]REPORTADOS!$C$2:$C$3379,E359)</f>
        <v>#VALUE!</v>
      </c>
      <c r="S359" s="8" t="e">
        <f t="shared" si="5"/>
        <v>#VALUE!</v>
      </c>
    </row>
    <row r="360" spans="1:19" x14ac:dyDescent="0.25">
      <c r="A360">
        <v>900091143</v>
      </c>
      <c r="B360" t="s">
        <v>3965</v>
      </c>
      <c r="C360" t="s">
        <v>3613</v>
      </c>
      <c r="E360" t="s">
        <v>3613</v>
      </c>
      <c r="H360" t="s">
        <v>22</v>
      </c>
      <c r="I360">
        <v>1193383306</v>
      </c>
      <c r="J360" t="s">
        <v>2230</v>
      </c>
      <c r="P360" t="s">
        <v>4447</v>
      </c>
      <c r="Q360" s="8">
        <v>14190000</v>
      </c>
      <c r="R360" s="8" t="e">
        <f>SUMIFS([1]REPORTADOS!$D$2:$D$3379,[1]REPORTADOS!$C$2:$C$3379,E360)</f>
        <v>#VALUE!</v>
      </c>
      <c r="S360" s="8" t="e">
        <f t="shared" si="5"/>
        <v>#VALUE!</v>
      </c>
    </row>
    <row r="361" spans="1:19" x14ac:dyDescent="0.25">
      <c r="A361">
        <v>900091143</v>
      </c>
      <c r="B361" t="s">
        <v>3965</v>
      </c>
      <c r="C361" t="s">
        <v>3614</v>
      </c>
      <c r="E361" t="s">
        <v>3614</v>
      </c>
      <c r="H361" t="s">
        <v>22</v>
      </c>
      <c r="I361">
        <v>1010082397</v>
      </c>
      <c r="J361" t="s">
        <v>1799</v>
      </c>
      <c r="P361" t="s">
        <v>4403</v>
      </c>
      <c r="Q361" s="8">
        <v>9450000</v>
      </c>
      <c r="R361" s="8" t="e">
        <f>SUMIFS([1]REPORTADOS!$D$2:$D$3379,[1]REPORTADOS!$C$2:$C$3379,E361)</f>
        <v>#VALUE!</v>
      </c>
      <c r="S361" s="8" t="e">
        <f t="shared" si="5"/>
        <v>#VALUE!</v>
      </c>
    </row>
    <row r="362" spans="1:19" x14ac:dyDescent="0.25">
      <c r="A362">
        <v>900091143</v>
      </c>
      <c r="B362" t="s">
        <v>3965</v>
      </c>
      <c r="C362" t="s">
        <v>3615</v>
      </c>
      <c r="E362" t="s">
        <v>3615</v>
      </c>
      <c r="H362" t="s">
        <v>22</v>
      </c>
      <c r="I362">
        <v>30743783</v>
      </c>
      <c r="J362" t="s">
        <v>2440</v>
      </c>
      <c r="P362" t="s">
        <v>4403</v>
      </c>
      <c r="Q362" s="8">
        <v>9450000</v>
      </c>
      <c r="R362" s="8" t="e">
        <f>SUMIFS([1]REPORTADOS!$D$2:$D$3379,[1]REPORTADOS!$C$2:$C$3379,E362)</f>
        <v>#VALUE!</v>
      </c>
      <c r="S362" s="8" t="e">
        <f t="shared" si="5"/>
        <v>#VALUE!</v>
      </c>
    </row>
    <row r="363" spans="1:19" x14ac:dyDescent="0.25">
      <c r="A363">
        <v>900091143</v>
      </c>
      <c r="B363" t="s">
        <v>3965</v>
      </c>
      <c r="C363" t="s">
        <v>3616</v>
      </c>
      <c r="E363" t="s">
        <v>3616</v>
      </c>
      <c r="H363" t="s">
        <v>22</v>
      </c>
      <c r="I363">
        <v>1087006619</v>
      </c>
      <c r="J363" t="s">
        <v>4130</v>
      </c>
      <c r="P363" t="s">
        <v>4447</v>
      </c>
      <c r="Q363" s="8">
        <v>23400000</v>
      </c>
      <c r="R363" s="8" t="e">
        <f>SUMIFS([1]REPORTADOS!$D$2:$D$3379,[1]REPORTADOS!$C$2:$C$3379,E363)</f>
        <v>#VALUE!</v>
      </c>
      <c r="S363" s="8" t="e">
        <f t="shared" si="5"/>
        <v>#VALUE!</v>
      </c>
    </row>
    <row r="364" spans="1:19" x14ac:dyDescent="0.25">
      <c r="A364">
        <v>900091143</v>
      </c>
      <c r="B364" t="s">
        <v>3965</v>
      </c>
      <c r="C364" t="s">
        <v>3617</v>
      </c>
      <c r="E364" t="s">
        <v>3617</v>
      </c>
      <c r="H364" t="s">
        <v>22</v>
      </c>
      <c r="I364">
        <v>1085343783</v>
      </c>
      <c r="J364" t="s">
        <v>1648</v>
      </c>
      <c r="P364" t="s">
        <v>4447</v>
      </c>
      <c r="Q364" s="8">
        <v>14190000</v>
      </c>
      <c r="R364" s="8" t="e">
        <f>SUMIFS([1]REPORTADOS!$D$2:$D$3379,[1]REPORTADOS!$C$2:$C$3379,E364)</f>
        <v>#VALUE!</v>
      </c>
      <c r="S364" s="8" t="e">
        <f t="shared" si="5"/>
        <v>#VALUE!</v>
      </c>
    </row>
    <row r="365" spans="1:19" x14ac:dyDescent="0.25">
      <c r="A365">
        <v>900091143</v>
      </c>
      <c r="B365" t="s">
        <v>3965</v>
      </c>
      <c r="C365" t="s">
        <v>3618</v>
      </c>
      <c r="E365" t="s">
        <v>3618</v>
      </c>
      <c r="H365" t="s">
        <v>22</v>
      </c>
      <c r="I365">
        <v>1004235479</v>
      </c>
      <c r="J365" t="s">
        <v>1923</v>
      </c>
      <c r="P365" t="s">
        <v>4403</v>
      </c>
      <c r="Q365" s="8">
        <v>9450000</v>
      </c>
      <c r="R365" s="8" t="e">
        <f>SUMIFS([1]REPORTADOS!$D$2:$D$3379,[1]REPORTADOS!$C$2:$C$3379,E365)</f>
        <v>#VALUE!</v>
      </c>
      <c r="S365" s="8" t="e">
        <f t="shared" si="5"/>
        <v>#VALUE!</v>
      </c>
    </row>
    <row r="366" spans="1:19" x14ac:dyDescent="0.25">
      <c r="A366">
        <v>900091143</v>
      </c>
      <c r="B366" t="s">
        <v>3965</v>
      </c>
      <c r="C366" t="s">
        <v>3619</v>
      </c>
      <c r="E366" t="s">
        <v>3619</v>
      </c>
      <c r="H366" t="s">
        <v>22</v>
      </c>
      <c r="I366">
        <v>1085344795</v>
      </c>
      <c r="J366" t="s">
        <v>2038</v>
      </c>
      <c r="P366" t="s">
        <v>4403</v>
      </c>
      <c r="Q366" s="8">
        <v>9450000</v>
      </c>
      <c r="R366" s="8" t="e">
        <f>SUMIFS([1]REPORTADOS!$D$2:$D$3379,[1]REPORTADOS!$C$2:$C$3379,E366)</f>
        <v>#VALUE!</v>
      </c>
      <c r="S366" s="8" t="e">
        <f t="shared" si="5"/>
        <v>#VALUE!</v>
      </c>
    </row>
    <row r="367" spans="1:19" x14ac:dyDescent="0.25">
      <c r="A367">
        <v>900091143</v>
      </c>
      <c r="B367" t="s">
        <v>3965</v>
      </c>
      <c r="C367" t="s">
        <v>3620</v>
      </c>
      <c r="E367" t="s">
        <v>3620</v>
      </c>
      <c r="H367" t="s">
        <v>22</v>
      </c>
      <c r="I367">
        <v>1085334279</v>
      </c>
      <c r="J367" t="s">
        <v>4131</v>
      </c>
      <c r="P367" t="s">
        <v>4447</v>
      </c>
      <c r="Q367" s="8">
        <v>23400000</v>
      </c>
      <c r="R367" s="8" t="e">
        <f>SUMIFS([1]REPORTADOS!$D$2:$D$3379,[1]REPORTADOS!$C$2:$C$3379,E367)</f>
        <v>#VALUE!</v>
      </c>
      <c r="S367" s="8" t="e">
        <f t="shared" si="5"/>
        <v>#VALUE!</v>
      </c>
    </row>
    <row r="368" spans="1:19" x14ac:dyDescent="0.25">
      <c r="A368">
        <v>900091143</v>
      </c>
      <c r="B368" t="s">
        <v>3965</v>
      </c>
      <c r="C368" t="s">
        <v>3621</v>
      </c>
      <c r="E368" t="s">
        <v>3621</v>
      </c>
      <c r="H368" t="s">
        <v>22</v>
      </c>
      <c r="I368">
        <v>1085331508</v>
      </c>
      <c r="J368" t="s">
        <v>2377</v>
      </c>
      <c r="P368" t="s">
        <v>4403</v>
      </c>
      <c r="Q368" s="8">
        <v>9450000</v>
      </c>
      <c r="R368" s="8" t="e">
        <f>SUMIFS([1]REPORTADOS!$D$2:$D$3379,[1]REPORTADOS!$C$2:$C$3379,E368)</f>
        <v>#VALUE!</v>
      </c>
      <c r="S368" s="8" t="e">
        <f t="shared" si="5"/>
        <v>#VALUE!</v>
      </c>
    </row>
    <row r="369" spans="1:19" x14ac:dyDescent="0.25">
      <c r="A369">
        <v>900091143</v>
      </c>
      <c r="B369" t="s">
        <v>3965</v>
      </c>
      <c r="C369" t="s">
        <v>3622</v>
      </c>
      <c r="E369" t="s">
        <v>3622</v>
      </c>
      <c r="H369" t="s">
        <v>22</v>
      </c>
      <c r="I369">
        <v>1085269090</v>
      </c>
      <c r="J369" t="s">
        <v>1860</v>
      </c>
      <c r="P369" t="s">
        <v>4403</v>
      </c>
      <c r="Q369" s="8">
        <v>9450000</v>
      </c>
      <c r="R369" s="8" t="e">
        <f>SUMIFS([1]REPORTADOS!$D$2:$D$3379,[1]REPORTADOS!$C$2:$C$3379,E369)</f>
        <v>#VALUE!</v>
      </c>
      <c r="S369" s="8" t="e">
        <f t="shared" si="5"/>
        <v>#VALUE!</v>
      </c>
    </row>
    <row r="370" spans="1:19" x14ac:dyDescent="0.25">
      <c r="A370">
        <v>900091143</v>
      </c>
      <c r="B370" t="s">
        <v>3965</v>
      </c>
      <c r="C370" t="s">
        <v>3623</v>
      </c>
      <c r="E370" t="s">
        <v>3623</v>
      </c>
      <c r="H370" t="s">
        <v>22</v>
      </c>
      <c r="I370">
        <v>1086329609</v>
      </c>
      <c r="J370" t="s">
        <v>1932</v>
      </c>
      <c r="P370" t="s">
        <v>4403</v>
      </c>
      <c r="Q370" s="8">
        <v>9450000</v>
      </c>
      <c r="R370" s="8" t="e">
        <f>SUMIFS([1]REPORTADOS!$D$2:$D$3379,[1]REPORTADOS!$C$2:$C$3379,E370)</f>
        <v>#VALUE!</v>
      </c>
      <c r="S370" s="8" t="e">
        <f t="shared" si="5"/>
        <v>#VALUE!</v>
      </c>
    </row>
    <row r="371" spans="1:19" x14ac:dyDescent="0.25">
      <c r="A371">
        <v>900091143</v>
      </c>
      <c r="B371" t="s">
        <v>3965</v>
      </c>
      <c r="C371" t="s">
        <v>3624</v>
      </c>
      <c r="E371" t="s">
        <v>3624</v>
      </c>
      <c r="H371" t="s">
        <v>22</v>
      </c>
      <c r="I371">
        <v>1085264667</v>
      </c>
      <c r="J371" t="s">
        <v>2679</v>
      </c>
      <c r="P371" t="s">
        <v>4447</v>
      </c>
      <c r="Q371" s="8">
        <v>14190000</v>
      </c>
      <c r="R371" s="8" t="e">
        <f>SUMIFS([1]REPORTADOS!$D$2:$D$3379,[1]REPORTADOS!$C$2:$C$3379,E371)</f>
        <v>#VALUE!</v>
      </c>
      <c r="S371" s="8" t="e">
        <f t="shared" si="5"/>
        <v>#VALUE!</v>
      </c>
    </row>
    <row r="372" spans="1:19" x14ac:dyDescent="0.25">
      <c r="A372">
        <v>900091143</v>
      </c>
      <c r="B372" t="s">
        <v>3965</v>
      </c>
      <c r="C372" t="s">
        <v>3625</v>
      </c>
      <c r="E372" t="s">
        <v>3625</v>
      </c>
      <c r="H372" t="s">
        <v>22</v>
      </c>
      <c r="I372">
        <v>97470681</v>
      </c>
      <c r="J372" t="s">
        <v>1883</v>
      </c>
      <c r="P372" t="s">
        <v>4403</v>
      </c>
      <c r="Q372" s="8">
        <v>18900000</v>
      </c>
      <c r="R372" s="8" t="e">
        <f>SUMIFS([1]REPORTADOS!$D$2:$D$3379,[1]REPORTADOS!$C$2:$C$3379,E372)</f>
        <v>#VALUE!</v>
      </c>
      <c r="S372" s="8" t="e">
        <f t="shared" si="5"/>
        <v>#VALUE!</v>
      </c>
    </row>
    <row r="373" spans="1:19" x14ac:dyDescent="0.25">
      <c r="A373">
        <v>900091143</v>
      </c>
      <c r="B373" t="s">
        <v>3965</v>
      </c>
      <c r="C373" t="s">
        <v>3626</v>
      </c>
      <c r="E373" t="s">
        <v>3626</v>
      </c>
      <c r="H373" t="s">
        <v>22</v>
      </c>
      <c r="I373">
        <v>1004213964</v>
      </c>
      <c r="J373" t="s">
        <v>4159</v>
      </c>
      <c r="P373" t="s">
        <v>4403</v>
      </c>
      <c r="Q373" s="8">
        <v>18900000</v>
      </c>
      <c r="R373" s="8" t="e">
        <f>SUMIFS([1]REPORTADOS!$D$2:$D$3379,[1]REPORTADOS!$C$2:$C$3379,E373)</f>
        <v>#VALUE!</v>
      </c>
      <c r="S373" s="8" t="e">
        <f t="shared" si="5"/>
        <v>#VALUE!</v>
      </c>
    </row>
    <row r="374" spans="1:19" x14ac:dyDescent="0.25">
      <c r="A374">
        <v>900091143</v>
      </c>
      <c r="B374" t="s">
        <v>3965</v>
      </c>
      <c r="C374" t="s">
        <v>3627</v>
      </c>
      <c r="E374" t="s">
        <v>3627</v>
      </c>
      <c r="H374" t="s">
        <v>22</v>
      </c>
      <c r="I374">
        <v>1087413951</v>
      </c>
      <c r="J374" t="s">
        <v>2123</v>
      </c>
      <c r="P374" t="s">
        <v>4447</v>
      </c>
      <c r="Q374" s="8">
        <v>14190000</v>
      </c>
      <c r="R374" s="8" t="e">
        <f>SUMIFS([1]REPORTADOS!$D$2:$D$3379,[1]REPORTADOS!$C$2:$C$3379,E374)</f>
        <v>#VALUE!</v>
      </c>
      <c r="S374" s="8" t="e">
        <f t="shared" si="5"/>
        <v>#VALUE!</v>
      </c>
    </row>
    <row r="375" spans="1:19" x14ac:dyDescent="0.25">
      <c r="A375">
        <v>900091143</v>
      </c>
      <c r="B375" t="s">
        <v>3965</v>
      </c>
      <c r="C375" t="s">
        <v>3628</v>
      </c>
      <c r="E375" t="s">
        <v>3628</v>
      </c>
      <c r="H375" t="s">
        <v>22</v>
      </c>
      <c r="I375">
        <v>27087475</v>
      </c>
      <c r="J375" t="s">
        <v>1813</v>
      </c>
      <c r="P375" t="s">
        <v>4447</v>
      </c>
      <c r="Q375" s="8">
        <v>14190000</v>
      </c>
      <c r="R375" s="8" t="e">
        <f>SUMIFS([1]REPORTADOS!$D$2:$D$3379,[1]REPORTADOS!$C$2:$C$3379,E375)</f>
        <v>#VALUE!</v>
      </c>
      <c r="S375" s="8" t="e">
        <f t="shared" si="5"/>
        <v>#VALUE!</v>
      </c>
    </row>
    <row r="376" spans="1:19" x14ac:dyDescent="0.25">
      <c r="A376">
        <v>900091143</v>
      </c>
      <c r="B376" t="s">
        <v>3965</v>
      </c>
      <c r="C376" t="s">
        <v>3629</v>
      </c>
      <c r="E376" t="s">
        <v>3629</v>
      </c>
      <c r="H376" t="s">
        <v>22</v>
      </c>
      <c r="I376">
        <v>1085318684</v>
      </c>
      <c r="J376" t="s">
        <v>2138</v>
      </c>
      <c r="P376" t="s">
        <v>4447</v>
      </c>
      <c r="Q376" s="8">
        <v>14190000</v>
      </c>
      <c r="R376" s="8" t="e">
        <f>SUMIFS([1]REPORTADOS!$D$2:$D$3379,[1]REPORTADOS!$C$2:$C$3379,E376)</f>
        <v>#VALUE!</v>
      </c>
      <c r="S376" s="8" t="e">
        <f t="shared" si="5"/>
        <v>#VALUE!</v>
      </c>
    </row>
    <row r="377" spans="1:19" x14ac:dyDescent="0.25">
      <c r="A377">
        <v>900091143</v>
      </c>
      <c r="B377" t="s">
        <v>3965</v>
      </c>
      <c r="C377" t="s">
        <v>3630</v>
      </c>
      <c r="E377" t="s">
        <v>3630</v>
      </c>
      <c r="H377" t="s">
        <v>22</v>
      </c>
      <c r="I377">
        <v>1087414586</v>
      </c>
      <c r="J377" t="s">
        <v>4093</v>
      </c>
      <c r="P377" t="s">
        <v>4447</v>
      </c>
      <c r="Q377" s="8">
        <v>14190000</v>
      </c>
      <c r="R377" s="8" t="e">
        <f>SUMIFS([1]REPORTADOS!$D$2:$D$3379,[1]REPORTADOS!$C$2:$C$3379,E377)</f>
        <v>#VALUE!</v>
      </c>
      <c r="S377" s="8" t="e">
        <f t="shared" si="5"/>
        <v>#VALUE!</v>
      </c>
    </row>
    <row r="378" spans="1:19" x14ac:dyDescent="0.25">
      <c r="A378">
        <v>900091143</v>
      </c>
      <c r="B378" t="s">
        <v>3965</v>
      </c>
      <c r="C378" t="s">
        <v>3631</v>
      </c>
      <c r="E378" t="s">
        <v>3631</v>
      </c>
      <c r="H378" t="s">
        <v>22</v>
      </c>
      <c r="I378">
        <v>98391531</v>
      </c>
      <c r="J378" t="s">
        <v>2442</v>
      </c>
      <c r="P378" t="s">
        <v>4403</v>
      </c>
      <c r="Q378" s="8">
        <v>9450000</v>
      </c>
      <c r="R378" s="8" t="e">
        <f>SUMIFS([1]REPORTADOS!$D$2:$D$3379,[1]REPORTADOS!$C$2:$C$3379,E378)</f>
        <v>#VALUE!</v>
      </c>
      <c r="S378" s="8" t="e">
        <f t="shared" si="5"/>
        <v>#VALUE!</v>
      </c>
    </row>
    <row r="379" spans="1:19" x14ac:dyDescent="0.25">
      <c r="A379">
        <v>900091143</v>
      </c>
      <c r="B379" t="s">
        <v>3965</v>
      </c>
      <c r="C379" t="s">
        <v>3632</v>
      </c>
      <c r="E379" t="s">
        <v>3632</v>
      </c>
      <c r="H379" t="s">
        <v>22</v>
      </c>
      <c r="I379">
        <v>37082272</v>
      </c>
      <c r="J379" t="s">
        <v>4039</v>
      </c>
      <c r="P379" t="s">
        <v>4403</v>
      </c>
      <c r="Q379" s="8">
        <v>9450000</v>
      </c>
      <c r="R379" s="8" t="e">
        <f>SUMIFS([1]REPORTADOS!$D$2:$D$3379,[1]REPORTADOS!$C$2:$C$3379,E379)</f>
        <v>#VALUE!</v>
      </c>
      <c r="S379" s="8" t="e">
        <f t="shared" si="5"/>
        <v>#VALUE!</v>
      </c>
    </row>
    <row r="380" spans="1:19" x14ac:dyDescent="0.25">
      <c r="A380">
        <v>900091143</v>
      </c>
      <c r="B380" t="s">
        <v>3965</v>
      </c>
      <c r="C380" t="s">
        <v>3633</v>
      </c>
      <c r="E380" t="s">
        <v>3633</v>
      </c>
      <c r="H380" t="s">
        <v>22</v>
      </c>
      <c r="I380">
        <v>1082748783</v>
      </c>
      <c r="J380" t="s">
        <v>2009</v>
      </c>
      <c r="P380" t="s">
        <v>4403</v>
      </c>
      <c r="Q380" s="8">
        <v>9450000</v>
      </c>
      <c r="R380" s="8" t="e">
        <f>SUMIFS([1]REPORTADOS!$D$2:$D$3379,[1]REPORTADOS!$C$2:$C$3379,E380)</f>
        <v>#VALUE!</v>
      </c>
      <c r="S380" s="8" t="e">
        <f t="shared" si="5"/>
        <v>#VALUE!</v>
      </c>
    </row>
    <row r="381" spans="1:19" x14ac:dyDescent="0.25">
      <c r="A381">
        <v>900091143</v>
      </c>
      <c r="B381" t="s">
        <v>3965</v>
      </c>
      <c r="C381" t="s">
        <v>3634</v>
      </c>
      <c r="E381" t="s">
        <v>3634</v>
      </c>
      <c r="H381" t="s">
        <v>22</v>
      </c>
      <c r="I381">
        <v>1193223736</v>
      </c>
      <c r="J381" t="s">
        <v>2021</v>
      </c>
      <c r="P381" t="s">
        <v>4403</v>
      </c>
      <c r="Q381" s="8">
        <v>18900000</v>
      </c>
      <c r="R381" s="8" t="e">
        <f>SUMIFS([1]REPORTADOS!$D$2:$D$3379,[1]REPORTADOS!$C$2:$C$3379,E381)</f>
        <v>#VALUE!</v>
      </c>
      <c r="S381" s="8" t="e">
        <f t="shared" si="5"/>
        <v>#VALUE!</v>
      </c>
    </row>
    <row r="382" spans="1:19" x14ac:dyDescent="0.25">
      <c r="A382">
        <v>900091143</v>
      </c>
      <c r="B382" t="s">
        <v>3965</v>
      </c>
      <c r="C382" t="s">
        <v>3635</v>
      </c>
      <c r="E382" t="s">
        <v>3635</v>
      </c>
      <c r="H382" t="s">
        <v>22</v>
      </c>
      <c r="I382">
        <v>1004190751</v>
      </c>
      <c r="J382" t="s">
        <v>4005</v>
      </c>
      <c r="P382" t="s">
        <v>4403</v>
      </c>
      <c r="Q382" s="8">
        <v>9450000</v>
      </c>
      <c r="R382" s="8" t="e">
        <f>SUMIFS([1]REPORTADOS!$D$2:$D$3379,[1]REPORTADOS!$C$2:$C$3379,E382)</f>
        <v>#VALUE!</v>
      </c>
      <c r="S382" s="8" t="e">
        <f t="shared" si="5"/>
        <v>#VALUE!</v>
      </c>
    </row>
    <row r="383" spans="1:19" x14ac:dyDescent="0.25">
      <c r="A383">
        <v>900091143</v>
      </c>
      <c r="B383" t="s">
        <v>3965</v>
      </c>
      <c r="C383" t="s">
        <v>3636</v>
      </c>
      <c r="E383" t="s">
        <v>3636</v>
      </c>
      <c r="H383" t="s">
        <v>22</v>
      </c>
      <c r="I383">
        <v>1085317833</v>
      </c>
      <c r="J383" t="s">
        <v>1791</v>
      </c>
      <c r="P383" t="s">
        <v>4403</v>
      </c>
      <c r="Q383" s="8">
        <v>9450000</v>
      </c>
      <c r="R383" s="8" t="e">
        <f>SUMIFS([1]REPORTADOS!$D$2:$D$3379,[1]REPORTADOS!$C$2:$C$3379,E383)</f>
        <v>#VALUE!</v>
      </c>
      <c r="S383" s="8" t="e">
        <f t="shared" si="5"/>
        <v>#VALUE!</v>
      </c>
    </row>
    <row r="384" spans="1:19" x14ac:dyDescent="0.25">
      <c r="A384">
        <v>900091143</v>
      </c>
      <c r="B384" t="s">
        <v>3965</v>
      </c>
      <c r="C384" t="s">
        <v>3637</v>
      </c>
      <c r="E384" t="s">
        <v>3637</v>
      </c>
      <c r="H384" t="s">
        <v>22</v>
      </c>
      <c r="I384">
        <v>1085286725</v>
      </c>
      <c r="J384" t="s">
        <v>1786</v>
      </c>
      <c r="P384" t="s">
        <v>4403</v>
      </c>
      <c r="Q384" s="8">
        <v>9450000</v>
      </c>
      <c r="R384" s="8" t="e">
        <f>SUMIFS([1]REPORTADOS!$D$2:$D$3379,[1]REPORTADOS!$C$2:$C$3379,E384)</f>
        <v>#VALUE!</v>
      </c>
      <c r="S384" s="8" t="e">
        <f t="shared" si="5"/>
        <v>#VALUE!</v>
      </c>
    </row>
    <row r="385" spans="1:19" x14ac:dyDescent="0.25">
      <c r="A385">
        <v>900091143</v>
      </c>
      <c r="B385" t="s">
        <v>3965</v>
      </c>
      <c r="C385" t="s">
        <v>3638</v>
      </c>
      <c r="E385" t="s">
        <v>3638</v>
      </c>
      <c r="H385" t="s">
        <v>22</v>
      </c>
      <c r="I385">
        <v>1089846684</v>
      </c>
      <c r="J385" t="s">
        <v>4118</v>
      </c>
      <c r="P385" t="s">
        <v>4447</v>
      </c>
      <c r="Q385" s="8">
        <v>23400000</v>
      </c>
      <c r="R385" s="8" t="e">
        <f>SUMIFS([1]REPORTADOS!$D$2:$D$3379,[1]REPORTADOS!$C$2:$C$3379,E385)</f>
        <v>#VALUE!</v>
      </c>
      <c r="S385" s="8" t="e">
        <f t="shared" si="5"/>
        <v>#VALUE!</v>
      </c>
    </row>
    <row r="386" spans="1:19" x14ac:dyDescent="0.25">
      <c r="A386">
        <v>900091143</v>
      </c>
      <c r="B386" t="s">
        <v>3965</v>
      </c>
      <c r="C386" t="s">
        <v>3639</v>
      </c>
      <c r="E386" t="s">
        <v>3639</v>
      </c>
      <c r="H386" t="s">
        <v>22</v>
      </c>
      <c r="I386">
        <v>1010141840</v>
      </c>
      <c r="J386" t="s">
        <v>4074</v>
      </c>
      <c r="P386" t="s">
        <v>4447</v>
      </c>
      <c r="Q386" s="8">
        <v>23400000</v>
      </c>
      <c r="R386" s="8" t="e">
        <f>SUMIFS([1]REPORTADOS!$D$2:$D$3379,[1]REPORTADOS!$C$2:$C$3379,E386)</f>
        <v>#VALUE!</v>
      </c>
      <c r="S386" s="8" t="e">
        <f t="shared" si="5"/>
        <v>#VALUE!</v>
      </c>
    </row>
    <row r="387" spans="1:19" x14ac:dyDescent="0.25">
      <c r="A387">
        <v>900091143</v>
      </c>
      <c r="B387" t="s">
        <v>3965</v>
      </c>
      <c r="C387" t="s">
        <v>3640</v>
      </c>
      <c r="E387" t="s">
        <v>3640</v>
      </c>
      <c r="H387" t="s">
        <v>22</v>
      </c>
      <c r="I387">
        <v>1085340885</v>
      </c>
      <c r="J387" t="s">
        <v>1684</v>
      </c>
      <c r="P387" t="s">
        <v>4513</v>
      </c>
      <c r="Q387" s="8">
        <v>14190000</v>
      </c>
      <c r="R387" s="8" t="e">
        <f>SUMIFS([1]REPORTADOS!$D$2:$D$3379,[1]REPORTADOS!$C$2:$C$3379,E387)</f>
        <v>#VALUE!</v>
      </c>
      <c r="S387" s="8" t="e">
        <f t="shared" ref="S387:S450" si="6">Q387-R387</f>
        <v>#VALUE!</v>
      </c>
    </row>
    <row r="388" spans="1:19" x14ac:dyDescent="0.25">
      <c r="A388">
        <v>900091143</v>
      </c>
      <c r="B388" t="s">
        <v>3965</v>
      </c>
      <c r="C388" t="s">
        <v>3641</v>
      </c>
      <c r="E388" t="s">
        <v>3641</v>
      </c>
      <c r="H388" t="s">
        <v>22</v>
      </c>
      <c r="I388">
        <v>1085260497</v>
      </c>
      <c r="J388" t="s">
        <v>2121</v>
      </c>
      <c r="P388" t="s">
        <v>4447</v>
      </c>
      <c r="Q388" s="8">
        <v>14190000</v>
      </c>
      <c r="R388" s="8" t="e">
        <f>SUMIFS([1]REPORTADOS!$D$2:$D$3379,[1]REPORTADOS!$C$2:$C$3379,E388)</f>
        <v>#VALUE!</v>
      </c>
      <c r="S388" s="8" t="e">
        <f t="shared" si="6"/>
        <v>#VALUE!</v>
      </c>
    </row>
    <row r="389" spans="1:19" x14ac:dyDescent="0.25">
      <c r="A389">
        <v>900091143</v>
      </c>
      <c r="B389" t="s">
        <v>3965</v>
      </c>
      <c r="C389" t="s">
        <v>3642</v>
      </c>
      <c r="E389" t="s">
        <v>3642</v>
      </c>
      <c r="H389" t="s">
        <v>22</v>
      </c>
      <c r="I389">
        <v>27091114</v>
      </c>
      <c r="J389" t="s">
        <v>2041</v>
      </c>
      <c r="P389" t="s">
        <v>4403</v>
      </c>
      <c r="Q389" s="8">
        <v>9450000</v>
      </c>
      <c r="R389" s="8" t="e">
        <f>SUMIFS([1]REPORTADOS!$D$2:$D$3379,[1]REPORTADOS!$C$2:$C$3379,E389)</f>
        <v>#VALUE!</v>
      </c>
      <c r="S389" s="8" t="e">
        <f t="shared" si="6"/>
        <v>#VALUE!</v>
      </c>
    </row>
    <row r="390" spans="1:19" x14ac:dyDescent="0.25">
      <c r="A390">
        <v>900091143</v>
      </c>
      <c r="B390" t="s">
        <v>3965</v>
      </c>
      <c r="C390" t="s">
        <v>3643</v>
      </c>
      <c r="E390" t="s">
        <v>3643</v>
      </c>
      <c r="H390" t="s">
        <v>22</v>
      </c>
      <c r="I390">
        <v>1233192104</v>
      </c>
      <c r="J390" t="s">
        <v>4000</v>
      </c>
      <c r="P390" t="s">
        <v>4403</v>
      </c>
      <c r="Q390" s="8">
        <v>3150000</v>
      </c>
      <c r="R390" s="8" t="e">
        <f>SUMIFS([1]REPORTADOS!$D$2:$D$3379,[1]REPORTADOS!$C$2:$C$3379,E390)</f>
        <v>#VALUE!</v>
      </c>
      <c r="S390" s="8" t="e">
        <f t="shared" si="6"/>
        <v>#VALUE!</v>
      </c>
    </row>
    <row r="391" spans="1:19" x14ac:dyDescent="0.25">
      <c r="A391">
        <v>900091143</v>
      </c>
      <c r="B391" t="s">
        <v>3965</v>
      </c>
      <c r="C391" t="s">
        <v>3644</v>
      </c>
      <c r="E391" t="s">
        <v>3644</v>
      </c>
      <c r="H391" t="s">
        <v>22</v>
      </c>
      <c r="I391">
        <v>27088197</v>
      </c>
      <c r="J391" t="s">
        <v>1921</v>
      </c>
      <c r="P391" t="s">
        <v>4403</v>
      </c>
      <c r="Q391" s="8">
        <v>9450000</v>
      </c>
      <c r="R391" s="8" t="e">
        <f>SUMIFS([1]REPORTADOS!$D$2:$D$3379,[1]REPORTADOS!$C$2:$C$3379,E391)</f>
        <v>#VALUE!</v>
      </c>
      <c r="S391" s="8" t="e">
        <f t="shared" si="6"/>
        <v>#VALUE!</v>
      </c>
    </row>
    <row r="392" spans="1:19" x14ac:dyDescent="0.25">
      <c r="A392">
        <v>900091143</v>
      </c>
      <c r="B392" t="s">
        <v>3965</v>
      </c>
      <c r="C392" t="s">
        <v>3645</v>
      </c>
      <c r="E392" t="s">
        <v>3645</v>
      </c>
      <c r="H392" t="s">
        <v>22</v>
      </c>
      <c r="I392">
        <v>1081272318</v>
      </c>
      <c r="J392" t="s">
        <v>2653</v>
      </c>
      <c r="P392" t="s">
        <v>4403</v>
      </c>
      <c r="Q392" s="8">
        <v>3150000</v>
      </c>
      <c r="R392" s="8" t="e">
        <f>SUMIFS([1]REPORTADOS!$D$2:$D$3379,[1]REPORTADOS!$C$2:$C$3379,E392)</f>
        <v>#VALUE!</v>
      </c>
      <c r="S392" s="8" t="e">
        <f t="shared" si="6"/>
        <v>#VALUE!</v>
      </c>
    </row>
    <row r="393" spans="1:19" x14ac:dyDescent="0.25">
      <c r="A393">
        <v>900091143</v>
      </c>
      <c r="B393" t="s">
        <v>3965</v>
      </c>
      <c r="C393" t="s">
        <v>3646</v>
      </c>
      <c r="E393" t="s">
        <v>3646</v>
      </c>
      <c r="H393" t="s">
        <v>22</v>
      </c>
      <c r="I393">
        <v>1233191675</v>
      </c>
      <c r="J393" t="s">
        <v>1720</v>
      </c>
      <c r="P393" t="s">
        <v>4403</v>
      </c>
      <c r="Q393" s="8">
        <v>15750000</v>
      </c>
      <c r="R393" s="8" t="e">
        <f>SUMIFS([1]REPORTADOS!$D$2:$D$3379,[1]REPORTADOS!$C$2:$C$3379,E393)</f>
        <v>#VALUE!</v>
      </c>
      <c r="S393" s="8" t="e">
        <f t="shared" si="6"/>
        <v>#VALUE!</v>
      </c>
    </row>
    <row r="394" spans="1:19" x14ac:dyDescent="0.25">
      <c r="A394">
        <v>900091143</v>
      </c>
      <c r="B394" t="s">
        <v>3965</v>
      </c>
      <c r="C394" t="s">
        <v>3647</v>
      </c>
      <c r="E394" t="s">
        <v>3647</v>
      </c>
      <c r="H394" t="s">
        <v>22</v>
      </c>
      <c r="I394">
        <v>1193224810</v>
      </c>
      <c r="J394" t="s">
        <v>1736</v>
      </c>
      <c r="P394" t="s">
        <v>4403</v>
      </c>
      <c r="Q394" s="8">
        <v>9450000</v>
      </c>
      <c r="R394" s="8" t="e">
        <f>SUMIFS([1]REPORTADOS!$D$2:$D$3379,[1]REPORTADOS!$C$2:$C$3379,E394)</f>
        <v>#VALUE!</v>
      </c>
      <c r="S394" s="8" t="e">
        <f t="shared" si="6"/>
        <v>#VALUE!</v>
      </c>
    </row>
    <row r="395" spans="1:19" x14ac:dyDescent="0.25">
      <c r="A395">
        <v>900091143</v>
      </c>
      <c r="B395" t="s">
        <v>3965</v>
      </c>
      <c r="C395" t="s">
        <v>3648</v>
      </c>
      <c r="E395" t="s">
        <v>3648</v>
      </c>
      <c r="H395" t="s">
        <v>22</v>
      </c>
      <c r="I395">
        <v>1004543161</v>
      </c>
      <c r="J395" t="s">
        <v>4160</v>
      </c>
      <c r="P395" t="s">
        <v>4403</v>
      </c>
      <c r="Q395" s="8">
        <v>9450000</v>
      </c>
      <c r="R395" s="8" t="e">
        <f>SUMIFS([1]REPORTADOS!$D$2:$D$3379,[1]REPORTADOS!$C$2:$C$3379,E395)</f>
        <v>#VALUE!</v>
      </c>
      <c r="S395" s="8" t="e">
        <f t="shared" si="6"/>
        <v>#VALUE!</v>
      </c>
    </row>
    <row r="396" spans="1:19" x14ac:dyDescent="0.25">
      <c r="A396">
        <v>900091143</v>
      </c>
      <c r="B396" t="s">
        <v>3965</v>
      </c>
      <c r="C396" t="s">
        <v>3649</v>
      </c>
      <c r="E396" t="s">
        <v>3649</v>
      </c>
      <c r="H396" t="s">
        <v>22</v>
      </c>
      <c r="I396">
        <v>1085315013</v>
      </c>
      <c r="J396" t="s">
        <v>1913</v>
      </c>
      <c r="P396" t="s">
        <v>4403</v>
      </c>
      <c r="Q396" s="8">
        <v>15750000</v>
      </c>
      <c r="R396" s="8" t="e">
        <f>SUMIFS([1]REPORTADOS!$D$2:$D$3379,[1]REPORTADOS!$C$2:$C$3379,E396)</f>
        <v>#VALUE!</v>
      </c>
      <c r="S396" s="8" t="e">
        <f t="shared" si="6"/>
        <v>#VALUE!</v>
      </c>
    </row>
    <row r="397" spans="1:19" x14ac:dyDescent="0.25">
      <c r="A397">
        <v>900091143</v>
      </c>
      <c r="B397" t="s">
        <v>3965</v>
      </c>
      <c r="C397" t="s">
        <v>3650</v>
      </c>
      <c r="E397" t="s">
        <v>3650</v>
      </c>
      <c r="H397" t="s">
        <v>22</v>
      </c>
      <c r="I397">
        <v>1193271485</v>
      </c>
      <c r="J397" t="s">
        <v>4083</v>
      </c>
      <c r="P397" t="s">
        <v>4403</v>
      </c>
      <c r="Q397" s="8">
        <v>31500000</v>
      </c>
      <c r="R397" s="8" t="e">
        <f>SUMIFS([1]REPORTADOS!$D$2:$D$3379,[1]REPORTADOS!$C$2:$C$3379,E397)</f>
        <v>#VALUE!</v>
      </c>
      <c r="S397" s="8" t="e">
        <f t="shared" si="6"/>
        <v>#VALUE!</v>
      </c>
    </row>
    <row r="398" spans="1:19" x14ac:dyDescent="0.25">
      <c r="A398">
        <v>900091143</v>
      </c>
      <c r="B398" t="s">
        <v>3965</v>
      </c>
      <c r="C398" t="s">
        <v>3651</v>
      </c>
      <c r="E398" t="s">
        <v>3651</v>
      </c>
      <c r="H398" t="s">
        <v>22</v>
      </c>
      <c r="I398">
        <v>1081053045</v>
      </c>
      <c r="J398" t="s">
        <v>4059</v>
      </c>
      <c r="P398" t="s">
        <v>4403</v>
      </c>
      <c r="Q398" s="8">
        <v>9450000</v>
      </c>
      <c r="R398" s="8" t="e">
        <f>SUMIFS([1]REPORTADOS!$D$2:$D$3379,[1]REPORTADOS!$C$2:$C$3379,E398)</f>
        <v>#VALUE!</v>
      </c>
      <c r="S398" s="8" t="e">
        <f t="shared" si="6"/>
        <v>#VALUE!</v>
      </c>
    </row>
    <row r="399" spans="1:19" x14ac:dyDescent="0.25">
      <c r="A399">
        <v>900091143</v>
      </c>
      <c r="B399" t="s">
        <v>3965</v>
      </c>
      <c r="C399" t="s">
        <v>3652</v>
      </c>
      <c r="E399" t="s">
        <v>3652</v>
      </c>
      <c r="H399" t="s">
        <v>22</v>
      </c>
      <c r="I399">
        <v>1085275400</v>
      </c>
      <c r="J399" t="s">
        <v>4028</v>
      </c>
      <c r="P399" t="s">
        <v>4403</v>
      </c>
      <c r="Q399" s="8">
        <v>9450000</v>
      </c>
      <c r="R399" s="8" t="e">
        <f>SUMIFS([1]REPORTADOS!$D$2:$D$3379,[1]REPORTADOS!$C$2:$C$3379,E399)</f>
        <v>#VALUE!</v>
      </c>
      <c r="S399" s="8" t="e">
        <f t="shared" si="6"/>
        <v>#VALUE!</v>
      </c>
    </row>
    <row r="400" spans="1:19" x14ac:dyDescent="0.25">
      <c r="A400">
        <v>900091143</v>
      </c>
      <c r="B400" t="s">
        <v>3965</v>
      </c>
      <c r="C400" t="s">
        <v>3653</v>
      </c>
      <c r="E400" t="s">
        <v>3653</v>
      </c>
      <c r="H400" t="s">
        <v>22</v>
      </c>
      <c r="I400">
        <v>1193035720</v>
      </c>
      <c r="J400" t="s">
        <v>4161</v>
      </c>
      <c r="P400" t="s">
        <v>4403</v>
      </c>
      <c r="Q400" s="8">
        <v>3150000</v>
      </c>
      <c r="R400" s="8" t="e">
        <f>SUMIFS([1]REPORTADOS!$D$2:$D$3379,[1]REPORTADOS!$C$2:$C$3379,E400)</f>
        <v>#VALUE!</v>
      </c>
      <c r="S400" s="8" t="e">
        <f t="shared" si="6"/>
        <v>#VALUE!</v>
      </c>
    </row>
    <row r="401" spans="1:19" x14ac:dyDescent="0.25">
      <c r="A401">
        <v>900091143</v>
      </c>
      <c r="B401" t="s">
        <v>3965</v>
      </c>
      <c r="C401" t="s">
        <v>3654</v>
      </c>
      <c r="E401" t="s">
        <v>3654</v>
      </c>
      <c r="H401" t="s">
        <v>22</v>
      </c>
      <c r="I401">
        <v>59813323</v>
      </c>
      <c r="J401" t="s">
        <v>1995</v>
      </c>
      <c r="P401" t="s">
        <v>4403</v>
      </c>
      <c r="Q401" s="8">
        <v>3150000</v>
      </c>
      <c r="R401" s="8" t="e">
        <f>SUMIFS([1]REPORTADOS!$D$2:$D$3379,[1]REPORTADOS!$C$2:$C$3379,E401)</f>
        <v>#VALUE!</v>
      </c>
      <c r="S401" s="8" t="e">
        <f t="shared" si="6"/>
        <v>#VALUE!</v>
      </c>
    </row>
    <row r="402" spans="1:19" x14ac:dyDescent="0.25">
      <c r="A402">
        <v>900091143</v>
      </c>
      <c r="B402" t="s">
        <v>3965</v>
      </c>
      <c r="C402" t="s">
        <v>3655</v>
      </c>
      <c r="E402" t="s">
        <v>3655</v>
      </c>
      <c r="H402" t="s">
        <v>22</v>
      </c>
      <c r="I402">
        <v>1004592366</v>
      </c>
      <c r="J402" t="s">
        <v>2405</v>
      </c>
      <c r="P402" t="s">
        <v>4403</v>
      </c>
      <c r="Q402" s="8">
        <v>9450000</v>
      </c>
      <c r="R402" s="8" t="e">
        <f>SUMIFS([1]REPORTADOS!$D$2:$D$3379,[1]REPORTADOS!$C$2:$C$3379,E402)</f>
        <v>#VALUE!</v>
      </c>
      <c r="S402" s="8" t="e">
        <f t="shared" si="6"/>
        <v>#VALUE!</v>
      </c>
    </row>
    <row r="403" spans="1:19" x14ac:dyDescent="0.25">
      <c r="A403">
        <v>900091143</v>
      </c>
      <c r="B403" t="s">
        <v>3965</v>
      </c>
      <c r="C403" t="s">
        <v>3656</v>
      </c>
      <c r="E403" t="s">
        <v>3656</v>
      </c>
      <c r="H403" t="s">
        <v>22</v>
      </c>
      <c r="I403">
        <v>1085253062</v>
      </c>
      <c r="J403" t="s">
        <v>2836</v>
      </c>
      <c r="P403" t="s">
        <v>4403</v>
      </c>
      <c r="Q403" s="8">
        <v>18900000</v>
      </c>
      <c r="R403" s="8" t="e">
        <f>SUMIFS([1]REPORTADOS!$D$2:$D$3379,[1]REPORTADOS!$C$2:$C$3379,E403)</f>
        <v>#VALUE!</v>
      </c>
      <c r="S403" s="8" t="e">
        <f t="shared" si="6"/>
        <v>#VALUE!</v>
      </c>
    </row>
    <row r="404" spans="1:19" x14ac:dyDescent="0.25">
      <c r="A404">
        <v>900091143</v>
      </c>
      <c r="B404" t="s">
        <v>3965</v>
      </c>
      <c r="C404" t="s">
        <v>3657</v>
      </c>
      <c r="E404" t="s">
        <v>3657</v>
      </c>
      <c r="H404" t="s">
        <v>22</v>
      </c>
      <c r="I404">
        <v>87030128</v>
      </c>
      <c r="J404" t="s">
        <v>2779</v>
      </c>
      <c r="P404" t="s">
        <v>4403</v>
      </c>
      <c r="Q404" s="8">
        <v>3150000</v>
      </c>
      <c r="R404" s="8" t="e">
        <f>SUMIFS([1]REPORTADOS!$D$2:$D$3379,[1]REPORTADOS!$C$2:$C$3379,E404)</f>
        <v>#VALUE!</v>
      </c>
      <c r="S404" s="8" t="e">
        <f t="shared" si="6"/>
        <v>#VALUE!</v>
      </c>
    </row>
    <row r="405" spans="1:19" x14ac:dyDescent="0.25">
      <c r="A405">
        <v>900091143</v>
      </c>
      <c r="B405" t="s">
        <v>3965</v>
      </c>
      <c r="C405" t="s">
        <v>3658</v>
      </c>
      <c r="E405" t="s">
        <v>3658</v>
      </c>
      <c r="H405" t="s">
        <v>22</v>
      </c>
      <c r="I405">
        <v>59310524</v>
      </c>
      <c r="J405" t="s">
        <v>1672</v>
      </c>
      <c r="P405" t="s">
        <v>4403</v>
      </c>
      <c r="Q405" s="8">
        <v>15750000</v>
      </c>
      <c r="R405" s="8" t="e">
        <f>SUMIFS([1]REPORTADOS!$D$2:$D$3379,[1]REPORTADOS!$C$2:$C$3379,E405)</f>
        <v>#VALUE!</v>
      </c>
      <c r="S405" s="8" t="e">
        <f t="shared" si="6"/>
        <v>#VALUE!</v>
      </c>
    </row>
    <row r="406" spans="1:19" x14ac:dyDescent="0.25">
      <c r="A406">
        <v>900091143</v>
      </c>
      <c r="B406" t="s">
        <v>3965</v>
      </c>
      <c r="C406" t="s">
        <v>3659</v>
      </c>
      <c r="E406" t="s">
        <v>3659</v>
      </c>
      <c r="H406" t="s">
        <v>22</v>
      </c>
      <c r="I406">
        <v>1086360087</v>
      </c>
      <c r="J406" t="s">
        <v>4084</v>
      </c>
      <c r="P406" t="s">
        <v>4403</v>
      </c>
      <c r="Q406" s="8">
        <v>6300000</v>
      </c>
      <c r="R406" s="8" t="e">
        <f>SUMIFS([1]REPORTADOS!$D$2:$D$3379,[1]REPORTADOS!$C$2:$C$3379,E406)</f>
        <v>#VALUE!</v>
      </c>
      <c r="S406" s="8" t="e">
        <f t="shared" si="6"/>
        <v>#VALUE!</v>
      </c>
    </row>
    <row r="407" spans="1:19" x14ac:dyDescent="0.25">
      <c r="A407">
        <v>900091143</v>
      </c>
      <c r="B407" t="s">
        <v>3965</v>
      </c>
      <c r="C407" t="s">
        <v>3660</v>
      </c>
      <c r="E407" t="s">
        <v>3660</v>
      </c>
      <c r="H407" t="s">
        <v>22</v>
      </c>
      <c r="I407">
        <v>1081572042</v>
      </c>
      <c r="J407" t="s">
        <v>4030</v>
      </c>
      <c r="P407" t="s">
        <v>4403</v>
      </c>
      <c r="Q407" s="8">
        <v>9450000</v>
      </c>
      <c r="R407" s="8" t="e">
        <f>SUMIFS([1]REPORTADOS!$D$2:$D$3379,[1]REPORTADOS!$C$2:$C$3379,E407)</f>
        <v>#VALUE!</v>
      </c>
      <c r="S407" s="8" t="e">
        <f t="shared" si="6"/>
        <v>#VALUE!</v>
      </c>
    </row>
    <row r="408" spans="1:19" x14ac:dyDescent="0.25">
      <c r="A408">
        <v>900091143</v>
      </c>
      <c r="B408" t="s">
        <v>3965</v>
      </c>
      <c r="C408" t="s">
        <v>3661</v>
      </c>
      <c r="E408" t="s">
        <v>3661</v>
      </c>
      <c r="H408" t="s">
        <v>22</v>
      </c>
      <c r="I408">
        <v>1233193848</v>
      </c>
      <c r="J408" t="s">
        <v>4078</v>
      </c>
      <c r="P408" t="s">
        <v>4447</v>
      </c>
      <c r="Q408" s="8">
        <v>23400000</v>
      </c>
      <c r="R408" s="8" t="e">
        <f>SUMIFS([1]REPORTADOS!$D$2:$D$3379,[1]REPORTADOS!$C$2:$C$3379,E408)</f>
        <v>#VALUE!</v>
      </c>
      <c r="S408" s="8" t="e">
        <f t="shared" si="6"/>
        <v>#VALUE!</v>
      </c>
    </row>
    <row r="409" spans="1:19" x14ac:dyDescent="0.25">
      <c r="A409">
        <v>900091143</v>
      </c>
      <c r="B409" t="s">
        <v>3965</v>
      </c>
      <c r="C409" t="s">
        <v>3662</v>
      </c>
      <c r="E409" t="s">
        <v>3662</v>
      </c>
      <c r="H409" t="s">
        <v>22</v>
      </c>
      <c r="I409">
        <v>1085254153</v>
      </c>
      <c r="J409" t="s">
        <v>2555</v>
      </c>
      <c r="P409" t="s">
        <v>4403</v>
      </c>
      <c r="Q409" s="8">
        <v>6300000</v>
      </c>
      <c r="R409" s="8" t="e">
        <f>SUMIFS([1]REPORTADOS!$D$2:$D$3379,[1]REPORTADOS!$C$2:$C$3379,E409)</f>
        <v>#VALUE!</v>
      </c>
      <c r="S409" s="8" t="e">
        <f t="shared" si="6"/>
        <v>#VALUE!</v>
      </c>
    </row>
    <row r="410" spans="1:19" x14ac:dyDescent="0.25">
      <c r="A410">
        <v>900091143</v>
      </c>
      <c r="B410" t="s">
        <v>3965</v>
      </c>
      <c r="C410" t="s">
        <v>3663</v>
      </c>
      <c r="E410" t="s">
        <v>3663</v>
      </c>
      <c r="H410" t="s">
        <v>22</v>
      </c>
      <c r="I410">
        <v>1085265947</v>
      </c>
      <c r="J410" t="s">
        <v>2701</v>
      </c>
      <c r="P410" t="s">
        <v>4403</v>
      </c>
      <c r="Q410" s="8">
        <v>3150000</v>
      </c>
      <c r="R410" s="8" t="e">
        <f>SUMIFS([1]REPORTADOS!$D$2:$D$3379,[1]REPORTADOS!$C$2:$C$3379,E410)</f>
        <v>#VALUE!</v>
      </c>
      <c r="S410" s="8" t="e">
        <f t="shared" si="6"/>
        <v>#VALUE!</v>
      </c>
    </row>
    <row r="411" spans="1:19" x14ac:dyDescent="0.25">
      <c r="A411">
        <v>900091143</v>
      </c>
      <c r="B411" t="s">
        <v>3965</v>
      </c>
      <c r="C411" t="s">
        <v>3664</v>
      </c>
      <c r="E411" t="s">
        <v>3664</v>
      </c>
      <c r="H411" t="s">
        <v>22</v>
      </c>
      <c r="I411">
        <v>1085286476</v>
      </c>
      <c r="J411" t="s">
        <v>1681</v>
      </c>
      <c r="P411" t="s">
        <v>4403</v>
      </c>
      <c r="Q411" s="8">
        <v>31500000</v>
      </c>
      <c r="R411" s="8" t="e">
        <f>SUMIFS([1]REPORTADOS!$D$2:$D$3379,[1]REPORTADOS!$C$2:$C$3379,E411)</f>
        <v>#VALUE!</v>
      </c>
      <c r="S411" s="8" t="e">
        <f t="shared" si="6"/>
        <v>#VALUE!</v>
      </c>
    </row>
    <row r="412" spans="1:19" x14ac:dyDescent="0.25">
      <c r="A412">
        <v>900091143</v>
      </c>
      <c r="B412" t="s">
        <v>3965</v>
      </c>
      <c r="C412" t="s">
        <v>3665</v>
      </c>
      <c r="E412" t="s">
        <v>3665</v>
      </c>
      <c r="H412" t="s">
        <v>22</v>
      </c>
      <c r="I412">
        <v>1010010954</v>
      </c>
      <c r="J412" t="s">
        <v>2140</v>
      </c>
      <c r="P412" t="s">
        <v>4403</v>
      </c>
      <c r="Q412" s="8">
        <v>18900000</v>
      </c>
      <c r="R412" s="8" t="e">
        <f>SUMIFS([1]REPORTADOS!$D$2:$D$3379,[1]REPORTADOS!$C$2:$C$3379,E412)</f>
        <v>#VALUE!</v>
      </c>
      <c r="S412" s="8" t="e">
        <f t="shared" si="6"/>
        <v>#VALUE!</v>
      </c>
    </row>
    <row r="413" spans="1:19" x14ac:dyDescent="0.25">
      <c r="A413">
        <v>900091143</v>
      </c>
      <c r="B413" t="s">
        <v>3965</v>
      </c>
      <c r="C413" t="s">
        <v>3666</v>
      </c>
      <c r="E413" t="s">
        <v>3666</v>
      </c>
      <c r="H413" t="s">
        <v>22</v>
      </c>
      <c r="I413">
        <v>36757221</v>
      </c>
      <c r="J413" t="s">
        <v>2497</v>
      </c>
      <c r="P413" t="s">
        <v>4403</v>
      </c>
      <c r="Q413" s="8">
        <v>6300000</v>
      </c>
      <c r="R413" s="8" t="e">
        <f>SUMIFS([1]REPORTADOS!$D$2:$D$3379,[1]REPORTADOS!$C$2:$C$3379,E413)</f>
        <v>#VALUE!</v>
      </c>
      <c r="S413" s="8" t="e">
        <f t="shared" si="6"/>
        <v>#VALUE!</v>
      </c>
    </row>
    <row r="414" spans="1:19" x14ac:dyDescent="0.25">
      <c r="A414">
        <v>900091143</v>
      </c>
      <c r="B414" t="s">
        <v>3965</v>
      </c>
      <c r="C414" t="s">
        <v>3667</v>
      </c>
      <c r="E414" t="s">
        <v>3667</v>
      </c>
      <c r="H414" t="s">
        <v>22</v>
      </c>
      <c r="I414">
        <v>1084224761</v>
      </c>
      <c r="J414" t="s">
        <v>4147</v>
      </c>
      <c r="P414" t="s">
        <v>4403</v>
      </c>
      <c r="Q414" s="8">
        <v>31500000</v>
      </c>
      <c r="R414" s="8" t="e">
        <f>SUMIFS([1]REPORTADOS!$D$2:$D$3379,[1]REPORTADOS!$C$2:$C$3379,E414)</f>
        <v>#VALUE!</v>
      </c>
      <c r="S414" s="8" t="e">
        <f t="shared" si="6"/>
        <v>#VALUE!</v>
      </c>
    </row>
    <row r="415" spans="1:19" x14ac:dyDescent="0.25">
      <c r="A415">
        <v>900091143</v>
      </c>
      <c r="B415" t="s">
        <v>3965</v>
      </c>
      <c r="C415" t="s">
        <v>3668</v>
      </c>
      <c r="E415" t="s">
        <v>3668</v>
      </c>
      <c r="H415" t="s">
        <v>22</v>
      </c>
      <c r="I415">
        <v>59836480</v>
      </c>
      <c r="J415" t="s">
        <v>4110</v>
      </c>
      <c r="P415" t="s">
        <v>4403</v>
      </c>
      <c r="Q415" s="8">
        <v>31500000</v>
      </c>
      <c r="R415" s="8" t="e">
        <f>SUMIFS([1]REPORTADOS!$D$2:$D$3379,[1]REPORTADOS!$C$2:$C$3379,E415)</f>
        <v>#VALUE!</v>
      </c>
      <c r="S415" s="8" t="e">
        <f t="shared" si="6"/>
        <v>#VALUE!</v>
      </c>
    </row>
    <row r="416" spans="1:19" x14ac:dyDescent="0.25">
      <c r="A416">
        <v>900091143</v>
      </c>
      <c r="B416" t="s">
        <v>3965</v>
      </c>
      <c r="C416" t="s">
        <v>3669</v>
      </c>
      <c r="E416" t="s">
        <v>3669</v>
      </c>
      <c r="H416" t="s">
        <v>22</v>
      </c>
      <c r="I416">
        <v>1085299577</v>
      </c>
      <c r="J416" t="s">
        <v>4111</v>
      </c>
      <c r="P416" t="s">
        <v>4403</v>
      </c>
      <c r="Q416" s="8">
        <v>31500000</v>
      </c>
      <c r="R416" s="8" t="e">
        <f>SUMIFS([1]REPORTADOS!$D$2:$D$3379,[1]REPORTADOS!$C$2:$C$3379,E416)</f>
        <v>#VALUE!</v>
      </c>
      <c r="S416" s="8" t="e">
        <f t="shared" si="6"/>
        <v>#VALUE!</v>
      </c>
    </row>
    <row r="417" spans="1:19" x14ac:dyDescent="0.25">
      <c r="A417">
        <v>900091143</v>
      </c>
      <c r="B417" t="s">
        <v>3965</v>
      </c>
      <c r="C417" t="s">
        <v>3670</v>
      </c>
      <c r="E417" t="s">
        <v>3670</v>
      </c>
      <c r="H417" t="s">
        <v>22</v>
      </c>
      <c r="I417">
        <v>59824313</v>
      </c>
      <c r="J417" t="s">
        <v>2096</v>
      </c>
      <c r="P417" t="s">
        <v>4447</v>
      </c>
      <c r="Q417" s="8">
        <v>4730000</v>
      </c>
      <c r="R417" s="8" t="e">
        <f>SUMIFS([1]REPORTADOS!$D$2:$D$3379,[1]REPORTADOS!$C$2:$C$3379,E417)</f>
        <v>#VALUE!</v>
      </c>
      <c r="S417" s="8" t="e">
        <f t="shared" si="6"/>
        <v>#VALUE!</v>
      </c>
    </row>
    <row r="418" spans="1:19" x14ac:dyDescent="0.25">
      <c r="A418">
        <v>900091143</v>
      </c>
      <c r="B418" t="s">
        <v>3965</v>
      </c>
      <c r="C418" t="s">
        <v>3671</v>
      </c>
      <c r="E418" t="s">
        <v>3671</v>
      </c>
      <c r="H418" t="s">
        <v>22</v>
      </c>
      <c r="I418">
        <v>69028150</v>
      </c>
      <c r="J418" t="s">
        <v>1666</v>
      </c>
      <c r="P418" t="s">
        <v>4403</v>
      </c>
      <c r="Q418" s="8">
        <v>9450000</v>
      </c>
      <c r="R418" s="8" t="e">
        <f>SUMIFS([1]REPORTADOS!$D$2:$D$3379,[1]REPORTADOS!$C$2:$C$3379,E418)</f>
        <v>#VALUE!</v>
      </c>
      <c r="S418" s="8" t="e">
        <f t="shared" si="6"/>
        <v>#VALUE!</v>
      </c>
    </row>
    <row r="419" spans="1:19" x14ac:dyDescent="0.25">
      <c r="A419">
        <v>900091143</v>
      </c>
      <c r="B419" t="s">
        <v>3965</v>
      </c>
      <c r="C419" t="s">
        <v>3672</v>
      </c>
      <c r="E419" t="s">
        <v>3672</v>
      </c>
      <c r="H419" t="s">
        <v>22</v>
      </c>
      <c r="I419">
        <v>1085277976</v>
      </c>
      <c r="J419" t="s">
        <v>2787</v>
      </c>
      <c r="P419" t="s">
        <v>4403</v>
      </c>
      <c r="Q419" s="8">
        <v>6300000</v>
      </c>
      <c r="R419" s="8" t="e">
        <f>SUMIFS([1]REPORTADOS!$D$2:$D$3379,[1]REPORTADOS!$C$2:$C$3379,E419)</f>
        <v>#VALUE!</v>
      </c>
      <c r="S419" s="8" t="e">
        <f t="shared" si="6"/>
        <v>#VALUE!</v>
      </c>
    </row>
    <row r="420" spans="1:19" x14ac:dyDescent="0.25">
      <c r="A420">
        <v>900091143</v>
      </c>
      <c r="B420" t="s">
        <v>3965</v>
      </c>
      <c r="C420" t="s">
        <v>3673</v>
      </c>
      <c r="E420" t="s">
        <v>3673</v>
      </c>
      <c r="H420" t="s">
        <v>22</v>
      </c>
      <c r="I420">
        <v>27285974</v>
      </c>
      <c r="J420" t="s">
        <v>4017</v>
      </c>
      <c r="P420" t="s">
        <v>4403</v>
      </c>
      <c r="Q420" s="8">
        <v>9450000</v>
      </c>
      <c r="R420" s="8" t="e">
        <f>SUMIFS([1]REPORTADOS!$D$2:$D$3379,[1]REPORTADOS!$C$2:$C$3379,E420)</f>
        <v>#VALUE!</v>
      </c>
      <c r="S420" s="8" t="e">
        <f t="shared" si="6"/>
        <v>#VALUE!</v>
      </c>
    </row>
    <row r="421" spans="1:19" x14ac:dyDescent="0.25">
      <c r="A421">
        <v>900091143</v>
      </c>
      <c r="B421" t="s">
        <v>3965</v>
      </c>
      <c r="C421" t="s">
        <v>3674</v>
      </c>
      <c r="E421" t="s">
        <v>3674</v>
      </c>
      <c r="H421" t="s">
        <v>22</v>
      </c>
      <c r="I421">
        <v>37083086</v>
      </c>
      <c r="J421" t="s">
        <v>2513</v>
      </c>
      <c r="P421" t="s">
        <v>4403</v>
      </c>
      <c r="Q421" s="8">
        <v>9450000</v>
      </c>
      <c r="R421" s="8" t="e">
        <f>SUMIFS([1]REPORTADOS!$D$2:$D$3379,[1]REPORTADOS!$C$2:$C$3379,E421)</f>
        <v>#VALUE!</v>
      </c>
      <c r="S421" s="8" t="e">
        <f t="shared" si="6"/>
        <v>#VALUE!</v>
      </c>
    </row>
    <row r="422" spans="1:19" x14ac:dyDescent="0.25">
      <c r="A422">
        <v>900091143</v>
      </c>
      <c r="B422" t="s">
        <v>3965</v>
      </c>
      <c r="C422" t="s">
        <v>3675</v>
      </c>
      <c r="E422" t="s">
        <v>3675</v>
      </c>
      <c r="H422" t="s">
        <v>22</v>
      </c>
      <c r="I422">
        <v>59311295</v>
      </c>
      <c r="J422" t="s">
        <v>2550</v>
      </c>
      <c r="P422" t="s">
        <v>4403</v>
      </c>
      <c r="Q422" s="8">
        <v>9450000</v>
      </c>
      <c r="R422" s="8" t="e">
        <f>SUMIFS([1]REPORTADOS!$D$2:$D$3379,[1]REPORTADOS!$C$2:$C$3379,E422)</f>
        <v>#VALUE!</v>
      </c>
      <c r="S422" s="8" t="e">
        <f t="shared" si="6"/>
        <v>#VALUE!</v>
      </c>
    </row>
    <row r="423" spans="1:19" x14ac:dyDescent="0.25">
      <c r="A423">
        <v>900091143</v>
      </c>
      <c r="B423" t="s">
        <v>3965</v>
      </c>
      <c r="C423" t="s">
        <v>3676</v>
      </c>
      <c r="E423" t="s">
        <v>3676</v>
      </c>
      <c r="H423" t="s">
        <v>22</v>
      </c>
      <c r="I423">
        <v>1087960258</v>
      </c>
      <c r="J423" t="s">
        <v>4162</v>
      </c>
      <c r="P423" t="s">
        <v>4403</v>
      </c>
      <c r="Q423" s="8">
        <v>9450000</v>
      </c>
      <c r="R423" s="8" t="e">
        <f>SUMIFS([1]REPORTADOS!$D$2:$D$3379,[1]REPORTADOS!$C$2:$C$3379,E423)</f>
        <v>#VALUE!</v>
      </c>
      <c r="S423" s="8" t="e">
        <f t="shared" si="6"/>
        <v>#VALUE!</v>
      </c>
    </row>
    <row r="424" spans="1:19" x14ac:dyDescent="0.25">
      <c r="A424">
        <v>900091143</v>
      </c>
      <c r="B424" t="s">
        <v>3965</v>
      </c>
      <c r="C424" t="s">
        <v>3677</v>
      </c>
      <c r="E424" t="s">
        <v>3677</v>
      </c>
      <c r="H424" t="s">
        <v>22</v>
      </c>
      <c r="I424">
        <v>59312865</v>
      </c>
      <c r="J424" t="s">
        <v>2197</v>
      </c>
      <c r="P424" t="s">
        <v>4447</v>
      </c>
      <c r="Q424" s="8">
        <v>14190000</v>
      </c>
      <c r="R424" s="8" t="e">
        <f>SUMIFS([1]REPORTADOS!$D$2:$D$3379,[1]REPORTADOS!$C$2:$C$3379,E424)</f>
        <v>#VALUE!</v>
      </c>
      <c r="S424" s="8" t="e">
        <f t="shared" si="6"/>
        <v>#VALUE!</v>
      </c>
    </row>
    <row r="425" spans="1:19" x14ac:dyDescent="0.25">
      <c r="A425">
        <v>900091143</v>
      </c>
      <c r="B425" t="s">
        <v>3965</v>
      </c>
      <c r="C425" t="s">
        <v>3678</v>
      </c>
      <c r="E425" t="s">
        <v>3678</v>
      </c>
      <c r="H425" t="s">
        <v>22</v>
      </c>
      <c r="I425">
        <v>59651018</v>
      </c>
      <c r="J425" t="s">
        <v>2569</v>
      </c>
      <c r="P425" t="s">
        <v>4447</v>
      </c>
      <c r="Q425" s="8">
        <v>4730000</v>
      </c>
      <c r="R425" s="8" t="e">
        <f>SUMIFS([1]REPORTADOS!$D$2:$D$3379,[1]REPORTADOS!$C$2:$C$3379,E425)</f>
        <v>#VALUE!</v>
      </c>
      <c r="S425" s="8" t="e">
        <f t="shared" si="6"/>
        <v>#VALUE!</v>
      </c>
    </row>
    <row r="426" spans="1:19" x14ac:dyDescent="0.25">
      <c r="A426">
        <v>900091143</v>
      </c>
      <c r="B426" t="s">
        <v>3965</v>
      </c>
      <c r="C426" t="s">
        <v>3679</v>
      </c>
      <c r="E426" t="s">
        <v>3679</v>
      </c>
      <c r="H426" t="s">
        <v>22</v>
      </c>
      <c r="I426">
        <v>1004134014</v>
      </c>
      <c r="J426" t="s">
        <v>4037</v>
      </c>
      <c r="P426" t="s">
        <v>4403</v>
      </c>
      <c r="Q426" s="8">
        <v>3150000</v>
      </c>
      <c r="R426" s="8" t="e">
        <f>SUMIFS([1]REPORTADOS!$D$2:$D$3379,[1]REPORTADOS!$C$2:$C$3379,E426)</f>
        <v>#VALUE!</v>
      </c>
      <c r="S426" s="8" t="e">
        <f t="shared" si="6"/>
        <v>#VALUE!</v>
      </c>
    </row>
    <row r="427" spans="1:19" x14ac:dyDescent="0.25">
      <c r="A427">
        <v>900091143</v>
      </c>
      <c r="B427" t="s">
        <v>3965</v>
      </c>
      <c r="C427" t="s">
        <v>3680</v>
      </c>
      <c r="E427" t="s">
        <v>3680</v>
      </c>
      <c r="H427" t="s">
        <v>22</v>
      </c>
      <c r="I427">
        <v>37084258</v>
      </c>
      <c r="J427" t="s">
        <v>4163</v>
      </c>
      <c r="P427" t="s">
        <v>4447</v>
      </c>
      <c r="Q427" s="8">
        <v>23650000</v>
      </c>
      <c r="R427" s="8" t="e">
        <f>SUMIFS([1]REPORTADOS!$D$2:$D$3379,[1]REPORTADOS!$C$2:$C$3379,E427)</f>
        <v>#VALUE!</v>
      </c>
      <c r="S427" s="8" t="e">
        <f t="shared" si="6"/>
        <v>#VALUE!</v>
      </c>
    </row>
    <row r="428" spans="1:19" x14ac:dyDescent="0.25">
      <c r="A428">
        <v>900091143</v>
      </c>
      <c r="B428" t="s">
        <v>3965</v>
      </c>
      <c r="C428" t="s">
        <v>3681</v>
      </c>
      <c r="E428" t="s">
        <v>3681</v>
      </c>
      <c r="H428" t="s">
        <v>22</v>
      </c>
      <c r="I428">
        <v>1005829176</v>
      </c>
      <c r="J428" t="s">
        <v>4085</v>
      </c>
      <c r="P428" t="s">
        <v>4447</v>
      </c>
      <c r="Q428" s="8">
        <v>14190000</v>
      </c>
      <c r="R428" s="8" t="e">
        <f>SUMIFS([1]REPORTADOS!$D$2:$D$3379,[1]REPORTADOS!$C$2:$C$3379,E428)</f>
        <v>#VALUE!</v>
      </c>
      <c r="S428" s="8" t="e">
        <f t="shared" si="6"/>
        <v>#VALUE!</v>
      </c>
    </row>
    <row r="429" spans="1:19" x14ac:dyDescent="0.25">
      <c r="A429">
        <v>900091143</v>
      </c>
      <c r="B429" t="s">
        <v>3965</v>
      </c>
      <c r="C429" t="s">
        <v>3682</v>
      </c>
      <c r="E429" t="s">
        <v>3682</v>
      </c>
      <c r="H429" t="s">
        <v>22</v>
      </c>
      <c r="I429">
        <v>27105277</v>
      </c>
      <c r="J429" t="s">
        <v>4070</v>
      </c>
      <c r="P429" t="s">
        <v>4447</v>
      </c>
      <c r="Q429" s="8">
        <v>23650000</v>
      </c>
      <c r="R429" s="8" t="e">
        <f>SUMIFS([1]REPORTADOS!$D$2:$D$3379,[1]REPORTADOS!$C$2:$C$3379,E429)</f>
        <v>#VALUE!</v>
      </c>
      <c r="S429" s="8" t="e">
        <f t="shared" si="6"/>
        <v>#VALUE!</v>
      </c>
    </row>
    <row r="430" spans="1:19" x14ac:dyDescent="0.25">
      <c r="A430">
        <v>900091143</v>
      </c>
      <c r="B430" t="s">
        <v>3965</v>
      </c>
      <c r="C430" t="s">
        <v>3683</v>
      </c>
      <c r="E430" t="s">
        <v>3683</v>
      </c>
      <c r="H430" t="s">
        <v>22</v>
      </c>
      <c r="I430">
        <v>27146489</v>
      </c>
      <c r="J430" t="s">
        <v>4109</v>
      </c>
      <c r="P430" t="s">
        <v>4403</v>
      </c>
      <c r="Q430" s="8">
        <v>31500000</v>
      </c>
      <c r="R430" s="8" t="e">
        <f>SUMIFS([1]REPORTADOS!$D$2:$D$3379,[1]REPORTADOS!$C$2:$C$3379,E430)</f>
        <v>#VALUE!</v>
      </c>
      <c r="S430" s="8" t="e">
        <f t="shared" si="6"/>
        <v>#VALUE!</v>
      </c>
    </row>
    <row r="431" spans="1:19" x14ac:dyDescent="0.25">
      <c r="A431">
        <v>900091143</v>
      </c>
      <c r="B431" t="s">
        <v>3965</v>
      </c>
      <c r="C431" t="s">
        <v>3684</v>
      </c>
      <c r="E431" t="s">
        <v>3684</v>
      </c>
      <c r="H431" t="s">
        <v>22</v>
      </c>
      <c r="I431">
        <v>52381227</v>
      </c>
      <c r="J431" t="s">
        <v>4072</v>
      </c>
      <c r="P431" t="s">
        <v>4447</v>
      </c>
      <c r="Q431" s="8">
        <v>23650000</v>
      </c>
      <c r="R431" s="8" t="e">
        <f>SUMIFS([1]REPORTADOS!$D$2:$D$3379,[1]REPORTADOS!$C$2:$C$3379,E431)</f>
        <v>#VALUE!</v>
      </c>
      <c r="S431" s="8" t="e">
        <f t="shared" si="6"/>
        <v>#VALUE!</v>
      </c>
    </row>
    <row r="432" spans="1:19" x14ac:dyDescent="0.25">
      <c r="A432">
        <v>900091143</v>
      </c>
      <c r="B432" t="s">
        <v>3965</v>
      </c>
      <c r="C432" t="s">
        <v>3685</v>
      </c>
      <c r="E432" t="s">
        <v>3685</v>
      </c>
      <c r="H432" t="s">
        <v>22</v>
      </c>
      <c r="I432">
        <v>1083814276</v>
      </c>
      <c r="J432" t="s">
        <v>4126</v>
      </c>
      <c r="P432" t="s">
        <v>4447</v>
      </c>
      <c r="Q432" s="8">
        <v>23400000</v>
      </c>
      <c r="R432" s="8" t="e">
        <f>SUMIFS([1]REPORTADOS!$D$2:$D$3379,[1]REPORTADOS!$C$2:$C$3379,E432)</f>
        <v>#VALUE!</v>
      </c>
      <c r="S432" s="8" t="e">
        <f t="shared" si="6"/>
        <v>#VALUE!</v>
      </c>
    </row>
    <row r="433" spans="1:19" x14ac:dyDescent="0.25">
      <c r="A433">
        <v>900091143</v>
      </c>
      <c r="B433" t="s">
        <v>3965</v>
      </c>
      <c r="C433" t="s">
        <v>3686</v>
      </c>
      <c r="E433" t="s">
        <v>3686</v>
      </c>
      <c r="H433" t="s">
        <v>22</v>
      </c>
      <c r="I433">
        <v>1084227101</v>
      </c>
      <c r="J433" t="s">
        <v>4096</v>
      </c>
      <c r="P433" t="s">
        <v>4447</v>
      </c>
      <c r="Q433" s="8">
        <v>14190000</v>
      </c>
      <c r="R433" s="8" t="e">
        <f>SUMIFS([1]REPORTADOS!$D$2:$D$3379,[1]REPORTADOS!$C$2:$C$3379,E433)</f>
        <v>#VALUE!</v>
      </c>
      <c r="S433" s="8" t="e">
        <f t="shared" si="6"/>
        <v>#VALUE!</v>
      </c>
    </row>
    <row r="434" spans="1:19" x14ac:dyDescent="0.25">
      <c r="A434">
        <v>900091143</v>
      </c>
      <c r="B434" t="s">
        <v>3965</v>
      </c>
      <c r="C434" t="s">
        <v>3687</v>
      </c>
      <c r="E434" t="s">
        <v>3687</v>
      </c>
      <c r="H434" t="s">
        <v>22</v>
      </c>
      <c r="I434">
        <v>1233193769</v>
      </c>
      <c r="J434" t="s">
        <v>4164</v>
      </c>
      <c r="P434" t="s">
        <v>4447</v>
      </c>
      <c r="Q434" s="8">
        <v>39000000</v>
      </c>
      <c r="R434" s="8" t="e">
        <f>SUMIFS([1]REPORTADOS!$D$2:$D$3379,[1]REPORTADOS!$C$2:$C$3379,E434)</f>
        <v>#VALUE!</v>
      </c>
      <c r="S434" s="8" t="e">
        <f t="shared" si="6"/>
        <v>#VALUE!</v>
      </c>
    </row>
    <row r="435" spans="1:19" x14ac:dyDescent="0.25">
      <c r="A435">
        <v>900091143</v>
      </c>
      <c r="B435" t="s">
        <v>3965</v>
      </c>
      <c r="C435" t="s">
        <v>3688</v>
      </c>
      <c r="E435" t="s">
        <v>3688</v>
      </c>
      <c r="H435" t="s">
        <v>22</v>
      </c>
      <c r="I435">
        <v>1086137686</v>
      </c>
      <c r="J435" t="s">
        <v>4086</v>
      </c>
      <c r="P435" t="s">
        <v>4447</v>
      </c>
      <c r="Q435" s="8">
        <v>14190000</v>
      </c>
      <c r="R435" s="8" t="e">
        <f>SUMIFS([1]REPORTADOS!$D$2:$D$3379,[1]REPORTADOS!$C$2:$C$3379,E435)</f>
        <v>#VALUE!</v>
      </c>
      <c r="S435" s="8" t="e">
        <f t="shared" si="6"/>
        <v>#VALUE!</v>
      </c>
    </row>
    <row r="436" spans="1:19" x14ac:dyDescent="0.25">
      <c r="A436">
        <v>900091143</v>
      </c>
      <c r="B436" t="s">
        <v>3965</v>
      </c>
      <c r="C436" t="s">
        <v>3689</v>
      </c>
      <c r="E436" t="s">
        <v>3689</v>
      </c>
      <c r="H436" t="s">
        <v>22</v>
      </c>
      <c r="I436">
        <v>1086360022</v>
      </c>
      <c r="J436" t="s">
        <v>4087</v>
      </c>
      <c r="P436" t="s">
        <v>4447</v>
      </c>
      <c r="Q436" s="8">
        <v>23650000</v>
      </c>
      <c r="R436" s="8" t="e">
        <f>SUMIFS([1]REPORTADOS!$D$2:$D$3379,[1]REPORTADOS!$C$2:$C$3379,E436)</f>
        <v>#VALUE!</v>
      </c>
      <c r="S436" s="8" t="e">
        <f t="shared" si="6"/>
        <v>#VALUE!</v>
      </c>
    </row>
    <row r="437" spans="1:19" x14ac:dyDescent="0.25">
      <c r="A437">
        <v>900091143</v>
      </c>
      <c r="B437" t="s">
        <v>3965</v>
      </c>
      <c r="C437" t="s">
        <v>3690</v>
      </c>
      <c r="E437" t="s">
        <v>3690</v>
      </c>
      <c r="H437" t="s">
        <v>22</v>
      </c>
      <c r="I437">
        <v>1087645723</v>
      </c>
      <c r="J437" t="s">
        <v>4120</v>
      </c>
      <c r="P437" t="s">
        <v>4447</v>
      </c>
      <c r="Q437" s="8">
        <v>39000000</v>
      </c>
      <c r="R437" s="8" t="e">
        <f>SUMIFS([1]REPORTADOS!$D$2:$D$3379,[1]REPORTADOS!$C$2:$C$3379,E437)</f>
        <v>#VALUE!</v>
      </c>
      <c r="S437" s="8" t="e">
        <f t="shared" si="6"/>
        <v>#VALUE!</v>
      </c>
    </row>
    <row r="438" spans="1:19" x14ac:dyDescent="0.25">
      <c r="A438">
        <v>900091143</v>
      </c>
      <c r="B438" t="s">
        <v>3965</v>
      </c>
      <c r="C438" t="s">
        <v>3691</v>
      </c>
      <c r="E438" t="s">
        <v>3691</v>
      </c>
      <c r="H438" t="s">
        <v>22</v>
      </c>
      <c r="I438">
        <v>1233188033</v>
      </c>
      <c r="J438" t="s">
        <v>4165</v>
      </c>
      <c r="P438" t="s">
        <v>4447</v>
      </c>
      <c r="Q438" s="8">
        <v>14190000</v>
      </c>
      <c r="R438" s="8" t="e">
        <f>SUMIFS([1]REPORTADOS!$D$2:$D$3379,[1]REPORTADOS!$C$2:$C$3379,E438)</f>
        <v>#VALUE!</v>
      </c>
      <c r="S438" s="8" t="e">
        <f t="shared" si="6"/>
        <v>#VALUE!</v>
      </c>
    </row>
    <row r="439" spans="1:19" x14ac:dyDescent="0.25">
      <c r="A439">
        <v>900091143</v>
      </c>
      <c r="B439" t="s">
        <v>3965</v>
      </c>
      <c r="C439" t="s">
        <v>3692</v>
      </c>
      <c r="E439" t="s">
        <v>3692</v>
      </c>
      <c r="H439" t="s">
        <v>22</v>
      </c>
      <c r="I439">
        <v>1085343154</v>
      </c>
      <c r="J439" t="s">
        <v>4061</v>
      </c>
      <c r="P439" t="s">
        <v>4403</v>
      </c>
      <c r="Q439" s="8">
        <v>3150000</v>
      </c>
      <c r="R439" s="8" t="e">
        <f>SUMIFS([1]REPORTADOS!$D$2:$D$3379,[1]REPORTADOS!$C$2:$C$3379,E439)</f>
        <v>#VALUE!</v>
      </c>
      <c r="S439" s="8" t="e">
        <f t="shared" si="6"/>
        <v>#VALUE!</v>
      </c>
    </row>
    <row r="440" spans="1:19" x14ac:dyDescent="0.25">
      <c r="A440">
        <v>900091143</v>
      </c>
      <c r="B440" t="s">
        <v>3965</v>
      </c>
      <c r="C440" t="s">
        <v>3693</v>
      </c>
      <c r="E440" t="s">
        <v>3693</v>
      </c>
      <c r="H440" t="s">
        <v>22</v>
      </c>
      <c r="I440">
        <v>1127080390</v>
      </c>
      <c r="J440" t="s">
        <v>4166</v>
      </c>
      <c r="P440" t="s">
        <v>4447</v>
      </c>
      <c r="Q440" s="8">
        <v>23650000</v>
      </c>
      <c r="R440" s="8" t="e">
        <f>SUMIFS([1]REPORTADOS!$D$2:$D$3379,[1]REPORTADOS!$C$2:$C$3379,E440)</f>
        <v>#VALUE!</v>
      </c>
      <c r="S440" s="8" t="e">
        <f t="shared" si="6"/>
        <v>#VALUE!</v>
      </c>
    </row>
    <row r="441" spans="1:19" x14ac:dyDescent="0.25">
      <c r="A441">
        <v>900091143</v>
      </c>
      <c r="B441" t="s">
        <v>3965</v>
      </c>
      <c r="C441" t="s">
        <v>3694</v>
      </c>
      <c r="E441" t="s">
        <v>3694</v>
      </c>
      <c r="H441" t="s">
        <v>22</v>
      </c>
      <c r="I441">
        <v>1233190311</v>
      </c>
      <c r="J441" t="s">
        <v>4167</v>
      </c>
      <c r="P441" t="s">
        <v>4447</v>
      </c>
      <c r="Q441" s="8">
        <v>14190000</v>
      </c>
      <c r="R441" s="8" t="e">
        <f>SUMIFS([1]REPORTADOS!$D$2:$D$3379,[1]REPORTADOS!$C$2:$C$3379,E441)</f>
        <v>#VALUE!</v>
      </c>
      <c r="S441" s="8" t="e">
        <f t="shared" si="6"/>
        <v>#VALUE!</v>
      </c>
    </row>
    <row r="442" spans="1:19" x14ac:dyDescent="0.25">
      <c r="A442">
        <v>900091143</v>
      </c>
      <c r="B442" t="s">
        <v>3965</v>
      </c>
      <c r="C442" t="s">
        <v>3695</v>
      </c>
      <c r="E442" t="s">
        <v>3695</v>
      </c>
      <c r="H442" t="s">
        <v>22</v>
      </c>
      <c r="I442">
        <v>37085864</v>
      </c>
      <c r="J442" t="s">
        <v>4082</v>
      </c>
      <c r="P442" t="s">
        <v>4403</v>
      </c>
      <c r="Q442" s="8">
        <v>18900000</v>
      </c>
      <c r="R442" s="8" t="e">
        <f>SUMIFS([1]REPORTADOS!$D$2:$D$3379,[1]REPORTADOS!$C$2:$C$3379,E442)</f>
        <v>#VALUE!</v>
      </c>
      <c r="S442" s="8" t="e">
        <f t="shared" si="6"/>
        <v>#VALUE!</v>
      </c>
    </row>
    <row r="443" spans="1:19" x14ac:dyDescent="0.25">
      <c r="A443">
        <v>900091143</v>
      </c>
      <c r="B443" t="s">
        <v>3965</v>
      </c>
      <c r="C443" t="s">
        <v>3696</v>
      </c>
      <c r="E443" t="s">
        <v>3696</v>
      </c>
      <c r="H443" t="s">
        <v>22</v>
      </c>
      <c r="I443">
        <v>36757491</v>
      </c>
      <c r="J443" t="s">
        <v>4094</v>
      </c>
      <c r="P443" t="s">
        <v>4447</v>
      </c>
      <c r="Q443" s="8">
        <v>14190000</v>
      </c>
      <c r="R443" s="8" t="e">
        <f>SUMIFS([1]REPORTADOS!$D$2:$D$3379,[1]REPORTADOS!$C$2:$C$3379,E443)</f>
        <v>#VALUE!</v>
      </c>
      <c r="S443" s="8" t="e">
        <f t="shared" si="6"/>
        <v>#VALUE!</v>
      </c>
    </row>
    <row r="444" spans="1:19" x14ac:dyDescent="0.25">
      <c r="A444">
        <v>900091143</v>
      </c>
      <c r="B444" t="s">
        <v>3965</v>
      </c>
      <c r="C444" t="s">
        <v>3697</v>
      </c>
      <c r="E444" t="s">
        <v>3697</v>
      </c>
      <c r="H444" t="s">
        <v>22</v>
      </c>
      <c r="I444">
        <v>1144172704</v>
      </c>
      <c r="J444" t="s">
        <v>4117</v>
      </c>
      <c r="P444" t="s">
        <v>4447</v>
      </c>
      <c r="Q444" s="8">
        <v>39000000</v>
      </c>
      <c r="R444" s="8" t="e">
        <f>SUMIFS([1]REPORTADOS!$D$2:$D$3379,[1]REPORTADOS!$C$2:$C$3379,E444)</f>
        <v>#VALUE!</v>
      </c>
      <c r="S444" s="8" t="e">
        <f t="shared" si="6"/>
        <v>#VALUE!</v>
      </c>
    </row>
    <row r="445" spans="1:19" x14ac:dyDescent="0.25">
      <c r="A445">
        <v>900091143</v>
      </c>
      <c r="B445" t="s">
        <v>3965</v>
      </c>
      <c r="C445" t="s">
        <v>3698</v>
      </c>
      <c r="E445" t="s">
        <v>3698</v>
      </c>
      <c r="H445" t="s">
        <v>22</v>
      </c>
      <c r="I445">
        <v>1085255829</v>
      </c>
      <c r="J445" t="s">
        <v>1678</v>
      </c>
      <c r="P445" t="s">
        <v>4403</v>
      </c>
      <c r="Q445" s="8">
        <v>9450000</v>
      </c>
      <c r="R445" s="8" t="e">
        <f>SUMIFS([1]REPORTADOS!$D$2:$D$3379,[1]REPORTADOS!$C$2:$C$3379,E445)</f>
        <v>#VALUE!</v>
      </c>
      <c r="S445" s="8" t="e">
        <f t="shared" si="6"/>
        <v>#VALUE!</v>
      </c>
    </row>
    <row r="446" spans="1:19" x14ac:dyDescent="0.25">
      <c r="A446">
        <v>900091143</v>
      </c>
      <c r="B446" t="s">
        <v>3965</v>
      </c>
      <c r="C446" t="s">
        <v>3699</v>
      </c>
      <c r="E446" t="s">
        <v>3699</v>
      </c>
      <c r="H446" t="s">
        <v>22</v>
      </c>
      <c r="I446">
        <v>1085281002</v>
      </c>
      <c r="J446" t="s">
        <v>4002</v>
      </c>
      <c r="P446" t="s">
        <v>4403</v>
      </c>
      <c r="Q446" s="8">
        <v>9450000</v>
      </c>
      <c r="R446" s="8" t="e">
        <f>SUMIFS([1]REPORTADOS!$D$2:$D$3379,[1]REPORTADOS!$C$2:$C$3379,E446)</f>
        <v>#VALUE!</v>
      </c>
      <c r="S446" s="8" t="e">
        <f t="shared" si="6"/>
        <v>#VALUE!</v>
      </c>
    </row>
    <row r="447" spans="1:19" x14ac:dyDescent="0.25">
      <c r="A447">
        <v>900091143</v>
      </c>
      <c r="B447" t="s">
        <v>3965</v>
      </c>
      <c r="C447" t="s">
        <v>3700</v>
      </c>
      <c r="E447" t="s">
        <v>3700</v>
      </c>
      <c r="H447" t="s">
        <v>22</v>
      </c>
      <c r="I447">
        <v>1087960287</v>
      </c>
      <c r="J447" t="s">
        <v>4088</v>
      </c>
      <c r="P447" t="s">
        <v>4447</v>
      </c>
      <c r="Q447" s="8">
        <v>14190000</v>
      </c>
      <c r="R447" s="8" t="e">
        <f>SUMIFS([1]REPORTADOS!$D$2:$D$3379,[1]REPORTADOS!$C$2:$C$3379,E447)</f>
        <v>#VALUE!</v>
      </c>
      <c r="S447" s="8" t="e">
        <f t="shared" si="6"/>
        <v>#VALUE!</v>
      </c>
    </row>
    <row r="448" spans="1:19" x14ac:dyDescent="0.25">
      <c r="A448">
        <v>900091143</v>
      </c>
      <c r="B448" t="s">
        <v>3965</v>
      </c>
      <c r="C448" t="s">
        <v>3701</v>
      </c>
      <c r="E448" t="s">
        <v>3701</v>
      </c>
      <c r="H448" t="s">
        <v>22</v>
      </c>
      <c r="I448">
        <v>27082649</v>
      </c>
      <c r="J448" t="s">
        <v>2454</v>
      </c>
      <c r="P448" t="s">
        <v>4403</v>
      </c>
      <c r="Q448" s="8">
        <v>3150000</v>
      </c>
      <c r="R448" s="8" t="e">
        <f>SUMIFS([1]REPORTADOS!$D$2:$D$3379,[1]REPORTADOS!$C$2:$C$3379,E448)</f>
        <v>#VALUE!</v>
      </c>
      <c r="S448" s="8" t="e">
        <f t="shared" si="6"/>
        <v>#VALUE!</v>
      </c>
    </row>
    <row r="449" spans="1:19" x14ac:dyDescent="0.25">
      <c r="A449">
        <v>900091143</v>
      </c>
      <c r="B449" t="s">
        <v>3965</v>
      </c>
      <c r="C449" t="s">
        <v>3702</v>
      </c>
      <c r="E449" t="s">
        <v>3702</v>
      </c>
      <c r="H449" t="s">
        <v>22</v>
      </c>
      <c r="I449">
        <v>1085274300</v>
      </c>
      <c r="J449" t="s">
        <v>4168</v>
      </c>
      <c r="P449" t="s">
        <v>4447</v>
      </c>
      <c r="Q449" s="8">
        <v>39000000</v>
      </c>
      <c r="R449" s="8" t="e">
        <f>SUMIFS([1]REPORTADOS!$D$2:$D$3379,[1]REPORTADOS!$C$2:$C$3379,E449)</f>
        <v>#VALUE!</v>
      </c>
      <c r="S449" s="8" t="e">
        <f t="shared" si="6"/>
        <v>#VALUE!</v>
      </c>
    </row>
    <row r="450" spans="1:19" x14ac:dyDescent="0.25">
      <c r="A450">
        <v>900091143</v>
      </c>
      <c r="B450" t="s">
        <v>3965</v>
      </c>
      <c r="C450" t="s">
        <v>3703</v>
      </c>
      <c r="E450" t="s">
        <v>3703</v>
      </c>
      <c r="H450" t="s">
        <v>22</v>
      </c>
      <c r="I450">
        <v>1085296068</v>
      </c>
      <c r="J450" t="s">
        <v>4169</v>
      </c>
      <c r="P450" t="s">
        <v>4403</v>
      </c>
      <c r="Q450" s="8">
        <v>18900000</v>
      </c>
      <c r="R450" s="8" t="e">
        <f>SUMIFS([1]REPORTADOS!$D$2:$D$3379,[1]REPORTADOS!$C$2:$C$3379,E450)</f>
        <v>#VALUE!</v>
      </c>
      <c r="S450" s="8" t="e">
        <f t="shared" si="6"/>
        <v>#VALUE!</v>
      </c>
    </row>
    <row r="451" spans="1:19" x14ac:dyDescent="0.25">
      <c r="A451">
        <v>900091143</v>
      </c>
      <c r="B451" t="s">
        <v>3965</v>
      </c>
      <c r="C451" t="s">
        <v>3704</v>
      </c>
      <c r="E451" t="s">
        <v>3704</v>
      </c>
      <c r="H451" t="s">
        <v>22</v>
      </c>
      <c r="I451">
        <v>1085302942</v>
      </c>
      <c r="J451" t="s">
        <v>2402</v>
      </c>
      <c r="P451" t="s">
        <v>4403</v>
      </c>
      <c r="Q451" s="8">
        <v>15750000</v>
      </c>
      <c r="R451" s="8" t="e">
        <f>SUMIFS([1]REPORTADOS!$D$2:$D$3379,[1]REPORTADOS!$C$2:$C$3379,E451)</f>
        <v>#VALUE!</v>
      </c>
      <c r="S451" s="8" t="e">
        <f t="shared" ref="S451:S514" si="7">Q451-R451</f>
        <v>#VALUE!</v>
      </c>
    </row>
    <row r="452" spans="1:19" x14ac:dyDescent="0.25">
      <c r="A452">
        <v>900091143</v>
      </c>
      <c r="B452" t="s">
        <v>3965</v>
      </c>
      <c r="C452" t="s">
        <v>3705</v>
      </c>
      <c r="E452" t="s">
        <v>3705</v>
      </c>
      <c r="H452" t="s">
        <v>22</v>
      </c>
      <c r="I452">
        <v>1085263018</v>
      </c>
      <c r="J452" t="s">
        <v>4170</v>
      </c>
      <c r="P452" t="s">
        <v>4447</v>
      </c>
      <c r="Q452" s="8">
        <v>4730000</v>
      </c>
      <c r="R452" s="8" t="e">
        <f>SUMIFS([1]REPORTADOS!$D$2:$D$3379,[1]REPORTADOS!$C$2:$C$3379,E452)</f>
        <v>#VALUE!</v>
      </c>
      <c r="S452" s="8" t="e">
        <f t="shared" si="7"/>
        <v>#VALUE!</v>
      </c>
    </row>
    <row r="453" spans="1:19" x14ac:dyDescent="0.25">
      <c r="A453">
        <v>900091143</v>
      </c>
      <c r="B453" t="s">
        <v>3965</v>
      </c>
      <c r="C453" t="s">
        <v>3706</v>
      </c>
      <c r="E453" t="s">
        <v>3706</v>
      </c>
      <c r="H453" t="s">
        <v>22</v>
      </c>
      <c r="I453">
        <v>1085330309</v>
      </c>
      <c r="J453" t="s">
        <v>1636</v>
      </c>
      <c r="P453" t="s">
        <v>4447</v>
      </c>
      <c r="Q453" s="8">
        <v>14190000</v>
      </c>
      <c r="R453" s="8" t="e">
        <f>SUMIFS([1]REPORTADOS!$D$2:$D$3379,[1]REPORTADOS!$C$2:$C$3379,E453)</f>
        <v>#VALUE!</v>
      </c>
      <c r="S453" s="8" t="e">
        <f t="shared" si="7"/>
        <v>#VALUE!</v>
      </c>
    </row>
    <row r="454" spans="1:19" x14ac:dyDescent="0.25">
      <c r="A454">
        <v>900091143</v>
      </c>
      <c r="B454" t="s">
        <v>3965</v>
      </c>
      <c r="C454" t="s">
        <v>3707</v>
      </c>
      <c r="E454" t="s">
        <v>3707</v>
      </c>
      <c r="H454" t="s">
        <v>22</v>
      </c>
      <c r="I454">
        <v>1004726621</v>
      </c>
      <c r="J454" t="s">
        <v>4038</v>
      </c>
      <c r="P454" t="s">
        <v>4403</v>
      </c>
      <c r="Q454" s="8">
        <v>3150000</v>
      </c>
      <c r="R454" s="8" t="e">
        <f>SUMIFS([1]REPORTADOS!$D$2:$D$3379,[1]REPORTADOS!$C$2:$C$3379,E454)</f>
        <v>#VALUE!</v>
      </c>
      <c r="S454" s="8" t="e">
        <f t="shared" si="7"/>
        <v>#VALUE!</v>
      </c>
    </row>
    <row r="455" spans="1:19" x14ac:dyDescent="0.25">
      <c r="A455">
        <v>900091143</v>
      </c>
      <c r="B455" t="s">
        <v>3965</v>
      </c>
      <c r="C455" t="s">
        <v>3708</v>
      </c>
      <c r="E455" t="s">
        <v>3708</v>
      </c>
      <c r="H455" t="s">
        <v>22</v>
      </c>
      <c r="I455">
        <v>1061794455</v>
      </c>
      <c r="J455" t="s">
        <v>4098</v>
      </c>
      <c r="P455" t="s">
        <v>4447</v>
      </c>
      <c r="Q455" s="8">
        <v>23400000</v>
      </c>
      <c r="R455" s="8" t="e">
        <f>SUMIFS([1]REPORTADOS!$D$2:$D$3379,[1]REPORTADOS!$C$2:$C$3379,E455)</f>
        <v>#VALUE!</v>
      </c>
      <c r="S455" s="8" t="e">
        <f t="shared" si="7"/>
        <v>#VALUE!</v>
      </c>
    </row>
    <row r="456" spans="1:19" x14ac:dyDescent="0.25">
      <c r="A456">
        <v>900091143</v>
      </c>
      <c r="B456" t="s">
        <v>3965</v>
      </c>
      <c r="C456" t="s">
        <v>3709</v>
      </c>
      <c r="E456" t="s">
        <v>3709</v>
      </c>
      <c r="H456" t="s">
        <v>22</v>
      </c>
      <c r="I456">
        <v>59828916</v>
      </c>
      <c r="J456" t="s">
        <v>2018</v>
      </c>
      <c r="P456" t="s">
        <v>4403</v>
      </c>
      <c r="Q456" s="8">
        <v>9450000</v>
      </c>
      <c r="R456" s="8" t="e">
        <f>SUMIFS([1]REPORTADOS!$D$2:$D$3379,[1]REPORTADOS!$C$2:$C$3379,E456)</f>
        <v>#VALUE!</v>
      </c>
      <c r="S456" s="8" t="e">
        <f t="shared" si="7"/>
        <v>#VALUE!</v>
      </c>
    </row>
    <row r="457" spans="1:19" x14ac:dyDescent="0.25">
      <c r="A457">
        <v>900091143</v>
      </c>
      <c r="B457" t="s">
        <v>3965</v>
      </c>
      <c r="C457" t="s">
        <v>3710</v>
      </c>
      <c r="E457" t="s">
        <v>3710</v>
      </c>
      <c r="H457" t="s">
        <v>22</v>
      </c>
      <c r="I457">
        <v>1085286742</v>
      </c>
      <c r="J457" t="s">
        <v>1774</v>
      </c>
      <c r="P457" t="s">
        <v>4403</v>
      </c>
      <c r="Q457" s="8">
        <v>9450000</v>
      </c>
      <c r="R457" s="8" t="e">
        <f>SUMIFS([1]REPORTADOS!$D$2:$D$3379,[1]REPORTADOS!$C$2:$C$3379,E457)</f>
        <v>#VALUE!</v>
      </c>
      <c r="S457" s="8" t="e">
        <f t="shared" si="7"/>
        <v>#VALUE!</v>
      </c>
    </row>
    <row r="458" spans="1:19" x14ac:dyDescent="0.25">
      <c r="A458">
        <v>900091143</v>
      </c>
      <c r="B458" t="s">
        <v>3965</v>
      </c>
      <c r="C458" t="s">
        <v>3711</v>
      </c>
      <c r="E458" t="s">
        <v>3711</v>
      </c>
      <c r="H458" t="s">
        <v>22</v>
      </c>
      <c r="I458">
        <v>1085278004</v>
      </c>
      <c r="J458" t="s">
        <v>4081</v>
      </c>
      <c r="P458" t="s">
        <v>4403</v>
      </c>
      <c r="Q458" s="8">
        <v>18900000</v>
      </c>
      <c r="R458" s="8" t="e">
        <f>SUMIFS([1]REPORTADOS!$D$2:$D$3379,[1]REPORTADOS!$C$2:$C$3379,E458)</f>
        <v>#VALUE!</v>
      </c>
      <c r="S458" s="8" t="e">
        <f t="shared" si="7"/>
        <v>#VALUE!</v>
      </c>
    </row>
    <row r="459" spans="1:19" x14ac:dyDescent="0.25">
      <c r="A459">
        <v>900091143</v>
      </c>
      <c r="B459" t="s">
        <v>3965</v>
      </c>
      <c r="C459" t="s">
        <v>3712</v>
      </c>
      <c r="E459" t="s">
        <v>3712</v>
      </c>
      <c r="H459" t="s">
        <v>22</v>
      </c>
      <c r="I459">
        <v>1085270448</v>
      </c>
      <c r="J459" t="s">
        <v>4012</v>
      </c>
      <c r="P459" t="s">
        <v>4403</v>
      </c>
      <c r="Q459" s="8">
        <v>9450000</v>
      </c>
      <c r="R459" s="8" t="e">
        <f>SUMIFS([1]REPORTADOS!$D$2:$D$3379,[1]REPORTADOS!$C$2:$C$3379,E459)</f>
        <v>#VALUE!</v>
      </c>
      <c r="S459" s="8" t="e">
        <f t="shared" si="7"/>
        <v>#VALUE!</v>
      </c>
    </row>
    <row r="460" spans="1:19" x14ac:dyDescent="0.25">
      <c r="A460">
        <v>900091143</v>
      </c>
      <c r="B460" t="s">
        <v>3965</v>
      </c>
      <c r="C460" t="s">
        <v>3713</v>
      </c>
      <c r="E460" t="s">
        <v>3713</v>
      </c>
      <c r="H460" t="s">
        <v>22</v>
      </c>
      <c r="I460">
        <v>1085266584</v>
      </c>
      <c r="J460" t="s">
        <v>1981</v>
      </c>
      <c r="P460" t="s">
        <v>4403</v>
      </c>
      <c r="Q460" s="8">
        <v>15750000</v>
      </c>
      <c r="R460" s="8" t="e">
        <f>SUMIFS([1]REPORTADOS!$D$2:$D$3379,[1]REPORTADOS!$C$2:$C$3379,E460)</f>
        <v>#VALUE!</v>
      </c>
      <c r="S460" s="8" t="e">
        <f t="shared" si="7"/>
        <v>#VALUE!</v>
      </c>
    </row>
    <row r="461" spans="1:19" x14ac:dyDescent="0.25">
      <c r="A461">
        <v>900091143</v>
      </c>
      <c r="B461" t="s">
        <v>3965</v>
      </c>
      <c r="C461" t="s">
        <v>3714</v>
      </c>
      <c r="E461" t="s">
        <v>3714</v>
      </c>
      <c r="H461" t="s">
        <v>22</v>
      </c>
      <c r="I461">
        <v>59310291</v>
      </c>
      <c r="J461" t="s">
        <v>4107</v>
      </c>
      <c r="P461" t="s">
        <v>4403</v>
      </c>
      <c r="Q461" s="8">
        <v>31500000</v>
      </c>
      <c r="R461" s="8" t="e">
        <f>SUMIFS([1]REPORTADOS!$D$2:$D$3379,[1]REPORTADOS!$C$2:$C$3379,E461)</f>
        <v>#VALUE!</v>
      </c>
      <c r="S461" s="8" t="e">
        <f t="shared" si="7"/>
        <v>#VALUE!</v>
      </c>
    </row>
    <row r="462" spans="1:19" x14ac:dyDescent="0.25">
      <c r="A462">
        <v>900091143</v>
      </c>
      <c r="B462" t="s">
        <v>3965</v>
      </c>
      <c r="C462" t="s">
        <v>3715</v>
      </c>
      <c r="E462" t="s">
        <v>3715</v>
      </c>
      <c r="H462" t="s">
        <v>22</v>
      </c>
      <c r="I462">
        <v>1089483067</v>
      </c>
      <c r="J462" t="s">
        <v>4124</v>
      </c>
      <c r="P462" t="s">
        <v>4447</v>
      </c>
      <c r="Q462" s="8">
        <v>23400000</v>
      </c>
      <c r="R462" s="8" t="e">
        <f>SUMIFS([1]REPORTADOS!$D$2:$D$3379,[1]REPORTADOS!$C$2:$C$3379,E462)</f>
        <v>#VALUE!</v>
      </c>
      <c r="S462" s="8" t="e">
        <f t="shared" si="7"/>
        <v>#VALUE!</v>
      </c>
    </row>
    <row r="463" spans="1:19" x14ac:dyDescent="0.25">
      <c r="A463">
        <v>900091143</v>
      </c>
      <c r="B463" t="s">
        <v>3965</v>
      </c>
      <c r="C463" t="s">
        <v>3716</v>
      </c>
      <c r="E463" t="s">
        <v>3716</v>
      </c>
      <c r="H463" t="s">
        <v>22</v>
      </c>
      <c r="I463">
        <v>27456421</v>
      </c>
      <c r="J463" t="s">
        <v>4100</v>
      </c>
      <c r="P463" t="s">
        <v>4403</v>
      </c>
      <c r="Q463" s="8">
        <v>6300000</v>
      </c>
      <c r="R463" s="8" t="e">
        <f>SUMIFS([1]REPORTADOS!$D$2:$D$3379,[1]REPORTADOS!$C$2:$C$3379,E463)</f>
        <v>#VALUE!</v>
      </c>
      <c r="S463" s="8" t="e">
        <f t="shared" si="7"/>
        <v>#VALUE!</v>
      </c>
    </row>
    <row r="464" spans="1:19" x14ac:dyDescent="0.25">
      <c r="A464">
        <v>900091143</v>
      </c>
      <c r="B464" t="s">
        <v>3965</v>
      </c>
      <c r="C464" t="s">
        <v>3717</v>
      </c>
      <c r="E464" t="s">
        <v>3717</v>
      </c>
      <c r="H464" t="s">
        <v>22</v>
      </c>
      <c r="I464">
        <v>1193292339</v>
      </c>
      <c r="J464" t="s">
        <v>4129</v>
      </c>
      <c r="P464" t="s">
        <v>4447</v>
      </c>
      <c r="Q464" s="8">
        <v>23400000</v>
      </c>
      <c r="R464" s="8" t="e">
        <f>SUMIFS([1]REPORTADOS!$D$2:$D$3379,[1]REPORTADOS!$C$2:$C$3379,E464)</f>
        <v>#VALUE!</v>
      </c>
      <c r="S464" s="8" t="e">
        <f t="shared" si="7"/>
        <v>#VALUE!</v>
      </c>
    </row>
    <row r="465" spans="1:19" x14ac:dyDescent="0.25">
      <c r="A465">
        <v>900091143</v>
      </c>
      <c r="B465" t="s">
        <v>3965</v>
      </c>
      <c r="C465" t="s">
        <v>3718</v>
      </c>
      <c r="E465" t="s">
        <v>3718</v>
      </c>
      <c r="H465" t="s">
        <v>22</v>
      </c>
      <c r="I465">
        <v>1084228089</v>
      </c>
      <c r="J465" t="s">
        <v>2773</v>
      </c>
      <c r="P465" t="s">
        <v>4403</v>
      </c>
      <c r="Q465" s="8">
        <v>18900000</v>
      </c>
      <c r="R465" s="8" t="e">
        <f>SUMIFS([1]REPORTADOS!$D$2:$D$3379,[1]REPORTADOS!$C$2:$C$3379,E465)</f>
        <v>#VALUE!</v>
      </c>
      <c r="S465" s="8" t="e">
        <f t="shared" si="7"/>
        <v>#VALUE!</v>
      </c>
    </row>
    <row r="466" spans="1:19" x14ac:dyDescent="0.25">
      <c r="A466">
        <v>900091143</v>
      </c>
      <c r="B466" t="s">
        <v>3965</v>
      </c>
      <c r="C466" t="s">
        <v>3719</v>
      </c>
      <c r="E466" t="s">
        <v>3719</v>
      </c>
      <c r="H466" t="s">
        <v>22</v>
      </c>
      <c r="I466">
        <v>1086018206</v>
      </c>
      <c r="J466" t="s">
        <v>4171</v>
      </c>
      <c r="P466" t="s">
        <v>4447</v>
      </c>
      <c r="Q466" s="8">
        <v>23400000</v>
      </c>
      <c r="R466" s="8" t="e">
        <f>SUMIFS([1]REPORTADOS!$D$2:$D$3379,[1]REPORTADOS!$C$2:$C$3379,E466)</f>
        <v>#VALUE!</v>
      </c>
      <c r="S466" s="8" t="e">
        <f t="shared" si="7"/>
        <v>#VALUE!</v>
      </c>
    </row>
    <row r="467" spans="1:19" x14ac:dyDescent="0.25">
      <c r="A467">
        <v>900091143</v>
      </c>
      <c r="B467" t="s">
        <v>3965</v>
      </c>
      <c r="C467" t="s">
        <v>3720</v>
      </c>
      <c r="E467" t="s">
        <v>3720</v>
      </c>
      <c r="H467" t="s">
        <v>22</v>
      </c>
      <c r="I467">
        <v>36950073</v>
      </c>
      <c r="J467" t="s">
        <v>2482</v>
      </c>
      <c r="P467" t="s">
        <v>4447</v>
      </c>
      <c r="Q467" s="8">
        <v>23650000</v>
      </c>
      <c r="R467" s="8" t="e">
        <f>SUMIFS([1]REPORTADOS!$D$2:$D$3379,[1]REPORTADOS!$C$2:$C$3379,E467)</f>
        <v>#VALUE!</v>
      </c>
      <c r="S467" s="8" t="e">
        <f t="shared" si="7"/>
        <v>#VALUE!</v>
      </c>
    </row>
    <row r="468" spans="1:19" x14ac:dyDescent="0.25">
      <c r="A468">
        <v>900091143</v>
      </c>
      <c r="B468" t="s">
        <v>3965</v>
      </c>
      <c r="C468" t="s">
        <v>3721</v>
      </c>
      <c r="E468" t="s">
        <v>3721</v>
      </c>
      <c r="H468" t="s">
        <v>22</v>
      </c>
      <c r="I468">
        <v>1193383314</v>
      </c>
      <c r="J468" t="s">
        <v>4101</v>
      </c>
      <c r="P468" t="s">
        <v>4403</v>
      </c>
      <c r="Q468" s="8">
        <v>31500000</v>
      </c>
      <c r="R468" s="8" t="e">
        <f>SUMIFS([1]REPORTADOS!$D$2:$D$3379,[1]REPORTADOS!$C$2:$C$3379,E468)</f>
        <v>#VALUE!</v>
      </c>
      <c r="S468" s="8" t="e">
        <f t="shared" si="7"/>
        <v>#VALUE!</v>
      </c>
    </row>
    <row r="469" spans="1:19" x14ac:dyDescent="0.25">
      <c r="A469">
        <v>900091143</v>
      </c>
      <c r="B469" t="s">
        <v>3965</v>
      </c>
      <c r="C469" t="s">
        <v>3722</v>
      </c>
      <c r="E469" t="s">
        <v>3722</v>
      </c>
      <c r="H469" t="s">
        <v>22</v>
      </c>
      <c r="I469">
        <v>1085246134</v>
      </c>
      <c r="J469" t="s">
        <v>4032</v>
      </c>
      <c r="P469" t="s">
        <v>4403</v>
      </c>
      <c r="Q469" s="8">
        <v>6300000</v>
      </c>
      <c r="R469" s="8" t="e">
        <f>SUMIFS([1]REPORTADOS!$D$2:$D$3379,[1]REPORTADOS!$C$2:$C$3379,E469)</f>
        <v>#VALUE!</v>
      </c>
      <c r="S469" s="8" t="e">
        <f t="shared" si="7"/>
        <v>#VALUE!</v>
      </c>
    </row>
    <row r="470" spans="1:19" x14ac:dyDescent="0.25">
      <c r="A470">
        <v>900091143</v>
      </c>
      <c r="B470" t="s">
        <v>3965</v>
      </c>
      <c r="C470" t="s">
        <v>3723</v>
      </c>
      <c r="E470" t="s">
        <v>3723</v>
      </c>
      <c r="H470" t="s">
        <v>22</v>
      </c>
      <c r="I470">
        <v>1022426162</v>
      </c>
      <c r="J470" t="s">
        <v>4127</v>
      </c>
      <c r="P470" t="s">
        <v>4447</v>
      </c>
      <c r="Q470" s="8">
        <v>7800000</v>
      </c>
      <c r="R470" s="8" t="e">
        <f>SUMIFS([1]REPORTADOS!$D$2:$D$3379,[1]REPORTADOS!$C$2:$C$3379,E470)</f>
        <v>#VALUE!</v>
      </c>
      <c r="S470" s="8" t="e">
        <f t="shared" si="7"/>
        <v>#VALUE!</v>
      </c>
    </row>
    <row r="471" spans="1:19" x14ac:dyDescent="0.25">
      <c r="A471">
        <v>900091143</v>
      </c>
      <c r="B471" t="s">
        <v>3965</v>
      </c>
      <c r="C471" t="s">
        <v>3724</v>
      </c>
      <c r="E471" t="s">
        <v>3724</v>
      </c>
      <c r="H471" t="s">
        <v>22</v>
      </c>
      <c r="I471">
        <v>1086224204</v>
      </c>
      <c r="J471" t="s">
        <v>4043</v>
      </c>
      <c r="P471" t="s">
        <v>4403</v>
      </c>
      <c r="Q471" s="8">
        <v>9450000</v>
      </c>
      <c r="R471" s="8" t="e">
        <f>SUMIFS([1]REPORTADOS!$D$2:$D$3379,[1]REPORTADOS!$C$2:$C$3379,E471)</f>
        <v>#VALUE!</v>
      </c>
      <c r="S471" s="8" t="e">
        <f t="shared" si="7"/>
        <v>#VALUE!</v>
      </c>
    </row>
    <row r="472" spans="1:19" x14ac:dyDescent="0.25">
      <c r="A472">
        <v>900091143</v>
      </c>
      <c r="B472" t="s">
        <v>3965</v>
      </c>
      <c r="C472" t="s">
        <v>3725</v>
      </c>
      <c r="E472" t="s">
        <v>3725</v>
      </c>
      <c r="H472" t="s">
        <v>22</v>
      </c>
      <c r="I472">
        <v>1082748032</v>
      </c>
      <c r="J472" t="s">
        <v>4031</v>
      </c>
      <c r="P472" t="s">
        <v>4403</v>
      </c>
      <c r="Q472" s="8">
        <v>15750000</v>
      </c>
      <c r="R472" s="8" t="e">
        <f>SUMIFS([1]REPORTADOS!$D$2:$D$3379,[1]REPORTADOS!$C$2:$C$3379,E472)</f>
        <v>#VALUE!</v>
      </c>
      <c r="S472" s="8" t="e">
        <f t="shared" si="7"/>
        <v>#VALUE!</v>
      </c>
    </row>
    <row r="473" spans="1:19" x14ac:dyDescent="0.25">
      <c r="A473">
        <v>900091143</v>
      </c>
      <c r="B473" t="s">
        <v>3965</v>
      </c>
      <c r="C473" t="s">
        <v>3726</v>
      </c>
      <c r="E473" t="s">
        <v>3726</v>
      </c>
      <c r="H473" t="s">
        <v>22</v>
      </c>
      <c r="I473">
        <v>59122805</v>
      </c>
      <c r="J473" t="s">
        <v>4049</v>
      </c>
      <c r="P473" t="s">
        <v>4403</v>
      </c>
      <c r="Q473" s="8">
        <v>3150000</v>
      </c>
      <c r="R473" s="8" t="e">
        <f>SUMIFS([1]REPORTADOS!$D$2:$D$3379,[1]REPORTADOS!$C$2:$C$3379,E473)</f>
        <v>#VALUE!</v>
      </c>
      <c r="S473" s="8" t="e">
        <f t="shared" si="7"/>
        <v>#VALUE!</v>
      </c>
    </row>
    <row r="474" spans="1:19" x14ac:dyDescent="0.25">
      <c r="A474">
        <v>900091143</v>
      </c>
      <c r="B474" t="s">
        <v>3965</v>
      </c>
      <c r="C474" t="s">
        <v>3727</v>
      </c>
      <c r="E474" t="s">
        <v>3727</v>
      </c>
      <c r="H474" t="s">
        <v>22</v>
      </c>
      <c r="I474">
        <v>12961407</v>
      </c>
      <c r="J474" t="s">
        <v>2110</v>
      </c>
      <c r="P474" t="s">
        <v>4447</v>
      </c>
      <c r="Q474" s="8">
        <v>23400000</v>
      </c>
      <c r="R474" s="8" t="e">
        <f>SUMIFS([1]REPORTADOS!$D$2:$D$3379,[1]REPORTADOS!$C$2:$C$3379,E474)</f>
        <v>#VALUE!</v>
      </c>
      <c r="S474" s="8" t="e">
        <f t="shared" si="7"/>
        <v>#VALUE!</v>
      </c>
    </row>
    <row r="475" spans="1:19" x14ac:dyDescent="0.25">
      <c r="A475">
        <v>900091143</v>
      </c>
      <c r="B475" t="s">
        <v>3965</v>
      </c>
      <c r="C475" t="s">
        <v>3728</v>
      </c>
      <c r="E475" t="s">
        <v>3728</v>
      </c>
      <c r="H475" t="s">
        <v>22</v>
      </c>
      <c r="I475">
        <v>1081052779</v>
      </c>
      <c r="J475" t="s">
        <v>4027</v>
      </c>
      <c r="P475" t="s">
        <v>4403</v>
      </c>
      <c r="Q475" s="8">
        <v>9450000</v>
      </c>
      <c r="R475" s="8" t="e">
        <f>SUMIFS([1]REPORTADOS!$D$2:$D$3379,[1]REPORTADOS!$C$2:$C$3379,E475)</f>
        <v>#VALUE!</v>
      </c>
      <c r="S475" s="8" t="e">
        <f t="shared" si="7"/>
        <v>#VALUE!</v>
      </c>
    </row>
    <row r="476" spans="1:19" x14ac:dyDescent="0.25">
      <c r="A476">
        <v>900091143</v>
      </c>
      <c r="B476" t="s">
        <v>3965</v>
      </c>
      <c r="C476" t="s">
        <v>3729</v>
      </c>
      <c r="E476" t="s">
        <v>3729</v>
      </c>
      <c r="H476" t="s">
        <v>22</v>
      </c>
      <c r="I476">
        <v>1085331301</v>
      </c>
      <c r="J476" t="s">
        <v>4068</v>
      </c>
      <c r="P476" t="s">
        <v>4447</v>
      </c>
      <c r="Q476" s="8">
        <v>4730000</v>
      </c>
      <c r="R476" s="8" t="e">
        <f>SUMIFS([1]REPORTADOS!$D$2:$D$3379,[1]REPORTADOS!$C$2:$C$3379,E476)</f>
        <v>#VALUE!</v>
      </c>
      <c r="S476" s="8" t="e">
        <f t="shared" si="7"/>
        <v>#VALUE!</v>
      </c>
    </row>
    <row r="477" spans="1:19" x14ac:dyDescent="0.25">
      <c r="A477">
        <v>900091143</v>
      </c>
      <c r="B477" t="s">
        <v>3965</v>
      </c>
      <c r="C477" t="s">
        <v>3730</v>
      </c>
      <c r="E477" t="s">
        <v>3730</v>
      </c>
      <c r="H477" t="s">
        <v>22</v>
      </c>
      <c r="I477">
        <v>1085347312</v>
      </c>
      <c r="J477" t="s">
        <v>4105</v>
      </c>
      <c r="P477" t="s">
        <v>4403</v>
      </c>
      <c r="Q477" s="8">
        <v>18900000</v>
      </c>
      <c r="R477" s="8" t="e">
        <f>SUMIFS([1]REPORTADOS!$D$2:$D$3379,[1]REPORTADOS!$C$2:$C$3379,E477)</f>
        <v>#VALUE!</v>
      </c>
      <c r="S477" s="8" t="e">
        <f t="shared" si="7"/>
        <v>#VALUE!</v>
      </c>
    </row>
    <row r="478" spans="1:19" x14ac:dyDescent="0.25">
      <c r="A478">
        <v>900091143</v>
      </c>
      <c r="B478" t="s">
        <v>3965</v>
      </c>
      <c r="C478" t="s">
        <v>3731</v>
      </c>
      <c r="E478" t="s">
        <v>3731</v>
      </c>
      <c r="H478" t="s">
        <v>22</v>
      </c>
      <c r="I478">
        <v>1053793750</v>
      </c>
      <c r="J478" t="s">
        <v>4108</v>
      </c>
      <c r="P478" t="s">
        <v>4403</v>
      </c>
      <c r="Q478" s="8">
        <v>6300000</v>
      </c>
      <c r="R478" s="8" t="e">
        <f>SUMIFS([1]REPORTADOS!$D$2:$D$3379,[1]REPORTADOS!$C$2:$C$3379,E478)</f>
        <v>#VALUE!</v>
      </c>
      <c r="S478" s="8" t="e">
        <f t="shared" si="7"/>
        <v>#VALUE!</v>
      </c>
    </row>
    <row r="479" spans="1:19" x14ac:dyDescent="0.25">
      <c r="A479">
        <v>900091143</v>
      </c>
      <c r="B479" t="s">
        <v>3965</v>
      </c>
      <c r="C479" t="s">
        <v>3732</v>
      </c>
      <c r="E479" t="s">
        <v>3732</v>
      </c>
      <c r="H479" t="s">
        <v>22</v>
      </c>
      <c r="I479">
        <v>1193202097</v>
      </c>
      <c r="J479" t="s">
        <v>1796</v>
      </c>
      <c r="P479" t="s">
        <v>4447</v>
      </c>
      <c r="Q479" s="8">
        <v>23400000</v>
      </c>
      <c r="R479" s="8" t="e">
        <f>SUMIFS([1]REPORTADOS!$D$2:$D$3379,[1]REPORTADOS!$C$2:$C$3379,E479)</f>
        <v>#VALUE!</v>
      </c>
      <c r="S479" s="8" t="e">
        <f t="shared" si="7"/>
        <v>#VALUE!</v>
      </c>
    </row>
    <row r="480" spans="1:19" x14ac:dyDescent="0.25">
      <c r="A480">
        <v>900091143</v>
      </c>
      <c r="B480" t="s">
        <v>3965</v>
      </c>
      <c r="C480" t="s">
        <v>3733</v>
      </c>
      <c r="E480" t="s">
        <v>3733</v>
      </c>
      <c r="H480" t="s">
        <v>22</v>
      </c>
      <c r="I480">
        <v>59837608</v>
      </c>
      <c r="J480" t="s">
        <v>1810</v>
      </c>
      <c r="P480" t="s">
        <v>4403</v>
      </c>
      <c r="Q480" s="8">
        <v>18900000</v>
      </c>
      <c r="R480" s="8" t="e">
        <f>SUMIFS([1]REPORTADOS!$D$2:$D$3379,[1]REPORTADOS!$C$2:$C$3379,E480)</f>
        <v>#VALUE!</v>
      </c>
      <c r="S480" s="8" t="e">
        <f t="shared" si="7"/>
        <v>#VALUE!</v>
      </c>
    </row>
    <row r="481" spans="1:19" x14ac:dyDescent="0.25">
      <c r="A481">
        <v>900091143</v>
      </c>
      <c r="B481" t="s">
        <v>3965</v>
      </c>
      <c r="C481" t="s">
        <v>3734</v>
      </c>
      <c r="E481" t="s">
        <v>3734</v>
      </c>
      <c r="H481" t="s">
        <v>22</v>
      </c>
      <c r="I481">
        <v>1193405962</v>
      </c>
      <c r="J481" t="s">
        <v>4013</v>
      </c>
      <c r="P481" t="s">
        <v>4403</v>
      </c>
      <c r="Q481" s="8">
        <v>15750000</v>
      </c>
      <c r="R481" s="8" t="e">
        <f>SUMIFS([1]REPORTADOS!$D$2:$D$3379,[1]REPORTADOS!$C$2:$C$3379,E481)</f>
        <v>#VALUE!</v>
      </c>
      <c r="S481" s="8" t="e">
        <f t="shared" si="7"/>
        <v>#VALUE!</v>
      </c>
    </row>
    <row r="482" spans="1:19" x14ac:dyDescent="0.25">
      <c r="A482">
        <v>900091143</v>
      </c>
      <c r="B482" t="s">
        <v>3965</v>
      </c>
      <c r="C482" t="s">
        <v>3735</v>
      </c>
      <c r="E482" t="s">
        <v>3735</v>
      </c>
      <c r="H482" t="s">
        <v>22</v>
      </c>
      <c r="I482">
        <v>1081053820</v>
      </c>
      <c r="J482" t="s">
        <v>2368</v>
      </c>
      <c r="P482" t="s">
        <v>4403</v>
      </c>
      <c r="Q482" s="8">
        <v>15750000</v>
      </c>
      <c r="R482" s="8" t="e">
        <f>SUMIFS([1]REPORTADOS!$D$2:$D$3379,[1]REPORTADOS!$C$2:$C$3379,E482)</f>
        <v>#VALUE!</v>
      </c>
      <c r="S482" s="8" t="e">
        <f t="shared" si="7"/>
        <v>#VALUE!</v>
      </c>
    </row>
    <row r="483" spans="1:19" x14ac:dyDescent="0.25">
      <c r="A483">
        <v>900091143</v>
      </c>
      <c r="B483" t="s">
        <v>3965</v>
      </c>
      <c r="C483" t="s">
        <v>3736</v>
      </c>
      <c r="E483" t="s">
        <v>3736</v>
      </c>
      <c r="H483" t="s">
        <v>22</v>
      </c>
      <c r="I483">
        <v>1085246674</v>
      </c>
      <c r="J483" t="s">
        <v>4003</v>
      </c>
      <c r="P483" t="s">
        <v>4403</v>
      </c>
      <c r="Q483" s="8">
        <v>3150000</v>
      </c>
      <c r="R483" s="8" t="e">
        <f>SUMIFS([1]REPORTADOS!$D$2:$D$3379,[1]REPORTADOS!$C$2:$C$3379,E483)</f>
        <v>#VALUE!</v>
      </c>
      <c r="S483" s="8" t="e">
        <f t="shared" si="7"/>
        <v>#VALUE!</v>
      </c>
    </row>
    <row r="484" spans="1:19" x14ac:dyDescent="0.25">
      <c r="A484">
        <v>900091143</v>
      </c>
      <c r="B484" t="s">
        <v>3965</v>
      </c>
      <c r="C484" t="s">
        <v>3737</v>
      </c>
      <c r="E484" t="s">
        <v>3737</v>
      </c>
      <c r="H484" t="s">
        <v>22</v>
      </c>
      <c r="I484">
        <v>1085315209</v>
      </c>
      <c r="J484" t="s">
        <v>2644</v>
      </c>
      <c r="P484" t="s">
        <v>4403</v>
      </c>
      <c r="Q484" s="8">
        <v>3150000</v>
      </c>
      <c r="R484" s="8" t="e">
        <f>SUMIFS([1]REPORTADOS!$D$2:$D$3379,[1]REPORTADOS!$C$2:$C$3379,E484)</f>
        <v>#VALUE!</v>
      </c>
      <c r="S484" s="8" t="e">
        <f t="shared" si="7"/>
        <v>#VALUE!</v>
      </c>
    </row>
    <row r="485" spans="1:19" x14ac:dyDescent="0.25">
      <c r="A485">
        <v>900091143</v>
      </c>
      <c r="B485" t="s">
        <v>3965</v>
      </c>
      <c r="C485" t="s">
        <v>3738</v>
      </c>
      <c r="E485" t="s">
        <v>3738</v>
      </c>
      <c r="H485" t="s">
        <v>22</v>
      </c>
      <c r="I485">
        <v>1004437571</v>
      </c>
      <c r="J485" t="s">
        <v>2775</v>
      </c>
      <c r="P485" t="s">
        <v>4403</v>
      </c>
      <c r="Q485" s="8">
        <v>3150000</v>
      </c>
      <c r="R485" s="8" t="e">
        <f>SUMIFS([1]REPORTADOS!$D$2:$D$3379,[1]REPORTADOS!$C$2:$C$3379,E485)</f>
        <v>#VALUE!</v>
      </c>
      <c r="S485" s="8" t="e">
        <f t="shared" si="7"/>
        <v>#VALUE!</v>
      </c>
    </row>
    <row r="486" spans="1:19" x14ac:dyDescent="0.25">
      <c r="A486">
        <v>900091143</v>
      </c>
      <c r="B486" t="s">
        <v>3965</v>
      </c>
      <c r="C486" t="s">
        <v>3739</v>
      </c>
      <c r="E486" t="s">
        <v>3739</v>
      </c>
      <c r="H486" t="s">
        <v>22</v>
      </c>
      <c r="I486">
        <v>36950892</v>
      </c>
      <c r="J486" t="s">
        <v>4014</v>
      </c>
      <c r="P486" t="s">
        <v>4403</v>
      </c>
      <c r="Q486" s="8">
        <v>9450000</v>
      </c>
      <c r="R486" s="8" t="e">
        <f>SUMIFS([1]REPORTADOS!$D$2:$D$3379,[1]REPORTADOS!$C$2:$C$3379,E486)</f>
        <v>#VALUE!</v>
      </c>
      <c r="S486" s="8" t="e">
        <f t="shared" si="7"/>
        <v>#VALUE!</v>
      </c>
    </row>
    <row r="487" spans="1:19" x14ac:dyDescent="0.25">
      <c r="A487">
        <v>900091143</v>
      </c>
      <c r="B487" t="s">
        <v>3965</v>
      </c>
      <c r="C487" t="s">
        <v>3740</v>
      </c>
      <c r="E487" t="s">
        <v>3740</v>
      </c>
      <c r="H487" t="s">
        <v>22</v>
      </c>
      <c r="I487">
        <v>1088734182</v>
      </c>
      <c r="J487" t="s">
        <v>4128</v>
      </c>
      <c r="P487" t="s">
        <v>4447</v>
      </c>
      <c r="Q487" s="8">
        <v>7800000</v>
      </c>
      <c r="R487" s="8" t="e">
        <f>SUMIFS([1]REPORTADOS!$D$2:$D$3379,[1]REPORTADOS!$C$2:$C$3379,E487)</f>
        <v>#VALUE!</v>
      </c>
      <c r="S487" s="8" t="e">
        <f t="shared" si="7"/>
        <v>#VALUE!</v>
      </c>
    </row>
    <row r="488" spans="1:19" x14ac:dyDescent="0.25">
      <c r="A488">
        <v>900091143</v>
      </c>
      <c r="B488" t="s">
        <v>3965</v>
      </c>
      <c r="C488" t="s">
        <v>3741</v>
      </c>
      <c r="E488" t="s">
        <v>3741</v>
      </c>
      <c r="H488" t="s">
        <v>22</v>
      </c>
      <c r="I488">
        <v>1087006717</v>
      </c>
      <c r="J488" t="s">
        <v>1793</v>
      </c>
      <c r="P488" t="s">
        <v>4403</v>
      </c>
      <c r="Q488" s="8">
        <v>15750000</v>
      </c>
      <c r="R488" s="8" t="e">
        <f>SUMIFS([1]REPORTADOS!$D$2:$D$3379,[1]REPORTADOS!$C$2:$C$3379,E488)</f>
        <v>#VALUE!</v>
      </c>
      <c r="S488" s="8" t="e">
        <f t="shared" si="7"/>
        <v>#VALUE!</v>
      </c>
    </row>
    <row r="489" spans="1:19" x14ac:dyDescent="0.25">
      <c r="A489">
        <v>900091143</v>
      </c>
      <c r="B489" t="s">
        <v>3965</v>
      </c>
      <c r="C489" t="s">
        <v>3742</v>
      </c>
      <c r="E489" t="s">
        <v>3742</v>
      </c>
      <c r="H489" t="s">
        <v>22</v>
      </c>
      <c r="I489">
        <v>1086018841</v>
      </c>
      <c r="J489" t="s">
        <v>4011</v>
      </c>
      <c r="P489" t="s">
        <v>4403</v>
      </c>
      <c r="Q489" s="8">
        <v>9450000</v>
      </c>
      <c r="R489" s="8" t="e">
        <f>SUMIFS([1]REPORTADOS!$D$2:$D$3379,[1]REPORTADOS!$C$2:$C$3379,E489)</f>
        <v>#VALUE!</v>
      </c>
      <c r="S489" s="8" t="e">
        <f t="shared" si="7"/>
        <v>#VALUE!</v>
      </c>
    </row>
    <row r="490" spans="1:19" x14ac:dyDescent="0.25">
      <c r="A490">
        <v>900091143</v>
      </c>
      <c r="B490" t="s">
        <v>3965</v>
      </c>
      <c r="C490" t="s">
        <v>3743</v>
      </c>
      <c r="E490" t="s">
        <v>3743</v>
      </c>
      <c r="H490" t="s">
        <v>22</v>
      </c>
      <c r="I490">
        <v>1084552063</v>
      </c>
      <c r="J490" t="s">
        <v>4125</v>
      </c>
      <c r="P490" t="s">
        <v>4447</v>
      </c>
      <c r="Q490" s="8">
        <v>39000000</v>
      </c>
      <c r="R490" s="8" t="e">
        <f>SUMIFS([1]REPORTADOS!$D$2:$D$3379,[1]REPORTADOS!$C$2:$C$3379,E490)</f>
        <v>#VALUE!</v>
      </c>
      <c r="S490" s="8" t="e">
        <f t="shared" si="7"/>
        <v>#VALUE!</v>
      </c>
    </row>
    <row r="491" spans="1:19" x14ac:dyDescent="0.25">
      <c r="A491">
        <v>900091143</v>
      </c>
      <c r="B491" t="s">
        <v>3965</v>
      </c>
      <c r="C491" t="s">
        <v>3744</v>
      </c>
      <c r="E491" t="s">
        <v>3744</v>
      </c>
      <c r="H491" t="s">
        <v>22</v>
      </c>
      <c r="J491" t="s">
        <v>2270</v>
      </c>
      <c r="P491" t="s">
        <v>4403</v>
      </c>
      <c r="Q491" s="8">
        <v>9450000</v>
      </c>
      <c r="R491" s="8" t="e">
        <f>SUMIFS([1]REPORTADOS!$D$2:$D$3379,[1]REPORTADOS!$C$2:$C$3379,E491)</f>
        <v>#VALUE!</v>
      </c>
      <c r="S491" s="8" t="e">
        <f t="shared" si="7"/>
        <v>#VALUE!</v>
      </c>
    </row>
    <row r="492" spans="1:19" x14ac:dyDescent="0.25">
      <c r="A492">
        <v>900091143</v>
      </c>
      <c r="B492" t="s">
        <v>3965</v>
      </c>
      <c r="C492" t="s">
        <v>3745</v>
      </c>
      <c r="E492" t="s">
        <v>3745</v>
      </c>
      <c r="H492" t="s">
        <v>22</v>
      </c>
      <c r="I492">
        <v>1085324685</v>
      </c>
      <c r="J492" t="s">
        <v>2511</v>
      </c>
      <c r="P492" t="s">
        <v>4403</v>
      </c>
      <c r="Q492" s="8">
        <v>9450000</v>
      </c>
      <c r="R492" s="8" t="e">
        <f>SUMIFS([1]REPORTADOS!$D$2:$D$3379,[1]REPORTADOS!$C$2:$C$3379,E492)</f>
        <v>#VALUE!</v>
      </c>
      <c r="S492" s="8" t="e">
        <f t="shared" si="7"/>
        <v>#VALUE!</v>
      </c>
    </row>
    <row r="493" spans="1:19" x14ac:dyDescent="0.25">
      <c r="A493">
        <v>900091143</v>
      </c>
      <c r="B493" t="s">
        <v>3965</v>
      </c>
      <c r="C493" t="s">
        <v>3746</v>
      </c>
      <c r="E493" t="s">
        <v>3746</v>
      </c>
      <c r="H493" t="s">
        <v>22</v>
      </c>
      <c r="I493">
        <v>1080041553</v>
      </c>
      <c r="J493" t="s">
        <v>4135</v>
      </c>
      <c r="P493" t="s">
        <v>4403</v>
      </c>
      <c r="Q493" s="8">
        <v>9450000</v>
      </c>
      <c r="R493" s="8" t="e">
        <f>SUMIFS([1]REPORTADOS!$D$2:$D$3379,[1]REPORTADOS!$C$2:$C$3379,E493)</f>
        <v>#VALUE!</v>
      </c>
      <c r="S493" s="8" t="e">
        <f t="shared" si="7"/>
        <v>#VALUE!</v>
      </c>
    </row>
    <row r="494" spans="1:19" x14ac:dyDescent="0.25">
      <c r="A494">
        <v>900091143</v>
      </c>
      <c r="B494" t="s">
        <v>3965</v>
      </c>
      <c r="C494" t="s">
        <v>3747</v>
      </c>
      <c r="E494" t="s">
        <v>3747</v>
      </c>
      <c r="H494" t="s">
        <v>22</v>
      </c>
      <c r="I494">
        <v>1086328063</v>
      </c>
      <c r="J494" t="s">
        <v>4172</v>
      </c>
      <c r="P494" t="s">
        <v>4403</v>
      </c>
      <c r="Q494" s="8">
        <v>15750000</v>
      </c>
      <c r="R494" s="8" t="e">
        <f>SUMIFS([1]REPORTADOS!$D$2:$D$3379,[1]REPORTADOS!$C$2:$C$3379,E494)</f>
        <v>#VALUE!</v>
      </c>
      <c r="S494" s="8" t="e">
        <f t="shared" si="7"/>
        <v>#VALUE!</v>
      </c>
    </row>
    <row r="495" spans="1:19" x14ac:dyDescent="0.25">
      <c r="A495">
        <v>900091143</v>
      </c>
      <c r="B495" t="s">
        <v>3965</v>
      </c>
      <c r="C495" t="s">
        <v>3748</v>
      </c>
      <c r="E495" t="s">
        <v>3748</v>
      </c>
      <c r="H495" t="s">
        <v>22</v>
      </c>
      <c r="I495">
        <v>59310853</v>
      </c>
      <c r="J495" t="s">
        <v>1891</v>
      </c>
      <c r="P495" t="s">
        <v>4403</v>
      </c>
      <c r="Q495" s="8">
        <v>9450000</v>
      </c>
      <c r="R495" s="8" t="e">
        <f>SUMIFS([1]REPORTADOS!$D$2:$D$3379,[1]REPORTADOS!$C$2:$C$3379,E495)</f>
        <v>#VALUE!</v>
      </c>
      <c r="S495" s="8" t="e">
        <f t="shared" si="7"/>
        <v>#VALUE!</v>
      </c>
    </row>
    <row r="496" spans="1:19" x14ac:dyDescent="0.25">
      <c r="A496">
        <v>900091143</v>
      </c>
      <c r="B496" t="s">
        <v>3965</v>
      </c>
      <c r="C496" t="s">
        <v>3749</v>
      </c>
      <c r="E496" t="s">
        <v>3749</v>
      </c>
      <c r="H496" t="s">
        <v>22</v>
      </c>
      <c r="I496">
        <v>1086330124</v>
      </c>
      <c r="J496" t="s">
        <v>4036</v>
      </c>
      <c r="P496" t="s">
        <v>4403</v>
      </c>
      <c r="Q496" s="8">
        <v>9450000</v>
      </c>
      <c r="R496" s="8" t="e">
        <f>SUMIFS([1]REPORTADOS!$D$2:$D$3379,[1]REPORTADOS!$C$2:$C$3379,E496)</f>
        <v>#VALUE!</v>
      </c>
      <c r="S496" s="8" t="e">
        <f t="shared" si="7"/>
        <v>#VALUE!</v>
      </c>
    </row>
    <row r="497" spans="1:19" x14ac:dyDescent="0.25">
      <c r="A497">
        <v>900091143</v>
      </c>
      <c r="B497" t="s">
        <v>3965</v>
      </c>
      <c r="C497" t="s">
        <v>3750</v>
      </c>
      <c r="E497" t="s">
        <v>3750</v>
      </c>
      <c r="H497" t="s">
        <v>22</v>
      </c>
      <c r="I497">
        <v>1081272656</v>
      </c>
      <c r="J497" t="s">
        <v>2659</v>
      </c>
      <c r="P497" t="s">
        <v>4403</v>
      </c>
      <c r="Q497" s="8">
        <v>9450000</v>
      </c>
      <c r="R497" s="8" t="e">
        <f>SUMIFS([1]REPORTADOS!$D$2:$D$3379,[1]REPORTADOS!$C$2:$C$3379,E497)</f>
        <v>#VALUE!</v>
      </c>
      <c r="S497" s="8" t="e">
        <f t="shared" si="7"/>
        <v>#VALUE!</v>
      </c>
    </row>
    <row r="498" spans="1:19" x14ac:dyDescent="0.25">
      <c r="A498">
        <v>900091143</v>
      </c>
      <c r="B498" t="s">
        <v>3965</v>
      </c>
      <c r="C498" t="s">
        <v>3751</v>
      </c>
      <c r="E498" t="s">
        <v>3751</v>
      </c>
      <c r="H498" t="s">
        <v>22</v>
      </c>
      <c r="I498">
        <v>27388522</v>
      </c>
      <c r="J498" t="s">
        <v>1777</v>
      </c>
      <c r="P498" t="s">
        <v>4403</v>
      </c>
      <c r="Q498" s="8">
        <v>15750000</v>
      </c>
      <c r="R498" s="8" t="e">
        <f>SUMIFS([1]REPORTADOS!$D$2:$D$3379,[1]REPORTADOS!$C$2:$C$3379,E498)</f>
        <v>#VALUE!</v>
      </c>
      <c r="S498" s="8" t="e">
        <f t="shared" si="7"/>
        <v>#VALUE!</v>
      </c>
    </row>
    <row r="499" spans="1:19" x14ac:dyDescent="0.25">
      <c r="A499">
        <v>900091143</v>
      </c>
      <c r="B499" t="s">
        <v>3965</v>
      </c>
      <c r="C499" t="s">
        <v>3752</v>
      </c>
      <c r="E499" t="s">
        <v>3752</v>
      </c>
      <c r="H499" t="s">
        <v>22</v>
      </c>
      <c r="I499">
        <v>59834953</v>
      </c>
      <c r="J499" t="s">
        <v>1759</v>
      </c>
      <c r="P499" t="s">
        <v>4403</v>
      </c>
      <c r="Q499" s="8">
        <v>3150000</v>
      </c>
      <c r="R499" s="8" t="e">
        <f>SUMIFS([1]REPORTADOS!$D$2:$D$3379,[1]REPORTADOS!$C$2:$C$3379,E499)</f>
        <v>#VALUE!</v>
      </c>
      <c r="S499" s="8" t="e">
        <f t="shared" si="7"/>
        <v>#VALUE!</v>
      </c>
    </row>
    <row r="500" spans="1:19" x14ac:dyDescent="0.25">
      <c r="A500">
        <v>900091143</v>
      </c>
      <c r="B500" t="s">
        <v>3965</v>
      </c>
      <c r="C500" t="s">
        <v>3753</v>
      </c>
      <c r="E500" t="s">
        <v>3753</v>
      </c>
      <c r="H500" t="s">
        <v>22</v>
      </c>
      <c r="I500">
        <v>1233188295</v>
      </c>
      <c r="J500" t="s">
        <v>4116</v>
      </c>
      <c r="P500" t="s">
        <v>4447</v>
      </c>
      <c r="Q500" s="8">
        <v>7800000</v>
      </c>
      <c r="R500" s="8" t="e">
        <f>SUMIFS([1]REPORTADOS!$D$2:$D$3379,[1]REPORTADOS!$C$2:$C$3379,E500)</f>
        <v>#VALUE!</v>
      </c>
      <c r="S500" s="8" t="e">
        <f t="shared" si="7"/>
        <v>#VALUE!</v>
      </c>
    </row>
    <row r="501" spans="1:19" x14ac:dyDescent="0.25">
      <c r="A501">
        <v>900091143</v>
      </c>
      <c r="B501" t="s">
        <v>3965</v>
      </c>
      <c r="C501" t="s">
        <v>3754</v>
      </c>
      <c r="E501" t="s">
        <v>3754</v>
      </c>
      <c r="H501" t="s">
        <v>22</v>
      </c>
      <c r="I501">
        <v>59830040</v>
      </c>
      <c r="J501" t="s">
        <v>2026</v>
      </c>
      <c r="P501" t="s">
        <v>4403</v>
      </c>
      <c r="Q501" s="8">
        <v>3150000</v>
      </c>
      <c r="R501" s="8" t="e">
        <f>SUMIFS([1]REPORTADOS!$D$2:$D$3379,[1]REPORTADOS!$C$2:$C$3379,E501)</f>
        <v>#VALUE!</v>
      </c>
      <c r="S501" s="8" t="e">
        <f t="shared" si="7"/>
        <v>#VALUE!</v>
      </c>
    </row>
    <row r="502" spans="1:19" x14ac:dyDescent="0.25">
      <c r="A502">
        <v>900091143</v>
      </c>
      <c r="B502" t="s">
        <v>3965</v>
      </c>
      <c r="C502" t="s">
        <v>3755</v>
      </c>
      <c r="E502" t="s">
        <v>3755</v>
      </c>
      <c r="H502" t="s">
        <v>22</v>
      </c>
      <c r="I502">
        <v>1082749295</v>
      </c>
      <c r="J502" t="s">
        <v>4045</v>
      </c>
      <c r="P502" t="s">
        <v>4403</v>
      </c>
      <c r="Q502" s="8">
        <v>15750000</v>
      </c>
      <c r="R502" s="8" t="e">
        <f>SUMIFS([1]REPORTADOS!$D$2:$D$3379,[1]REPORTADOS!$C$2:$C$3379,E502)</f>
        <v>#VALUE!</v>
      </c>
      <c r="S502" s="8" t="e">
        <f t="shared" si="7"/>
        <v>#VALUE!</v>
      </c>
    </row>
    <row r="503" spans="1:19" x14ac:dyDescent="0.25">
      <c r="A503">
        <v>900091143</v>
      </c>
      <c r="B503" t="s">
        <v>3965</v>
      </c>
      <c r="C503" t="s">
        <v>3756</v>
      </c>
      <c r="E503" t="s">
        <v>3756</v>
      </c>
      <c r="H503" t="s">
        <v>22</v>
      </c>
      <c r="I503">
        <v>59313711</v>
      </c>
      <c r="J503" t="s">
        <v>4052</v>
      </c>
      <c r="P503" t="s">
        <v>4403</v>
      </c>
      <c r="Q503" s="8">
        <v>9450000</v>
      </c>
      <c r="R503" s="8" t="e">
        <f>SUMIFS([1]REPORTADOS!$D$2:$D$3379,[1]REPORTADOS!$C$2:$C$3379,E503)</f>
        <v>#VALUE!</v>
      </c>
      <c r="S503" s="8" t="e">
        <f t="shared" si="7"/>
        <v>#VALUE!</v>
      </c>
    </row>
    <row r="504" spans="1:19" x14ac:dyDescent="0.25">
      <c r="A504">
        <v>900091143</v>
      </c>
      <c r="B504" t="s">
        <v>3965</v>
      </c>
      <c r="C504" t="s">
        <v>3757</v>
      </c>
      <c r="E504" t="s">
        <v>3757</v>
      </c>
      <c r="H504" t="s">
        <v>22</v>
      </c>
      <c r="I504">
        <v>1081572043</v>
      </c>
      <c r="J504" t="s">
        <v>1874</v>
      </c>
      <c r="P504" t="s">
        <v>4403</v>
      </c>
      <c r="Q504" s="8">
        <v>3150000</v>
      </c>
      <c r="R504" s="8" t="e">
        <f>SUMIFS([1]REPORTADOS!$D$2:$D$3379,[1]REPORTADOS!$C$2:$C$3379,E504)</f>
        <v>#VALUE!</v>
      </c>
      <c r="S504" s="8" t="e">
        <f t="shared" si="7"/>
        <v>#VALUE!</v>
      </c>
    </row>
    <row r="505" spans="1:19" x14ac:dyDescent="0.25">
      <c r="A505">
        <v>900091143</v>
      </c>
      <c r="B505" t="s">
        <v>3965</v>
      </c>
      <c r="C505" t="s">
        <v>3758</v>
      </c>
      <c r="E505" t="s">
        <v>3758</v>
      </c>
      <c r="H505" t="s">
        <v>22</v>
      </c>
      <c r="I505">
        <v>1084552048</v>
      </c>
      <c r="J505" t="s">
        <v>1951</v>
      </c>
      <c r="P505" t="s">
        <v>4403</v>
      </c>
      <c r="Q505" s="8">
        <v>15750000</v>
      </c>
      <c r="R505" s="8" t="e">
        <f>SUMIFS([1]REPORTADOS!$D$2:$D$3379,[1]REPORTADOS!$C$2:$C$3379,E505)</f>
        <v>#VALUE!</v>
      </c>
      <c r="S505" s="8" t="e">
        <f t="shared" si="7"/>
        <v>#VALUE!</v>
      </c>
    </row>
    <row r="506" spans="1:19" x14ac:dyDescent="0.25">
      <c r="A506">
        <v>900091143</v>
      </c>
      <c r="B506" t="s">
        <v>3965</v>
      </c>
      <c r="C506" t="s">
        <v>3759</v>
      </c>
      <c r="E506" t="s">
        <v>3759</v>
      </c>
      <c r="H506" t="s">
        <v>22</v>
      </c>
      <c r="I506">
        <v>1085335069</v>
      </c>
      <c r="J506" t="s">
        <v>2633</v>
      </c>
      <c r="P506" t="s">
        <v>4447</v>
      </c>
      <c r="Q506" s="8">
        <v>14190000</v>
      </c>
      <c r="R506" s="8" t="e">
        <f>SUMIFS([1]REPORTADOS!$D$2:$D$3379,[1]REPORTADOS!$C$2:$C$3379,E506)</f>
        <v>#VALUE!</v>
      </c>
      <c r="S506" s="8" t="e">
        <f t="shared" si="7"/>
        <v>#VALUE!</v>
      </c>
    </row>
    <row r="507" spans="1:19" x14ac:dyDescent="0.25">
      <c r="A507">
        <v>900091143</v>
      </c>
      <c r="B507" t="s">
        <v>3965</v>
      </c>
      <c r="C507" t="s">
        <v>3760</v>
      </c>
      <c r="E507" t="s">
        <v>3760</v>
      </c>
      <c r="H507" t="s">
        <v>22</v>
      </c>
      <c r="I507">
        <v>1086222689</v>
      </c>
      <c r="J507" t="s">
        <v>1768</v>
      </c>
      <c r="P507" t="s">
        <v>4403</v>
      </c>
      <c r="Q507" s="8">
        <v>9450000</v>
      </c>
      <c r="R507" s="8" t="e">
        <f>SUMIFS([1]REPORTADOS!$D$2:$D$3379,[1]REPORTADOS!$C$2:$C$3379,E507)</f>
        <v>#VALUE!</v>
      </c>
      <c r="S507" s="8" t="e">
        <f t="shared" si="7"/>
        <v>#VALUE!</v>
      </c>
    </row>
    <row r="508" spans="1:19" x14ac:dyDescent="0.25">
      <c r="A508">
        <v>900091143</v>
      </c>
      <c r="B508" t="s">
        <v>3965</v>
      </c>
      <c r="C508" t="s">
        <v>3761</v>
      </c>
      <c r="E508" t="s">
        <v>3761</v>
      </c>
      <c r="H508" t="s">
        <v>22</v>
      </c>
      <c r="I508">
        <v>1085293619</v>
      </c>
      <c r="J508" t="s">
        <v>2115</v>
      </c>
      <c r="P508" t="s">
        <v>4447</v>
      </c>
      <c r="Q508" s="8">
        <v>14190000</v>
      </c>
      <c r="R508" s="8" t="e">
        <f>SUMIFS([1]REPORTADOS!$D$2:$D$3379,[1]REPORTADOS!$C$2:$C$3379,E508)</f>
        <v>#VALUE!</v>
      </c>
      <c r="S508" s="8" t="e">
        <f t="shared" si="7"/>
        <v>#VALUE!</v>
      </c>
    </row>
    <row r="509" spans="1:19" x14ac:dyDescent="0.25">
      <c r="A509">
        <v>900091143</v>
      </c>
      <c r="B509" t="s">
        <v>3965</v>
      </c>
      <c r="C509" t="s">
        <v>3762</v>
      </c>
      <c r="E509" t="s">
        <v>3762</v>
      </c>
      <c r="H509" t="s">
        <v>22</v>
      </c>
      <c r="I509">
        <v>1004131976</v>
      </c>
      <c r="J509" t="s">
        <v>2339</v>
      </c>
      <c r="P509" t="s">
        <v>4403</v>
      </c>
      <c r="Q509" s="8">
        <v>3150000</v>
      </c>
      <c r="R509" s="8" t="e">
        <f>SUMIFS([1]REPORTADOS!$D$2:$D$3379,[1]REPORTADOS!$C$2:$C$3379,E509)</f>
        <v>#VALUE!</v>
      </c>
      <c r="S509" s="8" t="e">
        <f t="shared" si="7"/>
        <v>#VALUE!</v>
      </c>
    </row>
    <row r="510" spans="1:19" x14ac:dyDescent="0.25">
      <c r="A510">
        <v>900091143</v>
      </c>
      <c r="B510" t="s">
        <v>3965</v>
      </c>
      <c r="C510" t="s">
        <v>3763</v>
      </c>
      <c r="E510" t="s">
        <v>3763</v>
      </c>
      <c r="H510" t="s">
        <v>22</v>
      </c>
      <c r="I510">
        <v>1085267332</v>
      </c>
      <c r="J510" t="s">
        <v>4173</v>
      </c>
      <c r="P510" t="s">
        <v>4403</v>
      </c>
      <c r="Q510" s="8">
        <v>9450000</v>
      </c>
      <c r="R510" s="8" t="e">
        <f>SUMIFS([1]REPORTADOS!$D$2:$D$3379,[1]REPORTADOS!$C$2:$C$3379,E510)</f>
        <v>#VALUE!</v>
      </c>
      <c r="S510" s="8" t="e">
        <f t="shared" si="7"/>
        <v>#VALUE!</v>
      </c>
    </row>
    <row r="511" spans="1:19" x14ac:dyDescent="0.25">
      <c r="A511">
        <v>900091143</v>
      </c>
      <c r="B511" t="s">
        <v>3965</v>
      </c>
      <c r="C511" t="s">
        <v>3764</v>
      </c>
      <c r="E511" t="s">
        <v>3764</v>
      </c>
      <c r="H511" t="s">
        <v>22</v>
      </c>
      <c r="I511">
        <v>36751255</v>
      </c>
      <c r="J511" t="s">
        <v>3980</v>
      </c>
      <c r="P511" t="s">
        <v>4403</v>
      </c>
      <c r="Q511" s="8">
        <v>15750000</v>
      </c>
      <c r="R511" s="8" t="e">
        <f>SUMIFS([1]REPORTADOS!$D$2:$D$3379,[1]REPORTADOS!$C$2:$C$3379,E511)</f>
        <v>#VALUE!</v>
      </c>
      <c r="S511" s="8" t="e">
        <f t="shared" si="7"/>
        <v>#VALUE!</v>
      </c>
    </row>
    <row r="512" spans="1:19" x14ac:dyDescent="0.25">
      <c r="A512">
        <v>900091143</v>
      </c>
      <c r="B512" t="s">
        <v>3965</v>
      </c>
      <c r="C512" t="s">
        <v>3765</v>
      </c>
      <c r="E512" t="s">
        <v>3765</v>
      </c>
      <c r="H512" t="s">
        <v>22</v>
      </c>
      <c r="I512">
        <v>27436186</v>
      </c>
      <c r="J512" t="s">
        <v>1954</v>
      </c>
      <c r="P512" t="s">
        <v>4403</v>
      </c>
      <c r="Q512" s="8">
        <v>3150000</v>
      </c>
      <c r="R512" s="8" t="e">
        <f>SUMIFS([1]REPORTADOS!$D$2:$D$3379,[1]REPORTADOS!$C$2:$C$3379,E512)</f>
        <v>#VALUE!</v>
      </c>
      <c r="S512" s="8" t="e">
        <f t="shared" si="7"/>
        <v>#VALUE!</v>
      </c>
    </row>
    <row r="513" spans="1:19" x14ac:dyDescent="0.25">
      <c r="A513">
        <v>900091143</v>
      </c>
      <c r="B513" t="s">
        <v>3965</v>
      </c>
      <c r="C513" t="s">
        <v>3766</v>
      </c>
      <c r="E513" t="s">
        <v>3766</v>
      </c>
      <c r="H513" t="s">
        <v>22</v>
      </c>
      <c r="I513">
        <v>1087644986</v>
      </c>
      <c r="J513" t="s">
        <v>4065</v>
      </c>
      <c r="P513" t="s">
        <v>4403</v>
      </c>
      <c r="Q513" s="8">
        <v>9450000</v>
      </c>
      <c r="R513" s="8" t="e">
        <f>SUMIFS([1]REPORTADOS!$D$2:$D$3379,[1]REPORTADOS!$C$2:$C$3379,E513)</f>
        <v>#VALUE!</v>
      </c>
      <c r="S513" s="8" t="e">
        <f t="shared" si="7"/>
        <v>#VALUE!</v>
      </c>
    </row>
    <row r="514" spans="1:19" x14ac:dyDescent="0.25">
      <c r="A514">
        <v>900091143</v>
      </c>
      <c r="B514" t="s">
        <v>3965</v>
      </c>
      <c r="C514" t="s">
        <v>3767</v>
      </c>
      <c r="E514" t="s">
        <v>3767</v>
      </c>
      <c r="H514" t="s">
        <v>22</v>
      </c>
      <c r="I514">
        <v>1084224968</v>
      </c>
      <c r="J514" t="s">
        <v>2493</v>
      </c>
      <c r="P514" t="s">
        <v>4403</v>
      </c>
      <c r="Q514" s="8">
        <v>9450000</v>
      </c>
      <c r="R514" s="8" t="e">
        <f>SUMIFS([1]REPORTADOS!$D$2:$D$3379,[1]REPORTADOS!$C$2:$C$3379,E514)</f>
        <v>#VALUE!</v>
      </c>
      <c r="S514" s="8" t="e">
        <f t="shared" si="7"/>
        <v>#VALUE!</v>
      </c>
    </row>
    <row r="515" spans="1:19" x14ac:dyDescent="0.25">
      <c r="A515">
        <v>900091143</v>
      </c>
      <c r="B515" t="s">
        <v>3965</v>
      </c>
      <c r="C515" t="s">
        <v>3768</v>
      </c>
      <c r="E515" t="s">
        <v>3768</v>
      </c>
      <c r="H515" t="s">
        <v>22</v>
      </c>
      <c r="I515">
        <v>1085288636</v>
      </c>
      <c r="J515" t="s">
        <v>2384</v>
      </c>
      <c r="P515" t="s">
        <v>4403</v>
      </c>
      <c r="Q515" s="8">
        <v>15750000</v>
      </c>
      <c r="R515" s="8" t="e">
        <f>SUMIFS([1]REPORTADOS!$D$2:$D$3379,[1]REPORTADOS!$C$2:$C$3379,E515)</f>
        <v>#VALUE!</v>
      </c>
      <c r="S515" s="8" t="e">
        <f t="shared" ref="S515:S578" si="8">Q515-R515</f>
        <v>#VALUE!</v>
      </c>
    </row>
    <row r="516" spans="1:19" x14ac:dyDescent="0.25">
      <c r="A516">
        <v>900091143</v>
      </c>
      <c r="B516" t="s">
        <v>3965</v>
      </c>
      <c r="C516" t="s">
        <v>3769</v>
      </c>
      <c r="E516" t="s">
        <v>3769</v>
      </c>
      <c r="H516" t="s">
        <v>22</v>
      </c>
      <c r="I516">
        <v>1085317226</v>
      </c>
      <c r="J516" t="s">
        <v>4044</v>
      </c>
      <c r="P516" t="s">
        <v>4403</v>
      </c>
      <c r="Q516" s="8">
        <v>15750000</v>
      </c>
      <c r="R516" s="8" t="e">
        <f>SUMIFS([1]REPORTADOS!$D$2:$D$3379,[1]REPORTADOS!$C$2:$C$3379,E516)</f>
        <v>#VALUE!</v>
      </c>
      <c r="S516" s="8" t="e">
        <f t="shared" si="8"/>
        <v>#VALUE!</v>
      </c>
    </row>
    <row r="517" spans="1:19" x14ac:dyDescent="0.25">
      <c r="A517">
        <v>900091143</v>
      </c>
      <c r="B517" t="s">
        <v>3965</v>
      </c>
      <c r="C517" t="s">
        <v>3770</v>
      </c>
      <c r="E517" t="s">
        <v>3770</v>
      </c>
      <c r="H517" t="s">
        <v>22</v>
      </c>
      <c r="I517">
        <v>27549932</v>
      </c>
      <c r="J517" t="s">
        <v>4174</v>
      </c>
      <c r="P517" t="s">
        <v>4403</v>
      </c>
      <c r="Q517" s="8">
        <v>15750000</v>
      </c>
      <c r="R517" s="8" t="e">
        <f>SUMIFS([1]REPORTADOS!$D$2:$D$3379,[1]REPORTADOS!$C$2:$C$3379,E517)</f>
        <v>#VALUE!</v>
      </c>
      <c r="S517" s="8" t="e">
        <f t="shared" si="8"/>
        <v>#VALUE!</v>
      </c>
    </row>
    <row r="518" spans="1:19" x14ac:dyDescent="0.25">
      <c r="A518">
        <v>900091143</v>
      </c>
      <c r="B518" t="s">
        <v>3965</v>
      </c>
      <c r="C518" t="s">
        <v>3771</v>
      </c>
      <c r="E518" t="s">
        <v>3771</v>
      </c>
      <c r="H518" t="s">
        <v>22</v>
      </c>
      <c r="I518">
        <v>1085346528</v>
      </c>
      <c r="J518" t="s">
        <v>2621</v>
      </c>
      <c r="P518" t="s">
        <v>4403</v>
      </c>
      <c r="Q518" s="8">
        <v>3150000</v>
      </c>
      <c r="R518" s="8" t="e">
        <f>SUMIFS([1]REPORTADOS!$D$2:$D$3379,[1]REPORTADOS!$C$2:$C$3379,E518)</f>
        <v>#VALUE!</v>
      </c>
      <c r="S518" s="8" t="e">
        <f t="shared" si="8"/>
        <v>#VALUE!</v>
      </c>
    </row>
    <row r="519" spans="1:19" x14ac:dyDescent="0.25">
      <c r="A519">
        <v>900091143</v>
      </c>
      <c r="B519" t="s">
        <v>3965</v>
      </c>
      <c r="C519" t="s">
        <v>3772</v>
      </c>
      <c r="E519" t="s">
        <v>3772</v>
      </c>
      <c r="H519" t="s">
        <v>22</v>
      </c>
      <c r="I519">
        <v>1010099104</v>
      </c>
      <c r="J519" t="s">
        <v>4006</v>
      </c>
      <c r="P519" t="s">
        <v>4403</v>
      </c>
      <c r="Q519" s="8">
        <v>15750000</v>
      </c>
      <c r="R519" s="8" t="e">
        <f>SUMIFS([1]REPORTADOS!$D$2:$D$3379,[1]REPORTADOS!$C$2:$C$3379,E519)</f>
        <v>#VALUE!</v>
      </c>
      <c r="S519" s="8" t="e">
        <f t="shared" si="8"/>
        <v>#VALUE!</v>
      </c>
    </row>
    <row r="520" spans="1:19" x14ac:dyDescent="0.25">
      <c r="A520">
        <v>900091143</v>
      </c>
      <c r="B520" t="s">
        <v>3965</v>
      </c>
      <c r="C520" t="s">
        <v>3773</v>
      </c>
      <c r="E520" t="s">
        <v>3773</v>
      </c>
      <c r="H520" t="s">
        <v>22</v>
      </c>
      <c r="I520">
        <v>27253636</v>
      </c>
      <c r="J520" t="s">
        <v>4016</v>
      </c>
      <c r="P520" t="s">
        <v>4403</v>
      </c>
      <c r="Q520" s="8">
        <v>15750000</v>
      </c>
      <c r="R520" s="8" t="e">
        <f>SUMIFS([1]REPORTADOS!$D$2:$D$3379,[1]REPORTADOS!$C$2:$C$3379,E520)</f>
        <v>#VALUE!</v>
      </c>
      <c r="S520" s="8" t="e">
        <f t="shared" si="8"/>
        <v>#VALUE!</v>
      </c>
    </row>
    <row r="521" spans="1:19" x14ac:dyDescent="0.25">
      <c r="A521">
        <v>900091143</v>
      </c>
      <c r="B521" t="s">
        <v>3965</v>
      </c>
      <c r="C521" t="s">
        <v>3774</v>
      </c>
      <c r="E521" t="s">
        <v>3774</v>
      </c>
      <c r="H521" t="s">
        <v>22</v>
      </c>
      <c r="I521">
        <v>1089291166</v>
      </c>
      <c r="J521" t="s">
        <v>4063</v>
      </c>
      <c r="P521" t="s">
        <v>4403</v>
      </c>
      <c r="Q521" s="8">
        <v>15750000</v>
      </c>
      <c r="R521" s="8" t="e">
        <f>SUMIFS([1]REPORTADOS!$D$2:$D$3379,[1]REPORTADOS!$C$2:$C$3379,E521)</f>
        <v>#VALUE!</v>
      </c>
      <c r="S521" s="8" t="e">
        <f t="shared" si="8"/>
        <v>#VALUE!</v>
      </c>
    </row>
    <row r="522" spans="1:19" x14ac:dyDescent="0.25">
      <c r="A522">
        <v>900091143</v>
      </c>
      <c r="B522" t="s">
        <v>3965</v>
      </c>
      <c r="C522" t="s">
        <v>3775</v>
      </c>
      <c r="E522" t="s">
        <v>3775</v>
      </c>
      <c r="H522" t="s">
        <v>22</v>
      </c>
      <c r="I522">
        <v>87065647</v>
      </c>
      <c r="J522" t="s">
        <v>2134</v>
      </c>
      <c r="P522" t="s">
        <v>4447</v>
      </c>
      <c r="Q522" s="8">
        <v>23400000</v>
      </c>
      <c r="R522" s="8" t="e">
        <f>SUMIFS([1]REPORTADOS!$D$2:$D$3379,[1]REPORTADOS!$C$2:$C$3379,E522)</f>
        <v>#VALUE!</v>
      </c>
      <c r="S522" s="8" t="e">
        <f t="shared" si="8"/>
        <v>#VALUE!</v>
      </c>
    </row>
    <row r="523" spans="1:19" x14ac:dyDescent="0.25">
      <c r="A523">
        <v>900091143</v>
      </c>
      <c r="B523" t="s">
        <v>3965</v>
      </c>
      <c r="C523" t="s">
        <v>3776</v>
      </c>
      <c r="E523" t="s">
        <v>3776</v>
      </c>
      <c r="H523" t="s">
        <v>22</v>
      </c>
      <c r="I523">
        <v>1004236159</v>
      </c>
      <c r="J523" t="s">
        <v>4058</v>
      </c>
      <c r="P523" t="s">
        <v>4403</v>
      </c>
      <c r="Q523" s="8">
        <v>15750000</v>
      </c>
      <c r="R523" s="8" t="e">
        <f>SUMIFS([1]REPORTADOS!$D$2:$D$3379,[1]REPORTADOS!$C$2:$C$3379,E523)</f>
        <v>#VALUE!</v>
      </c>
      <c r="S523" s="8" t="e">
        <f t="shared" si="8"/>
        <v>#VALUE!</v>
      </c>
    </row>
    <row r="524" spans="1:19" x14ac:dyDescent="0.25">
      <c r="A524">
        <v>900091143</v>
      </c>
      <c r="B524" t="s">
        <v>3965</v>
      </c>
      <c r="C524" t="s">
        <v>3777</v>
      </c>
      <c r="E524" t="s">
        <v>3777</v>
      </c>
      <c r="H524" t="s">
        <v>22</v>
      </c>
      <c r="I524">
        <v>1085331558</v>
      </c>
      <c r="J524" t="s">
        <v>4010</v>
      </c>
      <c r="P524" t="s">
        <v>4403</v>
      </c>
      <c r="Q524" s="8">
        <v>15750000</v>
      </c>
      <c r="R524" s="8" t="e">
        <f>SUMIFS([1]REPORTADOS!$D$2:$D$3379,[1]REPORTADOS!$C$2:$C$3379,E524)</f>
        <v>#VALUE!</v>
      </c>
      <c r="S524" s="8" t="e">
        <f t="shared" si="8"/>
        <v>#VALUE!</v>
      </c>
    </row>
    <row r="525" spans="1:19" x14ac:dyDescent="0.25">
      <c r="A525">
        <v>900091143</v>
      </c>
      <c r="B525" t="s">
        <v>3965</v>
      </c>
      <c r="C525" t="s">
        <v>3778</v>
      </c>
      <c r="E525" t="s">
        <v>3778</v>
      </c>
      <c r="H525" t="s">
        <v>22</v>
      </c>
      <c r="I525">
        <v>1081592742</v>
      </c>
      <c r="J525" t="s">
        <v>4022</v>
      </c>
      <c r="P525" t="s">
        <v>4403</v>
      </c>
      <c r="Q525" s="8">
        <v>15750000</v>
      </c>
      <c r="R525" s="8" t="e">
        <f>SUMIFS([1]REPORTADOS!$D$2:$D$3379,[1]REPORTADOS!$C$2:$C$3379,E525)</f>
        <v>#VALUE!</v>
      </c>
      <c r="S525" s="8" t="e">
        <f t="shared" si="8"/>
        <v>#VALUE!</v>
      </c>
    </row>
    <row r="526" spans="1:19" x14ac:dyDescent="0.25">
      <c r="A526">
        <v>900091143</v>
      </c>
      <c r="B526" t="s">
        <v>3965</v>
      </c>
      <c r="C526" t="s">
        <v>3779</v>
      </c>
      <c r="E526" t="s">
        <v>3779</v>
      </c>
      <c r="H526" t="s">
        <v>22</v>
      </c>
      <c r="I526">
        <v>1137089268</v>
      </c>
      <c r="J526" t="s">
        <v>4020</v>
      </c>
      <c r="P526" t="s">
        <v>4403</v>
      </c>
      <c r="Q526" s="8">
        <v>9450000</v>
      </c>
      <c r="R526" s="8" t="e">
        <f>SUMIFS([1]REPORTADOS!$D$2:$D$3379,[1]REPORTADOS!$C$2:$C$3379,E526)</f>
        <v>#VALUE!</v>
      </c>
      <c r="S526" s="8" t="e">
        <f t="shared" si="8"/>
        <v>#VALUE!</v>
      </c>
    </row>
    <row r="527" spans="1:19" x14ac:dyDescent="0.25">
      <c r="A527">
        <v>900091143</v>
      </c>
      <c r="B527" t="s">
        <v>3965</v>
      </c>
      <c r="C527" t="s">
        <v>3780</v>
      </c>
      <c r="E527" t="s">
        <v>3780</v>
      </c>
      <c r="H527" t="s">
        <v>22</v>
      </c>
      <c r="I527">
        <v>1088216350</v>
      </c>
      <c r="J527" t="s">
        <v>4007</v>
      </c>
      <c r="P527" t="s">
        <v>4403</v>
      </c>
      <c r="Q527" s="8">
        <v>9450000</v>
      </c>
      <c r="R527" s="8" t="e">
        <f>SUMIFS([1]REPORTADOS!$D$2:$D$3379,[1]REPORTADOS!$C$2:$C$3379,E527)</f>
        <v>#VALUE!</v>
      </c>
      <c r="S527" s="8" t="e">
        <f t="shared" si="8"/>
        <v>#VALUE!</v>
      </c>
    </row>
    <row r="528" spans="1:19" x14ac:dyDescent="0.25">
      <c r="A528">
        <v>900091143</v>
      </c>
      <c r="B528" t="s">
        <v>3965</v>
      </c>
      <c r="C528" t="s">
        <v>3781</v>
      </c>
      <c r="E528" t="s">
        <v>3781</v>
      </c>
      <c r="H528" t="s">
        <v>22</v>
      </c>
      <c r="I528">
        <v>1086222977</v>
      </c>
      <c r="J528" t="s">
        <v>2015</v>
      </c>
      <c r="P528" t="s">
        <v>4403</v>
      </c>
      <c r="Q528" s="8">
        <v>9450000</v>
      </c>
      <c r="R528" s="8" t="e">
        <f>SUMIFS([1]REPORTADOS!$D$2:$D$3379,[1]REPORTADOS!$C$2:$C$3379,E528)</f>
        <v>#VALUE!</v>
      </c>
      <c r="S528" s="8" t="e">
        <f t="shared" si="8"/>
        <v>#VALUE!</v>
      </c>
    </row>
    <row r="529" spans="1:19" x14ac:dyDescent="0.25">
      <c r="A529">
        <v>900091143</v>
      </c>
      <c r="B529" t="s">
        <v>3965</v>
      </c>
      <c r="C529" t="s">
        <v>3782</v>
      </c>
      <c r="E529" t="s">
        <v>3782</v>
      </c>
      <c r="H529" t="s">
        <v>22</v>
      </c>
      <c r="I529">
        <v>1192717330</v>
      </c>
      <c r="J529" t="s">
        <v>1901</v>
      </c>
      <c r="P529" t="s">
        <v>4403</v>
      </c>
      <c r="Q529" s="8">
        <v>9450000</v>
      </c>
      <c r="R529" s="8" t="e">
        <f>SUMIFS([1]REPORTADOS!$D$2:$D$3379,[1]REPORTADOS!$C$2:$C$3379,E529)</f>
        <v>#VALUE!</v>
      </c>
      <c r="S529" s="8" t="e">
        <f t="shared" si="8"/>
        <v>#VALUE!</v>
      </c>
    </row>
    <row r="530" spans="1:19" x14ac:dyDescent="0.25">
      <c r="A530">
        <v>900091143</v>
      </c>
      <c r="B530" t="s">
        <v>3965</v>
      </c>
      <c r="C530" t="s">
        <v>3783</v>
      </c>
      <c r="E530" t="s">
        <v>3783</v>
      </c>
      <c r="H530" t="s">
        <v>22</v>
      </c>
      <c r="I530">
        <v>1085247449</v>
      </c>
      <c r="J530" t="s">
        <v>4048</v>
      </c>
      <c r="P530" t="s">
        <v>4403</v>
      </c>
      <c r="Q530" s="8">
        <v>15750000</v>
      </c>
      <c r="R530" s="8" t="e">
        <f>SUMIFS([1]REPORTADOS!$D$2:$D$3379,[1]REPORTADOS!$C$2:$C$3379,E530)</f>
        <v>#VALUE!</v>
      </c>
      <c r="S530" s="8" t="e">
        <f t="shared" si="8"/>
        <v>#VALUE!</v>
      </c>
    </row>
    <row r="531" spans="1:19" x14ac:dyDescent="0.25">
      <c r="A531">
        <v>900091143</v>
      </c>
      <c r="B531" t="s">
        <v>3965</v>
      </c>
      <c r="C531" t="s">
        <v>3784</v>
      </c>
      <c r="E531" t="s">
        <v>3784</v>
      </c>
      <c r="H531" t="s">
        <v>22</v>
      </c>
      <c r="I531">
        <v>1085335033</v>
      </c>
      <c r="J531" t="s">
        <v>4054</v>
      </c>
      <c r="P531" t="s">
        <v>4403</v>
      </c>
      <c r="Q531" s="8">
        <v>9450000</v>
      </c>
      <c r="R531" s="8" t="e">
        <f>SUMIFS([1]REPORTADOS!$D$2:$D$3379,[1]REPORTADOS!$C$2:$C$3379,E531)</f>
        <v>#VALUE!</v>
      </c>
      <c r="S531" s="8" t="e">
        <f t="shared" si="8"/>
        <v>#VALUE!</v>
      </c>
    </row>
    <row r="532" spans="1:19" x14ac:dyDescent="0.25">
      <c r="A532">
        <v>900091143</v>
      </c>
      <c r="B532" t="s">
        <v>3965</v>
      </c>
      <c r="C532" t="s">
        <v>3785</v>
      </c>
      <c r="E532" t="s">
        <v>3785</v>
      </c>
      <c r="H532" t="s">
        <v>22</v>
      </c>
      <c r="I532">
        <v>1088799080</v>
      </c>
      <c r="J532" t="s">
        <v>4004</v>
      </c>
      <c r="P532" t="s">
        <v>4403</v>
      </c>
      <c r="Q532" s="8">
        <v>3150000</v>
      </c>
      <c r="R532" s="8" t="e">
        <f>SUMIFS([1]REPORTADOS!$D$2:$D$3379,[1]REPORTADOS!$C$2:$C$3379,E532)</f>
        <v>#VALUE!</v>
      </c>
      <c r="S532" s="8" t="e">
        <f t="shared" si="8"/>
        <v>#VALUE!</v>
      </c>
    </row>
    <row r="533" spans="1:19" x14ac:dyDescent="0.25">
      <c r="A533">
        <v>900091143</v>
      </c>
      <c r="B533" t="s">
        <v>3965</v>
      </c>
      <c r="C533" t="s">
        <v>3786</v>
      </c>
      <c r="E533" t="s">
        <v>3786</v>
      </c>
      <c r="H533" t="s">
        <v>22</v>
      </c>
      <c r="I533">
        <v>1004547484</v>
      </c>
      <c r="J533" t="s">
        <v>4175</v>
      </c>
      <c r="P533" t="s">
        <v>4403</v>
      </c>
      <c r="Q533" s="8">
        <v>9450000</v>
      </c>
      <c r="R533" s="8" t="e">
        <f>SUMIFS([1]REPORTADOS!$D$2:$D$3379,[1]REPORTADOS!$C$2:$C$3379,E533)</f>
        <v>#VALUE!</v>
      </c>
      <c r="S533" s="8" t="e">
        <f t="shared" si="8"/>
        <v>#VALUE!</v>
      </c>
    </row>
    <row r="534" spans="1:19" x14ac:dyDescent="0.25">
      <c r="A534">
        <v>900091143</v>
      </c>
      <c r="B534" t="s">
        <v>3965</v>
      </c>
      <c r="C534" t="s">
        <v>3787</v>
      </c>
      <c r="E534" t="s">
        <v>3787</v>
      </c>
      <c r="H534" t="s">
        <v>22</v>
      </c>
      <c r="I534">
        <v>1080693240</v>
      </c>
      <c r="J534" t="s">
        <v>4019</v>
      </c>
      <c r="P534" t="s">
        <v>4403</v>
      </c>
      <c r="Q534" s="8">
        <v>9450000</v>
      </c>
      <c r="R534" s="8" t="e">
        <f>SUMIFS([1]REPORTADOS!$D$2:$D$3379,[1]REPORTADOS!$C$2:$C$3379,E534)</f>
        <v>#VALUE!</v>
      </c>
      <c r="S534" s="8" t="e">
        <f t="shared" si="8"/>
        <v>#VALUE!</v>
      </c>
    </row>
    <row r="535" spans="1:19" x14ac:dyDescent="0.25">
      <c r="A535">
        <v>900091143</v>
      </c>
      <c r="B535" t="s">
        <v>3965</v>
      </c>
      <c r="C535" t="s">
        <v>3788</v>
      </c>
      <c r="E535" t="s">
        <v>3788</v>
      </c>
      <c r="H535" t="s">
        <v>22</v>
      </c>
      <c r="I535">
        <v>36861874</v>
      </c>
      <c r="J535" t="s">
        <v>1899</v>
      </c>
      <c r="P535" t="s">
        <v>4403</v>
      </c>
      <c r="Q535" s="8">
        <v>3150000</v>
      </c>
      <c r="R535" s="8" t="e">
        <f>SUMIFS([1]REPORTADOS!$D$2:$D$3379,[1]REPORTADOS!$C$2:$C$3379,E535)</f>
        <v>#VALUE!</v>
      </c>
      <c r="S535" s="8" t="e">
        <f t="shared" si="8"/>
        <v>#VALUE!</v>
      </c>
    </row>
    <row r="536" spans="1:19" x14ac:dyDescent="0.25">
      <c r="A536">
        <v>900091143</v>
      </c>
      <c r="B536" t="s">
        <v>3965</v>
      </c>
      <c r="C536" t="s">
        <v>3789</v>
      </c>
      <c r="E536" t="s">
        <v>3789</v>
      </c>
      <c r="H536" t="s">
        <v>22</v>
      </c>
      <c r="I536">
        <v>1086358836</v>
      </c>
      <c r="J536" t="s">
        <v>4060</v>
      </c>
      <c r="P536" t="s">
        <v>4403</v>
      </c>
      <c r="Q536" s="8">
        <v>9450000</v>
      </c>
      <c r="R536" s="8" t="e">
        <f>SUMIFS([1]REPORTADOS!$D$2:$D$3379,[1]REPORTADOS!$C$2:$C$3379,E536)</f>
        <v>#VALUE!</v>
      </c>
      <c r="S536" s="8" t="e">
        <f t="shared" si="8"/>
        <v>#VALUE!</v>
      </c>
    </row>
    <row r="537" spans="1:19" x14ac:dyDescent="0.25">
      <c r="A537">
        <v>900091143</v>
      </c>
      <c r="B537" t="s">
        <v>3965</v>
      </c>
      <c r="C537" t="s">
        <v>3790</v>
      </c>
      <c r="E537" t="s">
        <v>3790</v>
      </c>
      <c r="H537" t="s">
        <v>22</v>
      </c>
      <c r="I537">
        <v>1010113730</v>
      </c>
      <c r="J537" t="s">
        <v>2325</v>
      </c>
      <c r="P537" t="s">
        <v>4404</v>
      </c>
      <c r="Q537" s="8">
        <v>6000000</v>
      </c>
      <c r="R537" s="8" t="e">
        <f>SUMIFS([1]REPORTADOS!$D$2:$D$3379,[1]REPORTADOS!$C$2:$C$3379,E537)</f>
        <v>#VALUE!</v>
      </c>
      <c r="S537" s="8" t="e">
        <f t="shared" si="8"/>
        <v>#VALUE!</v>
      </c>
    </row>
    <row r="538" spans="1:19" x14ac:dyDescent="0.25">
      <c r="A538">
        <v>900091143</v>
      </c>
      <c r="B538" t="s">
        <v>3965</v>
      </c>
      <c r="C538" t="s">
        <v>3791</v>
      </c>
      <c r="E538" t="s">
        <v>3791</v>
      </c>
      <c r="H538" t="s">
        <v>22</v>
      </c>
      <c r="I538">
        <v>1081052746</v>
      </c>
      <c r="J538" t="s">
        <v>2349</v>
      </c>
      <c r="P538" t="s">
        <v>4403</v>
      </c>
      <c r="Q538" s="8">
        <v>9450000</v>
      </c>
      <c r="R538" s="8" t="e">
        <f>SUMIFS([1]REPORTADOS!$D$2:$D$3379,[1]REPORTADOS!$C$2:$C$3379,E538)</f>
        <v>#VALUE!</v>
      </c>
      <c r="S538" s="8" t="e">
        <f t="shared" si="8"/>
        <v>#VALUE!</v>
      </c>
    </row>
    <row r="539" spans="1:19" x14ac:dyDescent="0.25">
      <c r="A539">
        <v>900091143</v>
      </c>
      <c r="B539" t="s">
        <v>3965</v>
      </c>
      <c r="C539" t="s">
        <v>3792</v>
      </c>
      <c r="E539" t="s">
        <v>3792</v>
      </c>
      <c r="H539" t="s">
        <v>22</v>
      </c>
      <c r="I539">
        <v>37083933</v>
      </c>
      <c r="J539" t="s">
        <v>3972</v>
      </c>
      <c r="P539" t="s">
        <v>4404</v>
      </c>
      <c r="Q539" s="8">
        <v>6000000</v>
      </c>
      <c r="R539" s="8" t="e">
        <f>SUMIFS([1]REPORTADOS!$D$2:$D$3379,[1]REPORTADOS!$C$2:$C$3379,E539)</f>
        <v>#VALUE!</v>
      </c>
      <c r="S539" s="8" t="e">
        <f t="shared" si="8"/>
        <v>#VALUE!</v>
      </c>
    </row>
    <row r="540" spans="1:19" x14ac:dyDescent="0.25">
      <c r="A540">
        <v>900091143</v>
      </c>
      <c r="B540" t="s">
        <v>3965</v>
      </c>
      <c r="C540" t="s">
        <v>3793</v>
      </c>
      <c r="E540" t="s">
        <v>3793</v>
      </c>
      <c r="H540" t="s">
        <v>22</v>
      </c>
      <c r="I540">
        <v>59310056</v>
      </c>
      <c r="J540" t="s">
        <v>4055</v>
      </c>
      <c r="P540" t="s">
        <v>4403</v>
      </c>
      <c r="Q540" s="8">
        <v>15750000</v>
      </c>
      <c r="R540" s="8" t="e">
        <f>SUMIFS([1]REPORTADOS!$D$2:$D$3379,[1]REPORTADOS!$C$2:$C$3379,E540)</f>
        <v>#VALUE!</v>
      </c>
      <c r="S540" s="8" t="e">
        <f t="shared" si="8"/>
        <v>#VALUE!</v>
      </c>
    </row>
    <row r="541" spans="1:19" x14ac:dyDescent="0.25">
      <c r="A541">
        <v>900091143</v>
      </c>
      <c r="B541" t="s">
        <v>3965</v>
      </c>
      <c r="C541" t="s">
        <v>3794</v>
      </c>
      <c r="E541" t="s">
        <v>3794</v>
      </c>
      <c r="H541" t="s">
        <v>22</v>
      </c>
      <c r="I541">
        <v>1089975658</v>
      </c>
      <c r="J541" t="s">
        <v>4018</v>
      </c>
      <c r="P541" t="s">
        <v>4403</v>
      </c>
      <c r="Q541" s="8">
        <v>9450000</v>
      </c>
      <c r="R541" s="8" t="e">
        <f>SUMIFS([1]REPORTADOS!$D$2:$D$3379,[1]REPORTADOS!$C$2:$C$3379,E541)</f>
        <v>#VALUE!</v>
      </c>
      <c r="S541" s="8" t="e">
        <f t="shared" si="8"/>
        <v>#VALUE!</v>
      </c>
    </row>
    <row r="542" spans="1:19" x14ac:dyDescent="0.25">
      <c r="A542">
        <v>900091143</v>
      </c>
      <c r="B542" t="s">
        <v>3965</v>
      </c>
      <c r="C542" t="s">
        <v>3795</v>
      </c>
      <c r="E542" t="s">
        <v>3795</v>
      </c>
      <c r="H542" t="s">
        <v>22</v>
      </c>
      <c r="I542">
        <v>1085327836</v>
      </c>
      <c r="J542" t="s">
        <v>2023</v>
      </c>
      <c r="P542" t="s">
        <v>4404</v>
      </c>
      <c r="Q542" s="8">
        <v>6000000</v>
      </c>
      <c r="R542" s="8" t="e">
        <f>SUMIFS([1]REPORTADOS!$D$2:$D$3379,[1]REPORTADOS!$C$2:$C$3379,E542)</f>
        <v>#VALUE!</v>
      </c>
      <c r="S542" s="8" t="e">
        <f t="shared" si="8"/>
        <v>#VALUE!</v>
      </c>
    </row>
    <row r="543" spans="1:19" x14ac:dyDescent="0.25">
      <c r="A543">
        <v>900091143</v>
      </c>
      <c r="B543" t="s">
        <v>3965</v>
      </c>
      <c r="C543" t="s">
        <v>3796</v>
      </c>
      <c r="E543" t="s">
        <v>3796</v>
      </c>
      <c r="H543" t="s">
        <v>22</v>
      </c>
      <c r="I543">
        <v>1085323163</v>
      </c>
      <c r="J543" t="s">
        <v>4040</v>
      </c>
      <c r="P543" t="s">
        <v>4403</v>
      </c>
      <c r="Q543" s="8">
        <v>15750000</v>
      </c>
      <c r="R543" s="8" t="e">
        <f>SUMIFS([1]REPORTADOS!$D$2:$D$3379,[1]REPORTADOS!$C$2:$C$3379,E543)</f>
        <v>#VALUE!</v>
      </c>
      <c r="S543" s="8" t="e">
        <f t="shared" si="8"/>
        <v>#VALUE!</v>
      </c>
    </row>
    <row r="544" spans="1:19" x14ac:dyDescent="0.25">
      <c r="A544">
        <v>900091143</v>
      </c>
      <c r="B544" t="s">
        <v>3965</v>
      </c>
      <c r="C544" t="s">
        <v>3797</v>
      </c>
      <c r="E544" t="s">
        <v>3797</v>
      </c>
      <c r="H544" t="s">
        <v>22</v>
      </c>
      <c r="I544">
        <v>59312779</v>
      </c>
      <c r="J544" t="s">
        <v>4176</v>
      </c>
      <c r="P544" t="s">
        <v>4404</v>
      </c>
      <c r="Q544" s="8">
        <v>6000000</v>
      </c>
      <c r="R544" s="8" t="e">
        <f>SUMIFS([1]REPORTADOS!$D$2:$D$3379,[1]REPORTADOS!$C$2:$C$3379,E544)</f>
        <v>#VALUE!</v>
      </c>
      <c r="S544" s="8" t="e">
        <f t="shared" si="8"/>
        <v>#VALUE!</v>
      </c>
    </row>
    <row r="545" spans="1:19" x14ac:dyDescent="0.25">
      <c r="A545">
        <v>900091143</v>
      </c>
      <c r="B545" t="s">
        <v>3965</v>
      </c>
      <c r="C545" t="s">
        <v>3798</v>
      </c>
      <c r="E545" t="s">
        <v>3798</v>
      </c>
      <c r="H545" t="s">
        <v>22</v>
      </c>
      <c r="I545">
        <v>1085334752</v>
      </c>
      <c r="J545" t="s">
        <v>3985</v>
      </c>
      <c r="P545" t="s">
        <v>4404</v>
      </c>
      <c r="Q545" s="8">
        <v>6000000</v>
      </c>
      <c r="R545" s="8" t="e">
        <f>SUMIFS([1]REPORTADOS!$D$2:$D$3379,[1]REPORTADOS!$C$2:$C$3379,E545)</f>
        <v>#VALUE!</v>
      </c>
      <c r="S545" s="8" t="e">
        <f t="shared" si="8"/>
        <v>#VALUE!</v>
      </c>
    </row>
    <row r="546" spans="1:19" x14ac:dyDescent="0.25">
      <c r="A546">
        <v>900091143</v>
      </c>
      <c r="B546" t="s">
        <v>3965</v>
      </c>
      <c r="C546" t="s">
        <v>3799</v>
      </c>
      <c r="E546" t="s">
        <v>3799</v>
      </c>
      <c r="H546" t="s">
        <v>22</v>
      </c>
      <c r="I546">
        <v>59313273</v>
      </c>
      <c r="J546" t="s">
        <v>3983</v>
      </c>
      <c r="P546" t="s">
        <v>4404</v>
      </c>
      <c r="Q546" s="8">
        <v>6000000</v>
      </c>
      <c r="R546" s="8" t="e">
        <f>SUMIFS([1]REPORTADOS!$D$2:$D$3379,[1]REPORTADOS!$C$2:$C$3379,E546)</f>
        <v>#VALUE!</v>
      </c>
      <c r="S546" s="8" t="e">
        <f t="shared" si="8"/>
        <v>#VALUE!</v>
      </c>
    </row>
    <row r="547" spans="1:19" x14ac:dyDescent="0.25">
      <c r="A547">
        <v>900091143</v>
      </c>
      <c r="B547" t="s">
        <v>3965</v>
      </c>
      <c r="C547" t="s">
        <v>3800</v>
      </c>
      <c r="E547" t="s">
        <v>3800</v>
      </c>
      <c r="H547" t="s">
        <v>22</v>
      </c>
      <c r="I547">
        <v>1233192708</v>
      </c>
      <c r="J547" t="s">
        <v>2583</v>
      </c>
      <c r="P547" t="s">
        <v>4447</v>
      </c>
      <c r="Q547" s="8">
        <v>23400000</v>
      </c>
      <c r="R547" s="8" t="e">
        <f>SUMIFS([1]REPORTADOS!$D$2:$D$3379,[1]REPORTADOS!$C$2:$C$3379,E547)</f>
        <v>#VALUE!</v>
      </c>
      <c r="S547" s="8" t="e">
        <f t="shared" si="8"/>
        <v>#VALUE!</v>
      </c>
    </row>
    <row r="548" spans="1:19" x14ac:dyDescent="0.25">
      <c r="A548">
        <v>900091143</v>
      </c>
      <c r="B548" t="s">
        <v>3965</v>
      </c>
      <c r="C548" t="s">
        <v>3801</v>
      </c>
      <c r="E548" t="s">
        <v>3801</v>
      </c>
      <c r="H548" t="s">
        <v>22</v>
      </c>
      <c r="I548">
        <v>37087120</v>
      </c>
      <c r="J548" t="s">
        <v>1851</v>
      </c>
      <c r="P548" t="s">
        <v>4447</v>
      </c>
      <c r="Q548" s="8">
        <v>39000000</v>
      </c>
      <c r="R548" s="8" t="e">
        <f>SUMIFS([1]REPORTADOS!$D$2:$D$3379,[1]REPORTADOS!$C$2:$C$3379,E548)</f>
        <v>#VALUE!</v>
      </c>
      <c r="S548" s="8" t="e">
        <f t="shared" si="8"/>
        <v>#VALUE!</v>
      </c>
    </row>
    <row r="549" spans="1:19" x14ac:dyDescent="0.25">
      <c r="A549">
        <v>900091143</v>
      </c>
      <c r="B549" t="s">
        <v>3965</v>
      </c>
      <c r="C549" t="s">
        <v>3802</v>
      </c>
      <c r="E549" t="s">
        <v>3802</v>
      </c>
      <c r="H549" t="s">
        <v>22</v>
      </c>
      <c r="I549">
        <v>1193474724</v>
      </c>
      <c r="J549" t="s">
        <v>4033</v>
      </c>
      <c r="P549" t="s">
        <v>4403</v>
      </c>
      <c r="Q549" s="8">
        <v>18900000</v>
      </c>
      <c r="R549" s="8" t="e">
        <f>SUMIFS([1]REPORTADOS!$D$2:$D$3379,[1]REPORTADOS!$C$2:$C$3379,E549)</f>
        <v>#VALUE!</v>
      </c>
      <c r="S549" s="8" t="e">
        <f t="shared" si="8"/>
        <v>#VALUE!</v>
      </c>
    </row>
    <row r="550" spans="1:19" x14ac:dyDescent="0.25">
      <c r="A550">
        <v>900091143</v>
      </c>
      <c r="B550" t="s">
        <v>3965</v>
      </c>
      <c r="C550" t="s">
        <v>3803</v>
      </c>
      <c r="E550" t="s">
        <v>3803</v>
      </c>
      <c r="H550" t="s">
        <v>22</v>
      </c>
      <c r="I550">
        <v>12990231</v>
      </c>
      <c r="J550" t="s">
        <v>2748</v>
      </c>
      <c r="P550" t="s">
        <v>4404</v>
      </c>
      <c r="Q550" s="8">
        <v>6000000</v>
      </c>
      <c r="R550" s="8" t="e">
        <f>SUMIFS([1]REPORTADOS!$D$2:$D$3379,[1]REPORTADOS!$C$2:$C$3379,E550)</f>
        <v>#VALUE!</v>
      </c>
      <c r="S550" s="8" t="e">
        <f t="shared" si="8"/>
        <v>#VALUE!</v>
      </c>
    </row>
    <row r="551" spans="1:19" x14ac:dyDescent="0.25">
      <c r="A551">
        <v>900091143</v>
      </c>
      <c r="B551" t="s">
        <v>3965</v>
      </c>
      <c r="C551" t="s">
        <v>3804</v>
      </c>
      <c r="E551" t="s">
        <v>3804</v>
      </c>
      <c r="H551" t="s">
        <v>22</v>
      </c>
      <c r="I551">
        <v>36933095</v>
      </c>
      <c r="J551" t="s">
        <v>3998</v>
      </c>
      <c r="P551" t="s">
        <v>4404</v>
      </c>
      <c r="Q551" s="8">
        <v>6000000</v>
      </c>
      <c r="R551" s="8" t="e">
        <f>SUMIFS([1]REPORTADOS!$D$2:$D$3379,[1]REPORTADOS!$C$2:$C$3379,E551)</f>
        <v>#VALUE!</v>
      </c>
      <c r="S551" s="8" t="e">
        <f t="shared" si="8"/>
        <v>#VALUE!</v>
      </c>
    </row>
    <row r="552" spans="1:19" x14ac:dyDescent="0.25">
      <c r="A552">
        <v>900091143</v>
      </c>
      <c r="B552" t="s">
        <v>3965</v>
      </c>
      <c r="C552" t="s">
        <v>3805</v>
      </c>
      <c r="E552" t="s">
        <v>3805</v>
      </c>
      <c r="H552" t="s">
        <v>22</v>
      </c>
      <c r="I552">
        <v>59833702</v>
      </c>
      <c r="J552" t="s">
        <v>2391</v>
      </c>
      <c r="P552" t="s">
        <v>4403</v>
      </c>
      <c r="Q552" s="8">
        <v>15750000</v>
      </c>
      <c r="R552" s="8" t="e">
        <f>SUMIFS([1]REPORTADOS!$D$2:$D$3379,[1]REPORTADOS!$C$2:$C$3379,E552)</f>
        <v>#VALUE!</v>
      </c>
      <c r="S552" s="8" t="e">
        <f t="shared" si="8"/>
        <v>#VALUE!</v>
      </c>
    </row>
    <row r="553" spans="1:19" x14ac:dyDescent="0.25">
      <c r="A553">
        <v>900091143</v>
      </c>
      <c r="B553" t="s">
        <v>3965</v>
      </c>
      <c r="C553" t="s">
        <v>3806</v>
      </c>
      <c r="E553" t="s">
        <v>3806</v>
      </c>
      <c r="H553" t="s">
        <v>22</v>
      </c>
      <c r="I553">
        <v>59314458</v>
      </c>
      <c r="J553" t="s">
        <v>1705</v>
      </c>
      <c r="P553" t="s">
        <v>4403</v>
      </c>
      <c r="Q553" s="8">
        <v>31500000</v>
      </c>
      <c r="R553" s="8" t="e">
        <f>SUMIFS([1]REPORTADOS!$D$2:$D$3379,[1]REPORTADOS!$C$2:$C$3379,E553)</f>
        <v>#VALUE!</v>
      </c>
      <c r="S553" s="8" t="e">
        <f t="shared" si="8"/>
        <v>#VALUE!</v>
      </c>
    </row>
    <row r="554" spans="1:19" x14ac:dyDescent="0.25">
      <c r="A554">
        <v>900091143</v>
      </c>
      <c r="B554" t="s">
        <v>3965</v>
      </c>
      <c r="C554" t="s">
        <v>3807</v>
      </c>
      <c r="E554" t="s">
        <v>3807</v>
      </c>
      <c r="H554" t="s">
        <v>22</v>
      </c>
      <c r="I554">
        <v>1085287296</v>
      </c>
      <c r="J554" t="s">
        <v>4177</v>
      </c>
      <c r="P554" t="s">
        <v>4404</v>
      </c>
      <c r="Q554" s="8">
        <v>10000000</v>
      </c>
      <c r="R554" s="8" t="e">
        <f>SUMIFS([1]REPORTADOS!$D$2:$D$3379,[1]REPORTADOS!$C$2:$C$3379,E554)</f>
        <v>#VALUE!</v>
      </c>
      <c r="S554" s="8" t="e">
        <f t="shared" si="8"/>
        <v>#VALUE!</v>
      </c>
    </row>
    <row r="555" spans="1:19" x14ac:dyDescent="0.25">
      <c r="A555">
        <v>900091143</v>
      </c>
      <c r="B555" t="s">
        <v>3965</v>
      </c>
      <c r="C555" t="s">
        <v>3808</v>
      </c>
      <c r="E555" t="s">
        <v>3808</v>
      </c>
      <c r="H555" t="s">
        <v>22</v>
      </c>
      <c r="I555">
        <v>1085313195</v>
      </c>
      <c r="J555" t="s">
        <v>3984</v>
      </c>
      <c r="P555" t="s">
        <v>4404</v>
      </c>
      <c r="Q555" s="8">
        <v>2000000</v>
      </c>
      <c r="R555" s="8" t="e">
        <f>SUMIFS([1]REPORTADOS!$D$2:$D$3379,[1]REPORTADOS!$C$2:$C$3379,E555)</f>
        <v>#VALUE!</v>
      </c>
      <c r="S555" s="8" t="e">
        <f t="shared" si="8"/>
        <v>#VALUE!</v>
      </c>
    </row>
    <row r="556" spans="1:19" x14ac:dyDescent="0.25">
      <c r="A556">
        <v>900091143</v>
      </c>
      <c r="B556" t="s">
        <v>3965</v>
      </c>
      <c r="C556" t="s">
        <v>3809</v>
      </c>
      <c r="E556" t="s">
        <v>3809</v>
      </c>
      <c r="H556" t="s">
        <v>22</v>
      </c>
      <c r="I556">
        <v>1085268450</v>
      </c>
      <c r="J556" t="s">
        <v>3975</v>
      </c>
      <c r="P556" t="s">
        <v>4404</v>
      </c>
      <c r="Q556" s="8">
        <v>2000000</v>
      </c>
      <c r="R556" s="8" t="e">
        <f>SUMIFS([1]REPORTADOS!$D$2:$D$3379,[1]REPORTADOS!$C$2:$C$3379,E556)</f>
        <v>#VALUE!</v>
      </c>
      <c r="S556" s="8" t="e">
        <f t="shared" si="8"/>
        <v>#VALUE!</v>
      </c>
    </row>
    <row r="557" spans="1:19" x14ac:dyDescent="0.25">
      <c r="A557">
        <v>900091143</v>
      </c>
      <c r="B557" t="s">
        <v>3965</v>
      </c>
      <c r="C557" t="s">
        <v>3810</v>
      </c>
      <c r="E557" t="s">
        <v>3810</v>
      </c>
      <c r="H557" t="s">
        <v>22</v>
      </c>
      <c r="I557">
        <v>36757715</v>
      </c>
      <c r="J557" t="s">
        <v>2347</v>
      </c>
      <c r="P557" t="s">
        <v>4404</v>
      </c>
      <c r="Q557" s="8">
        <v>6000000</v>
      </c>
      <c r="R557" s="8" t="e">
        <f>SUMIFS([1]REPORTADOS!$D$2:$D$3379,[1]REPORTADOS!$C$2:$C$3379,E557)</f>
        <v>#VALUE!</v>
      </c>
      <c r="S557" s="8" t="e">
        <f t="shared" si="8"/>
        <v>#VALUE!</v>
      </c>
    </row>
    <row r="558" spans="1:19" x14ac:dyDescent="0.25">
      <c r="A558">
        <v>900091143</v>
      </c>
      <c r="B558" t="s">
        <v>3965</v>
      </c>
      <c r="C558" t="s">
        <v>3811</v>
      </c>
      <c r="E558" t="s">
        <v>3811</v>
      </c>
      <c r="H558" t="s">
        <v>22</v>
      </c>
      <c r="I558">
        <v>1085334831</v>
      </c>
      <c r="J558" t="s">
        <v>3997</v>
      </c>
      <c r="P558" t="s">
        <v>4404</v>
      </c>
      <c r="Q558" s="8">
        <v>6000000</v>
      </c>
      <c r="R558" s="8" t="e">
        <f>SUMIFS([1]REPORTADOS!$D$2:$D$3379,[1]REPORTADOS!$C$2:$C$3379,E558)</f>
        <v>#VALUE!</v>
      </c>
      <c r="S558" s="8" t="e">
        <f t="shared" si="8"/>
        <v>#VALUE!</v>
      </c>
    </row>
    <row r="559" spans="1:19" x14ac:dyDescent="0.25">
      <c r="A559">
        <v>900091143</v>
      </c>
      <c r="B559" t="s">
        <v>3965</v>
      </c>
      <c r="C559" t="s">
        <v>3812</v>
      </c>
      <c r="E559" t="s">
        <v>3812</v>
      </c>
      <c r="H559" t="s">
        <v>22</v>
      </c>
      <c r="I559">
        <v>1085310465</v>
      </c>
      <c r="J559" t="s">
        <v>2587</v>
      </c>
      <c r="P559" t="s">
        <v>4404</v>
      </c>
      <c r="Q559" s="8">
        <v>6000000</v>
      </c>
      <c r="R559" s="8" t="e">
        <f>SUMIFS([1]REPORTADOS!$D$2:$D$3379,[1]REPORTADOS!$C$2:$C$3379,E559)</f>
        <v>#VALUE!</v>
      </c>
      <c r="S559" s="8" t="e">
        <f t="shared" si="8"/>
        <v>#VALUE!</v>
      </c>
    </row>
    <row r="560" spans="1:19" x14ac:dyDescent="0.25">
      <c r="A560">
        <v>900091143</v>
      </c>
      <c r="B560" t="s">
        <v>3965</v>
      </c>
      <c r="C560" t="s">
        <v>3813</v>
      </c>
      <c r="E560" t="s">
        <v>3813</v>
      </c>
      <c r="H560" t="s">
        <v>22</v>
      </c>
      <c r="I560">
        <v>1193424771</v>
      </c>
      <c r="J560" t="s">
        <v>4091</v>
      </c>
      <c r="P560" t="s">
        <v>4447</v>
      </c>
      <c r="Q560" s="8">
        <v>4730000</v>
      </c>
      <c r="R560" s="8" t="e">
        <f>SUMIFS([1]REPORTADOS!$D$2:$D$3379,[1]REPORTADOS!$C$2:$C$3379,E560)</f>
        <v>#VALUE!</v>
      </c>
      <c r="S560" s="8" t="e">
        <f t="shared" si="8"/>
        <v>#VALUE!</v>
      </c>
    </row>
    <row r="561" spans="1:19" x14ac:dyDescent="0.25">
      <c r="A561">
        <v>900091143</v>
      </c>
      <c r="B561" t="s">
        <v>3965</v>
      </c>
      <c r="C561" t="s">
        <v>3814</v>
      </c>
      <c r="E561" t="s">
        <v>3814</v>
      </c>
      <c r="H561" t="s">
        <v>22</v>
      </c>
      <c r="I561">
        <v>1085244624</v>
      </c>
      <c r="J561" t="s">
        <v>4178</v>
      </c>
      <c r="P561" t="s">
        <v>4447</v>
      </c>
      <c r="Q561" s="8">
        <v>23400000</v>
      </c>
      <c r="R561" s="8" t="e">
        <f>SUMIFS([1]REPORTADOS!$D$2:$D$3379,[1]REPORTADOS!$C$2:$C$3379,E561)</f>
        <v>#VALUE!</v>
      </c>
      <c r="S561" s="8" t="e">
        <f t="shared" si="8"/>
        <v>#VALUE!</v>
      </c>
    </row>
    <row r="562" spans="1:19" x14ac:dyDescent="0.25">
      <c r="A562">
        <v>900091143</v>
      </c>
      <c r="B562" t="s">
        <v>3965</v>
      </c>
      <c r="C562" t="s">
        <v>3815</v>
      </c>
      <c r="E562" t="s">
        <v>3815</v>
      </c>
      <c r="H562" t="s">
        <v>22</v>
      </c>
      <c r="I562">
        <v>98398376</v>
      </c>
      <c r="J562" t="s">
        <v>4179</v>
      </c>
      <c r="P562" t="s">
        <v>4447</v>
      </c>
      <c r="Q562" s="8">
        <v>39000000</v>
      </c>
      <c r="R562" s="8" t="e">
        <f>SUMIFS([1]REPORTADOS!$D$2:$D$3379,[1]REPORTADOS!$C$2:$C$3379,E562)</f>
        <v>#VALUE!</v>
      </c>
      <c r="S562" s="8" t="e">
        <f t="shared" si="8"/>
        <v>#VALUE!</v>
      </c>
    </row>
    <row r="563" spans="1:19" x14ac:dyDescent="0.25">
      <c r="A563">
        <v>900091143</v>
      </c>
      <c r="B563" t="s">
        <v>3965</v>
      </c>
      <c r="C563" t="s">
        <v>3816</v>
      </c>
      <c r="E563" t="s">
        <v>3816</v>
      </c>
      <c r="H563" t="s">
        <v>22</v>
      </c>
      <c r="I563">
        <v>59815593</v>
      </c>
      <c r="J563" t="s">
        <v>3976</v>
      </c>
      <c r="P563" t="s">
        <v>4404</v>
      </c>
      <c r="Q563" s="8">
        <v>6000000</v>
      </c>
      <c r="R563" s="8" t="e">
        <f>SUMIFS([1]REPORTADOS!$D$2:$D$3379,[1]REPORTADOS!$C$2:$C$3379,E563)</f>
        <v>#VALUE!</v>
      </c>
      <c r="S563" s="8" t="e">
        <f t="shared" si="8"/>
        <v>#VALUE!</v>
      </c>
    </row>
    <row r="564" spans="1:19" x14ac:dyDescent="0.25">
      <c r="A564">
        <v>900091143</v>
      </c>
      <c r="B564" t="s">
        <v>3965</v>
      </c>
      <c r="C564" t="s">
        <v>3817</v>
      </c>
      <c r="E564" t="s">
        <v>3817</v>
      </c>
      <c r="H564" t="s">
        <v>22</v>
      </c>
      <c r="I564">
        <v>1085317094</v>
      </c>
      <c r="J564" t="s">
        <v>4024</v>
      </c>
      <c r="P564" t="s">
        <v>4404</v>
      </c>
      <c r="Q564" s="8">
        <v>9450000</v>
      </c>
      <c r="R564" s="8" t="e">
        <f>SUMIFS([1]REPORTADOS!$D$2:$D$3379,[1]REPORTADOS!$C$2:$C$3379,E564)</f>
        <v>#VALUE!</v>
      </c>
      <c r="S564" s="8" t="e">
        <f t="shared" si="8"/>
        <v>#VALUE!</v>
      </c>
    </row>
    <row r="565" spans="1:19" x14ac:dyDescent="0.25">
      <c r="A565">
        <v>900091143</v>
      </c>
      <c r="B565" t="s">
        <v>3965</v>
      </c>
      <c r="C565" t="s">
        <v>3818</v>
      </c>
      <c r="E565" t="s">
        <v>3818</v>
      </c>
      <c r="H565" t="s">
        <v>22</v>
      </c>
      <c r="I565">
        <v>1085312669</v>
      </c>
      <c r="J565" t="s">
        <v>3971</v>
      </c>
      <c r="P565" t="s">
        <v>4404</v>
      </c>
      <c r="Q565" s="8">
        <v>2000000</v>
      </c>
      <c r="R565" s="8" t="e">
        <f>SUMIFS([1]REPORTADOS!$D$2:$D$3379,[1]REPORTADOS!$C$2:$C$3379,E565)</f>
        <v>#VALUE!</v>
      </c>
      <c r="S565" s="8" t="e">
        <f t="shared" si="8"/>
        <v>#VALUE!</v>
      </c>
    </row>
    <row r="566" spans="1:19" x14ac:dyDescent="0.25">
      <c r="A566">
        <v>900091143</v>
      </c>
      <c r="B566" t="s">
        <v>3965</v>
      </c>
      <c r="C566" t="s">
        <v>3819</v>
      </c>
      <c r="E566" t="s">
        <v>3819</v>
      </c>
      <c r="H566" t="s">
        <v>22</v>
      </c>
      <c r="I566">
        <v>87069979</v>
      </c>
      <c r="J566" t="s">
        <v>4180</v>
      </c>
      <c r="P566" t="s">
        <v>4403</v>
      </c>
      <c r="Q566" s="8">
        <v>9450000</v>
      </c>
      <c r="R566" s="8" t="e">
        <f>SUMIFS([1]REPORTADOS!$D$2:$D$3379,[1]REPORTADOS!$C$2:$C$3379,E566)</f>
        <v>#VALUE!</v>
      </c>
      <c r="S566" s="8" t="e">
        <f t="shared" si="8"/>
        <v>#VALUE!</v>
      </c>
    </row>
    <row r="567" spans="1:19" x14ac:dyDescent="0.25">
      <c r="A567">
        <v>900091143</v>
      </c>
      <c r="B567" t="s">
        <v>3965</v>
      </c>
      <c r="C567" t="s">
        <v>3820</v>
      </c>
      <c r="E567" t="s">
        <v>3820</v>
      </c>
      <c r="H567" t="s">
        <v>22</v>
      </c>
      <c r="I567">
        <v>1085275445</v>
      </c>
      <c r="J567" t="s">
        <v>3974</v>
      </c>
      <c r="P567" t="s">
        <v>4404</v>
      </c>
      <c r="Q567" s="8">
        <v>6000000</v>
      </c>
      <c r="R567" s="8" t="e">
        <f>SUMIFS([1]REPORTADOS!$D$2:$D$3379,[1]REPORTADOS!$C$2:$C$3379,E567)</f>
        <v>#VALUE!</v>
      </c>
      <c r="S567" s="8" t="e">
        <f t="shared" si="8"/>
        <v>#VALUE!</v>
      </c>
    </row>
    <row r="568" spans="1:19" x14ac:dyDescent="0.25">
      <c r="A568">
        <v>900091143</v>
      </c>
      <c r="B568" t="s">
        <v>3965</v>
      </c>
      <c r="C568" t="s">
        <v>3821</v>
      </c>
      <c r="E568" t="s">
        <v>3821</v>
      </c>
      <c r="H568" t="s">
        <v>22</v>
      </c>
      <c r="I568">
        <v>27082650</v>
      </c>
      <c r="J568" t="s">
        <v>3989</v>
      </c>
      <c r="P568" t="s">
        <v>4404</v>
      </c>
      <c r="Q568" s="8">
        <v>6000000</v>
      </c>
      <c r="R568" s="8" t="e">
        <f>SUMIFS([1]REPORTADOS!$D$2:$D$3379,[1]REPORTADOS!$C$2:$C$3379,E568)</f>
        <v>#VALUE!</v>
      </c>
      <c r="S568" s="8" t="e">
        <f t="shared" si="8"/>
        <v>#VALUE!</v>
      </c>
    </row>
    <row r="569" spans="1:19" x14ac:dyDescent="0.25">
      <c r="A569">
        <v>900091143</v>
      </c>
      <c r="B569" t="s">
        <v>3965</v>
      </c>
      <c r="C569" t="s">
        <v>3822</v>
      </c>
      <c r="E569" t="s">
        <v>3822</v>
      </c>
      <c r="H569" t="s">
        <v>22</v>
      </c>
      <c r="I569">
        <v>1004343043</v>
      </c>
      <c r="J569" t="s">
        <v>4021</v>
      </c>
      <c r="P569" t="s">
        <v>4403</v>
      </c>
      <c r="Q569" s="8">
        <v>3150000</v>
      </c>
      <c r="R569" s="8" t="e">
        <f>SUMIFS([1]REPORTADOS!$D$2:$D$3379,[1]REPORTADOS!$C$2:$C$3379,E569)</f>
        <v>#VALUE!</v>
      </c>
      <c r="S569" s="8" t="e">
        <f t="shared" si="8"/>
        <v>#VALUE!</v>
      </c>
    </row>
    <row r="570" spans="1:19" x14ac:dyDescent="0.25">
      <c r="A570">
        <v>900091143</v>
      </c>
      <c r="B570" t="s">
        <v>3965</v>
      </c>
      <c r="C570" t="s">
        <v>3823</v>
      </c>
      <c r="E570" t="s">
        <v>3823</v>
      </c>
      <c r="H570" t="s">
        <v>22</v>
      </c>
      <c r="I570">
        <v>1081274779</v>
      </c>
      <c r="J570" t="s">
        <v>3973</v>
      </c>
      <c r="P570" t="s">
        <v>4404</v>
      </c>
      <c r="Q570" s="8">
        <v>6000000</v>
      </c>
      <c r="R570" s="8" t="e">
        <f>SUMIFS([1]REPORTADOS!$D$2:$D$3379,[1]REPORTADOS!$C$2:$C$3379,E570)</f>
        <v>#VALUE!</v>
      </c>
      <c r="S570" s="8" t="e">
        <f t="shared" si="8"/>
        <v>#VALUE!</v>
      </c>
    </row>
    <row r="571" spans="1:19" x14ac:dyDescent="0.25">
      <c r="A571">
        <v>900091143</v>
      </c>
      <c r="B571" t="s">
        <v>3965</v>
      </c>
      <c r="C571" t="s">
        <v>3824</v>
      </c>
      <c r="E571" t="s">
        <v>3824</v>
      </c>
      <c r="H571" t="s">
        <v>22</v>
      </c>
      <c r="I571">
        <v>1137089036</v>
      </c>
      <c r="J571" t="s">
        <v>3987</v>
      </c>
      <c r="P571" t="s">
        <v>4404</v>
      </c>
      <c r="Q571" s="8">
        <v>6000000</v>
      </c>
      <c r="R571" s="8" t="e">
        <f>SUMIFS([1]REPORTADOS!$D$2:$D$3379,[1]REPORTADOS!$C$2:$C$3379,E571)</f>
        <v>#VALUE!</v>
      </c>
      <c r="S571" s="8" t="e">
        <f t="shared" si="8"/>
        <v>#VALUE!</v>
      </c>
    </row>
    <row r="572" spans="1:19" x14ac:dyDescent="0.25">
      <c r="A572">
        <v>900091143</v>
      </c>
      <c r="B572" t="s">
        <v>3965</v>
      </c>
      <c r="C572" t="s">
        <v>3825</v>
      </c>
      <c r="E572" t="s">
        <v>3825</v>
      </c>
      <c r="H572" t="s">
        <v>22</v>
      </c>
      <c r="I572">
        <v>12974849</v>
      </c>
      <c r="J572" t="s">
        <v>2290</v>
      </c>
      <c r="P572" t="s">
        <v>4404</v>
      </c>
      <c r="Q572" s="8">
        <v>6000000</v>
      </c>
      <c r="R572" s="8" t="e">
        <f>SUMIFS([1]REPORTADOS!$D$2:$D$3379,[1]REPORTADOS!$C$2:$C$3379,E572)</f>
        <v>#VALUE!</v>
      </c>
      <c r="S572" s="8" t="e">
        <f t="shared" si="8"/>
        <v>#VALUE!</v>
      </c>
    </row>
    <row r="573" spans="1:19" x14ac:dyDescent="0.25">
      <c r="A573">
        <v>900091143</v>
      </c>
      <c r="B573" t="s">
        <v>3965</v>
      </c>
      <c r="C573" t="s">
        <v>3826</v>
      </c>
      <c r="E573" t="s">
        <v>3826</v>
      </c>
      <c r="H573" t="s">
        <v>22</v>
      </c>
      <c r="I573">
        <v>59314118</v>
      </c>
      <c r="J573" t="s">
        <v>3994</v>
      </c>
      <c r="P573" t="s">
        <v>4404</v>
      </c>
      <c r="Q573" s="8">
        <v>6000000</v>
      </c>
      <c r="R573" s="8" t="e">
        <f>SUMIFS([1]REPORTADOS!$D$2:$D$3379,[1]REPORTADOS!$C$2:$C$3379,E573)</f>
        <v>#VALUE!</v>
      </c>
      <c r="S573" s="8" t="e">
        <f t="shared" si="8"/>
        <v>#VALUE!</v>
      </c>
    </row>
    <row r="574" spans="1:19" x14ac:dyDescent="0.25">
      <c r="A574">
        <v>900091143</v>
      </c>
      <c r="B574" t="s">
        <v>3965</v>
      </c>
      <c r="C574" t="s">
        <v>3827</v>
      </c>
      <c r="E574" t="s">
        <v>3827</v>
      </c>
      <c r="H574" t="s">
        <v>22</v>
      </c>
      <c r="I574">
        <v>1081052090</v>
      </c>
      <c r="J574" t="s">
        <v>2534</v>
      </c>
      <c r="P574" t="s">
        <v>4404</v>
      </c>
      <c r="Q574" s="8">
        <v>6000000</v>
      </c>
      <c r="R574" s="8" t="e">
        <f>SUMIFS([1]REPORTADOS!$D$2:$D$3379,[1]REPORTADOS!$C$2:$C$3379,E574)</f>
        <v>#VALUE!</v>
      </c>
      <c r="S574" s="8" t="e">
        <f t="shared" si="8"/>
        <v>#VALUE!</v>
      </c>
    </row>
    <row r="575" spans="1:19" x14ac:dyDescent="0.25">
      <c r="A575">
        <v>900091143</v>
      </c>
      <c r="B575" t="s">
        <v>3965</v>
      </c>
      <c r="C575" t="s">
        <v>3828</v>
      </c>
      <c r="E575" t="s">
        <v>3828</v>
      </c>
      <c r="H575" t="s">
        <v>22</v>
      </c>
      <c r="I575">
        <v>1081282855</v>
      </c>
      <c r="J575" t="s">
        <v>3991</v>
      </c>
      <c r="P575" t="s">
        <v>4404</v>
      </c>
      <c r="Q575" s="8">
        <v>6000000</v>
      </c>
      <c r="R575" s="8" t="e">
        <f>SUMIFS([1]REPORTADOS!$D$2:$D$3379,[1]REPORTADOS!$C$2:$C$3379,E575)</f>
        <v>#VALUE!</v>
      </c>
      <c r="S575" s="8" t="e">
        <f t="shared" si="8"/>
        <v>#VALUE!</v>
      </c>
    </row>
    <row r="576" spans="1:19" x14ac:dyDescent="0.25">
      <c r="A576">
        <v>900091143</v>
      </c>
      <c r="B576" t="s">
        <v>3965</v>
      </c>
      <c r="C576" t="s">
        <v>3829</v>
      </c>
      <c r="E576" t="s">
        <v>3829</v>
      </c>
      <c r="H576" t="s">
        <v>22</v>
      </c>
      <c r="I576">
        <v>1085344910</v>
      </c>
      <c r="J576" t="s">
        <v>4181</v>
      </c>
      <c r="P576" t="s">
        <v>4447</v>
      </c>
      <c r="Q576" s="8">
        <v>39000000</v>
      </c>
      <c r="R576" s="8" t="e">
        <f>SUMIFS([1]REPORTADOS!$D$2:$D$3379,[1]REPORTADOS!$C$2:$C$3379,E576)</f>
        <v>#VALUE!</v>
      </c>
      <c r="S576" s="8" t="e">
        <f t="shared" si="8"/>
        <v>#VALUE!</v>
      </c>
    </row>
    <row r="577" spans="1:19" x14ac:dyDescent="0.25">
      <c r="A577">
        <v>900091143</v>
      </c>
      <c r="B577" t="s">
        <v>3965</v>
      </c>
      <c r="C577" t="s">
        <v>3830</v>
      </c>
      <c r="E577" t="s">
        <v>3830</v>
      </c>
      <c r="H577" t="s">
        <v>22</v>
      </c>
      <c r="I577">
        <v>1085313735</v>
      </c>
      <c r="J577" t="s">
        <v>4182</v>
      </c>
      <c r="P577" t="s">
        <v>4403</v>
      </c>
      <c r="Q577" s="8">
        <v>15750000</v>
      </c>
      <c r="R577" s="8" t="e">
        <f>SUMIFS([1]REPORTADOS!$D$2:$D$3379,[1]REPORTADOS!$C$2:$C$3379,E577)</f>
        <v>#VALUE!</v>
      </c>
      <c r="S577" s="8" t="e">
        <f t="shared" si="8"/>
        <v>#VALUE!</v>
      </c>
    </row>
    <row r="578" spans="1:19" x14ac:dyDescent="0.25">
      <c r="A578">
        <v>900091143</v>
      </c>
      <c r="B578" t="s">
        <v>3965</v>
      </c>
      <c r="C578" t="s">
        <v>3831</v>
      </c>
      <c r="E578" t="s">
        <v>3831</v>
      </c>
      <c r="H578" t="s">
        <v>22</v>
      </c>
      <c r="I578">
        <v>37082781</v>
      </c>
      <c r="J578" t="s">
        <v>4183</v>
      </c>
      <c r="P578" t="s">
        <v>4404</v>
      </c>
      <c r="Q578" s="8">
        <v>6000000</v>
      </c>
      <c r="R578" s="8" t="e">
        <f>SUMIFS([1]REPORTADOS!$D$2:$D$3379,[1]REPORTADOS!$C$2:$C$3379,E578)</f>
        <v>#VALUE!</v>
      </c>
      <c r="S578" s="8" t="e">
        <f t="shared" si="8"/>
        <v>#VALUE!</v>
      </c>
    </row>
    <row r="579" spans="1:19" x14ac:dyDescent="0.25">
      <c r="A579">
        <v>900091143</v>
      </c>
      <c r="B579" t="s">
        <v>3965</v>
      </c>
      <c r="C579" t="s">
        <v>3832</v>
      </c>
      <c r="E579" t="s">
        <v>3832</v>
      </c>
      <c r="H579" t="s">
        <v>22</v>
      </c>
      <c r="I579">
        <v>1004136704</v>
      </c>
      <c r="J579" t="s">
        <v>4184</v>
      </c>
      <c r="P579" t="s">
        <v>4403</v>
      </c>
      <c r="Q579" s="8">
        <v>15750000</v>
      </c>
      <c r="R579" s="8" t="e">
        <f>SUMIFS([1]REPORTADOS!$D$2:$D$3379,[1]REPORTADOS!$C$2:$C$3379,E579)</f>
        <v>#VALUE!</v>
      </c>
      <c r="S579" s="8" t="e">
        <f t="shared" ref="S579:S642" si="9">Q579-R579</f>
        <v>#VALUE!</v>
      </c>
    </row>
    <row r="580" spans="1:19" x14ac:dyDescent="0.25">
      <c r="A580">
        <v>900091143</v>
      </c>
      <c r="B580" t="s">
        <v>3965</v>
      </c>
      <c r="C580" t="s">
        <v>3833</v>
      </c>
      <c r="E580" t="s">
        <v>3833</v>
      </c>
      <c r="H580" t="s">
        <v>22</v>
      </c>
      <c r="I580">
        <v>1085339060</v>
      </c>
      <c r="J580" t="s">
        <v>4185</v>
      </c>
      <c r="P580" t="s">
        <v>4403</v>
      </c>
      <c r="Q580" s="8">
        <v>15750000</v>
      </c>
      <c r="R580" s="8" t="e">
        <f>SUMIFS([1]REPORTADOS!$D$2:$D$3379,[1]REPORTADOS!$C$2:$C$3379,E580)</f>
        <v>#VALUE!</v>
      </c>
      <c r="S580" s="8" t="e">
        <f t="shared" si="9"/>
        <v>#VALUE!</v>
      </c>
    </row>
    <row r="581" spans="1:19" x14ac:dyDescent="0.25">
      <c r="A581">
        <v>900091143</v>
      </c>
      <c r="B581" t="s">
        <v>3965</v>
      </c>
      <c r="C581" t="s">
        <v>3834</v>
      </c>
      <c r="E581" t="s">
        <v>3834</v>
      </c>
      <c r="H581" t="s">
        <v>22</v>
      </c>
      <c r="I581">
        <v>1010143140</v>
      </c>
      <c r="J581" t="s">
        <v>4186</v>
      </c>
      <c r="P581" t="s">
        <v>4447</v>
      </c>
      <c r="Q581" s="8">
        <v>39000000</v>
      </c>
      <c r="R581" s="8" t="e">
        <f>SUMIFS([1]REPORTADOS!$D$2:$D$3379,[1]REPORTADOS!$C$2:$C$3379,E581)</f>
        <v>#VALUE!</v>
      </c>
      <c r="S581" s="8" t="e">
        <f t="shared" si="9"/>
        <v>#VALUE!</v>
      </c>
    </row>
    <row r="582" spans="1:19" x14ac:dyDescent="0.25">
      <c r="A582">
        <v>900091143</v>
      </c>
      <c r="B582" t="s">
        <v>3965</v>
      </c>
      <c r="C582" t="s">
        <v>3835</v>
      </c>
      <c r="E582" t="s">
        <v>3835</v>
      </c>
      <c r="H582" t="s">
        <v>22</v>
      </c>
      <c r="I582">
        <v>1087960681</v>
      </c>
      <c r="J582" t="s">
        <v>4187</v>
      </c>
      <c r="P582" t="s">
        <v>4403</v>
      </c>
      <c r="Q582" s="8">
        <v>15750000</v>
      </c>
      <c r="R582" s="8" t="e">
        <f>SUMIFS([1]REPORTADOS!$D$2:$D$3379,[1]REPORTADOS!$C$2:$C$3379,E582)</f>
        <v>#VALUE!</v>
      </c>
      <c r="S582" s="8" t="e">
        <f t="shared" si="9"/>
        <v>#VALUE!</v>
      </c>
    </row>
    <row r="583" spans="1:19" x14ac:dyDescent="0.25">
      <c r="A583">
        <v>900091143</v>
      </c>
      <c r="B583" t="s">
        <v>3965</v>
      </c>
      <c r="C583" t="s">
        <v>3836</v>
      </c>
      <c r="E583" t="s">
        <v>3836</v>
      </c>
      <c r="H583" t="s">
        <v>22</v>
      </c>
      <c r="I583">
        <v>1080040910</v>
      </c>
      <c r="J583" t="s">
        <v>4188</v>
      </c>
      <c r="P583" t="s">
        <v>4403</v>
      </c>
      <c r="Q583" s="8">
        <v>15750000</v>
      </c>
      <c r="R583" s="8" t="e">
        <f>SUMIFS([1]REPORTADOS!$D$2:$D$3379,[1]REPORTADOS!$C$2:$C$3379,E583)</f>
        <v>#VALUE!</v>
      </c>
      <c r="S583" s="8" t="e">
        <f t="shared" si="9"/>
        <v>#VALUE!</v>
      </c>
    </row>
    <row r="584" spans="1:19" x14ac:dyDescent="0.25">
      <c r="A584">
        <v>900091143</v>
      </c>
      <c r="B584" t="s">
        <v>3965</v>
      </c>
      <c r="C584" t="s">
        <v>3837</v>
      </c>
      <c r="E584" t="s">
        <v>3837</v>
      </c>
      <c r="H584" t="s">
        <v>22</v>
      </c>
      <c r="I584">
        <v>1004631427</v>
      </c>
      <c r="J584" t="s">
        <v>4189</v>
      </c>
      <c r="P584" t="s">
        <v>4403</v>
      </c>
      <c r="Q584" s="8">
        <v>31500000</v>
      </c>
      <c r="R584" s="8" t="e">
        <f>SUMIFS([1]REPORTADOS!$D$2:$D$3379,[1]REPORTADOS!$C$2:$C$3379,E584)</f>
        <v>#VALUE!</v>
      </c>
      <c r="S584" s="8" t="e">
        <f t="shared" si="9"/>
        <v>#VALUE!</v>
      </c>
    </row>
    <row r="585" spans="1:19" x14ac:dyDescent="0.25">
      <c r="A585">
        <v>900091143</v>
      </c>
      <c r="B585" t="s">
        <v>3965</v>
      </c>
      <c r="C585" t="s">
        <v>3838</v>
      </c>
      <c r="E585" t="s">
        <v>3838</v>
      </c>
      <c r="H585" t="s">
        <v>22</v>
      </c>
      <c r="I585">
        <v>36950112</v>
      </c>
      <c r="J585" t="s">
        <v>4190</v>
      </c>
      <c r="P585" t="s">
        <v>4447</v>
      </c>
      <c r="Q585" s="8">
        <v>23400000</v>
      </c>
      <c r="R585" s="8" t="e">
        <f>SUMIFS([1]REPORTADOS!$D$2:$D$3379,[1]REPORTADOS!$C$2:$C$3379,E585)</f>
        <v>#VALUE!</v>
      </c>
      <c r="S585" s="8" t="e">
        <f t="shared" si="9"/>
        <v>#VALUE!</v>
      </c>
    </row>
    <row r="586" spans="1:19" x14ac:dyDescent="0.25">
      <c r="A586">
        <v>900091143</v>
      </c>
      <c r="B586" t="s">
        <v>3965</v>
      </c>
      <c r="C586" t="s">
        <v>3839</v>
      </c>
      <c r="E586" t="s">
        <v>3839</v>
      </c>
      <c r="H586" t="s">
        <v>22</v>
      </c>
      <c r="I586">
        <v>37084101</v>
      </c>
      <c r="J586" t="s">
        <v>4191</v>
      </c>
      <c r="P586" t="s">
        <v>4447</v>
      </c>
      <c r="Q586" s="8">
        <v>23400000</v>
      </c>
      <c r="R586" s="8" t="e">
        <f>SUMIFS([1]REPORTADOS!$D$2:$D$3379,[1]REPORTADOS!$C$2:$C$3379,E586)</f>
        <v>#VALUE!</v>
      </c>
      <c r="S586" s="8" t="e">
        <f t="shared" si="9"/>
        <v>#VALUE!</v>
      </c>
    </row>
    <row r="587" spans="1:19" x14ac:dyDescent="0.25">
      <c r="A587">
        <v>900091143</v>
      </c>
      <c r="B587" t="s">
        <v>3965</v>
      </c>
      <c r="C587" t="s">
        <v>3840</v>
      </c>
      <c r="E587" t="s">
        <v>3840</v>
      </c>
      <c r="H587" t="s">
        <v>22</v>
      </c>
      <c r="I587">
        <v>1010035235</v>
      </c>
      <c r="J587" t="s">
        <v>4192</v>
      </c>
      <c r="P587" t="s">
        <v>4403</v>
      </c>
      <c r="Q587" s="8">
        <v>9450000</v>
      </c>
      <c r="R587" s="8" t="e">
        <f>SUMIFS([1]REPORTADOS!$D$2:$D$3379,[1]REPORTADOS!$C$2:$C$3379,E587)</f>
        <v>#VALUE!</v>
      </c>
      <c r="S587" s="8" t="e">
        <f t="shared" si="9"/>
        <v>#VALUE!</v>
      </c>
    </row>
    <row r="588" spans="1:19" x14ac:dyDescent="0.25">
      <c r="A588">
        <v>900091143</v>
      </c>
      <c r="B588" t="s">
        <v>3965</v>
      </c>
      <c r="C588" t="s">
        <v>3841</v>
      </c>
      <c r="E588" t="s">
        <v>3841</v>
      </c>
      <c r="H588" t="s">
        <v>22</v>
      </c>
      <c r="I588">
        <v>26453006</v>
      </c>
      <c r="J588" t="s">
        <v>4193</v>
      </c>
      <c r="P588" t="s">
        <v>4403</v>
      </c>
      <c r="Q588" s="8">
        <v>9450000</v>
      </c>
      <c r="R588" s="8" t="e">
        <f>SUMIFS([1]REPORTADOS!$D$2:$D$3379,[1]REPORTADOS!$C$2:$C$3379,E588)</f>
        <v>#VALUE!</v>
      </c>
      <c r="S588" s="8" t="e">
        <f t="shared" si="9"/>
        <v>#VALUE!</v>
      </c>
    </row>
    <row r="589" spans="1:19" x14ac:dyDescent="0.25">
      <c r="A589">
        <v>900091143</v>
      </c>
      <c r="B589" t="s">
        <v>3965</v>
      </c>
      <c r="C589" t="s">
        <v>3842</v>
      </c>
      <c r="E589" t="s">
        <v>3842</v>
      </c>
      <c r="H589" t="s">
        <v>22</v>
      </c>
      <c r="I589">
        <v>1086363655</v>
      </c>
      <c r="J589" t="s">
        <v>4194</v>
      </c>
      <c r="P589" t="s">
        <v>4403</v>
      </c>
      <c r="Q589" s="8">
        <v>15750000</v>
      </c>
      <c r="R589" s="8" t="e">
        <f>SUMIFS([1]REPORTADOS!$D$2:$D$3379,[1]REPORTADOS!$C$2:$C$3379,E589)</f>
        <v>#VALUE!</v>
      </c>
      <c r="S589" s="8" t="e">
        <f t="shared" si="9"/>
        <v>#VALUE!</v>
      </c>
    </row>
    <row r="590" spans="1:19" x14ac:dyDescent="0.25">
      <c r="A590">
        <v>900091143</v>
      </c>
      <c r="B590" t="s">
        <v>3965</v>
      </c>
      <c r="C590" t="s">
        <v>3843</v>
      </c>
      <c r="E590" t="s">
        <v>3843</v>
      </c>
      <c r="H590" t="s">
        <v>22</v>
      </c>
      <c r="I590">
        <v>98399200</v>
      </c>
      <c r="J590" t="s">
        <v>4195</v>
      </c>
      <c r="P590" t="s">
        <v>4403</v>
      </c>
      <c r="Q590" s="8">
        <v>18900000</v>
      </c>
      <c r="R590" s="8" t="e">
        <f>SUMIFS([1]REPORTADOS!$D$2:$D$3379,[1]REPORTADOS!$C$2:$C$3379,E590)</f>
        <v>#VALUE!</v>
      </c>
      <c r="S590" s="8" t="e">
        <f t="shared" si="9"/>
        <v>#VALUE!</v>
      </c>
    </row>
    <row r="591" spans="1:19" x14ac:dyDescent="0.25">
      <c r="A591">
        <v>900091143</v>
      </c>
      <c r="B591" t="s">
        <v>3965</v>
      </c>
      <c r="C591" t="s">
        <v>3844</v>
      </c>
      <c r="E591" t="s">
        <v>3844</v>
      </c>
      <c r="H591" t="s">
        <v>22</v>
      </c>
      <c r="I591">
        <v>27487890</v>
      </c>
      <c r="J591" t="s">
        <v>4196</v>
      </c>
      <c r="P591" t="s">
        <v>4403</v>
      </c>
      <c r="Q591" s="8">
        <v>31500000</v>
      </c>
      <c r="R591" s="8" t="e">
        <f>SUMIFS([1]REPORTADOS!$D$2:$D$3379,[1]REPORTADOS!$C$2:$C$3379,E591)</f>
        <v>#VALUE!</v>
      </c>
      <c r="S591" s="8" t="e">
        <f t="shared" si="9"/>
        <v>#VALUE!</v>
      </c>
    </row>
    <row r="592" spans="1:19" x14ac:dyDescent="0.25">
      <c r="A592">
        <v>900091143</v>
      </c>
      <c r="B592" t="s">
        <v>3965</v>
      </c>
      <c r="C592" t="s">
        <v>3845</v>
      </c>
      <c r="E592" t="s">
        <v>3845</v>
      </c>
      <c r="H592" t="s">
        <v>22</v>
      </c>
      <c r="I592">
        <v>59313585</v>
      </c>
      <c r="J592" t="s">
        <v>4197</v>
      </c>
      <c r="P592" t="s">
        <v>4403</v>
      </c>
      <c r="Q592" s="8">
        <v>15750000</v>
      </c>
      <c r="R592" s="8" t="e">
        <f>SUMIFS([1]REPORTADOS!$D$2:$D$3379,[1]REPORTADOS!$C$2:$C$3379,E592)</f>
        <v>#VALUE!</v>
      </c>
      <c r="S592" s="8" t="e">
        <f t="shared" si="9"/>
        <v>#VALUE!</v>
      </c>
    </row>
    <row r="593" spans="1:19" x14ac:dyDescent="0.25">
      <c r="A593">
        <v>900091143</v>
      </c>
      <c r="B593" t="s">
        <v>3965</v>
      </c>
      <c r="C593" t="s">
        <v>3846</v>
      </c>
      <c r="E593" t="s">
        <v>3846</v>
      </c>
      <c r="H593" t="s">
        <v>22</v>
      </c>
      <c r="I593">
        <v>1080691508</v>
      </c>
      <c r="J593" t="s">
        <v>4198</v>
      </c>
      <c r="P593" t="s">
        <v>4403</v>
      </c>
      <c r="Q593" s="8">
        <v>15750000</v>
      </c>
      <c r="R593" s="8" t="e">
        <f>SUMIFS([1]REPORTADOS!$D$2:$D$3379,[1]REPORTADOS!$C$2:$C$3379,E593)</f>
        <v>#VALUE!</v>
      </c>
      <c r="S593" s="8" t="e">
        <f t="shared" si="9"/>
        <v>#VALUE!</v>
      </c>
    </row>
    <row r="594" spans="1:19" x14ac:dyDescent="0.25">
      <c r="A594">
        <v>900091143</v>
      </c>
      <c r="B594" t="s">
        <v>3965</v>
      </c>
      <c r="C594" t="s">
        <v>3847</v>
      </c>
      <c r="E594" t="s">
        <v>3847</v>
      </c>
      <c r="H594" t="s">
        <v>22</v>
      </c>
      <c r="I594">
        <v>1004232029</v>
      </c>
      <c r="J594" t="s">
        <v>4199</v>
      </c>
      <c r="P594" t="s">
        <v>4403</v>
      </c>
      <c r="Q594" s="8">
        <v>31500000</v>
      </c>
      <c r="R594" s="8" t="e">
        <f>SUMIFS([1]REPORTADOS!$D$2:$D$3379,[1]REPORTADOS!$C$2:$C$3379,E594)</f>
        <v>#VALUE!</v>
      </c>
      <c r="S594" s="8" t="e">
        <f t="shared" si="9"/>
        <v>#VALUE!</v>
      </c>
    </row>
    <row r="595" spans="1:19" x14ac:dyDescent="0.25">
      <c r="A595">
        <v>900091143</v>
      </c>
      <c r="B595" t="s">
        <v>3965</v>
      </c>
      <c r="C595" t="s">
        <v>3848</v>
      </c>
      <c r="E595" t="s">
        <v>3848</v>
      </c>
      <c r="H595" t="s">
        <v>22</v>
      </c>
      <c r="I595">
        <v>1082630032</v>
      </c>
      <c r="J595" t="s">
        <v>4200</v>
      </c>
      <c r="P595" t="s">
        <v>4403</v>
      </c>
      <c r="Q595" s="8">
        <v>15750000</v>
      </c>
      <c r="R595" s="8" t="e">
        <f>SUMIFS([1]REPORTADOS!$D$2:$D$3379,[1]REPORTADOS!$C$2:$C$3379,E595)</f>
        <v>#VALUE!</v>
      </c>
      <c r="S595" s="8" t="e">
        <f t="shared" si="9"/>
        <v>#VALUE!</v>
      </c>
    </row>
    <row r="596" spans="1:19" x14ac:dyDescent="0.25">
      <c r="A596">
        <v>900091143</v>
      </c>
      <c r="B596" t="s">
        <v>3965</v>
      </c>
      <c r="C596" t="s">
        <v>3849</v>
      </c>
      <c r="E596" t="s">
        <v>3849</v>
      </c>
      <c r="H596" t="s">
        <v>22</v>
      </c>
      <c r="I596">
        <v>1085281034</v>
      </c>
      <c r="J596" t="s">
        <v>4201</v>
      </c>
      <c r="P596" t="s">
        <v>4403</v>
      </c>
      <c r="Q596" s="8">
        <v>31500000</v>
      </c>
      <c r="R596" s="8" t="e">
        <f>SUMIFS([1]REPORTADOS!$D$2:$D$3379,[1]REPORTADOS!$C$2:$C$3379,E596)</f>
        <v>#VALUE!</v>
      </c>
      <c r="S596" s="8" t="e">
        <f t="shared" si="9"/>
        <v>#VALUE!</v>
      </c>
    </row>
    <row r="597" spans="1:19" x14ac:dyDescent="0.25">
      <c r="A597">
        <v>900091143</v>
      </c>
      <c r="B597" t="s">
        <v>3965</v>
      </c>
      <c r="C597" t="s">
        <v>3850</v>
      </c>
      <c r="E597" t="s">
        <v>3850</v>
      </c>
      <c r="H597" t="s">
        <v>22</v>
      </c>
      <c r="I597">
        <v>1085313206</v>
      </c>
      <c r="J597" t="s">
        <v>4202</v>
      </c>
      <c r="P597" t="s">
        <v>4403</v>
      </c>
      <c r="Q597" s="8">
        <v>31500000</v>
      </c>
      <c r="R597" s="8" t="e">
        <f>SUMIFS([1]REPORTADOS!$D$2:$D$3379,[1]REPORTADOS!$C$2:$C$3379,E597)</f>
        <v>#VALUE!</v>
      </c>
      <c r="S597" s="8" t="e">
        <f t="shared" si="9"/>
        <v>#VALUE!</v>
      </c>
    </row>
    <row r="598" spans="1:19" x14ac:dyDescent="0.25">
      <c r="A598">
        <v>900091143</v>
      </c>
      <c r="B598" t="s">
        <v>3965</v>
      </c>
      <c r="C598" t="s">
        <v>3851</v>
      </c>
      <c r="E598" t="s">
        <v>3851</v>
      </c>
      <c r="H598" t="s">
        <v>22</v>
      </c>
      <c r="I598">
        <v>1085288297</v>
      </c>
      <c r="J598" t="s">
        <v>4203</v>
      </c>
      <c r="P598" t="s">
        <v>4403</v>
      </c>
      <c r="Q598" s="8">
        <v>15750000</v>
      </c>
      <c r="R598" s="8" t="e">
        <f>SUMIFS([1]REPORTADOS!$D$2:$D$3379,[1]REPORTADOS!$C$2:$C$3379,E598)</f>
        <v>#VALUE!</v>
      </c>
      <c r="S598" s="8" t="e">
        <f t="shared" si="9"/>
        <v>#VALUE!</v>
      </c>
    </row>
    <row r="599" spans="1:19" x14ac:dyDescent="0.25">
      <c r="A599">
        <v>900091143</v>
      </c>
      <c r="B599" t="s">
        <v>3965</v>
      </c>
      <c r="C599" t="s">
        <v>3852</v>
      </c>
      <c r="E599" t="s">
        <v>3852</v>
      </c>
      <c r="H599" t="s">
        <v>22</v>
      </c>
      <c r="I599">
        <v>1089458129</v>
      </c>
      <c r="J599" t="s">
        <v>4204</v>
      </c>
      <c r="P599" t="s">
        <v>4403</v>
      </c>
      <c r="Q599" s="8">
        <v>15750000</v>
      </c>
      <c r="R599" s="8" t="e">
        <f>SUMIFS([1]REPORTADOS!$D$2:$D$3379,[1]REPORTADOS!$C$2:$C$3379,E599)</f>
        <v>#VALUE!</v>
      </c>
      <c r="S599" s="8" t="e">
        <f t="shared" si="9"/>
        <v>#VALUE!</v>
      </c>
    </row>
    <row r="600" spans="1:19" x14ac:dyDescent="0.25">
      <c r="A600">
        <v>900091143</v>
      </c>
      <c r="B600" t="s">
        <v>3965</v>
      </c>
      <c r="C600" t="s">
        <v>3853</v>
      </c>
      <c r="E600" t="s">
        <v>3853</v>
      </c>
      <c r="H600" t="s">
        <v>22</v>
      </c>
      <c r="I600">
        <v>1085283202</v>
      </c>
      <c r="J600" t="s">
        <v>4205</v>
      </c>
      <c r="P600" t="s">
        <v>4403</v>
      </c>
      <c r="Q600" s="8">
        <v>31500000</v>
      </c>
      <c r="R600" s="8" t="e">
        <f>SUMIFS([1]REPORTADOS!$D$2:$D$3379,[1]REPORTADOS!$C$2:$C$3379,E600)</f>
        <v>#VALUE!</v>
      </c>
      <c r="S600" s="8" t="e">
        <f t="shared" si="9"/>
        <v>#VALUE!</v>
      </c>
    </row>
    <row r="601" spans="1:19" x14ac:dyDescent="0.25">
      <c r="A601">
        <v>900091143</v>
      </c>
      <c r="B601" t="s">
        <v>3965</v>
      </c>
      <c r="C601" t="s">
        <v>3854</v>
      </c>
      <c r="E601" t="s">
        <v>3854</v>
      </c>
      <c r="H601" t="s">
        <v>22</v>
      </c>
      <c r="I601">
        <v>27224982</v>
      </c>
      <c r="J601" t="s">
        <v>4206</v>
      </c>
      <c r="P601" t="s">
        <v>4403</v>
      </c>
      <c r="Q601" s="8">
        <v>31500000</v>
      </c>
      <c r="R601" s="8" t="e">
        <f>SUMIFS([1]REPORTADOS!$D$2:$D$3379,[1]REPORTADOS!$C$2:$C$3379,E601)</f>
        <v>#VALUE!</v>
      </c>
      <c r="S601" s="8" t="e">
        <f t="shared" si="9"/>
        <v>#VALUE!</v>
      </c>
    </row>
    <row r="602" spans="1:19" x14ac:dyDescent="0.25">
      <c r="A602">
        <v>900091143</v>
      </c>
      <c r="B602" t="s">
        <v>3965</v>
      </c>
      <c r="C602" t="s">
        <v>3855</v>
      </c>
      <c r="E602" t="s">
        <v>3855</v>
      </c>
      <c r="H602" t="s">
        <v>22</v>
      </c>
      <c r="I602">
        <v>1004542606</v>
      </c>
      <c r="J602" t="s">
        <v>4207</v>
      </c>
      <c r="P602" t="s">
        <v>4403</v>
      </c>
      <c r="Q602" s="8">
        <v>15750000</v>
      </c>
      <c r="R602" s="8" t="e">
        <f>SUMIFS([1]REPORTADOS!$D$2:$D$3379,[1]REPORTADOS!$C$2:$C$3379,E602)</f>
        <v>#VALUE!</v>
      </c>
      <c r="S602" s="8" t="e">
        <f t="shared" si="9"/>
        <v>#VALUE!</v>
      </c>
    </row>
    <row r="603" spans="1:19" x14ac:dyDescent="0.25">
      <c r="A603">
        <v>900091143</v>
      </c>
      <c r="B603" t="s">
        <v>3965</v>
      </c>
      <c r="C603" t="s">
        <v>3856</v>
      </c>
      <c r="E603" t="s">
        <v>3856</v>
      </c>
      <c r="H603" t="s">
        <v>22</v>
      </c>
      <c r="I603">
        <v>1085252484</v>
      </c>
      <c r="J603" t="s">
        <v>4208</v>
      </c>
      <c r="P603" t="s">
        <v>4403</v>
      </c>
      <c r="Q603" s="8">
        <v>31500000</v>
      </c>
      <c r="R603" s="8" t="e">
        <f>SUMIFS([1]REPORTADOS!$D$2:$D$3379,[1]REPORTADOS!$C$2:$C$3379,E603)</f>
        <v>#VALUE!</v>
      </c>
      <c r="S603" s="8" t="e">
        <f t="shared" si="9"/>
        <v>#VALUE!</v>
      </c>
    </row>
    <row r="604" spans="1:19" x14ac:dyDescent="0.25">
      <c r="A604">
        <v>900091143</v>
      </c>
      <c r="B604" t="s">
        <v>3965</v>
      </c>
      <c r="C604" t="s">
        <v>3857</v>
      </c>
      <c r="E604" t="s">
        <v>3857</v>
      </c>
      <c r="H604" t="s">
        <v>22</v>
      </c>
      <c r="I604">
        <v>1085310394</v>
      </c>
      <c r="J604" t="s">
        <v>4209</v>
      </c>
      <c r="P604" t="s">
        <v>4447</v>
      </c>
      <c r="Q604" s="8">
        <v>23400000</v>
      </c>
      <c r="R604" s="8" t="e">
        <f>SUMIFS([1]REPORTADOS!$D$2:$D$3379,[1]REPORTADOS!$C$2:$C$3379,E604)</f>
        <v>#VALUE!</v>
      </c>
      <c r="S604" s="8" t="e">
        <f t="shared" si="9"/>
        <v>#VALUE!</v>
      </c>
    </row>
    <row r="605" spans="1:19" x14ac:dyDescent="0.25">
      <c r="A605">
        <v>900091143</v>
      </c>
      <c r="B605" t="s">
        <v>3965</v>
      </c>
      <c r="C605" t="s">
        <v>3858</v>
      </c>
      <c r="E605" t="s">
        <v>3858</v>
      </c>
      <c r="H605" t="s">
        <v>22</v>
      </c>
      <c r="I605">
        <v>1086224323</v>
      </c>
      <c r="J605" t="s">
        <v>4210</v>
      </c>
      <c r="P605" t="s">
        <v>4403</v>
      </c>
      <c r="Q605" s="8">
        <v>15750000</v>
      </c>
      <c r="R605" s="8" t="e">
        <f>SUMIFS([1]REPORTADOS!$D$2:$D$3379,[1]REPORTADOS!$C$2:$C$3379,E605)</f>
        <v>#VALUE!</v>
      </c>
      <c r="S605" s="8" t="e">
        <f t="shared" si="9"/>
        <v>#VALUE!</v>
      </c>
    </row>
    <row r="606" spans="1:19" x14ac:dyDescent="0.25">
      <c r="A606">
        <v>900091143</v>
      </c>
      <c r="B606" t="s">
        <v>3965</v>
      </c>
      <c r="C606" t="s">
        <v>3859</v>
      </c>
      <c r="E606" t="s">
        <v>3859</v>
      </c>
      <c r="H606" t="s">
        <v>22</v>
      </c>
      <c r="I606">
        <v>1086362994</v>
      </c>
      <c r="J606" t="s">
        <v>2211</v>
      </c>
      <c r="P606" t="s">
        <v>4403</v>
      </c>
      <c r="Q606" s="8">
        <v>15750000</v>
      </c>
      <c r="R606" s="8" t="e">
        <f>SUMIFS([1]REPORTADOS!$D$2:$D$3379,[1]REPORTADOS!$C$2:$C$3379,E606)</f>
        <v>#VALUE!</v>
      </c>
      <c r="S606" s="8" t="e">
        <f t="shared" si="9"/>
        <v>#VALUE!</v>
      </c>
    </row>
    <row r="607" spans="1:19" x14ac:dyDescent="0.25">
      <c r="A607">
        <v>900091143</v>
      </c>
      <c r="B607" t="s">
        <v>3965</v>
      </c>
      <c r="C607" t="s">
        <v>3860</v>
      </c>
      <c r="E607" t="s">
        <v>3860</v>
      </c>
      <c r="H607" t="s">
        <v>22</v>
      </c>
      <c r="I607">
        <v>36951884</v>
      </c>
      <c r="J607" t="s">
        <v>4211</v>
      </c>
      <c r="P607" t="s">
        <v>4403</v>
      </c>
      <c r="Q607" s="8">
        <v>15750000</v>
      </c>
      <c r="R607" s="8" t="e">
        <f>SUMIFS([1]REPORTADOS!$D$2:$D$3379,[1]REPORTADOS!$C$2:$C$3379,E607)</f>
        <v>#VALUE!</v>
      </c>
      <c r="S607" s="8" t="e">
        <f t="shared" si="9"/>
        <v>#VALUE!</v>
      </c>
    </row>
    <row r="608" spans="1:19" x14ac:dyDescent="0.25">
      <c r="A608">
        <v>900091143</v>
      </c>
      <c r="B608" t="s">
        <v>3965</v>
      </c>
      <c r="C608" t="s">
        <v>3861</v>
      </c>
      <c r="E608" t="s">
        <v>3861</v>
      </c>
      <c r="H608" t="s">
        <v>22</v>
      </c>
      <c r="I608">
        <v>1085311576</v>
      </c>
      <c r="J608" t="s">
        <v>4212</v>
      </c>
      <c r="P608" t="s">
        <v>4403</v>
      </c>
      <c r="Q608" s="8">
        <v>15750000</v>
      </c>
      <c r="R608" s="8" t="e">
        <f>SUMIFS([1]REPORTADOS!$D$2:$D$3379,[1]REPORTADOS!$C$2:$C$3379,E608)</f>
        <v>#VALUE!</v>
      </c>
      <c r="S608" s="8" t="e">
        <f t="shared" si="9"/>
        <v>#VALUE!</v>
      </c>
    </row>
    <row r="609" spans="1:19" x14ac:dyDescent="0.25">
      <c r="A609">
        <v>900091143</v>
      </c>
      <c r="B609" t="s">
        <v>3965</v>
      </c>
      <c r="C609" t="s">
        <v>3862</v>
      </c>
      <c r="E609" t="s">
        <v>3862</v>
      </c>
      <c r="H609" t="s">
        <v>22</v>
      </c>
      <c r="I609">
        <v>27444591</v>
      </c>
      <c r="J609" t="s">
        <v>4042</v>
      </c>
      <c r="P609" t="s">
        <v>4403</v>
      </c>
      <c r="Q609" s="8">
        <v>15750000</v>
      </c>
      <c r="R609" s="8" t="e">
        <f>SUMIFS([1]REPORTADOS!$D$2:$D$3379,[1]REPORTADOS!$C$2:$C$3379,E609)</f>
        <v>#VALUE!</v>
      </c>
      <c r="S609" s="8" t="e">
        <f t="shared" si="9"/>
        <v>#VALUE!</v>
      </c>
    </row>
    <row r="610" spans="1:19" x14ac:dyDescent="0.25">
      <c r="A610">
        <v>900091143</v>
      </c>
      <c r="B610" t="s">
        <v>3965</v>
      </c>
      <c r="C610" t="s">
        <v>3863</v>
      </c>
      <c r="E610" t="s">
        <v>3863</v>
      </c>
      <c r="H610" t="s">
        <v>22</v>
      </c>
      <c r="I610">
        <v>1081276122</v>
      </c>
      <c r="J610" t="s">
        <v>4213</v>
      </c>
      <c r="P610" t="s">
        <v>4403</v>
      </c>
      <c r="Q610" s="8">
        <v>15750000</v>
      </c>
      <c r="R610" s="8" t="e">
        <f>SUMIFS([1]REPORTADOS!$D$2:$D$3379,[1]REPORTADOS!$C$2:$C$3379,E610)</f>
        <v>#VALUE!</v>
      </c>
      <c r="S610" s="8" t="e">
        <f t="shared" si="9"/>
        <v>#VALUE!</v>
      </c>
    </row>
    <row r="611" spans="1:19" x14ac:dyDescent="0.25">
      <c r="A611">
        <v>900091143</v>
      </c>
      <c r="B611" t="s">
        <v>3965</v>
      </c>
      <c r="C611" t="s">
        <v>3864</v>
      </c>
      <c r="E611" t="s">
        <v>3864</v>
      </c>
      <c r="H611" t="s">
        <v>22</v>
      </c>
      <c r="I611">
        <v>1084551863</v>
      </c>
      <c r="J611" t="s">
        <v>4106</v>
      </c>
      <c r="P611" t="s">
        <v>4403</v>
      </c>
      <c r="Q611" s="8">
        <v>6300000</v>
      </c>
      <c r="R611" s="8" t="e">
        <f>SUMIFS([1]REPORTADOS!$D$2:$D$3379,[1]REPORTADOS!$C$2:$C$3379,E611)</f>
        <v>#VALUE!</v>
      </c>
      <c r="S611" s="8" t="e">
        <f t="shared" si="9"/>
        <v>#VALUE!</v>
      </c>
    </row>
    <row r="612" spans="1:19" x14ac:dyDescent="0.25">
      <c r="A612">
        <v>900091143</v>
      </c>
      <c r="B612" t="s">
        <v>3965</v>
      </c>
      <c r="C612" t="s">
        <v>3865</v>
      </c>
      <c r="E612" t="s">
        <v>3865</v>
      </c>
      <c r="H612" t="s">
        <v>22</v>
      </c>
      <c r="I612">
        <v>1004696654</v>
      </c>
      <c r="J612" t="s">
        <v>4214</v>
      </c>
      <c r="P612" t="s">
        <v>4403</v>
      </c>
      <c r="Q612" s="8">
        <v>31500000</v>
      </c>
      <c r="R612" s="8" t="e">
        <f>SUMIFS([1]REPORTADOS!$D$2:$D$3379,[1]REPORTADOS!$C$2:$C$3379,E612)</f>
        <v>#VALUE!</v>
      </c>
      <c r="S612" s="8" t="e">
        <f t="shared" si="9"/>
        <v>#VALUE!</v>
      </c>
    </row>
    <row r="613" spans="1:19" x14ac:dyDescent="0.25">
      <c r="A613">
        <v>900091143</v>
      </c>
      <c r="B613" t="s">
        <v>3965</v>
      </c>
      <c r="C613" t="s">
        <v>3866</v>
      </c>
      <c r="E613" t="s">
        <v>3866</v>
      </c>
      <c r="H613" t="s">
        <v>22</v>
      </c>
      <c r="I613">
        <v>1085274738</v>
      </c>
      <c r="J613" t="s">
        <v>4215</v>
      </c>
      <c r="P613" t="s">
        <v>4447</v>
      </c>
      <c r="Q613" s="8">
        <v>14190000</v>
      </c>
      <c r="R613" s="8" t="e">
        <f>SUMIFS([1]REPORTADOS!$D$2:$D$3379,[1]REPORTADOS!$C$2:$C$3379,E613)</f>
        <v>#VALUE!</v>
      </c>
      <c r="S613" s="8" t="e">
        <f t="shared" si="9"/>
        <v>#VALUE!</v>
      </c>
    </row>
    <row r="614" spans="1:19" x14ac:dyDescent="0.25">
      <c r="A614">
        <v>900091143</v>
      </c>
      <c r="B614" t="s">
        <v>3965</v>
      </c>
      <c r="C614" t="s">
        <v>3867</v>
      </c>
      <c r="E614" t="s">
        <v>3867</v>
      </c>
      <c r="H614" t="s">
        <v>22</v>
      </c>
      <c r="I614">
        <v>59123038</v>
      </c>
      <c r="J614" t="s">
        <v>4216</v>
      </c>
      <c r="P614" t="s">
        <v>4403</v>
      </c>
      <c r="Q614" s="8">
        <v>15750000</v>
      </c>
      <c r="R614" s="8" t="e">
        <f>SUMIFS([1]REPORTADOS!$D$2:$D$3379,[1]REPORTADOS!$C$2:$C$3379,E614)</f>
        <v>#VALUE!</v>
      </c>
      <c r="S614" s="8" t="e">
        <f t="shared" si="9"/>
        <v>#VALUE!</v>
      </c>
    </row>
    <row r="615" spans="1:19" x14ac:dyDescent="0.25">
      <c r="A615">
        <v>900091143</v>
      </c>
      <c r="B615" t="s">
        <v>3965</v>
      </c>
      <c r="C615" t="s">
        <v>3868</v>
      </c>
      <c r="E615" t="s">
        <v>3868</v>
      </c>
      <c r="H615" t="s">
        <v>22</v>
      </c>
      <c r="I615">
        <v>1137089261</v>
      </c>
      <c r="J615" t="s">
        <v>4217</v>
      </c>
      <c r="P615" t="s">
        <v>4403</v>
      </c>
      <c r="Q615" s="8">
        <v>15750000</v>
      </c>
      <c r="R615" s="8" t="e">
        <f>SUMIFS([1]REPORTADOS!$D$2:$D$3379,[1]REPORTADOS!$C$2:$C$3379,E615)</f>
        <v>#VALUE!</v>
      </c>
      <c r="S615" s="8" t="e">
        <f t="shared" si="9"/>
        <v>#VALUE!</v>
      </c>
    </row>
    <row r="616" spans="1:19" x14ac:dyDescent="0.25">
      <c r="A616">
        <v>900091143</v>
      </c>
      <c r="B616" t="s">
        <v>3965</v>
      </c>
      <c r="C616" t="s">
        <v>3869</v>
      </c>
      <c r="E616" t="s">
        <v>3869</v>
      </c>
      <c r="H616" t="s">
        <v>22</v>
      </c>
      <c r="I616">
        <v>1086222412</v>
      </c>
      <c r="J616" t="s">
        <v>4218</v>
      </c>
      <c r="P616" t="s">
        <v>4403</v>
      </c>
      <c r="Q616" s="8">
        <v>15750000</v>
      </c>
      <c r="R616" s="8" t="e">
        <f>SUMIFS([1]REPORTADOS!$D$2:$D$3379,[1]REPORTADOS!$C$2:$C$3379,E616)</f>
        <v>#VALUE!</v>
      </c>
      <c r="S616" s="8" t="e">
        <f t="shared" si="9"/>
        <v>#VALUE!</v>
      </c>
    </row>
    <row r="617" spans="1:19" x14ac:dyDescent="0.25">
      <c r="A617">
        <v>900091143</v>
      </c>
      <c r="B617" t="s">
        <v>3965</v>
      </c>
      <c r="C617" t="s">
        <v>3870</v>
      </c>
      <c r="E617" t="s">
        <v>3870</v>
      </c>
      <c r="H617" t="s">
        <v>22</v>
      </c>
      <c r="I617">
        <v>1089197187</v>
      </c>
      <c r="J617" t="s">
        <v>4219</v>
      </c>
      <c r="P617" t="s">
        <v>4403</v>
      </c>
      <c r="Q617" s="8">
        <v>15750000</v>
      </c>
      <c r="R617" s="8" t="e">
        <f>SUMIFS([1]REPORTADOS!$D$2:$D$3379,[1]REPORTADOS!$C$2:$C$3379,E617)</f>
        <v>#VALUE!</v>
      </c>
      <c r="S617" s="8" t="e">
        <f t="shared" si="9"/>
        <v>#VALUE!</v>
      </c>
    </row>
    <row r="618" spans="1:19" x14ac:dyDescent="0.25">
      <c r="A618">
        <v>900091143</v>
      </c>
      <c r="B618" t="s">
        <v>3965</v>
      </c>
      <c r="C618" t="s">
        <v>3871</v>
      </c>
      <c r="E618" t="s">
        <v>3871</v>
      </c>
      <c r="H618" t="s">
        <v>22</v>
      </c>
      <c r="I618">
        <v>1086223716</v>
      </c>
      <c r="J618" t="s">
        <v>4220</v>
      </c>
      <c r="P618" t="s">
        <v>4403</v>
      </c>
      <c r="Q618" s="8">
        <v>15750000</v>
      </c>
      <c r="R618" s="8" t="e">
        <f>SUMIFS([1]REPORTADOS!$D$2:$D$3379,[1]REPORTADOS!$C$2:$C$3379,E618)</f>
        <v>#VALUE!</v>
      </c>
      <c r="S618" s="8" t="e">
        <f t="shared" si="9"/>
        <v>#VALUE!</v>
      </c>
    </row>
    <row r="619" spans="1:19" x14ac:dyDescent="0.25">
      <c r="A619">
        <v>900091143</v>
      </c>
      <c r="B619" t="s">
        <v>3965</v>
      </c>
      <c r="C619" t="s">
        <v>3872</v>
      </c>
      <c r="E619" t="s">
        <v>3872</v>
      </c>
      <c r="H619" t="s">
        <v>22</v>
      </c>
      <c r="I619">
        <v>1086225739</v>
      </c>
      <c r="J619" t="s">
        <v>4221</v>
      </c>
      <c r="P619" t="s">
        <v>4403</v>
      </c>
      <c r="Q619" s="8">
        <v>15750000</v>
      </c>
      <c r="R619" s="8" t="e">
        <f>SUMIFS([1]REPORTADOS!$D$2:$D$3379,[1]REPORTADOS!$C$2:$C$3379,E619)</f>
        <v>#VALUE!</v>
      </c>
      <c r="S619" s="8" t="e">
        <f t="shared" si="9"/>
        <v>#VALUE!</v>
      </c>
    </row>
    <row r="620" spans="1:19" x14ac:dyDescent="0.25">
      <c r="A620">
        <v>900091143</v>
      </c>
      <c r="B620" t="s">
        <v>3965</v>
      </c>
      <c r="C620" t="s">
        <v>3873</v>
      </c>
      <c r="E620" t="s">
        <v>3873</v>
      </c>
      <c r="H620" t="s">
        <v>22</v>
      </c>
      <c r="I620">
        <v>1193265831</v>
      </c>
      <c r="J620" t="s">
        <v>2461</v>
      </c>
      <c r="P620" t="s">
        <v>4403</v>
      </c>
      <c r="Q620" s="8">
        <v>15750000</v>
      </c>
      <c r="R620" s="8" t="e">
        <f>SUMIFS([1]REPORTADOS!$D$2:$D$3379,[1]REPORTADOS!$C$2:$C$3379,E620)</f>
        <v>#VALUE!</v>
      </c>
      <c r="S620" s="8" t="e">
        <f t="shared" si="9"/>
        <v>#VALUE!</v>
      </c>
    </row>
    <row r="621" spans="1:19" x14ac:dyDescent="0.25">
      <c r="A621">
        <v>900091143</v>
      </c>
      <c r="B621" t="s">
        <v>3965</v>
      </c>
      <c r="C621" t="s">
        <v>3874</v>
      </c>
      <c r="E621" t="s">
        <v>3874</v>
      </c>
      <c r="H621" t="s">
        <v>22</v>
      </c>
      <c r="I621">
        <v>1086223925</v>
      </c>
      <c r="J621" t="s">
        <v>4222</v>
      </c>
      <c r="P621" t="s">
        <v>4403</v>
      </c>
      <c r="Q621" s="8">
        <v>15750000</v>
      </c>
      <c r="R621" s="8" t="e">
        <f>SUMIFS([1]REPORTADOS!$D$2:$D$3379,[1]REPORTADOS!$C$2:$C$3379,E621)</f>
        <v>#VALUE!</v>
      </c>
      <c r="S621" s="8" t="e">
        <f t="shared" si="9"/>
        <v>#VALUE!</v>
      </c>
    </row>
    <row r="622" spans="1:19" x14ac:dyDescent="0.25">
      <c r="A622">
        <v>900091143</v>
      </c>
      <c r="B622" t="s">
        <v>3965</v>
      </c>
      <c r="C622" t="s">
        <v>3875</v>
      </c>
      <c r="E622" t="s">
        <v>3875</v>
      </c>
      <c r="H622" t="s">
        <v>22</v>
      </c>
      <c r="I622">
        <v>1089844032</v>
      </c>
      <c r="J622" t="s">
        <v>4223</v>
      </c>
      <c r="P622" t="s">
        <v>4403</v>
      </c>
      <c r="Q622" s="8">
        <v>31500000</v>
      </c>
      <c r="R622" s="8" t="e">
        <f>SUMIFS([1]REPORTADOS!$D$2:$D$3379,[1]REPORTADOS!$C$2:$C$3379,E622)</f>
        <v>#VALUE!</v>
      </c>
      <c r="S622" s="8" t="e">
        <f t="shared" si="9"/>
        <v>#VALUE!</v>
      </c>
    </row>
    <row r="623" spans="1:19" x14ac:dyDescent="0.25">
      <c r="A623">
        <v>900091143</v>
      </c>
      <c r="B623" t="s">
        <v>3965</v>
      </c>
      <c r="C623" t="s">
        <v>3876</v>
      </c>
      <c r="E623" t="s">
        <v>3876</v>
      </c>
      <c r="H623" t="s">
        <v>22</v>
      </c>
      <c r="I623">
        <v>1004595921</v>
      </c>
      <c r="J623" t="s">
        <v>4224</v>
      </c>
      <c r="P623" t="s">
        <v>4403</v>
      </c>
      <c r="Q623" s="8">
        <v>15750000</v>
      </c>
      <c r="R623" s="8" t="e">
        <f>SUMIFS([1]REPORTADOS!$D$2:$D$3379,[1]REPORTADOS!$C$2:$C$3379,E623)</f>
        <v>#VALUE!</v>
      </c>
      <c r="S623" s="8" t="e">
        <f t="shared" si="9"/>
        <v>#VALUE!</v>
      </c>
    </row>
    <row r="624" spans="1:19" x14ac:dyDescent="0.25">
      <c r="A624">
        <v>900091143</v>
      </c>
      <c r="B624" t="s">
        <v>3965</v>
      </c>
      <c r="C624" t="s">
        <v>3877</v>
      </c>
      <c r="E624" t="s">
        <v>3877</v>
      </c>
      <c r="H624" t="s">
        <v>22</v>
      </c>
      <c r="I624">
        <v>1233192618</v>
      </c>
      <c r="J624" t="s">
        <v>2185</v>
      </c>
      <c r="P624" t="s">
        <v>4447</v>
      </c>
      <c r="Q624" s="8">
        <v>4730000</v>
      </c>
      <c r="R624" s="8" t="e">
        <f>SUMIFS([1]REPORTADOS!$D$2:$D$3379,[1]REPORTADOS!$C$2:$C$3379,E624)</f>
        <v>#VALUE!</v>
      </c>
      <c r="S624" s="8" t="e">
        <f t="shared" si="9"/>
        <v>#VALUE!</v>
      </c>
    </row>
    <row r="625" spans="1:19" x14ac:dyDescent="0.25">
      <c r="A625">
        <v>900091143</v>
      </c>
      <c r="B625" t="s">
        <v>3965</v>
      </c>
      <c r="C625" t="s">
        <v>3878</v>
      </c>
      <c r="E625" t="s">
        <v>3878</v>
      </c>
      <c r="H625" t="s">
        <v>22</v>
      </c>
      <c r="I625">
        <v>1193458466</v>
      </c>
      <c r="J625" t="s">
        <v>4225</v>
      </c>
      <c r="P625" t="s">
        <v>4403</v>
      </c>
      <c r="Q625" s="8">
        <v>15750000</v>
      </c>
      <c r="R625" s="8" t="e">
        <f>SUMIFS([1]REPORTADOS!$D$2:$D$3379,[1]REPORTADOS!$C$2:$C$3379,E625)</f>
        <v>#VALUE!</v>
      </c>
      <c r="S625" s="8" t="e">
        <f t="shared" si="9"/>
        <v>#VALUE!</v>
      </c>
    </row>
    <row r="626" spans="1:19" x14ac:dyDescent="0.25">
      <c r="A626">
        <v>900091143</v>
      </c>
      <c r="B626" t="s">
        <v>3965</v>
      </c>
      <c r="C626" t="s">
        <v>3879</v>
      </c>
      <c r="E626" t="s">
        <v>3879</v>
      </c>
      <c r="H626" t="s">
        <v>22</v>
      </c>
      <c r="I626">
        <v>27110237</v>
      </c>
      <c r="J626" t="s">
        <v>4226</v>
      </c>
      <c r="P626" t="s">
        <v>4403</v>
      </c>
      <c r="Q626" s="8">
        <v>15750000</v>
      </c>
      <c r="R626" s="8" t="e">
        <f>SUMIFS([1]REPORTADOS!$D$2:$D$3379,[1]REPORTADOS!$C$2:$C$3379,E626)</f>
        <v>#VALUE!</v>
      </c>
      <c r="S626" s="8" t="e">
        <f t="shared" si="9"/>
        <v>#VALUE!</v>
      </c>
    </row>
    <row r="627" spans="1:19" x14ac:dyDescent="0.25">
      <c r="A627">
        <v>900091143</v>
      </c>
      <c r="B627" t="s">
        <v>3965</v>
      </c>
      <c r="C627" t="s">
        <v>3880</v>
      </c>
      <c r="E627" t="s">
        <v>3880</v>
      </c>
      <c r="H627" t="s">
        <v>22</v>
      </c>
      <c r="I627">
        <v>1004561553</v>
      </c>
      <c r="J627" t="s">
        <v>4227</v>
      </c>
      <c r="P627" t="s">
        <v>4447</v>
      </c>
      <c r="Q627" s="8">
        <v>23400000</v>
      </c>
      <c r="R627" s="8" t="e">
        <f>SUMIFS([1]REPORTADOS!$D$2:$D$3379,[1]REPORTADOS!$C$2:$C$3379,E627)</f>
        <v>#VALUE!</v>
      </c>
      <c r="S627" s="8" t="e">
        <f t="shared" si="9"/>
        <v>#VALUE!</v>
      </c>
    </row>
    <row r="628" spans="1:19" x14ac:dyDescent="0.25">
      <c r="A628">
        <v>900091143</v>
      </c>
      <c r="B628" t="s">
        <v>3965</v>
      </c>
      <c r="C628" t="s">
        <v>3881</v>
      </c>
      <c r="E628" t="s">
        <v>3881</v>
      </c>
      <c r="H628" t="s">
        <v>22</v>
      </c>
      <c r="I628">
        <v>1087119615</v>
      </c>
      <c r="J628" t="s">
        <v>4228</v>
      </c>
      <c r="P628" t="s">
        <v>4447</v>
      </c>
      <c r="Q628" s="8">
        <v>14190000</v>
      </c>
      <c r="R628" s="8" t="e">
        <f>SUMIFS([1]REPORTADOS!$D$2:$D$3379,[1]REPORTADOS!$C$2:$C$3379,E628)</f>
        <v>#VALUE!</v>
      </c>
      <c r="S628" s="8" t="e">
        <f t="shared" si="9"/>
        <v>#VALUE!</v>
      </c>
    </row>
    <row r="629" spans="1:19" x14ac:dyDescent="0.25">
      <c r="A629">
        <v>900091143</v>
      </c>
      <c r="B629" t="s">
        <v>3965</v>
      </c>
      <c r="C629" t="s">
        <v>3882</v>
      </c>
      <c r="E629" t="s">
        <v>3882</v>
      </c>
      <c r="H629" t="s">
        <v>22</v>
      </c>
      <c r="I629">
        <v>27090131</v>
      </c>
      <c r="J629" t="s">
        <v>4229</v>
      </c>
      <c r="P629" t="s">
        <v>4403</v>
      </c>
      <c r="Q629" s="8">
        <v>15750000</v>
      </c>
      <c r="R629" s="8" t="e">
        <f>SUMIFS([1]REPORTADOS!$D$2:$D$3379,[1]REPORTADOS!$C$2:$C$3379,E629)</f>
        <v>#VALUE!</v>
      </c>
      <c r="S629" s="8" t="e">
        <f t="shared" si="9"/>
        <v>#VALUE!</v>
      </c>
    </row>
    <row r="630" spans="1:19" x14ac:dyDescent="0.25">
      <c r="A630">
        <v>900091143</v>
      </c>
      <c r="B630" t="s">
        <v>3965</v>
      </c>
      <c r="C630" t="s">
        <v>3883</v>
      </c>
      <c r="E630" t="s">
        <v>3883</v>
      </c>
      <c r="H630" t="s">
        <v>22</v>
      </c>
      <c r="I630">
        <v>1004216587</v>
      </c>
      <c r="J630" t="s">
        <v>4230</v>
      </c>
      <c r="P630" t="s">
        <v>4403</v>
      </c>
      <c r="Q630" s="8">
        <v>15750000</v>
      </c>
      <c r="R630" s="8" t="e">
        <f>SUMIFS([1]REPORTADOS!$D$2:$D$3379,[1]REPORTADOS!$C$2:$C$3379,E630)</f>
        <v>#VALUE!</v>
      </c>
      <c r="S630" s="8" t="e">
        <f t="shared" si="9"/>
        <v>#VALUE!</v>
      </c>
    </row>
    <row r="631" spans="1:19" x14ac:dyDescent="0.25">
      <c r="A631">
        <v>900091143</v>
      </c>
      <c r="B631" t="s">
        <v>3965</v>
      </c>
      <c r="C631" t="s">
        <v>3884</v>
      </c>
      <c r="E631" t="s">
        <v>3884</v>
      </c>
      <c r="H631" t="s">
        <v>22</v>
      </c>
      <c r="I631">
        <v>1233190640</v>
      </c>
      <c r="J631" t="s">
        <v>3993</v>
      </c>
      <c r="P631" t="s">
        <v>4404</v>
      </c>
      <c r="Q631" s="8">
        <v>6000000</v>
      </c>
      <c r="R631" s="8" t="e">
        <f>SUMIFS([1]REPORTADOS!$D$2:$D$3379,[1]REPORTADOS!$C$2:$C$3379,E631)</f>
        <v>#VALUE!</v>
      </c>
      <c r="S631" s="8" t="e">
        <f t="shared" si="9"/>
        <v>#VALUE!</v>
      </c>
    </row>
    <row r="632" spans="1:19" x14ac:dyDescent="0.25">
      <c r="A632">
        <v>900091143</v>
      </c>
      <c r="B632" t="s">
        <v>3965</v>
      </c>
      <c r="C632" t="s">
        <v>3885</v>
      </c>
      <c r="E632" t="s">
        <v>3885</v>
      </c>
      <c r="H632" t="s">
        <v>22</v>
      </c>
      <c r="I632">
        <v>1085329230</v>
      </c>
      <c r="J632" t="s">
        <v>4231</v>
      </c>
      <c r="P632" t="s">
        <v>4447</v>
      </c>
      <c r="Q632" s="8">
        <v>23400000</v>
      </c>
      <c r="R632" s="8" t="e">
        <f>SUMIFS([1]REPORTADOS!$D$2:$D$3379,[1]REPORTADOS!$C$2:$C$3379,E632)</f>
        <v>#VALUE!</v>
      </c>
      <c r="S632" s="8" t="e">
        <f t="shared" si="9"/>
        <v>#VALUE!</v>
      </c>
    </row>
    <row r="633" spans="1:19" x14ac:dyDescent="0.25">
      <c r="A633">
        <v>900091143</v>
      </c>
      <c r="B633" t="s">
        <v>3965</v>
      </c>
      <c r="C633" t="s">
        <v>3886</v>
      </c>
      <c r="E633" t="s">
        <v>3886</v>
      </c>
      <c r="H633" t="s">
        <v>22</v>
      </c>
      <c r="I633">
        <v>1085344098</v>
      </c>
      <c r="J633" t="s">
        <v>4232</v>
      </c>
      <c r="P633" t="s">
        <v>4403</v>
      </c>
      <c r="Q633" s="8">
        <v>18900000</v>
      </c>
      <c r="R633" s="8" t="e">
        <f>SUMIFS([1]REPORTADOS!$D$2:$D$3379,[1]REPORTADOS!$C$2:$C$3379,E633)</f>
        <v>#VALUE!</v>
      </c>
      <c r="S633" s="8" t="e">
        <f t="shared" si="9"/>
        <v>#VALUE!</v>
      </c>
    </row>
    <row r="634" spans="1:19" x14ac:dyDescent="0.25">
      <c r="A634">
        <v>900091143</v>
      </c>
      <c r="B634" t="s">
        <v>3965</v>
      </c>
      <c r="C634" t="s">
        <v>3887</v>
      </c>
      <c r="E634" t="s">
        <v>3887</v>
      </c>
      <c r="H634" t="s">
        <v>22</v>
      </c>
      <c r="I634">
        <v>59314800</v>
      </c>
      <c r="J634" t="s">
        <v>4233</v>
      </c>
      <c r="P634" t="s">
        <v>4403</v>
      </c>
      <c r="Q634" s="8">
        <v>15750000</v>
      </c>
      <c r="R634" s="8" t="e">
        <f>SUMIFS([1]REPORTADOS!$D$2:$D$3379,[1]REPORTADOS!$C$2:$C$3379,E634)</f>
        <v>#VALUE!</v>
      </c>
      <c r="S634" s="8" t="e">
        <f t="shared" si="9"/>
        <v>#VALUE!</v>
      </c>
    </row>
    <row r="635" spans="1:19" x14ac:dyDescent="0.25">
      <c r="A635">
        <v>900091143</v>
      </c>
      <c r="B635" t="s">
        <v>3965</v>
      </c>
      <c r="C635" t="s">
        <v>3888</v>
      </c>
      <c r="E635" t="s">
        <v>3888</v>
      </c>
      <c r="H635" t="s">
        <v>22</v>
      </c>
      <c r="I635">
        <v>1087645520</v>
      </c>
      <c r="J635" t="s">
        <v>4234</v>
      </c>
      <c r="P635" t="s">
        <v>4403</v>
      </c>
      <c r="Q635" s="8">
        <v>6300000</v>
      </c>
      <c r="R635" s="8" t="e">
        <f>SUMIFS([1]REPORTADOS!$D$2:$D$3379,[1]REPORTADOS!$C$2:$C$3379,E635)</f>
        <v>#VALUE!</v>
      </c>
      <c r="S635" s="8" t="e">
        <f t="shared" si="9"/>
        <v>#VALUE!</v>
      </c>
    </row>
    <row r="636" spans="1:19" x14ac:dyDescent="0.25">
      <c r="A636">
        <v>900091143</v>
      </c>
      <c r="B636" t="s">
        <v>3965</v>
      </c>
      <c r="C636" t="s">
        <v>3889</v>
      </c>
      <c r="E636" t="s">
        <v>3889</v>
      </c>
      <c r="H636" t="s">
        <v>22</v>
      </c>
      <c r="I636">
        <v>1233188221</v>
      </c>
      <c r="J636" t="s">
        <v>3988</v>
      </c>
      <c r="P636" t="s">
        <v>4404</v>
      </c>
      <c r="Q636" s="8">
        <v>6000000</v>
      </c>
      <c r="R636" s="8" t="e">
        <f>SUMIFS([1]REPORTADOS!$D$2:$D$3379,[1]REPORTADOS!$C$2:$C$3379,E636)</f>
        <v>#VALUE!</v>
      </c>
      <c r="S636" s="8" t="e">
        <f t="shared" si="9"/>
        <v>#VALUE!</v>
      </c>
    </row>
    <row r="637" spans="1:19" x14ac:dyDescent="0.25">
      <c r="A637">
        <v>900091143</v>
      </c>
      <c r="B637" t="s">
        <v>3965</v>
      </c>
      <c r="C637" t="s">
        <v>3890</v>
      </c>
      <c r="E637" t="s">
        <v>3890</v>
      </c>
      <c r="H637" t="s">
        <v>22</v>
      </c>
      <c r="I637">
        <v>1085318696</v>
      </c>
      <c r="J637" t="s">
        <v>4235</v>
      </c>
      <c r="P637" t="s">
        <v>4403</v>
      </c>
      <c r="Q637" s="8">
        <v>31500000</v>
      </c>
      <c r="R637" s="8" t="e">
        <f>SUMIFS([1]REPORTADOS!$D$2:$D$3379,[1]REPORTADOS!$C$2:$C$3379,E637)</f>
        <v>#VALUE!</v>
      </c>
      <c r="S637" s="8" t="e">
        <f t="shared" si="9"/>
        <v>#VALUE!</v>
      </c>
    </row>
    <row r="638" spans="1:19" x14ac:dyDescent="0.25">
      <c r="A638">
        <v>900091143</v>
      </c>
      <c r="B638" t="s">
        <v>3965</v>
      </c>
      <c r="C638" t="s">
        <v>3891</v>
      </c>
      <c r="E638" t="s">
        <v>3891</v>
      </c>
      <c r="H638" t="s">
        <v>22</v>
      </c>
      <c r="I638">
        <v>1085283127</v>
      </c>
      <c r="J638" t="s">
        <v>4236</v>
      </c>
      <c r="P638" t="s">
        <v>4403</v>
      </c>
      <c r="Q638" s="8">
        <v>9450000</v>
      </c>
      <c r="R638" s="8" t="e">
        <f>SUMIFS([1]REPORTADOS!$D$2:$D$3379,[1]REPORTADOS!$C$2:$C$3379,E638)</f>
        <v>#VALUE!</v>
      </c>
      <c r="S638" s="8" t="e">
        <f t="shared" si="9"/>
        <v>#VALUE!</v>
      </c>
    </row>
    <row r="639" spans="1:19" x14ac:dyDescent="0.25">
      <c r="A639">
        <v>900091143</v>
      </c>
      <c r="B639" t="s">
        <v>3965</v>
      </c>
      <c r="C639" t="s">
        <v>3892</v>
      </c>
      <c r="E639" t="s">
        <v>3892</v>
      </c>
      <c r="H639" t="s">
        <v>22</v>
      </c>
      <c r="I639">
        <v>1123327071</v>
      </c>
      <c r="J639" t="s">
        <v>4103</v>
      </c>
      <c r="P639" t="s">
        <v>4447</v>
      </c>
      <c r="Q639" s="8">
        <v>7800000</v>
      </c>
      <c r="R639" s="8" t="e">
        <f>SUMIFS([1]REPORTADOS!$D$2:$D$3379,[1]REPORTADOS!$C$2:$C$3379,E639)</f>
        <v>#VALUE!</v>
      </c>
      <c r="S639" s="8" t="e">
        <f t="shared" si="9"/>
        <v>#VALUE!</v>
      </c>
    </row>
    <row r="640" spans="1:19" x14ac:dyDescent="0.25">
      <c r="A640">
        <v>900091143</v>
      </c>
      <c r="B640" t="s">
        <v>3965</v>
      </c>
      <c r="C640" t="s">
        <v>3893</v>
      </c>
      <c r="E640" t="s">
        <v>3893</v>
      </c>
      <c r="H640" t="s">
        <v>22</v>
      </c>
      <c r="I640">
        <v>98394398</v>
      </c>
      <c r="J640" t="s">
        <v>4237</v>
      </c>
      <c r="P640" t="s">
        <v>4403</v>
      </c>
      <c r="Q640" s="8">
        <v>18900000</v>
      </c>
      <c r="R640" s="8" t="e">
        <f>SUMIFS([1]REPORTADOS!$D$2:$D$3379,[1]REPORTADOS!$C$2:$C$3379,E640)</f>
        <v>#VALUE!</v>
      </c>
      <c r="S640" s="8" t="e">
        <f t="shared" si="9"/>
        <v>#VALUE!</v>
      </c>
    </row>
    <row r="641" spans="1:19" x14ac:dyDescent="0.25">
      <c r="A641">
        <v>900091143</v>
      </c>
      <c r="B641" t="s">
        <v>3965</v>
      </c>
      <c r="C641" t="s">
        <v>3894</v>
      </c>
      <c r="E641" t="s">
        <v>3894</v>
      </c>
      <c r="H641" t="s">
        <v>22</v>
      </c>
      <c r="I641">
        <v>66958357</v>
      </c>
      <c r="J641" t="s">
        <v>4238</v>
      </c>
      <c r="P641" t="s">
        <v>4404</v>
      </c>
      <c r="Q641" s="8">
        <v>6000000</v>
      </c>
      <c r="R641" s="8" t="e">
        <f>SUMIFS([1]REPORTADOS!$D$2:$D$3379,[1]REPORTADOS!$C$2:$C$3379,E641)</f>
        <v>#VALUE!</v>
      </c>
      <c r="S641" s="8" t="e">
        <f t="shared" si="9"/>
        <v>#VALUE!</v>
      </c>
    </row>
    <row r="642" spans="1:19" x14ac:dyDescent="0.25">
      <c r="A642">
        <v>900091143</v>
      </c>
      <c r="B642" t="s">
        <v>3965</v>
      </c>
      <c r="C642" t="s">
        <v>3895</v>
      </c>
      <c r="E642" t="s">
        <v>3895</v>
      </c>
      <c r="H642" t="s">
        <v>22</v>
      </c>
      <c r="I642">
        <v>1085307978</v>
      </c>
      <c r="J642" t="s">
        <v>4239</v>
      </c>
      <c r="P642" t="s">
        <v>4447</v>
      </c>
      <c r="Q642" s="8">
        <v>14190000</v>
      </c>
      <c r="R642" s="8" t="e">
        <f>SUMIFS([1]REPORTADOS!$D$2:$D$3379,[1]REPORTADOS!$C$2:$C$3379,E642)</f>
        <v>#VALUE!</v>
      </c>
      <c r="S642" s="8" t="e">
        <f t="shared" si="9"/>
        <v>#VALUE!</v>
      </c>
    </row>
    <row r="643" spans="1:19" x14ac:dyDescent="0.25">
      <c r="A643">
        <v>900091143</v>
      </c>
      <c r="B643" t="s">
        <v>3965</v>
      </c>
      <c r="C643" t="s">
        <v>3896</v>
      </c>
      <c r="E643" t="s">
        <v>3896</v>
      </c>
      <c r="H643" t="s">
        <v>22</v>
      </c>
      <c r="I643">
        <v>1085328217</v>
      </c>
      <c r="J643" t="s">
        <v>4240</v>
      </c>
      <c r="P643" t="s">
        <v>4447</v>
      </c>
      <c r="Q643" s="8">
        <v>39000000</v>
      </c>
      <c r="R643" s="8" t="e">
        <f>SUMIFS([1]REPORTADOS!$D$2:$D$3379,[1]REPORTADOS!$C$2:$C$3379,E643)</f>
        <v>#VALUE!</v>
      </c>
      <c r="S643" s="8" t="e">
        <f t="shared" ref="S643:S706" si="10">Q643-R643</f>
        <v>#VALUE!</v>
      </c>
    </row>
    <row r="644" spans="1:19" x14ac:dyDescent="0.25">
      <c r="A644">
        <v>900091143</v>
      </c>
      <c r="B644" t="s">
        <v>3965</v>
      </c>
      <c r="C644" t="s">
        <v>3897</v>
      </c>
      <c r="E644" t="s">
        <v>3897</v>
      </c>
      <c r="H644" t="s">
        <v>22</v>
      </c>
      <c r="I644">
        <v>1088738533</v>
      </c>
      <c r="J644" t="s">
        <v>4241</v>
      </c>
      <c r="P644" t="s">
        <v>4447</v>
      </c>
      <c r="Q644" s="8">
        <v>23650000</v>
      </c>
      <c r="R644" s="8" t="e">
        <f>SUMIFS([1]REPORTADOS!$D$2:$D$3379,[1]REPORTADOS!$C$2:$C$3379,E644)</f>
        <v>#VALUE!</v>
      </c>
      <c r="S644" s="8" t="e">
        <f t="shared" si="10"/>
        <v>#VALUE!</v>
      </c>
    </row>
    <row r="645" spans="1:19" x14ac:dyDescent="0.25">
      <c r="A645">
        <v>900091143</v>
      </c>
      <c r="B645" t="s">
        <v>3965</v>
      </c>
      <c r="C645" t="s">
        <v>3898</v>
      </c>
      <c r="E645" t="s">
        <v>3898</v>
      </c>
      <c r="H645" t="s">
        <v>22</v>
      </c>
      <c r="I645">
        <v>59313415</v>
      </c>
      <c r="J645" t="s">
        <v>4104</v>
      </c>
      <c r="P645" t="s">
        <v>4447</v>
      </c>
      <c r="Q645" s="8">
        <v>7800000</v>
      </c>
      <c r="R645" s="8" t="e">
        <f>SUMIFS([1]REPORTADOS!$D$2:$D$3379,[1]REPORTADOS!$C$2:$C$3379,E645)</f>
        <v>#VALUE!</v>
      </c>
      <c r="S645" s="8" t="e">
        <f t="shared" si="10"/>
        <v>#VALUE!</v>
      </c>
    </row>
    <row r="646" spans="1:19" x14ac:dyDescent="0.25">
      <c r="A646">
        <v>900091143</v>
      </c>
      <c r="B646" t="s">
        <v>3965</v>
      </c>
      <c r="C646" t="s">
        <v>3899</v>
      </c>
      <c r="E646" t="s">
        <v>3899</v>
      </c>
      <c r="H646" t="s">
        <v>22</v>
      </c>
      <c r="I646">
        <v>1085343081</v>
      </c>
      <c r="J646" t="s">
        <v>4242</v>
      </c>
      <c r="P646" t="s">
        <v>4447</v>
      </c>
      <c r="Q646" s="8">
        <v>14190000</v>
      </c>
      <c r="R646" s="8" t="e">
        <f>SUMIFS([1]REPORTADOS!$D$2:$D$3379,[1]REPORTADOS!$C$2:$C$3379,E646)</f>
        <v>#VALUE!</v>
      </c>
      <c r="S646" s="8" t="e">
        <f t="shared" si="10"/>
        <v>#VALUE!</v>
      </c>
    </row>
    <row r="647" spans="1:19" x14ac:dyDescent="0.25">
      <c r="A647">
        <v>900091143</v>
      </c>
      <c r="B647" t="s">
        <v>3965</v>
      </c>
      <c r="C647" t="s">
        <v>3900</v>
      </c>
      <c r="E647" t="s">
        <v>3900</v>
      </c>
      <c r="H647" t="s">
        <v>22</v>
      </c>
      <c r="I647">
        <v>1081273836</v>
      </c>
      <c r="J647" t="s">
        <v>4243</v>
      </c>
      <c r="P647" t="s">
        <v>4403</v>
      </c>
      <c r="Q647" s="8">
        <v>15750000</v>
      </c>
      <c r="R647" s="8" t="e">
        <f>SUMIFS([1]REPORTADOS!$D$2:$D$3379,[1]REPORTADOS!$C$2:$C$3379,E647)</f>
        <v>#VALUE!</v>
      </c>
      <c r="S647" s="8" t="e">
        <f t="shared" si="10"/>
        <v>#VALUE!</v>
      </c>
    </row>
    <row r="648" spans="1:19" x14ac:dyDescent="0.25">
      <c r="A648">
        <v>900091143</v>
      </c>
      <c r="B648" t="s">
        <v>3965</v>
      </c>
      <c r="C648" t="s">
        <v>3901</v>
      </c>
      <c r="E648" t="s">
        <v>3901</v>
      </c>
      <c r="H648" t="s">
        <v>22</v>
      </c>
      <c r="I648">
        <v>30723627</v>
      </c>
      <c r="J648" t="s">
        <v>4244</v>
      </c>
      <c r="P648" t="s">
        <v>4403</v>
      </c>
      <c r="Q648" s="8">
        <v>6300000</v>
      </c>
      <c r="R648" s="8" t="e">
        <f>SUMIFS([1]REPORTADOS!$D$2:$D$3379,[1]REPORTADOS!$C$2:$C$3379,E648)</f>
        <v>#VALUE!</v>
      </c>
      <c r="S648" s="8" t="e">
        <f t="shared" si="10"/>
        <v>#VALUE!</v>
      </c>
    </row>
    <row r="649" spans="1:19" x14ac:dyDescent="0.25">
      <c r="A649">
        <v>900091143</v>
      </c>
      <c r="B649" t="s">
        <v>3965</v>
      </c>
      <c r="C649" t="s">
        <v>3902</v>
      </c>
      <c r="E649" t="s">
        <v>3902</v>
      </c>
      <c r="H649" t="s">
        <v>22</v>
      </c>
      <c r="I649">
        <v>37084485</v>
      </c>
      <c r="J649" t="s">
        <v>4245</v>
      </c>
      <c r="P649" t="s">
        <v>4403</v>
      </c>
      <c r="Q649" s="8">
        <v>18900000</v>
      </c>
      <c r="R649" s="8" t="e">
        <f>SUMIFS([1]REPORTADOS!$D$2:$D$3379,[1]REPORTADOS!$C$2:$C$3379,E649)</f>
        <v>#VALUE!</v>
      </c>
      <c r="S649" s="8" t="e">
        <f t="shared" si="10"/>
        <v>#VALUE!</v>
      </c>
    </row>
    <row r="650" spans="1:19" x14ac:dyDescent="0.25">
      <c r="A650">
        <v>900091143</v>
      </c>
      <c r="B650" t="s">
        <v>3965</v>
      </c>
      <c r="C650" t="s">
        <v>3903</v>
      </c>
      <c r="E650" t="s">
        <v>3903</v>
      </c>
      <c r="H650" t="s">
        <v>22</v>
      </c>
      <c r="I650">
        <v>1080040525</v>
      </c>
      <c r="J650" t="s">
        <v>3982</v>
      </c>
      <c r="P650" t="s">
        <v>4404</v>
      </c>
      <c r="Q650" s="8">
        <v>6000000</v>
      </c>
      <c r="R650" s="8" t="e">
        <f>SUMIFS([1]REPORTADOS!$D$2:$D$3379,[1]REPORTADOS!$C$2:$C$3379,E650)</f>
        <v>#VALUE!</v>
      </c>
      <c r="S650" s="8" t="e">
        <f t="shared" si="10"/>
        <v>#VALUE!</v>
      </c>
    </row>
    <row r="651" spans="1:19" x14ac:dyDescent="0.25">
      <c r="A651">
        <v>900091143</v>
      </c>
      <c r="B651" t="s">
        <v>3965</v>
      </c>
      <c r="C651" t="s">
        <v>3904</v>
      </c>
      <c r="E651" t="s">
        <v>3904</v>
      </c>
      <c r="H651" t="s">
        <v>22</v>
      </c>
      <c r="I651">
        <v>1004697868</v>
      </c>
      <c r="J651" t="s">
        <v>4246</v>
      </c>
      <c r="P651" t="s">
        <v>4403</v>
      </c>
      <c r="Q651" s="8">
        <v>18900000</v>
      </c>
      <c r="R651" s="8" t="e">
        <f>SUMIFS([1]REPORTADOS!$D$2:$D$3379,[1]REPORTADOS!$C$2:$C$3379,E651)</f>
        <v>#VALUE!</v>
      </c>
      <c r="S651" s="8" t="e">
        <f t="shared" si="10"/>
        <v>#VALUE!</v>
      </c>
    </row>
    <row r="652" spans="1:19" x14ac:dyDescent="0.25">
      <c r="A652">
        <v>900091143</v>
      </c>
      <c r="B652" t="s">
        <v>3965</v>
      </c>
      <c r="C652" t="s">
        <v>3905</v>
      </c>
      <c r="E652" t="s">
        <v>3905</v>
      </c>
      <c r="H652" t="s">
        <v>22</v>
      </c>
      <c r="I652">
        <v>87065491</v>
      </c>
      <c r="J652" t="s">
        <v>4247</v>
      </c>
      <c r="P652" t="s">
        <v>4447</v>
      </c>
      <c r="Q652" s="8">
        <v>14190000</v>
      </c>
      <c r="R652" s="8" t="e">
        <f>SUMIFS([1]REPORTADOS!$D$2:$D$3379,[1]REPORTADOS!$C$2:$C$3379,E652)</f>
        <v>#VALUE!</v>
      </c>
      <c r="S652" s="8" t="e">
        <f t="shared" si="10"/>
        <v>#VALUE!</v>
      </c>
    </row>
    <row r="653" spans="1:19" x14ac:dyDescent="0.25">
      <c r="A653">
        <v>900091143</v>
      </c>
      <c r="B653" t="s">
        <v>3965</v>
      </c>
      <c r="C653" t="s">
        <v>3906</v>
      </c>
      <c r="E653" t="s">
        <v>3906</v>
      </c>
      <c r="H653" t="s">
        <v>22</v>
      </c>
      <c r="I653">
        <v>37087117</v>
      </c>
      <c r="J653" t="s">
        <v>4053</v>
      </c>
      <c r="P653" t="s">
        <v>4403</v>
      </c>
      <c r="Q653" s="8">
        <v>3150000</v>
      </c>
      <c r="R653" s="8" t="e">
        <f>SUMIFS([1]REPORTADOS!$D$2:$D$3379,[1]REPORTADOS!$C$2:$C$3379,E653)</f>
        <v>#VALUE!</v>
      </c>
      <c r="S653" s="8" t="e">
        <f t="shared" si="10"/>
        <v>#VALUE!</v>
      </c>
    </row>
    <row r="654" spans="1:19" x14ac:dyDescent="0.25">
      <c r="A654">
        <v>900091143</v>
      </c>
      <c r="B654" t="s">
        <v>3965</v>
      </c>
      <c r="C654" t="s">
        <v>3907</v>
      </c>
      <c r="E654" t="s">
        <v>3907</v>
      </c>
      <c r="H654" t="s">
        <v>22</v>
      </c>
      <c r="I654">
        <v>1193406111</v>
      </c>
      <c r="J654" t="s">
        <v>4248</v>
      </c>
      <c r="P654" t="s">
        <v>4447</v>
      </c>
      <c r="Q654" s="8">
        <v>7800000</v>
      </c>
      <c r="R654" s="8" t="e">
        <f>SUMIFS([1]REPORTADOS!$D$2:$D$3379,[1]REPORTADOS!$C$2:$C$3379,E654)</f>
        <v>#VALUE!</v>
      </c>
      <c r="S654" s="8" t="e">
        <f t="shared" si="10"/>
        <v>#VALUE!</v>
      </c>
    </row>
    <row r="655" spans="1:19" x14ac:dyDescent="0.25">
      <c r="A655">
        <v>900091143</v>
      </c>
      <c r="B655" t="s">
        <v>3965</v>
      </c>
      <c r="C655" t="s">
        <v>3908</v>
      </c>
      <c r="E655" t="s">
        <v>3908</v>
      </c>
      <c r="H655" t="s">
        <v>22</v>
      </c>
      <c r="I655">
        <v>1085271641</v>
      </c>
      <c r="J655" t="s">
        <v>1727</v>
      </c>
      <c r="P655" t="s">
        <v>4403</v>
      </c>
      <c r="Q655" s="8">
        <v>9450000</v>
      </c>
      <c r="R655" s="8" t="e">
        <f>SUMIFS([1]REPORTADOS!$D$2:$D$3379,[1]REPORTADOS!$C$2:$C$3379,E655)</f>
        <v>#VALUE!</v>
      </c>
      <c r="S655" s="8" t="e">
        <f t="shared" si="10"/>
        <v>#VALUE!</v>
      </c>
    </row>
    <row r="656" spans="1:19" x14ac:dyDescent="0.25">
      <c r="A656">
        <v>900091143</v>
      </c>
      <c r="B656" t="s">
        <v>3965</v>
      </c>
      <c r="C656" t="s">
        <v>3909</v>
      </c>
      <c r="E656" t="s">
        <v>3909</v>
      </c>
      <c r="H656" t="s">
        <v>22</v>
      </c>
      <c r="I656">
        <v>1004543158</v>
      </c>
      <c r="J656" t="s">
        <v>4249</v>
      </c>
      <c r="P656" t="s">
        <v>4403</v>
      </c>
      <c r="Q656" s="8">
        <v>9450000</v>
      </c>
      <c r="R656" s="8" t="e">
        <f>SUMIFS([1]REPORTADOS!$D$2:$D$3379,[1]REPORTADOS!$C$2:$C$3379,E656)</f>
        <v>#VALUE!</v>
      </c>
      <c r="S656" s="8" t="e">
        <f t="shared" si="10"/>
        <v>#VALUE!</v>
      </c>
    </row>
    <row r="657" spans="1:19" x14ac:dyDescent="0.25">
      <c r="A657">
        <v>900091143</v>
      </c>
      <c r="B657" t="s">
        <v>3965</v>
      </c>
      <c r="C657" t="s">
        <v>3910</v>
      </c>
      <c r="E657" t="s">
        <v>3910</v>
      </c>
      <c r="H657" t="s">
        <v>22</v>
      </c>
      <c r="I657">
        <v>1085262812</v>
      </c>
      <c r="J657" t="s">
        <v>4250</v>
      </c>
      <c r="P657" t="s">
        <v>4447</v>
      </c>
      <c r="Q657" s="8">
        <v>7800000</v>
      </c>
      <c r="R657" s="8" t="e">
        <f>SUMIFS([1]REPORTADOS!$D$2:$D$3379,[1]REPORTADOS!$C$2:$C$3379,E657)</f>
        <v>#VALUE!</v>
      </c>
      <c r="S657" s="8" t="e">
        <f t="shared" si="10"/>
        <v>#VALUE!</v>
      </c>
    </row>
    <row r="658" spans="1:19" x14ac:dyDescent="0.25">
      <c r="A658">
        <v>900091143</v>
      </c>
      <c r="B658" t="s">
        <v>3965</v>
      </c>
      <c r="C658" t="s">
        <v>3911</v>
      </c>
      <c r="E658" t="s">
        <v>3911</v>
      </c>
      <c r="H658" t="s">
        <v>22</v>
      </c>
      <c r="I658">
        <v>1007736489</v>
      </c>
      <c r="J658" t="s">
        <v>4251</v>
      </c>
      <c r="P658" t="s">
        <v>4447</v>
      </c>
      <c r="Q658" s="8">
        <v>7800000</v>
      </c>
      <c r="R658" s="8" t="e">
        <f>SUMIFS([1]REPORTADOS!$D$2:$D$3379,[1]REPORTADOS!$C$2:$C$3379,E658)</f>
        <v>#VALUE!</v>
      </c>
      <c r="S658" s="8" t="e">
        <f t="shared" si="10"/>
        <v>#VALUE!</v>
      </c>
    </row>
    <row r="659" spans="1:19" x14ac:dyDescent="0.25">
      <c r="A659">
        <v>900091143</v>
      </c>
      <c r="B659" t="s">
        <v>3965</v>
      </c>
      <c r="C659" t="s">
        <v>3912</v>
      </c>
      <c r="E659" t="s">
        <v>3912</v>
      </c>
      <c r="H659" t="s">
        <v>22</v>
      </c>
      <c r="I659">
        <v>1085251979</v>
      </c>
      <c r="J659" t="s">
        <v>4252</v>
      </c>
      <c r="P659" t="s">
        <v>4447</v>
      </c>
      <c r="Q659" s="8">
        <v>14190000</v>
      </c>
      <c r="R659" s="8" t="e">
        <f>SUMIFS([1]REPORTADOS!$D$2:$D$3379,[1]REPORTADOS!$C$2:$C$3379,E659)</f>
        <v>#VALUE!</v>
      </c>
      <c r="S659" s="8" t="e">
        <f t="shared" si="10"/>
        <v>#VALUE!</v>
      </c>
    </row>
    <row r="660" spans="1:19" x14ac:dyDescent="0.25">
      <c r="A660">
        <v>900091143</v>
      </c>
      <c r="B660" t="s">
        <v>3965</v>
      </c>
      <c r="C660" t="s">
        <v>3913</v>
      </c>
      <c r="E660" t="s">
        <v>3913</v>
      </c>
      <c r="H660" t="s">
        <v>22</v>
      </c>
      <c r="I660">
        <v>36757522</v>
      </c>
      <c r="J660" t="s">
        <v>2298</v>
      </c>
      <c r="P660" t="s">
        <v>4403</v>
      </c>
      <c r="Q660" s="8">
        <v>3150000</v>
      </c>
      <c r="R660" s="8" t="e">
        <f>SUMIFS([1]REPORTADOS!$D$2:$D$3379,[1]REPORTADOS!$C$2:$C$3379,E660)</f>
        <v>#VALUE!</v>
      </c>
      <c r="S660" s="8" t="e">
        <f t="shared" si="10"/>
        <v>#VALUE!</v>
      </c>
    </row>
    <row r="661" spans="1:19" x14ac:dyDescent="0.25">
      <c r="A661">
        <v>900091143</v>
      </c>
      <c r="B661" t="s">
        <v>3965</v>
      </c>
      <c r="C661" t="s">
        <v>3914</v>
      </c>
      <c r="E661" t="s">
        <v>3914</v>
      </c>
      <c r="H661" t="s">
        <v>22</v>
      </c>
      <c r="I661">
        <v>1086224177</v>
      </c>
      <c r="J661" t="s">
        <v>4253</v>
      </c>
      <c r="P661" t="s">
        <v>4403</v>
      </c>
      <c r="Q661" s="8">
        <v>9450000</v>
      </c>
      <c r="R661" s="8" t="e">
        <f>SUMIFS([1]REPORTADOS!$D$2:$D$3379,[1]REPORTADOS!$C$2:$C$3379,E661)</f>
        <v>#VALUE!</v>
      </c>
      <c r="S661" s="8" t="e">
        <f t="shared" si="10"/>
        <v>#VALUE!</v>
      </c>
    </row>
    <row r="662" spans="1:19" x14ac:dyDescent="0.25">
      <c r="A662">
        <v>900091143</v>
      </c>
      <c r="B662" t="s">
        <v>3965</v>
      </c>
      <c r="C662" t="s">
        <v>3915</v>
      </c>
      <c r="E662" t="s">
        <v>3915</v>
      </c>
      <c r="H662" t="s">
        <v>22</v>
      </c>
      <c r="I662">
        <v>1004189754</v>
      </c>
      <c r="J662" t="s">
        <v>4254</v>
      </c>
      <c r="P662" t="s">
        <v>4403</v>
      </c>
      <c r="Q662" s="8">
        <v>9450000</v>
      </c>
      <c r="R662" s="8" t="e">
        <f>SUMIFS([1]REPORTADOS!$D$2:$D$3379,[1]REPORTADOS!$C$2:$C$3379,E662)</f>
        <v>#VALUE!</v>
      </c>
      <c r="S662" s="8" t="e">
        <f t="shared" si="10"/>
        <v>#VALUE!</v>
      </c>
    </row>
    <row r="663" spans="1:19" x14ac:dyDescent="0.25">
      <c r="A663">
        <v>900091143</v>
      </c>
      <c r="B663" t="s">
        <v>3965</v>
      </c>
      <c r="C663" t="s">
        <v>3916</v>
      </c>
      <c r="E663" t="s">
        <v>3916</v>
      </c>
      <c r="H663" t="s">
        <v>22</v>
      </c>
      <c r="I663">
        <v>1085291729</v>
      </c>
      <c r="J663" t="s">
        <v>4255</v>
      </c>
      <c r="P663" t="s">
        <v>4403</v>
      </c>
      <c r="Q663" s="8">
        <v>9450000</v>
      </c>
      <c r="R663" s="8" t="e">
        <f>SUMIFS([1]REPORTADOS!$D$2:$D$3379,[1]REPORTADOS!$C$2:$C$3379,E663)</f>
        <v>#VALUE!</v>
      </c>
      <c r="S663" s="8" t="e">
        <f t="shared" si="10"/>
        <v>#VALUE!</v>
      </c>
    </row>
    <row r="664" spans="1:19" x14ac:dyDescent="0.25">
      <c r="A664">
        <v>900091143</v>
      </c>
      <c r="B664" t="s">
        <v>3965</v>
      </c>
      <c r="C664" t="s">
        <v>3917</v>
      </c>
      <c r="E664" t="s">
        <v>3917</v>
      </c>
      <c r="H664" t="s">
        <v>22</v>
      </c>
      <c r="I664">
        <v>1085347123</v>
      </c>
      <c r="J664" t="s">
        <v>4256</v>
      </c>
      <c r="P664" t="s">
        <v>4447</v>
      </c>
      <c r="Q664" s="8">
        <v>31200000</v>
      </c>
      <c r="R664" s="8" t="e">
        <f>SUMIFS([1]REPORTADOS!$D$2:$D$3379,[1]REPORTADOS!$C$2:$C$3379,E664)</f>
        <v>#VALUE!</v>
      </c>
      <c r="S664" s="8" t="e">
        <f t="shared" si="10"/>
        <v>#VALUE!</v>
      </c>
    </row>
    <row r="665" spans="1:19" x14ac:dyDescent="0.25">
      <c r="A665">
        <v>900091143</v>
      </c>
      <c r="B665" t="s">
        <v>3965</v>
      </c>
      <c r="C665" t="s">
        <v>3918</v>
      </c>
      <c r="E665" t="s">
        <v>3918</v>
      </c>
      <c r="H665" t="s">
        <v>22</v>
      </c>
      <c r="I665">
        <v>1086360087</v>
      </c>
      <c r="J665" t="s">
        <v>4084</v>
      </c>
      <c r="P665" t="s">
        <v>4403</v>
      </c>
      <c r="Q665" s="8">
        <v>12600000</v>
      </c>
      <c r="R665" s="8" t="e">
        <f>SUMIFS([1]REPORTADOS!$D$2:$D$3379,[1]REPORTADOS!$C$2:$C$3379,E665)</f>
        <v>#VALUE!</v>
      </c>
      <c r="S665" s="8" t="e">
        <f t="shared" si="10"/>
        <v>#VALUE!</v>
      </c>
    </row>
    <row r="666" spans="1:19" x14ac:dyDescent="0.25">
      <c r="A666">
        <v>900091143</v>
      </c>
      <c r="B666" t="s">
        <v>3965</v>
      </c>
      <c r="C666" t="s">
        <v>3919</v>
      </c>
      <c r="E666" t="s">
        <v>3919</v>
      </c>
      <c r="H666" t="s">
        <v>22</v>
      </c>
      <c r="I666">
        <v>27436186</v>
      </c>
      <c r="J666" t="s">
        <v>1954</v>
      </c>
      <c r="P666" t="s">
        <v>4403</v>
      </c>
      <c r="Q666" s="8">
        <v>6300000</v>
      </c>
      <c r="R666" s="8" t="e">
        <f>SUMIFS([1]REPORTADOS!$D$2:$D$3379,[1]REPORTADOS!$C$2:$C$3379,E666)</f>
        <v>#VALUE!</v>
      </c>
      <c r="S666" s="8" t="e">
        <f t="shared" si="10"/>
        <v>#VALUE!</v>
      </c>
    </row>
    <row r="667" spans="1:19" x14ac:dyDescent="0.25">
      <c r="A667">
        <v>900091143</v>
      </c>
      <c r="B667" t="s">
        <v>3965</v>
      </c>
      <c r="C667" t="s">
        <v>3920</v>
      </c>
      <c r="E667" t="s">
        <v>3920</v>
      </c>
      <c r="H667" t="s">
        <v>22</v>
      </c>
      <c r="I667">
        <v>1085343154</v>
      </c>
      <c r="J667" t="s">
        <v>4061</v>
      </c>
      <c r="P667" t="s">
        <v>4403</v>
      </c>
      <c r="Q667" s="8">
        <v>9450000</v>
      </c>
      <c r="R667" s="8" t="e">
        <f>SUMIFS([1]REPORTADOS!$D$2:$D$3379,[1]REPORTADOS!$C$2:$C$3379,E667)</f>
        <v>#VALUE!</v>
      </c>
      <c r="S667" s="8" t="e">
        <f t="shared" si="10"/>
        <v>#VALUE!</v>
      </c>
    </row>
    <row r="668" spans="1:19" x14ac:dyDescent="0.25">
      <c r="A668">
        <v>900091143</v>
      </c>
      <c r="B668" t="s">
        <v>3965</v>
      </c>
      <c r="C668" t="s">
        <v>3921</v>
      </c>
      <c r="E668" t="s">
        <v>3921</v>
      </c>
      <c r="H668" t="s">
        <v>22</v>
      </c>
      <c r="I668">
        <v>1085346528</v>
      </c>
      <c r="J668" t="s">
        <v>2621</v>
      </c>
      <c r="P668" t="s">
        <v>4403</v>
      </c>
      <c r="Q668" s="8">
        <v>9450000</v>
      </c>
      <c r="R668" s="8" t="e">
        <f>SUMIFS([1]REPORTADOS!$D$2:$D$3379,[1]REPORTADOS!$C$2:$C$3379,E668)</f>
        <v>#VALUE!</v>
      </c>
      <c r="S668" s="8" t="e">
        <f t="shared" si="10"/>
        <v>#VALUE!</v>
      </c>
    </row>
    <row r="669" spans="1:19" x14ac:dyDescent="0.25">
      <c r="A669">
        <v>900091143</v>
      </c>
      <c r="B669" t="s">
        <v>3965</v>
      </c>
      <c r="C669" t="s">
        <v>3922</v>
      </c>
      <c r="E669" t="s">
        <v>3922</v>
      </c>
      <c r="H669" t="s">
        <v>22</v>
      </c>
      <c r="I669">
        <v>1086223270</v>
      </c>
      <c r="J669" t="s">
        <v>4257</v>
      </c>
      <c r="P669" t="s">
        <v>4403</v>
      </c>
      <c r="Q669" s="8">
        <v>9450000</v>
      </c>
      <c r="R669" s="8" t="e">
        <f>SUMIFS([1]REPORTADOS!$D$2:$D$3379,[1]REPORTADOS!$C$2:$C$3379,E669)</f>
        <v>#VALUE!</v>
      </c>
      <c r="S669" s="8" t="e">
        <f t="shared" si="10"/>
        <v>#VALUE!</v>
      </c>
    </row>
    <row r="670" spans="1:19" x14ac:dyDescent="0.25">
      <c r="A670">
        <v>900091143</v>
      </c>
      <c r="B670" t="s">
        <v>3965</v>
      </c>
      <c r="C670" t="s">
        <v>3923</v>
      </c>
      <c r="E670" t="s">
        <v>3923</v>
      </c>
      <c r="H670" t="s">
        <v>22</v>
      </c>
      <c r="I670">
        <v>1084550836</v>
      </c>
      <c r="J670" t="s">
        <v>4258</v>
      </c>
      <c r="P670" t="s">
        <v>4403</v>
      </c>
      <c r="Q670" s="8">
        <v>9450000</v>
      </c>
      <c r="R670" s="8" t="e">
        <f>SUMIFS([1]REPORTADOS!$D$2:$D$3379,[1]REPORTADOS!$C$2:$C$3379,E670)</f>
        <v>#VALUE!</v>
      </c>
      <c r="S670" s="8" t="e">
        <f t="shared" si="10"/>
        <v>#VALUE!</v>
      </c>
    </row>
    <row r="671" spans="1:19" x14ac:dyDescent="0.25">
      <c r="A671">
        <v>900091143</v>
      </c>
      <c r="B671" t="s">
        <v>3965</v>
      </c>
      <c r="C671" t="s">
        <v>3924</v>
      </c>
      <c r="E671" t="s">
        <v>3924</v>
      </c>
      <c r="H671" t="s">
        <v>22</v>
      </c>
      <c r="I671">
        <v>36757221</v>
      </c>
      <c r="J671" t="s">
        <v>2497</v>
      </c>
      <c r="P671" t="s">
        <v>4403</v>
      </c>
      <c r="Q671" s="8">
        <v>18900000</v>
      </c>
      <c r="R671" s="8" t="e">
        <f>SUMIFS([1]REPORTADOS!$D$2:$D$3379,[1]REPORTADOS!$C$2:$C$3379,E671)</f>
        <v>#VALUE!</v>
      </c>
      <c r="S671" s="8" t="e">
        <f t="shared" si="10"/>
        <v>#VALUE!</v>
      </c>
    </row>
    <row r="672" spans="1:19" x14ac:dyDescent="0.25">
      <c r="A672">
        <v>900091143</v>
      </c>
      <c r="B672" t="s">
        <v>3965</v>
      </c>
      <c r="C672" t="s">
        <v>3925</v>
      </c>
      <c r="E672" t="s">
        <v>3925</v>
      </c>
      <c r="H672" t="s">
        <v>22</v>
      </c>
      <c r="I672">
        <v>59123136</v>
      </c>
      <c r="J672" t="s">
        <v>4259</v>
      </c>
      <c r="P672" t="s">
        <v>4403</v>
      </c>
      <c r="Q672" s="8">
        <v>6300000</v>
      </c>
      <c r="R672" s="8" t="e">
        <f>SUMIFS([1]REPORTADOS!$D$2:$D$3379,[1]REPORTADOS!$C$2:$C$3379,E672)</f>
        <v>#VALUE!</v>
      </c>
      <c r="S672" s="8" t="e">
        <f t="shared" si="10"/>
        <v>#VALUE!</v>
      </c>
    </row>
    <row r="673" spans="1:19" x14ac:dyDescent="0.25">
      <c r="A673">
        <v>900091143</v>
      </c>
      <c r="B673" t="s">
        <v>3965</v>
      </c>
      <c r="C673" t="s">
        <v>3926</v>
      </c>
      <c r="E673" t="s">
        <v>3926</v>
      </c>
      <c r="H673" t="s">
        <v>22</v>
      </c>
      <c r="I673">
        <v>27456421</v>
      </c>
      <c r="J673" t="s">
        <v>4100</v>
      </c>
      <c r="P673" t="s">
        <v>4403</v>
      </c>
      <c r="Q673" s="8">
        <v>12600000</v>
      </c>
      <c r="R673" s="8" t="e">
        <f>SUMIFS([1]REPORTADOS!$D$2:$D$3379,[1]REPORTADOS!$C$2:$C$3379,E673)</f>
        <v>#VALUE!</v>
      </c>
      <c r="S673" s="8" t="e">
        <f t="shared" si="10"/>
        <v>#VALUE!</v>
      </c>
    </row>
    <row r="674" spans="1:19" x14ac:dyDescent="0.25">
      <c r="A674">
        <v>900091143</v>
      </c>
      <c r="B674" t="s">
        <v>3965</v>
      </c>
      <c r="C674" t="s">
        <v>3927</v>
      </c>
      <c r="E674" t="s">
        <v>3927</v>
      </c>
      <c r="H674" t="s">
        <v>22</v>
      </c>
      <c r="I674">
        <v>1085246134</v>
      </c>
      <c r="J674" t="s">
        <v>4032</v>
      </c>
      <c r="P674" t="s">
        <v>4403</v>
      </c>
      <c r="Q674" s="8">
        <v>25200000</v>
      </c>
      <c r="R674" s="8" t="e">
        <f>SUMIFS([1]REPORTADOS!$D$2:$D$3379,[1]REPORTADOS!$C$2:$C$3379,E674)</f>
        <v>#VALUE!</v>
      </c>
      <c r="S674" s="8" t="e">
        <f t="shared" si="10"/>
        <v>#VALUE!</v>
      </c>
    </row>
    <row r="675" spans="1:19" x14ac:dyDescent="0.25">
      <c r="A675">
        <v>900091143</v>
      </c>
      <c r="B675" t="s">
        <v>3965</v>
      </c>
      <c r="C675" t="s">
        <v>3928</v>
      </c>
      <c r="E675" t="s">
        <v>3928</v>
      </c>
      <c r="H675" t="s">
        <v>22</v>
      </c>
      <c r="I675">
        <v>59651018</v>
      </c>
      <c r="J675" t="s">
        <v>2569</v>
      </c>
      <c r="P675" t="s">
        <v>4447</v>
      </c>
      <c r="Q675" s="8">
        <v>18920000</v>
      </c>
      <c r="R675" s="8" t="e">
        <f>SUMIFS([1]REPORTADOS!$D$2:$D$3379,[1]REPORTADOS!$C$2:$C$3379,E675)</f>
        <v>#VALUE!</v>
      </c>
      <c r="S675" s="8" t="e">
        <f t="shared" si="10"/>
        <v>#VALUE!</v>
      </c>
    </row>
    <row r="676" spans="1:19" x14ac:dyDescent="0.25">
      <c r="A676">
        <v>900091143</v>
      </c>
      <c r="B676" t="s">
        <v>3965</v>
      </c>
      <c r="C676" t="s">
        <v>3929</v>
      </c>
      <c r="E676" t="s">
        <v>3929</v>
      </c>
      <c r="H676" t="s">
        <v>22</v>
      </c>
      <c r="I676">
        <v>59830040</v>
      </c>
      <c r="J676" t="s">
        <v>2026</v>
      </c>
      <c r="P676" t="s">
        <v>4403</v>
      </c>
      <c r="Q676" s="8">
        <v>6300000</v>
      </c>
      <c r="R676" s="8" t="e">
        <f>SUMIFS([1]REPORTADOS!$D$2:$D$3379,[1]REPORTADOS!$C$2:$C$3379,E676)</f>
        <v>#VALUE!</v>
      </c>
      <c r="S676" s="8" t="e">
        <f t="shared" si="10"/>
        <v>#VALUE!</v>
      </c>
    </row>
    <row r="677" spans="1:19" x14ac:dyDescent="0.25">
      <c r="A677">
        <v>900091143</v>
      </c>
      <c r="B677" t="s">
        <v>3965</v>
      </c>
      <c r="C677" t="s">
        <v>3930</v>
      </c>
      <c r="E677" t="s">
        <v>3930</v>
      </c>
      <c r="H677" t="s">
        <v>22</v>
      </c>
      <c r="I677">
        <v>1085254153</v>
      </c>
      <c r="J677" t="s">
        <v>2555</v>
      </c>
      <c r="P677" t="s">
        <v>4403</v>
      </c>
      <c r="Q677" s="8">
        <v>12600000</v>
      </c>
      <c r="R677" s="8" t="e">
        <f>SUMIFS([1]REPORTADOS!$D$2:$D$3379,[1]REPORTADOS!$C$2:$C$3379,E677)</f>
        <v>#VALUE!</v>
      </c>
      <c r="S677" s="8" t="e">
        <f t="shared" si="10"/>
        <v>#VALUE!</v>
      </c>
    </row>
    <row r="678" spans="1:19" x14ac:dyDescent="0.25">
      <c r="A678">
        <v>900091143</v>
      </c>
      <c r="B678" t="s">
        <v>3965</v>
      </c>
      <c r="C678" t="s">
        <v>3931</v>
      </c>
      <c r="E678" t="s">
        <v>3931</v>
      </c>
      <c r="H678" t="s">
        <v>22</v>
      </c>
      <c r="I678">
        <v>1004339825</v>
      </c>
      <c r="J678" t="s">
        <v>4260</v>
      </c>
      <c r="P678" t="s">
        <v>4403</v>
      </c>
      <c r="Q678" s="8">
        <v>12600000</v>
      </c>
      <c r="R678" s="8" t="e">
        <f>SUMIFS([1]REPORTADOS!$D$2:$D$3379,[1]REPORTADOS!$C$2:$C$3379,E678)</f>
        <v>#VALUE!</v>
      </c>
      <c r="S678" s="8" t="e">
        <f t="shared" si="10"/>
        <v>#VALUE!</v>
      </c>
    </row>
    <row r="679" spans="1:19" x14ac:dyDescent="0.25">
      <c r="A679">
        <v>900091143</v>
      </c>
      <c r="B679" t="s">
        <v>3965</v>
      </c>
      <c r="C679" t="s">
        <v>3932</v>
      </c>
      <c r="E679" t="s">
        <v>3932</v>
      </c>
      <c r="H679" t="s">
        <v>22</v>
      </c>
      <c r="I679">
        <v>1085333467</v>
      </c>
      <c r="J679" t="s">
        <v>4144</v>
      </c>
      <c r="P679" t="s">
        <v>4447</v>
      </c>
      <c r="Q679" s="8">
        <v>14190000</v>
      </c>
      <c r="R679" s="8" t="e">
        <f>SUMIFS([1]REPORTADOS!$D$2:$D$3379,[1]REPORTADOS!$C$2:$C$3379,E679)</f>
        <v>#VALUE!</v>
      </c>
      <c r="S679" s="8" t="e">
        <f t="shared" si="10"/>
        <v>#VALUE!</v>
      </c>
    </row>
    <row r="680" spans="1:19" x14ac:dyDescent="0.25">
      <c r="A680">
        <v>900091143</v>
      </c>
      <c r="B680" t="s">
        <v>3965</v>
      </c>
      <c r="C680" t="s">
        <v>3933</v>
      </c>
      <c r="E680" t="s">
        <v>3933</v>
      </c>
      <c r="H680" t="s">
        <v>22</v>
      </c>
      <c r="I680">
        <v>59313528</v>
      </c>
      <c r="J680" t="s">
        <v>4261</v>
      </c>
      <c r="P680" t="s">
        <v>4403</v>
      </c>
      <c r="Q680" s="8">
        <v>18900000</v>
      </c>
      <c r="R680" s="8" t="e">
        <f>SUMIFS([1]REPORTADOS!$D$2:$D$3379,[1]REPORTADOS!$C$2:$C$3379,E680)</f>
        <v>#VALUE!</v>
      </c>
      <c r="S680" s="8" t="e">
        <f t="shared" si="10"/>
        <v>#VALUE!</v>
      </c>
    </row>
    <row r="681" spans="1:19" x14ac:dyDescent="0.25">
      <c r="A681">
        <v>900091143</v>
      </c>
      <c r="B681" t="s">
        <v>3965</v>
      </c>
      <c r="C681" t="s">
        <v>3934</v>
      </c>
      <c r="E681" t="s">
        <v>3934</v>
      </c>
      <c r="H681" t="s">
        <v>22</v>
      </c>
      <c r="I681">
        <v>1004726621</v>
      </c>
      <c r="J681" t="s">
        <v>4038</v>
      </c>
      <c r="P681" t="s">
        <v>4403</v>
      </c>
      <c r="Q681" s="8">
        <v>12600000</v>
      </c>
      <c r="R681" s="8" t="e">
        <f>SUMIFS([1]REPORTADOS!$D$2:$D$3379,[1]REPORTADOS!$C$2:$C$3379,E681)</f>
        <v>#VALUE!</v>
      </c>
      <c r="S681" s="8" t="e">
        <f t="shared" si="10"/>
        <v>#VALUE!</v>
      </c>
    </row>
    <row r="682" spans="1:19" x14ac:dyDescent="0.25">
      <c r="A682">
        <v>900091143</v>
      </c>
      <c r="B682" t="s">
        <v>3965</v>
      </c>
      <c r="C682" t="s">
        <v>3935</v>
      </c>
      <c r="E682" t="s">
        <v>3935</v>
      </c>
      <c r="H682" t="s">
        <v>22</v>
      </c>
      <c r="I682">
        <v>1085315209</v>
      </c>
      <c r="J682" t="s">
        <v>2644</v>
      </c>
      <c r="P682" t="s">
        <v>4403</v>
      </c>
      <c r="Q682" s="8">
        <v>12600000</v>
      </c>
      <c r="R682" s="8" t="e">
        <f>SUMIFS([1]REPORTADOS!$D$2:$D$3379,[1]REPORTADOS!$C$2:$C$3379,E682)</f>
        <v>#VALUE!</v>
      </c>
      <c r="S682" s="8" t="e">
        <f t="shared" si="10"/>
        <v>#VALUE!</v>
      </c>
    </row>
    <row r="683" spans="1:19" x14ac:dyDescent="0.25">
      <c r="A683">
        <v>900091143</v>
      </c>
      <c r="B683" t="s">
        <v>3965</v>
      </c>
      <c r="C683" t="s">
        <v>3936</v>
      </c>
      <c r="E683" t="s">
        <v>3936</v>
      </c>
      <c r="H683" t="s">
        <v>22</v>
      </c>
      <c r="I683">
        <v>59813323</v>
      </c>
      <c r="J683" t="s">
        <v>1995</v>
      </c>
      <c r="P683" t="s">
        <v>4403</v>
      </c>
      <c r="Q683" s="8">
        <v>12600000</v>
      </c>
      <c r="R683" s="8" t="e">
        <f>SUMIFS([1]REPORTADOS!$D$2:$D$3379,[1]REPORTADOS!$C$2:$C$3379,E683)</f>
        <v>#VALUE!</v>
      </c>
      <c r="S683" s="8" t="e">
        <f t="shared" si="10"/>
        <v>#VALUE!</v>
      </c>
    </row>
    <row r="684" spans="1:19" x14ac:dyDescent="0.25">
      <c r="A684">
        <v>900091143</v>
      </c>
      <c r="B684" t="s">
        <v>3965</v>
      </c>
      <c r="C684" t="s">
        <v>3937</v>
      </c>
      <c r="E684" t="s">
        <v>3937</v>
      </c>
      <c r="H684" t="s">
        <v>22</v>
      </c>
      <c r="I684">
        <v>1193035720</v>
      </c>
      <c r="J684" t="s">
        <v>4161</v>
      </c>
      <c r="P684" t="s">
        <v>4403</v>
      </c>
      <c r="Q684" s="8">
        <v>9450000</v>
      </c>
      <c r="R684" s="8" t="e">
        <f>SUMIFS([1]REPORTADOS!$D$2:$D$3379,[1]REPORTADOS!$C$2:$C$3379,E684)</f>
        <v>#VALUE!</v>
      </c>
      <c r="S684" s="8" t="e">
        <f t="shared" si="10"/>
        <v>#VALUE!</v>
      </c>
    </row>
    <row r="685" spans="1:19" x14ac:dyDescent="0.25">
      <c r="A685">
        <v>900091143</v>
      </c>
      <c r="B685" t="s">
        <v>3965</v>
      </c>
      <c r="C685" t="s">
        <v>3938</v>
      </c>
      <c r="E685" t="s">
        <v>3938</v>
      </c>
      <c r="H685" t="s">
        <v>22</v>
      </c>
      <c r="I685">
        <v>1085277976</v>
      </c>
      <c r="J685" t="s">
        <v>2787</v>
      </c>
      <c r="P685" t="s">
        <v>4403</v>
      </c>
      <c r="Q685" s="8">
        <v>18900000</v>
      </c>
      <c r="R685" s="8" t="e">
        <f>SUMIFS([1]REPORTADOS!$D$2:$D$3379,[1]REPORTADOS!$C$2:$C$3379,E685)</f>
        <v>#VALUE!</v>
      </c>
      <c r="S685" s="8" t="e">
        <f t="shared" si="10"/>
        <v>#VALUE!</v>
      </c>
    </row>
    <row r="686" spans="1:19" x14ac:dyDescent="0.25">
      <c r="A686">
        <v>900091143</v>
      </c>
      <c r="B686" t="s">
        <v>3965</v>
      </c>
      <c r="C686" t="s">
        <v>3939</v>
      </c>
      <c r="E686" t="s">
        <v>3939</v>
      </c>
      <c r="H686" t="s">
        <v>22</v>
      </c>
      <c r="I686">
        <v>1004437571</v>
      </c>
      <c r="J686" t="s">
        <v>2775</v>
      </c>
      <c r="P686" t="s">
        <v>4403</v>
      </c>
      <c r="Q686" s="8">
        <v>12600000</v>
      </c>
      <c r="R686" s="8" t="e">
        <f>SUMIFS([1]REPORTADOS!$D$2:$D$3379,[1]REPORTADOS!$C$2:$C$3379,E686)</f>
        <v>#VALUE!</v>
      </c>
      <c r="S686" s="8" t="e">
        <f t="shared" si="10"/>
        <v>#VALUE!</v>
      </c>
    </row>
    <row r="687" spans="1:19" x14ac:dyDescent="0.25">
      <c r="A687">
        <v>900091143</v>
      </c>
      <c r="B687" t="s">
        <v>3965</v>
      </c>
      <c r="C687" t="s">
        <v>3940</v>
      </c>
      <c r="E687" t="s">
        <v>3940</v>
      </c>
      <c r="H687" t="s">
        <v>22</v>
      </c>
      <c r="I687">
        <v>59122805</v>
      </c>
      <c r="J687" t="s">
        <v>4049</v>
      </c>
      <c r="P687" t="s">
        <v>4403</v>
      </c>
      <c r="Q687" s="8">
        <v>12600000</v>
      </c>
      <c r="R687" s="8" t="e">
        <f>SUMIFS([1]REPORTADOS!$D$2:$D$3379,[1]REPORTADOS!$C$2:$C$3379,E687)</f>
        <v>#VALUE!</v>
      </c>
      <c r="S687" s="8" t="e">
        <f t="shared" si="10"/>
        <v>#VALUE!</v>
      </c>
    </row>
    <row r="688" spans="1:19" x14ac:dyDescent="0.25">
      <c r="A688">
        <v>900091143</v>
      </c>
      <c r="B688" t="s">
        <v>3965</v>
      </c>
      <c r="C688" t="s">
        <v>3941</v>
      </c>
      <c r="E688" t="s">
        <v>3941</v>
      </c>
      <c r="H688" t="s">
        <v>22</v>
      </c>
      <c r="I688">
        <v>87030128</v>
      </c>
      <c r="J688" t="s">
        <v>2779</v>
      </c>
      <c r="P688" t="s">
        <v>4403</v>
      </c>
      <c r="Q688" s="8">
        <v>9450000</v>
      </c>
      <c r="R688" s="8" t="e">
        <f>SUMIFS([1]REPORTADOS!$D$2:$D$3379,[1]REPORTADOS!$C$2:$C$3379,E688)</f>
        <v>#VALUE!</v>
      </c>
      <c r="S688" s="8" t="e">
        <f t="shared" si="10"/>
        <v>#VALUE!</v>
      </c>
    </row>
    <row r="689" spans="1:19" x14ac:dyDescent="0.25">
      <c r="A689">
        <v>900091143</v>
      </c>
      <c r="B689" t="s">
        <v>3965</v>
      </c>
      <c r="C689" t="s">
        <v>3942</v>
      </c>
      <c r="E689" t="s">
        <v>3942</v>
      </c>
      <c r="H689" t="s">
        <v>22</v>
      </c>
      <c r="I689">
        <v>1004134014</v>
      </c>
      <c r="J689" t="s">
        <v>4037</v>
      </c>
      <c r="P689" t="s">
        <v>4403</v>
      </c>
      <c r="Q689" s="8">
        <v>9450000</v>
      </c>
      <c r="R689" s="8" t="e">
        <f>SUMIFS([1]REPORTADOS!$D$2:$D$3379,[1]REPORTADOS!$C$2:$C$3379,E689)</f>
        <v>#VALUE!</v>
      </c>
      <c r="S689" s="8" t="e">
        <f t="shared" si="10"/>
        <v>#VALUE!</v>
      </c>
    </row>
    <row r="690" spans="1:19" x14ac:dyDescent="0.25">
      <c r="A690">
        <v>900091143</v>
      </c>
      <c r="B690" t="s">
        <v>3965</v>
      </c>
      <c r="C690" t="s">
        <v>3943</v>
      </c>
      <c r="E690" t="s">
        <v>3943</v>
      </c>
      <c r="H690" t="s">
        <v>22</v>
      </c>
      <c r="I690">
        <v>1081572043</v>
      </c>
      <c r="J690" t="s">
        <v>1874</v>
      </c>
      <c r="P690" t="s">
        <v>4403</v>
      </c>
      <c r="Q690" s="8">
        <v>12600000</v>
      </c>
      <c r="R690" s="8" t="e">
        <f>SUMIFS([1]REPORTADOS!$D$2:$D$3379,[1]REPORTADOS!$C$2:$C$3379,E690)</f>
        <v>#VALUE!</v>
      </c>
      <c r="S690" s="8" t="e">
        <f t="shared" si="10"/>
        <v>#VALUE!</v>
      </c>
    </row>
    <row r="691" spans="1:19" x14ac:dyDescent="0.25">
      <c r="A691">
        <v>900091143</v>
      </c>
      <c r="B691" t="s">
        <v>3965</v>
      </c>
      <c r="C691" t="s">
        <v>3944</v>
      </c>
      <c r="E691" t="s">
        <v>3944</v>
      </c>
      <c r="H691" t="s">
        <v>22</v>
      </c>
      <c r="I691">
        <v>36758868</v>
      </c>
      <c r="J691" t="s">
        <v>4262</v>
      </c>
      <c r="P691" t="s">
        <v>4403</v>
      </c>
      <c r="Q691" s="8">
        <v>9450000</v>
      </c>
      <c r="R691" s="8" t="e">
        <f>SUMIFS([1]REPORTADOS!$D$2:$D$3379,[1]REPORTADOS!$C$2:$C$3379,E691)</f>
        <v>#VALUE!</v>
      </c>
      <c r="S691" s="8" t="e">
        <f t="shared" si="10"/>
        <v>#VALUE!</v>
      </c>
    </row>
    <row r="692" spans="1:19" x14ac:dyDescent="0.25">
      <c r="A692">
        <v>900091143</v>
      </c>
      <c r="B692" t="s">
        <v>3965</v>
      </c>
      <c r="C692" t="s">
        <v>3945</v>
      </c>
      <c r="E692" t="s">
        <v>3945</v>
      </c>
      <c r="H692" t="s">
        <v>22</v>
      </c>
      <c r="I692">
        <v>1053793750</v>
      </c>
      <c r="J692" t="s">
        <v>4108</v>
      </c>
      <c r="P692" t="s">
        <v>4403</v>
      </c>
      <c r="Q692" s="8">
        <v>18900000</v>
      </c>
      <c r="R692" s="8" t="e">
        <f>SUMIFS([1]REPORTADOS!$D$2:$D$3379,[1]REPORTADOS!$C$2:$C$3379,E692)</f>
        <v>#VALUE!</v>
      </c>
      <c r="S692" s="8" t="e">
        <f t="shared" si="10"/>
        <v>#VALUE!</v>
      </c>
    </row>
    <row r="693" spans="1:19" x14ac:dyDescent="0.25">
      <c r="A693">
        <v>900091143</v>
      </c>
      <c r="B693" t="s">
        <v>3965</v>
      </c>
      <c r="C693" t="s">
        <v>3946</v>
      </c>
      <c r="E693" t="s">
        <v>3946</v>
      </c>
      <c r="H693" t="s">
        <v>22</v>
      </c>
      <c r="I693">
        <v>1086298268</v>
      </c>
      <c r="J693" t="s">
        <v>4263</v>
      </c>
      <c r="P693" t="s">
        <v>4403</v>
      </c>
      <c r="Q693" s="8">
        <v>9450000</v>
      </c>
      <c r="R693" s="8" t="e">
        <f>SUMIFS([1]REPORTADOS!$D$2:$D$3379,[1]REPORTADOS!$C$2:$C$3379,E693)</f>
        <v>#VALUE!</v>
      </c>
      <c r="S693" s="8" t="e">
        <f t="shared" si="10"/>
        <v>#VALUE!</v>
      </c>
    </row>
    <row r="694" spans="1:19" x14ac:dyDescent="0.25">
      <c r="A694">
        <v>900091143</v>
      </c>
      <c r="B694" t="s">
        <v>3965</v>
      </c>
      <c r="C694" t="s">
        <v>3947</v>
      </c>
      <c r="E694" t="s">
        <v>3947</v>
      </c>
      <c r="H694" t="s">
        <v>22</v>
      </c>
      <c r="I694">
        <v>1004131976</v>
      </c>
      <c r="J694" t="s">
        <v>2339</v>
      </c>
      <c r="P694" t="s">
        <v>4403</v>
      </c>
      <c r="Q694" s="8">
        <v>9450000</v>
      </c>
      <c r="R694" s="8" t="e">
        <f>SUMIFS([1]REPORTADOS!$D$2:$D$3379,[1]REPORTADOS!$C$2:$C$3379,E694)</f>
        <v>#VALUE!</v>
      </c>
      <c r="S694" s="8" t="e">
        <f t="shared" si="10"/>
        <v>#VALUE!</v>
      </c>
    </row>
    <row r="695" spans="1:19" x14ac:dyDescent="0.25">
      <c r="A695">
        <v>900091143</v>
      </c>
      <c r="B695" t="s">
        <v>3965</v>
      </c>
      <c r="C695" t="s">
        <v>3948</v>
      </c>
      <c r="E695" t="s">
        <v>3948</v>
      </c>
      <c r="H695" t="s">
        <v>22</v>
      </c>
      <c r="I695">
        <v>42144372</v>
      </c>
      <c r="J695" t="s">
        <v>4264</v>
      </c>
      <c r="P695" t="s">
        <v>4447</v>
      </c>
      <c r="Q695" s="8">
        <v>15600000</v>
      </c>
      <c r="R695" s="8" t="e">
        <f>SUMIFS([1]REPORTADOS!$D$2:$D$3379,[1]REPORTADOS!$C$2:$C$3379,E695)</f>
        <v>#VALUE!</v>
      </c>
      <c r="S695" s="8" t="e">
        <f t="shared" si="10"/>
        <v>#VALUE!</v>
      </c>
    </row>
    <row r="696" spans="1:19" x14ac:dyDescent="0.25">
      <c r="A696">
        <v>900091143</v>
      </c>
      <c r="B696" t="s">
        <v>3965</v>
      </c>
      <c r="C696" t="s">
        <v>3949</v>
      </c>
      <c r="E696" t="s">
        <v>3949</v>
      </c>
      <c r="H696" t="s">
        <v>22</v>
      </c>
      <c r="I696">
        <v>87070742</v>
      </c>
      <c r="J696" t="s">
        <v>4133</v>
      </c>
      <c r="P696" t="s">
        <v>4404</v>
      </c>
      <c r="Q696" s="8">
        <v>2000000</v>
      </c>
      <c r="R696" s="8" t="e">
        <f>SUMIFS([1]REPORTADOS!$D$2:$D$3379,[1]REPORTADOS!$C$2:$C$3379,E696)</f>
        <v>#VALUE!</v>
      </c>
      <c r="S696" s="8" t="e">
        <f t="shared" si="10"/>
        <v>#VALUE!</v>
      </c>
    </row>
    <row r="697" spans="1:19" x14ac:dyDescent="0.25">
      <c r="A697">
        <v>900091143</v>
      </c>
      <c r="B697" t="s">
        <v>3965</v>
      </c>
      <c r="C697" t="s">
        <v>3950</v>
      </c>
      <c r="E697" t="s">
        <v>3950</v>
      </c>
      <c r="H697" t="s">
        <v>22</v>
      </c>
      <c r="I697">
        <v>1233192104</v>
      </c>
      <c r="J697" t="s">
        <v>4000</v>
      </c>
      <c r="P697" t="s">
        <v>4403</v>
      </c>
      <c r="Q697" s="8">
        <v>6300000</v>
      </c>
      <c r="R697" s="8" t="e">
        <f>SUMIFS([1]REPORTADOS!$D$2:$D$3379,[1]REPORTADOS!$C$2:$C$3379,E697)</f>
        <v>#VALUE!</v>
      </c>
      <c r="S697" s="8" t="e">
        <f t="shared" si="10"/>
        <v>#VALUE!</v>
      </c>
    </row>
    <row r="698" spans="1:19" x14ac:dyDescent="0.25">
      <c r="A698">
        <v>900091143</v>
      </c>
      <c r="B698" t="s">
        <v>3965</v>
      </c>
      <c r="C698" t="s">
        <v>3951</v>
      </c>
      <c r="E698" t="s">
        <v>3951</v>
      </c>
      <c r="H698" t="s">
        <v>22</v>
      </c>
      <c r="I698">
        <v>1085317652</v>
      </c>
      <c r="J698" t="s">
        <v>4265</v>
      </c>
      <c r="P698" t="s">
        <v>4403</v>
      </c>
      <c r="Q698" s="8">
        <v>11550000</v>
      </c>
      <c r="R698" s="8" t="e">
        <f>SUMIFS([1]REPORTADOS!$D$2:$D$3379,[1]REPORTADOS!$C$2:$C$3379,E698)</f>
        <v>#VALUE!</v>
      </c>
      <c r="S698" s="8" t="e">
        <f t="shared" si="10"/>
        <v>#VALUE!</v>
      </c>
    </row>
    <row r="699" spans="1:19" x14ac:dyDescent="0.25">
      <c r="A699">
        <v>900091143</v>
      </c>
      <c r="B699" t="s">
        <v>3965</v>
      </c>
      <c r="C699" s="6" t="s">
        <v>3952</v>
      </c>
      <c r="E699" s="6" t="s">
        <v>3952</v>
      </c>
      <c r="H699" t="s">
        <v>38</v>
      </c>
      <c r="I699">
        <v>900752343</v>
      </c>
      <c r="J699" t="s">
        <v>4132</v>
      </c>
      <c r="P699" t="s">
        <v>4391</v>
      </c>
      <c r="Q699" s="15">
        <v>352600000</v>
      </c>
      <c r="R699" s="8" t="e">
        <f>SUMIFS([1]REPORTADOS!$D$2:$D$3379,[1]REPORTADOS!$C$2:$C$3379,E699)</f>
        <v>#VALUE!</v>
      </c>
      <c r="S699" s="8" t="e">
        <f t="shared" si="10"/>
        <v>#VALUE!</v>
      </c>
    </row>
    <row r="700" spans="1:19" x14ac:dyDescent="0.25">
      <c r="A700">
        <v>900091143</v>
      </c>
      <c r="B700" t="s">
        <v>3965</v>
      </c>
      <c r="C700" t="s">
        <v>3953</v>
      </c>
      <c r="E700" t="s">
        <v>3953</v>
      </c>
      <c r="H700" t="s">
        <v>38</v>
      </c>
      <c r="I700">
        <v>900752343</v>
      </c>
      <c r="J700" t="s">
        <v>4132</v>
      </c>
      <c r="P700" t="s">
        <v>4392</v>
      </c>
      <c r="Q700" s="15">
        <v>350950000</v>
      </c>
      <c r="R700" s="8" t="e">
        <f>SUMIFS([1]REPORTADOS!$D$2:$D$3379,[1]REPORTADOS!$C$2:$C$3379,E700)</f>
        <v>#VALUE!</v>
      </c>
      <c r="S700" s="8" t="e">
        <f t="shared" si="10"/>
        <v>#VALUE!</v>
      </c>
    </row>
    <row r="701" spans="1:19" x14ac:dyDescent="0.25">
      <c r="A701">
        <v>900091143</v>
      </c>
      <c r="B701" t="s">
        <v>3965</v>
      </c>
      <c r="C701" t="s">
        <v>3954</v>
      </c>
      <c r="E701" t="s">
        <v>3954</v>
      </c>
      <c r="H701" t="s">
        <v>38</v>
      </c>
      <c r="I701">
        <v>805021222</v>
      </c>
      <c r="J701" t="s">
        <v>1885</v>
      </c>
      <c r="P701" t="s">
        <v>4514</v>
      </c>
      <c r="Q701" s="15">
        <v>280000000</v>
      </c>
      <c r="R701" s="8" t="e">
        <f>SUMIFS([1]REPORTADOS!$D$2:$D$3379,[1]REPORTADOS!$C$2:$C$3379,E701)</f>
        <v>#VALUE!</v>
      </c>
      <c r="S701" s="8" t="e">
        <f t="shared" si="10"/>
        <v>#VALUE!</v>
      </c>
    </row>
    <row r="702" spans="1:19" x14ac:dyDescent="0.25">
      <c r="A702">
        <v>900091143</v>
      </c>
      <c r="B702" t="s">
        <v>3965</v>
      </c>
      <c r="C702" t="s">
        <v>3955</v>
      </c>
      <c r="E702" t="s">
        <v>3955</v>
      </c>
      <c r="H702" t="s">
        <v>38</v>
      </c>
      <c r="I702">
        <v>901329717</v>
      </c>
      <c r="J702" t="s">
        <v>4266</v>
      </c>
      <c r="P702" t="s">
        <v>4394</v>
      </c>
      <c r="Q702" s="15">
        <v>216656524.10000002</v>
      </c>
      <c r="R702" s="8" t="e">
        <f>SUMIFS([1]REPORTADOS!$D$2:$D$3379,[1]REPORTADOS!$C$2:$C$3379,E702)</f>
        <v>#VALUE!</v>
      </c>
      <c r="S702" s="8" t="e">
        <f t="shared" si="10"/>
        <v>#VALUE!</v>
      </c>
    </row>
    <row r="703" spans="1:19" x14ac:dyDescent="0.25">
      <c r="A703">
        <v>900091143</v>
      </c>
      <c r="B703" t="s">
        <v>3965</v>
      </c>
      <c r="C703" t="s">
        <v>3956</v>
      </c>
      <c r="E703" t="s">
        <v>3956</v>
      </c>
      <c r="H703" t="s">
        <v>22</v>
      </c>
      <c r="I703">
        <v>1086755989</v>
      </c>
      <c r="J703" t="s">
        <v>4267</v>
      </c>
      <c r="P703" t="s">
        <v>4445</v>
      </c>
      <c r="Q703" s="15">
        <v>9450000</v>
      </c>
      <c r="R703" s="8" t="e">
        <f>SUMIFS([1]REPORTADOS!$D$2:$D$3379,[1]REPORTADOS!$C$2:$C$3379,E703)</f>
        <v>#VALUE!</v>
      </c>
      <c r="S703" s="8" t="e">
        <f t="shared" si="10"/>
        <v>#VALUE!</v>
      </c>
    </row>
    <row r="704" spans="1:19" x14ac:dyDescent="0.25">
      <c r="A704">
        <v>900091143</v>
      </c>
      <c r="B704" t="s">
        <v>3965</v>
      </c>
      <c r="C704" t="s">
        <v>3957</v>
      </c>
      <c r="E704" t="s">
        <v>3957</v>
      </c>
      <c r="H704" t="s">
        <v>38</v>
      </c>
      <c r="I704">
        <v>900994364</v>
      </c>
      <c r="J704" t="s">
        <v>4268</v>
      </c>
      <c r="P704" t="s">
        <v>4515</v>
      </c>
      <c r="Q704" s="15">
        <v>605000000</v>
      </c>
      <c r="R704" s="8" t="e">
        <f>SUMIFS([1]REPORTADOS!$D$2:$D$3379,[1]REPORTADOS!$C$2:$C$3379,E704)</f>
        <v>#VALUE!</v>
      </c>
      <c r="S704" s="8" t="e">
        <f t="shared" si="10"/>
        <v>#VALUE!</v>
      </c>
    </row>
    <row r="705" spans="1:19" x14ac:dyDescent="0.25">
      <c r="A705">
        <v>900091143</v>
      </c>
      <c r="B705" t="s">
        <v>3965</v>
      </c>
      <c r="C705" t="s">
        <v>3958</v>
      </c>
      <c r="E705" t="s">
        <v>3958</v>
      </c>
      <c r="H705" t="s">
        <v>38</v>
      </c>
      <c r="I705">
        <v>805021222</v>
      </c>
      <c r="J705" t="s">
        <v>4269</v>
      </c>
      <c r="P705" t="s">
        <v>4396</v>
      </c>
      <c r="Q705" s="15">
        <v>270000000</v>
      </c>
      <c r="R705" s="8" t="e">
        <f>SUMIFS([1]REPORTADOS!$D$2:$D$3379,[1]REPORTADOS!$C$2:$C$3379,E705)</f>
        <v>#VALUE!</v>
      </c>
      <c r="S705" s="8" t="e">
        <f t="shared" si="10"/>
        <v>#VALUE!</v>
      </c>
    </row>
    <row r="706" spans="1:19" x14ac:dyDescent="0.25">
      <c r="A706">
        <v>900091143</v>
      </c>
      <c r="B706" t="s">
        <v>3965</v>
      </c>
      <c r="C706" s="13" t="s">
        <v>3959</v>
      </c>
      <c r="E706" s="13" t="s">
        <v>3959</v>
      </c>
      <c r="H706" s="13" t="s">
        <v>38</v>
      </c>
      <c r="I706" s="13">
        <v>900752343</v>
      </c>
      <c r="J706" s="13" t="s">
        <v>4132</v>
      </c>
      <c r="P706" s="13" t="s">
        <v>4397</v>
      </c>
      <c r="Q706" s="14">
        <v>280000000</v>
      </c>
      <c r="R706" s="8" t="e">
        <f>SUMIFS([1]REPORTADOS!$D$2:$D$3379,[1]REPORTADOS!$C$2:$C$3379,E706)</f>
        <v>#VALUE!</v>
      </c>
      <c r="S706" s="8" t="e">
        <f t="shared" si="10"/>
        <v>#VALUE!</v>
      </c>
    </row>
    <row r="707" spans="1:19" x14ac:dyDescent="0.25">
      <c r="A707">
        <v>900091143</v>
      </c>
      <c r="B707" t="s">
        <v>3965</v>
      </c>
      <c r="C707" s="13" t="s">
        <v>3960</v>
      </c>
      <c r="E707" s="13" t="s">
        <v>3960</v>
      </c>
      <c r="H707" s="13" t="s">
        <v>38</v>
      </c>
      <c r="I707" s="13">
        <v>900752343</v>
      </c>
      <c r="J707" s="13" t="s">
        <v>4132</v>
      </c>
      <c r="P707" s="13" t="s">
        <v>4398</v>
      </c>
      <c r="Q707" s="14">
        <v>270000000</v>
      </c>
      <c r="R707" s="8" t="e">
        <f>SUMIFS([1]REPORTADOS!$D$2:$D$3379,[1]REPORTADOS!$C$2:$C$3379,E707)</f>
        <v>#VALUE!</v>
      </c>
      <c r="S707" s="8" t="e">
        <f t="shared" ref="S707:S712" si="11">Q707-R707</f>
        <v>#VALUE!</v>
      </c>
    </row>
    <row r="708" spans="1:19" x14ac:dyDescent="0.25">
      <c r="A708">
        <v>900091143</v>
      </c>
      <c r="B708" t="s">
        <v>3965</v>
      </c>
      <c r="C708" s="13" t="s">
        <v>3961</v>
      </c>
      <c r="E708" s="13" t="s">
        <v>3961</v>
      </c>
      <c r="H708" s="13" t="s">
        <v>38</v>
      </c>
      <c r="I708" s="13">
        <v>900994364</v>
      </c>
      <c r="J708" s="13" t="s">
        <v>4270</v>
      </c>
      <c r="P708" s="13" t="s">
        <v>4516</v>
      </c>
      <c r="Q708" s="14">
        <v>297142800</v>
      </c>
      <c r="R708" s="8" t="e">
        <f>SUMIFS([1]REPORTADOS!$D$2:$D$3379,[1]REPORTADOS!$C$2:$C$3379,E708)</f>
        <v>#VALUE!</v>
      </c>
      <c r="S708" s="8" t="e">
        <f t="shared" si="11"/>
        <v>#VALUE!</v>
      </c>
    </row>
    <row r="709" spans="1:19" x14ac:dyDescent="0.25">
      <c r="A709">
        <v>900091143</v>
      </c>
      <c r="B709" t="s">
        <v>3965</v>
      </c>
      <c r="C709" s="13" t="s">
        <v>3962</v>
      </c>
      <c r="E709" s="13" t="s">
        <v>3962</v>
      </c>
      <c r="H709" s="13" t="s">
        <v>22</v>
      </c>
      <c r="I709" s="13">
        <v>66958357</v>
      </c>
      <c r="J709" s="13" t="s">
        <v>4238</v>
      </c>
      <c r="P709" s="13" t="s">
        <v>4517</v>
      </c>
      <c r="Q709" s="14">
        <v>2000000</v>
      </c>
      <c r="R709" s="8" t="e">
        <f>SUMIFS([1]REPORTADOS!$D$2:$D$3379,[1]REPORTADOS!$C$2:$C$3379,E709)</f>
        <v>#VALUE!</v>
      </c>
      <c r="S709" s="8" t="e">
        <f t="shared" si="11"/>
        <v>#VALUE!</v>
      </c>
    </row>
    <row r="710" spans="1:19" x14ac:dyDescent="0.25">
      <c r="A710">
        <v>900091143</v>
      </c>
      <c r="B710" t="s">
        <v>3965</v>
      </c>
      <c r="C710" s="13" t="s">
        <v>3963</v>
      </c>
      <c r="E710" s="13" t="s">
        <v>3963</v>
      </c>
      <c r="H710" s="13" t="s">
        <v>22</v>
      </c>
      <c r="I710" s="13">
        <v>1086132023</v>
      </c>
      <c r="J710" s="13" t="s">
        <v>4271</v>
      </c>
      <c r="P710" s="13" t="s">
        <v>4518</v>
      </c>
      <c r="Q710" s="14">
        <v>6300000</v>
      </c>
      <c r="R710" s="8" t="e">
        <f>SUMIFS([1]REPORTADOS!$D$2:$D$3379,[1]REPORTADOS!$C$2:$C$3379,E710)</f>
        <v>#VALUE!</v>
      </c>
      <c r="S710" s="8" t="e">
        <f t="shared" si="11"/>
        <v>#VALUE!</v>
      </c>
    </row>
    <row r="711" spans="1:19" x14ac:dyDescent="0.25">
      <c r="A711">
        <v>900091143</v>
      </c>
      <c r="B711" t="s">
        <v>3965</v>
      </c>
      <c r="C711" s="13" t="s">
        <v>3964</v>
      </c>
      <c r="E711" s="13" t="s">
        <v>3964</v>
      </c>
      <c r="H711" s="13" t="s">
        <v>38</v>
      </c>
      <c r="I711" s="13">
        <v>900724450</v>
      </c>
      <c r="J711" s="13" t="s">
        <v>4272</v>
      </c>
      <c r="P711" s="13" t="s">
        <v>4402</v>
      </c>
      <c r="Q711" s="14">
        <v>10457200</v>
      </c>
      <c r="R711" s="8" t="e">
        <f>SUMIFS([1]REPORTADOS!$D$2:$D$3379,[1]REPORTADOS!$C$2:$C$3379,E711)</f>
        <v>#VALUE!</v>
      </c>
      <c r="S711" s="8" t="e">
        <f t="shared" si="11"/>
        <v>#VALUE!</v>
      </c>
    </row>
    <row r="712" spans="1:19" x14ac:dyDescent="0.25">
      <c r="A712">
        <v>900091143</v>
      </c>
      <c r="B712" t="s">
        <v>3965</v>
      </c>
      <c r="C712" s="13" t="s">
        <v>30</v>
      </c>
      <c r="E712" s="13" t="s">
        <v>30</v>
      </c>
      <c r="H712" s="13" t="s">
        <v>22</v>
      </c>
      <c r="I712" s="13">
        <v>36751052</v>
      </c>
      <c r="J712" s="13" t="s">
        <v>31</v>
      </c>
      <c r="P712" s="13" t="s">
        <v>4519</v>
      </c>
      <c r="Q712" s="14">
        <v>9650000</v>
      </c>
      <c r="R712" s="8" t="e">
        <f>SUMIFS([1]REPORTADOS!$D$2:$D$3379,[1]REPORTADOS!$C$2:$C$3379,E712)</f>
        <v>#VALUE!</v>
      </c>
      <c r="S712" s="8" t="e">
        <f t="shared" si="11"/>
        <v>#VALUE!</v>
      </c>
    </row>
    <row r="713" spans="1:19" x14ac:dyDescent="0.25">
      <c r="A713">
        <v>900091143</v>
      </c>
      <c r="B713" t="s">
        <v>29</v>
      </c>
      <c r="C713" s="10" t="s">
        <v>1696</v>
      </c>
      <c r="E713" s="10" t="s">
        <v>1696</v>
      </c>
      <c r="H713" t="s">
        <v>22</v>
      </c>
      <c r="I713">
        <v>1080690337</v>
      </c>
      <c r="J713" t="s">
        <v>3253</v>
      </c>
      <c r="P713" t="s">
        <v>4520</v>
      </c>
      <c r="Q713" s="3">
        <v>6000000</v>
      </c>
      <c r="R713" s="8" t="e">
        <f>SUMIFS([1]REPORTADOS!$D$2:$D$3379,[1]REPORTADOS!$C$2:$C$3379,E713)</f>
        <v>#VALUE!</v>
      </c>
      <c r="S713" s="8" t="e">
        <f>Q713-R713</f>
        <v>#VALUE!</v>
      </c>
    </row>
    <row r="714" spans="1:19" x14ac:dyDescent="0.25">
      <c r="A714">
        <v>900091143</v>
      </c>
      <c r="B714" t="s">
        <v>29</v>
      </c>
      <c r="C714" s="10" t="s">
        <v>30</v>
      </c>
      <c r="E714" s="10" t="s">
        <v>30</v>
      </c>
      <c r="H714" t="s">
        <v>22</v>
      </c>
      <c r="I714" s="11">
        <v>36751052</v>
      </c>
      <c r="J714" t="s">
        <v>31</v>
      </c>
      <c r="P714" t="s">
        <v>4519</v>
      </c>
      <c r="Q714" s="3">
        <v>9650000</v>
      </c>
      <c r="R714" s="8" t="e">
        <f>SUMIFS([1]REPORTADOS!$D$2:$D$3379,[1]REPORTADOS!$C$2:$C$3379,E714)</f>
        <v>#VALUE!</v>
      </c>
      <c r="S714" s="8" t="e">
        <f t="shared" ref="S714:S777" si="12">Q714-R714</f>
        <v>#VALUE!</v>
      </c>
    </row>
    <row r="715" spans="1:19" x14ac:dyDescent="0.25">
      <c r="A715">
        <v>900091143</v>
      </c>
      <c r="B715" t="s">
        <v>29</v>
      </c>
      <c r="C715" s="10" t="s">
        <v>2088</v>
      </c>
      <c r="E715" s="10" t="s">
        <v>2088</v>
      </c>
      <c r="H715" t="s">
        <v>22</v>
      </c>
      <c r="I715">
        <v>1085344794</v>
      </c>
      <c r="J715" t="s">
        <v>2089</v>
      </c>
      <c r="P715" t="s">
        <v>4521</v>
      </c>
      <c r="Q715" s="3">
        <v>15000000</v>
      </c>
      <c r="R715" s="8" t="e">
        <f>SUMIFS([1]REPORTADOS!$D$2:$D$3379,[1]REPORTADOS!$C$2:$C$3379,E715)</f>
        <v>#VALUE!</v>
      </c>
      <c r="S715" s="8" t="e">
        <f t="shared" si="12"/>
        <v>#VALUE!</v>
      </c>
    </row>
    <row r="716" spans="1:19" x14ac:dyDescent="0.25">
      <c r="A716">
        <v>900091143</v>
      </c>
      <c r="B716" t="s">
        <v>29</v>
      </c>
      <c r="C716" s="10" t="s">
        <v>2085</v>
      </c>
      <c r="E716" s="10" t="s">
        <v>2085</v>
      </c>
      <c r="H716" t="s">
        <v>22</v>
      </c>
      <c r="I716">
        <v>1085313870</v>
      </c>
      <c r="J716" t="s">
        <v>2086</v>
      </c>
      <c r="P716" t="s">
        <v>4522</v>
      </c>
      <c r="Q716" s="3">
        <v>9500000</v>
      </c>
      <c r="R716" s="8" t="e">
        <f>SUMIFS([1]REPORTADOS!$D$2:$D$3379,[1]REPORTADOS!$C$2:$C$3379,E716)</f>
        <v>#VALUE!</v>
      </c>
      <c r="S716" s="8" t="e">
        <f t="shared" si="12"/>
        <v>#VALUE!</v>
      </c>
    </row>
    <row r="717" spans="1:19" x14ac:dyDescent="0.25">
      <c r="A717">
        <v>900091143</v>
      </c>
      <c r="B717" t="s">
        <v>29</v>
      </c>
      <c r="C717" s="10" t="s">
        <v>2082</v>
      </c>
      <c r="E717" s="10" t="s">
        <v>2082</v>
      </c>
      <c r="H717" t="s">
        <v>22</v>
      </c>
      <c r="I717">
        <v>1087414586</v>
      </c>
      <c r="J717" t="s">
        <v>2083</v>
      </c>
      <c r="P717" t="s">
        <v>4523</v>
      </c>
      <c r="Q717" s="3">
        <v>9500000</v>
      </c>
      <c r="R717" s="8" t="e">
        <f>SUMIFS([1]REPORTADOS!$D$2:$D$3379,[1]REPORTADOS!$C$2:$C$3379,E717)</f>
        <v>#VALUE!</v>
      </c>
      <c r="S717" s="8" t="e">
        <f t="shared" si="12"/>
        <v>#VALUE!</v>
      </c>
    </row>
    <row r="718" spans="1:19" x14ac:dyDescent="0.25">
      <c r="A718">
        <v>900091143</v>
      </c>
      <c r="B718" t="s">
        <v>29</v>
      </c>
      <c r="C718" s="10" t="s">
        <v>2080</v>
      </c>
      <c r="E718" s="10" t="s">
        <v>2080</v>
      </c>
      <c r="H718" t="s">
        <v>22</v>
      </c>
      <c r="I718">
        <v>1085300619</v>
      </c>
      <c r="J718" t="s">
        <v>2081</v>
      </c>
      <c r="P718" t="s">
        <v>4524</v>
      </c>
      <c r="Q718" s="3">
        <v>15000000</v>
      </c>
      <c r="R718" s="8" t="e">
        <f>SUMIFS([1]REPORTADOS!$D$2:$D$3379,[1]REPORTADOS!$C$2:$C$3379,E718)</f>
        <v>#VALUE!</v>
      </c>
      <c r="S718" s="8" t="e">
        <f t="shared" si="12"/>
        <v>#VALUE!</v>
      </c>
    </row>
    <row r="719" spans="1:19" x14ac:dyDescent="0.25">
      <c r="A719">
        <v>900091143</v>
      </c>
      <c r="B719" t="s">
        <v>29</v>
      </c>
      <c r="C719" s="10" t="s">
        <v>2077</v>
      </c>
      <c r="E719" s="10" t="s">
        <v>2077</v>
      </c>
      <c r="H719" t="s">
        <v>22</v>
      </c>
      <c r="I719">
        <v>1085267505</v>
      </c>
      <c r="J719" t="s">
        <v>2078</v>
      </c>
      <c r="P719" t="s">
        <v>4525</v>
      </c>
      <c r="Q719" s="3">
        <v>6000000</v>
      </c>
      <c r="R719" s="8" t="e">
        <f>SUMIFS([1]REPORTADOS!$D$2:$D$3379,[1]REPORTADOS!$C$2:$C$3379,E719)</f>
        <v>#VALUE!</v>
      </c>
      <c r="S719" s="8" t="e">
        <f t="shared" si="12"/>
        <v>#VALUE!</v>
      </c>
    </row>
    <row r="720" spans="1:19" x14ac:dyDescent="0.25">
      <c r="A720">
        <v>900091143</v>
      </c>
      <c r="B720" t="s">
        <v>29</v>
      </c>
      <c r="C720" s="10" t="s">
        <v>2074</v>
      </c>
      <c r="E720" s="10" t="s">
        <v>2074</v>
      </c>
      <c r="H720" t="s">
        <v>22</v>
      </c>
      <c r="I720">
        <v>59835376</v>
      </c>
      <c r="J720" t="s">
        <v>2075</v>
      </c>
      <c r="P720" t="s">
        <v>4526</v>
      </c>
      <c r="Q720" s="3">
        <v>9650000</v>
      </c>
      <c r="R720" s="8" t="e">
        <f>SUMIFS([1]REPORTADOS!$D$2:$D$3379,[1]REPORTADOS!$C$2:$C$3379,E720)</f>
        <v>#VALUE!</v>
      </c>
      <c r="S720" s="8" t="e">
        <f t="shared" si="12"/>
        <v>#VALUE!</v>
      </c>
    </row>
    <row r="721" spans="1:19" x14ac:dyDescent="0.25">
      <c r="A721">
        <v>900091143</v>
      </c>
      <c r="B721" t="s">
        <v>29</v>
      </c>
      <c r="C721" s="10" t="s">
        <v>2071</v>
      </c>
      <c r="E721" s="10" t="s">
        <v>2071</v>
      </c>
      <c r="H721" t="s">
        <v>22</v>
      </c>
      <c r="I721">
        <v>1085937671</v>
      </c>
      <c r="J721" t="s">
        <v>2072</v>
      </c>
      <c r="P721" t="s">
        <v>4524</v>
      </c>
      <c r="Q721" s="3">
        <v>15000000</v>
      </c>
      <c r="R721" s="8" t="e">
        <f>SUMIFS([1]REPORTADOS!$D$2:$D$3379,[1]REPORTADOS!$C$2:$C$3379,E721)</f>
        <v>#VALUE!</v>
      </c>
      <c r="S721" s="8" t="e">
        <f t="shared" si="12"/>
        <v>#VALUE!</v>
      </c>
    </row>
    <row r="722" spans="1:19" x14ac:dyDescent="0.25">
      <c r="A722">
        <v>900091143</v>
      </c>
      <c r="B722" t="s">
        <v>29</v>
      </c>
      <c r="C722" s="10" t="s">
        <v>2068</v>
      </c>
      <c r="E722" s="10" t="s">
        <v>2068</v>
      </c>
      <c r="H722" t="s">
        <v>22</v>
      </c>
      <c r="I722">
        <v>59825382</v>
      </c>
      <c r="J722" t="s">
        <v>2069</v>
      </c>
      <c r="P722" t="s">
        <v>4527</v>
      </c>
      <c r="Q722" s="3">
        <v>6000000</v>
      </c>
      <c r="R722" s="8" t="e">
        <f>SUMIFS([1]REPORTADOS!$D$2:$D$3379,[1]REPORTADOS!$C$2:$C$3379,E722)</f>
        <v>#VALUE!</v>
      </c>
      <c r="S722" s="8" t="e">
        <f t="shared" si="12"/>
        <v>#VALUE!</v>
      </c>
    </row>
    <row r="723" spans="1:19" x14ac:dyDescent="0.25">
      <c r="A723">
        <v>900091143</v>
      </c>
      <c r="B723" t="s">
        <v>29</v>
      </c>
      <c r="C723" s="10" t="s">
        <v>2065</v>
      </c>
      <c r="E723" s="10" t="s">
        <v>2065</v>
      </c>
      <c r="H723" t="s">
        <v>22</v>
      </c>
      <c r="I723">
        <v>1030606749</v>
      </c>
      <c r="J723" t="s">
        <v>2066</v>
      </c>
      <c r="P723" t="s">
        <v>4528</v>
      </c>
      <c r="Q723" s="3">
        <v>6000000</v>
      </c>
      <c r="R723" s="8" t="e">
        <f>SUMIFS([1]REPORTADOS!$D$2:$D$3379,[1]REPORTADOS!$C$2:$C$3379,E723)</f>
        <v>#VALUE!</v>
      </c>
      <c r="S723" s="8" t="e">
        <f t="shared" si="12"/>
        <v>#VALUE!</v>
      </c>
    </row>
    <row r="724" spans="1:19" x14ac:dyDescent="0.25">
      <c r="A724">
        <v>900091143</v>
      </c>
      <c r="B724" t="s">
        <v>29</v>
      </c>
      <c r="C724" s="10" t="s">
        <v>2054</v>
      </c>
      <c r="E724" s="10" t="s">
        <v>2054</v>
      </c>
      <c r="H724" t="s">
        <v>22</v>
      </c>
      <c r="I724">
        <v>1080690249</v>
      </c>
      <c r="J724" t="s">
        <v>2055</v>
      </c>
      <c r="P724" t="s">
        <v>4529</v>
      </c>
      <c r="Q724" s="3">
        <v>6000000</v>
      </c>
      <c r="R724" s="8" t="e">
        <f>SUMIFS([1]REPORTADOS!$D$2:$D$3379,[1]REPORTADOS!$C$2:$C$3379,E724)</f>
        <v>#VALUE!</v>
      </c>
      <c r="S724" s="8" t="e">
        <f t="shared" si="12"/>
        <v>#VALUE!</v>
      </c>
    </row>
    <row r="725" spans="1:19" x14ac:dyDescent="0.25">
      <c r="A725">
        <v>900091143</v>
      </c>
      <c r="B725" t="s">
        <v>29</v>
      </c>
      <c r="C725" s="10" t="s">
        <v>2057</v>
      </c>
      <c r="E725" s="10" t="s">
        <v>2057</v>
      </c>
      <c r="H725" t="s">
        <v>22</v>
      </c>
      <c r="I725">
        <v>36754382</v>
      </c>
      <c r="J725" t="s">
        <v>2058</v>
      </c>
      <c r="P725" t="s">
        <v>4529</v>
      </c>
      <c r="Q725" s="3">
        <v>6000000</v>
      </c>
      <c r="R725" s="8" t="e">
        <f>SUMIFS([1]REPORTADOS!$D$2:$D$3379,[1]REPORTADOS!$C$2:$C$3379,E725)</f>
        <v>#VALUE!</v>
      </c>
      <c r="S725" s="8" t="e">
        <f t="shared" si="12"/>
        <v>#VALUE!</v>
      </c>
    </row>
    <row r="726" spans="1:19" x14ac:dyDescent="0.25">
      <c r="A726">
        <v>900091143</v>
      </c>
      <c r="B726" t="s">
        <v>29</v>
      </c>
      <c r="C726" s="10" t="s">
        <v>2063</v>
      </c>
      <c r="E726" s="10" t="s">
        <v>2063</v>
      </c>
      <c r="H726" t="s">
        <v>22</v>
      </c>
      <c r="I726">
        <v>5292370</v>
      </c>
      <c r="J726" t="s">
        <v>2064</v>
      </c>
      <c r="P726" t="s">
        <v>4529</v>
      </c>
      <c r="Q726" s="3">
        <v>4900000</v>
      </c>
      <c r="R726" s="8" t="e">
        <f>SUMIFS([1]REPORTADOS!$D$2:$D$3379,[1]REPORTADOS!$C$2:$C$3379,E726)</f>
        <v>#VALUE!</v>
      </c>
      <c r="S726" s="8" t="e">
        <f t="shared" si="12"/>
        <v>#VALUE!</v>
      </c>
    </row>
    <row r="727" spans="1:19" x14ac:dyDescent="0.25">
      <c r="A727">
        <v>900091143</v>
      </c>
      <c r="B727" t="s">
        <v>29</v>
      </c>
      <c r="C727" s="10" t="s">
        <v>2060</v>
      </c>
      <c r="E727" s="10" t="s">
        <v>2060</v>
      </c>
      <c r="H727" t="s">
        <v>22</v>
      </c>
      <c r="I727">
        <v>1085257949</v>
      </c>
      <c r="J727" t="s">
        <v>2061</v>
      </c>
      <c r="P727" t="s">
        <v>4530</v>
      </c>
      <c r="Q727" s="3">
        <v>6000000</v>
      </c>
      <c r="R727" s="8" t="e">
        <f>SUMIFS([1]REPORTADOS!$D$2:$D$3379,[1]REPORTADOS!$C$2:$C$3379,E727)</f>
        <v>#VALUE!</v>
      </c>
      <c r="S727" s="8" t="e">
        <f t="shared" si="12"/>
        <v>#VALUE!</v>
      </c>
    </row>
    <row r="728" spans="1:19" x14ac:dyDescent="0.25">
      <c r="A728">
        <v>900091143</v>
      </c>
      <c r="B728" t="s">
        <v>29</v>
      </c>
      <c r="C728" s="10" t="s">
        <v>2051</v>
      </c>
      <c r="E728" s="10" t="s">
        <v>2051</v>
      </c>
      <c r="H728" t="s">
        <v>22</v>
      </c>
      <c r="I728">
        <v>59835389</v>
      </c>
      <c r="J728" t="s">
        <v>2052</v>
      </c>
      <c r="P728" t="s">
        <v>4531</v>
      </c>
      <c r="Q728" s="3">
        <v>6000000</v>
      </c>
      <c r="R728" s="8" t="e">
        <f>SUMIFS([1]REPORTADOS!$D$2:$D$3379,[1]REPORTADOS!$C$2:$C$3379,E728)</f>
        <v>#VALUE!</v>
      </c>
      <c r="S728" s="8" t="e">
        <f t="shared" si="12"/>
        <v>#VALUE!</v>
      </c>
    </row>
    <row r="729" spans="1:19" x14ac:dyDescent="0.25">
      <c r="A729">
        <v>900091143</v>
      </c>
      <c r="B729" t="s">
        <v>29</v>
      </c>
      <c r="C729" t="s">
        <v>2043</v>
      </c>
      <c r="E729" t="s">
        <v>2043</v>
      </c>
      <c r="H729" t="s">
        <v>22</v>
      </c>
      <c r="I729">
        <v>1075242334</v>
      </c>
      <c r="J729" t="s">
        <v>1660</v>
      </c>
      <c r="P729" t="s">
        <v>4532</v>
      </c>
      <c r="Q729" s="3">
        <v>2500000</v>
      </c>
      <c r="R729" s="8" t="e">
        <f>SUMIFS([1]REPORTADOS!$D$2:$D$3379,[1]REPORTADOS!$C$2:$C$3379,E729)</f>
        <v>#VALUE!</v>
      </c>
      <c r="S729" s="8" t="e">
        <f t="shared" si="12"/>
        <v>#VALUE!</v>
      </c>
    </row>
    <row r="730" spans="1:19" x14ac:dyDescent="0.25">
      <c r="A730">
        <v>900091143</v>
      </c>
      <c r="B730" t="s">
        <v>29</v>
      </c>
      <c r="C730" t="s">
        <v>1986</v>
      </c>
      <c r="E730" t="s">
        <v>1986</v>
      </c>
      <c r="H730" t="s">
        <v>22</v>
      </c>
      <c r="I730">
        <v>12748383</v>
      </c>
      <c r="J730" t="s">
        <v>1987</v>
      </c>
      <c r="P730" t="s">
        <v>4533</v>
      </c>
      <c r="Q730" s="3">
        <v>4825000</v>
      </c>
      <c r="R730" s="8" t="e">
        <f>SUMIFS([1]REPORTADOS!$D$2:$D$3379,[1]REPORTADOS!$C$2:$C$3379,E730)</f>
        <v>#VALUE!</v>
      </c>
      <c r="S730" s="8" t="e">
        <f t="shared" si="12"/>
        <v>#VALUE!</v>
      </c>
    </row>
    <row r="731" spans="1:19" x14ac:dyDescent="0.25">
      <c r="A731">
        <v>900091143</v>
      </c>
      <c r="B731" t="s">
        <v>29</v>
      </c>
      <c r="C731" t="s">
        <v>2014</v>
      </c>
      <c r="E731" t="s">
        <v>2014</v>
      </c>
      <c r="H731" t="s">
        <v>22</v>
      </c>
      <c r="I731">
        <v>1086222977</v>
      </c>
      <c r="J731" t="s">
        <v>2015</v>
      </c>
      <c r="P731" t="s">
        <v>4534</v>
      </c>
      <c r="Q731" s="3">
        <v>6000000</v>
      </c>
      <c r="R731" s="8" t="e">
        <f>SUMIFS([1]REPORTADOS!$D$2:$D$3379,[1]REPORTADOS!$C$2:$C$3379,E731)</f>
        <v>#VALUE!</v>
      </c>
      <c r="S731" s="8" t="e">
        <f t="shared" si="12"/>
        <v>#VALUE!</v>
      </c>
    </row>
    <row r="732" spans="1:19" x14ac:dyDescent="0.25">
      <c r="A732">
        <v>900091143</v>
      </c>
      <c r="B732" t="s">
        <v>29</v>
      </c>
      <c r="C732" t="s">
        <v>2040</v>
      </c>
      <c r="E732" t="s">
        <v>2040</v>
      </c>
      <c r="H732" t="s">
        <v>22</v>
      </c>
      <c r="I732">
        <v>27091114</v>
      </c>
      <c r="J732" t="s">
        <v>2041</v>
      </c>
      <c r="P732" t="s">
        <v>4535</v>
      </c>
      <c r="Q732" s="3">
        <v>6000000</v>
      </c>
      <c r="R732" s="8" t="e">
        <f>SUMIFS([1]REPORTADOS!$D$2:$D$3379,[1]REPORTADOS!$C$2:$C$3379,E732)</f>
        <v>#VALUE!</v>
      </c>
      <c r="S732" s="8" t="e">
        <f t="shared" si="12"/>
        <v>#VALUE!</v>
      </c>
    </row>
    <row r="733" spans="1:19" x14ac:dyDescent="0.25">
      <c r="A733">
        <v>900091143</v>
      </c>
      <c r="B733" t="s">
        <v>29</v>
      </c>
      <c r="C733" t="s">
        <v>2037</v>
      </c>
      <c r="E733" t="s">
        <v>2037</v>
      </c>
      <c r="H733" t="s">
        <v>22</v>
      </c>
      <c r="I733">
        <v>1085344795</v>
      </c>
      <c r="J733" t="s">
        <v>2038</v>
      </c>
      <c r="P733" t="s">
        <v>4536</v>
      </c>
      <c r="Q733" s="3">
        <v>6000000</v>
      </c>
      <c r="R733" s="8" t="e">
        <f>SUMIFS([1]REPORTADOS!$D$2:$D$3379,[1]REPORTADOS!$C$2:$C$3379,E733)</f>
        <v>#VALUE!</v>
      </c>
      <c r="S733" s="8" t="e">
        <f t="shared" si="12"/>
        <v>#VALUE!</v>
      </c>
    </row>
    <row r="734" spans="1:19" x14ac:dyDescent="0.25">
      <c r="A734">
        <v>900091143</v>
      </c>
      <c r="B734" t="s">
        <v>29</v>
      </c>
      <c r="C734" t="s">
        <v>2034</v>
      </c>
      <c r="E734" t="s">
        <v>2034</v>
      </c>
      <c r="H734" t="s">
        <v>22</v>
      </c>
      <c r="I734">
        <v>59833899</v>
      </c>
      <c r="J734" t="s">
        <v>2035</v>
      </c>
      <c r="P734" t="s">
        <v>4537</v>
      </c>
      <c r="Q734" s="3">
        <v>6000000</v>
      </c>
      <c r="R734" s="8" t="e">
        <f>SUMIFS([1]REPORTADOS!$D$2:$D$3379,[1]REPORTADOS!$C$2:$C$3379,E734)</f>
        <v>#VALUE!</v>
      </c>
      <c r="S734" s="8" t="e">
        <f t="shared" si="12"/>
        <v>#VALUE!</v>
      </c>
    </row>
    <row r="735" spans="1:19" x14ac:dyDescent="0.25">
      <c r="A735">
        <v>900091143</v>
      </c>
      <c r="B735" t="s">
        <v>29</v>
      </c>
      <c r="C735" t="s">
        <v>2031</v>
      </c>
      <c r="E735" t="s">
        <v>2031</v>
      </c>
      <c r="H735" t="s">
        <v>22</v>
      </c>
      <c r="I735">
        <v>1085325325</v>
      </c>
      <c r="J735" t="s">
        <v>2032</v>
      </c>
      <c r="P735" t="s">
        <v>4538</v>
      </c>
      <c r="Q735" s="3">
        <v>6000000</v>
      </c>
      <c r="R735" s="8" t="e">
        <f>SUMIFS([1]REPORTADOS!$D$2:$D$3379,[1]REPORTADOS!$C$2:$C$3379,E735)</f>
        <v>#VALUE!</v>
      </c>
      <c r="S735" s="8" t="e">
        <f t="shared" si="12"/>
        <v>#VALUE!</v>
      </c>
    </row>
    <row r="736" spans="1:19" x14ac:dyDescent="0.25">
      <c r="A736">
        <v>900091143</v>
      </c>
      <c r="B736" t="s">
        <v>29</v>
      </c>
      <c r="C736" t="s">
        <v>2029</v>
      </c>
      <c r="E736" t="s">
        <v>2029</v>
      </c>
      <c r="H736" t="s">
        <v>22</v>
      </c>
      <c r="I736">
        <v>1193271854</v>
      </c>
      <c r="J736" t="s">
        <v>1695</v>
      </c>
      <c r="P736" t="s">
        <v>4539</v>
      </c>
      <c r="Q736" s="3">
        <v>6000000</v>
      </c>
      <c r="R736" s="8" t="e">
        <f>SUMIFS([1]REPORTADOS!$D$2:$D$3379,[1]REPORTADOS!$C$2:$C$3379,E736)</f>
        <v>#VALUE!</v>
      </c>
      <c r="S736" s="8" t="e">
        <f t="shared" si="12"/>
        <v>#VALUE!</v>
      </c>
    </row>
    <row r="737" spans="1:19" x14ac:dyDescent="0.25">
      <c r="A737">
        <v>900091143</v>
      </c>
      <c r="B737" t="s">
        <v>29</v>
      </c>
      <c r="C737" t="s">
        <v>2027</v>
      </c>
      <c r="E737" t="s">
        <v>2027</v>
      </c>
      <c r="H737" t="s">
        <v>22</v>
      </c>
      <c r="I737">
        <v>1086328142</v>
      </c>
      <c r="J737" s="6" t="s">
        <v>2432</v>
      </c>
      <c r="P737" t="s">
        <v>4540</v>
      </c>
      <c r="Q737" s="3">
        <v>6000000</v>
      </c>
      <c r="R737" s="8" t="e">
        <f>SUMIFS([1]REPORTADOS!$D$2:$D$3379,[1]REPORTADOS!$C$2:$C$3379,E737)</f>
        <v>#VALUE!</v>
      </c>
      <c r="S737" s="8" t="e">
        <f t="shared" si="12"/>
        <v>#VALUE!</v>
      </c>
    </row>
    <row r="738" spans="1:19" x14ac:dyDescent="0.25">
      <c r="A738">
        <v>900091143</v>
      </c>
      <c r="B738" t="s">
        <v>29</v>
      </c>
      <c r="C738" t="s">
        <v>2025</v>
      </c>
      <c r="E738" t="s">
        <v>2025</v>
      </c>
      <c r="H738" t="s">
        <v>22</v>
      </c>
      <c r="I738">
        <v>59830040</v>
      </c>
      <c r="J738" t="s">
        <v>2026</v>
      </c>
      <c r="P738" t="s">
        <v>4541</v>
      </c>
      <c r="Q738" s="3">
        <v>6000000</v>
      </c>
      <c r="R738" s="8" t="e">
        <f>SUMIFS([1]REPORTADOS!$D$2:$D$3379,[1]REPORTADOS!$C$2:$C$3379,E738)</f>
        <v>#VALUE!</v>
      </c>
      <c r="S738" s="8" t="e">
        <f t="shared" si="12"/>
        <v>#VALUE!</v>
      </c>
    </row>
    <row r="739" spans="1:19" x14ac:dyDescent="0.25">
      <c r="A739">
        <v>900091143</v>
      </c>
      <c r="B739" t="s">
        <v>29</v>
      </c>
      <c r="C739" t="s">
        <v>2022</v>
      </c>
      <c r="E739" t="s">
        <v>2022</v>
      </c>
      <c r="H739" t="s">
        <v>22</v>
      </c>
      <c r="I739">
        <v>1085327836</v>
      </c>
      <c r="J739" t="s">
        <v>2023</v>
      </c>
      <c r="P739" t="s">
        <v>4542</v>
      </c>
      <c r="Q739" s="3">
        <v>5000000</v>
      </c>
      <c r="R739" s="8" t="e">
        <f>SUMIFS([1]REPORTADOS!$D$2:$D$3379,[1]REPORTADOS!$C$2:$C$3379,E739)</f>
        <v>#VALUE!</v>
      </c>
      <c r="S739" s="8" t="e">
        <f t="shared" si="12"/>
        <v>#VALUE!</v>
      </c>
    </row>
    <row r="740" spans="1:19" x14ac:dyDescent="0.25">
      <c r="A740">
        <v>900091143</v>
      </c>
      <c r="B740" t="s">
        <v>29</v>
      </c>
      <c r="C740" t="s">
        <v>2020</v>
      </c>
      <c r="E740" t="s">
        <v>2020</v>
      </c>
      <c r="H740" t="s">
        <v>22</v>
      </c>
      <c r="I740">
        <v>1193223736</v>
      </c>
      <c r="J740" t="s">
        <v>2021</v>
      </c>
      <c r="P740" t="s">
        <v>4543</v>
      </c>
      <c r="Q740" s="3">
        <v>12000000</v>
      </c>
      <c r="R740" s="8" t="e">
        <f>SUMIFS([1]REPORTADOS!$D$2:$D$3379,[1]REPORTADOS!$C$2:$C$3379,E740)</f>
        <v>#VALUE!</v>
      </c>
      <c r="S740" s="8" t="e">
        <f t="shared" si="12"/>
        <v>#VALUE!</v>
      </c>
    </row>
    <row r="741" spans="1:19" x14ac:dyDescent="0.25">
      <c r="A741">
        <v>900091143</v>
      </c>
      <c r="B741" t="s">
        <v>29</v>
      </c>
      <c r="C741" t="s">
        <v>2003</v>
      </c>
      <c r="E741" t="s">
        <v>2003</v>
      </c>
      <c r="H741" t="s">
        <v>22</v>
      </c>
      <c r="I741">
        <v>1030606749</v>
      </c>
      <c r="J741" t="s">
        <v>2004</v>
      </c>
      <c r="P741" t="s">
        <v>4544</v>
      </c>
      <c r="Q741" s="3">
        <v>6000000</v>
      </c>
      <c r="R741" s="8" t="e">
        <f>SUMIFS([1]REPORTADOS!$D$2:$D$3379,[1]REPORTADOS!$C$2:$C$3379,E741)</f>
        <v>#VALUE!</v>
      </c>
      <c r="S741" s="8" t="e">
        <f t="shared" si="12"/>
        <v>#VALUE!</v>
      </c>
    </row>
    <row r="742" spans="1:19" x14ac:dyDescent="0.25">
      <c r="A742">
        <v>900091143</v>
      </c>
      <c r="B742" t="s">
        <v>29</v>
      </c>
      <c r="C742" t="s">
        <v>2000</v>
      </c>
      <c r="E742" t="s">
        <v>2000</v>
      </c>
      <c r="H742" t="s">
        <v>22</v>
      </c>
      <c r="I742">
        <v>36954410</v>
      </c>
      <c r="J742" t="s">
        <v>2001</v>
      </c>
      <c r="P742" t="s">
        <v>4545</v>
      </c>
      <c r="Q742" s="3">
        <v>12000000</v>
      </c>
      <c r="R742" s="8" t="e">
        <f>SUMIFS([1]REPORTADOS!$D$2:$D$3379,[1]REPORTADOS!$C$2:$C$3379,E742)</f>
        <v>#VALUE!</v>
      </c>
      <c r="S742" s="8" t="e">
        <f t="shared" si="12"/>
        <v>#VALUE!</v>
      </c>
    </row>
    <row r="743" spans="1:19" x14ac:dyDescent="0.25">
      <c r="A743">
        <v>900091143</v>
      </c>
      <c r="B743" t="s">
        <v>29</v>
      </c>
      <c r="C743" t="s">
        <v>1997</v>
      </c>
      <c r="E743" t="s">
        <v>1997</v>
      </c>
      <c r="H743" t="s">
        <v>22</v>
      </c>
      <c r="I743">
        <v>1085248939</v>
      </c>
      <c r="J743" t="s">
        <v>1998</v>
      </c>
      <c r="P743" t="s">
        <v>4546</v>
      </c>
      <c r="Q743" s="3">
        <v>12000000</v>
      </c>
      <c r="R743" s="8" t="e">
        <f>SUMIFS([1]REPORTADOS!$D$2:$D$3379,[1]REPORTADOS!$C$2:$C$3379,E743)</f>
        <v>#VALUE!</v>
      </c>
      <c r="S743" s="8" t="e">
        <f t="shared" si="12"/>
        <v>#VALUE!</v>
      </c>
    </row>
    <row r="744" spans="1:19" x14ac:dyDescent="0.25">
      <c r="A744">
        <v>900091143</v>
      </c>
      <c r="B744" t="s">
        <v>29</v>
      </c>
      <c r="C744" t="s">
        <v>2017</v>
      </c>
      <c r="E744" t="s">
        <v>2017</v>
      </c>
      <c r="H744" t="s">
        <v>22</v>
      </c>
      <c r="I744">
        <v>59828916</v>
      </c>
      <c r="J744" t="s">
        <v>2018</v>
      </c>
      <c r="P744" t="s">
        <v>4547</v>
      </c>
      <c r="Q744" s="3">
        <v>6000000</v>
      </c>
      <c r="R744" s="8" t="e">
        <f>SUMIFS([1]REPORTADOS!$D$2:$D$3379,[1]REPORTADOS!$C$2:$C$3379,E744)</f>
        <v>#VALUE!</v>
      </c>
      <c r="S744" s="8" t="e">
        <f t="shared" si="12"/>
        <v>#VALUE!</v>
      </c>
    </row>
    <row r="745" spans="1:19" x14ac:dyDescent="0.25">
      <c r="A745">
        <v>900091143</v>
      </c>
      <c r="B745" t="s">
        <v>29</v>
      </c>
      <c r="C745" t="s">
        <v>1989</v>
      </c>
      <c r="E745" t="s">
        <v>1989</v>
      </c>
      <c r="H745" t="s">
        <v>22</v>
      </c>
      <c r="I745">
        <v>1004213964</v>
      </c>
      <c r="J745" t="s">
        <v>1990</v>
      </c>
      <c r="P745" t="s">
        <v>4548</v>
      </c>
      <c r="Q745" s="3">
        <v>12000000</v>
      </c>
      <c r="R745" s="8" t="e">
        <f>SUMIFS([1]REPORTADOS!$D$2:$D$3379,[1]REPORTADOS!$C$2:$C$3379,E745)</f>
        <v>#VALUE!</v>
      </c>
      <c r="S745" s="8" t="e">
        <f t="shared" si="12"/>
        <v>#VALUE!</v>
      </c>
    </row>
    <row r="746" spans="1:19" x14ac:dyDescent="0.25">
      <c r="A746">
        <v>900091143</v>
      </c>
      <c r="B746" t="s">
        <v>29</v>
      </c>
      <c r="C746" t="s">
        <v>1925</v>
      </c>
      <c r="E746" t="s">
        <v>1925</v>
      </c>
      <c r="H746" t="s">
        <v>22</v>
      </c>
      <c r="I746">
        <v>36951301</v>
      </c>
      <c r="J746" t="s">
        <v>1926</v>
      </c>
      <c r="P746" t="s">
        <v>4549</v>
      </c>
      <c r="Q746" s="3">
        <v>9650000</v>
      </c>
      <c r="R746" s="8" t="e">
        <f>SUMIFS([1]REPORTADOS!$D$2:$D$3379,[1]REPORTADOS!$C$2:$C$3379,E746)</f>
        <v>#VALUE!</v>
      </c>
      <c r="S746" s="8" t="e">
        <f t="shared" si="12"/>
        <v>#VALUE!</v>
      </c>
    </row>
    <row r="747" spans="1:19" x14ac:dyDescent="0.25">
      <c r="A747">
        <v>900091143</v>
      </c>
      <c r="B747" t="s">
        <v>29</v>
      </c>
      <c r="C747" t="s">
        <v>1994</v>
      </c>
      <c r="E747" t="s">
        <v>1994</v>
      </c>
      <c r="H747" t="s">
        <v>22</v>
      </c>
      <c r="I747">
        <v>59813323</v>
      </c>
      <c r="J747" t="s">
        <v>1995</v>
      </c>
      <c r="P747" t="s">
        <v>4550</v>
      </c>
      <c r="Q747" s="3">
        <v>6000000</v>
      </c>
      <c r="R747" s="8" t="e">
        <f>SUMIFS([1]REPORTADOS!$D$2:$D$3379,[1]REPORTADOS!$C$2:$C$3379,E747)</f>
        <v>#VALUE!</v>
      </c>
      <c r="S747" s="8" t="e">
        <f t="shared" si="12"/>
        <v>#VALUE!</v>
      </c>
    </row>
    <row r="748" spans="1:19" x14ac:dyDescent="0.25">
      <c r="A748">
        <v>900091143</v>
      </c>
      <c r="B748" t="s">
        <v>29</v>
      </c>
      <c r="C748" t="s">
        <v>1983</v>
      </c>
      <c r="E748" t="s">
        <v>1983</v>
      </c>
      <c r="H748" t="s">
        <v>22</v>
      </c>
      <c r="I748">
        <v>1085261053</v>
      </c>
      <c r="J748" t="s">
        <v>1984</v>
      </c>
      <c r="P748" t="s">
        <v>4551</v>
      </c>
      <c r="Q748" s="3">
        <v>6000000</v>
      </c>
      <c r="R748" s="8" t="e">
        <f>SUMIFS([1]REPORTADOS!$D$2:$D$3379,[1]REPORTADOS!$C$2:$C$3379,E748)</f>
        <v>#VALUE!</v>
      </c>
      <c r="S748" s="8" t="e">
        <f t="shared" si="12"/>
        <v>#VALUE!</v>
      </c>
    </row>
    <row r="749" spans="1:19" x14ac:dyDescent="0.25">
      <c r="A749">
        <v>900091143</v>
      </c>
      <c r="B749" t="s">
        <v>29</v>
      </c>
      <c r="C749" s="6" t="s">
        <v>1980</v>
      </c>
      <c r="E749" s="6" t="s">
        <v>1980</v>
      </c>
      <c r="H749" t="s">
        <v>22</v>
      </c>
      <c r="I749">
        <v>1085266584</v>
      </c>
      <c r="J749" t="s">
        <v>1981</v>
      </c>
      <c r="P749" t="s">
        <v>4552</v>
      </c>
      <c r="Q749" s="3">
        <v>6000000</v>
      </c>
      <c r="R749" s="8" t="e">
        <f>SUMIFS([1]REPORTADOS!$D$2:$D$3379,[1]REPORTADOS!$C$2:$C$3379,E749)</f>
        <v>#VALUE!</v>
      </c>
      <c r="S749" s="8" t="e">
        <f t="shared" si="12"/>
        <v>#VALUE!</v>
      </c>
    </row>
    <row r="750" spans="1:19" x14ac:dyDescent="0.25">
      <c r="A750">
        <v>900091143</v>
      </c>
      <c r="B750" t="s">
        <v>29</v>
      </c>
      <c r="C750" t="s">
        <v>1977</v>
      </c>
      <c r="E750" t="s">
        <v>1977</v>
      </c>
      <c r="H750" t="s">
        <v>22</v>
      </c>
      <c r="I750">
        <v>27097745</v>
      </c>
      <c r="J750" t="s">
        <v>1978</v>
      </c>
      <c r="P750" t="s">
        <v>4553</v>
      </c>
      <c r="Q750" s="3">
        <v>12000000</v>
      </c>
      <c r="R750" s="8" t="e">
        <f>SUMIFS([1]REPORTADOS!$D$2:$D$3379,[1]REPORTADOS!$C$2:$C$3379,E750)</f>
        <v>#VALUE!</v>
      </c>
      <c r="S750" s="8" t="e">
        <f t="shared" si="12"/>
        <v>#VALUE!</v>
      </c>
    </row>
    <row r="751" spans="1:19" x14ac:dyDescent="0.25">
      <c r="A751">
        <v>900091143</v>
      </c>
      <c r="B751" t="s">
        <v>29</v>
      </c>
      <c r="C751" t="s">
        <v>1974</v>
      </c>
      <c r="E751" t="s">
        <v>1974</v>
      </c>
      <c r="H751" t="s">
        <v>22</v>
      </c>
      <c r="I751">
        <v>1084224968</v>
      </c>
      <c r="J751" t="s">
        <v>1975</v>
      </c>
      <c r="P751" t="s">
        <v>4554</v>
      </c>
      <c r="Q751" s="3">
        <v>6000000</v>
      </c>
      <c r="R751" s="8" t="e">
        <f>SUMIFS([1]REPORTADOS!$D$2:$D$3379,[1]REPORTADOS!$C$2:$C$3379,E751)</f>
        <v>#VALUE!</v>
      </c>
      <c r="S751" s="8" t="e">
        <f t="shared" si="12"/>
        <v>#VALUE!</v>
      </c>
    </row>
    <row r="752" spans="1:19" x14ac:dyDescent="0.25">
      <c r="A752">
        <v>900091143</v>
      </c>
      <c r="B752" t="s">
        <v>29</v>
      </c>
      <c r="C752" t="s">
        <v>1972</v>
      </c>
      <c r="E752" t="s">
        <v>1972</v>
      </c>
      <c r="H752" t="s">
        <v>22</v>
      </c>
      <c r="I752">
        <v>1085310465</v>
      </c>
      <c r="J752" t="s">
        <v>1973</v>
      </c>
      <c r="P752" t="s">
        <v>4555</v>
      </c>
      <c r="Q752" s="3">
        <v>5000000</v>
      </c>
      <c r="R752" s="8" t="e">
        <f>SUMIFS([1]REPORTADOS!$D$2:$D$3379,[1]REPORTADOS!$C$2:$C$3379,E752)</f>
        <v>#VALUE!</v>
      </c>
      <c r="S752" s="8" t="e">
        <f t="shared" si="12"/>
        <v>#VALUE!</v>
      </c>
    </row>
    <row r="753" spans="1:19" x14ac:dyDescent="0.25">
      <c r="A753">
        <v>900091143</v>
      </c>
      <c r="B753" t="s">
        <v>29</v>
      </c>
      <c r="C753" t="s">
        <v>1862</v>
      </c>
      <c r="E753" t="s">
        <v>1862</v>
      </c>
      <c r="H753" t="s">
        <v>22</v>
      </c>
      <c r="I753">
        <v>30722194</v>
      </c>
      <c r="J753" t="s">
        <v>1863</v>
      </c>
      <c r="P753" t="s">
        <v>4555</v>
      </c>
      <c r="Q753" s="3">
        <v>5000000</v>
      </c>
      <c r="R753" s="8" t="e">
        <f>SUMIFS([1]REPORTADOS!$D$2:$D$3379,[1]REPORTADOS!$C$2:$C$3379,E753)</f>
        <v>#VALUE!</v>
      </c>
      <c r="S753" s="8" t="e">
        <f t="shared" si="12"/>
        <v>#VALUE!</v>
      </c>
    </row>
    <row r="754" spans="1:19" x14ac:dyDescent="0.25">
      <c r="A754">
        <v>900091143</v>
      </c>
      <c r="B754" t="s">
        <v>29</v>
      </c>
      <c r="C754" t="s">
        <v>2011</v>
      </c>
      <c r="E754" t="s">
        <v>2011</v>
      </c>
      <c r="H754" t="s">
        <v>3254</v>
      </c>
      <c r="I754">
        <v>901340412</v>
      </c>
      <c r="J754" t="s">
        <v>2012</v>
      </c>
      <c r="P754" t="s">
        <v>2013</v>
      </c>
      <c r="Q754" s="3">
        <v>173682694</v>
      </c>
      <c r="R754" s="8" t="e">
        <f>SUMIFS([1]REPORTADOS!$D$2:$D$3379,[1]REPORTADOS!$C$2:$C$3379,E754)</f>
        <v>#VALUE!</v>
      </c>
      <c r="S754" s="8" t="e">
        <f t="shared" si="12"/>
        <v>#VALUE!</v>
      </c>
    </row>
    <row r="755" spans="1:19" x14ac:dyDescent="0.25">
      <c r="A755">
        <v>900091143</v>
      </c>
      <c r="B755" t="s">
        <v>29</v>
      </c>
      <c r="C755" t="s">
        <v>1966</v>
      </c>
      <c r="E755" t="s">
        <v>1966</v>
      </c>
      <c r="H755" t="s">
        <v>22</v>
      </c>
      <c r="I755">
        <v>1004592366</v>
      </c>
      <c r="J755" t="s">
        <v>1967</v>
      </c>
      <c r="P755" t="s">
        <v>4556</v>
      </c>
      <c r="Q755" s="3">
        <v>6000000</v>
      </c>
      <c r="R755" s="8" t="e">
        <f>SUMIFS([1]REPORTADOS!$D$2:$D$3379,[1]REPORTADOS!$C$2:$C$3379,E755)</f>
        <v>#VALUE!</v>
      </c>
      <c r="S755" s="8" t="e">
        <f t="shared" si="12"/>
        <v>#VALUE!</v>
      </c>
    </row>
    <row r="756" spans="1:19" x14ac:dyDescent="0.25">
      <c r="A756">
        <v>900091143</v>
      </c>
      <c r="B756" t="s">
        <v>29</v>
      </c>
      <c r="C756" t="s">
        <v>1963</v>
      </c>
      <c r="E756" t="s">
        <v>1963</v>
      </c>
      <c r="H756" t="s">
        <v>22</v>
      </c>
      <c r="I756">
        <v>1085253062</v>
      </c>
      <c r="J756" t="s">
        <v>1964</v>
      </c>
      <c r="P756" t="s">
        <v>4557</v>
      </c>
      <c r="Q756" s="3">
        <v>12000000</v>
      </c>
      <c r="R756" s="8" t="e">
        <f>SUMIFS([1]REPORTADOS!$D$2:$D$3379,[1]REPORTADOS!$C$2:$C$3379,E756)</f>
        <v>#VALUE!</v>
      </c>
      <c r="S756" s="8" t="e">
        <f t="shared" si="12"/>
        <v>#VALUE!</v>
      </c>
    </row>
    <row r="757" spans="1:19" x14ac:dyDescent="0.25">
      <c r="A757">
        <v>900091143</v>
      </c>
      <c r="B757" t="s">
        <v>29</v>
      </c>
      <c r="C757" t="s">
        <v>1960</v>
      </c>
      <c r="E757" t="s">
        <v>1960</v>
      </c>
      <c r="H757" t="s">
        <v>22</v>
      </c>
      <c r="I757">
        <v>27087122</v>
      </c>
      <c r="J757" t="s">
        <v>1961</v>
      </c>
      <c r="P757" t="s">
        <v>4558</v>
      </c>
      <c r="Q757" s="3">
        <v>6000000</v>
      </c>
      <c r="R757" s="8" t="e">
        <f>SUMIFS([1]REPORTADOS!$D$2:$D$3379,[1]REPORTADOS!$C$2:$C$3379,E757)</f>
        <v>#VALUE!</v>
      </c>
      <c r="S757" s="8" t="e">
        <f t="shared" si="12"/>
        <v>#VALUE!</v>
      </c>
    </row>
    <row r="758" spans="1:19" x14ac:dyDescent="0.25">
      <c r="A758">
        <v>900091143</v>
      </c>
      <c r="B758" t="s">
        <v>29</v>
      </c>
      <c r="C758" t="s">
        <v>1956</v>
      </c>
      <c r="E758" t="s">
        <v>1956</v>
      </c>
      <c r="H758" t="s">
        <v>22</v>
      </c>
      <c r="I758">
        <v>1085314608</v>
      </c>
      <c r="J758" t="s">
        <v>1957</v>
      </c>
      <c r="P758" t="s">
        <v>4559</v>
      </c>
      <c r="Q758" s="3">
        <v>6000000</v>
      </c>
      <c r="R758" s="8" t="e">
        <f>SUMIFS([1]REPORTADOS!$D$2:$D$3379,[1]REPORTADOS!$C$2:$C$3379,E758)</f>
        <v>#VALUE!</v>
      </c>
      <c r="S758" s="8" t="e">
        <f t="shared" si="12"/>
        <v>#VALUE!</v>
      </c>
    </row>
    <row r="759" spans="1:19" x14ac:dyDescent="0.25">
      <c r="A759">
        <v>900091143</v>
      </c>
      <c r="B759" t="s">
        <v>29</v>
      </c>
      <c r="C759" t="s">
        <v>1958</v>
      </c>
      <c r="E759" t="s">
        <v>1958</v>
      </c>
      <c r="H759" t="s">
        <v>22</v>
      </c>
      <c r="I759">
        <v>1085304308</v>
      </c>
      <c r="J759" t="s">
        <v>1959</v>
      </c>
      <c r="P759" t="s">
        <v>4560</v>
      </c>
      <c r="Q759" s="3">
        <v>6000000</v>
      </c>
      <c r="R759" s="8" t="e">
        <f>SUMIFS([1]REPORTADOS!$D$2:$D$3379,[1]REPORTADOS!$C$2:$C$3379,E759)</f>
        <v>#VALUE!</v>
      </c>
      <c r="S759" s="8" t="e">
        <f t="shared" si="12"/>
        <v>#VALUE!</v>
      </c>
    </row>
    <row r="760" spans="1:19" x14ac:dyDescent="0.25">
      <c r="A760">
        <v>900091143</v>
      </c>
      <c r="B760" t="s">
        <v>29</v>
      </c>
      <c r="C760" t="s">
        <v>2008</v>
      </c>
      <c r="E760" t="s">
        <v>2008</v>
      </c>
      <c r="H760" t="s">
        <v>22</v>
      </c>
      <c r="I760">
        <v>1082748783</v>
      </c>
      <c r="J760" t="s">
        <v>2009</v>
      </c>
      <c r="P760" t="s">
        <v>4561</v>
      </c>
      <c r="Q760" s="3">
        <v>6000000</v>
      </c>
      <c r="R760" s="8" t="e">
        <f>SUMIFS([1]REPORTADOS!$D$2:$D$3379,[1]REPORTADOS!$C$2:$C$3379,E760)</f>
        <v>#VALUE!</v>
      </c>
      <c r="S760" s="8" t="e">
        <f t="shared" si="12"/>
        <v>#VALUE!</v>
      </c>
    </row>
    <row r="761" spans="1:19" x14ac:dyDescent="0.25">
      <c r="A761">
        <v>900091143</v>
      </c>
      <c r="B761" t="s">
        <v>29</v>
      </c>
      <c r="C761" t="s">
        <v>1950</v>
      </c>
      <c r="E761" t="s">
        <v>1950</v>
      </c>
      <c r="H761" t="s">
        <v>22</v>
      </c>
      <c r="I761">
        <v>1084552048</v>
      </c>
      <c r="J761" t="s">
        <v>1951</v>
      </c>
      <c r="P761" t="s">
        <v>4562</v>
      </c>
      <c r="Q761" s="3">
        <v>5000000</v>
      </c>
      <c r="R761" s="8" t="e">
        <f>SUMIFS([1]REPORTADOS!$D$2:$D$3379,[1]REPORTADOS!$C$2:$C$3379,E761)</f>
        <v>#VALUE!</v>
      </c>
      <c r="S761" s="8" t="e">
        <f t="shared" si="12"/>
        <v>#VALUE!</v>
      </c>
    </row>
    <row r="762" spans="1:19" x14ac:dyDescent="0.25">
      <c r="A762">
        <v>900091143</v>
      </c>
      <c r="B762" t="s">
        <v>29</v>
      </c>
      <c r="C762" t="s">
        <v>1944</v>
      </c>
      <c r="E762" t="s">
        <v>1944</v>
      </c>
      <c r="H762" t="s">
        <v>22</v>
      </c>
      <c r="I762">
        <v>1085274630</v>
      </c>
      <c r="J762" t="s">
        <v>1945</v>
      </c>
      <c r="P762" t="s">
        <v>4563</v>
      </c>
      <c r="Q762" s="3">
        <v>6000000</v>
      </c>
      <c r="R762" s="8" t="e">
        <f>SUMIFS([1]REPORTADOS!$D$2:$D$3379,[1]REPORTADOS!$C$2:$C$3379,E762)</f>
        <v>#VALUE!</v>
      </c>
      <c r="S762" s="8" t="e">
        <f t="shared" si="12"/>
        <v>#VALUE!</v>
      </c>
    </row>
    <row r="763" spans="1:19" x14ac:dyDescent="0.25">
      <c r="A763">
        <v>900091143</v>
      </c>
      <c r="B763" t="s">
        <v>29</v>
      </c>
      <c r="C763" t="s">
        <v>1941</v>
      </c>
      <c r="E763" t="s">
        <v>1941</v>
      </c>
      <c r="H763" t="s">
        <v>22</v>
      </c>
      <c r="I763">
        <v>1086363186</v>
      </c>
      <c r="J763" t="s">
        <v>1942</v>
      </c>
      <c r="P763" t="s">
        <v>4564</v>
      </c>
      <c r="Q763" s="3">
        <v>6000000</v>
      </c>
      <c r="R763" s="8" t="e">
        <f>SUMIFS([1]REPORTADOS!$D$2:$D$3379,[1]REPORTADOS!$C$2:$C$3379,E763)</f>
        <v>#VALUE!</v>
      </c>
      <c r="S763" s="8" t="e">
        <f t="shared" si="12"/>
        <v>#VALUE!</v>
      </c>
    </row>
    <row r="764" spans="1:19" x14ac:dyDescent="0.25">
      <c r="A764">
        <v>900091143</v>
      </c>
      <c r="B764" t="s">
        <v>29</v>
      </c>
      <c r="C764" t="s">
        <v>1939</v>
      </c>
      <c r="E764" t="s">
        <v>1939</v>
      </c>
      <c r="H764" t="s">
        <v>22</v>
      </c>
      <c r="I764">
        <v>1004743217</v>
      </c>
      <c r="J764" t="s">
        <v>1940</v>
      </c>
      <c r="P764" t="s">
        <v>4560</v>
      </c>
      <c r="Q764" s="3">
        <v>6000000</v>
      </c>
      <c r="R764" s="8" t="e">
        <f>SUMIFS([1]REPORTADOS!$D$2:$D$3379,[1]REPORTADOS!$C$2:$C$3379,E764)</f>
        <v>#VALUE!</v>
      </c>
      <c r="S764" s="8" t="e">
        <f t="shared" si="12"/>
        <v>#VALUE!</v>
      </c>
    </row>
    <row r="765" spans="1:19" x14ac:dyDescent="0.25">
      <c r="A765">
        <v>900091143</v>
      </c>
      <c r="B765" t="s">
        <v>29</v>
      </c>
      <c r="C765" t="s">
        <v>1936</v>
      </c>
      <c r="E765" t="s">
        <v>1936</v>
      </c>
      <c r="H765" t="s">
        <v>22</v>
      </c>
      <c r="I765">
        <v>59706564</v>
      </c>
      <c r="J765" t="s">
        <v>1937</v>
      </c>
      <c r="P765" t="s">
        <v>4565</v>
      </c>
      <c r="Q765" s="3">
        <v>6000000</v>
      </c>
      <c r="R765" s="8" t="e">
        <f>SUMIFS([1]REPORTADOS!$D$2:$D$3379,[1]REPORTADOS!$C$2:$C$3379,E765)</f>
        <v>#VALUE!</v>
      </c>
      <c r="S765" s="8" t="e">
        <f t="shared" si="12"/>
        <v>#VALUE!</v>
      </c>
    </row>
    <row r="766" spans="1:19" x14ac:dyDescent="0.25">
      <c r="A766">
        <v>900091143</v>
      </c>
      <c r="B766" t="s">
        <v>29</v>
      </c>
      <c r="C766" t="s">
        <v>1933</v>
      </c>
      <c r="E766" t="s">
        <v>1933</v>
      </c>
      <c r="H766" t="s">
        <v>22</v>
      </c>
      <c r="I766">
        <v>1087958982</v>
      </c>
      <c r="J766" t="s">
        <v>1934</v>
      </c>
      <c r="P766" t="s">
        <v>4566</v>
      </c>
      <c r="Q766" s="3">
        <v>5000000</v>
      </c>
      <c r="R766" s="8" t="e">
        <f>SUMIFS([1]REPORTADOS!$D$2:$D$3379,[1]REPORTADOS!$C$2:$C$3379,E766)</f>
        <v>#VALUE!</v>
      </c>
      <c r="S766" s="8" t="e">
        <f t="shared" si="12"/>
        <v>#VALUE!</v>
      </c>
    </row>
    <row r="767" spans="1:19" x14ac:dyDescent="0.25">
      <c r="A767">
        <v>900091143</v>
      </c>
      <c r="B767" t="s">
        <v>29</v>
      </c>
      <c r="C767" t="s">
        <v>1947</v>
      </c>
      <c r="E767" t="s">
        <v>1947</v>
      </c>
      <c r="H767" t="s">
        <v>22</v>
      </c>
      <c r="I767">
        <v>1082748420</v>
      </c>
      <c r="J767" t="s">
        <v>1948</v>
      </c>
      <c r="P767" t="s">
        <v>4567</v>
      </c>
      <c r="Q767" s="3">
        <v>12000000</v>
      </c>
      <c r="R767" s="8" t="e">
        <f>SUMIFS([1]REPORTADOS!$D$2:$D$3379,[1]REPORTADOS!$C$2:$C$3379,E767)</f>
        <v>#VALUE!</v>
      </c>
      <c r="S767" s="8" t="e">
        <f t="shared" si="12"/>
        <v>#VALUE!</v>
      </c>
    </row>
    <row r="768" spans="1:19" x14ac:dyDescent="0.25">
      <c r="A768">
        <v>900091143</v>
      </c>
      <c r="B768" t="s">
        <v>29</v>
      </c>
      <c r="C768" t="s">
        <v>1931</v>
      </c>
      <c r="E768" t="s">
        <v>1931</v>
      </c>
      <c r="H768" t="s">
        <v>22</v>
      </c>
      <c r="I768">
        <v>1086329609</v>
      </c>
      <c r="J768" t="s">
        <v>1932</v>
      </c>
      <c r="P768" t="s">
        <v>4559</v>
      </c>
      <c r="Q768" s="3">
        <v>6000000</v>
      </c>
      <c r="R768" s="8" t="e">
        <f>SUMIFS([1]REPORTADOS!$D$2:$D$3379,[1]REPORTADOS!$C$2:$C$3379,E768)</f>
        <v>#VALUE!</v>
      </c>
      <c r="S768" s="8" t="e">
        <f t="shared" si="12"/>
        <v>#VALUE!</v>
      </c>
    </row>
    <row r="769" spans="1:19" x14ac:dyDescent="0.25">
      <c r="A769">
        <v>900091143</v>
      </c>
      <c r="B769" t="s">
        <v>29</v>
      </c>
      <c r="C769" t="s">
        <v>1928</v>
      </c>
      <c r="E769" t="s">
        <v>1928</v>
      </c>
      <c r="H769" t="s">
        <v>22</v>
      </c>
      <c r="I769">
        <v>37082232</v>
      </c>
      <c r="J769" t="s">
        <v>1929</v>
      </c>
      <c r="P769" t="s">
        <v>4568</v>
      </c>
      <c r="Q769" s="3">
        <v>6000000</v>
      </c>
      <c r="R769" s="8" t="e">
        <f>SUMIFS([1]REPORTADOS!$D$2:$D$3379,[1]REPORTADOS!$C$2:$C$3379,E769)</f>
        <v>#VALUE!</v>
      </c>
      <c r="S769" s="8" t="e">
        <f t="shared" si="12"/>
        <v>#VALUE!</v>
      </c>
    </row>
    <row r="770" spans="1:19" x14ac:dyDescent="0.25">
      <c r="A770">
        <v>900091143</v>
      </c>
      <c r="B770" t="s">
        <v>29</v>
      </c>
      <c r="C770" t="s">
        <v>1873</v>
      </c>
      <c r="E770" t="s">
        <v>1873</v>
      </c>
      <c r="H770" t="s">
        <v>22</v>
      </c>
      <c r="I770">
        <v>1081572043</v>
      </c>
      <c r="J770" t="s">
        <v>1874</v>
      </c>
      <c r="P770" t="s">
        <v>4569</v>
      </c>
      <c r="Q770" s="3">
        <v>6000000</v>
      </c>
      <c r="R770" s="8" t="e">
        <f>SUMIFS([1]REPORTADOS!$D$2:$D$3379,[1]REPORTADOS!$C$2:$C$3379,E770)</f>
        <v>#VALUE!</v>
      </c>
      <c r="S770" s="8" t="e">
        <f t="shared" si="12"/>
        <v>#VALUE!</v>
      </c>
    </row>
    <row r="771" spans="1:19" x14ac:dyDescent="0.25">
      <c r="A771">
        <v>900091143</v>
      </c>
      <c r="B771" t="s">
        <v>29</v>
      </c>
      <c r="C771" t="s">
        <v>2006</v>
      </c>
      <c r="E771" t="s">
        <v>2006</v>
      </c>
      <c r="H771" t="s">
        <v>22</v>
      </c>
      <c r="I771">
        <v>1085310466</v>
      </c>
      <c r="J771" t="s">
        <v>2007</v>
      </c>
      <c r="P771" t="s">
        <v>4560</v>
      </c>
      <c r="Q771" s="3">
        <v>6000000</v>
      </c>
      <c r="R771" s="8" t="e">
        <f>SUMIFS([1]REPORTADOS!$D$2:$D$3379,[1]REPORTADOS!$C$2:$C$3379,E771)</f>
        <v>#VALUE!</v>
      </c>
      <c r="S771" s="8" t="e">
        <f t="shared" si="12"/>
        <v>#VALUE!</v>
      </c>
    </row>
    <row r="772" spans="1:19" x14ac:dyDescent="0.25">
      <c r="A772">
        <v>900091143</v>
      </c>
      <c r="B772" t="s">
        <v>29</v>
      </c>
      <c r="C772" t="s">
        <v>1920</v>
      </c>
      <c r="E772" t="s">
        <v>1920</v>
      </c>
      <c r="H772" t="s">
        <v>22</v>
      </c>
      <c r="I772">
        <v>27088197</v>
      </c>
      <c r="J772" t="s">
        <v>1921</v>
      </c>
      <c r="P772" t="s">
        <v>4541</v>
      </c>
      <c r="Q772" s="3">
        <v>6000000</v>
      </c>
      <c r="R772" s="8" t="e">
        <f>SUMIFS([1]REPORTADOS!$D$2:$D$3379,[1]REPORTADOS!$C$2:$C$3379,E772)</f>
        <v>#VALUE!</v>
      </c>
      <c r="S772" s="8" t="e">
        <f t="shared" si="12"/>
        <v>#VALUE!</v>
      </c>
    </row>
    <row r="773" spans="1:19" x14ac:dyDescent="0.25">
      <c r="A773">
        <v>900091143</v>
      </c>
      <c r="B773" t="s">
        <v>29</v>
      </c>
      <c r="C773" t="s">
        <v>1918</v>
      </c>
      <c r="E773" t="s">
        <v>1918</v>
      </c>
      <c r="H773" t="s">
        <v>22</v>
      </c>
      <c r="I773">
        <v>1082747438</v>
      </c>
      <c r="J773" t="s">
        <v>1919</v>
      </c>
      <c r="P773" t="s">
        <v>4570</v>
      </c>
      <c r="Q773" s="3">
        <v>6000000</v>
      </c>
      <c r="R773" s="8" t="e">
        <f>SUMIFS([1]REPORTADOS!$D$2:$D$3379,[1]REPORTADOS!$C$2:$C$3379,E773)</f>
        <v>#VALUE!</v>
      </c>
      <c r="S773" s="8" t="e">
        <f t="shared" si="12"/>
        <v>#VALUE!</v>
      </c>
    </row>
    <row r="774" spans="1:19" x14ac:dyDescent="0.25">
      <c r="A774">
        <v>900091143</v>
      </c>
      <c r="B774" t="s">
        <v>29</v>
      </c>
      <c r="C774" t="s">
        <v>1915</v>
      </c>
      <c r="E774" t="s">
        <v>1915</v>
      </c>
      <c r="H774" t="s">
        <v>22</v>
      </c>
      <c r="I774">
        <v>1233188479</v>
      </c>
      <c r="J774" t="s">
        <v>1916</v>
      </c>
      <c r="P774" t="s">
        <v>4571</v>
      </c>
      <c r="Q774" s="3">
        <v>5000000</v>
      </c>
      <c r="R774" s="8" t="e">
        <f>SUMIFS([1]REPORTADOS!$D$2:$D$3379,[1]REPORTADOS!$C$2:$C$3379,E774)</f>
        <v>#VALUE!</v>
      </c>
      <c r="S774" s="8" t="e">
        <f t="shared" si="12"/>
        <v>#VALUE!</v>
      </c>
    </row>
    <row r="775" spans="1:19" x14ac:dyDescent="0.25">
      <c r="A775">
        <v>900091143</v>
      </c>
      <c r="B775" t="s">
        <v>29</v>
      </c>
      <c r="C775" t="s">
        <v>1912</v>
      </c>
      <c r="E775" t="s">
        <v>1912</v>
      </c>
      <c r="H775" t="s">
        <v>22</v>
      </c>
      <c r="I775">
        <v>1085315013</v>
      </c>
      <c r="J775" t="s">
        <v>1913</v>
      </c>
      <c r="P775" t="s">
        <v>4572</v>
      </c>
      <c r="Q775" s="3">
        <v>6000000</v>
      </c>
      <c r="R775" s="8" t="e">
        <f>SUMIFS([1]REPORTADOS!$D$2:$D$3379,[1]REPORTADOS!$C$2:$C$3379,E775)</f>
        <v>#VALUE!</v>
      </c>
      <c r="S775" s="8" t="e">
        <f t="shared" si="12"/>
        <v>#VALUE!</v>
      </c>
    </row>
    <row r="776" spans="1:19" x14ac:dyDescent="0.25">
      <c r="A776">
        <v>900091143</v>
      </c>
      <c r="B776" t="s">
        <v>29</v>
      </c>
      <c r="C776" t="s">
        <v>1907</v>
      </c>
      <c r="E776" t="s">
        <v>1907</v>
      </c>
      <c r="H776" t="s">
        <v>22</v>
      </c>
      <c r="I776">
        <v>30734666</v>
      </c>
      <c r="J776" t="s">
        <v>1908</v>
      </c>
      <c r="P776" t="s">
        <v>4573</v>
      </c>
      <c r="Q776" s="3">
        <v>5000000</v>
      </c>
      <c r="R776" s="8" t="e">
        <f>SUMIFS([1]REPORTADOS!$D$2:$D$3379,[1]REPORTADOS!$C$2:$C$3379,E776)</f>
        <v>#VALUE!</v>
      </c>
      <c r="S776" s="8" t="e">
        <f t="shared" si="12"/>
        <v>#VALUE!</v>
      </c>
    </row>
    <row r="777" spans="1:19" x14ac:dyDescent="0.25">
      <c r="A777">
        <v>900091143</v>
      </c>
      <c r="B777" t="s">
        <v>29</v>
      </c>
      <c r="C777" t="s">
        <v>1909</v>
      </c>
      <c r="E777" t="s">
        <v>1909</v>
      </c>
      <c r="H777" t="s">
        <v>22</v>
      </c>
      <c r="I777">
        <v>1004535234</v>
      </c>
      <c r="J777" t="s">
        <v>1910</v>
      </c>
      <c r="P777" t="s">
        <v>4574</v>
      </c>
      <c r="Q777" s="3">
        <v>6000000</v>
      </c>
      <c r="R777" s="8" t="e">
        <f>SUMIFS([1]REPORTADOS!$D$2:$D$3379,[1]REPORTADOS!$C$2:$C$3379,E777)</f>
        <v>#VALUE!</v>
      </c>
      <c r="S777" s="8" t="e">
        <f t="shared" si="12"/>
        <v>#VALUE!</v>
      </c>
    </row>
    <row r="778" spans="1:19" x14ac:dyDescent="0.25">
      <c r="A778">
        <v>900091143</v>
      </c>
      <c r="B778" t="s">
        <v>29</v>
      </c>
      <c r="C778" t="s">
        <v>1905</v>
      </c>
      <c r="E778" t="s">
        <v>1905</v>
      </c>
      <c r="H778" t="s">
        <v>22</v>
      </c>
      <c r="I778">
        <v>1085275879</v>
      </c>
      <c r="J778" t="s">
        <v>1906</v>
      </c>
      <c r="P778" t="s">
        <v>4543</v>
      </c>
      <c r="Q778" s="3">
        <v>12000000</v>
      </c>
      <c r="R778" s="8" t="e">
        <f>SUMIFS([1]REPORTADOS!$D$2:$D$3379,[1]REPORTADOS!$C$2:$C$3379,E778)</f>
        <v>#VALUE!</v>
      </c>
      <c r="S778" s="8" t="e">
        <f t="shared" ref="S778:S841" si="13">Q778-R778</f>
        <v>#VALUE!</v>
      </c>
    </row>
    <row r="779" spans="1:19" x14ac:dyDescent="0.25">
      <c r="A779">
        <v>900091143</v>
      </c>
      <c r="B779" t="s">
        <v>29</v>
      </c>
      <c r="C779" t="s">
        <v>1991</v>
      </c>
      <c r="E779" t="s">
        <v>1991</v>
      </c>
      <c r="H779" t="s">
        <v>22</v>
      </c>
      <c r="I779">
        <v>1087408320</v>
      </c>
      <c r="J779" t="s">
        <v>1992</v>
      </c>
      <c r="P779" t="s">
        <v>4575</v>
      </c>
      <c r="Q779" s="3">
        <v>5000000</v>
      </c>
      <c r="R779" s="8" t="e">
        <f>SUMIFS([1]REPORTADOS!$D$2:$D$3379,[1]REPORTADOS!$C$2:$C$3379,E779)</f>
        <v>#VALUE!</v>
      </c>
      <c r="S779" s="8" t="e">
        <f t="shared" si="13"/>
        <v>#VALUE!</v>
      </c>
    </row>
    <row r="780" spans="1:19" x14ac:dyDescent="0.25">
      <c r="A780">
        <v>900091143</v>
      </c>
      <c r="B780" t="s">
        <v>29</v>
      </c>
      <c r="C780" t="s">
        <v>1900</v>
      </c>
      <c r="E780" t="s">
        <v>1900</v>
      </c>
      <c r="H780" t="s">
        <v>22</v>
      </c>
      <c r="I780">
        <v>1192717330</v>
      </c>
      <c r="J780" t="s">
        <v>1901</v>
      </c>
      <c r="P780" t="s">
        <v>4576</v>
      </c>
      <c r="Q780" s="3">
        <v>6000000</v>
      </c>
      <c r="R780" s="8" t="e">
        <f>SUMIFS([1]REPORTADOS!$D$2:$D$3379,[1]REPORTADOS!$C$2:$C$3379,E780)</f>
        <v>#VALUE!</v>
      </c>
      <c r="S780" s="8" t="e">
        <f t="shared" si="13"/>
        <v>#VALUE!</v>
      </c>
    </row>
    <row r="781" spans="1:19" x14ac:dyDescent="0.25">
      <c r="A781">
        <v>900091143</v>
      </c>
      <c r="B781" t="s">
        <v>29</v>
      </c>
      <c r="C781" t="s">
        <v>1969</v>
      </c>
      <c r="E781" t="s">
        <v>1969</v>
      </c>
      <c r="H781" t="s">
        <v>22</v>
      </c>
      <c r="I781">
        <v>1085254626</v>
      </c>
      <c r="J781" t="s">
        <v>1970</v>
      </c>
      <c r="P781" t="s">
        <v>4577</v>
      </c>
      <c r="Q781" s="3">
        <v>12000000</v>
      </c>
      <c r="R781" s="8" t="e">
        <f>SUMIFS([1]REPORTADOS!$D$2:$D$3379,[1]REPORTADOS!$C$2:$C$3379,E781)</f>
        <v>#VALUE!</v>
      </c>
      <c r="S781" s="8" t="e">
        <f t="shared" si="13"/>
        <v>#VALUE!</v>
      </c>
    </row>
    <row r="782" spans="1:19" x14ac:dyDescent="0.25">
      <c r="A782">
        <v>900091143</v>
      </c>
      <c r="B782" t="s">
        <v>29</v>
      </c>
      <c r="C782" t="s">
        <v>1953</v>
      </c>
      <c r="E782" t="s">
        <v>1953</v>
      </c>
      <c r="H782" t="s">
        <v>22</v>
      </c>
      <c r="I782">
        <v>27436186</v>
      </c>
      <c r="J782" t="s">
        <v>1954</v>
      </c>
      <c r="P782" t="s">
        <v>4578</v>
      </c>
      <c r="Q782" s="3">
        <v>6000000</v>
      </c>
      <c r="R782" s="8" t="e">
        <f>SUMIFS([1]REPORTADOS!$D$2:$D$3379,[1]REPORTADOS!$C$2:$C$3379,E782)</f>
        <v>#VALUE!</v>
      </c>
      <c r="S782" s="8" t="e">
        <f t="shared" si="13"/>
        <v>#VALUE!</v>
      </c>
    </row>
    <row r="783" spans="1:19" x14ac:dyDescent="0.25">
      <c r="A783">
        <v>900091143</v>
      </c>
      <c r="B783" t="s">
        <v>29</v>
      </c>
      <c r="C783" t="s">
        <v>1893</v>
      </c>
      <c r="E783" t="s">
        <v>1893</v>
      </c>
      <c r="H783" t="s">
        <v>22</v>
      </c>
      <c r="I783">
        <v>1085326791</v>
      </c>
      <c r="J783" t="s">
        <v>1894</v>
      </c>
      <c r="P783" t="s">
        <v>4579</v>
      </c>
      <c r="Q783" s="3">
        <v>6000000</v>
      </c>
      <c r="R783" s="8" t="e">
        <f>SUMIFS([1]REPORTADOS!$D$2:$D$3379,[1]REPORTADOS!$C$2:$C$3379,E783)</f>
        <v>#VALUE!</v>
      </c>
      <c r="S783" s="8" t="e">
        <f t="shared" si="13"/>
        <v>#VALUE!</v>
      </c>
    </row>
    <row r="784" spans="1:19" x14ac:dyDescent="0.25">
      <c r="A784">
        <v>900091143</v>
      </c>
      <c r="B784" t="s">
        <v>29</v>
      </c>
      <c r="C784" t="s">
        <v>1890</v>
      </c>
      <c r="E784" t="s">
        <v>1890</v>
      </c>
      <c r="H784" t="s">
        <v>22</v>
      </c>
      <c r="I784">
        <v>59310853</v>
      </c>
      <c r="J784" t="s">
        <v>1891</v>
      </c>
      <c r="P784" t="s">
        <v>4580</v>
      </c>
      <c r="Q784" s="3">
        <v>6000000</v>
      </c>
      <c r="R784" s="8" t="e">
        <f>SUMIFS([1]REPORTADOS!$D$2:$D$3379,[1]REPORTADOS!$C$2:$C$3379,E784)</f>
        <v>#VALUE!</v>
      </c>
      <c r="S784" s="8" t="e">
        <f t="shared" si="13"/>
        <v>#VALUE!</v>
      </c>
    </row>
    <row r="785" spans="1:19" x14ac:dyDescent="0.25">
      <c r="A785">
        <v>900091143</v>
      </c>
      <c r="B785" t="s">
        <v>29</v>
      </c>
      <c r="C785" t="s">
        <v>1887</v>
      </c>
      <c r="E785" t="s">
        <v>1887</v>
      </c>
      <c r="H785" t="s">
        <v>22</v>
      </c>
      <c r="I785">
        <v>1085299577</v>
      </c>
      <c r="J785" t="s">
        <v>1888</v>
      </c>
      <c r="P785" t="s">
        <v>4581</v>
      </c>
      <c r="Q785" s="3">
        <v>12000000</v>
      </c>
      <c r="R785" s="8" t="e">
        <f>SUMIFS([1]REPORTADOS!$D$2:$D$3379,[1]REPORTADOS!$C$2:$C$3379,E785)</f>
        <v>#VALUE!</v>
      </c>
      <c r="S785" s="8" t="e">
        <f t="shared" si="13"/>
        <v>#VALUE!</v>
      </c>
    </row>
    <row r="786" spans="1:19" x14ac:dyDescent="0.25">
      <c r="A786">
        <v>900091143</v>
      </c>
      <c r="B786" t="s">
        <v>29</v>
      </c>
      <c r="C786" t="s">
        <v>1922</v>
      </c>
      <c r="E786" t="s">
        <v>1922</v>
      </c>
      <c r="H786" t="s">
        <v>22</v>
      </c>
      <c r="I786">
        <v>1004235479</v>
      </c>
      <c r="J786" t="s">
        <v>1923</v>
      </c>
      <c r="P786" t="s">
        <v>4582</v>
      </c>
      <c r="Q786" s="3">
        <v>2600000</v>
      </c>
      <c r="R786" s="8" t="e">
        <f>SUMIFS([1]REPORTADOS!$D$2:$D$3379,[1]REPORTADOS!$C$2:$C$3379,E786)</f>
        <v>#VALUE!</v>
      </c>
      <c r="S786" s="8" t="e">
        <f t="shared" si="13"/>
        <v>#VALUE!</v>
      </c>
    </row>
    <row r="787" spans="1:19" x14ac:dyDescent="0.25">
      <c r="A787">
        <v>900091143</v>
      </c>
      <c r="B787" t="s">
        <v>29</v>
      </c>
      <c r="C787" t="s">
        <v>1903</v>
      </c>
      <c r="E787" t="s">
        <v>1903</v>
      </c>
      <c r="H787" t="s">
        <v>22</v>
      </c>
      <c r="I787">
        <v>98398650</v>
      </c>
      <c r="J787" t="s">
        <v>1904</v>
      </c>
      <c r="P787" t="s">
        <v>4583</v>
      </c>
      <c r="Q787" s="3">
        <v>9500000</v>
      </c>
      <c r="R787" s="8" t="e">
        <f>SUMIFS([1]REPORTADOS!$D$2:$D$3379,[1]REPORTADOS!$C$2:$C$3379,E787)</f>
        <v>#VALUE!</v>
      </c>
      <c r="S787" s="8" t="e">
        <f t="shared" si="13"/>
        <v>#VALUE!</v>
      </c>
    </row>
    <row r="788" spans="1:19" x14ac:dyDescent="0.25">
      <c r="A788">
        <v>900091143</v>
      </c>
      <c r="B788" t="s">
        <v>29</v>
      </c>
      <c r="C788" t="s">
        <v>1876</v>
      </c>
      <c r="E788" t="s">
        <v>1876</v>
      </c>
      <c r="H788" t="s">
        <v>22</v>
      </c>
      <c r="I788">
        <v>1085347173</v>
      </c>
      <c r="J788" t="s">
        <v>1877</v>
      </c>
      <c r="P788" t="s">
        <v>4584</v>
      </c>
      <c r="Q788" s="3">
        <v>5000000</v>
      </c>
      <c r="R788" s="8" t="e">
        <f>SUMIFS([1]REPORTADOS!$D$2:$D$3379,[1]REPORTADOS!$C$2:$C$3379,E788)</f>
        <v>#VALUE!</v>
      </c>
      <c r="S788" s="8" t="e">
        <f t="shared" si="13"/>
        <v>#VALUE!</v>
      </c>
    </row>
    <row r="789" spans="1:19" x14ac:dyDescent="0.25">
      <c r="A789">
        <v>900091143</v>
      </c>
      <c r="B789" t="s">
        <v>29</v>
      </c>
      <c r="C789" t="s">
        <v>1856</v>
      </c>
      <c r="E789" t="s">
        <v>1856</v>
      </c>
      <c r="H789" t="s">
        <v>22</v>
      </c>
      <c r="I789">
        <v>1087959088</v>
      </c>
      <c r="J789" t="s">
        <v>1857</v>
      </c>
      <c r="P789" t="s">
        <v>4585</v>
      </c>
      <c r="Q789" s="3">
        <v>6000000</v>
      </c>
      <c r="R789" s="8" t="e">
        <f>SUMIFS([1]REPORTADOS!$D$2:$D$3379,[1]REPORTADOS!$C$2:$C$3379,E789)</f>
        <v>#VALUE!</v>
      </c>
      <c r="S789" s="8" t="e">
        <f t="shared" si="13"/>
        <v>#VALUE!</v>
      </c>
    </row>
    <row r="790" spans="1:19" x14ac:dyDescent="0.25">
      <c r="A790">
        <v>900091143</v>
      </c>
      <c r="B790" t="s">
        <v>29</v>
      </c>
      <c r="C790" t="s">
        <v>1859</v>
      </c>
      <c r="E790" t="s">
        <v>1859</v>
      </c>
      <c r="H790" t="s">
        <v>22</v>
      </c>
      <c r="I790">
        <v>1085269090</v>
      </c>
      <c r="J790" t="s">
        <v>1860</v>
      </c>
      <c r="P790" t="s">
        <v>4586</v>
      </c>
      <c r="Q790" s="3">
        <v>6000000</v>
      </c>
      <c r="R790" s="8" t="e">
        <f>SUMIFS([1]REPORTADOS!$D$2:$D$3379,[1]REPORTADOS!$C$2:$C$3379,E790)</f>
        <v>#VALUE!</v>
      </c>
      <c r="S790" s="8" t="e">
        <f t="shared" si="13"/>
        <v>#VALUE!</v>
      </c>
    </row>
    <row r="791" spans="1:19" x14ac:dyDescent="0.25">
      <c r="A791">
        <v>900091143</v>
      </c>
      <c r="B791" t="s">
        <v>29</v>
      </c>
      <c r="C791" t="s">
        <v>1868</v>
      </c>
      <c r="E791" t="s">
        <v>1868</v>
      </c>
      <c r="H791" t="s">
        <v>22</v>
      </c>
      <c r="I791">
        <v>1233189234</v>
      </c>
      <c r="J791" t="s">
        <v>1869</v>
      </c>
      <c r="P791" t="s">
        <v>4587</v>
      </c>
      <c r="Q791" s="3">
        <v>6000000</v>
      </c>
      <c r="R791" s="8" t="e">
        <f>SUMIFS([1]REPORTADOS!$D$2:$D$3379,[1]REPORTADOS!$C$2:$C$3379,E791)</f>
        <v>#VALUE!</v>
      </c>
      <c r="S791" s="8" t="e">
        <f t="shared" si="13"/>
        <v>#VALUE!</v>
      </c>
    </row>
    <row r="792" spans="1:19" x14ac:dyDescent="0.25">
      <c r="A792">
        <v>900091143</v>
      </c>
      <c r="B792" t="s">
        <v>29</v>
      </c>
      <c r="C792" t="s">
        <v>1882</v>
      </c>
      <c r="E792" t="s">
        <v>1882</v>
      </c>
      <c r="H792" t="s">
        <v>22</v>
      </c>
      <c r="I792">
        <v>97470681</v>
      </c>
      <c r="J792" t="s">
        <v>1883</v>
      </c>
      <c r="P792" t="s">
        <v>4543</v>
      </c>
      <c r="Q792" s="3">
        <v>12000000</v>
      </c>
      <c r="R792" s="8" t="e">
        <f>SUMIFS([1]REPORTADOS!$D$2:$D$3379,[1]REPORTADOS!$C$2:$C$3379,E792)</f>
        <v>#VALUE!</v>
      </c>
      <c r="S792" s="8" t="e">
        <f t="shared" si="13"/>
        <v>#VALUE!</v>
      </c>
    </row>
    <row r="793" spans="1:19" x14ac:dyDescent="0.25">
      <c r="A793">
        <v>900091143</v>
      </c>
      <c r="B793" t="s">
        <v>29</v>
      </c>
      <c r="C793" t="s">
        <v>1853</v>
      </c>
      <c r="E793" t="s">
        <v>1853</v>
      </c>
      <c r="H793" t="s">
        <v>22</v>
      </c>
      <c r="I793">
        <v>1085252263</v>
      </c>
      <c r="J793" t="s">
        <v>1854</v>
      </c>
      <c r="P793" t="s">
        <v>4588</v>
      </c>
      <c r="Q793" s="3">
        <v>6000000</v>
      </c>
      <c r="R793" s="8" t="e">
        <f>SUMIFS([1]REPORTADOS!$D$2:$D$3379,[1]REPORTADOS!$C$2:$C$3379,E793)</f>
        <v>#VALUE!</v>
      </c>
      <c r="S793" s="8" t="e">
        <f t="shared" si="13"/>
        <v>#VALUE!</v>
      </c>
    </row>
    <row r="794" spans="1:19" x14ac:dyDescent="0.25">
      <c r="A794">
        <v>900091143</v>
      </c>
      <c r="B794" t="s">
        <v>29</v>
      </c>
      <c r="C794" t="s">
        <v>1850</v>
      </c>
      <c r="E794" t="s">
        <v>1850</v>
      </c>
      <c r="H794" t="s">
        <v>22</v>
      </c>
      <c r="I794">
        <v>37087120</v>
      </c>
      <c r="J794" t="s">
        <v>1851</v>
      </c>
      <c r="P794" t="s">
        <v>4589</v>
      </c>
      <c r="Q794" s="3">
        <v>15000000</v>
      </c>
      <c r="R794" s="8" t="e">
        <f>SUMIFS([1]REPORTADOS!$D$2:$D$3379,[1]REPORTADOS!$C$2:$C$3379,E794)</f>
        <v>#VALUE!</v>
      </c>
      <c r="S794" s="8" t="e">
        <f t="shared" si="13"/>
        <v>#VALUE!</v>
      </c>
    </row>
    <row r="795" spans="1:19" x14ac:dyDescent="0.25">
      <c r="A795">
        <v>900091143</v>
      </c>
      <c r="B795" t="s">
        <v>29</v>
      </c>
      <c r="C795" t="s">
        <v>1898</v>
      </c>
      <c r="E795" t="s">
        <v>1898</v>
      </c>
      <c r="H795" t="s">
        <v>22</v>
      </c>
      <c r="I795">
        <v>36861874</v>
      </c>
      <c r="J795" t="s">
        <v>1899</v>
      </c>
      <c r="P795" t="s">
        <v>4590</v>
      </c>
      <c r="Q795" s="3">
        <v>6000000</v>
      </c>
      <c r="R795" s="8" t="e">
        <f>SUMIFS([1]REPORTADOS!$D$2:$D$3379,[1]REPORTADOS!$C$2:$C$3379,E795)</f>
        <v>#VALUE!</v>
      </c>
      <c r="S795" s="8" t="e">
        <f t="shared" si="13"/>
        <v>#VALUE!</v>
      </c>
    </row>
    <row r="796" spans="1:19" x14ac:dyDescent="0.25">
      <c r="A796">
        <v>900091143</v>
      </c>
      <c r="B796" t="s">
        <v>29</v>
      </c>
      <c r="C796" t="s">
        <v>1845</v>
      </c>
      <c r="E796" t="s">
        <v>1845</v>
      </c>
      <c r="H796" t="s">
        <v>22</v>
      </c>
      <c r="I796">
        <v>59820414</v>
      </c>
      <c r="J796" t="s">
        <v>1846</v>
      </c>
      <c r="P796" t="s">
        <v>4548</v>
      </c>
      <c r="Q796" s="3">
        <v>12000000</v>
      </c>
      <c r="R796" s="8" t="e">
        <f>SUMIFS([1]REPORTADOS!$D$2:$D$3379,[1]REPORTADOS!$C$2:$C$3379,E796)</f>
        <v>#VALUE!</v>
      </c>
      <c r="S796" s="8" t="e">
        <f t="shared" si="13"/>
        <v>#VALUE!</v>
      </c>
    </row>
    <row r="797" spans="1:19" x14ac:dyDescent="0.25">
      <c r="A797">
        <v>900091143</v>
      </c>
      <c r="B797" t="s">
        <v>29</v>
      </c>
      <c r="C797" t="s">
        <v>1871</v>
      </c>
      <c r="E797" t="s">
        <v>1871</v>
      </c>
      <c r="H797" t="s">
        <v>22</v>
      </c>
      <c r="I797">
        <v>59830219</v>
      </c>
      <c r="J797" t="s">
        <v>1872</v>
      </c>
      <c r="P797" t="s">
        <v>4591</v>
      </c>
      <c r="Q797" s="3">
        <v>5000000</v>
      </c>
      <c r="R797" s="8" t="e">
        <f>SUMIFS([1]REPORTADOS!$D$2:$D$3379,[1]REPORTADOS!$C$2:$C$3379,E797)</f>
        <v>#VALUE!</v>
      </c>
      <c r="S797" s="8" t="e">
        <f t="shared" si="13"/>
        <v>#VALUE!</v>
      </c>
    </row>
    <row r="798" spans="1:19" x14ac:dyDescent="0.25">
      <c r="A798">
        <v>900091143</v>
      </c>
      <c r="B798" t="s">
        <v>29</v>
      </c>
      <c r="C798" t="s">
        <v>1824</v>
      </c>
      <c r="E798" t="s">
        <v>1824</v>
      </c>
      <c r="H798" t="s">
        <v>22</v>
      </c>
      <c r="I798">
        <v>1085321578</v>
      </c>
      <c r="J798" t="s">
        <v>1825</v>
      </c>
      <c r="P798" t="s">
        <v>4592</v>
      </c>
      <c r="Q798" s="3">
        <v>9650000</v>
      </c>
      <c r="R798" s="8" t="e">
        <f>SUMIFS([1]REPORTADOS!$D$2:$D$3379,[1]REPORTADOS!$C$2:$C$3379,E798)</f>
        <v>#VALUE!</v>
      </c>
      <c r="S798" s="8" t="e">
        <f t="shared" si="13"/>
        <v>#VALUE!</v>
      </c>
    </row>
    <row r="799" spans="1:19" x14ac:dyDescent="0.25">
      <c r="A799">
        <v>900091143</v>
      </c>
      <c r="B799" t="s">
        <v>29</v>
      </c>
      <c r="C799" t="s">
        <v>1865</v>
      </c>
      <c r="E799" t="s">
        <v>1865</v>
      </c>
      <c r="H799" t="s">
        <v>22</v>
      </c>
      <c r="I799">
        <v>1089483067</v>
      </c>
      <c r="J799" t="s">
        <v>1866</v>
      </c>
      <c r="P799" t="s">
        <v>4593</v>
      </c>
      <c r="Q799" s="3">
        <v>15000000</v>
      </c>
      <c r="R799" s="8" t="e">
        <f>SUMIFS([1]REPORTADOS!$D$2:$D$3379,[1]REPORTADOS!$C$2:$C$3379,E799)</f>
        <v>#VALUE!</v>
      </c>
      <c r="S799" s="8" t="e">
        <f t="shared" si="13"/>
        <v>#VALUE!</v>
      </c>
    </row>
    <row r="800" spans="1:19" x14ac:dyDescent="0.25">
      <c r="A800">
        <v>900091143</v>
      </c>
      <c r="B800" t="s">
        <v>29</v>
      </c>
      <c r="C800" t="s">
        <v>1821</v>
      </c>
      <c r="E800" t="s">
        <v>1821</v>
      </c>
      <c r="H800" t="s">
        <v>22</v>
      </c>
      <c r="I800">
        <v>12990231</v>
      </c>
      <c r="J800" t="s">
        <v>1822</v>
      </c>
      <c r="P800" t="s">
        <v>4594</v>
      </c>
      <c r="Q800" s="3">
        <v>5000000</v>
      </c>
      <c r="R800" s="8" t="e">
        <f>SUMIFS([1]REPORTADOS!$D$2:$D$3379,[1]REPORTADOS!$C$2:$C$3379,E800)</f>
        <v>#VALUE!</v>
      </c>
      <c r="S800" s="8" t="e">
        <f t="shared" si="13"/>
        <v>#VALUE!</v>
      </c>
    </row>
    <row r="801" spans="1:19" x14ac:dyDescent="0.25">
      <c r="A801">
        <v>900091143</v>
      </c>
      <c r="B801" t="s">
        <v>29</v>
      </c>
      <c r="C801" t="s">
        <v>1842</v>
      </c>
      <c r="E801" t="s">
        <v>1842</v>
      </c>
      <c r="H801" t="s">
        <v>22</v>
      </c>
      <c r="I801">
        <v>1018492767</v>
      </c>
      <c r="J801" t="s">
        <v>1843</v>
      </c>
      <c r="P801" t="s">
        <v>4595</v>
      </c>
      <c r="Q801" s="3">
        <v>9500000</v>
      </c>
      <c r="R801" s="8" t="e">
        <f>SUMIFS([1]REPORTADOS!$D$2:$D$3379,[1]REPORTADOS!$C$2:$C$3379,E801)</f>
        <v>#VALUE!</v>
      </c>
      <c r="S801" s="8" t="e">
        <f t="shared" si="13"/>
        <v>#VALUE!</v>
      </c>
    </row>
    <row r="802" spans="1:19" x14ac:dyDescent="0.25">
      <c r="A802">
        <v>900091143</v>
      </c>
      <c r="B802" t="s">
        <v>29</v>
      </c>
      <c r="C802" t="s">
        <v>1803</v>
      </c>
      <c r="E802" t="s">
        <v>1803</v>
      </c>
      <c r="H802" t="s">
        <v>22</v>
      </c>
      <c r="I802">
        <v>1137624011</v>
      </c>
      <c r="J802" t="s">
        <v>1804</v>
      </c>
      <c r="P802" t="s">
        <v>4596</v>
      </c>
      <c r="Q802" s="3">
        <v>6000000</v>
      </c>
      <c r="R802" s="8" t="e">
        <f>SUMIFS([1]REPORTADOS!$D$2:$D$3379,[1]REPORTADOS!$C$2:$C$3379,E802)</f>
        <v>#VALUE!</v>
      </c>
      <c r="S802" s="8" t="e">
        <f t="shared" si="13"/>
        <v>#VALUE!</v>
      </c>
    </row>
    <row r="803" spans="1:19" x14ac:dyDescent="0.25">
      <c r="A803">
        <v>900091143</v>
      </c>
      <c r="B803" t="s">
        <v>29</v>
      </c>
      <c r="C803" t="s">
        <v>1839</v>
      </c>
      <c r="E803" t="s">
        <v>1839</v>
      </c>
      <c r="H803" t="s">
        <v>22</v>
      </c>
      <c r="I803">
        <v>1085283868</v>
      </c>
      <c r="J803" t="s">
        <v>1840</v>
      </c>
      <c r="P803" t="s">
        <v>4597</v>
      </c>
      <c r="Q803" s="3">
        <v>12000000</v>
      </c>
      <c r="R803" s="8" t="e">
        <f>SUMIFS([1]REPORTADOS!$D$2:$D$3379,[1]REPORTADOS!$C$2:$C$3379,E803)</f>
        <v>#VALUE!</v>
      </c>
      <c r="S803" s="8" t="e">
        <f t="shared" si="13"/>
        <v>#VALUE!</v>
      </c>
    </row>
    <row r="804" spans="1:19" x14ac:dyDescent="0.25">
      <c r="A804">
        <v>900091143</v>
      </c>
      <c r="B804" t="s">
        <v>29</v>
      </c>
      <c r="C804" t="s">
        <v>1836</v>
      </c>
      <c r="E804" t="s">
        <v>1836</v>
      </c>
      <c r="H804" t="s">
        <v>22</v>
      </c>
      <c r="I804">
        <v>1080900817</v>
      </c>
      <c r="J804" t="s">
        <v>1837</v>
      </c>
      <c r="P804" t="s">
        <v>4598</v>
      </c>
      <c r="Q804" s="3">
        <v>9650000</v>
      </c>
      <c r="R804" s="8" t="e">
        <f>SUMIFS([1]REPORTADOS!$D$2:$D$3379,[1]REPORTADOS!$C$2:$C$3379,E804)</f>
        <v>#VALUE!</v>
      </c>
      <c r="S804" s="8" t="e">
        <f t="shared" si="13"/>
        <v>#VALUE!</v>
      </c>
    </row>
    <row r="805" spans="1:19" x14ac:dyDescent="0.25">
      <c r="A805">
        <v>900091143</v>
      </c>
      <c r="B805" t="s">
        <v>29</v>
      </c>
      <c r="C805" t="s">
        <v>1834</v>
      </c>
      <c r="E805" t="s">
        <v>1834</v>
      </c>
      <c r="H805" t="s">
        <v>22</v>
      </c>
      <c r="I805">
        <v>59836480</v>
      </c>
      <c r="J805" t="s">
        <v>1835</v>
      </c>
      <c r="P805" t="s">
        <v>4548</v>
      </c>
      <c r="Q805" s="3">
        <v>12000000</v>
      </c>
      <c r="R805" s="8" t="e">
        <f>SUMIFS([1]REPORTADOS!$D$2:$D$3379,[1]REPORTADOS!$C$2:$C$3379,E805)</f>
        <v>#VALUE!</v>
      </c>
      <c r="S805" s="8" t="e">
        <f t="shared" si="13"/>
        <v>#VALUE!</v>
      </c>
    </row>
    <row r="806" spans="1:19" x14ac:dyDescent="0.25">
      <c r="A806">
        <v>900091143</v>
      </c>
      <c r="B806" t="s">
        <v>29</v>
      </c>
      <c r="C806" t="s">
        <v>1896</v>
      </c>
      <c r="E806" t="s">
        <v>1896</v>
      </c>
      <c r="H806" t="s">
        <v>22</v>
      </c>
      <c r="I806">
        <v>27198144</v>
      </c>
      <c r="J806" t="s">
        <v>1897</v>
      </c>
      <c r="P806" t="s">
        <v>4548</v>
      </c>
      <c r="Q806" s="3">
        <v>4200000</v>
      </c>
      <c r="R806" s="8" t="e">
        <f>SUMIFS([1]REPORTADOS!$D$2:$D$3379,[1]REPORTADOS!$C$2:$C$3379,E806)</f>
        <v>#VALUE!</v>
      </c>
      <c r="S806" s="8" t="e">
        <f t="shared" si="13"/>
        <v>#VALUE!</v>
      </c>
    </row>
    <row r="807" spans="1:19" x14ac:dyDescent="0.25">
      <c r="A807">
        <v>900091143</v>
      </c>
      <c r="B807" t="s">
        <v>29</v>
      </c>
      <c r="C807" t="s">
        <v>1829</v>
      </c>
      <c r="E807" t="s">
        <v>1829</v>
      </c>
      <c r="H807" t="s">
        <v>22</v>
      </c>
      <c r="I807">
        <v>1085304072</v>
      </c>
      <c r="J807" t="s">
        <v>1830</v>
      </c>
      <c r="P807" t="s">
        <v>4591</v>
      </c>
      <c r="Q807" s="3">
        <v>5000000</v>
      </c>
      <c r="R807" s="8" t="e">
        <f>SUMIFS([1]REPORTADOS!$D$2:$D$3379,[1]REPORTADOS!$C$2:$C$3379,E807)</f>
        <v>#VALUE!</v>
      </c>
      <c r="S807" s="8" t="e">
        <f t="shared" si="13"/>
        <v>#VALUE!</v>
      </c>
    </row>
    <row r="808" spans="1:19" x14ac:dyDescent="0.25">
      <c r="A808">
        <v>900091143</v>
      </c>
      <c r="B808" t="s">
        <v>29</v>
      </c>
      <c r="C808" t="s">
        <v>1827</v>
      </c>
      <c r="E808" t="s">
        <v>1827</v>
      </c>
      <c r="H808" t="s">
        <v>22</v>
      </c>
      <c r="I808">
        <v>27220499</v>
      </c>
      <c r="J808" t="s">
        <v>1828</v>
      </c>
      <c r="P808" t="s">
        <v>4594</v>
      </c>
      <c r="Q808" s="3">
        <v>5000000</v>
      </c>
      <c r="R808" s="8" t="e">
        <f>SUMIFS([1]REPORTADOS!$D$2:$D$3379,[1]REPORTADOS!$C$2:$C$3379,E808)</f>
        <v>#VALUE!</v>
      </c>
      <c r="S808" s="8" t="e">
        <f t="shared" si="13"/>
        <v>#VALUE!</v>
      </c>
    </row>
    <row r="809" spans="1:19" x14ac:dyDescent="0.25">
      <c r="A809">
        <v>900091143</v>
      </c>
      <c r="B809" t="s">
        <v>29</v>
      </c>
      <c r="C809" t="s">
        <v>1884</v>
      </c>
      <c r="E809" t="s">
        <v>1884</v>
      </c>
      <c r="H809" t="s">
        <v>38</v>
      </c>
      <c r="I809">
        <v>805021222</v>
      </c>
      <c r="J809" t="s">
        <v>1885</v>
      </c>
      <c r="P809" t="s">
        <v>1886</v>
      </c>
      <c r="Q809" s="3">
        <v>124999946</v>
      </c>
      <c r="R809" s="8" t="e">
        <f>SUMIFS([1]REPORTADOS!$D$2:$D$3379,[1]REPORTADOS!$C$2:$C$3379,E809)</f>
        <v>#VALUE!</v>
      </c>
      <c r="S809" s="8" t="e">
        <f t="shared" si="13"/>
        <v>#VALUE!</v>
      </c>
    </row>
    <row r="810" spans="1:19" x14ac:dyDescent="0.25">
      <c r="A810">
        <v>900091143</v>
      </c>
      <c r="B810" t="s">
        <v>29</v>
      </c>
      <c r="C810" t="s">
        <v>1812</v>
      </c>
      <c r="E810" t="s">
        <v>1812</v>
      </c>
      <c r="H810" t="s">
        <v>22</v>
      </c>
      <c r="I810">
        <v>27087475</v>
      </c>
      <c r="J810" t="s">
        <v>1813</v>
      </c>
      <c r="P810" t="s">
        <v>4583</v>
      </c>
      <c r="Q810" s="3">
        <v>9500000</v>
      </c>
      <c r="R810" s="8" t="e">
        <f>SUMIFS([1]REPORTADOS!$D$2:$D$3379,[1]REPORTADOS!$C$2:$C$3379,E810)</f>
        <v>#VALUE!</v>
      </c>
      <c r="S810" s="8" t="e">
        <f t="shared" si="13"/>
        <v>#VALUE!</v>
      </c>
    </row>
    <row r="811" spans="1:19" x14ac:dyDescent="0.25">
      <c r="A811">
        <v>900091143</v>
      </c>
      <c r="B811" t="s">
        <v>29</v>
      </c>
      <c r="C811" t="s">
        <v>1795</v>
      </c>
      <c r="E811" t="s">
        <v>1795</v>
      </c>
      <c r="H811" t="s">
        <v>22</v>
      </c>
      <c r="I811">
        <v>1193202097</v>
      </c>
      <c r="J811" t="s">
        <v>1796</v>
      </c>
      <c r="P811" t="s">
        <v>4599</v>
      </c>
      <c r="Q811" s="3">
        <v>15000000</v>
      </c>
      <c r="R811" s="8" t="e">
        <f>SUMIFS([1]REPORTADOS!$D$2:$D$3379,[1]REPORTADOS!$C$2:$C$3379,E811)</f>
        <v>#VALUE!</v>
      </c>
      <c r="S811" s="8" t="e">
        <f t="shared" si="13"/>
        <v>#VALUE!</v>
      </c>
    </row>
    <row r="812" spans="1:19" x14ac:dyDescent="0.25">
      <c r="A812">
        <v>900091143</v>
      </c>
      <c r="B812" t="s">
        <v>29</v>
      </c>
      <c r="C812" t="s">
        <v>1818</v>
      </c>
      <c r="E812" t="s">
        <v>1818</v>
      </c>
      <c r="H812" t="s">
        <v>22</v>
      </c>
      <c r="I812">
        <v>1085336362</v>
      </c>
      <c r="J812" t="s">
        <v>1819</v>
      </c>
      <c r="P812" t="s">
        <v>4600</v>
      </c>
      <c r="Q812" s="3">
        <v>15000000</v>
      </c>
      <c r="R812" s="8" t="e">
        <f>SUMIFS([1]REPORTADOS!$D$2:$D$3379,[1]REPORTADOS!$C$2:$C$3379,E812)</f>
        <v>#VALUE!</v>
      </c>
      <c r="S812" s="8" t="e">
        <f t="shared" si="13"/>
        <v>#VALUE!</v>
      </c>
    </row>
    <row r="813" spans="1:19" x14ac:dyDescent="0.25">
      <c r="A813">
        <v>900091143</v>
      </c>
      <c r="B813" t="s">
        <v>29</v>
      </c>
      <c r="C813" t="s">
        <v>1815</v>
      </c>
      <c r="E813" t="s">
        <v>1815</v>
      </c>
      <c r="H813" t="s">
        <v>22</v>
      </c>
      <c r="I813">
        <v>1088729401</v>
      </c>
      <c r="J813" t="s">
        <v>1816</v>
      </c>
      <c r="P813" t="s">
        <v>4573</v>
      </c>
      <c r="Q813" s="3">
        <v>5000000</v>
      </c>
      <c r="R813" s="8" t="e">
        <f>SUMIFS([1]REPORTADOS!$D$2:$D$3379,[1]REPORTADOS!$C$2:$C$3379,E813)</f>
        <v>#VALUE!</v>
      </c>
      <c r="S813" s="8" t="e">
        <f t="shared" si="13"/>
        <v>#VALUE!</v>
      </c>
    </row>
    <row r="814" spans="1:19" x14ac:dyDescent="0.25">
      <c r="A814">
        <v>900091143</v>
      </c>
      <c r="B814" t="s">
        <v>29</v>
      </c>
      <c r="C814" t="s">
        <v>1809</v>
      </c>
      <c r="E814" t="s">
        <v>1809</v>
      </c>
      <c r="H814" t="s">
        <v>22</v>
      </c>
      <c r="I814">
        <v>59837608</v>
      </c>
      <c r="J814" t="s">
        <v>1810</v>
      </c>
      <c r="P814" t="s">
        <v>4543</v>
      </c>
      <c r="Q814" s="3">
        <v>12000000</v>
      </c>
      <c r="R814" s="8" t="e">
        <f>SUMIFS([1]REPORTADOS!$D$2:$D$3379,[1]REPORTADOS!$C$2:$C$3379,E814)</f>
        <v>#VALUE!</v>
      </c>
      <c r="S814" s="8" t="e">
        <f t="shared" si="13"/>
        <v>#VALUE!</v>
      </c>
    </row>
    <row r="815" spans="1:19" x14ac:dyDescent="0.25">
      <c r="A815">
        <v>900091143</v>
      </c>
      <c r="B815" t="s">
        <v>29</v>
      </c>
      <c r="C815" t="s">
        <v>1806</v>
      </c>
      <c r="E815" t="s">
        <v>1806</v>
      </c>
      <c r="H815" t="s">
        <v>22</v>
      </c>
      <c r="I815">
        <v>36953206</v>
      </c>
      <c r="J815" t="s">
        <v>1807</v>
      </c>
      <c r="P815" t="s">
        <v>4601</v>
      </c>
      <c r="Q815" s="3">
        <v>9500000</v>
      </c>
      <c r="R815" s="8" t="e">
        <f>SUMIFS([1]REPORTADOS!$D$2:$D$3379,[1]REPORTADOS!$C$2:$C$3379,E815)</f>
        <v>#VALUE!</v>
      </c>
      <c r="S815" s="8" t="e">
        <f t="shared" si="13"/>
        <v>#VALUE!</v>
      </c>
    </row>
    <row r="816" spans="1:19" x14ac:dyDescent="0.25">
      <c r="A816">
        <v>900091143</v>
      </c>
      <c r="B816" t="s">
        <v>29</v>
      </c>
      <c r="C816" t="s">
        <v>1761</v>
      </c>
      <c r="E816" t="s">
        <v>1761</v>
      </c>
      <c r="H816" t="s">
        <v>22</v>
      </c>
      <c r="I816">
        <v>1085339190</v>
      </c>
      <c r="J816" t="s">
        <v>1762</v>
      </c>
      <c r="P816" t="s">
        <v>4541</v>
      </c>
      <c r="Q816" s="3">
        <v>6000000</v>
      </c>
      <c r="R816" s="8" t="e">
        <f>SUMIFS([1]REPORTADOS!$D$2:$D$3379,[1]REPORTADOS!$C$2:$C$3379,E816)</f>
        <v>#VALUE!</v>
      </c>
      <c r="S816" s="8" t="e">
        <f t="shared" si="13"/>
        <v>#VALUE!</v>
      </c>
    </row>
    <row r="817" spans="1:19" x14ac:dyDescent="0.25">
      <c r="A817">
        <v>900091143</v>
      </c>
      <c r="B817" t="s">
        <v>29</v>
      </c>
      <c r="C817" t="s">
        <v>1801</v>
      </c>
      <c r="E817" t="s">
        <v>1801</v>
      </c>
      <c r="H817" t="s">
        <v>22</v>
      </c>
      <c r="I817">
        <v>98382500</v>
      </c>
      <c r="J817" t="s">
        <v>1802</v>
      </c>
      <c r="P817" t="s">
        <v>4570</v>
      </c>
      <c r="Q817" s="3">
        <v>6000000</v>
      </c>
      <c r="R817" s="8" t="e">
        <f>SUMIFS([1]REPORTADOS!$D$2:$D$3379,[1]REPORTADOS!$C$2:$C$3379,E817)</f>
        <v>#VALUE!</v>
      </c>
      <c r="S817" s="8" t="e">
        <f t="shared" si="13"/>
        <v>#VALUE!</v>
      </c>
    </row>
    <row r="818" spans="1:19" x14ac:dyDescent="0.25">
      <c r="A818">
        <v>900091143</v>
      </c>
      <c r="B818" t="s">
        <v>29</v>
      </c>
      <c r="C818" t="s">
        <v>1798</v>
      </c>
      <c r="E818" t="s">
        <v>1798</v>
      </c>
      <c r="H818" t="s">
        <v>22</v>
      </c>
      <c r="I818">
        <v>1010082397</v>
      </c>
      <c r="J818" t="s">
        <v>1799</v>
      </c>
      <c r="P818" t="s">
        <v>4602</v>
      </c>
      <c r="Q818" s="3">
        <v>6000000</v>
      </c>
      <c r="R818" s="8" t="e">
        <f>SUMIFS([1]REPORTADOS!$D$2:$D$3379,[1]REPORTADOS!$C$2:$C$3379,E818)</f>
        <v>#VALUE!</v>
      </c>
      <c r="S818" s="8" t="e">
        <f t="shared" si="13"/>
        <v>#VALUE!</v>
      </c>
    </row>
    <row r="819" spans="1:19" x14ac:dyDescent="0.25">
      <c r="A819">
        <v>900091143</v>
      </c>
      <c r="B819" t="s">
        <v>29</v>
      </c>
      <c r="C819" t="s">
        <v>1792</v>
      </c>
      <c r="E819" t="s">
        <v>1792</v>
      </c>
      <c r="H819" t="s">
        <v>22</v>
      </c>
      <c r="I819">
        <v>1087006717</v>
      </c>
      <c r="J819" t="s">
        <v>1793</v>
      </c>
      <c r="P819" t="s">
        <v>4590</v>
      </c>
      <c r="Q819" s="3">
        <v>6000000</v>
      </c>
      <c r="R819" s="8" t="e">
        <f>SUMIFS([1]REPORTADOS!$D$2:$D$3379,[1]REPORTADOS!$C$2:$C$3379,E819)</f>
        <v>#VALUE!</v>
      </c>
      <c r="S819" s="8" t="e">
        <f t="shared" si="13"/>
        <v>#VALUE!</v>
      </c>
    </row>
    <row r="820" spans="1:19" x14ac:dyDescent="0.25">
      <c r="A820">
        <v>900091143</v>
      </c>
      <c r="B820" t="s">
        <v>29</v>
      </c>
      <c r="C820" t="s">
        <v>1790</v>
      </c>
      <c r="E820" t="s">
        <v>1790</v>
      </c>
      <c r="H820" t="s">
        <v>22</v>
      </c>
      <c r="I820">
        <v>1085317833</v>
      </c>
      <c r="J820" t="s">
        <v>1791</v>
      </c>
      <c r="P820" t="s">
        <v>4541</v>
      </c>
      <c r="Q820" s="3">
        <v>6000000</v>
      </c>
      <c r="R820" s="8" t="e">
        <f>SUMIFS([1]REPORTADOS!$D$2:$D$3379,[1]REPORTADOS!$C$2:$C$3379,E820)</f>
        <v>#VALUE!</v>
      </c>
      <c r="S820" s="8" t="e">
        <f t="shared" si="13"/>
        <v>#VALUE!</v>
      </c>
    </row>
    <row r="821" spans="1:19" x14ac:dyDescent="0.25">
      <c r="A821">
        <v>900091143</v>
      </c>
      <c r="B821" t="s">
        <v>29</v>
      </c>
      <c r="C821" t="s">
        <v>1758</v>
      </c>
      <c r="E821" t="s">
        <v>1758</v>
      </c>
      <c r="H821" t="s">
        <v>22</v>
      </c>
      <c r="I821">
        <v>59834953</v>
      </c>
      <c r="J821" t="s">
        <v>1759</v>
      </c>
      <c r="P821" t="s">
        <v>4560</v>
      </c>
      <c r="Q821" s="3">
        <v>6000000</v>
      </c>
      <c r="R821" s="8" t="e">
        <f>SUMIFS([1]REPORTADOS!$D$2:$D$3379,[1]REPORTADOS!$C$2:$C$3379,E821)</f>
        <v>#VALUE!</v>
      </c>
      <c r="S821" s="8" t="e">
        <f t="shared" si="13"/>
        <v>#VALUE!</v>
      </c>
    </row>
    <row r="822" spans="1:19" x14ac:dyDescent="0.25">
      <c r="A822">
        <v>900091143</v>
      </c>
      <c r="B822" t="s">
        <v>29</v>
      </c>
      <c r="C822" t="s">
        <v>1879</v>
      </c>
      <c r="E822" t="s">
        <v>1879</v>
      </c>
      <c r="H822" t="s">
        <v>22</v>
      </c>
      <c r="I822">
        <v>98386323</v>
      </c>
      <c r="J822" t="s">
        <v>1880</v>
      </c>
      <c r="P822" t="s">
        <v>4603</v>
      </c>
      <c r="Q822" s="3">
        <v>5000000</v>
      </c>
      <c r="R822" s="8" t="e">
        <f>SUMIFS([1]REPORTADOS!$D$2:$D$3379,[1]REPORTADOS!$C$2:$C$3379,E822)</f>
        <v>#VALUE!</v>
      </c>
      <c r="S822" s="8" t="e">
        <f t="shared" si="13"/>
        <v>#VALUE!</v>
      </c>
    </row>
    <row r="823" spans="1:19" x14ac:dyDescent="0.25">
      <c r="A823">
        <v>900091143</v>
      </c>
      <c r="B823" t="s">
        <v>29</v>
      </c>
      <c r="C823" t="s">
        <v>1767</v>
      </c>
      <c r="E823" t="s">
        <v>1767</v>
      </c>
      <c r="H823" t="s">
        <v>22</v>
      </c>
      <c r="I823">
        <v>1086222689</v>
      </c>
      <c r="J823" t="s">
        <v>1768</v>
      </c>
      <c r="P823" t="s">
        <v>4570</v>
      </c>
      <c r="Q823" s="3">
        <v>6000000</v>
      </c>
      <c r="R823" s="8" t="e">
        <f>SUMIFS([1]REPORTADOS!$D$2:$D$3379,[1]REPORTADOS!$C$2:$C$3379,E823)</f>
        <v>#VALUE!</v>
      </c>
      <c r="S823" s="8" t="e">
        <f t="shared" si="13"/>
        <v>#VALUE!</v>
      </c>
    </row>
    <row r="824" spans="1:19" x14ac:dyDescent="0.25">
      <c r="A824">
        <v>900091143</v>
      </c>
      <c r="B824" t="s">
        <v>29</v>
      </c>
      <c r="C824" t="s">
        <v>1764</v>
      </c>
      <c r="E824" t="s">
        <v>1764</v>
      </c>
      <c r="H824" t="s">
        <v>22</v>
      </c>
      <c r="I824">
        <v>1085269530</v>
      </c>
      <c r="J824" t="s">
        <v>1765</v>
      </c>
      <c r="P824" t="s">
        <v>4604</v>
      </c>
      <c r="Q824" s="3">
        <v>9650000</v>
      </c>
      <c r="R824" s="8" t="e">
        <f>SUMIFS([1]REPORTADOS!$D$2:$D$3379,[1]REPORTADOS!$C$2:$C$3379,E824)</f>
        <v>#VALUE!</v>
      </c>
      <c r="S824" s="8" t="e">
        <f t="shared" si="13"/>
        <v>#VALUE!</v>
      </c>
    </row>
    <row r="825" spans="1:19" x14ac:dyDescent="0.25">
      <c r="A825">
        <v>900091143</v>
      </c>
      <c r="B825" t="s">
        <v>29</v>
      </c>
      <c r="C825" t="s">
        <v>1782</v>
      </c>
      <c r="E825" t="s">
        <v>1782</v>
      </c>
      <c r="H825" t="s">
        <v>22</v>
      </c>
      <c r="I825">
        <v>1081594639</v>
      </c>
      <c r="J825" t="s">
        <v>1783</v>
      </c>
      <c r="P825" t="s">
        <v>4605</v>
      </c>
      <c r="Q825" s="3">
        <v>6000000</v>
      </c>
      <c r="R825" s="8" t="e">
        <f>SUMIFS([1]REPORTADOS!$D$2:$D$3379,[1]REPORTADOS!$C$2:$C$3379,E825)</f>
        <v>#VALUE!</v>
      </c>
      <c r="S825" s="8" t="e">
        <f t="shared" si="13"/>
        <v>#VALUE!</v>
      </c>
    </row>
    <row r="826" spans="1:19" x14ac:dyDescent="0.25">
      <c r="A826">
        <v>900091143</v>
      </c>
      <c r="B826" t="s">
        <v>29</v>
      </c>
      <c r="C826" t="s">
        <v>1779</v>
      </c>
      <c r="E826" t="s">
        <v>1779</v>
      </c>
      <c r="H826" t="s">
        <v>22</v>
      </c>
      <c r="I826">
        <v>1014212900</v>
      </c>
      <c r="J826" t="s">
        <v>1780</v>
      </c>
      <c r="P826" t="s">
        <v>4606</v>
      </c>
      <c r="Q826" s="3">
        <v>12000000</v>
      </c>
      <c r="R826" s="8" t="e">
        <f>SUMIFS([1]REPORTADOS!$D$2:$D$3379,[1]REPORTADOS!$C$2:$C$3379,E826)</f>
        <v>#VALUE!</v>
      </c>
      <c r="S826" s="8" t="e">
        <f t="shared" si="13"/>
        <v>#VALUE!</v>
      </c>
    </row>
    <row r="827" spans="1:19" x14ac:dyDescent="0.25">
      <c r="A827">
        <v>900091143</v>
      </c>
      <c r="B827" t="s">
        <v>29</v>
      </c>
      <c r="C827" t="s">
        <v>1776</v>
      </c>
      <c r="E827" t="s">
        <v>1776</v>
      </c>
      <c r="H827" t="s">
        <v>22</v>
      </c>
      <c r="I827">
        <v>27388522</v>
      </c>
      <c r="J827" t="s">
        <v>1777</v>
      </c>
      <c r="P827" t="s">
        <v>4607</v>
      </c>
      <c r="Q827" s="3">
        <v>6000000</v>
      </c>
      <c r="R827" s="8" t="e">
        <f>SUMIFS([1]REPORTADOS!$D$2:$D$3379,[1]REPORTADOS!$C$2:$C$3379,E827)</f>
        <v>#VALUE!</v>
      </c>
      <c r="S827" s="8" t="e">
        <f t="shared" si="13"/>
        <v>#VALUE!</v>
      </c>
    </row>
    <row r="828" spans="1:19" x14ac:dyDescent="0.25">
      <c r="A828">
        <v>900091143</v>
      </c>
      <c r="B828" t="s">
        <v>29</v>
      </c>
      <c r="C828" t="s">
        <v>1773</v>
      </c>
      <c r="E828" t="s">
        <v>1773</v>
      </c>
      <c r="H828" t="s">
        <v>22</v>
      </c>
      <c r="I828">
        <v>1085286742</v>
      </c>
      <c r="J828" t="s">
        <v>1774</v>
      </c>
      <c r="P828" t="s">
        <v>4608</v>
      </c>
      <c r="Q828" s="3">
        <v>6000000</v>
      </c>
      <c r="R828" s="8" t="e">
        <f>SUMIFS([1]REPORTADOS!$D$2:$D$3379,[1]REPORTADOS!$C$2:$C$3379,E828)</f>
        <v>#VALUE!</v>
      </c>
      <c r="S828" s="8" t="e">
        <f t="shared" si="13"/>
        <v>#VALUE!</v>
      </c>
    </row>
    <row r="829" spans="1:19" x14ac:dyDescent="0.25">
      <c r="A829">
        <v>900091143</v>
      </c>
      <c r="B829" t="s">
        <v>29</v>
      </c>
      <c r="C829" t="s">
        <v>1847</v>
      </c>
      <c r="E829" t="s">
        <v>1847</v>
      </c>
      <c r="H829" t="s">
        <v>3254</v>
      </c>
      <c r="I829">
        <v>900994364</v>
      </c>
      <c r="J829" t="s">
        <v>1848</v>
      </c>
      <c r="P829" t="s">
        <v>4609</v>
      </c>
      <c r="Q829" s="3">
        <v>72390000</v>
      </c>
      <c r="R829" s="8" t="e">
        <f>SUMIFS([1]REPORTADOS!$D$2:$D$3379,[1]REPORTADOS!$C$2:$C$3379,E829)</f>
        <v>#VALUE!</v>
      </c>
      <c r="S829" s="8" t="e">
        <f t="shared" si="13"/>
        <v>#VALUE!</v>
      </c>
    </row>
    <row r="830" spans="1:19" x14ac:dyDescent="0.25">
      <c r="A830">
        <v>900091143</v>
      </c>
      <c r="B830" t="s">
        <v>29</v>
      </c>
      <c r="C830" t="s">
        <v>1788</v>
      </c>
      <c r="E830" t="s">
        <v>1788</v>
      </c>
      <c r="H830" t="s">
        <v>22</v>
      </c>
      <c r="I830">
        <v>1081272025</v>
      </c>
      <c r="J830" t="s">
        <v>1789</v>
      </c>
      <c r="P830" t="s">
        <v>4541</v>
      </c>
      <c r="Q830" s="3">
        <v>6000000</v>
      </c>
      <c r="R830" s="8" t="e">
        <f>SUMIFS([1]REPORTADOS!$D$2:$D$3379,[1]REPORTADOS!$C$2:$C$3379,E830)</f>
        <v>#VALUE!</v>
      </c>
      <c r="S830" s="8" t="e">
        <f t="shared" si="13"/>
        <v>#VALUE!</v>
      </c>
    </row>
    <row r="831" spans="1:19" x14ac:dyDescent="0.25">
      <c r="A831">
        <v>900091143</v>
      </c>
      <c r="B831" t="s">
        <v>29</v>
      </c>
      <c r="C831" t="s">
        <v>1785</v>
      </c>
      <c r="E831" t="s">
        <v>1785</v>
      </c>
      <c r="H831" t="s">
        <v>22</v>
      </c>
      <c r="I831">
        <v>1085286725</v>
      </c>
      <c r="J831" t="s">
        <v>1786</v>
      </c>
      <c r="P831" t="s">
        <v>4610</v>
      </c>
      <c r="Q831" s="3">
        <v>6000000</v>
      </c>
      <c r="R831" s="8" t="e">
        <f>SUMIFS([1]REPORTADOS!$D$2:$D$3379,[1]REPORTADOS!$C$2:$C$3379,E831)</f>
        <v>#VALUE!</v>
      </c>
      <c r="S831" s="8" t="e">
        <f t="shared" si="13"/>
        <v>#VALUE!</v>
      </c>
    </row>
    <row r="832" spans="1:19" x14ac:dyDescent="0.25">
      <c r="A832">
        <v>900091143</v>
      </c>
      <c r="B832" t="s">
        <v>29</v>
      </c>
      <c r="C832" t="s">
        <v>1743</v>
      </c>
      <c r="E832" t="s">
        <v>1743</v>
      </c>
      <c r="H832" t="s">
        <v>22</v>
      </c>
      <c r="I832">
        <v>1086223299</v>
      </c>
      <c r="J832" t="s">
        <v>1744</v>
      </c>
      <c r="P832" t="s">
        <v>4611</v>
      </c>
      <c r="Q832" s="3">
        <v>6000000</v>
      </c>
      <c r="R832" s="8" t="e">
        <f>SUMIFS([1]REPORTADOS!$D$2:$D$3379,[1]REPORTADOS!$C$2:$C$3379,E832)</f>
        <v>#VALUE!</v>
      </c>
      <c r="S832" s="8" t="e">
        <f t="shared" si="13"/>
        <v>#VALUE!</v>
      </c>
    </row>
    <row r="833" spans="1:19" x14ac:dyDescent="0.25">
      <c r="A833">
        <v>900091143</v>
      </c>
      <c r="B833" t="s">
        <v>29</v>
      </c>
      <c r="C833" t="s">
        <v>1740</v>
      </c>
      <c r="E833" t="s">
        <v>1740</v>
      </c>
      <c r="H833" t="s">
        <v>22</v>
      </c>
      <c r="I833">
        <v>1085345772</v>
      </c>
      <c r="J833" t="s">
        <v>1741</v>
      </c>
      <c r="P833" t="s">
        <v>4612</v>
      </c>
      <c r="Q833" s="3">
        <v>9500000</v>
      </c>
      <c r="R833" s="8" t="e">
        <f>SUMIFS([1]REPORTADOS!$D$2:$D$3379,[1]REPORTADOS!$C$2:$C$3379,E833)</f>
        <v>#VALUE!</v>
      </c>
      <c r="S833" s="8" t="e">
        <f t="shared" si="13"/>
        <v>#VALUE!</v>
      </c>
    </row>
    <row r="834" spans="1:19" x14ac:dyDescent="0.25">
      <c r="A834">
        <v>900091143</v>
      </c>
      <c r="B834" t="s">
        <v>29</v>
      </c>
      <c r="C834" t="s">
        <v>1755</v>
      </c>
      <c r="E834" t="s">
        <v>1755</v>
      </c>
      <c r="H834" t="s">
        <v>22</v>
      </c>
      <c r="I834">
        <v>59825948</v>
      </c>
      <c r="J834" t="s">
        <v>1756</v>
      </c>
      <c r="P834" t="s">
        <v>4613</v>
      </c>
      <c r="Q834" s="3">
        <v>12000000</v>
      </c>
      <c r="R834" s="8" t="e">
        <f>SUMIFS([1]REPORTADOS!$D$2:$D$3379,[1]REPORTADOS!$C$2:$C$3379,E834)</f>
        <v>#VALUE!</v>
      </c>
      <c r="S834" s="8" t="e">
        <f t="shared" si="13"/>
        <v>#VALUE!</v>
      </c>
    </row>
    <row r="835" spans="1:19" x14ac:dyDescent="0.25">
      <c r="A835">
        <v>900091143</v>
      </c>
      <c r="B835" t="s">
        <v>29</v>
      </c>
      <c r="C835" t="s">
        <v>1752</v>
      </c>
      <c r="E835" t="s">
        <v>1752</v>
      </c>
      <c r="H835" t="s">
        <v>22</v>
      </c>
      <c r="I835">
        <v>36954407</v>
      </c>
      <c r="J835" t="s">
        <v>1753</v>
      </c>
      <c r="P835" t="s">
        <v>4614</v>
      </c>
      <c r="Q835" s="3">
        <v>6000000</v>
      </c>
      <c r="R835" s="8" t="e">
        <f>SUMIFS([1]REPORTADOS!$D$2:$D$3379,[1]REPORTADOS!$C$2:$C$3379,E835)</f>
        <v>#VALUE!</v>
      </c>
      <c r="S835" s="8" t="e">
        <f t="shared" si="13"/>
        <v>#VALUE!</v>
      </c>
    </row>
    <row r="836" spans="1:19" x14ac:dyDescent="0.25">
      <c r="A836">
        <v>900091143</v>
      </c>
      <c r="B836" t="s">
        <v>29</v>
      </c>
      <c r="C836" t="s">
        <v>1749</v>
      </c>
      <c r="E836" t="s">
        <v>1749</v>
      </c>
      <c r="H836" t="s">
        <v>22</v>
      </c>
      <c r="I836">
        <v>27146489</v>
      </c>
      <c r="J836" t="s">
        <v>1750</v>
      </c>
      <c r="P836" t="s">
        <v>4615</v>
      </c>
      <c r="Q836" s="3">
        <v>12000000</v>
      </c>
      <c r="R836" s="8" t="e">
        <f>SUMIFS([1]REPORTADOS!$D$2:$D$3379,[1]REPORTADOS!$C$2:$C$3379,E836)</f>
        <v>#VALUE!</v>
      </c>
      <c r="S836" s="8" t="e">
        <f t="shared" si="13"/>
        <v>#VALUE!</v>
      </c>
    </row>
    <row r="837" spans="1:19" x14ac:dyDescent="0.25">
      <c r="A837">
        <v>900091143</v>
      </c>
      <c r="B837" t="s">
        <v>29</v>
      </c>
      <c r="C837" t="s">
        <v>1746</v>
      </c>
      <c r="E837" t="s">
        <v>1746</v>
      </c>
      <c r="H837" t="s">
        <v>22</v>
      </c>
      <c r="I837">
        <v>1085293105</v>
      </c>
      <c r="J837" t="s">
        <v>1747</v>
      </c>
      <c r="P837" t="s">
        <v>4616</v>
      </c>
      <c r="Q837" s="3">
        <v>15000000</v>
      </c>
      <c r="R837" s="8" t="e">
        <f>SUMIFS([1]REPORTADOS!$D$2:$D$3379,[1]REPORTADOS!$C$2:$C$3379,E837)</f>
        <v>#VALUE!</v>
      </c>
      <c r="S837" s="8" t="e">
        <f t="shared" si="13"/>
        <v>#VALUE!</v>
      </c>
    </row>
    <row r="838" spans="1:19" x14ac:dyDescent="0.25">
      <c r="A838">
        <v>900091143</v>
      </c>
      <c r="B838" t="s">
        <v>29</v>
      </c>
      <c r="C838" t="s">
        <v>1707</v>
      </c>
      <c r="E838" t="s">
        <v>1707</v>
      </c>
      <c r="H838" t="s">
        <v>22</v>
      </c>
      <c r="I838">
        <v>36759759</v>
      </c>
      <c r="J838" t="s">
        <v>1708</v>
      </c>
      <c r="P838" t="s">
        <v>4617</v>
      </c>
      <c r="Q838" s="3">
        <v>9500000</v>
      </c>
      <c r="R838" s="8" t="e">
        <f>SUMIFS([1]REPORTADOS!$D$2:$D$3379,[1]REPORTADOS!$C$2:$C$3379,E838)</f>
        <v>#VALUE!</v>
      </c>
      <c r="S838" s="8" t="e">
        <f t="shared" si="13"/>
        <v>#VALUE!</v>
      </c>
    </row>
    <row r="839" spans="1:19" x14ac:dyDescent="0.25">
      <c r="A839">
        <v>900091143</v>
      </c>
      <c r="B839" t="s">
        <v>29</v>
      </c>
      <c r="C839" s="6" t="s">
        <v>1680</v>
      </c>
      <c r="E839" s="6" t="s">
        <v>1680</v>
      </c>
      <c r="H839" t="s">
        <v>22</v>
      </c>
      <c r="I839">
        <v>1085286476</v>
      </c>
      <c r="J839" t="s">
        <v>1681</v>
      </c>
      <c r="P839" t="s">
        <v>4618</v>
      </c>
      <c r="Q839" s="3">
        <v>12000000</v>
      </c>
      <c r="R839" s="8" t="e">
        <f>SUMIFS([1]REPORTADOS!$D$2:$D$3379,[1]REPORTADOS!$C$2:$C$3379,E839)</f>
        <v>#VALUE!</v>
      </c>
      <c r="S839" s="8" t="e">
        <f t="shared" si="13"/>
        <v>#VALUE!</v>
      </c>
    </row>
    <row r="840" spans="1:19" x14ac:dyDescent="0.25">
      <c r="A840">
        <v>900091143</v>
      </c>
      <c r="B840" t="s">
        <v>29</v>
      </c>
      <c r="C840" t="s">
        <v>1738</v>
      </c>
      <c r="E840" t="s">
        <v>1738</v>
      </c>
      <c r="H840" t="s">
        <v>22</v>
      </c>
      <c r="I840">
        <v>1081592303</v>
      </c>
      <c r="J840" t="s">
        <v>1739</v>
      </c>
      <c r="P840" t="s">
        <v>4619</v>
      </c>
      <c r="Q840" s="3">
        <v>6000000</v>
      </c>
      <c r="R840" s="8" t="e">
        <f>SUMIFS([1]REPORTADOS!$D$2:$D$3379,[1]REPORTADOS!$C$2:$C$3379,E840)</f>
        <v>#VALUE!</v>
      </c>
      <c r="S840" s="8" t="e">
        <f t="shared" si="13"/>
        <v>#VALUE!</v>
      </c>
    </row>
    <row r="841" spans="1:19" x14ac:dyDescent="0.25">
      <c r="A841">
        <v>900091143</v>
      </c>
      <c r="B841" t="s">
        <v>29</v>
      </c>
      <c r="C841" t="s">
        <v>1735</v>
      </c>
      <c r="E841" t="s">
        <v>1735</v>
      </c>
      <c r="H841" t="s">
        <v>22</v>
      </c>
      <c r="I841">
        <v>1193224810</v>
      </c>
      <c r="J841" t="s">
        <v>1736</v>
      </c>
      <c r="P841" t="s">
        <v>4619</v>
      </c>
      <c r="Q841" s="3">
        <v>6000000</v>
      </c>
      <c r="R841" s="8" t="e">
        <f>SUMIFS([1]REPORTADOS!$D$2:$D$3379,[1]REPORTADOS!$C$2:$C$3379,E841)</f>
        <v>#VALUE!</v>
      </c>
      <c r="S841" s="8" t="e">
        <f t="shared" si="13"/>
        <v>#VALUE!</v>
      </c>
    </row>
    <row r="842" spans="1:19" x14ac:dyDescent="0.25">
      <c r="A842">
        <v>900091143</v>
      </c>
      <c r="B842" t="s">
        <v>29</v>
      </c>
      <c r="C842" t="s">
        <v>1832</v>
      </c>
      <c r="E842" t="s">
        <v>1832</v>
      </c>
      <c r="H842" t="s">
        <v>22</v>
      </c>
      <c r="I842">
        <v>1085313872</v>
      </c>
      <c r="J842" t="s">
        <v>1833</v>
      </c>
      <c r="P842" t="s">
        <v>4548</v>
      </c>
      <c r="Q842" s="3">
        <v>5000000</v>
      </c>
      <c r="R842" s="8" t="e">
        <f>SUMIFS([1]REPORTADOS!$D$2:$D$3379,[1]REPORTADOS!$C$2:$C$3379,E842)</f>
        <v>#VALUE!</v>
      </c>
      <c r="S842" s="8" t="e">
        <f t="shared" ref="S842:S878" si="14">Q842-R842</f>
        <v>#VALUE!</v>
      </c>
    </row>
    <row r="843" spans="1:19" x14ac:dyDescent="0.25">
      <c r="A843">
        <v>900091143</v>
      </c>
      <c r="B843" t="s">
        <v>29</v>
      </c>
      <c r="C843" t="s">
        <v>1698</v>
      </c>
      <c r="E843" t="s">
        <v>1698</v>
      </c>
      <c r="H843" t="s">
        <v>22</v>
      </c>
      <c r="I843">
        <v>1087006619</v>
      </c>
      <c r="J843" t="s">
        <v>1699</v>
      </c>
      <c r="P843" t="s">
        <v>4620</v>
      </c>
      <c r="Q843" s="3">
        <v>15000000</v>
      </c>
      <c r="R843" s="8" t="e">
        <f>SUMIFS([1]REPORTADOS!$D$2:$D$3379,[1]REPORTADOS!$C$2:$C$3379,E843)</f>
        <v>#VALUE!</v>
      </c>
      <c r="S843" s="8" t="e">
        <f t="shared" si="14"/>
        <v>#VALUE!</v>
      </c>
    </row>
    <row r="844" spans="1:19" x14ac:dyDescent="0.25">
      <c r="A844">
        <v>900091143</v>
      </c>
      <c r="B844" t="s">
        <v>29</v>
      </c>
      <c r="C844" t="s">
        <v>1770</v>
      </c>
      <c r="E844" t="s">
        <v>1770</v>
      </c>
      <c r="H844" t="s">
        <v>22</v>
      </c>
      <c r="I844">
        <v>1086332188</v>
      </c>
      <c r="J844" t="s">
        <v>1771</v>
      </c>
      <c r="P844" t="s">
        <v>4621</v>
      </c>
      <c r="Q844" s="3">
        <v>9500000</v>
      </c>
      <c r="R844" s="8" t="e">
        <f>SUMIFS([1]REPORTADOS!$D$2:$D$3379,[1]REPORTADOS!$C$2:$C$3379,E844)</f>
        <v>#VALUE!</v>
      </c>
      <c r="S844" s="8" t="e">
        <f t="shared" si="14"/>
        <v>#VALUE!</v>
      </c>
    </row>
    <row r="845" spans="1:19" x14ac:dyDescent="0.25">
      <c r="A845">
        <v>900091143</v>
      </c>
      <c r="B845" t="s">
        <v>29</v>
      </c>
      <c r="C845" t="s">
        <v>1729</v>
      </c>
      <c r="E845" t="s">
        <v>1729</v>
      </c>
      <c r="H845" t="s">
        <v>22</v>
      </c>
      <c r="I845">
        <v>37087268</v>
      </c>
      <c r="J845" t="s">
        <v>1730</v>
      </c>
      <c r="P845" t="s">
        <v>4622</v>
      </c>
      <c r="Q845" s="3">
        <v>5000000</v>
      </c>
      <c r="R845" s="8" t="e">
        <f>SUMIFS([1]REPORTADOS!$D$2:$D$3379,[1]REPORTADOS!$C$2:$C$3379,E845)</f>
        <v>#VALUE!</v>
      </c>
      <c r="S845" s="8" t="e">
        <f t="shared" si="14"/>
        <v>#VALUE!</v>
      </c>
    </row>
    <row r="846" spans="1:19" x14ac:dyDescent="0.25">
      <c r="A846">
        <v>900091143</v>
      </c>
      <c r="B846" t="s">
        <v>29</v>
      </c>
      <c r="C846" t="s">
        <v>1726</v>
      </c>
      <c r="E846" t="s">
        <v>1726</v>
      </c>
      <c r="H846" t="s">
        <v>22</v>
      </c>
      <c r="I846">
        <v>1085271641</v>
      </c>
      <c r="J846" t="s">
        <v>1727</v>
      </c>
      <c r="P846" t="s">
        <v>4623</v>
      </c>
      <c r="Q846" s="3">
        <v>6000000</v>
      </c>
      <c r="R846" s="8" t="e">
        <f>SUMIFS([1]REPORTADOS!$D$2:$D$3379,[1]REPORTADOS!$C$2:$C$3379,E846)</f>
        <v>#VALUE!</v>
      </c>
      <c r="S846" s="8" t="e">
        <f t="shared" si="14"/>
        <v>#VALUE!</v>
      </c>
    </row>
    <row r="847" spans="1:19" x14ac:dyDescent="0.25">
      <c r="A847">
        <v>900091143</v>
      </c>
      <c r="B847" t="s">
        <v>29</v>
      </c>
      <c r="C847" t="s">
        <v>1723</v>
      </c>
      <c r="E847" t="s">
        <v>1723</v>
      </c>
      <c r="H847" t="s">
        <v>22</v>
      </c>
      <c r="I847">
        <v>37084285</v>
      </c>
      <c r="J847" t="s">
        <v>1724</v>
      </c>
      <c r="P847" t="s">
        <v>4624</v>
      </c>
      <c r="Q847" s="3">
        <v>6000000</v>
      </c>
      <c r="R847" s="8" t="e">
        <f>SUMIFS([1]REPORTADOS!$D$2:$D$3379,[1]REPORTADOS!$C$2:$C$3379,E847)</f>
        <v>#VALUE!</v>
      </c>
      <c r="S847" s="8" t="e">
        <f t="shared" si="14"/>
        <v>#VALUE!</v>
      </c>
    </row>
    <row r="848" spans="1:19" x14ac:dyDescent="0.25">
      <c r="A848">
        <v>900091143</v>
      </c>
      <c r="B848" t="s">
        <v>29</v>
      </c>
      <c r="C848" t="s">
        <v>1721</v>
      </c>
      <c r="E848" t="s">
        <v>1721</v>
      </c>
      <c r="H848" t="s">
        <v>22</v>
      </c>
      <c r="I848">
        <v>1088733625</v>
      </c>
      <c r="J848" t="s">
        <v>1722</v>
      </c>
      <c r="P848" t="s">
        <v>4559</v>
      </c>
      <c r="Q848" s="3">
        <v>6000000</v>
      </c>
      <c r="R848" s="8" t="e">
        <f>SUMIFS([1]REPORTADOS!$D$2:$D$3379,[1]REPORTADOS!$C$2:$C$3379,E848)</f>
        <v>#VALUE!</v>
      </c>
      <c r="S848" s="8" t="e">
        <f t="shared" si="14"/>
        <v>#VALUE!</v>
      </c>
    </row>
    <row r="849" spans="1:19" x14ac:dyDescent="0.25">
      <c r="A849">
        <v>900091143</v>
      </c>
      <c r="B849" t="s">
        <v>29</v>
      </c>
      <c r="C849" t="s">
        <v>1719</v>
      </c>
      <c r="E849" t="s">
        <v>1719</v>
      </c>
      <c r="H849" t="s">
        <v>22</v>
      </c>
      <c r="I849">
        <v>1233191675</v>
      </c>
      <c r="J849" t="s">
        <v>1720</v>
      </c>
      <c r="P849" t="s">
        <v>4559</v>
      </c>
      <c r="Q849" s="3">
        <v>6000000</v>
      </c>
      <c r="R849" s="8" t="e">
        <f>SUMIFS([1]REPORTADOS!$D$2:$D$3379,[1]REPORTADOS!$C$2:$C$3379,E849)</f>
        <v>#VALUE!</v>
      </c>
      <c r="S849" s="8" t="e">
        <f t="shared" si="14"/>
        <v>#VALUE!</v>
      </c>
    </row>
    <row r="850" spans="1:19" x14ac:dyDescent="0.25">
      <c r="A850">
        <v>900091143</v>
      </c>
      <c r="B850" t="s">
        <v>29</v>
      </c>
      <c r="C850" t="s">
        <v>1716</v>
      </c>
      <c r="E850" t="s">
        <v>1716</v>
      </c>
      <c r="H850" t="s">
        <v>22</v>
      </c>
      <c r="I850">
        <v>1085300095</v>
      </c>
      <c r="J850" t="s">
        <v>1717</v>
      </c>
      <c r="P850" t="s">
        <v>4625</v>
      </c>
      <c r="Q850" s="3">
        <v>6000000</v>
      </c>
      <c r="R850" s="8" t="e">
        <f>SUMIFS([1]REPORTADOS!$D$2:$D$3379,[1]REPORTADOS!$C$2:$C$3379,E850)</f>
        <v>#VALUE!</v>
      </c>
      <c r="S850" s="8" t="e">
        <f t="shared" si="14"/>
        <v>#VALUE!</v>
      </c>
    </row>
    <row r="851" spans="1:19" x14ac:dyDescent="0.25">
      <c r="A851">
        <v>900091143</v>
      </c>
      <c r="B851" t="s">
        <v>29</v>
      </c>
      <c r="C851" t="s">
        <v>1713</v>
      </c>
      <c r="E851" t="s">
        <v>1713</v>
      </c>
      <c r="H851" t="s">
        <v>22</v>
      </c>
      <c r="I851">
        <v>12974849</v>
      </c>
      <c r="J851" t="s">
        <v>1714</v>
      </c>
      <c r="P851" t="s">
        <v>4626</v>
      </c>
      <c r="Q851" s="3">
        <v>5000000</v>
      </c>
      <c r="R851" s="8" t="e">
        <f>SUMIFS([1]REPORTADOS!$D$2:$D$3379,[1]REPORTADOS!$C$2:$C$3379,E851)</f>
        <v>#VALUE!</v>
      </c>
      <c r="S851" s="8" t="e">
        <f t="shared" si="14"/>
        <v>#VALUE!</v>
      </c>
    </row>
    <row r="852" spans="1:19" x14ac:dyDescent="0.25">
      <c r="A852">
        <v>900091143</v>
      </c>
      <c r="B852" t="s">
        <v>29</v>
      </c>
      <c r="C852" t="s">
        <v>1710</v>
      </c>
      <c r="E852" t="s">
        <v>1710</v>
      </c>
      <c r="H852" t="s">
        <v>22</v>
      </c>
      <c r="I852">
        <v>1006946167</v>
      </c>
      <c r="J852" t="s">
        <v>1711</v>
      </c>
      <c r="P852" t="s">
        <v>4627</v>
      </c>
      <c r="Q852" s="3">
        <v>15000000</v>
      </c>
      <c r="R852" s="8" t="e">
        <f>SUMIFS([1]REPORTADOS!$D$2:$D$3379,[1]REPORTADOS!$C$2:$C$3379,E852)</f>
        <v>#VALUE!</v>
      </c>
      <c r="S852" s="8" t="e">
        <f t="shared" si="14"/>
        <v>#VALUE!</v>
      </c>
    </row>
    <row r="853" spans="1:19" x14ac:dyDescent="0.25">
      <c r="A853">
        <v>900091143</v>
      </c>
      <c r="B853" t="s">
        <v>29</v>
      </c>
      <c r="C853" t="s">
        <v>1659</v>
      </c>
      <c r="E853" t="s">
        <v>1659</v>
      </c>
      <c r="H853" t="s">
        <v>22</v>
      </c>
      <c r="I853">
        <v>1075242334</v>
      </c>
      <c r="J853" t="s">
        <v>1660</v>
      </c>
      <c r="P853" t="s">
        <v>4628</v>
      </c>
      <c r="Q853" s="3">
        <v>5000000</v>
      </c>
      <c r="R853" s="8" t="e">
        <f>SUMIFS([1]REPORTADOS!$D$2:$D$3379,[1]REPORTADOS!$C$2:$C$3379,E853)</f>
        <v>#VALUE!</v>
      </c>
      <c r="S853" s="8" t="e">
        <f t="shared" si="14"/>
        <v>#VALUE!</v>
      </c>
    </row>
    <row r="854" spans="1:19" x14ac:dyDescent="0.25">
      <c r="A854">
        <v>900091143</v>
      </c>
      <c r="B854" t="s">
        <v>29</v>
      </c>
      <c r="C854" t="s">
        <v>1704</v>
      </c>
      <c r="E854" t="s">
        <v>1704</v>
      </c>
      <c r="H854" t="s">
        <v>22</v>
      </c>
      <c r="I854">
        <v>59314458</v>
      </c>
      <c r="J854" t="s">
        <v>1705</v>
      </c>
      <c r="P854" t="s">
        <v>4548</v>
      </c>
      <c r="Q854" s="3">
        <v>12000000</v>
      </c>
      <c r="R854" s="8" t="e">
        <f>SUMIFS([1]REPORTADOS!$D$2:$D$3379,[1]REPORTADOS!$C$2:$C$3379,E854)</f>
        <v>#VALUE!</v>
      </c>
      <c r="S854" s="8" t="e">
        <f t="shared" si="14"/>
        <v>#VALUE!</v>
      </c>
    </row>
    <row r="855" spans="1:19" x14ac:dyDescent="0.25">
      <c r="A855">
        <v>900091143</v>
      </c>
      <c r="B855" t="s">
        <v>29</v>
      </c>
      <c r="C855" t="s">
        <v>1701</v>
      </c>
      <c r="E855" t="s">
        <v>1701</v>
      </c>
      <c r="H855" t="s">
        <v>22</v>
      </c>
      <c r="I855">
        <v>1233189896</v>
      </c>
      <c r="J855" t="s">
        <v>1702</v>
      </c>
      <c r="P855" t="s">
        <v>4629</v>
      </c>
      <c r="Q855" s="3">
        <v>5000000</v>
      </c>
      <c r="R855" s="8" t="e">
        <f>SUMIFS([1]REPORTADOS!$D$2:$D$3379,[1]REPORTADOS!$C$2:$C$3379,E855)</f>
        <v>#VALUE!</v>
      </c>
      <c r="S855" s="8" t="e">
        <f t="shared" si="14"/>
        <v>#VALUE!</v>
      </c>
    </row>
    <row r="856" spans="1:19" x14ac:dyDescent="0.25">
      <c r="A856">
        <v>900091143</v>
      </c>
      <c r="B856" t="s">
        <v>29</v>
      </c>
      <c r="C856" t="s">
        <v>1694</v>
      </c>
      <c r="E856" t="s">
        <v>1694</v>
      </c>
      <c r="H856" t="s">
        <v>22</v>
      </c>
      <c r="I856">
        <v>1193271854</v>
      </c>
      <c r="J856" t="s">
        <v>1695</v>
      </c>
      <c r="P856" t="s">
        <v>4559</v>
      </c>
      <c r="Q856" s="3">
        <v>6000000</v>
      </c>
      <c r="R856" s="8" t="e">
        <f>SUMIFS([1]REPORTADOS!$D$2:$D$3379,[1]REPORTADOS!$C$2:$C$3379,E856)</f>
        <v>#VALUE!</v>
      </c>
      <c r="S856" s="8" t="e">
        <f t="shared" si="14"/>
        <v>#VALUE!</v>
      </c>
    </row>
    <row r="857" spans="1:19" x14ac:dyDescent="0.25">
      <c r="A857">
        <v>900091143</v>
      </c>
      <c r="B857" t="s">
        <v>29</v>
      </c>
      <c r="C857" t="s">
        <v>1677</v>
      </c>
      <c r="E857" t="s">
        <v>1677</v>
      </c>
      <c r="H857" t="s">
        <v>22</v>
      </c>
      <c r="I857">
        <v>1085255829</v>
      </c>
      <c r="J857" t="s">
        <v>1678</v>
      </c>
      <c r="P857" t="s">
        <v>4559</v>
      </c>
      <c r="Q857" s="3">
        <v>6000000</v>
      </c>
      <c r="R857" s="8" t="e">
        <f>SUMIFS([1]REPORTADOS!$D$2:$D$3379,[1]REPORTADOS!$C$2:$C$3379,E857)</f>
        <v>#VALUE!</v>
      </c>
      <c r="S857" s="8" t="e">
        <f t="shared" si="14"/>
        <v>#VALUE!</v>
      </c>
    </row>
    <row r="858" spans="1:19" x14ac:dyDescent="0.25">
      <c r="A858">
        <v>900091143</v>
      </c>
      <c r="B858" t="s">
        <v>29</v>
      </c>
      <c r="C858" t="s">
        <v>1674</v>
      </c>
      <c r="E858" t="s">
        <v>1674</v>
      </c>
      <c r="H858" t="s">
        <v>22</v>
      </c>
      <c r="I858">
        <v>1085329980</v>
      </c>
      <c r="J858" t="s">
        <v>1675</v>
      </c>
      <c r="P858" t="s">
        <v>4630</v>
      </c>
      <c r="Q858" s="3">
        <v>15000000</v>
      </c>
      <c r="R858" s="8" t="e">
        <f>SUMIFS([1]REPORTADOS!$D$2:$D$3379,[1]REPORTADOS!$C$2:$C$3379,E858)</f>
        <v>#VALUE!</v>
      </c>
      <c r="S858" s="8" t="e">
        <f t="shared" si="14"/>
        <v>#VALUE!</v>
      </c>
    </row>
    <row r="859" spans="1:19" x14ac:dyDescent="0.25">
      <c r="A859">
        <v>900091143</v>
      </c>
      <c r="B859" t="s">
        <v>29</v>
      </c>
      <c r="C859" t="s">
        <v>1732</v>
      </c>
      <c r="E859" t="s">
        <v>1732</v>
      </c>
      <c r="H859" t="s">
        <v>22</v>
      </c>
      <c r="I859">
        <v>1085311814</v>
      </c>
      <c r="J859" t="s">
        <v>1733</v>
      </c>
      <c r="P859" t="s">
        <v>4631</v>
      </c>
      <c r="Q859" s="3">
        <v>9650000</v>
      </c>
      <c r="R859" s="8" t="e">
        <f>SUMIFS([1]REPORTADOS!$D$2:$D$3379,[1]REPORTADOS!$C$2:$C$3379,E859)</f>
        <v>#VALUE!</v>
      </c>
      <c r="S859" s="8" t="e">
        <f t="shared" si="14"/>
        <v>#VALUE!</v>
      </c>
    </row>
    <row r="860" spans="1:19" x14ac:dyDescent="0.25">
      <c r="A860">
        <v>900091143</v>
      </c>
      <c r="B860" t="s">
        <v>29</v>
      </c>
      <c r="C860" t="s">
        <v>1692</v>
      </c>
      <c r="E860" t="s">
        <v>1692</v>
      </c>
      <c r="H860" t="s">
        <v>22</v>
      </c>
      <c r="I860">
        <v>59651018</v>
      </c>
      <c r="J860" t="s">
        <v>1693</v>
      </c>
      <c r="P860" t="s">
        <v>4632</v>
      </c>
      <c r="Q860" s="3">
        <v>9500000</v>
      </c>
      <c r="R860" s="8" t="e">
        <f>SUMIFS([1]REPORTADOS!$D$2:$D$3379,[1]REPORTADOS!$C$2:$C$3379,E860)</f>
        <v>#VALUE!</v>
      </c>
      <c r="S860" s="8" t="e">
        <f t="shared" si="14"/>
        <v>#VALUE!</v>
      </c>
    </row>
    <row r="861" spans="1:19" x14ac:dyDescent="0.25">
      <c r="A861">
        <v>900091143</v>
      </c>
      <c r="B861" t="s">
        <v>29</v>
      </c>
      <c r="C861" t="s">
        <v>1689</v>
      </c>
      <c r="E861" t="s">
        <v>1689</v>
      </c>
      <c r="H861" t="s">
        <v>22</v>
      </c>
      <c r="I861" s="12">
        <v>36752202</v>
      </c>
      <c r="J861" t="s">
        <v>1690</v>
      </c>
      <c r="P861" t="s">
        <v>4633</v>
      </c>
      <c r="Q861" s="3">
        <v>6000000</v>
      </c>
      <c r="R861" s="8" t="e">
        <f>SUMIFS([1]REPORTADOS!$D$2:$D$3379,[1]REPORTADOS!$C$2:$C$3379,E861)</f>
        <v>#VALUE!</v>
      </c>
      <c r="S861" s="8" t="e">
        <f t="shared" si="14"/>
        <v>#VALUE!</v>
      </c>
    </row>
    <row r="862" spans="1:19" x14ac:dyDescent="0.25">
      <c r="A862">
        <v>900091143</v>
      </c>
      <c r="B862" t="s">
        <v>29</v>
      </c>
      <c r="C862" t="s">
        <v>1686</v>
      </c>
      <c r="E862" t="s">
        <v>1686</v>
      </c>
      <c r="H862" t="s">
        <v>22</v>
      </c>
      <c r="I862">
        <v>1085324891</v>
      </c>
      <c r="J862" t="s">
        <v>1687</v>
      </c>
      <c r="P862" t="s">
        <v>4634</v>
      </c>
      <c r="Q862" s="3">
        <v>9650000</v>
      </c>
      <c r="R862" s="8" t="e">
        <f>SUMIFS([1]REPORTADOS!$D$2:$D$3379,[1]REPORTADOS!$C$2:$C$3379,E862)</f>
        <v>#VALUE!</v>
      </c>
      <c r="S862" s="8" t="e">
        <f t="shared" si="14"/>
        <v>#VALUE!</v>
      </c>
    </row>
    <row r="863" spans="1:19" x14ac:dyDescent="0.25">
      <c r="A863">
        <v>900091143</v>
      </c>
      <c r="B863" t="s">
        <v>29</v>
      </c>
      <c r="C863" t="s">
        <v>1683</v>
      </c>
      <c r="E863" t="s">
        <v>1683</v>
      </c>
      <c r="H863" t="s">
        <v>22</v>
      </c>
      <c r="I863">
        <v>1085340885</v>
      </c>
      <c r="J863" t="s">
        <v>1684</v>
      </c>
      <c r="P863" t="s">
        <v>4635</v>
      </c>
      <c r="Q863" s="3">
        <v>9500000</v>
      </c>
      <c r="R863" s="8" t="e">
        <f>SUMIFS([1]REPORTADOS!$D$2:$D$3379,[1]REPORTADOS!$C$2:$C$3379,E863)</f>
        <v>#VALUE!</v>
      </c>
      <c r="S863" s="8" t="e">
        <f t="shared" si="14"/>
        <v>#VALUE!</v>
      </c>
    </row>
    <row r="864" spans="1:19" x14ac:dyDescent="0.25">
      <c r="A864">
        <v>900091143</v>
      </c>
      <c r="B864" t="s">
        <v>29</v>
      </c>
      <c r="C864" t="s">
        <v>1665</v>
      </c>
      <c r="E864" t="s">
        <v>1665</v>
      </c>
      <c r="H864" t="s">
        <v>22</v>
      </c>
      <c r="I864">
        <v>69028150</v>
      </c>
      <c r="J864" t="s">
        <v>1666</v>
      </c>
      <c r="P864" t="s">
        <v>4636</v>
      </c>
      <c r="Q864" s="3">
        <v>6000000</v>
      </c>
      <c r="R864" s="8" t="e">
        <f>SUMIFS([1]REPORTADOS!$D$2:$D$3379,[1]REPORTADOS!$C$2:$C$3379,E864)</f>
        <v>#VALUE!</v>
      </c>
      <c r="S864" s="8" t="e">
        <f t="shared" si="14"/>
        <v>#VALUE!</v>
      </c>
    </row>
    <row r="865" spans="1:19" x14ac:dyDescent="0.25">
      <c r="A865">
        <v>900091143</v>
      </c>
      <c r="B865" t="s">
        <v>29</v>
      </c>
      <c r="C865" t="s">
        <v>1662</v>
      </c>
      <c r="E865" t="s">
        <v>1662</v>
      </c>
      <c r="H865" t="s">
        <v>22</v>
      </c>
      <c r="I865">
        <v>36757221</v>
      </c>
      <c r="J865" t="s">
        <v>1663</v>
      </c>
      <c r="P865" t="s">
        <v>4637</v>
      </c>
      <c r="Q865" s="3">
        <v>12000000</v>
      </c>
      <c r="R865" s="8" t="e">
        <f>SUMIFS([1]REPORTADOS!$D$2:$D$3379,[1]REPORTADOS!$C$2:$C$3379,E865)</f>
        <v>#VALUE!</v>
      </c>
      <c r="S865" s="8" t="e">
        <f t="shared" si="14"/>
        <v>#VALUE!</v>
      </c>
    </row>
    <row r="866" spans="1:19" x14ac:dyDescent="0.25">
      <c r="A866">
        <v>900091143</v>
      </c>
      <c r="B866" t="s">
        <v>29</v>
      </c>
      <c r="C866" t="s">
        <v>1671</v>
      </c>
      <c r="E866" t="s">
        <v>1671</v>
      </c>
      <c r="H866" t="s">
        <v>22</v>
      </c>
      <c r="I866">
        <v>59310524</v>
      </c>
      <c r="J866" t="s">
        <v>1672</v>
      </c>
      <c r="P866" t="s">
        <v>4638</v>
      </c>
      <c r="Q866" s="3">
        <v>6000000</v>
      </c>
      <c r="R866" s="8" t="e">
        <f>SUMIFS([1]REPORTADOS!$D$2:$D$3379,[1]REPORTADOS!$C$2:$C$3379,E866)</f>
        <v>#VALUE!</v>
      </c>
      <c r="S866" s="8" t="e">
        <f t="shared" si="14"/>
        <v>#VALUE!</v>
      </c>
    </row>
    <row r="867" spans="1:19" x14ac:dyDescent="0.25">
      <c r="A867">
        <v>900091143</v>
      </c>
      <c r="B867" t="s">
        <v>29</v>
      </c>
      <c r="C867" t="s">
        <v>1656</v>
      </c>
      <c r="E867" t="s">
        <v>1656</v>
      </c>
      <c r="H867" t="s">
        <v>22</v>
      </c>
      <c r="I867">
        <v>1085338534</v>
      </c>
      <c r="J867" t="s">
        <v>1657</v>
      </c>
      <c r="P867" t="s">
        <v>4639</v>
      </c>
      <c r="Q867" s="3">
        <v>9650000</v>
      </c>
      <c r="R867" s="8" t="e">
        <f>SUMIFS([1]REPORTADOS!$D$2:$D$3379,[1]REPORTADOS!$C$2:$C$3379,E867)</f>
        <v>#VALUE!</v>
      </c>
      <c r="S867" s="8" t="e">
        <f t="shared" si="14"/>
        <v>#VALUE!</v>
      </c>
    </row>
    <row r="868" spans="1:19" x14ac:dyDescent="0.25">
      <c r="A868">
        <v>900091143</v>
      </c>
      <c r="B868" t="s">
        <v>29</v>
      </c>
      <c r="C868" t="s">
        <v>1650</v>
      </c>
      <c r="E868" t="s">
        <v>1650</v>
      </c>
      <c r="H868" t="s">
        <v>22</v>
      </c>
      <c r="I868">
        <v>80765093</v>
      </c>
      <c r="J868" t="s">
        <v>1651</v>
      </c>
      <c r="P868" t="s">
        <v>4640</v>
      </c>
      <c r="Q868" s="3">
        <v>15000000</v>
      </c>
      <c r="R868" s="8" t="e">
        <f>SUMIFS([1]REPORTADOS!$D$2:$D$3379,[1]REPORTADOS!$C$2:$C$3379,E868)</f>
        <v>#VALUE!</v>
      </c>
      <c r="S868" s="8" t="e">
        <f t="shared" si="14"/>
        <v>#VALUE!</v>
      </c>
    </row>
    <row r="869" spans="1:19" x14ac:dyDescent="0.25">
      <c r="A869">
        <v>900091143</v>
      </c>
      <c r="B869" t="s">
        <v>29</v>
      </c>
      <c r="C869" t="s">
        <v>1647</v>
      </c>
      <c r="E869" t="s">
        <v>1647</v>
      </c>
      <c r="H869" t="s">
        <v>22</v>
      </c>
      <c r="I869">
        <v>1085343783</v>
      </c>
      <c r="J869" t="s">
        <v>1648</v>
      </c>
      <c r="P869" t="s">
        <v>4641</v>
      </c>
      <c r="Q869" s="3">
        <v>9500000</v>
      </c>
      <c r="R869" s="8" t="e">
        <f>SUMIFS([1]REPORTADOS!$D$2:$D$3379,[1]REPORTADOS!$C$2:$C$3379,E869)</f>
        <v>#VALUE!</v>
      </c>
      <c r="S869" s="8" t="e">
        <f t="shared" si="14"/>
        <v>#VALUE!</v>
      </c>
    </row>
    <row r="870" spans="1:19" x14ac:dyDescent="0.25">
      <c r="A870">
        <v>900091143</v>
      </c>
      <c r="B870" t="s">
        <v>29</v>
      </c>
      <c r="C870" t="s">
        <v>1668</v>
      </c>
      <c r="E870" t="s">
        <v>1668</v>
      </c>
      <c r="H870" t="s">
        <v>22</v>
      </c>
      <c r="I870">
        <v>1085255753</v>
      </c>
      <c r="J870" t="s">
        <v>1669</v>
      </c>
      <c r="P870" t="s">
        <v>4642</v>
      </c>
      <c r="Q870" s="3">
        <v>5000000</v>
      </c>
      <c r="R870" s="8" t="e">
        <f>SUMIFS([1]REPORTADOS!$D$2:$D$3379,[1]REPORTADOS!$C$2:$C$3379,E870)</f>
        <v>#VALUE!</v>
      </c>
      <c r="S870" s="8" t="e">
        <f t="shared" si="14"/>
        <v>#VALUE!</v>
      </c>
    </row>
    <row r="871" spans="1:19" x14ac:dyDescent="0.25">
      <c r="A871">
        <v>900091143</v>
      </c>
      <c r="B871" t="s">
        <v>29</v>
      </c>
      <c r="C871" t="s">
        <v>1653</v>
      </c>
      <c r="E871" t="s">
        <v>1653</v>
      </c>
      <c r="H871" t="s">
        <v>22</v>
      </c>
      <c r="I871">
        <v>1006106084</v>
      </c>
      <c r="J871" t="s">
        <v>1654</v>
      </c>
      <c r="P871" t="s">
        <v>4643</v>
      </c>
      <c r="Q871" s="3">
        <v>15000000</v>
      </c>
      <c r="R871" s="8" t="e">
        <f>SUMIFS([1]REPORTADOS!$D$2:$D$3379,[1]REPORTADOS!$C$2:$C$3379,E871)</f>
        <v>#VALUE!</v>
      </c>
      <c r="S871" s="8" t="e">
        <f t="shared" si="14"/>
        <v>#VALUE!</v>
      </c>
    </row>
    <row r="872" spans="1:19" x14ac:dyDescent="0.25">
      <c r="A872">
        <v>900091143</v>
      </c>
      <c r="B872" t="s">
        <v>29</v>
      </c>
      <c r="C872" t="s">
        <v>1644</v>
      </c>
      <c r="E872" t="s">
        <v>1644</v>
      </c>
      <c r="H872" t="s">
        <v>22</v>
      </c>
      <c r="I872">
        <v>1004508471</v>
      </c>
      <c r="J872" t="s">
        <v>1645</v>
      </c>
      <c r="P872" t="s">
        <v>4644</v>
      </c>
      <c r="Q872" s="3">
        <v>9650000</v>
      </c>
      <c r="R872" s="8" t="e">
        <f>SUMIFS([1]REPORTADOS!$D$2:$D$3379,[1]REPORTADOS!$C$2:$C$3379,E872)</f>
        <v>#VALUE!</v>
      </c>
      <c r="S872" s="8" t="e">
        <f t="shared" si="14"/>
        <v>#VALUE!</v>
      </c>
    </row>
    <row r="873" spans="1:19" x14ac:dyDescent="0.25">
      <c r="A873">
        <v>900091143</v>
      </c>
      <c r="B873" t="s">
        <v>29</v>
      </c>
      <c r="C873" t="s">
        <v>1638</v>
      </c>
      <c r="E873" t="s">
        <v>1638</v>
      </c>
      <c r="H873" t="s">
        <v>22</v>
      </c>
      <c r="I873">
        <v>1085340697</v>
      </c>
      <c r="J873" t="s">
        <v>1639</v>
      </c>
      <c r="P873" t="s">
        <v>4645</v>
      </c>
      <c r="Q873" s="3">
        <v>12000000</v>
      </c>
      <c r="R873" s="8" t="e">
        <f>SUMIFS([1]REPORTADOS!$D$2:$D$3379,[1]REPORTADOS!$C$2:$C$3379,E873)</f>
        <v>#VALUE!</v>
      </c>
      <c r="S873" s="8" t="e">
        <f t="shared" si="14"/>
        <v>#VALUE!</v>
      </c>
    </row>
    <row r="874" spans="1:19" x14ac:dyDescent="0.25">
      <c r="A874">
        <v>900091143</v>
      </c>
      <c r="B874" t="s">
        <v>29</v>
      </c>
      <c r="C874" s="10" t="s">
        <v>2048</v>
      </c>
      <c r="E874" s="10" t="s">
        <v>2048</v>
      </c>
      <c r="H874" t="s">
        <v>22</v>
      </c>
      <c r="I874">
        <v>1085272774</v>
      </c>
      <c r="J874" t="s">
        <v>2049</v>
      </c>
      <c r="P874" t="s">
        <v>4646</v>
      </c>
      <c r="Q874" s="3">
        <v>6000000</v>
      </c>
      <c r="R874" s="8" t="e">
        <f>SUMIFS([1]REPORTADOS!$D$2:$D$3379,[1]REPORTADOS!$C$2:$C$3379,E874)</f>
        <v>#VALUE!</v>
      </c>
      <c r="S874" s="8" t="e">
        <f t="shared" si="14"/>
        <v>#VALUE!</v>
      </c>
    </row>
    <row r="875" spans="1:19" x14ac:dyDescent="0.25">
      <c r="A875">
        <v>900091143</v>
      </c>
      <c r="B875" t="s">
        <v>29</v>
      </c>
      <c r="C875" t="s">
        <v>1635</v>
      </c>
      <c r="E875" t="s">
        <v>1635</v>
      </c>
      <c r="H875" s="6" t="s">
        <v>22</v>
      </c>
      <c r="I875">
        <v>1085330309</v>
      </c>
      <c r="J875" t="s">
        <v>1636</v>
      </c>
      <c r="P875" t="s">
        <v>4632</v>
      </c>
      <c r="Q875" s="3">
        <v>9500000</v>
      </c>
      <c r="R875" s="8" t="e">
        <f>SUMIFS([1]REPORTADOS!$D$2:$D$3379,[1]REPORTADOS!$C$2:$C$3379,E875)</f>
        <v>#VALUE!</v>
      </c>
      <c r="S875" s="8" t="e">
        <f t="shared" si="14"/>
        <v>#VALUE!</v>
      </c>
    </row>
    <row r="876" spans="1:19" x14ac:dyDescent="0.25">
      <c r="A876">
        <v>900091143</v>
      </c>
      <c r="B876" t="s">
        <v>29</v>
      </c>
      <c r="C876" t="s">
        <v>1641</v>
      </c>
      <c r="E876" t="s">
        <v>1641</v>
      </c>
      <c r="H876" t="s">
        <v>22</v>
      </c>
      <c r="I876">
        <v>1085303585</v>
      </c>
      <c r="J876" t="s">
        <v>1642</v>
      </c>
      <c r="P876" t="s">
        <v>4647</v>
      </c>
      <c r="Q876" s="3">
        <v>12000000</v>
      </c>
      <c r="R876" s="8" t="e">
        <f>SUMIFS([1]REPORTADOS!$D$2:$D$3379,[1]REPORTADOS!$C$2:$C$3379,E876)</f>
        <v>#VALUE!</v>
      </c>
      <c r="S876" s="8" t="e">
        <f t="shared" si="14"/>
        <v>#VALUE!</v>
      </c>
    </row>
    <row r="877" spans="1:19" x14ac:dyDescent="0.25">
      <c r="A877">
        <v>900091143</v>
      </c>
      <c r="B877" t="s">
        <v>29</v>
      </c>
      <c r="C877" s="10" t="s">
        <v>2045</v>
      </c>
      <c r="E877" s="10" t="s">
        <v>2045</v>
      </c>
      <c r="H877" t="s">
        <v>22</v>
      </c>
      <c r="I877">
        <v>36950482</v>
      </c>
      <c r="J877" t="s">
        <v>2046</v>
      </c>
      <c r="P877" t="s">
        <v>4648</v>
      </c>
      <c r="Q877" s="3">
        <v>6000000</v>
      </c>
      <c r="R877" s="8" t="e">
        <f>SUMIFS([1]REPORTADOS!$D$2:$D$3379,[1]REPORTADOS!$C$2:$C$3379,E877)</f>
        <v>#VALUE!</v>
      </c>
      <c r="S877" s="8" t="e">
        <f t="shared" si="14"/>
        <v>#VALUE!</v>
      </c>
    </row>
    <row r="878" spans="1:19" x14ac:dyDescent="0.25">
      <c r="A878">
        <v>900091143</v>
      </c>
      <c r="B878" t="s">
        <v>29</v>
      </c>
      <c r="C878" t="s">
        <v>1632</v>
      </c>
      <c r="E878" t="s">
        <v>1632</v>
      </c>
      <c r="H878" t="s">
        <v>22</v>
      </c>
      <c r="I878">
        <v>36753698</v>
      </c>
      <c r="J878" t="s">
        <v>1633</v>
      </c>
      <c r="P878" t="s">
        <v>4649</v>
      </c>
      <c r="Q878" s="3">
        <v>3000000</v>
      </c>
      <c r="R878" s="8" t="e">
        <f>SUMIFS([1]REPORTADOS!$D$2:$D$3379,[1]REPORTADOS!$C$2:$C$3379,E878)</f>
        <v>#VALUE!</v>
      </c>
      <c r="S878" s="8" t="e">
        <f t="shared" si="14"/>
        <v>#VALUE!</v>
      </c>
    </row>
    <row r="879" spans="1:19" x14ac:dyDescent="0.25">
      <c r="A879">
        <v>900091143</v>
      </c>
      <c r="B879" t="s">
        <v>2091</v>
      </c>
      <c r="C879" t="s">
        <v>2622</v>
      </c>
      <c r="E879" t="s">
        <v>2622</v>
      </c>
      <c r="H879" t="s">
        <v>38</v>
      </c>
      <c r="I879">
        <v>900994364</v>
      </c>
      <c r="J879" t="s">
        <v>2623</v>
      </c>
      <c r="P879" t="s">
        <v>2624</v>
      </c>
      <c r="Q879" s="8">
        <v>303816500</v>
      </c>
      <c r="R879" s="8" t="e">
        <f>SUMIFS([1]REPORTADOS!$D$2:$D$3345,[1]REPORTADOS!$C$2:$C$3345,E879)</f>
        <v>#VALUE!</v>
      </c>
      <c r="S879" s="3" t="e">
        <f>Q879-R879</f>
        <v>#VALUE!</v>
      </c>
    </row>
    <row r="880" spans="1:19" x14ac:dyDescent="0.25">
      <c r="A880">
        <v>900091143</v>
      </c>
      <c r="B880" t="s">
        <v>2868</v>
      </c>
      <c r="C880" t="s">
        <v>2806</v>
      </c>
      <c r="E880" t="s">
        <v>2806</v>
      </c>
      <c r="H880" t="s">
        <v>38</v>
      </c>
      <c r="I880">
        <v>900633448</v>
      </c>
      <c r="J880" t="s">
        <v>2800</v>
      </c>
      <c r="P880" t="s">
        <v>2807</v>
      </c>
      <c r="Q880" s="8">
        <v>250950000</v>
      </c>
      <c r="R880" s="8" t="e">
        <f>SUMIFS([1]REPORTADOS!$D$2:$D$3345,[1]REPORTADOS!$C$2:$C$3345,E880)</f>
        <v>#VALUE!</v>
      </c>
      <c r="S880" s="3" t="e">
        <f t="shared" ref="S880:S943" si="15">Q880-R880</f>
        <v>#VALUE!</v>
      </c>
    </row>
    <row r="881" spans="1:19" x14ac:dyDescent="0.25">
      <c r="A881">
        <v>900091143</v>
      </c>
      <c r="B881" t="s">
        <v>2869</v>
      </c>
      <c r="C881" t="s">
        <v>2751</v>
      </c>
      <c r="E881" t="s">
        <v>2751</v>
      </c>
      <c r="H881" t="s">
        <v>38</v>
      </c>
      <c r="I881">
        <v>900994364</v>
      </c>
      <c r="J881" t="s">
        <v>2623</v>
      </c>
      <c r="P881" t="s">
        <v>2752</v>
      </c>
      <c r="Q881" s="8">
        <v>195005000</v>
      </c>
      <c r="R881" s="8" t="e">
        <f>SUMIFS([1]REPORTADOS!$D$2:$D$3345,[1]REPORTADOS!$C$2:$C$3345,E881)</f>
        <v>#VALUE!</v>
      </c>
      <c r="S881" s="3" t="e">
        <f t="shared" si="15"/>
        <v>#VALUE!</v>
      </c>
    </row>
    <row r="882" spans="1:19" x14ac:dyDescent="0.25">
      <c r="A882">
        <v>900091143</v>
      </c>
      <c r="B882" t="s">
        <v>2870</v>
      </c>
      <c r="C882" t="s">
        <v>2799</v>
      </c>
      <c r="E882" t="s">
        <v>2799</v>
      </c>
      <c r="H882" t="s">
        <v>38</v>
      </c>
      <c r="I882">
        <v>900633448</v>
      </c>
      <c r="J882" t="s">
        <v>2800</v>
      </c>
      <c r="P882" t="s">
        <v>2801</v>
      </c>
      <c r="Q882" s="8">
        <v>166950000</v>
      </c>
      <c r="R882" s="8" t="e">
        <f>SUMIFS([1]REPORTADOS!$D$2:$D$3345,[1]REPORTADOS!$C$2:$C$3345,E882)</f>
        <v>#VALUE!</v>
      </c>
      <c r="S882" s="3" t="e">
        <f t="shared" si="15"/>
        <v>#VALUE!</v>
      </c>
    </row>
    <row r="883" spans="1:19" x14ac:dyDescent="0.25">
      <c r="A883">
        <v>900091143</v>
      </c>
      <c r="B883" t="s">
        <v>2871</v>
      </c>
      <c r="C883" t="s">
        <v>2485</v>
      </c>
      <c r="E883" t="s">
        <v>2485</v>
      </c>
      <c r="H883" t="s">
        <v>38</v>
      </c>
      <c r="I883">
        <v>900633448</v>
      </c>
      <c r="J883" t="s">
        <v>2486</v>
      </c>
      <c r="P883" t="s">
        <v>2487</v>
      </c>
      <c r="Q883" s="8">
        <v>163200000</v>
      </c>
      <c r="R883" s="8" t="e">
        <f>SUMIFS([1]REPORTADOS!$D$2:$D$3345,[1]REPORTADOS!$C$2:$C$3345,E883)</f>
        <v>#VALUE!</v>
      </c>
      <c r="S883" s="3" t="e">
        <f t="shared" si="15"/>
        <v>#VALUE!</v>
      </c>
    </row>
    <row r="884" spans="1:19" x14ac:dyDescent="0.25">
      <c r="A884">
        <v>900091143</v>
      </c>
      <c r="B884" t="s">
        <v>2872</v>
      </c>
      <c r="C884" t="s">
        <v>2205</v>
      </c>
      <c r="E884" t="s">
        <v>2205</v>
      </c>
      <c r="H884" t="s">
        <v>38</v>
      </c>
      <c r="I884">
        <v>900994364</v>
      </c>
      <c r="J884" t="s">
        <v>2206</v>
      </c>
      <c r="P884" t="s">
        <v>4650</v>
      </c>
      <c r="Q884" s="8">
        <v>146000000</v>
      </c>
      <c r="R884" s="8" t="e">
        <f>SUMIFS([1]REPORTADOS!$D$2:$D$3345,[1]REPORTADOS!$C$2:$C$3345,E884)</f>
        <v>#VALUE!</v>
      </c>
      <c r="S884" s="3" t="e">
        <f t="shared" si="15"/>
        <v>#VALUE!</v>
      </c>
    </row>
    <row r="885" spans="1:19" x14ac:dyDescent="0.25">
      <c r="A885">
        <v>900091143</v>
      </c>
      <c r="B885" t="s">
        <v>2873</v>
      </c>
      <c r="C885" t="s">
        <v>2808</v>
      </c>
      <c r="E885" t="s">
        <v>2808</v>
      </c>
      <c r="H885" t="s">
        <v>38</v>
      </c>
      <c r="I885">
        <v>900633448</v>
      </c>
      <c r="J885" t="s">
        <v>2800</v>
      </c>
      <c r="P885" t="s">
        <v>2809</v>
      </c>
      <c r="Q885" s="8">
        <v>144900000</v>
      </c>
      <c r="R885" s="8" t="e">
        <f>SUMIFS([1]REPORTADOS!$D$2:$D$3345,[1]REPORTADOS!$C$2:$C$3345,E885)</f>
        <v>#VALUE!</v>
      </c>
      <c r="S885" s="3" t="e">
        <f t="shared" si="15"/>
        <v>#VALUE!</v>
      </c>
    </row>
    <row r="886" spans="1:19" x14ac:dyDescent="0.25">
      <c r="A886">
        <v>900091143</v>
      </c>
      <c r="B886" t="s">
        <v>2874</v>
      </c>
      <c r="C886" t="s">
        <v>2802</v>
      </c>
      <c r="E886" t="s">
        <v>2802</v>
      </c>
      <c r="H886" t="s">
        <v>38</v>
      </c>
      <c r="I886">
        <v>900633448</v>
      </c>
      <c r="J886" t="s">
        <v>2803</v>
      </c>
      <c r="P886" t="s">
        <v>2804</v>
      </c>
      <c r="Q886" s="8">
        <v>140700000</v>
      </c>
      <c r="R886" s="8" t="e">
        <f>SUMIFS([1]REPORTADOS!$D$2:$D$3345,[1]REPORTADOS!$C$2:$C$3345,E886)</f>
        <v>#VALUE!</v>
      </c>
      <c r="S886" s="3" t="e">
        <f t="shared" si="15"/>
        <v>#VALUE!</v>
      </c>
    </row>
    <row r="887" spans="1:19" x14ac:dyDescent="0.25">
      <c r="A887">
        <v>900091143</v>
      </c>
      <c r="B887" t="s">
        <v>2875</v>
      </c>
      <c r="C887" t="s">
        <v>2394</v>
      </c>
      <c r="E887" t="s">
        <v>2394</v>
      </c>
      <c r="H887" t="s">
        <v>38</v>
      </c>
      <c r="I887">
        <v>900994364</v>
      </c>
      <c r="J887" t="s">
        <v>2395</v>
      </c>
      <c r="P887" t="s">
        <v>4651</v>
      </c>
      <c r="Q887" s="8">
        <v>107005500</v>
      </c>
      <c r="R887" s="8" t="e">
        <f>SUMIFS([1]REPORTADOS!$D$2:$D$3345,[1]REPORTADOS!$C$2:$C$3345,E887)</f>
        <v>#VALUE!</v>
      </c>
      <c r="S887" s="3" t="e">
        <f t="shared" si="15"/>
        <v>#VALUE!</v>
      </c>
    </row>
    <row r="888" spans="1:19" x14ac:dyDescent="0.25">
      <c r="A888">
        <v>900091143</v>
      </c>
      <c r="B888" t="s">
        <v>2876</v>
      </c>
      <c r="C888" t="s">
        <v>2844</v>
      </c>
      <c r="E888" t="s">
        <v>2844</v>
      </c>
      <c r="H888" t="s">
        <v>38</v>
      </c>
      <c r="I888">
        <v>8903124524</v>
      </c>
      <c r="J888" t="s">
        <v>2845</v>
      </c>
      <c r="P888" t="s">
        <v>2106</v>
      </c>
      <c r="Q888" s="8">
        <v>36842400</v>
      </c>
      <c r="R888" s="8" t="e">
        <f>SUMIFS([1]REPORTADOS!$D$2:$D$3345,[1]REPORTADOS!$C$2:$C$3345,E888)</f>
        <v>#VALUE!</v>
      </c>
      <c r="S888" s="3" t="e">
        <f t="shared" si="15"/>
        <v>#VALUE!</v>
      </c>
    </row>
    <row r="889" spans="1:19" x14ac:dyDescent="0.25">
      <c r="A889">
        <v>900091143</v>
      </c>
      <c r="B889" t="s">
        <v>2877</v>
      </c>
      <c r="C889" t="s">
        <v>2812</v>
      </c>
      <c r="E889" t="s">
        <v>2812</v>
      </c>
      <c r="H889" t="s">
        <v>22</v>
      </c>
      <c r="I889">
        <v>12746875</v>
      </c>
      <c r="J889" t="s">
        <v>2813</v>
      </c>
      <c r="P889" t="s">
        <v>2814</v>
      </c>
      <c r="Q889" s="8">
        <v>33001556</v>
      </c>
      <c r="R889" s="8" t="e">
        <f>SUMIFS([1]REPORTADOS!$D$2:$D$3345,[1]REPORTADOS!$C$2:$C$3345,E889)</f>
        <v>#VALUE!</v>
      </c>
      <c r="S889" s="3" t="e">
        <f t="shared" si="15"/>
        <v>#VALUE!</v>
      </c>
    </row>
    <row r="890" spans="1:19" x14ac:dyDescent="0.25">
      <c r="A890">
        <v>900091143</v>
      </c>
      <c r="B890" t="s">
        <v>2878</v>
      </c>
      <c r="C890" t="s">
        <v>2848</v>
      </c>
      <c r="E890" t="s">
        <v>2848</v>
      </c>
      <c r="H890" t="s">
        <v>38</v>
      </c>
      <c r="I890">
        <v>901095545</v>
      </c>
      <c r="J890" t="s">
        <v>2849</v>
      </c>
      <c r="P890" t="s">
        <v>2850</v>
      </c>
      <c r="Q890" s="8">
        <v>31498000</v>
      </c>
      <c r="R890" s="8" t="e">
        <f>SUMIFS([1]REPORTADOS!$D$2:$D$3345,[1]REPORTADOS!$C$2:$C$3345,E890)</f>
        <v>#VALUE!</v>
      </c>
      <c r="S890" s="3" t="e">
        <f t="shared" si="15"/>
        <v>#VALUE!</v>
      </c>
    </row>
    <row r="891" spans="1:19" x14ac:dyDescent="0.25">
      <c r="A891">
        <v>900091143</v>
      </c>
      <c r="B891" t="s">
        <v>2879</v>
      </c>
      <c r="C891" t="s">
        <v>2104</v>
      </c>
      <c r="E891" t="s">
        <v>2104</v>
      </c>
      <c r="H891" t="s">
        <v>38</v>
      </c>
      <c r="I891">
        <v>830004892</v>
      </c>
      <c r="J891" t="s">
        <v>2105</v>
      </c>
      <c r="P891" t="s">
        <v>2106</v>
      </c>
      <c r="Q891" s="8">
        <v>25704000</v>
      </c>
      <c r="R891" s="8" t="e">
        <f>SUMIFS([1]REPORTADOS!$D$2:$D$3345,[1]REPORTADOS!$C$2:$C$3345,E891)</f>
        <v>#VALUE!</v>
      </c>
      <c r="S891" s="3" t="e">
        <f t="shared" si="15"/>
        <v>#VALUE!</v>
      </c>
    </row>
    <row r="892" spans="1:19" x14ac:dyDescent="0.25">
      <c r="A892">
        <v>900091143</v>
      </c>
      <c r="B892" t="s">
        <v>2880</v>
      </c>
      <c r="C892" t="s">
        <v>2133</v>
      </c>
      <c r="E892" t="s">
        <v>2133</v>
      </c>
      <c r="H892" t="s">
        <v>22</v>
      </c>
      <c r="I892">
        <v>87065647</v>
      </c>
      <c r="J892" t="s">
        <v>2134</v>
      </c>
      <c r="P892" t="s">
        <v>2113</v>
      </c>
      <c r="Q892" s="8">
        <v>22620000</v>
      </c>
      <c r="R892" s="8" t="e">
        <f>SUMIFS([1]REPORTADOS!$D$2:$D$3345,[1]REPORTADOS!$C$2:$C$3345,E892)</f>
        <v>#VALUE!</v>
      </c>
      <c r="S892" s="3" t="e">
        <f t="shared" si="15"/>
        <v>#VALUE!</v>
      </c>
    </row>
    <row r="893" spans="1:19" x14ac:dyDescent="0.25">
      <c r="A893">
        <v>900091143</v>
      </c>
      <c r="B893" t="s">
        <v>2881</v>
      </c>
      <c r="C893" t="s">
        <v>2101</v>
      </c>
      <c r="E893" t="s">
        <v>2101</v>
      </c>
      <c r="H893" t="s">
        <v>22</v>
      </c>
      <c r="I893">
        <v>1085332934</v>
      </c>
      <c r="J893" t="s">
        <v>2102</v>
      </c>
      <c r="P893" t="s">
        <v>2103</v>
      </c>
      <c r="Q893" s="8">
        <v>22620000</v>
      </c>
      <c r="R893" s="8" t="e">
        <f>SUMIFS([1]REPORTADOS!$D$2:$D$3345,[1]REPORTADOS!$C$2:$C$3345,E893)</f>
        <v>#VALUE!</v>
      </c>
      <c r="S893" s="3" t="e">
        <f t="shared" si="15"/>
        <v>#VALUE!</v>
      </c>
    </row>
    <row r="894" spans="1:19" x14ac:dyDescent="0.25">
      <c r="A894">
        <v>900091143</v>
      </c>
      <c r="B894" t="s">
        <v>2882</v>
      </c>
      <c r="C894" t="s">
        <v>2520</v>
      </c>
      <c r="E894" t="s">
        <v>2520</v>
      </c>
      <c r="H894" t="s">
        <v>22</v>
      </c>
      <c r="I894">
        <v>1085320661</v>
      </c>
      <c r="J894" t="s">
        <v>2521</v>
      </c>
      <c r="P894" t="s">
        <v>2103</v>
      </c>
      <c r="Q894" s="8">
        <v>22620000</v>
      </c>
      <c r="R894" s="8" t="e">
        <f>SUMIFS([1]REPORTADOS!$D$2:$D$3345,[1]REPORTADOS!$C$2:$C$3345,E894)</f>
        <v>#VALUE!</v>
      </c>
      <c r="S894" s="3" t="e">
        <f t="shared" si="15"/>
        <v>#VALUE!</v>
      </c>
    </row>
    <row r="895" spans="1:19" x14ac:dyDescent="0.25">
      <c r="A895">
        <v>900091143</v>
      </c>
      <c r="B895" t="s">
        <v>2883</v>
      </c>
      <c r="C895" t="s">
        <v>2109</v>
      </c>
      <c r="E895" t="s">
        <v>2109</v>
      </c>
      <c r="H895" t="s">
        <v>22</v>
      </c>
      <c r="I895">
        <v>12961407</v>
      </c>
      <c r="J895" t="s">
        <v>2110</v>
      </c>
      <c r="P895" t="s">
        <v>2103</v>
      </c>
      <c r="Q895" s="8">
        <v>22620000</v>
      </c>
      <c r="R895" s="8" t="e">
        <f>SUMIFS([1]REPORTADOS!$D$2:$D$3345,[1]REPORTADOS!$C$2:$C$3345,E895)</f>
        <v>#VALUE!</v>
      </c>
      <c r="S895" s="3" t="e">
        <f t="shared" si="15"/>
        <v>#VALUE!</v>
      </c>
    </row>
    <row r="896" spans="1:19" x14ac:dyDescent="0.25">
      <c r="A896">
        <v>900091143</v>
      </c>
      <c r="B896" t="s">
        <v>2884</v>
      </c>
      <c r="C896" t="s">
        <v>2112</v>
      </c>
      <c r="E896" t="s">
        <v>2112</v>
      </c>
      <c r="H896" t="s">
        <v>22</v>
      </c>
      <c r="I896">
        <v>37087120</v>
      </c>
      <c r="J896" t="s">
        <v>1851</v>
      </c>
      <c r="P896" t="s">
        <v>2113</v>
      </c>
      <c r="Q896" s="8">
        <v>22620000</v>
      </c>
      <c r="R896" s="8" t="e">
        <f>SUMIFS([1]REPORTADOS!$D$2:$D$3345,[1]REPORTADOS!$C$2:$C$3345,E896)</f>
        <v>#VALUE!</v>
      </c>
      <c r="S896" s="3" t="e">
        <f t="shared" si="15"/>
        <v>#VALUE!</v>
      </c>
    </row>
    <row r="897" spans="1:19" x14ac:dyDescent="0.25">
      <c r="A897">
        <v>900091143</v>
      </c>
      <c r="B897" t="s">
        <v>2885</v>
      </c>
      <c r="C897" t="s">
        <v>2141</v>
      </c>
      <c r="E897" t="s">
        <v>2141</v>
      </c>
      <c r="H897" t="s">
        <v>22</v>
      </c>
      <c r="I897">
        <v>1085321192</v>
      </c>
      <c r="J897" t="s">
        <v>2142</v>
      </c>
      <c r="P897" t="s">
        <v>2103</v>
      </c>
      <c r="Q897" s="8">
        <v>22620000</v>
      </c>
      <c r="R897" s="8" t="e">
        <f>SUMIFS([1]REPORTADOS!$D$2:$D$3345,[1]REPORTADOS!$C$2:$C$3345,E897)</f>
        <v>#VALUE!</v>
      </c>
      <c r="S897" s="3" t="e">
        <f t="shared" si="15"/>
        <v>#VALUE!</v>
      </c>
    </row>
    <row r="898" spans="1:19" x14ac:dyDescent="0.25">
      <c r="A898">
        <v>900091143</v>
      </c>
      <c r="B898" t="s">
        <v>2886</v>
      </c>
      <c r="C898" t="s">
        <v>2176</v>
      </c>
      <c r="E898" t="s">
        <v>2176</v>
      </c>
      <c r="H898" t="s">
        <v>22</v>
      </c>
      <c r="I898">
        <v>1151934571</v>
      </c>
      <c r="J898" t="s">
        <v>2177</v>
      </c>
      <c r="P898" t="s">
        <v>2103</v>
      </c>
      <c r="Q898" s="8">
        <v>22620000</v>
      </c>
      <c r="R898" s="8" t="e">
        <f>SUMIFS([1]REPORTADOS!$D$2:$D$3345,[1]REPORTADOS!$C$2:$C$3345,E898)</f>
        <v>#VALUE!</v>
      </c>
      <c r="S898" s="3" t="e">
        <f t="shared" si="15"/>
        <v>#VALUE!</v>
      </c>
    </row>
    <row r="899" spans="1:19" x14ac:dyDescent="0.25">
      <c r="A899">
        <v>900091143</v>
      </c>
      <c r="B899" t="s">
        <v>2887</v>
      </c>
      <c r="C899" t="s">
        <v>2178</v>
      </c>
      <c r="E899" t="s">
        <v>2178</v>
      </c>
      <c r="H899" t="s">
        <v>22</v>
      </c>
      <c r="I899">
        <v>1085335767</v>
      </c>
      <c r="J899" t="s">
        <v>2179</v>
      </c>
      <c r="P899" t="s">
        <v>2113</v>
      </c>
      <c r="Q899" s="8">
        <v>22620000</v>
      </c>
      <c r="R899" s="8" t="e">
        <f>SUMIFS([1]REPORTADOS!$D$2:$D$3345,[1]REPORTADOS!$C$2:$C$3345,E899)</f>
        <v>#VALUE!</v>
      </c>
      <c r="S899" s="3" t="e">
        <f t="shared" si="15"/>
        <v>#VALUE!</v>
      </c>
    </row>
    <row r="900" spans="1:19" x14ac:dyDescent="0.25">
      <c r="A900">
        <v>900091143</v>
      </c>
      <c r="B900" t="s">
        <v>2888</v>
      </c>
      <c r="C900" t="s">
        <v>2180</v>
      </c>
      <c r="E900" t="s">
        <v>2180</v>
      </c>
      <c r="H900" t="s">
        <v>22</v>
      </c>
      <c r="I900">
        <v>1085304670</v>
      </c>
      <c r="J900" t="s">
        <v>2181</v>
      </c>
      <c r="P900" t="s">
        <v>2103</v>
      </c>
      <c r="Q900" s="8">
        <v>22620000</v>
      </c>
      <c r="R900" s="8" t="e">
        <f>SUMIFS([1]REPORTADOS!$D$2:$D$3345,[1]REPORTADOS!$C$2:$C$3345,E900)</f>
        <v>#VALUE!</v>
      </c>
      <c r="S900" s="3" t="e">
        <f t="shared" si="15"/>
        <v>#VALUE!</v>
      </c>
    </row>
    <row r="901" spans="1:19" x14ac:dyDescent="0.25">
      <c r="A901">
        <v>900091143</v>
      </c>
      <c r="B901" t="s">
        <v>2889</v>
      </c>
      <c r="C901" t="s">
        <v>2155</v>
      </c>
      <c r="E901" t="s">
        <v>2155</v>
      </c>
      <c r="H901" t="s">
        <v>22</v>
      </c>
      <c r="I901">
        <v>1085345430</v>
      </c>
      <c r="J901" t="s">
        <v>2156</v>
      </c>
      <c r="P901" t="s">
        <v>2103</v>
      </c>
      <c r="Q901" s="8">
        <v>22620000</v>
      </c>
      <c r="R901" s="8" t="e">
        <f>SUMIFS([1]REPORTADOS!$D$2:$D$3345,[1]REPORTADOS!$C$2:$C$3345,E901)</f>
        <v>#VALUE!</v>
      </c>
      <c r="S901" s="3" t="e">
        <f t="shared" si="15"/>
        <v>#VALUE!</v>
      </c>
    </row>
    <row r="902" spans="1:19" x14ac:dyDescent="0.25">
      <c r="A902">
        <v>900091143</v>
      </c>
      <c r="B902" t="s">
        <v>2890</v>
      </c>
      <c r="C902" t="s">
        <v>2157</v>
      </c>
      <c r="E902" t="s">
        <v>2157</v>
      </c>
      <c r="H902" t="s">
        <v>22</v>
      </c>
      <c r="I902">
        <v>1193202097</v>
      </c>
      <c r="J902" t="s">
        <v>2158</v>
      </c>
      <c r="P902" t="s">
        <v>2103</v>
      </c>
      <c r="Q902" s="8">
        <v>22620000</v>
      </c>
      <c r="R902" s="8" t="e">
        <f>SUMIFS([1]REPORTADOS!$D$2:$D$3345,[1]REPORTADOS!$C$2:$C$3345,E902)</f>
        <v>#VALUE!</v>
      </c>
      <c r="S902" s="3" t="e">
        <f t="shared" si="15"/>
        <v>#VALUE!</v>
      </c>
    </row>
    <row r="903" spans="1:19" x14ac:dyDescent="0.25">
      <c r="A903">
        <v>900091143</v>
      </c>
      <c r="B903" t="s">
        <v>2891</v>
      </c>
      <c r="C903" t="s">
        <v>2159</v>
      </c>
      <c r="E903" t="s">
        <v>2159</v>
      </c>
      <c r="H903" t="s">
        <v>22</v>
      </c>
      <c r="I903">
        <v>1085336362</v>
      </c>
      <c r="J903" t="s">
        <v>1819</v>
      </c>
      <c r="P903" t="s">
        <v>2103</v>
      </c>
      <c r="Q903" s="8">
        <v>22620000</v>
      </c>
      <c r="R903" s="8" t="e">
        <f>SUMIFS([1]REPORTADOS!$D$2:$D$3345,[1]REPORTADOS!$C$2:$C$3345,E903)</f>
        <v>#VALUE!</v>
      </c>
      <c r="S903" s="3" t="e">
        <f t="shared" si="15"/>
        <v>#VALUE!</v>
      </c>
    </row>
    <row r="904" spans="1:19" x14ac:dyDescent="0.25">
      <c r="A904">
        <v>900091143</v>
      </c>
      <c r="B904" t="s">
        <v>2892</v>
      </c>
      <c r="C904" t="s">
        <v>2167</v>
      </c>
      <c r="E904" t="s">
        <v>2167</v>
      </c>
      <c r="H904" t="s">
        <v>22</v>
      </c>
      <c r="I904">
        <v>1006946167</v>
      </c>
      <c r="J904" t="s">
        <v>2168</v>
      </c>
      <c r="P904" t="s">
        <v>2113</v>
      </c>
      <c r="Q904" s="8">
        <v>22620000</v>
      </c>
      <c r="R904" s="8" t="e">
        <f>SUMIFS([1]REPORTADOS!$D$2:$D$3345,[1]REPORTADOS!$C$2:$C$3345,E904)</f>
        <v>#VALUE!</v>
      </c>
      <c r="S904" s="3" t="e">
        <f t="shared" si="15"/>
        <v>#VALUE!</v>
      </c>
    </row>
    <row r="905" spans="1:19" x14ac:dyDescent="0.25">
      <c r="A905">
        <v>900091143</v>
      </c>
      <c r="B905" t="s">
        <v>2893</v>
      </c>
      <c r="C905" t="s">
        <v>2170</v>
      </c>
      <c r="E905" t="s">
        <v>2170</v>
      </c>
      <c r="H905" t="s">
        <v>22</v>
      </c>
      <c r="I905">
        <v>1233189066</v>
      </c>
      <c r="J905" t="s">
        <v>2171</v>
      </c>
      <c r="P905" t="s">
        <v>2103</v>
      </c>
      <c r="Q905" s="8">
        <v>22620000</v>
      </c>
      <c r="R905" s="8" t="e">
        <f>SUMIFS([1]REPORTADOS!$D$2:$D$3345,[1]REPORTADOS!$C$2:$C$3345,E905)</f>
        <v>#VALUE!</v>
      </c>
      <c r="S905" s="3" t="e">
        <f t="shared" si="15"/>
        <v>#VALUE!</v>
      </c>
    </row>
    <row r="906" spans="1:19" x14ac:dyDescent="0.25">
      <c r="A906">
        <v>900091143</v>
      </c>
      <c r="B906" t="s">
        <v>2894</v>
      </c>
      <c r="C906" t="s">
        <v>2172</v>
      </c>
      <c r="E906" t="s">
        <v>2172</v>
      </c>
      <c r="H906" t="s">
        <v>22</v>
      </c>
      <c r="I906">
        <v>7603662</v>
      </c>
      <c r="J906" t="s">
        <v>2173</v>
      </c>
      <c r="P906" t="s">
        <v>2113</v>
      </c>
      <c r="Q906" s="8">
        <v>22620000</v>
      </c>
      <c r="R906" s="8" t="e">
        <f>SUMIFS([1]REPORTADOS!$D$2:$D$3345,[1]REPORTADOS!$C$2:$C$3345,E906)</f>
        <v>#VALUE!</v>
      </c>
      <c r="S906" s="3" t="e">
        <f t="shared" si="15"/>
        <v>#VALUE!</v>
      </c>
    </row>
    <row r="907" spans="1:19" x14ac:dyDescent="0.25">
      <c r="A907">
        <v>900091143</v>
      </c>
      <c r="B907" t="s">
        <v>2895</v>
      </c>
      <c r="C907" t="s">
        <v>2174</v>
      </c>
      <c r="E907" t="s">
        <v>2174</v>
      </c>
      <c r="H907" t="s">
        <v>22</v>
      </c>
      <c r="I907">
        <v>1085255870</v>
      </c>
      <c r="J907" t="s">
        <v>2175</v>
      </c>
      <c r="P907" t="s">
        <v>2113</v>
      </c>
      <c r="Q907" s="8">
        <v>22620000</v>
      </c>
      <c r="R907" s="8" t="e">
        <f>SUMIFS([1]REPORTADOS!$D$2:$D$3345,[1]REPORTADOS!$C$2:$C$3345,E907)</f>
        <v>#VALUE!</v>
      </c>
      <c r="S907" s="3" t="e">
        <f t="shared" si="15"/>
        <v>#VALUE!</v>
      </c>
    </row>
    <row r="908" spans="1:19" x14ac:dyDescent="0.25">
      <c r="A908">
        <v>900091143</v>
      </c>
      <c r="B908" t="s">
        <v>2896</v>
      </c>
      <c r="C908" t="s">
        <v>2208</v>
      </c>
      <c r="E908" t="s">
        <v>2208</v>
      </c>
      <c r="H908" t="s">
        <v>22</v>
      </c>
      <c r="I908">
        <v>80765093</v>
      </c>
      <c r="J908" t="s">
        <v>1651</v>
      </c>
      <c r="P908" t="s">
        <v>2113</v>
      </c>
      <c r="Q908" s="8">
        <v>22620000</v>
      </c>
      <c r="R908" s="8" t="e">
        <f>SUMIFS([1]REPORTADOS!$D$2:$D$3345,[1]REPORTADOS!$C$2:$C$3345,E908)</f>
        <v>#VALUE!</v>
      </c>
      <c r="S908" s="3" t="e">
        <f t="shared" si="15"/>
        <v>#VALUE!</v>
      </c>
    </row>
    <row r="909" spans="1:19" x14ac:dyDescent="0.25">
      <c r="A909">
        <v>900091143</v>
      </c>
      <c r="B909" t="s">
        <v>2897</v>
      </c>
      <c r="C909" t="s">
        <v>2266</v>
      </c>
      <c r="E909" t="s">
        <v>2266</v>
      </c>
      <c r="H909" t="s">
        <v>22</v>
      </c>
      <c r="I909">
        <v>1085329230</v>
      </c>
      <c r="J909" t="s">
        <v>2267</v>
      </c>
      <c r="P909" t="s">
        <v>2103</v>
      </c>
      <c r="Q909" s="8">
        <v>22620000</v>
      </c>
      <c r="R909" s="8" t="e">
        <f>SUMIFS([1]REPORTADOS!$D$2:$D$3345,[1]REPORTADOS!$C$2:$C$3345,E909)</f>
        <v>#VALUE!</v>
      </c>
      <c r="S909" s="3" t="e">
        <f t="shared" si="15"/>
        <v>#VALUE!</v>
      </c>
    </row>
    <row r="910" spans="1:19" x14ac:dyDescent="0.25">
      <c r="A910">
        <v>900091143</v>
      </c>
      <c r="B910" t="s">
        <v>2898</v>
      </c>
      <c r="C910" t="s">
        <v>2406</v>
      </c>
      <c r="E910" t="s">
        <v>2406</v>
      </c>
      <c r="H910" t="s">
        <v>22</v>
      </c>
      <c r="I910">
        <v>36950112</v>
      </c>
      <c r="J910" t="s">
        <v>2407</v>
      </c>
      <c r="P910" t="s">
        <v>2103</v>
      </c>
      <c r="Q910" s="8">
        <v>22620000</v>
      </c>
      <c r="R910" s="8" t="e">
        <f>SUMIFS([1]REPORTADOS!$D$2:$D$3345,[1]REPORTADOS!$C$2:$C$3345,E910)</f>
        <v>#VALUE!</v>
      </c>
      <c r="S910" s="3" t="e">
        <f t="shared" si="15"/>
        <v>#VALUE!</v>
      </c>
    </row>
    <row r="911" spans="1:19" x14ac:dyDescent="0.25">
      <c r="A911">
        <v>900091143</v>
      </c>
      <c r="B911" t="s">
        <v>2899</v>
      </c>
      <c r="C911" t="s">
        <v>2447</v>
      </c>
      <c r="E911" t="s">
        <v>2447</v>
      </c>
      <c r="H911" t="s">
        <v>22</v>
      </c>
      <c r="I911">
        <v>1085296958</v>
      </c>
      <c r="J911" t="s">
        <v>2448</v>
      </c>
      <c r="P911" t="s">
        <v>2103</v>
      </c>
      <c r="Q911" s="8">
        <v>22620000</v>
      </c>
      <c r="R911" s="8" t="e">
        <f>SUMIFS([1]REPORTADOS!$D$2:$D$3345,[1]REPORTADOS!$C$2:$C$3345,E911)</f>
        <v>#VALUE!</v>
      </c>
      <c r="S911" s="3" t="e">
        <f t="shared" si="15"/>
        <v>#VALUE!</v>
      </c>
    </row>
    <row r="912" spans="1:19" x14ac:dyDescent="0.25">
      <c r="A912">
        <v>900091143</v>
      </c>
      <c r="B912" t="s">
        <v>2900</v>
      </c>
      <c r="C912" t="s">
        <v>2514</v>
      </c>
      <c r="E912" t="s">
        <v>2514</v>
      </c>
      <c r="H912" t="s">
        <v>22</v>
      </c>
      <c r="I912">
        <v>1085344794</v>
      </c>
      <c r="J912" t="s">
        <v>2515</v>
      </c>
      <c r="P912" t="s">
        <v>2516</v>
      </c>
      <c r="Q912" s="8">
        <v>22620000</v>
      </c>
      <c r="R912" s="8" t="e">
        <f>SUMIFS([1]REPORTADOS!$D$2:$D$3345,[1]REPORTADOS!$C$2:$C$3345,E912)</f>
        <v>#VALUE!</v>
      </c>
      <c r="S912" s="3" t="e">
        <f t="shared" si="15"/>
        <v>#VALUE!</v>
      </c>
    </row>
    <row r="913" spans="1:19" x14ac:dyDescent="0.25">
      <c r="A913">
        <v>900091143</v>
      </c>
      <c r="B913" t="s">
        <v>2901</v>
      </c>
      <c r="C913" t="s">
        <v>2504</v>
      </c>
      <c r="E913" t="s">
        <v>2504</v>
      </c>
      <c r="H913" t="s">
        <v>22</v>
      </c>
      <c r="I913">
        <v>1233191998</v>
      </c>
      <c r="J913" t="s">
        <v>2505</v>
      </c>
      <c r="P913" t="s">
        <v>2506</v>
      </c>
      <c r="Q913" s="8">
        <v>22620000</v>
      </c>
      <c r="R913" s="8" t="e">
        <f>SUMIFS([1]REPORTADOS!$D$2:$D$3345,[1]REPORTADOS!$C$2:$C$3345,E913)</f>
        <v>#VALUE!</v>
      </c>
      <c r="S913" s="3" t="e">
        <f t="shared" si="15"/>
        <v>#VALUE!</v>
      </c>
    </row>
    <row r="914" spans="1:19" x14ac:dyDescent="0.25">
      <c r="A914">
        <v>900091143</v>
      </c>
      <c r="B914" t="s">
        <v>2902</v>
      </c>
      <c r="C914" t="s">
        <v>2507</v>
      </c>
      <c r="E914" t="s">
        <v>2507</v>
      </c>
      <c r="H914" t="s">
        <v>22</v>
      </c>
      <c r="I914">
        <v>79800150</v>
      </c>
      <c r="J914" t="s">
        <v>2508</v>
      </c>
      <c r="P914" t="s">
        <v>2103</v>
      </c>
      <c r="Q914" s="8">
        <v>22620000</v>
      </c>
      <c r="R914" s="8" t="e">
        <f>SUMIFS([1]REPORTADOS!$D$2:$D$3345,[1]REPORTADOS!$C$2:$C$3345,E914)</f>
        <v>#VALUE!</v>
      </c>
      <c r="S914" s="3" t="e">
        <f t="shared" si="15"/>
        <v>#VALUE!</v>
      </c>
    </row>
    <row r="915" spans="1:19" x14ac:dyDescent="0.25">
      <c r="A915">
        <v>900091143</v>
      </c>
      <c r="B915" t="s">
        <v>2903</v>
      </c>
      <c r="C915" t="s">
        <v>2509</v>
      </c>
      <c r="E915" t="s">
        <v>2509</v>
      </c>
      <c r="H915" t="s">
        <v>22</v>
      </c>
      <c r="I915">
        <v>1085293105</v>
      </c>
      <c r="J915" t="s">
        <v>1747</v>
      </c>
      <c r="P915" t="s">
        <v>2103</v>
      </c>
      <c r="Q915" s="8">
        <v>22620000</v>
      </c>
      <c r="R915" s="8" t="e">
        <f>SUMIFS([1]REPORTADOS!$D$2:$D$3345,[1]REPORTADOS!$C$2:$C$3345,E915)</f>
        <v>#VALUE!</v>
      </c>
      <c r="S915" s="3" t="e">
        <f t="shared" si="15"/>
        <v>#VALUE!</v>
      </c>
    </row>
    <row r="916" spans="1:19" x14ac:dyDescent="0.25">
      <c r="A916">
        <v>900091143</v>
      </c>
      <c r="B916" t="s">
        <v>2904</v>
      </c>
      <c r="C916" t="s">
        <v>2545</v>
      </c>
      <c r="E916" t="s">
        <v>2545</v>
      </c>
      <c r="H916" t="s">
        <v>22</v>
      </c>
      <c r="I916">
        <v>87940284</v>
      </c>
      <c r="J916" t="s">
        <v>2546</v>
      </c>
      <c r="P916" t="s">
        <v>2516</v>
      </c>
      <c r="Q916" s="8">
        <v>22620000</v>
      </c>
      <c r="R916" s="8" t="e">
        <f>SUMIFS([1]REPORTADOS!$D$2:$D$3345,[1]REPORTADOS!$C$2:$C$3345,E916)</f>
        <v>#VALUE!</v>
      </c>
      <c r="S916" s="3" t="e">
        <f t="shared" si="15"/>
        <v>#VALUE!</v>
      </c>
    </row>
    <row r="917" spans="1:19" x14ac:dyDescent="0.25">
      <c r="A917">
        <v>900091143</v>
      </c>
      <c r="B917" t="s">
        <v>2905</v>
      </c>
      <c r="C917" t="s">
        <v>2582</v>
      </c>
      <c r="E917" t="s">
        <v>2582</v>
      </c>
      <c r="H917" t="s">
        <v>22</v>
      </c>
      <c r="I917">
        <v>1233192708</v>
      </c>
      <c r="J917" t="s">
        <v>2583</v>
      </c>
      <c r="P917" t="s">
        <v>2103</v>
      </c>
      <c r="Q917" s="8">
        <v>22620000</v>
      </c>
      <c r="R917" s="8" t="e">
        <f>SUMIFS([1]REPORTADOS!$D$2:$D$3345,[1]REPORTADOS!$C$2:$C$3345,E917)</f>
        <v>#VALUE!</v>
      </c>
      <c r="S917" s="3" t="e">
        <f t="shared" si="15"/>
        <v>#VALUE!</v>
      </c>
    </row>
    <row r="918" spans="1:19" x14ac:dyDescent="0.25">
      <c r="A918">
        <v>900091143</v>
      </c>
      <c r="B918" t="s">
        <v>2906</v>
      </c>
      <c r="C918" t="s">
        <v>2616</v>
      </c>
      <c r="E918" t="s">
        <v>2616</v>
      </c>
      <c r="H918" t="s">
        <v>22</v>
      </c>
      <c r="I918">
        <v>1085329980</v>
      </c>
      <c r="J918" t="s">
        <v>2617</v>
      </c>
      <c r="P918" t="s">
        <v>2103</v>
      </c>
      <c r="Q918" s="8">
        <v>22620000</v>
      </c>
      <c r="R918" s="8" t="e">
        <f>SUMIFS([1]REPORTADOS!$D$2:$D$3345,[1]REPORTADOS!$C$2:$C$3345,E918)</f>
        <v>#VALUE!</v>
      </c>
      <c r="S918" s="3" t="e">
        <f t="shared" si="15"/>
        <v>#VALUE!</v>
      </c>
    </row>
    <row r="919" spans="1:19" x14ac:dyDescent="0.25">
      <c r="A919">
        <v>900091143</v>
      </c>
      <c r="B919" t="s">
        <v>2907</v>
      </c>
      <c r="C919" t="s">
        <v>2626</v>
      </c>
      <c r="E919" t="s">
        <v>2626</v>
      </c>
      <c r="H919" t="s">
        <v>22</v>
      </c>
      <c r="I919">
        <v>1085312978</v>
      </c>
      <c r="J919" t="s">
        <v>2627</v>
      </c>
      <c r="P919" t="s">
        <v>2628</v>
      </c>
      <c r="Q919" s="8">
        <v>22620000</v>
      </c>
      <c r="R919" s="8" t="e">
        <f>SUMIFS([1]REPORTADOS!$D$2:$D$3345,[1]REPORTADOS!$C$2:$C$3345,E919)</f>
        <v>#VALUE!</v>
      </c>
      <c r="S919" s="3" t="e">
        <f t="shared" si="15"/>
        <v>#VALUE!</v>
      </c>
    </row>
    <row r="920" spans="1:19" x14ac:dyDescent="0.25">
      <c r="A920">
        <v>900091143</v>
      </c>
      <c r="B920" t="s">
        <v>2908</v>
      </c>
      <c r="C920" t="s">
        <v>2498</v>
      </c>
      <c r="E920" t="s">
        <v>2498</v>
      </c>
      <c r="H920" t="s">
        <v>22</v>
      </c>
      <c r="I920">
        <v>1088599676</v>
      </c>
      <c r="J920" t="s">
        <v>2499</v>
      </c>
      <c r="P920" t="s">
        <v>2103</v>
      </c>
      <c r="Q920" s="8">
        <v>22500000</v>
      </c>
      <c r="R920" s="8" t="e">
        <f>SUMIFS([1]REPORTADOS!$D$2:$D$3345,[1]REPORTADOS!$C$2:$C$3345,E920)</f>
        <v>#VALUE!</v>
      </c>
      <c r="S920" s="3" t="e">
        <f t="shared" si="15"/>
        <v>#VALUE!</v>
      </c>
    </row>
    <row r="921" spans="1:19" x14ac:dyDescent="0.25">
      <c r="A921">
        <v>900091143</v>
      </c>
      <c r="B921" t="s">
        <v>2909</v>
      </c>
      <c r="C921" t="s">
        <v>2591</v>
      </c>
      <c r="E921" t="s">
        <v>2591</v>
      </c>
      <c r="H921" t="s">
        <v>22</v>
      </c>
      <c r="I921">
        <v>1193279435</v>
      </c>
      <c r="J921" t="s">
        <v>2592</v>
      </c>
      <c r="P921" t="s">
        <v>2103</v>
      </c>
      <c r="Q921" s="8">
        <v>21363000</v>
      </c>
      <c r="R921" s="8" t="e">
        <f>SUMIFS([1]REPORTADOS!$D$2:$D$3345,[1]REPORTADOS!$C$2:$C$3345,E921)</f>
        <v>#VALUE!</v>
      </c>
      <c r="S921" s="3" t="e">
        <f t="shared" si="15"/>
        <v>#VALUE!</v>
      </c>
    </row>
    <row r="922" spans="1:19" x14ac:dyDescent="0.25">
      <c r="A922">
        <v>900091143</v>
      </c>
      <c r="B922" t="s">
        <v>2910</v>
      </c>
      <c r="C922" t="s">
        <v>2805</v>
      </c>
      <c r="E922" t="s">
        <v>2805</v>
      </c>
      <c r="H922" t="s">
        <v>38</v>
      </c>
      <c r="I922">
        <v>900441119</v>
      </c>
      <c r="J922" t="s">
        <v>2798</v>
      </c>
      <c r="P922" t="s">
        <v>2106</v>
      </c>
      <c r="Q922" s="8">
        <v>20049120</v>
      </c>
      <c r="R922" s="8" t="e">
        <f>SUMIFS([1]REPORTADOS!$D$2:$D$3345,[1]REPORTADOS!$C$2:$C$3345,E922)</f>
        <v>#VALUE!</v>
      </c>
      <c r="S922" s="3" t="e">
        <f t="shared" si="15"/>
        <v>#VALUE!</v>
      </c>
    </row>
    <row r="923" spans="1:19" x14ac:dyDescent="0.25">
      <c r="A923">
        <v>900091143</v>
      </c>
      <c r="B923" t="s">
        <v>2911</v>
      </c>
      <c r="C923" t="s">
        <v>2092</v>
      </c>
      <c r="E923" t="s">
        <v>2092</v>
      </c>
      <c r="H923" t="s">
        <v>22</v>
      </c>
      <c r="I923">
        <v>1085292185</v>
      </c>
      <c r="J923" t="s">
        <v>2093</v>
      </c>
      <c r="P923" t="s">
        <v>2094</v>
      </c>
      <c r="Q923" s="8">
        <v>19800000</v>
      </c>
      <c r="R923" s="8" t="e">
        <f>SUMIFS([1]REPORTADOS!$D$2:$D$3345,[1]REPORTADOS!$C$2:$C$3345,E923)</f>
        <v>#VALUE!</v>
      </c>
      <c r="S923" s="3" t="e">
        <f t="shared" si="15"/>
        <v>#VALUE!</v>
      </c>
    </row>
    <row r="924" spans="1:19" x14ac:dyDescent="0.25">
      <c r="A924">
        <v>900091143</v>
      </c>
      <c r="B924" t="s">
        <v>2912</v>
      </c>
      <c r="C924" t="s">
        <v>2610</v>
      </c>
      <c r="E924" t="s">
        <v>2610</v>
      </c>
      <c r="H924" t="s">
        <v>22</v>
      </c>
      <c r="I924">
        <v>1233193882</v>
      </c>
      <c r="J924" t="s">
        <v>2611</v>
      </c>
      <c r="P924" t="s">
        <v>2113</v>
      </c>
      <c r="Q924" s="8">
        <v>18850000</v>
      </c>
      <c r="R924" s="8" t="e">
        <f>SUMIFS([1]REPORTADOS!$D$2:$D$3345,[1]REPORTADOS!$C$2:$C$3345,E924)</f>
        <v>#VALUE!</v>
      </c>
      <c r="S924" s="3" t="e">
        <f t="shared" si="15"/>
        <v>#VALUE!</v>
      </c>
    </row>
    <row r="925" spans="1:19" x14ac:dyDescent="0.25">
      <c r="A925">
        <v>900091143</v>
      </c>
      <c r="B925" t="s">
        <v>2913</v>
      </c>
      <c r="C925" t="s">
        <v>2098</v>
      </c>
      <c r="E925" t="s">
        <v>2098</v>
      </c>
      <c r="H925" t="s">
        <v>22</v>
      </c>
      <c r="I925">
        <v>1089242085</v>
      </c>
      <c r="J925" t="s">
        <v>2099</v>
      </c>
      <c r="P925" t="s">
        <v>2100</v>
      </c>
      <c r="Q925" s="8">
        <v>18000000</v>
      </c>
      <c r="R925" s="8" t="e">
        <f>SUMIFS([1]REPORTADOS!$D$2:$D$3345,[1]REPORTADOS!$C$2:$C$3345,E925)</f>
        <v>#VALUE!</v>
      </c>
      <c r="S925" s="3" t="e">
        <f t="shared" si="15"/>
        <v>#VALUE!</v>
      </c>
    </row>
    <row r="926" spans="1:19" x14ac:dyDescent="0.25">
      <c r="A926">
        <v>900091143</v>
      </c>
      <c r="B926" t="s">
        <v>2914</v>
      </c>
      <c r="C926" t="s">
        <v>2107</v>
      </c>
      <c r="E926" t="s">
        <v>2107</v>
      </c>
      <c r="H926" t="s">
        <v>22</v>
      </c>
      <c r="I926">
        <v>59837608</v>
      </c>
      <c r="J926" t="s">
        <v>1810</v>
      </c>
      <c r="P926" t="s">
        <v>2108</v>
      </c>
      <c r="Q926" s="8">
        <v>18000000</v>
      </c>
      <c r="R926" s="8" t="e">
        <f>SUMIFS([1]REPORTADOS!$D$2:$D$3345,[1]REPORTADOS!$C$2:$C$3345,E926)</f>
        <v>#VALUE!</v>
      </c>
      <c r="S926" s="3" t="e">
        <f t="shared" si="15"/>
        <v>#VALUE!</v>
      </c>
    </row>
    <row r="927" spans="1:19" x14ac:dyDescent="0.25">
      <c r="A927">
        <v>900091143</v>
      </c>
      <c r="B927" t="s">
        <v>2915</v>
      </c>
      <c r="C927" t="s">
        <v>2111</v>
      </c>
      <c r="E927" t="s">
        <v>2111</v>
      </c>
      <c r="H927" t="s">
        <v>22</v>
      </c>
      <c r="I927">
        <v>97470681</v>
      </c>
      <c r="J927" t="s">
        <v>1883</v>
      </c>
      <c r="P927" t="s">
        <v>2108</v>
      </c>
      <c r="Q927" s="8">
        <v>18000000</v>
      </c>
      <c r="R927" s="8" t="e">
        <f>SUMIFS([1]REPORTADOS!$D$2:$D$3345,[1]REPORTADOS!$C$2:$C$3345,E927)</f>
        <v>#VALUE!</v>
      </c>
      <c r="S927" s="3" t="e">
        <f t="shared" si="15"/>
        <v>#VALUE!</v>
      </c>
    </row>
    <row r="928" spans="1:19" x14ac:dyDescent="0.25">
      <c r="A928">
        <v>900091143</v>
      </c>
      <c r="B928" t="s">
        <v>2916</v>
      </c>
      <c r="C928" t="s">
        <v>2139</v>
      </c>
      <c r="E928" t="s">
        <v>2139</v>
      </c>
      <c r="H928" t="s">
        <v>22</v>
      </c>
      <c r="I928">
        <v>1010010954</v>
      </c>
      <c r="J928" t="s">
        <v>2140</v>
      </c>
      <c r="P928" t="s">
        <v>2100</v>
      </c>
      <c r="Q928" s="8">
        <v>18000000</v>
      </c>
      <c r="R928" s="8" t="e">
        <f>SUMIFS([1]REPORTADOS!$D$2:$D$3345,[1]REPORTADOS!$C$2:$C$3345,E928)</f>
        <v>#VALUE!</v>
      </c>
      <c r="S928" s="3" t="e">
        <f t="shared" si="15"/>
        <v>#VALUE!</v>
      </c>
    </row>
    <row r="929" spans="1:19" x14ac:dyDescent="0.25">
      <c r="A929">
        <v>900091143</v>
      </c>
      <c r="B929" t="s">
        <v>2917</v>
      </c>
      <c r="C929" t="s">
        <v>2162</v>
      </c>
      <c r="E929" t="s">
        <v>2162</v>
      </c>
      <c r="H929" t="s">
        <v>22</v>
      </c>
      <c r="I929">
        <v>59820414</v>
      </c>
      <c r="J929" t="s">
        <v>1846</v>
      </c>
      <c r="P929" t="s">
        <v>2100</v>
      </c>
      <c r="Q929" s="8">
        <v>18000000</v>
      </c>
      <c r="R929" s="8" t="e">
        <f>SUMIFS([1]REPORTADOS!$D$2:$D$3345,[1]REPORTADOS!$C$2:$C$3345,E929)</f>
        <v>#VALUE!</v>
      </c>
      <c r="S929" s="3" t="e">
        <f t="shared" si="15"/>
        <v>#VALUE!</v>
      </c>
    </row>
    <row r="930" spans="1:19" x14ac:dyDescent="0.25">
      <c r="A930">
        <v>900091143</v>
      </c>
      <c r="B930" t="s">
        <v>2918</v>
      </c>
      <c r="C930" t="s">
        <v>2163</v>
      </c>
      <c r="E930" t="s">
        <v>2163</v>
      </c>
      <c r="H930" t="s">
        <v>22</v>
      </c>
      <c r="I930">
        <v>1085253062</v>
      </c>
      <c r="J930" t="s">
        <v>2164</v>
      </c>
      <c r="P930" t="s">
        <v>2100</v>
      </c>
      <c r="Q930" s="8">
        <v>18000000</v>
      </c>
      <c r="R930" s="8" t="e">
        <f>SUMIFS([1]REPORTADOS!$D$2:$D$3345,[1]REPORTADOS!$C$2:$C$3345,E930)</f>
        <v>#VALUE!</v>
      </c>
      <c r="S930" s="3" t="e">
        <f t="shared" si="15"/>
        <v>#VALUE!</v>
      </c>
    </row>
    <row r="931" spans="1:19" x14ac:dyDescent="0.25">
      <c r="A931">
        <v>900091143</v>
      </c>
      <c r="B931" t="s">
        <v>2919</v>
      </c>
      <c r="C931" t="s">
        <v>2165</v>
      </c>
      <c r="E931" t="s">
        <v>2165</v>
      </c>
      <c r="H931" t="s">
        <v>22</v>
      </c>
      <c r="I931">
        <v>1085337232</v>
      </c>
      <c r="J931" t="s">
        <v>2166</v>
      </c>
      <c r="P931" t="s">
        <v>2100</v>
      </c>
      <c r="Q931" s="8">
        <v>18000000</v>
      </c>
      <c r="R931" s="8" t="e">
        <f>SUMIFS([1]REPORTADOS!$D$2:$D$3345,[1]REPORTADOS!$C$2:$C$3345,E931)</f>
        <v>#VALUE!</v>
      </c>
      <c r="S931" s="3" t="e">
        <f t="shared" si="15"/>
        <v>#VALUE!</v>
      </c>
    </row>
    <row r="932" spans="1:19" x14ac:dyDescent="0.25">
      <c r="A932">
        <v>900091143</v>
      </c>
      <c r="B932" t="s">
        <v>2920</v>
      </c>
      <c r="C932" t="s">
        <v>2169</v>
      </c>
      <c r="E932" t="s">
        <v>2169</v>
      </c>
      <c r="H932" t="s">
        <v>22</v>
      </c>
      <c r="I932">
        <v>1085254626</v>
      </c>
      <c r="J932" t="s">
        <v>1970</v>
      </c>
      <c r="P932" t="s">
        <v>2108</v>
      </c>
      <c r="Q932" s="8">
        <v>18000000</v>
      </c>
      <c r="R932" s="8" t="e">
        <f>SUMIFS([1]REPORTADOS!$D$2:$D$3345,[1]REPORTADOS!$C$2:$C$3345,E932)</f>
        <v>#VALUE!</v>
      </c>
      <c r="S932" s="3" t="e">
        <f t="shared" si="15"/>
        <v>#VALUE!</v>
      </c>
    </row>
    <row r="933" spans="1:19" x14ac:dyDescent="0.25">
      <c r="A933">
        <v>900091143</v>
      </c>
      <c r="B933" t="s">
        <v>2921</v>
      </c>
      <c r="C933" t="s">
        <v>2148</v>
      </c>
      <c r="E933" t="s">
        <v>2148</v>
      </c>
      <c r="H933" t="s">
        <v>22</v>
      </c>
      <c r="I933">
        <v>36954410</v>
      </c>
      <c r="J933" t="s">
        <v>2001</v>
      </c>
      <c r="P933" t="s">
        <v>2100</v>
      </c>
      <c r="Q933" s="8">
        <v>18000000</v>
      </c>
      <c r="R933" s="8" t="e">
        <f>SUMIFS([1]REPORTADOS!$D$2:$D$3345,[1]REPORTADOS!$C$2:$C$3345,E933)</f>
        <v>#VALUE!</v>
      </c>
      <c r="S933" s="3" t="e">
        <f t="shared" si="15"/>
        <v>#VALUE!</v>
      </c>
    </row>
    <row r="934" spans="1:19" x14ac:dyDescent="0.25">
      <c r="A934">
        <v>900091143</v>
      </c>
      <c r="B934" t="s">
        <v>2922</v>
      </c>
      <c r="C934" t="s">
        <v>2190</v>
      </c>
      <c r="E934" t="s">
        <v>2190</v>
      </c>
      <c r="H934" t="s">
        <v>22</v>
      </c>
      <c r="I934">
        <v>59836926</v>
      </c>
      <c r="J934" t="s">
        <v>2191</v>
      </c>
      <c r="P934" t="s">
        <v>2108</v>
      </c>
      <c r="Q934" s="8">
        <v>18000000</v>
      </c>
      <c r="R934" s="8" t="e">
        <f>SUMIFS([1]REPORTADOS!$D$2:$D$3345,[1]REPORTADOS!$C$2:$C$3345,E934)</f>
        <v>#VALUE!</v>
      </c>
      <c r="S934" s="3" t="e">
        <f t="shared" si="15"/>
        <v>#VALUE!</v>
      </c>
    </row>
    <row r="935" spans="1:19" x14ac:dyDescent="0.25">
      <c r="A935">
        <v>900091143</v>
      </c>
      <c r="B935" t="s">
        <v>2923</v>
      </c>
      <c r="C935" t="s">
        <v>2192</v>
      </c>
      <c r="E935" t="s">
        <v>2192</v>
      </c>
      <c r="H935" t="s">
        <v>22</v>
      </c>
      <c r="I935">
        <v>1085246134</v>
      </c>
      <c r="J935" t="s">
        <v>2193</v>
      </c>
      <c r="P935" t="s">
        <v>2100</v>
      </c>
      <c r="Q935" s="8">
        <v>18000000</v>
      </c>
      <c r="R935" s="8" t="e">
        <f>SUMIFS([1]REPORTADOS!$D$2:$D$3345,[1]REPORTADOS!$C$2:$C$3345,E935)</f>
        <v>#VALUE!</v>
      </c>
      <c r="S935" s="3" t="e">
        <f t="shared" si="15"/>
        <v>#VALUE!</v>
      </c>
    </row>
    <row r="936" spans="1:19" x14ac:dyDescent="0.25">
      <c r="A936">
        <v>900091143</v>
      </c>
      <c r="B936" t="s">
        <v>2924</v>
      </c>
      <c r="C936" t="s">
        <v>2200</v>
      </c>
      <c r="E936" t="s">
        <v>2200</v>
      </c>
      <c r="H936" t="s">
        <v>22</v>
      </c>
      <c r="I936">
        <v>37013610</v>
      </c>
      <c r="J936" t="s">
        <v>2201</v>
      </c>
      <c r="P936" t="s">
        <v>2108</v>
      </c>
      <c r="Q936" s="8">
        <v>18000000</v>
      </c>
      <c r="R936" s="8" t="e">
        <f>SUMIFS([1]REPORTADOS!$D$2:$D$3345,[1]REPORTADOS!$C$2:$C$3345,E936)</f>
        <v>#VALUE!</v>
      </c>
      <c r="S936" s="3" t="e">
        <f t="shared" si="15"/>
        <v>#VALUE!</v>
      </c>
    </row>
    <row r="937" spans="1:19" x14ac:dyDescent="0.25">
      <c r="A937">
        <v>900091143</v>
      </c>
      <c r="B937" t="s">
        <v>2925</v>
      </c>
      <c r="C937" t="s">
        <v>2186</v>
      </c>
      <c r="E937" t="s">
        <v>2186</v>
      </c>
      <c r="H937" t="s">
        <v>22</v>
      </c>
      <c r="I937">
        <v>27097289</v>
      </c>
      <c r="J937" t="s">
        <v>2187</v>
      </c>
      <c r="P937" t="s">
        <v>2108</v>
      </c>
      <c r="Q937" s="8">
        <v>18000000</v>
      </c>
      <c r="R937" s="8" t="e">
        <f>SUMIFS([1]REPORTADOS!$D$2:$D$3345,[1]REPORTADOS!$C$2:$C$3345,E937)</f>
        <v>#VALUE!</v>
      </c>
      <c r="S937" s="3" t="e">
        <f t="shared" si="15"/>
        <v>#VALUE!</v>
      </c>
    </row>
    <row r="938" spans="1:19" x14ac:dyDescent="0.25">
      <c r="A938">
        <v>900091143</v>
      </c>
      <c r="B938" t="s">
        <v>2926</v>
      </c>
      <c r="C938" t="s">
        <v>2236</v>
      </c>
      <c r="E938" t="s">
        <v>2236</v>
      </c>
      <c r="H938" t="s">
        <v>22</v>
      </c>
      <c r="I938">
        <v>36951002</v>
      </c>
      <c r="J938" t="s">
        <v>2237</v>
      </c>
      <c r="P938" t="s">
        <v>2100</v>
      </c>
      <c r="Q938" s="8">
        <v>18000000</v>
      </c>
      <c r="R938" s="8" t="e">
        <f>SUMIFS([1]REPORTADOS!$D$2:$D$3345,[1]REPORTADOS!$C$2:$C$3345,E938)</f>
        <v>#VALUE!</v>
      </c>
      <c r="S938" s="3" t="e">
        <f t="shared" si="15"/>
        <v>#VALUE!</v>
      </c>
    </row>
    <row r="939" spans="1:19" x14ac:dyDescent="0.25">
      <c r="A939">
        <v>900091143</v>
      </c>
      <c r="B939" t="s">
        <v>2927</v>
      </c>
      <c r="C939" t="s">
        <v>2238</v>
      </c>
      <c r="E939" t="s">
        <v>2238</v>
      </c>
      <c r="H939" t="s">
        <v>22</v>
      </c>
      <c r="I939">
        <v>1004213964</v>
      </c>
      <c r="J939" t="s">
        <v>1990</v>
      </c>
      <c r="P939" t="s">
        <v>2100</v>
      </c>
      <c r="Q939" s="8">
        <v>18000000</v>
      </c>
      <c r="R939" s="8" t="e">
        <f>SUMIFS([1]REPORTADOS!$D$2:$D$3345,[1]REPORTADOS!$C$2:$C$3345,E939)</f>
        <v>#VALUE!</v>
      </c>
      <c r="S939" s="3" t="e">
        <f t="shared" si="15"/>
        <v>#VALUE!</v>
      </c>
    </row>
    <row r="940" spans="1:19" x14ac:dyDescent="0.25">
      <c r="A940">
        <v>900091143</v>
      </c>
      <c r="B940" t="s">
        <v>2928</v>
      </c>
      <c r="C940" t="s">
        <v>2279</v>
      </c>
      <c r="E940" t="s">
        <v>2279</v>
      </c>
      <c r="H940" t="s">
        <v>22</v>
      </c>
      <c r="I940">
        <v>1085275879</v>
      </c>
      <c r="J940" t="s">
        <v>1906</v>
      </c>
      <c r="P940" t="s">
        <v>2100</v>
      </c>
      <c r="Q940" s="8">
        <v>18000000</v>
      </c>
      <c r="R940" s="8" t="e">
        <f>SUMIFS([1]REPORTADOS!$D$2:$D$3345,[1]REPORTADOS!$C$2:$C$3345,E940)</f>
        <v>#VALUE!</v>
      </c>
      <c r="S940" s="3" t="e">
        <f t="shared" si="15"/>
        <v>#VALUE!</v>
      </c>
    </row>
    <row r="941" spans="1:19" x14ac:dyDescent="0.25">
      <c r="A941">
        <v>900091143</v>
      </c>
      <c r="B941" t="s">
        <v>2929</v>
      </c>
      <c r="C941" t="s">
        <v>2284</v>
      </c>
      <c r="E941" t="s">
        <v>2284</v>
      </c>
      <c r="H941" t="s">
        <v>22</v>
      </c>
      <c r="I941">
        <v>1082748420</v>
      </c>
      <c r="J941" t="s">
        <v>1948</v>
      </c>
      <c r="P941" t="s">
        <v>2100</v>
      </c>
      <c r="Q941" s="8">
        <v>18000000</v>
      </c>
      <c r="R941" s="8" t="e">
        <f>SUMIFS([1]REPORTADOS!$D$2:$D$3345,[1]REPORTADOS!$C$2:$C$3345,E941)</f>
        <v>#VALUE!</v>
      </c>
      <c r="S941" s="3" t="e">
        <f t="shared" si="15"/>
        <v>#VALUE!</v>
      </c>
    </row>
    <row r="942" spans="1:19" x14ac:dyDescent="0.25">
      <c r="A942">
        <v>900091143</v>
      </c>
      <c r="B942" t="s">
        <v>2930</v>
      </c>
      <c r="C942" t="s">
        <v>2293</v>
      </c>
      <c r="E942" t="s">
        <v>2293</v>
      </c>
      <c r="H942" t="s">
        <v>22</v>
      </c>
      <c r="I942">
        <v>27109314</v>
      </c>
      <c r="J942" t="s">
        <v>2294</v>
      </c>
      <c r="P942" t="s">
        <v>2100</v>
      </c>
      <c r="Q942" s="8">
        <v>18000000</v>
      </c>
      <c r="R942" s="8" t="e">
        <f>SUMIFS([1]REPORTADOS!$D$2:$D$3345,[1]REPORTADOS!$C$2:$C$3345,E942)</f>
        <v>#VALUE!</v>
      </c>
      <c r="S942" s="3" t="e">
        <f t="shared" si="15"/>
        <v>#VALUE!</v>
      </c>
    </row>
    <row r="943" spans="1:19" x14ac:dyDescent="0.25">
      <c r="A943">
        <v>900091143</v>
      </c>
      <c r="B943" t="s">
        <v>2931</v>
      </c>
      <c r="C943" t="s">
        <v>2295</v>
      </c>
      <c r="E943" t="s">
        <v>2295</v>
      </c>
      <c r="H943" t="s">
        <v>22</v>
      </c>
      <c r="I943">
        <v>79724257</v>
      </c>
      <c r="J943" t="s">
        <v>2296</v>
      </c>
      <c r="P943" t="s">
        <v>2108</v>
      </c>
      <c r="Q943" s="8">
        <v>18000000</v>
      </c>
      <c r="R943" s="8" t="e">
        <f>SUMIFS([1]REPORTADOS!$D$2:$D$3345,[1]REPORTADOS!$C$2:$C$3345,E943)</f>
        <v>#VALUE!</v>
      </c>
      <c r="S943" s="3" t="e">
        <f t="shared" si="15"/>
        <v>#VALUE!</v>
      </c>
    </row>
    <row r="944" spans="1:19" x14ac:dyDescent="0.25">
      <c r="A944">
        <v>900091143</v>
      </c>
      <c r="B944" t="s">
        <v>2932</v>
      </c>
      <c r="C944" t="s">
        <v>2299</v>
      </c>
      <c r="E944" t="s">
        <v>2299</v>
      </c>
      <c r="H944" t="s">
        <v>22</v>
      </c>
      <c r="I944">
        <v>1085286476</v>
      </c>
      <c r="J944" t="s">
        <v>2300</v>
      </c>
      <c r="P944" t="s">
        <v>2100</v>
      </c>
      <c r="Q944" s="8">
        <v>18000000</v>
      </c>
      <c r="R944" s="8" t="e">
        <f>SUMIFS([1]REPORTADOS!$D$2:$D$3345,[1]REPORTADOS!$C$2:$C$3345,E944)</f>
        <v>#VALUE!</v>
      </c>
      <c r="S944" s="3" t="e">
        <f t="shared" ref="S944:S1007" si="16">Q944-R944</f>
        <v>#VALUE!</v>
      </c>
    </row>
    <row r="945" spans="1:19" x14ac:dyDescent="0.25">
      <c r="A945">
        <v>900091143</v>
      </c>
      <c r="B945" t="s">
        <v>2933</v>
      </c>
      <c r="C945" t="s">
        <v>2364</v>
      </c>
      <c r="E945" t="s">
        <v>2364</v>
      </c>
      <c r="H945" t="s">
        <v>22</v>
      </c>
      <c r="I945">
        <v>1085320275</v>
      </c>
      <c r="J945" t="s">
        <v>2365</v>
      </c>
      <c r="P945" t="s">
        <v>2108</v>
      </c>
      <c r="Q945" s="8">
        <v>18000000</v>
      </c>
      <c r="R945" s="8" t="e">
        <f>SUMIFS([1]REPORTADOS!$D$2:$D$3345,[1]REPORTADOS!$C$2:$C$3345,E945)</f>
        <v>#VALUE!</v>
      </c>
      <c r="S945" s="3" t="e">
        <f t="shared" si="16"/>
        <v>#VALUE!</v>
      </c>
    </row>
    <row r="946" spans="1:19" x14ac:dyDescent="0.25">
      <c r="A946">
        <v>900091143</v>
      </c>
      <c r="B946" t="s">
        <v>2934</v>
      </c>
      <c r="C946" t="s">
        <v>2366</v>
      </c>
      <c r="E946" t="s">
        <v>2366</v>
      </c>
      <c r="H946" t="s">
        <v>22</v>
      </c>
      <c r="I946">
        <v>1193223736</v>
      </c>
      <c r="J946" t="s">
        <v>2021</v>
      </c>
      <c r="P946" t="s">
        <v>2108</v>
      </c>
      <c r="Q946" s="8">
        <v>18000000</v>
      </c>
      <c r="R946" s="8" t="e">
        <f>SUMIFS([1]REPORTADOS!$D$2:$D$3345,[1]REPORTADOS!$C$2:$C$3345,E946)</f>
        <v>#VALUE!</v>
      </c>
      <c r="S946" s="3" t="e">
        <f t="shared" si="16"/>
        <v>#VALUE!</v>
      </c>
    </row>
    <row r="947" spans="1:19" x14ac:dyDescent="0.25">
      <c r="A947">
        <v>900091143</v>
      </c>
      <c r="B947" t="s">
        <v>2935</v>
      </c>
      <c r="C947" t="s">
        <v>2433</v>
      </c>
      <c r="E947" t="s">
        <v>2433</v>
      </c>
      <c r="H947" t="s">
        <v>22</v>
      </c>
      <c r="I947">
        <v>27097745</v>
      </c>
      <c r="J947" t="s">
        <v>1978</v>
      </c>
      <c r="P947" t="s">
        <v>2100</v>
      </c>
      <c r="Q947" s="8">
        <v>18000000</v>
      </c>
      <c r="R947" s="8" t="e">
        <f>SUMIFS([1]REPORTADOS!$D$2:$D$3345,[1]REPORTADOS!$C$2:$C$3345,E947)</f>
        <v>#VALUE!</v>
      </c>
      <c r="S947" s="3" t="e">
        <f t="shared" si="16"/>
        <v>#VALUE!</v>
      </c>
    </row>
    <row r="948" spans="1:19" x14ac:dyDescent="0.25">
      <c r="A948">
        <v>900091143</v>
      </c>
      <c r="B948" t="s">
        <v>2936</v>
      </c>
      <c r="C948" t="s">
        <v>2412</v>
      </c>
      <c r="E948" t="s">
        <v>2412</v>
      </c>
      <c r="H948" t="s">
        <v>22</v>
      </c>
      <c r="I948">
        <v>1087420025</v>
      </c>
      <c r="J948" t="s">
        <v>2413</v>
      </c>
      <c r="P948" t="s">
        <v>2100</v>
      </c>
      <c r="Q948" s="8">
        <v>18000000</v>
      </c>
      <c r="R948" s="8" t="e">
        <f>SUMIFS([1]REPORTADOS!$D$2:$D$3345,[1]REPORTADOS!$C$2:$C$3345,E948)</f>
        <v>#VALUE!</v>
      </c>
      <c r="S948" s="3" t="e">
        <f t="shared" si="16"/>
        <v>#VALUE!</v>
      </c>
    </row>
    <row r="949" spans="1:19" x14ac:dyDescent="0.25">
      <c r="A949">
        <v>900091143</v>
      </c>
      <c r="B949" t="s">
        <v>2937</v>
      </c>
      <c r="C949" t="s">
        <v>2444</v>
      </c>
      <c r="E949" t="s">
        <v>2444</v>
      </c>
      <c r="H949" t="s">
        <v>22</v>
      </c>
      <c r="I949">
        <v>1085313872</v>
      </c>
      <c r="J949" t="s">
        <v>1833</v>
      </c>
      <c r="P949" t="s">
        <v>2100</v>
      </c>
      <c r="Q949" s="8">
        <v>18000000</v>
      </c>
      <c r="R949" s="8" t="e">
        <f>SUMIFS([1]REPORTADOS!$D$2:$D$3345,[1]REPORTADOS!$C$2:$C$3345,E949)</f>
        <v>#VALUE!</v>
      </c>
      <c r="S949" s="3" t="e">
        <f t="shared" si="16"/>
        <v>#VALUE!</v>
      </c>
    </row>
    <row r="950" spans="1:19" x14ac:dyDescent="0.25">
      <c r="A950">
        <v>900091143</v>
      </c>
      <c r="B950" t="s">
        <v>2938</v>
      </c>
      <c r="C950" t="s">
        <v>2483</v>
      </c>
      <c r="E950" t="s">
        <v>2483</v>
      </c>
      <c r="H950" t="s">
        <v>22</v>
      </c>
      <c r="I950">
        <v>1085272491</v>
      </c>
      <c r="J950" t="s">
        <v>2484</v>
      </c>
      <c r="P950" t="s">
        <v>2100</v>
      </c>
      <c r="Q950" s="8">
        <v>18000000</v>
      </c>
      <c r="R950" s="8" t="e">
        <f>SUMIFS([1]REPORTADOS!$D$2:$D$3345,[1]REPORTADOS!$C$2:$C$3345,E950)</f>
        <v>#VALUE!</v>
      </c>
      <c r="S950" s="3" t="e">
        <f t="shared" si="16"/>
        <v>#VALUE!</v>
      </c>
    </row>
    <row r="951" spans="1:19" x14ac:dyDescent="0.25">
      <c r="A951">
        <v>900091143</v>
      </c>
      <c r="B951" t="s">
        <v>2939</v>
      </c>
      <c r="C951" t="s">
        <v>2496</v>
      </c>
      <c r="E951" t="s">
        <v>2496</v>
      </c>
      <c r="H951" t="s">
        <v>22</v>
      </c>
      <c r="I951">
        <v>36757221</v>
      </c>
      <c r="J951" t="s">
        <v>2497</v>
      </c>
      <c r="P951" t="s">
        <v>2108</v>
      </c>
      <c r="Q951" s="8">
        <v>18000000</v>
      </c>
      <c r="R951" s="8" t="e">
        <f>SUMIFS([1]REPORTADOS!$D$2:$D$3345,[1]REPORTADOS!$C$2:$C$3345,E951)</f>
        <v>#VALUE!</v>
      </c>
      <c r="S951" s="3" t="e">
        <f t="shared" si="16"/>
        <v>#VALUE!</v>
      </c>
    </row>
    <row r="952" spans="1:19" x14ac:dyDescent="0.25">
      <c r="A952">
        <v>900091143</v>
      </c>
      <c r="B952" t="s">
        <v>2940</v>
      </c>
      <c r="C952" t="s">
        <v>2554</v>
      </c>
      <c r="E952" t="s">
        <v>2554</v>
      </c>
      <c r="H952" t="s">
        <v>22</v>
      </c>
      <c r="I952">
        <v>1085254153</v>
      </c>
      <c r="J952" t="s">
        <v>2555</v>
      </c>
      <c r="P952" t="s">
        <v>2556</v>
      </c>
      <c r="Q952" s="8">
        <v>18000000</v>
      </c>
      <c r="R952" s="8" t="e">
        <f>SUMIFS([1]REPORTADOS!$D$2:$D$3345,[1]REPORTADOS!$C$2:$C$3345,E952)</f>
        <v>#VALUE!</v>
      </c>
      <c r="S952" s="3" t="e">
        <f t="shared" si="16"/>
        <v>#VALUE!</v>
      </c>
    </row>
    <row r="953" spans="1:19" x14ac:dyDescent="0.25">
      <c r="A953">
        <v>900091143</v>
      </c>
      <c r="B953" t="s">
        <v>2941</v>
      </c>
      <c r="C953" t="s">
        <v>2608</v>
      </c>
      <c r="E953" t="s">
        <v>2608</v>
      </c>
      <c r="H953" t="s">
        <v>22</v>
      </c>
      <c r="I953">
        <v>1085248939</v>
      </c>
      <c r="J953" t="s">
        <v>2609</v>
      </c>
      <c r="P953" t="s">
        <v>2108</v>
      </c>
      <c r="Q953" s="8">
        <v>18000000</v>
      </c>
      <c r="R953" s="8" t="e">
        <f>SUMIFS([1]REPORTADOS!$D$2:$D$3345,[1]REPORTADOS!$C$2:$C$3345,E953)</f>
        <v>#VALUE!</v>
      </c>
      <c r="S953" s="3" t="e">
        <f t="shared" si="16"/>
        <v>#VALUE!</v>
      </c>
    </row>
    <row r="954" spans="1:19" x14ac:dyDescent="0.25">
      <c r="A954">
        <v>900091143</v>
      </c>
      <c r="B954" t="s">
        <v>2942</v>
      </c>
      <c r="C954" t="s">
        <v>2707</v>
      </c>
      <c r="E954" t="s">
        <v>2707</v>
      </c>
      <c r="H954" t="s">
        <v>22</v>
      </c>
      <c r="I954">
        <v>1085317791</v>
      </c>
      <c r="J954" t="s">
        <v>2708</v>
      </c>
      <c r="P954" t="s">
        <v>2113</v>
      </c>
      <c r="Q954" s="8">
        <v>15080000</v>
      </c>
      <c r="R954" s="8" t="e">
        <f>SUMIFS([1]REPORTADOS!$D$2:$D$3345,[1]REPORTADOS!$C$2:$C$3345,E954)</f>
        <v>#VALUE!</v>
      </c>
      <c r="S954" s="3" t="e">
        <f t="shared" si="16"/>
        <v>#VALUE!</v>
      </c>
    </row>
    <row r="955" spans="1:19" x14ac:dyDescent="0.25">
      <c r="A955">
        <v>900091143</v>
      </c>
      <c r="B955" t="s">
        <v>2943</v>
      </c>
      <c r="C955" t="s">
        <v>2709</v>
      </c>
      <c r="E955" t="s">
        <v>2709</v>
      </c>
      <c r="H955" t="s">
        <v>22</v>
      </c>
      <c r="I955">
        <v>1085300619</v>
      </c>
      <c r="J955" t="s">
        <v>2081</v>
      </c>
      <c r="P955" t="s">
        <v>2103</v>
      </c>
      <c r="Q955" s="8">
        <v>15080000</v>
      </c>
      <c r="R955" s="8" t="e">
        <f>SUMIFS([1]REPORTADOS!$D$2:$D$3345,[1]REPORTADOS!$C$2:$C$3345,E955)</f>
        <v>#VALUE!</v>
      </c>
      <c r="S955" s="3" t="e">
        <f t="shared" si="16"/>
        <v>#VALUE!</v>
      </c>
    </row>
    <row r="956" spans="1:19" x14ac:dyDescent="0.25">
      <c r="A956">
        <v>900091143</v>
      </c>
      <c r="B956" t="s">
        <v>2944</v>
      </c>
      <c r="C956" t="s">
        <v>2712</v>
      </c>
      <c r="E956" t="s">
        <v>2712</v>
      </c>
      <c r="H956" t="s">
        <v>22</v>
      </c>
      <c r="I956">
        <v>1085251158</v>
      </c>
      <c r="J956" t="s">
        <v>2713</v>
      </c>
      <c r="P956" t="s">
        <v>2113</v>
      </c>
      <c r="Q956" s="8">
        <v>15080000</v>
      </c>
      <c r="R956" s="8" t="e">
        <f>SUMIFS([1]REPORTADOS!$D$2:$D$3345,[1]REPORTADOS!$C$2:$C$3345,E956)</f>
        <v>#VALUE!</v>
      </c>
      <c r="S956" s="3" t="e">
        <f t="shared" si="16"/>
        <v>#VALUE!</v>
      </c>
    </row>
    <row r="957" spans="1:19" x14ac:dyDescent="0.25">
      <c r="A957">
        <v>900091143</v>
      </c>
      <c r="B957" t="s">
        <v>2945</v>
      </c>
      <c r="C957" t="s">
        <v>2714</v>
      </c>
      <c r="E957" t="s">
        <v>2714</v>
      </c>
      <c r="H957" t="s">
        <v>22</v>
      </c>
      <c r="I957">
        <v>1085937671</v>
      </c>
      <c r="J957" t="s">
        <v>2715</v>
      </c>
      <c r="P957" t="s">
        <v>2113</v>
      </c>
      <c r="Q957" s="8">
        <v>15080000</v>
      </c>
      <c r="R957" s="8" t="e">
        <f>SUMIFS([1]REPORTADOS!$D$2:$D$3345,[1]REPORTADOS!$C$2:$C$3345,E957)</f>
        <v>#VALUE!</v>
      </c>
      <c r="S957" s="3" t="e">
        <f t="shared" si="16"/>
        <v>#VALUE!</v>
      </c>
    </row>
    <row r="958" spans="1:19" x14ac:dyDescent="0.25">
      <c r="A958">
        <v>900091143</v>
      </c>
      <c r="B958" t="s">
        <v>2946</v>
      </c>
      <c r="C958" t="s">
        <v>2716</v>
      </c>
      <c r="E958" t="s">
        <v>2716</v>
      </c>
      <c r="H958" t="s">
        <v>22</v>
      </c>
      <c r="I958">
        <v>1085327344</v>
      </c>
      <c r="J958" t="s">
        <v>2717</v>
      </c>
      <c r="P958" t="s">
        <v>2103</v>
      </c>
      <c r="Q958" s="8">
        <v>15080000</v>
      </c>
      <c r="R958" s="8" t="e">
        <f>SUMIFS([1]REPORTADOS!$D$2:$D$3345,[1]REPORTADOS!$C$2:$C$3345,E958)</f>
        <v>#VALUE!</v>
      </c>
      <c r="S958" s="3" t="e">
        <f t="shared" si="16"/>
        <v>#VALUE!</v>
      </c>
    </row>
    <row r="959" spans="1:19" x14ac:dyDescent="0.25">
      <c r="A959">
        <v>900091143</v>
      </c>
      <c r="B959" t="s">
        <v>2947</v>
      </c>
      <c r="C959" t="s">
        <v>2694</v>
      </c>
      <c r="E959" t="s">
        <v>2694</v>
      </c>
      <c r="H959" t="s">
        <v>22</v>
      </c>
      <c r="I959">
        <v>1085315800</v>
      </c>
      <c r="J959" t="s">
        <v>2695</v>
      </c>
      <c r="P959" t="s">
        <v>2103</v>
      </c>
      <c r="Q959" s="8">
        <v>15080000</v>
      </c>
      <c r="R959" s="8" t="e">
        <f>SUMIFS([1]REPORTADOS!$D$2:$D$3345,[1]REPORTADOS!$C$2:$C$3345,E959)</f>
        <v>#VALUE!</v>
      </c>
      <c r="S959" s="3" t="e">
        <f t="shared" si="16"/>
        <v>#VALUE!</v>
      </c>
    </row>
    <row r="960" spans="1:19" x14ac:dyDescent="0.25">
      <c r="A960">
        <v>900091143</v>
      </c>
      <c r="B960" t="s">
        <v>2948</v>
      </c>
      <c r="C960" t="s">
        <v>2696</v>
      </c>
      <c r="E960" t="s">
        <v>2696</v>
      </c>
      <c r="H960" t="s">
        <v>22</v>
      </c>
      <c r="I960">
        <v>1085262570</v>
      </c>
      <c r="J960" t="s">
        <v>2697</v>
      </c>
      <c r="P960" t="s">
        <v>2103</v>
      </c>
      <c r="Q960" s="8">
        <v>15080000</v>
      </c>
      <c r="R960" s="8" t="e">
        <f>SUMIFS([1]REPORTADOS!$D$2:$D$3345,[1]REPORTADOS!$C$2:$C$3345,E960)</f>
        <v>#VALUE!</v>
      </c>
      <c r="S960" s="3" t="e">
        <f t="shared" si="16"/>
        <v>#VALUE!</v>
      </c>
    </row>
    <row r="961" spans="1:19" x14ac:dyDescent="0.25">
      <c r="A961">
        <v>900091143</v>
      </c>
      <c r="B961" t="s">
        <v>2949</v>
      </c>
      <c r="C961" t="s">
        <v>2674</v>
      </c>
      <c r="E961" t="s">
        <v>2674</v>
      </c>
      <c r="H961" t="s">
        <v>22</v>
      </c>
      <c r="I961">
        <v>1085291725</v>
      </c>
      <c r="J961" t="s">
        <v>2675</v>
      </c>
      <c r="P961" t="s">
        <v>2103</v>
      </c>
      <c r="Q961" s="8">
        <v>15080000</v>
      </c>
      <c r="R961" s="8" t="e">
        <f>SUMIFS([1]REPORTADOS!$D$2:$D$3345,[1]REPORTADOS!$C$2:$C$3345,E961)</f>
        <v>#VALUE!</v>
      </c>
      <c r="S961" s="3" t="e">
        <f t="shared" si="16"/>
        <v>#VALUE!</v>
      </c>
    </row>
    <row r="962" spans="1:19" x14ac:dyDescent="0.25">
      <c r="A962">
        <v>900091143</v>
      </c>
      <c r="B962" t="s">
        <v>2950</v>
      </c>
      <c r="C962" t="s">
        <v>2820</v>
      </c>
      <c r="E962" t="s">
        <v>2820</v>
      </c>
      <c r="H962" t="s">
        <v>22</v>
      </c>
      <c r="I962">
        <v>1233192708</v>
      </c>
      <c r="J962" t="s">
        <v>2583</v>
      </c>
      <c r="P962" t="s">
        <v>4652</v>
      </c>
      <c r="Q962" s="8">
        <v>15000000</v>
      </c>
      <c r="R962" s="8" t="e">
        <f>SUMIFS([1]REPORTADOS!$D$2:$D$3345,[1]REPORTADOS!$C$2:$C$3345,E962)</f>
        <v>#VALUE!</v>
      </c>
      <c r="S962" s="3" t="e">
        <f t="shared" si="16"/>
        <v>#VALUE!</v>
      </c>
    </row>
    <row r="963" spans="1:19" x14ac:dyDescent="0.25">
      <c r="A963">
        <v>900091143</v>
      </c>
      <c r="B963" t="s">
        <v>2951</v>
      </c>
      <c r="C963" t="s">
        <v>2605</v>
      </c>
      <c r="E963" t="s">
        <v>2605</v>
      </c>
      <c r="H963" t="s">
        <v>22</v>
      </c>
      <c r="I963">
        <v>1004131723</v>
      </c>
      <c r="J963" t="s">
        <v>2606</v>
      </c>
      <c r="P963" t="s">
        <v>2607</v>
      </c>
      <c r="Q963" s="8">
        <v>15000000</v>
      </c>
      <c r="R963" s="8" t="e">
        <f>SUMIFS([1]REPORTADOS!$D$2:$D$3345,[1]REPORTADOS!$C$2:$C$3345,E963)</f>
        <v>#VALUE!</v>
      </c>
      <c r="S963" s="3" t="e">
        <f t="shared" si="16"/>
        <v>#VALUE!</v>
      </c>
    </row>
    <row r="964" spans="1:19" x14ac:dyDescent="0.25">
      <c r="A964">
        <v>900091143</v>
      </c>
      <c r="B964" t="s">
        <v>2952</v>
      </c>
      <c r="C964" t="s">
        <v>2618</v>
      </c>
      <c r="E964" t="s">
        <v>2618</v>
      </c>
      <c r="H964" t="s">
        <v>22</v>
      </c>
      <c r="I964">
        <v>59588823</v>
      </c>
      <c r="J964" t="s">
        <v>2619</v>
      </c>
      <c r="P964" t="s">
        <v>2607</v>
      </c>
      <c r="Q964" s="8">
        <v>15000000</v>
      </c>
      <c r="R964" s="8" t="e">
        <f>SUMIFS([1]REPORTADOS!$D$2:$D$3345,[1]REPORTADOS!$C$2:$C$3345,E964)</f>
        <v>#VALUE!</v>
      </c>
      <c r="S964" s="3" t="e">
        <f t="shared" si="16"/>
        <v>#VALUE!</v>
      </c>
    </row>
    <row r="965" spans="1:19" x14ac:dyDescent="0.25">
      <c r="A965">
        <v>900091143</v>
      </c>
      <c r="B965" t="s">
        <v>2953</v>
      </c>
      <c r="C965" t="s">
        <v>2135</v>
      </c>
      <c r="E965" t="s">
        <v>2135</v>
      </c>
      <c r="H965" t="s">
        <v>22</v>
      </c>
      <c r="I965">
        <v>59314451</v>
      </c>
      <c r="J965" t="s">
        <v>2136</v>
      </c>
      <c r="P965" t="s">
        <v>2119</v>
      </c>
      <c r="Q965" s="8">
        <v>14475000</v>
      </c>
      <c r="R965" s="8" t="e">
        <f>SUMIFS([1]REPORTADOS!$D$2:$D$3345,[1]REPORTADOS!$C$2:$C$3345,E965)</f>
        <v>#VALUE!</v>
      </c>
      <c r="S965" s="3" t="e">
        <f t="shared" si="16"/>
        <v>#VALUE!</v>
      </c>
    </row>
    <row r="966" spans="1:19" x14ac:dyDescent="0.25">
      <c r="A966">
        <v>900091143</v>
      </c>
      <c r="B966" t="s">
        <v>2954</v>
      </c>
      <c r="C966" t="s">
        <v>2117</v>
      </c>
      <c r="E966" t="s">
        <v>2117</v>
      </c>
      <c r="H966" t="s">
        <v>22</v>
      </c>
      <c r="I966">
        <v>30732782</v>
      </c>
      <c r="J966" t="s">
        <v>2118</v>
      </c>
      <c r="P966" t="s">
        <v>2119</v>
      </c>
      <c r="Q966" s="8">
        <v>14475000</v>
      </c>
      <c r="R966" s="8" t="e">
        <f>SUMIFS([1]REPORTADOS!$D$2:$D$3345,[1]REPORTADOS!$C$2:$C$3345,E966)</f>
        <v>#VALUE!</v>
      </c>
      <c r="S966" s="3" t="e">
        <f t="shared" si="16"/>
        <v>#VALUE!</v>
      </c>
    </row>
    <row r="967" spans="1:19" x14ac:dyDescent="0.25">
      <c r="A967">
        <v>900091143</v>
      </c>
      <c r="B967" t="s">
        <v>2955</v>
      </c>
      <c r="C967" t="s">
        <v>2129</v>
      </c>
      <c r="E967" t="s">
        <v>2129</v>
      </c>
      <c r="H967" t="s">
        <v>22</v>
      </c>
      <c r="I967">
        <v>27087851</v>
      </c>
      <c r="J967" t="s">
        <v>2130</v>
      </c>
      <c r="P967" t="s">
        <v>2119</v>
      </c>
      <c r="Q967" s="8">
        <v>14475000</v>
      </c>
      <c r="R967" s="8" t="e">
        <f>SUMIFS([1]REPORTADOS!$D$2:$D$3345,[1]REPORTADOS!$C$2:$C$3345,E967)</f>
        <v>#VALUE!</v>
      </c>
      <c r="S967" s="3" t="e">
        <f t="shared" si="16"/>
        <v>#VALUE!</v>
      </c>
    </row>
    <row r="968" spans="1:19" x14ac:dyDescent="0.25">
      <c r="A968">
        <v>900091143</v>
      </c>
      <c r="B968" t="s">
        <v>2956</v>
      </c>
      <c r="C968" t="s">
        <v>2143</v>
      </c>
      <c r="E968" t="s">
        <v>2143</v>
      </c>
      <c r="H968" t="s">
        <v>22</v>
      </c>
      <c r="I968">
        <v>87062845</v>
      </c>
      <c r="J968" t="s">
        <v>2144</v>
      </c>
      <c r="P968" t="s">
        <v>2119</v>
      </c>
      <c r="Q968" s="8">
        <v>14475000</v>
      </c>
      <c r="R968" s="8" t="e">
        <f>SUMIFS([1]REPORTADOS!$D$2:$D$3345,[1]REPORTADOS!$C$2:$C$3345,E968)</f>
        <v>#VALUE!</v>
      </c>
      <c r="S968" s="3" t="e">
        <f t="shared" si="16"/>
        <v>#VALUE!</v>
      </c>
    </row>
    <row r="969" spans="1:19" x14ac:dyDescent="0.25">
      <c r="A969">
        <v>900091143</v>
      </c>
      <c r="B969" t="s">
        <v>2957</v>
      </c>
      <c r="C969" t="s">
        <v>2153</v>
      </c>
      <c r="E969" t="s">
        <v>2153</v>
      </c>
      <c r="H969" t="s">
        <v>22</v>
      </c>
      <c r="I969">
        <v>1085338534</v>
      </c>
      <c r="J969" t="s">
        <v>2154</v>
      </c>
      <c r="P969" t="s">
        <v>2119</v>
      </c>
      <c r="Q969" s="8">
        <v>14475000</v>
      </c>
      <c r="R969" s="8" t="e">
        <f>SUMIFS([1]REPORTADOS!$D$2:$D$3345,[1]REPORTADOS!$C$2:$C$3345,E969)</f>
        <v>#VALUE!</v>
      </c>
      <c r="S969" s="3" t="e">
        <f t="shared" si="16"/>
        <v>#VALUE!</v>
      </c>
    </row>
    <row r="970" spans="1:19" x14ac:dyDescent="0.25">
      <c r="A970">
        <v>900091143</v>
      </c>
      <c r="B970" t="s">
        <v>2958</v>
      </c>
      <c r="C970" t="s">
        <v>2149</v>
      </c>
      <c r="E970" t="s">
        <v>2149</v>
      </c>
      <c r="H970" t="s">
        <v>22</v>
      </c>
      <c r="I970">
        <v>1085267184</v>
      </c>
      <c r="J970" t="s">
        <v>2150</v>
      </c>
      <c r="P970" t="s">
        <v>2119</v>
      </c>
      <c r="Q970" s="8">
        <v>14475000</v>
      </c>
      <c r="R970" s="8" t="e">
        <f>SUMIFS([1]REPORTADOS!$D$2:$D$3345,[1]REPORTADOS!$C$2:$C$3345,E970)</f>
        <v>#VALUE!</v>
      </c>
      <c r="S970" s="3" t="e">
        <f t="shared" si="16"/>
        <v>#VALUE!</v>
      </c>
    </row>
    <row r="971" spans="1:19" x14ac:dyDescent="0.25">
      <c r="A971">
        <v>900091143</v>
      </c>
      <c r="B971" t="s">
        <v>2959</v>
      </c>
      <c r="C971" t="s">
        <v>2160</v>
      </c>
      <c r="E971" t="s">
        <v>2160</v>
      </c>
      <c r="H971" t="s">
        <v>22</v>
      </c>
      <c r="I971">
        <v>1087643211</v>
      </c>
      <c r="J971" t="s">
        <v>2161</v>
      </c>
      <c r="P971" t="s">
        <v>2119</v>
      </c>
      <c r="Q971" s="8">
        <v>14475000</v>
      </c>
      <c r="R971" s="8" t="e">
        <f>SUMIFS([1]REPORTADOS!$D$2:$D$3345,[1]REPORTADOS!$C$2:$C$3345,E971)</f>
        <v>#VALUE!</v>
      </c>
      <c r="S971" s="3" t="e">
        <f t="shared" si="16"/>
        <v>#VALUE!</v>
      </c>
    </row>
    <row r="972" spans="1:19" x14ac:dyDescent="0.25">
      <c r="A972">
        <v>900091143</v>
      </c>
      <c r="B972" t="s">
        <v>2960</v>
      </c>
      <c r="C972" t="s">
        <v>2182</v>
      </c>
      <c r="E972" t="s">
        <v>2182</v>
      </c>
      <c r="H972" t="s">
        <v>22</v>
      </c>
      <c r="I972">
        <v>30733517</v>
      </c>
      <c r="J972" t="s">
        <v>2183</v>
      </c>
      <c r="P972" t="s">
        <v>2119</v>
      </c>
      <c r="Q972" s="8">
        <v>14475000</v>
      </c>
      <c r="R972" s="8" t="e">
        <f>SUMIFS([1]REPORTADOS!$D$2:$D$3345,[1]REPORTADOS!$C$2:$C$3345,E972)</f>
        <v>#VALUE!</v>
      </c>
      <c r="S972" s="3" t="e">
        <f t="shared" si="16"/>
        <v>#VALUE!</v>
      </c>
    </row>
    <row r="973" spans="1:19" x14ac:dyDescent="0.25">
      <c r="A973">
        <v>900091143</v>
      </c>
      <c r="B973" t="s">
        <v>2961</v>
      </c>
      <c r="C973" t="s">
        <v>2220</v>
      </c>
      <c r="E973" t="s">
        <v>2220</v>
      </c>
      <c r="H973" t="s">
        <v>22</v>
      </c>
      <c r="I973">
        <v>1193385736</v>
      </c>
      <c r="J973" t="s">
        <v>2221</v>
      </c>
      <c r="P973" t="s">
        <v>2119</v>
      </c>
      <c r="Q973" s="8">
        <v>14475000</v>
      </c>
      <c r="R973" s="8" t="e">
        <f>SUMIFS([1]REPORTADOS!$D$2:$D$3345,[1]REPORTADOS!$C$2:$C$3345,E973)</f>
        <v>#VALUE!</v>
      </c>
      <c r="S973" s="3" t="e">
        <f t="shared" si="16"/>
        <v>#VALUE!</v>
      </c>
    </row>
    <row r="974" spans="1:19" x14ac:dyDescent="0.25">
      <c r="A974">
        <v>900091143</v>
      </c>
      <c r="B974" t="s">
        <v>2962</v>
      </c>
      <c r="C974" t="s">
        <v>2254</v>
      </c>
      <c r="E974" t="s">
        <v>2254</v>
      </c>
      <c r="H974" t="s">
        <v>22</v>
      </c>
      <c r="I974">
        <v>37082349</v>
      </c>
      <c r="J974" t="s">
        <v>2255</v>
      </c>
      <c r="P974" t="s">
        <v>2119</v>
      </c>
      <c r="Q974" s="8">
        <v>14475000</v>
      </c>
      <c r="R974" s="8" t="e">
        <f>SUMIFS([1]REPORTADOS!$D$2:$D$3345,[1]REPORTADOS!$C$2:$C$3345,E974)</f>
        <v>#VALUE!</v>
      </c>
      <c r="S974" s="3" t="e">
        <f t="shared" si="16"/>
        <v>#VALUE!</v>
      </c>
    </row>
    <row r="975" spans="1:19" x14ac:dyDescent="0.25">
      <c r="A975">
        <v>900091143</v>
      </c>
      <c r="B975" t="s">
        <v>2963</v>
      </c>
      <c r="C975" t="s">
        <v>2277</v>
      </c>
      <c r="E975" t="s">
        <v>2277</v>
      </c>
      <c r="H975" t="s">
        <v>22</v>
      </c>
      <c r="I975">
        <v>1085321943</v>
      </c>
      <c r="J975" t="s">
        <v>2278</v>
      </c>
      <c r="P975" t="s">
        <v>2119</v>
      </c>
      <c r="Q975" s="8">
        <v>14475000</v>
      </c>
      <c r="R975" s="8" t="e">
        <f>SUMIFS([1]REPORTADOS!$D$2:$D$3345,[1]REPORTADOS!$C$2:$C$3345,E975)</f>
        <v>#VALUE!</v>
      </c>
      <c r="S975" s="3" t="e">
        <f t="shared" si="16"/>
        <v>#VALUE!</v>
      </c>
    </row>
    <row r="976" spans="1:19" x14ac:dyDescent="0.25">
      <c r="A976">
        <v>900091143</v>
      </c>
      <c r="B976" t="s">
        <v>2964</v>
      </c>
      <c r="C976" t="s">
        <v>2306</v>
      </c>
      <c r="E976" t="s">
        <v>2306</v>
      </c>
      <c r="H976" t="s">
        <v>22</v>
      </c>
      <c r="I976">
        <v>59310622</v>
      </c>
      <c r="J976" t="s">
        <v>2307</v>
      </c>
      <c r="P976" t="s">
        <v>2119</v>
      </c>
      <c r="Q976" s="8">
        <v>14475000</v>
      </c>
      <c r="R976" s="8" t="e">
        <f>SUMIFS([1]REPORTADOS!$D$2:$D$3345,[1]REPORTADOS!$C$2:$C$3345,E976)</f>
        <v>#VALUE!</v>
      </c>
      <c r="S976" s="3" t="e">
        <f t="shared" si="16"/>
        <v>#VALUE!</v>
      </c>
    </row>
    <row r="977" spans="1:19" x14ac:dyDescent="0.25">
      <c r="A977">
        <v>900091143</v>
      </c>
      <c r="B977" t="s">
        <v>2965</v>
      </c>
      <c r="C977" t="s">
        <v>2329</v>
      </c>
      <c r="E977" t="s">
        <v>2329</v>
      </c>
      <c r="H977" t="s">
        <v>22</v>
      </c>
      <c r="I977">
        <v>12748383</v>
      </c>
      <c r="J977" t="s">
        <v>1987</v>
      </c>
      <c r="P977" t="s">
        <v>2119</v>
      </c>
      <c r="Q977" s="8">
        <v>14475000</v>
      </c>
      <c r="R977" s="8" t="e">
        <f>SUMIFS([1]REPORTADOS!$D$2:$D$3345,[1]REPORTADOS!$C$2:$C$3345,E977)</f>
        <v>#VALUE!</v>
      </c>
      <c r="S977" s="3" t="e">
        <f t="shared" si="16"/>
        <v>#VALUE!</v>
      </c>
    </row>
    <row r="978" spans="1:19" x14ac:dyDescent="0.25">
      <c r="A978">
        <v>900091143</v>
      </c>
      <c r="B978" t="s">
        <v>2966</v>
      </c>
      <c r="C978" t="s">
        <v>2344</v>
      </c>
      <c r="E978" t="s">
        <v>2344</v>
      </c>
      <c r="H978" t="s">
        <v>22</v>
      </c>
      <c r="I978">
        <v>1085311814</v>
      </c>
      <c r="J978" t="s">
        <v>2345</v>
      </c>
      <c r="P978" t="s">
        <v>2119</v>
      </c>
      <c r="Q978" s="8">
        <v>14475000</v>
      </c>
      <c r="R978" s="8" t="e">
        <f>SUMIFS([1]REPORTADOS!$D$2:$D$3345,[1]REPORTADOS!$C$2:$C$3345,E978)</f>
        <v>#VALUE!</v>
      </c>
      <c r="S978" s="3" t="e">
        <f t="shared" si="16"/>
        <v>#VALUE!</v>
      </c>
    </row>
    <row r="979" spans="1:19" x14ac:dyDescent="0.25">
      <c r="A979">
        <v>900091143</v>
      </c>
      <c r="B979" t="s">
        <v>2967</v>
      </c>
      <c r="C979" t="s">
        <v>2350</v>
      </c>
      <c r="E979" t="s">
        <v>2350</v>
      </c>
      <c r="H979" t="s">
        <v>22</v>
      </c>
      <c r="I979">
        <v>1085269530</v>
      </c>
      <c r="J979" t="s">
        <v>1765</v>
      </c>
      <c r="P979" t="s">
        <v>2351</v>
      </c>
      <c r="Q979" s="8">
        <v>14475000</v>
      </c>
      <c r="R979" s="8" t="e">
        <f>SUMIFS([1]REPORTADOS!$D$2:$D$3345,[1]REPORTADOS!$C$2:$C$3345,E979)</f>
        <v>#VALUE!</v>
      </c>
      <c r="S979" s="3" t="e">
        <f t="shared" si="16"/>
        <v>#VALUE!</v>
      </c>
    </row>
    <row r="980" spans="1:19" x14ac:dyDescent="0.25">
      <c r="A980">
        <v>900091143</v>
      </c>
      <c r="B980" t="s">
        <v>2968</v>
      </c>
      <c r="C980" t="s">
        <v>2362</v>
      </c>
      <c r="E980" t="s">
        <v>2362</v>
      </c>
      <c r="H980" t="s">
        <v>22</v>
      </c>
      <c r="I980">
        <v>1085283723</v>
      </c>
      <c r="J980" t="s">
        <v>2363</v>
      </c>
      <c r="P980" t="s">
        <v>2351</v>
      </c>
      <c r="Q980" s="8">
        <v>14475000</v>
      </c>
      <c r="R980" s="8" t="e">
        <f>SUMIFS([1]REPORTADOS!$D$2:$D$3345,[1]REPORTADOS!$C$2:$C$3345,E980)</f>
        <v>#VALUE!</v>
      </c>
      <c r="S980" s="3" t="e">
        <f t="shared" si="16"/>
        <v>#VALUE!</v>
      </c>
    </row>
    <row r="981" spans="1:19" x14ac:dyDescent="0.25">
      <c r="A981">
        <v>900091143</v>
      </c>
      <c r="B981" t="s">
        <v>2969</v>
      </c>
      <c r="C981" t="s">
        <v>2354</v>
      </c>
      <c r="E981" t="s">
        <v>2354</v>
      </c>
      <c r="H981" t="s">
        <v>22</v>
      </c>
      <c r="I981">
        <v>1085337969</v>
      </c>
      <c r="J981" t="s">
        <v>2355</v>
      </c>
      <c r="P981" t="s">
        <v>2119</v>
      </c>
      <c r="Q981" s="8">
        <v>14475000</v>
      </c>
      <c r="R981" s="8" t="e">
        <f>SUMIFS([1]REPORTADOS!$D$2:$D$3345,[1]REPORTADOS!$C$2:$C$3345,E981)</f>
        <v>#VALUE!</v>
      </c>
      <c r="S981" s="3" t="e">
        <f t="shared" si="16"/>
        <v>#VALUE!</v>
      </c>
    </row>
    <row r="982" spans="1:19" x14ac:dyDescent="0.25">
      <c r="A982">
        <v>900091143</v>
      </c>
      <c r="B982" t="s">
        <v>2970</v>
      </c>
      <c r="C982" t="s">
        <v>2464</v>
      </c>
      <c r="E982" t="s">
        <v>2464</v>
      </c>
      <c r="H982" t="s">
        <v>22</v>
      </c>
      <c r="I982">
        <v>1085273986</v>
      </c>
      <c r="J982" t="s">
        <v>2465</v>
      </c>
      <c r="P982" t="s">
        <v>2351</v>
      </c>
      <c r="Q982" s="8">
        <v>14475000</v>
      </c>
      <c r="R982" s="8" t="e">
        <f>SUMIFS([1]REPORTADOS!$D$2:$D$3345,[1]REPORTADOS!$C$2:$C$3345,E982)</f>
        <v>#VALUE!</v>
      </c>
      <c r="S982" s="3" t="e">
        <f t="shared" si="16"/>
        <v>#VALUE!</v>
      </c>
    </row>
    <row r="983" spans="1:19" x14ac:dyDescent="0.25">
      <c r="A983">
        <v>900091143</v>
      </c>
      <c r="B983" t="s">
        <v>2971</v>
      </c>
      <c r="C983" t="s">
        <v>2456</v>
      </c>
      <c r="E983" t="s">
        <v>2456</v>
      </c>
      <c r="H983" t="s">
        <v>22</v>
      </c>
      <c r="I983">
        <v>27088141</v>
      </c>
      <c r="J983" t="s">
        <v>2457</v>
      </c>
      <c r="P983" t="s">
        <v>2119</v>
      </c>
      <c r="Q983" s="8">
        <v>14475000</v>
      </c>
      <c r="R983" s="8" t="e">
        <f>SUMIFS([1]REPORTADOS!$D$2:$D$3345,[1]REPORTADOS!$C$2:$C$3345,E983)</f>
        <v>#VALUE!</v>
      </c>
      <c r="S983" s="3" t="e">
        <f t="shared" si="16"/>
        <v>#VALUE!</v>
      </c>
    </row>
    <row r="984" spans="1:19" x14ac:dyDescent="0.25">
      <c r="A984">
        <v>900091143</v>
      </c>
      <c r="B984" t="s">
        <v>2972</v>
      </c>
      <c r="C984" t="s">
        <v>2425</v>
      </c>
      <c r="E984" t="s">
        <v>2425</v>
      </c>
      <c r="H984" t="s">
        <v>22</v>
      </c>
      <c r="I984">
        <v>1085291221</v>
      </c>
      <c r="J984" t="s">
        <v>2426</v>
      </c>
      <c r="P984" t="s">
        <v>2427</v>
      </c>
      <c r="Q984" s="8">
        <v>14475000</v>
      </c>
      <c r="R984" s="8" t="e">
        <f>SUMIFS([1]REPORTADOS!$D$2:$D$3345,[1]REPORTADOS!$C$2:$C$3345,E984)</f>
        <v>#VALUE!</v>
      </c>
      <c r="S984" s="3" t="e">
        <f t="shared" si="16"/>
        <v>#VALUE!</v>
      </c>
    </row>
    <row r="985" spans="1:19" x14ac:dyDescent="0.25">
      <c r="A985">
        <v>900091143</v>
      </c>
      <c r="B985" t="s">
        <v>2973</v>
      </c>
      <c r="C985" t="s">
        <v>2428</v>
      </c>
      <c r="E985" t="s">
        <v>2428</v>
      </c>
      <c r="H985" t="s">
        <v>22</v>
      </c>
      <c r="I985">
        <v>59310145</v>
      </c>
      <c r="J985" t="s">
        <v>2429</v>
      </c>
      <c r="P985" t="s">
        <v>2351</v>
      </c>
      <c r="Q985" s="8">
        <v>14475000</v>
      </c>
      <c r="R985" s="8" t="e">
        <f>SUMIFS([1]REPORTADOS!$D$2:$D$3345,[1]REPORTADOS!$C$2:$C$3345,E985)</f>
        <v>#VALUE!</v>
      </c>
      <c r="S985" s="3" t="e">
        <f t="shared" si="16"/>
        <v>#VALUE!</v>
      </c>
    </row>
    <row r="986" spans="1:19" x14ac:dyDescent="0.25">
      <c r="A986">
        <v>900091143</v>
      </c>
      <c r="B986" t="s">
        <v>2974</v>
      </c>
      <c r="C986" t="s">
        <v>2415</v>
      </c>
      <c r="E986" t="s">
        <v>2415</v>
      </c>
      <c r="H986" t="s">
        <v>22</v>
      </c>
      <c r="I986">
        <v>1085321578</v>
      </c>
      <c r="J986" t="s">
        <v>1825</v>
      </c>
      <c r="P986" t="s">
        <v>2351</v>
      </c>
      <c r="Q986" s="8">
        <v>14475000</v>
      </c>
      <c r="R986" s="8" t="e">
        <f>SUMIFS([1]REPORTADOS!$D$2:$D$3345,[1]REPORTADOS!$C$2:$C$3345,E986)</f>
        <v>#VALUE!</v>
      </c>
      <c r="S986" s="3" t="e">
        <f t="shared" si="16"/>
        <v>#VALUE!</v>
      </c>
    </row>
    <row r="987" spans="1:19" x14ac:dyDescent="0.25">
      <c r="A987">
        <v>900091143</v>
      </c>
      <c r="B987" t="s">
        <v>2975</v>
      </c>
      <c r="C987" t="s">
        <v>2468</v>
      </c>
      <c r="E987" t="s">
        <v>2468</v>
      </c>
      <c r="H987" t="s">
        <v>22</v>
      </c>
      <c r="I987">
        <v>1085289739</v>
      </c>
      <c r="J987" t="s">
        <v>2469</v>
      </c>
      <c r="P987" t="s">
        <v>2351</v>
      </c>
      <c r="Q987" s="8">
        <v>14475000</v>
      </c>
      <c r="R987" s="8" t="e">
        <f>SUMIFS([1]REPORTADOS!$D$2:$D$3345,[1]REPORTADOS!$C$2:$C$3345,E987)</f>
        <v>#VALUE!</v>
      </c>
      <c r="S987" s="3" t="e">
        <f t="shared" si="16"/>
        <v>#VALUE!</v>
      </c>
    </row>
    <row r="988" spans="1:19" x14ac:dyDescent="0.25">
      <c r="A988">
        <v>900091143</v>
      </c>
      <c r="B988" t="s">
        <v>2976</v>
      </c>
      <c r="C988" t="s">
        <v>2502</v>
      </c>
      <c r="E988" t="s">
        <v>2502</v>
      </c>
      <c r="H988" t="s">
        <v>22</v>
      </c>
      <c r="I988">
        <v>1085332406</v>
      </c>
      <c r="J988" t="s">
        <v>2503</v>
      </c>
      <c r="P988" t="s">
        <v>2427</v>
      </c>
      <c r="Q988" s="8">
        <v>14475000</v>
      </c>
      <c r="R988" s="8" t="e">
        <f>SUMIFS([1]REPORTADOS!$D$2:$D$3345,[1]REPORTADOS!$C$2:$C$3345,E988)</f>
        <v>#VALUE!</v>
      </c>
      <c r="S988" s="3" t="e">
        <f t="shared" si="16"/>
        <v>#VALUE!</v>
      </c>
    </row>
    <row r="989" spans="1:19" x14ac:dyDescent="0.25">
      <c r="A989">
        <v>900091143</v>
      </c>
      <c r="B989" t="s">
        <v>2977</v>
      </c>
      <c r="C989" t="s">
        <v>2571</v>
      </c>
      <c r="E989" t="s">
        <v>2571</v>
      </c>
      <c r="H989" t="s">
        <v>22</v>
      </c>
      <c r="I989">
        <v>1085265622</v>
      </c>
      <c r="J989" t="s">
        <v>2572</v>
      </c>
      <c r="P989" t="s">
        <v>2119</v>
      </c>
      <c r="Q989" s="8">
        <v>14475000</v>
      </c>
      <c r="R989" s="8" t="e">
        <f>SUMIFS([1]REPORTADOS!$D$2:$D$3345,[1]REPORTADOS!$C$2:$C$3345,E989)</f>
        <v>#VALUE!</v>
      </c>
      <c r="S989" s="3" t="e">
        <f t="shared" si="16"/>
        <v>#VALUE!</v>
      </c>
    </row>
    <row r="990" spans="1:19" x14ac:dyDescent="0.25">
      <c r="A990">
        <v>900091143</v>
      </c>
      <c r="B990" t="s">
        <v>2978</v>
      </c>
      <c r="C990" t="s">
        <v>2614</v>
      </c>
      <c r="E990" t="s">
        <v>2614</v>
      </c>
      <c r="H990" t="s">
        <v>22</v>
      </c>
      <c r="I990">
        <v>1081595485</v>
      </c>
      <c r="J990" t="s">
        <v>2615</v>
      </c>
      <c r="P990" t="s">
        <v>2427</v>
      </c>
      <c r="Q990" s="8">
        <v>14475000</v>
      </c>
      <c r="R990" s="8" t="e">
        <f>SUMIFS([1]REPORTADOS!$D$2:$D$3345,[1]REPORTADOS!$C$2:$C$3345,E990)</f>
        <v>#VALUE!</v>
      </c>
      <c r="S990" s="3" t="e">
        <f t="shared" si="16"/>
        <v>#VALUE!</v>
      </c>
    </row>
    <row r="991" spans="1:19" x14ac:dyDescent="0.25">
      <c r="A991">
        <v>900091143</v>
      </c>
      <c r="B991" t="s">
        <v>2979</v>
      </c>
      <c r="C991" t="s">
        <v>2131</v>
      </c>
      <c r="E991" t="s">
        <v>2131</v>
      </c>
      <c r="H991" t="s">
        <v>22</v>
      </c>
      <c r="I991">
        <v>59821282</v>
      </c>
      <c r="J991" t="s">
        <v>2132</v>
      </c>
      <c r="P991" t="s">
        <v>2097</v>
      </c>
      <c r="Q991" s="8">
        <v>14250000</v>
      </c>
      <c r="R991" s="8" t="e">
        <f>SUMIFS([1]REPORTADOS!$D$2:$D$3345,[1]REPORTADOS!$C$2:$C$3345,E991)</f>
        <v>#VALUE!</v>
      </c>
      <c r="S991" s="3" t="e">
        <f t="shared" si="16"/>
        <v>#VALUE!</v>
      </c>
    </row>
    <row r="992" spans="1:19" x14ac:dyDescent="0.25">
      <c r="A992">
        <v>900091143</v>
      </c>
      <c r="B992" t="s">
        <v>2980</v>
      </c>
      <c r="C992" t="s">
        <v>2137</v>
      </c>
      <c r="E992" t="s">
        <v>2137</v>
      </c>
      <c r="H992" t="s">
        <v>22</v>
      </c>
      <c r="I992">
        <v>1085318684</v>
      </c>
      <c r="J992" t="s">
        <v>2138</v>
      </c>
      <c r="P992" t="s">
        <v>2097</v>
      </c>
      <c r="Q992" s="8">
        <v>14250000</v>
      </c>
      <c r="R992" s="8" t="e">
        <f>SUMIFS([1]REPORTADOS!$D$2:$D$3345,[1]REPORTADOS!$C$2:$C$3345,E992)</f>
        <v>#VALUE!</v>
      </c>
      <c r="S992" s="3" t="e">
        <f t="shared" si="16"/>
        <v>#VALUE!</v>
      </c>
    </row>
    <row r="993" spans="1:19" x14ac:dyDescent="0.25">
      <c r="A993">
        <v>900091143</v>
      </c>
      <c r="B993" t="s">
        <v>2981</v>
      </c>
      <c r="C993" t="s">
        <v>2114</v>
      </c>
      <c r="E993" t="s">
        <v>2114</v>
      </c>
      <c r="H993" t="s">
        <v>22</v>
      </c>
      <c r="I993">
        <v>1085293619</v>
      </c>
      <c r="J993" t="s">
        <v>2115</v>
      </c>
      <c r="P993" t="s">
        <v>2116</v>
      </c>
      <c r="Q993" s="8">
        <v>14250000</v>
      </c>
      <c r="R993" s="8" t="e">
        <f>SUMIFS([1]REPORTADOS!$D$2:$D$3345,[1]REPORTADOS!$C$2:$C$3345,E993)</f>
        <v>#VALUE!</v>
      </c>
      <c r="S993" s="3" t="e">
        <f t="shared" si="16"/>
        <v>#VALUE!</v>
      </c>
    </row>
    <row r="994" spans="1:19" x14ac:dyDescent="0.25">
      <c r="A994">
        <v>900091143</v>
      </c>
      <c r="B994" t="s">
        <v>2982</v>
      </c>
      <c r="C994" t="s">
        <v>2120</v>
      </c>
      <c r="E994" t="s">
        <v>2120</v>
      </c>
      <c r="H994" t="s">
        <v>22</v>
      </c>
      <c r="I994">
        <v>1085260497</v>
      </c>
      <c r="J994" t="s">
        <v>2121</v>
      </c>
      <c r="P994" t="s">
        <v>2097</v>
      </c>
      <c r="Q994" s="8">
        <v>14250000</v>
      </c>
      <c r="R994" s="8" t="e">
        <f>SUMIFS([1]REPORTADOS!$D$2:$D$3345,[1]REPORTADOS!$C$2:$C$3345,E994)</f>
        <v>#VALUE!</v>
      </c>
      <c r="S994" s="3" t="e">
        <f t="shared" si="16"/>
        <v>#VALUE!</v>
      </c>
    </row>
    <row r="995" spans="1:19" x14ac:dyDescent="0.25">
      <c r="A995">
        <v>900091143</v>
      </c>
      <c r="B995" t="s">
        <v>2983</v>
      </c>
      <c r="C995" t="s">
        <v>2122</v>
      </c>
      <c r="E995" t="s">
        <v>2122</v>
      </c>
      <c r="H995" t="s">
        <v>22</v>
      </c>
      <c r="I995">
        <v>1087413951</v>
      </c>
      <c r="J995" t="s">
        <v>2123</v>
      </c>
      <c r="P995" t="s">
        <v>2097</v>
      </c>
      <c r="Q995" s="8">
        <v>14250000</v>
      </c>
      <c r="R995" s="8" t="e">
        <f>SUMIFS([1]REPORTADOS!$D$2:$D$3345,[1]REPORTADOS!$C$2:$C$3345,E995)</f>
        <v>#VALUE!</v>
      </c>
      <c r="S995" s="3" t="e">
        <f t="shared" si="16"/>
        <v>#VALUE!</v>
      </c>
    </row>
    <row r="996" spans="1:19" x14ac:dyDescent="0.25">
      <c r="A996">
        <v>900091143</v>
      </c>
      <c r="B996" t="s">
        <v>2984</v>
      </c>
      <c r="C996" t="s">
        <v>2127</v>
      </c>
      <c r="E996" t="s">
        <v>2127</v>
      </c>
      <c r="H996" t="s">
        <v>22</v>
      </c>
      <c r="I996">
        <v>1085263018</v>
      </c>
      <c r="J996" t="s">
        <v>2128</v>
      </c>
      <c r="P996" t="s">
        <v>2097</v>
      </c>
      <c r="Q996" s="8">
        <v>14250000</v>
      </c>
      <c r="R996" s="8" t="e">
        <f>SUMIFS([1]REPORTADOS!$D$2:$D$3345,[1]REPORTADOS!$C$2:$C$3345,E996)</f>
        <v>#VALUE!</v>
      </c>
      <c r="S996" s="3" t="e">
        <f t="shared" si="16"/>
        <v>#VALUE!</v>
      </c>
    </row>
    <row r="997" spans="1:19" x14ac:dyDescent="0.25">
      <c r="A997">
        <v>900091143</v>
      </c>
      <c r="B997" t="s">
        <v>2985</v>
      </c>
      <c r="C997" t="s">
        <v>2095</v>
      </c>
      <c r="E997" t="s">
        <v>2095</v>
      </c>
      <c r="H997" t="s">
        <v>22</v>
      </c>
      <c r="I997">
        <v>59824313</v>
      </c>
      <c r="J997" t="s">
        <v>2096</v>
      </c>
      <c r="P997" t="s">
        <v>2097</v>
      </c>
      <c r="Q997" s="8">
        <v>14250000</v>
      </c>
      <c r="R997" s="8" t="e">
        <f>SUMIFS([1]REPORTADOS!$D$2:$D$3345,[1]REPORTADOS!$C$2:$C$3345,E997)</f>
        <v>#VALUE!</v>
      </c>
      <c r="S997" s="3" t="e">
        <f t="shared" si="16"/>
        <v>#VALUE!</v>
      </c>
    </row>
    <row r="998" spans="1:19" x14ac:dyDescent="0.25">
      <c r="A998">
        <v>900091143</v>
      </c>
      <c r="B998" t="s">
        <v>2986</v>
      </c>
      <c r="C998" t="s">
        <v>2151</v>
      </c>
      <c r="E998" t="s">
        <v>2151</v>
      </c>
      <c r="H998" t="s">
        <v>22</v>
      </c>
      <c r="I998">
        <v>1087414586</v>
      </c>
      <c r="J998" t="s">
        <v>2152</v>
      </c>
      <c r="P998" t="s">
        <v>2097</v>
      </c>
      <c r="Q998" s="8">
        <v>14250000</v>
      </c>
      <c r="R998" s="8" t="e">
        <f>SUMIFS([1]REPORTADOS!$D$2:$D$3345,[1]REPORTADOS!$C$2:$C$3345,E998)</f>
        <v>#VALUE!</v>
      </c>
      <c r="S998" s="3" t="e">
        <f t="shared" si="16"/>
        <v>#VALUE!</v>
      </c>
    </row>
    <row r="999" spans="1:19" x14ac:dyDescent="0.25">
      <c r="A999">
        <v>900091143</v>
      </c>
      <c r="B999" t="s">
        <v>2987</v>
      </c>
      <c r="C999" t="s">
        <v>2145</v>
      </c>
      <c r="E999" t="s">
        <v>2145</v>
      </c>
      <c r="H999" t="s">
        <v>22</v>
      </c>
      <c r="I999">
        <v>1085330309</v>
      </c>
      <c r="J999" t="s">
        <v>1636</v>
      </c>
      <c r="P999" t="s">
        <v>2097</v>
      </c>
      <c r="Q999" s="8">
        <v>14250000</v>
      </c>
      <c r="R999" s="8" t="e">
        <f>SUMIFS([1]REPORTADOS!$D$2:$D$3345,[1]REPORTADOS!$C$2:$C$3345,E999)</f>
        <v>#VALUE!</v>
      </c>
      <c r="S999" s="3" t="e">
        <f t="shared" si="16"/>
        <v>#VALUE!</v>
      </c>
    </row>
    <row r="1000" spans="1:19" x14ac:dyDescent="0.25">
      <c r="A1000">
        <v>900091143</v>
      </c>
      <c r="B1000" t="s">
        <v>2988</v>
      </c>
      <c r="C1000" t="s">
        <v>2146</v>
      </c>
      <c r="E1000" t="s">
        <v>2146</v>
      </c>
      <c r="H1000" t="s">
        <v>22</v>
      </c>
      <c r="I1000">
        <v>1085325342</v>
      </c>
      <c r="J1000" t="s">
        <v>2147</v>
      </c>
      <c r="P1000" t="s">
        <v>2097</v>
      </c>
      <c r="Q1000" s="8">
        <v>14250000</v>
      </c>
      <c r="R1000" s="8" t="e">
        <f>SUMIFS([1]REPORTADOS!$D$2:$D$3345,[1]REPORTADOS!$C$2:$C$3345,E1000)</f>
        <v>#VALUE!</v>
      </c>
      <c r="S1000" s="3" t="e">
        <f t="shared" si="16"/>
        <v>#VALUE!</v>
      </c>
    </row>
    <row r="1001" spans="1:19" x14ac:dyDescent="0.25">
      <c r="A1001">
        <v>900091143</v>
      </c>
      <c r="B1001" t="s">
        <v>2989</v>
      </c>
      <c r="C1001" t="s">
        <v>2194</v>
      </c>
      <c r="E1001" t="s">
        <v>2194</v>
      </c>
      <c r="H1001" t="s">
        <v>22</v>
      </c>
      <c r="I1001">
        <v>87060703</v>
      </c>
      <c r="J1001" t="s">
        <v>2195</v>
      </c>
      <c r="P1001" t="s">
        <v>2097</v>
      </c>
      <c r="Q1001" s="8">
        <v>14250000</v>
      </c>
      <c r="R1001" s="8" t="e">
        <f>SUMIFS([1]REPORTADOS!$D$2:$D$3345,[1]REPORTADOS!$C$2:$C$3345,E1001)</f>
        <v>#VALUE!</v>
      </c>
      <c r="S1001" s="3" t="e">
        <f t="shared" si="16"/>
        <v>#VALUE!</v>
      </c>
    </row>
    <row r="1002" spans="1:19" x14ac:dyDescent="0.25">
      <c r="A1002">
        <v>900091143</v>
      </c>
      <c r="B1002" t="s">
        <v>2990</v>
      </c>
      <c r="C1002" t="s">
        <v>2184</v>
      </c>
      <c r="E1002" t="s">
        <v>2184</v>
      </c>
      <c r="H1002" t="s">
        <v>22</v>
      </c>
      <c r="I1002">
        <v>1233192618</v>
      </c>
      <c r="J1002" t="s">
        <v>2185</v>
      </c>
      <c r="P1002" t="s">
        <v>2097</v>
      </c>
      <c r="Q1002" s="8">
        <v>14250000</v>
      </c>
      <c r="R1002" s="8" t="e">
        <f>SUMIFS([1]REPORTADOS!$D$2:$D$3345,[1]REPORTADOS!$C$2:$C$3345,E1002)</f>
        <v>#VALUE!</v>
      </c>
      <c r="S1002" s="3" t="e">
        <f t="shared" si="16"/>
        <v>#VALUE!</v>
      </c>
    </row>
    <row r="1003" spans="1:19" x14ac:dyDescent="0.25">
      <c r="A1003">
        <v>900091143</v>
      </c>
      <c r="B1003" t="s">
        <v>2991</v>
      </c>
      <c r="C1003" t="s">
        <v>2196</v>
      </c>
      <c r="E1003" t="s">
        <v>2196</v>
      </c>
      <c r="H1003" t="s">
        <v>22</v>
      </c>
      <c r="I1003">
        <v>59312865</v>
      </c>
      <c r="J1003" t="s">
        <v>2197</v>
      </c>
      <c r="P1003" t="s">
        <v>2097</v>
      </c>
      <c r="Q1003" s="8">
        <v>14250000</v>
      </c>
      <c r="R1003" s="8" t="e">
        <f>SUMIFS([1]REPORTADOS!$D$2:$D$3345,[1]REPORTADOS!$C$2:$C$3345,E1003)</f>
        <v>#VALUE!</v>
      </c>
      <c r="S1003" s="3" t="e">
        <f t="shared" si="16"/>
        <v>#VALUE!</v>
      </c>
    </row>
    <row r="1004" spans="1:19" x14ac:dyDescent="0.25">
      <c r="A1004">
        <v>900091143</v>
      </c>
      <c r="B1004" t="s">
        <v>2992</v>
      </c>
      <c r="C1004" t="s">
        <v>2198</v>
      </c>
      <c r="E1004" t="s">
        <v>2198</v>
      </c>
      <c r="H1004" t="s">
        <v>22</v>
      </c>
      <c r="I1004">
        <v>1085303067</v>
      </c>
      <c r="J1004" t="s">
        <v>2199</v>
      </c>
      <c r="P1004" t="s">
        <v>2097</v>
      </c>
      <c r="Q1004" s="8">
        <v>14250000</v>
      </c>
      <c r="R1004" s="8" t="e">
        <f>SUMIFS([1]REPORTADOS!$D$2:$D$3345,[1]REPORTADOS!$C$2:$C$3345,E1004)</f>
        <v>#VALUE!</v>
      </c>
      <c r="S1004" s="3" t="e">
        <f t="shared" si="16"/>
        <v>#VALUE!</v>
      </c>
    </row>
    <row r="1005" spans="1:19" x14ac:dyDescent="0.25">
      <c r="A1005">
        <v>900091143</v>
      </c>
      <c r="B1005" t="s">
        <v>2993</v>
      </c>
      <c r="C1005" t="s">
        <v>2188</v>
      </c>
      <c r="E1005" t="s">
        <v>2188</v>
      </c>
      <c r="H1005" t="s">
        <v>22</v>
      </c>
      <c r="I1005">
        <v>1085318201</v>
      </c>
      <c r="J1005" t="s">
        <v>2189</v>
      </c>
      <c r="P1005" t="s">
        <v>2097</v>
      </c>
      <c r="Q1005" s="8">
        <v>14250000</v>
      </c>
      <c r="R1005" s="8" t="e">
        <f>SUMIFS([1]REPORTADOS!$D$2:$D$3345,[1]REPORTADOS!$C$2:$C$3345,E1005)</f>
        <v>#VALUE!</v>
      </c>
      <c r="S1005" s="3" t="e">
        <f t="shared" si="16"/>
        <v>#VALUE!</v>
      </c>
    </row>
    <row r="1006" spans="1:19" x14ac:dyDescent="0.25">
      <c r="A1006">
        <v>900091143</v>
      </c>
      <c r="B1006" t="s">
        <v>2994</v>
      </c>
      <c r="C1006" t="s">
        <v>2214</v>
      </c>
      <c r="E1006" t="s">
        <v>2214</v>
      </c>
      <c r="H1006" t="s">
        <v>22</v>
      </c>
      <c r="I1006">
        <v>1087422930</v>
      </c>
      <c r="J1006" t="s">
        <v>2215</v>
      </c>
      <c r="P1006" t="s">
        <v>2097</v>
      </c>
      <c r="Q1006" s="8">
        <v>14250000</v>
      </c>
      <c r="R1006" s="8" t="e">
        <f>SUMIFS([1]REPORTADOS!$D$2:$D$3345,[1]REPORTADOS!$C$2:$C$3345,E1006)</f>
        <v>#VALUE!</v>
      </c>
      <c r="S1006" s="3" t="e">
        <f t="shared" si="16"/>
        <v>#VALUE!</v>
      </c>
    </row>
    <row r="1007" spans="1:19" x14ac:dyDescent="0.25">
      <c r="A1007">
        <v>900091143</v>
      </c>
      <c r="B1007" t="s">
        <v>2995</v>
      </c>
      <c r="C1007" t="s">
        <v>2226</v>
      </c>
      <c r="E1007" t="s">
        <v>2226</v>
      </c>
      <c r="H1007" t="s">
        <v>22</v>
      </c>
      <c r="I1007">
        <v>36953206</v>
      </c>
      <c r="J1007" t="s">
        <v>1807</v>
      </c>
      <c r="P1007" t="s">
        <v>2097</v>
      </c>
      <c r="Q1007" s="8">
        <v>14250000</v>
      </c>
      <c r="R1007" s="8" t="e">
        <f>SUMIFS([1]REPORTADOS!$D$2:$D$3345,[1]REPORTADOS!$C$2:$C$3345,E1007)</f>
        <v>#VALUE!</v>
      </c>
      <c r="S1007" s="3" t="e">
        <f t="shared" si="16"/>
        <v>#VALUE!</v>
      </c>
    </row>
    <row r="1008" spans="1:19" x14ac:dyDescent="0.25">
      <c r="A1008">
        <v>900091143</v>
      </c>
      <c r="B1008" t="s">
        <v>2996</v>
      </c>
      <c r="C1008" t="s">
        <v>2229</v>
      </c>
      <c r="E1008" t="s">
        <v>2229</v>
      </c>
      <c r="H1008" t="s">
        <v>22</v>
      </c>
      <c r="I1008">
        <v>1193383306</v>
      </c>
      <c r="J1008" t="s">
        <v>2230</v>
      </c>
      <c r="P1008" t="s">
        <v>2097</v>
      </c>
      <c r="Q1008" s="8">
        <v>14250000</v>
      </c>
      <c r="R1008" s="8" t="e">
        <f>SUMIFS([1]REPORTADOS!$D$2:$D$3345,[1]REPORTADOS!$C$2:$C$3345,E1008)</f>
        <v>#VALUE!</v>
      </c>
      <c r="S1008" s="3" t="e">
        <f t="shared" ref="S1008:S1071" si="17">Q1008-R1008</f>
        <v>#VALUE!</v>
      </c>
    </row>
    <row r="1009" spans="1:19" x14ac:dyDescent="0.25">
      <c r="A1009">
        <v>900091143</v>
      </c>
      <c r="B1009" t="s">
        <v>2997</v>
      </c>
      <c r="C1009" t="s">
        <v>2246</v>
      </c>
      <c r="E1009" t="s">
        <v>2246</v>
      </c>
      <c r="H1009" t="s">
        <v>22</v>
      </c>
      <c r="I1009">
        <v>1085324546</v>
      </c>
      <c r="J1009" t="s">
        <v>2247</v>
      </c>
      <c r="P1009" t="s">
        <v>2097</v>
      </c>
      <c r="Q1009" s="8">
        <v>14250000</v>
      </c>
      <c r="R1009" s="8" t="e">
        <f>SUMIFS([1]REPORTADOS!$D$2:$D$3345,[1]REPORTADOS!$C$2:$C$3345,E1009)</f>
        <v>#VALUE!</v>
      </c>
      <c r="S1009" s="3" t="e">
        <f t="shared" si="17"/>
        <v>#VALUE!</v>
      </c>
    </row>
    <row r="1010" spans="1:19" x14ac:dyDescent="0.25">
      <c r="A1010">
        <v>900091143</v>
      </c>
      <c r="B1010" t="s">
        <v>2998</v>
      </c>
      <c r="C1010" t="s">
        <v>2251</v>
      </c>
      <c r="E1010" t="s">
        <v>2251</v>
      </c>
      <c r="H1010" t="s">
        <v>22</v>
      </c>
      <c r="I1010">
        <v>1085345772</v>
      </c>
      <c r="J1010" t="s">
        <v>2252</v>
      </c>
      <c r="P1010" t="s">
        <v>2253</v>
      </c>
      <c r="Q1010" s="8">
        <v>14250000</v>
      </c>
      <c r="R1010" s="8" t="e">
        <f>SUMIFS([1]REPORTADOS!$D$2:$D$3345,[1]REPORTADOS!$C$2:$C$3345,E1010)</f>
        <v>#VALUE!</v>
      </c>
      <c r="S1010" s="3" t="e">
        <f t="shared" si="17"/>
        <v>#VALUE!</v>
      </c>
    </row>
    <row r="1011" spans="1:19" x14ac:dyDescent="0.25">
      <c r="A1011">
        <v>900091143</v>
      </c>
      <c r="B1011" t="s">
        <v>2999</v>
      </c>
      <c r="C1011" t="s">
        <v>2256</v>
      </c>
      <c r="E1011" t="s">
        <v>2256</v>
      </c>
      <c r="H1011" t="s">
        <v>22</v>
      </c>
      <c r="I1011">
        <v>59816986</v>
      </c>
      <c r="J1011" t="s">
        <v>2257</v>
      </c>
      <c r="P1011" t="s">
        <v>2253</v>
      </c>
      <c r="Q1011" s="8">
        <v>14250000</v>
      </c>
      <c r="R1011" s="8" t="e">
        <f>SUMIFS([1]REPORTADOS!$D$2:$D$3345,[1]REPORTADOS!$C$2:$C$3345,E1011)</f>
        <v>#VALUE!</v>
      </c>
      <c r="S1011" s="3" t="e">
        <f t="shared" si="17"/>
        <v>#VALUE!</v>
      </c>
    </row>
    <row r="1012" spans="1:19" x14ac:dyDescent="0.25">
      <c r="A1012">
        <v>900091143</v>
      </c>
      <c r="B1012" t="s">
        <v>3000</v>
      </c>
      <c r="C1012" t="s">
        <v>2330</v>
      </c>
      <c r="E1012" t="s">
        <v>2330</v>
      </c>
      <c r="H1012" t="s">
        <v>22</v>
      </c>
      <c r="I1012">
        <v>36759759</v>
      </c>
      <c r="J1012" t="s">
        <v>1708</v>
      </c>
      <c r="P1012" t="s">
        <v>2097</v>
      </c>
      <c r="Q1012" s="8">
        <v>14250000</v>
      </c>
      <c r="R1012" s="8" t="e">
        <f>SUMIFS([1]REPORTADOS!$D$2:$D$3345,[1]REPORTADOS!$C$2:$C$3345,E1012)</f>
        <v>#VALUE!</v>
      </c>
      <c r="S1012" s="3" t="e">
        <f t="shared" si="17"/>
        <v>#VALUE!</v>
      </c>
    </row>
    <row r="1013" spans="1:19" x14ac:dyDescent="0.25">
      <c r="A1013">
        <v>900091143</v>
      </c>
      <c r="B1013" t="s">
        <v>3001</v>
      </c>
      <c r="C1013" t="s">
        <v>2481</v>
      </c>
      <c r="E1013" t="s">
        <v>2481</v>
      </c>
      <c r="H1013" t="s">
        <v>22</v>
      </c>
      <c r="I1013">
        <v>36950073</v>
      </c>
      <c r="J1013" t="s">
        <v>2482</v>
      </c>
      <c r="P1013" t="s">
        <v>2097</v>
      </c>
      <c r="Q1013" s="8">
        <v>14250000</v>
      </c>
      <c r="R1013" s="8" t="e">
        <f>SUMIFS([1]REPORTADOS!$D$2:$D$3345,[1]REPORTADOS!$C$2:$C$3345,E1013)</f>
        <v>#VALUE!</v>
      </c>
      <c r="S1013" s="3" t="e">
        <f t="shared" si="17"/>
        <v>#VALUE!</v>
      </c>
    </row>
    <row r="1014" spans="1:19" x14ac:dyDescent="0.25">
      <c r="A1014">
        <v>900091143</v>
      </c>
      <c r="B1014" t="s">
        <v>3002</v>
      </c>
      <c r="C1014" t="s">
        <v>2529</v>
      </c>
      <c r="E1014" t="s">
        <v>2529</v>
      </c>
      <c r="H1014" t="s">
        <v>22</v>
      </c>
      <c r="I1014">
        <v>1018492767</v>
      </c>
      <c r="J1014" t="s">
        <v>1843</v>
      </c>
      <c r="P1014" t="s">
        <v>2530</v>
      </c>
      <c r="Q1014" s="8">
        <v>14250000</v>
      </c>
      <c r="R1014" s="8" t="e">
        <f>SUMIFS([1]REPORTADOS!$D$2:$D$3345,[1]REPORTADOS!$C$2:$C$3345,E1014)</f>
        <v>#VALUE!</v>
      </c>
      <c r="S1014" s="3" t="e">
        <f t="shared" si="17"/>
        <v>#VALUE!</v>
      </c>
    </row>
    <row r="1015" spans="1:19" x14ac:dyDescent="0.25">
      <c r="A1015">
        <v>900091143</v>
      </c>
      <c r="B1015" t="s">
        <v>3003</v>
      </c>
      <c r="C1015" t="s">
        <v>2531</v>
      </c>
      <c r="E1015" t="s">
        <v>2531</v>
      </c>
      <c r="H1015" t="s">
        <v>22</v>
      </c>
      <c r="I1015">
        <v>27087475</v>
      </c>
      <c r="J1015" t="s">
        <v>1813</v>
      </c>
      <c r="P1015" t="s">
        <v>2532</v>
      </c>
      <c r="Q1015" s="8">
        <v>14250000</v>
      </c>
      <c r="R1015" s="8" t="e">
        <f>SUMIFS([1]REPORTADOS!$D$2:$D$3345,[1]REPORTADOS!$C$2:$C$3345,E1015)</f>
        <v>#VALUE!</v>
      </c>
      <c r="S1015" s="3" t="e">
        <f t="shared" si="17"/>
        <v>#VALUE!</v>
      </c>
    </row>
    <row r="1016" spans="1:19" x14ac:dyDescent="0.25">
      <c r="A1016">
        <v>900091143</v>
      </c>
      <c r="B1016" t="s">
        <v>3004</v>
      </c>
      <c r="C1016" t="s">
        <v>2522</v>
      </c>
      <c r="E1016" t="s">
        <v>2522</v>
      </c>
      <c r="H1016" t="s">
        <v>22</v>
      </c>
      <c r="I1016">
        <v>1086332188</v>
      </c>
      <c r="J1016" t="s">
        <v>1771</v>
      </c>
      <c r="P1016" t="s">
        <v>2523</v>
      </c>
      <c r="Q1016" s="8">
        <v>14250000</v>
      </c>
      <c r="R1016" s="8" t="e">
        <f>SUMIFS([1]REPORTADOS!$D$2:$D$3345,[1]REPORTADOS!$C$2:$C$3345,E1016)</f>
        <v>#VALUE!</v>
      </c>
      <c r="S1016" s="3" t="e">
        <f t="shared" si="17"/>
        <v>#VALUE!</v>
      </c>
    </row>
    <row r="1017" spans="1:19" x14ac:dyDescent="0.25">
      <c r="A1017">
        <v>900091143</v>
      </c>
      <c r="B1017" t="s">
        <v>3005</v>
      </c>
      <c r="C1017" t="s">
        <v>2568</v>
      </c>
      <c r="E1017" t="s">
        <v>2568</v>
      </c>
      <c r="H1017" t="s">
        <v>22</v>
      </c>
      <c r="I1017">
        <v>59651018</v>
      </c>
      <c r="J1017" t="s">
        <v>2569</v>
      </c>
      <c r="P1017" t="s">
        <v>2570</v>
      </c>
      <c r="Q1017" s="8">
        <v>14250000</v>
      </c>
      <c r="R1017" s="8" t="e">
        <f>SUMIFS([1]REPORTADOS!$D$2:$D$3345,[1]REPORTADOS!$C$2:$C$3345,E1017)</f>
        <v>#VALUE!</v>
      </c>
      <c r="S1017" s="3" t="e">
        <f t="shared" si="17"/>
        <v>#VALUE!</v>
      </c>
    </row>
    <row r="1018" spans="1:19" x14ac:dyDescent="0.25">
      <c r="A1018">
        <v>900091143</v>
      </c>
      <c r="B1018" t="s">
        <v>3006</v>
      </c>
      <c r="C1018" t="s">
        <v>2588</v>
      </c>
      <c r="E1018" t="s">
        <v>2588</v>
      </c>
      <c r="H1018" t="s">
        <v>22</v>
      </c>
      <c r="I1018">
        <v>1085343783</v>
      </c>
      <c r="J1018" t="s">
        <v>1648</v>
      </c>
      <c r="P1018" t="s">
        <v>2097</v>
      </c>
      <c r="Q1018" s="8">
        <v>14250000</v>
      </c>
      <c r="R1018" s="8" t="e">
        <f>SUMIFS([1]REPORTADOS!$D$2:$D$3345,[1]REPORTADOS!$C$2:$C$3345,E1018)</f>
        <v>#VALUE!</v>
      </c>
      <c r="S1018" s="3" t="e">
        <f t="shared" si="17"/>
        <v>#VALUE!</v>
      </c>
    </row>
    <row r="1019" spans="1:19" x14ac:dyDescent="0.25">
      <c r="A1019">
        <v>900091143</v>
      </c>
      <c r="B1019" t="s">
        <v>3007</v>
      </c>
      <c r="C1019" t="s">
        <v>2629</v>
      </c>
      <c r="E1019" t="s">
        <v>2629</v>
      </c>
      <c r="H1019" t="s">
        <v>22</v>
      </c>
      <c r="I1019">
        <v>1233193716</v>
      </c>
      <c r="J1019" t="s">
        <v>2630</v>
      </c>
      <c r="P1019" t="s">
        <v>2631</v>
      </c>
      <c r="Q1019" s="8">
        <v>14200000</v>
      </c>
      <c r="R1019" s="8" t="e">
        <f>SUMIFS([1]REPORTADOS!$D$2:$D$3345,[1]REPORTADOS!$C$2:$C$3345,E1019)</f>
        <v>#VALUE!</v>
      </c>
      <c r="S1019" s="3" t="e">
        <f t="shared" si="17"/>
        <v>#VALUE!</v>
      </c>
    </row>
    <row r="1020" spans="1:19" x14ac:dyDescent="0.25">
      <c r="A1020">
        <v>900091143</v>
      </c>
      <c r="B1020" t="s">
        <v>3008</v>
      </c>
      <c r="C1020" t="s">
        <v>2641</v>
      </c>
      <c r="E1020" t="s">
        <v>2641</v>
      </c>
      <c r="H1020" t="s">
        <v>22</v>
      </c>
      <c r="I1020">
        <v>1131085780</v>
      </c>
      <c r="J1020" t="s">
        <v>2642</v>
      </c>
      <c r="P1020" t="s">
        <v>2108</v>
      </c>
      <c r="Q1020" s="8">
        <v>14200000</v>
      </c>
      <c r="R1020" s="8" t="e">
        <f>SUMIFS([1]REPORTADOS!$D$2:$D$3345,[1]REPORTADOS!$C$2:$C$3345,E1020)</f>
        <v>#VALUE!</v>
      </c>
      <c r="S1020" s="3" t="e">
        <f t="shared" si="17"/>
        <v>#VALUE!</v>
      </c>
    </row>
    <row r="1021" spans="1:19" x14ac:dyDescent="0.25">
      <c r="A1021">
        <v>900091143</v>
      </c>
      <c r="B1021" t="s">
        <v>3009</v>
      </c>
      <c r="C1021" t="s">
        <v>2797</v>
      </c>
      <c r="E1021" t="s">
        <v>2797</v>
      </c>
      <c r="H1021" t="s">
        <v>38</v>
      </c>
      <c r="I1021">
        <v>900441119</v>
      </c>
      <c r="J1021" t="s">
        <v>2798</v>
      </c>
      <c r="P1021" t="s">
        <v>2106</v>
      </c>
      <c r="Q1021" s="8">
        <v>13508223.119999999</v>
      </c>
      <c r="R1021" s="8" t="e">
        <f>SUMIFS([1]REPORTADOS!$D$2:$D$3345,[1]REPORTADOS!$C$2:$C$3345,E1021)</f>
        <v>#VALUE!</v>
      </c>
      <c r="S1021" s="3" t="e">
        <f t="shared" si="17"/>
        <v>#VALUE!</v>
      </c>
    </row>
    <row r="1022" spans="1:19" x14ac:dyDescent="0.25">
      <c r="A1022">
        <v>900091143</v>
      </c>
      <c r="B1022" t="s">
        <v>3010</v>
      </c>
      <c r="C1022" t="s">
        <v>2595</v>
      </c>
      <c r="E1022" t="s">
        <v>2595</v>
      </c>
      <c r="H1022" t="s">
        <v>22</v>
      </c>
      <c r="I1022">
        <v>1085324891</v>
      </c>
      <c r="J1022" t="s">
        <v>1687</v>
      </c>
      <c r="P1022" t="s">
        <v>2119</v>
      </c>
      <c r="Q1022" s="8">
        <v>12062500</v>
      </c>
      <c r="R1022" s="8" t="e">
        <f>SUMIFS([1]REPORTADOS!$D$2:$D$3345,[1]REPORTADOS!$C$2:$C$3345,E1022)</f>
        <v>#VALUE!</v>
      </c>
      <c r="S1022" s="3" t="e">
        <f t="shared" si="17"/>
        <v>#VALUE!</v>
      </c>
    </row>
    <row r="1023" spans="1:19" x14ac:dyDescent="0.25">
      <c r="A1023">
        <v>900091143</v>
      </c>
      <c r="B1023" t="s">
        <v>3011</v>
      </c>
      <c r="C1023" t="s">
        <v>2600</v>
      </c>
      <c r="E1023" t="s">
        <v>2600</v>
      </c>
      <c r="H1023" t="s">
        <v>22</v>
      </c>
      <c r="I1023">
        <v>1004508471</v>
      </c>
      <c r="J1023" t="s">
        <v>2601</v>
      </c>
      <c r="P1023" t="s">
        <v>2602</v>
      </c>
      <c r="Q1023" s="8">
        <v>12062500</v>
      </c>
      <c r="R1023" s="8" t="e">
        <f>SUMIFS([1]REPORTADOS!$D$2:$D$3345,[1]REPORTADOS!$C$2:$C$3345,E1023)</f>
        <v>#VALUE!</v>
      </c>
      <c r="S1023" s="3" t="e">
        <f t="shared" si="17"/>
        <v>#VALUE!</v>
      </c>
    </row>
    <row r="1024" spans="1:19" x14ac:dyDescent="0.25">
      <c r="A1024">
        <v>900091143</v>
      </c>
      <c r="B1024" t="s">
        <v>3012</v>
      </c>
      <c r="C1024" t="s">
        <v>2663</v>
      </c>
      <c r="E1024" t="s">
        <v>2663</v>
      </c>
      <c r="H1024" t="s">
        <v>22</v>
      </c>
      <c r="I1024">
        <v>59825948</v>
      </c>
      <c r="J1024" t="s">
        <v>1756</v>
      </c>
      <c r="P1024" t="s">
        <v>2664</v>
      </c>
      <c r="Q1024" s="8">
        <v>12000000</v>
      </c>
      <c r="R1024" s="8" t="e">
        <f>SUMIFS([1]REPORTADOS!$D$2:$D$3345,[1]REPORTADOS!$C$2:$C$3345,E1024)</f>
        <v>#VALUE!</v>
      </c>
      <c r="S1024" s="3" t="e">
        <f t="shared" si="17"/>
        <v>#VALUE!</v>
      </c>
    </row>
    <row r="1025" spans="1:19" x14ac:dyDescent="0.25">
      <c r="A1025">
        <v>900091143</v>
      </c>
      <c r="B1025" t="s">
        <v>3013</v>
      </c>
      <c r="C1025" t="s">
        <v>2795</v>
      </c>
      <c r="E1025" t="s">
        <v>2795</v>
      </c>
      <c r="H1025" t="s">
        <v>38</v>
      </c>
      <c r="I1025">
        <v>900414376</v>
      </c>
      <c r="J1025" t="s">
        <v>2796</v>
      </c>
      <c r="P1025" t="s">
        <v>2106</v>
      </c>
      <c r="Q1025" s="8">
        <v>9891756</v>
      </c>
      <c r="R1025" s="8" t="e">
        <f>SUMIFS([1]REPORTADOS!$D$2:$D$3345,[1]REPORTADOS!$C$2:$C$3345,E1025)</f>
        <v>#VALUE!</v>
      </c>
      <c r="S1025" s="3" t="e">
        <f t="shared" si="17"/>
        <v>#VALUE!</v>
      </c>
    </row>
    <row r="1026" spans="1:19" x14ac:dyDescent="0.25">
      <c r="A1026">
        <v>900091143</v>
      </c>
      <c r="B1026" t="s">
        <v>3014</v>
      </c>
      <c r="C1026" t="s">
        <v>2793</v>
      </c>
      <c r="E1026" t="s">
        <v>2793</v>
      </c>
      <c r="H1026" t="s">
        <v>38</v>
      </c>
      <c r="I1026">
        <v>830004892</v>
      </c>
      <c r="J1026" t="s">
        <v>2105</v>
      </c>
      <c r="P1026" t="s">
        <v>2794</v>
      </c>
      <c r="Q1026" s="8">
        <v>9853200</v>
      </c>
      <c r="R1026" s="8" t="e">
        <f>SUMIFS([1]REPORTADOS!$D$2:$D$3345,[1]REPORTADOS!$C$2:$C$3345,E1026)</f>
        <v>#VALUE!</v>
      </c>
      <c r="S1026" s="3" t="e">
        <f t="shared" si="17"/>
        <v>#VALUE!</v>
      </c>
    </row>
    <row r="1027" spans="1:19" x14ac:dyDescent="0.25">
      <c r="A1027">
        <v>900091143</v>
      </c>
      <c r="B1027" t="s">
        <v>3015</v>
      </c>
      <c r="C1027" t="s">
        <v>2726</v>
      </c>
      <c r="E1027" t="s">
        <v>2726</v>
      </c>
      <c r="H1027" t="s">
        <v>22</v>
      </c>
      <c r="I1027">
        <v>1122783646</v>
      </c>
      <c r="J1027" t="s">
        <v>2727</v>
      </c>
      <c r="P1027" t="s">
        <v>2119</v>
      </c>
      <c r="Q1027" s="8">
        <v>9650000</v>
      </c>
      <c r="R1027" s="8" t="e">
        <f>SUMIFS([1]REPORTADOS!$D$2:$D$3345,[1]REPORTADOS!$C$2:$C$3345,E1027)</f>
        <v>#VALUE!</v>
      </c>
      <c r="S1027" s="3" t="e">
        <f t="shared" si="17"/>
        <v>#VALUE!</v>
      </c>
    </row>
    <row r="1028" spans="1:19" x14ac:dyDescent="0.25">
      <c r="A1028">
        <v>900091143</v>
      </c>
      <c r="B1028" t="s">
        <v>3016</v>
      </c>
      <c r="C1028" t="s">
        <v>2667</v>
      </c>
      <c r="E1028" t="s">
        <v>2667</v>
      </c>
      <c r="H1028" t="s">
        <v>22</v>
      </c>
      <c r="I1028">
        <v>12983807</v>
      </c>
      <c r="J1028" t="s">
        <v>2668</v>
      </c>
      <c r="P1028" t="s">
        <v>2119</v>
      </c>
      <c r="Q1028" s="8">
        <v>9650000</v>
      </c>
      <c r="R1028" s="8" t="e">
        <f>SUMIFS([1]REPORTADOS!$D$2:$D$3345,[1]REPORTADOS!$C$2:$C$3345,E1028)</f>
        <v>#VALUE!</v>
      </c>
      <c r="S1028" s="3" t="e">
        <f t="shared" si="17"/>
        <v>#VALUE!</v>
      </c>
    </row>
    <row r="1029" spans="1:19" x14ac:dyDescent="0.25">
      <c r="A1029">
        <v>900091143</v>
      </c>
      <c r="B1029" t="s">
        <v>3017</v>
      </c>
      <c r="C1029" t="s">
        <v>2669</v>
      </c>
      <c r="E1029" t="s">
        <v>2669</v>
      </c>
      <c r="H1029" t="s">
        <v>22</v>
      </c>
      <c r="I1029">
        <v>59177204</v>
      </c>
      <c r="J1029" t="s">
        <v>2670</v>
      </c>
      <c r="P1029" t="s">
        <v>2119</v>
      </c>
      <c r="Q1029" s="8">
        <v>9650000</v>
      </c>
      <c r="R1029" s="8" t="e">
        <f>SUMIFS([1]REPORTADOS!$D$2:$D$3345,[1]REPORTADOS!$C$2:$C$3345,E1029)</f>
        <v>#VALUE!</v>
      </c>
      <c r="S1029" s="3" t="e">
        <f t="shared" si="17"/>
        <v>#VALUE!</v>
      </c>
    </row>
    <row r="1030" spans="1:19" x14ac:dyDescent="0.25">
      <c r="A1030">
        <v>900091143</v>
      </c>
      <c r="B1030" t="s">
        <v>3018</v>
      </c>
      <c r="C1030" t="s">
        <v>2682</v>
      </c>
      <c r="E1030" t="s">
        <v>2682</v>
      </c>
      <c r="H1030" t="s">
        <v>22</v>
      </c>
      <c r="I1030">
        <v>1085306723</v>
      </c>
      <c r="J1030" t="s">
        <v>2683</v>
      </c>
      <c r="P1030" t="s">
        <v>2119</v>
      </c>
      <c r="Q1030" s="8">
        <v>9650000</v>
      </c>
      <c r="R1030" s="8" t="e">
        <f>SUMIFS([1]REPORTADOS!$D$2:$D$3345,[1]REPORTADOS!$C$2:$C$3345,E1030)</f>
        <v>#VALUE!</v>
      </c>
      <c r="S1030" s="3" t="e">
        <f t="shared" si="17"/>
        <v>#VALUE!</v>
      </c>
    </row>
    <row r="1031" spans="1:19" x14ac:dyDescent="0.25">
      <c r="A1031">
        <v>900091143</v>
      </c>
      <c r="B1031" t="s">
        <v>3019</v>
      </c>
      <c r="C1031" t="s">
        <v>2690</v>
      </c>
      <c r="E1031" t="s">
        <v>2690</v>
      </c>
      <c r="H1031" t="s">
        <v>22</v>
      </c>
      <c r="I1031">
        <v>1086755334</v>
      </c>
      <c r="J1031" t="s">
        <v>2691</v>
      </c>
      <c r="P1031" t="s">
        <v>2119</v>
      </c>
      <c r="Q1031" s="8">
        <v>9650000</v>
      </c>
      <c r="R1031" s="8" t="e">
        <f>SUMIFS([1]REPORTADOS!$D$2:$D$3345,[1]REPORTADOS!$C$2:$C$3345,E1031)</f>
        <v>#VALUE!</v>
      </c>
      <c r="S1031" s="3" t="e">
        <f t="shared" si="17"/>
        <v>#VALUE!</v>
      </c>
    </row>
    <row r="1032" spans="1:19" x14ac:dyDescent="0.25">
      <c r="A1032">
        <v>900091143</v>
      </c>
      <c r="B1032" t="s">
        <v>3020</v>
      </c>
      <c r="C1032" t="s">
        <v>2686</v>
      </c>
      <c r="E1032" t="s">
        <v>2686</v>
      </c>
      <c r="H1032" t="s">
        <v>22</v>
      </c>
      <c r="I1032">
        <v>1085289539</v>
      </c>
      <c r="J1032" t="s">
        <v>2687</v>
      </c>
      <c r="P1032" t="s">
        <v>2119</v>
      </c>
      <c r="Q1032" s="8">
        <v>9650000</v>
      </c>
      <c r="R1032" s="8" t="e">
        <f>SUMIFS([1]REPORTADOS!$D$2:$D$3345,[1]REPORTADOS!$C$2:$C$3345,E1032)</f>
        <v>#VALUE!</v>
      </c>
      <c r="S1032" s="3" t="e">
        <f t="shared" si="17"/>
        <v>#VALUE!</v>
      </c>
    </row>
    <row r="1033" spans="1:19" x14ac:dyDescent="0.25">
      <c r="A1033">
        <v>900091143</v>
      </c>
      <c r="B1033" t="s">
        <v>3021</v>
      </c>
      <c r="C1033" t="s">
        <v>2706</v>
      </c>
      <c r="E1033" t="s">
        <v>2706</v>
      </c>
      <c r="H1033" t="s">
        <v>22</v>
      </c>
      <c r="I1033">
        <v>1085313870</v>
      </c>
      <c r="J1033" t="s">
        <v>2086</v>
      </c>
      <c r="P1033" t="s">
        <v>2253</v>
      </c>
      <c r="Q1033" s="8">
        <v>9500000</v>
      </c>
      <c r="R1033" s="8" t="e">
        <f>SUMIFS([1]REPORTADOS!$D$2:$D$3345,[1]REPORTADOS!$C$2:$C$3345,E1033)</f>
        <v>#VALUE!</v>
      </c>
      <c r="S1033" s="3" t="e">
        <f t="shared" si="17"/>
        <v>#VALUE!</v>
      </c>
    </row>
    <row r="1034" spans="1:19" x14ac:dyDescent="0.25">
      <c r="A1034">
        <v>900091143</v>
      </c>
      <c r="B1034" t="s">
        <v>3022</v>
      </c>
      <c r="C1034" t="s">
        <v>2710</v>
      </c>
      <c r="E1034" t="s">
        <v>2710</v>
      </c>
      <c r="H1034" t="s">
        <v>22</v>
      </c>
      <c r="I1034">
        <v>1233188873</v>
      </c>
      <c r="J1034" t="s">
        <v>2711</v>
      </c>
      <c r="P1034" t="s">
        <v>2253</v>
      </c>
      <c r="Q1034" s="8">
        <v>9500000</v>
      </c>
      <c r="R1034" s="8" t="e">
        <f>SUMIFS([1]REPORTADOS!$D$2:$D$3345,[1]REPORTADOS!$C$2:$C$3345,E1034)</f>
        <v>#VALUE!</v>
      </c>
      <c r="S1034" s="3" t="e">
        <f t="shared" si="17"/>
        <v>#VALUE!</v>
      </c>
    </row>
    <row r="1035" spans="1:19" x14ac:dyDescent="0.25">
      <c r="A1035">
        <v>900091143</v>
      </c>
      <c r="B1035" t="s">
        <v>3023</v>
      </c>
      <c r="C1035" t="s">
        <v>2728</v>
      </c>
      <c r="E1035" t="s">
        <v>2728</v>
      </c>
      <c r="H1035" t="s">
        <v>22</v>
      </c>
      <c r="I1035">
        <v>1085326561</v>
      </c>
      <c r="J1035" t="s">
        <v>2729</v>
      </c>
      <c r="P1035" t="s">
        <v>2253</v>
      </c>
      <c r="Q1035" s="8">
        <v>9500000</v>
      </c>
      <c r="R1035" s="8" t="e">
        <f>SUMIFS([1]REPORTADOS!$D$2:$D$3345,[1]REPORTADOS!$C$2:$C$3345,E1035)</f>
        <v>#VALUE!</v>
      </c>
      <c r="S1035" s="3" t="e">
        <f t="shared" si="17"/>
        <v>#VALUE!</v>
      </c>
    </row>
    <row r="1036" spans="1:19" x14ac:dyDescent="0.25">
      <c r="A1036">
        <v>900091143</v>
      </c>
      <c r="B1036" t="s">
        <v>3024</v>
      </c>
      <c r="C1036" t="s">
        <v>2854</v>
      </c>
      <c r="E1036" t="s">
        <v>2854</v>
      </c>
      <c r="H1036" t="s">
        <v>22</v>
      </c>
      <c r="I1036">
        <v>27087475</v>
      </c>
      <c r="J1036" t="s">
        <v>1813</v>
      </c>
      <c r="P1036" t="s">
        <v>4653</v>
      </c>
      <c r="Q1036" s="8">
        <v>9500000</v>
      </c>
      <c r="R1036" s="8" t="e">
        <f>SUMIFS([1]REPORTADOS!$D$2:$D$3345,[1]REPORTADOS!$C$2:$C$3345,E1036)</f>
        <v>#VALUE!</v>
      </c>
      <c r="S1036" s="3" t="e">
        <f t="shared" si="17"/>
        <v>#VALUE!</v>
      </c>
    </row>
    <row r="1037" spans="1:19" x14ac:dyDescent="0.25">
      <c r="A1037">
        <v>900091143</v>
      </c>
      <c r="B1037" t="s">
        <v>3025</v>
      </c>
      <c r="C1037" t="s">
        <v>2665</v>
      </c>
      <c r="E1037" t="s">
        <v>2665</v>
      </c>
      <c r="H1037" t="s">
        <v>22</v>
      </c>
      <c r="I1037">
        <v>1085245714</v>
      </c>
      <c r="J1037" t="s">
        <v>2666</v>
      </c>
      <c r="P1037" t="s">
        <v>2097</v>
      </c>
      <c r="Q1037" s="8">
        <v>9500000</v>
      </c>
      <c r="R1037" s="8" t="e">
        <f>SUMIFS([1]REPORTADOS!$D$2:$D$3345,[1]REPORTADOS!$C$2:$C$3345,E1037)</f>
        <v>#VALUE!</v>
      </c>
      <c r="S1037" s="3" t="e">
        <f t="shared" si="17"/>
        <v>#VALUE!</v>
      </c>
    </row>
    <row r="1038" spans="1:19" x14ac:dyDescent="0.25">
      <c r="A1038">
        <v>900091143</v>
      </c>
      <c r="B1038" t="s">
        <v>3026</v>
      </c>
      <c r="C1038" t="s">
        <v>2676</v>
      </c>
      <c r="E1038" t="s">
        <v>2676</v>
      </c>
      <c r="H1038" t="s">
        <v>22</v>
      </c>
      <c r="I1038">
        <v>1067940322</v>
      </c>
      <c r="J1038" t="s">
        <v>2677</v>
      </c>
      <c r="P1038" t="s">
        <v>2097</v>
      </c>
      <c r="Q1038" s="8">
        <v>9500000</v>
      </c>
      <c r="R1038" s="8" t="e">
        <f>SUMIFS([1]REPORTADOS!$D$2:$D$3345,[1]REPORTADOS!$C$2:$C$3345,E1038)</f>
        <v>#VALUE!</v>
      </c>
      <c r="S1038" s="3" t="e">
        <f t="shared" si="17"/>
        <v>#VALUE!</v>
      </c>
    </row>
    <row r="1039" spans="1:19" x14ac:dyDescent="0.25">
      <c r="A1039">
        <v>900091143</v>
      </c>
      <c r="B1039" t="s">
        <v>3027</v>
      </c>
      <c r="C1039" t="s">
        <v>2678</v>
      </c>
      <c r="E1039" t="s">
        <v>2678</v>
      </c>
      <c r="H1039" t="s">
        <v>22</v>
      </c>
      <c r="I1039">
        <v>1085264667</v>
      </c>
      <c r="J1039" t="s">
        <v>2679</v>
      </c>
      <c r="P1039" t="s">
        <v>2097</v>
      </c>
      <c r="Q1039" s="8">
        <v>9500000</v>
      </c>
      <c r="R1039" s="8" t="e">
        <f>SUMIFS([1]REPORTADOS!$D$2:$D$3345,[1]REPORTADOS!$C$2:$C$3345,E1039)</f>
        <v>#VALUE!</v>
      </c>
      <c r="S1039" s="3" t="e">
        <f t="shared" si="17"/>
        <v>#VALUE!</v>
      </c>
    </row>
    <row r="1040" spans="1:19" x14ac:dyDescent="0.25">
      <c r="A1040">
        <v>900091143</v>
      </c>
      <c r="B1040" t="s">
        <v>3028</v>
      </c>
      <c r="C1040" t="s">
        <v>2692</v>
      </c>
      <c r="E1040" t="s">
        <v>2692</v>
      </c>
      <c r="H1040" t="s">
        <v>22</v>
      </c>
      <c r="I1040">
        <v>1085325540</v>
      </c>
      <c r="J1040" t="s">
        <v>2693</v>
      </c>
      <c r="P1040" t="s">
        <v>2097</v>
      </c>
      <c r="Q1040" s="8">
        <v>9500000</v>
      </c>
      <c r="R1040" s="8" t="e">
        <f>SUMIFS([1]REPORTADOS!$D$2:$D$3345,[1]REPORTADOS!$C$2:$C$3345,E1040)</f>
        <v>#VALUE!</v>
      </c>
      <c r="S1040" s="3" t="e">
        <f t="shared" si="17"/>
        <v>#VALUE!</v>
      </c>
    </row>
    <row r="1041" spans="1:19" x14ac:dyDescent="0.25">
      <c r="A1041">
        <v>900091143</v>
      </c>
      <c r="B1041" t="s">
        <v>3029</v>
      </c>
      <c r="C1041" t="s">
        <v>2684</v>
      </c>
      <c r="E1041" t="s">
        <v>2684</v>
      </c>
      <c r="H1041" t="s">
        <v>22</v>
      </c>
      <c r="I1041">
        <v>59824800</v>
      </c>
      <c r="J1041" t="s">
        <v>2685</v>
      </c>
      <c r="P1041" t="s">
        <v>2097</v>
      </c>
      <c r="Q1041" s="8">
        <v>9500000</v>
      </c>
      <c r="R1041" s="8" t="e">
        <f>SUMIFS([1]REPORTADOS!$D$2:$D$3345,[1]REPORTADOS!$C$2:$C$3345,E1041)</f>
        <v>#VALUE!</v>
      </c>
      <c r="S1041" s="3" t="e">
        <f t="shared" si="17"/>
        <v>#VALUE!</v>
      </c>
    </row>
    <row r="1042" spans="1:19" x14ac:dyDescent="0.25">
      <c r="A1042">
        <v>900091143</v>
      </c>
      <c r="B1042" t="s">
        <v>3030</v>
      </c>
      <c r="C1042" t="s">
        <v>2202</v>
      </c>
      <c r="E1042" t="s">
        <v>2202</v>
      </c>
      <c r="H1042" t="s">
        <v>22</v>
      </c>
      <c r="I1042">
        <v>1004635031</v>
      </c>
      <c r="J1042" t="s">
        <v>2203</v>
      </c>
      <c r="P1042" t="s">
        <v>2204</v>
      </c>
      <c r="Q1042" s="8">
        <v>9000000</v>
      </c>
      <c r="R1042" s="8" t="e">
        <f>SUMIFS([1]REPORTADOS!$D$2:$D$3345,[1]REPORTADOS!$C$2:$C$3345,E1042)</f>
        <v>#VALUE!</v>
      </c>
      <c r="S1042" s="3" t="e">
        <f t="shared" si="17"/>
        <v>#VALUE!</v>
      </c>
    </row>
    <row r="1043" spans="1:19" x14ac:dyDescent="0.25">
      <c r="A1043">
        <v>900091143</v>
      </c>
      <c r="B1043" t="s">
        <v>3031</v>
      </c>
      <c r="C1043" t="s">
        <v>2209</v>
      </c>
      <c r="E1043" t="s">
        <v>2209</v>
      </c>
      <c r="H1043" t="s">
        <v>22</v>
      </c>
      <c r="I1043">
        <v>59828916</v>
      </c>
      <c r="J1043" t="s">
        <v>2018</v>
      </c>
      <c r="P1043" t="s">
        <v>2204</v>
      </c>
      <c r="Q1043" s="8">
        <v>9000000</v>
      </c>
      <c r="R1043" s="8" t="e">
        <f>SUMIFS([1]REPORTADOS!$D$2:$D$3345,[1]REPORTADOS!$C$2:$C$3345,E1043)</f>
        <v>#VALUE!</v>
      </c>
      <c r="S1043" s="3" t="e">
        <f t="shared" si="17"/>
        <v>#VALUE!</v>
      </c>
    </row>
    <row r="1044" spans="1:19" x14ac:dyDescent="0.25">
      <c r="A1044">
        <v>900091143</v>
      </c>
      <c r="B1044" t="s">
        <v>3032</v>
      </c>
      <c r="C1044" t="s">
        <v>2210</v>
      </c>
      <c r="E1044" t="s">
        <v>2210</v>
      </c>
      <c r="H1044" t="s">
        <v>22</v>
      </c>
      <c r="I1044">
        <v>1086362994</v>
      </c>
      <c r="J1044" t="s">
        <v>2211</v>
      </c>
      <c r="P1044" t="s">
        <v>2204</v>
      </c>
      <c r="Q1044" s="8">
        <v>9000000</v>
      </c>
      <c r="R1044" s="8" t="e">
        <f>SUMIFS([1]REPORTADOS!$D$2:$D$3345,[1]REPORTADOS!$C$2:$C$3345,E1044)</f>
        <v>#VALUE!</v>
      </c>
      <c r="S1044" s="3" t="e">
        <f t="shared" si="17"/>
        <v>#VALUE!</v>
      </c>
    </row>
    <row r="1045" spans="1:19" x14ac:dyDescent="0.25">
      <c r="A1045">
        <v>900091143</v>
      </c>
      <c r="B1045" t="s">
        <v>3033</v>
      </c>
      <c r="C1045" t="s">
        <v>2212</v>
      </c>
      <c r="E1045" t="s">
        <v>2212</v>
      </c>
      <c r="H1045" t="s">
        <v>22</v>
      </c>
      <c r="I1045">
        <v>1085260568</v>
      </c>
      <c r="J1045" t="s">
        <v>2213</v>
      </c>
      <c r="P1045" t="s">
        <v>2204</v>
      </c>
      <c r="Q1045" s="8">
        <v>9000000</v>
      </c>
      <c r="R1045" s="8" t="e">
        <f>SUMIFS([1]REPORTADOS!$D$2:$D$3345,[1]REPORTADOS!$C$2:$C$3345,E1045)</f>
        <v>#VALUE!</v>
      </c>
      <c r="S1045" s="3" t="e">
        <f t="shared" si="17"/>
        <v>#VALUE!</v>
      </c>
    </row>
    <row r="1046" spans="1:19" x14ac:dyDescent="0.25">
      <c r="A1046">
        <v>900091143</v>
      </c>
      <c r="B1046" t="s">
        <v>3034</v>
      </c>
      <c r="C1046" t="s">
        <v>2216</v>
      </c>
      <c r="E1046" t="s">
        <v>2216</v>
      </c>
      <c r="H1046" t="s">
        <v>22</v>
      </c>
      <c r="I1046">
        <v>36954407</v>
      </c>
      <c r="J1046" t="s">
        <v>1753</v>
      </c>
      <c r="P1046" t="s">
        <v>2204</v>
      </c>
      <c r="Q1046" s="8">
        <v>9000000</v>
      </c>
      <c r="R1046" s="8" t="e">
        <f>SUMIFS([1]REPORTADOS!$D$2:$D$3345,[1]REPORTADOS!$C$2:$C$3345,E1046)</f>
        <v>#VALUE!</v>
      </c>
      <c r="S1046" s="3" t="e">
        <f t="shared" si="17"/>
        <v>#VALUE!</v>
      </c>
    </row>
    <row r="1047" spans="1:19" x14ac:dyDescent="0.25">
      <c r="A1047">
        <v>900091143</v>
      </c>
      <c r="B1047" t="s">
        <v>3035</v>
      </c>
      <c r="C1047" t="s">
        <v>2217</v>
      </c>
      <c r="E1047" t="s">
        <v>2217</v>
      </c>
      <c r="H1047" t="s">
        <v>22</v>
      </c>
      <c r="I1047">
        <v>1004232508</v>
      </c>
      <c r="J1047" t="s">
        <v>2218</v>
      </c>
      <c r="P1047" t="s">
        <v>2204</v>
      </c>
      <c r="Q1047" s="8">
        <v>9000000</v>
      </c>
      <c r="R1047" s="8" t="e">
        <f>SUMIFS([1]REPORTADOS!$D$2:$D$3345,[1]REPORTADOS!$C$2:$C$3345,E1047)</f>
        <v>#VALUE!</v>
      </c>
      <c r="S1047" s="3" t="e">
        <f t="shared" si="17"/>
        <v>#VALUE!</v>
      </c>
    </row>
    <row r="1048" spans="1:19" x14ac:dyDescent="0.25">
      <c r="A1048">
        <v>900091143</v>
      </c>
      <c r="B1048" t="s">
        <v>3036</v>
      </c>
      <c r="C1048" t="s">
        <v>2219</v>
      </c>
      <c r="E1048" t="s">
        <v>2219</v>
      </c>
      <c r="H1048" t="s">
        <v>22</v>
      </c>
      <c r="I1048">
        <v>1081272025</v>
      </c>
      <c r="J1048" t="s">
        <v>1789</v>
      </c>
      <c r="P1048" t="s">
        <v>2204</v>
      </c>
      <c r="Q1048" s="8">
        <v>9000000</v>
      </c>
      <c r="R1048" s="8" t="e">
        <f>SUMIFS([1]REPORTADOS!$D$2:$D$3345,[1]REPORTADOS!$C$2:$C$3345,E1048)</f>
        <v>#VALUE!</v>
      </c>
      <c r="S1048" s="3" t="e">
        <f t="shared" si="17"/>
        <v>#VALUE!</v>
      </c>
    </row>
    <row r="1049" spans="1:19" x14ac:dyDescent="0.25">
      <c r="A1049">
        <v>900091143</v>
      </c>
      <c r="B1049" t="s">
        <v>3037</v>
      </c>
      <c r="C1049" t="s">
        <v>2241</v>
      </c>
      <c r="E1049" t="s">
        <v>2241</v>
      </c>
      <c r="H1049" t="s">
        <v>22</v>
      </c>
      <c r="I1049">
        <v>1085295383</v>
      </c>
      <c r="J1049" t="s">
        <v>2242</v>
      </c>
      <c r="P1049" t="s">
        <v>2233</v>
      </c>
      <c r="Q1049" s="8">
        <v>9000000</v>
      </c>
      <c r="R1049" s="8" t="e">
        <f>SUMIFS([1]REPORTADOS!$D$2:$D$3345,[1]REPORTADOS!$C$2:$C$3345,E1049)</f>
        <v>#VALUE!</v>
      </c>
      <c r="S1049" s="3" t="e">
        <f t="shared" si="17"/>
        <v>#VALUE!</v>
      </c>
    </row>
    <row r="1050" spans="1:19" x14ac:dyDescent="0.25">
      <c r="A1050">
        <v>900091143</v>
      </c>
      <c r="B1050" t="s">
        <v>3038</v>
      </c>
      <c r="C1050" t="s">
        <v>2243</v>
      </c>
      <c r="E1050" t="s">
        <v>2243</v>
      </c>
      <c r="H1050" t="s">
        <v>22</v>
      </c>
      <c r="I1050">
        <v>1004508436</v>
      </c>
      <c r="J1050" t="s">
        <v>2244</v>
      </c>
      <c r="P1050" t="s">
        <v>2245</v>
      </c>
      <c r="Q1050" s="8">
        <v>9000000</v>
      </c>
      <c r="R1050" s="8" t="e">
        <f>SUMIFS([1]REPORTADOS!$D$2:$D$3345,[1]REPORTADOS!$C$2:$C$3345,E1050)</f>
        <v>#VALUE!</v>
      </c>
      <c r="S1050" s="3" t="e">
        <f t="shared" si="17"/>
        <v>#VALUE!</v>
      </c>
    </row>
    <row r="1051" spans="1:19" x14ac:dyDescent="0.25">
      <c r="A1051">
        <v>900091143</v>
      </c>
      <c r="B1051" t="s">
        <v>3039</v>
      </c>
      <c r="C1051" t="s">
        <v>2224</v>
      </c>
      <c r="E1051" t="s">
        <v>2224</v>
      </c>
      <c r="H1051" t="s">
        <v>22</v>
      </c>
      <c r="I1051">
        <v>36757213</v>
      </c>
      <c r="J1051" t="s">
        <v>2225</v>
      </c>
      <c r="P1051" t="s">
        <v>2204</v>
      </c>
      <c r="Q1051" s="8">
        <v>9000000</v>
      </c>
      <c r="R1051" s="8" t="e">
        <f>SUMIFS([1]REPORTADOS!$D$2:$D$3345,[1]REPORTADOS!$C$2:$C$3345,E1051)</f>
        <v>#VALUE!</v>
      </c>
      <c r="S1051" s="3" t="e">
        <f t="shared" si="17"/>
        <v>#VALUE!</v>
      </c>
    </row>
    <row r="1052" spans="1:19" x14ac:dyDescent="0.25">
      <c r="A1052">
        <v>900091143</v>
      </c>
      <c r="B1052" t="s">
        <v>3040</v>
      </c>
      <c r="C1052" t="s">
        <v>2227</v>
      </c>
      <c r="E1052" t="s">
        <v>2227</v>
      </c>
      <c r="H1052" t="s">
        <v>22</v>
      </c>
      <c r="I1052">
        <v>1004709928</v>
      </c>
      <c r="J1052" t="s">
        <v>2228</v>
      </c>
      <c r="P1052" t="s">
        <v>2204</v>
      </c>
      <c r="Q1052" s="8">
        <v>9000000</v>
      </c>
      <c r="R1052" s="8" t="e">
        <f>SUMIFS([1]REPORTADOS!$D$2:$D$3345,[1]REPORTADOS!$C$2:$C$3345,E1052)</f>
        <v>#VALUE!</v>
      </c>
      <c r="S1052" s="3" t="e">
        <f t="shared" si="17"/>
        <v>#VALUE!</v>
      </c>
    </row>
    <row r="1053" spans="1:19" x14ac:dyDescent="0.25">
      <c r="A1053">
        <v>900091143</v>
      </c>
      <c r="B1053" t="s">
        <v>3041</v>
      </c>
      <c r="C1053" t="s">
        <v>2231</v>
      </c>
      <c r="E1053" t="s">
        <v>2231</v>
      </c>
      <c r="H1053" t="s">
        <v>22</v>
      </c>
      <c r="I1053">
        <v>1085347540</v>
      </c>
      <c r="J1053" t="s">
        <v>2232</v>
      </c>
      <c r="P1053" t="s">
        <v>2233</v>
      </c>
      <c r="Q1053" s="8">
        <v>9000000</v>
      </c>
      <c r="R1053" s="8" t="e">
        <f>SUMIFS([1]REPORTADOS!$D$2:$D$3345,[1]REPORTADOS!$C$2:$C$3345,E1053)</f>
        <v>#VALUE!</v>
      </c>
      <c r="S1053" s="3" t="e">
        <f t="shared" si="17"/>
        <v>#VALUE!</v>
      </c>
    </row>
    <row r="1054" spans="1:19" x14ac:dyDescent="0.25">
      <c r="A1054">
        <v>900091143</v>
      </c>
      <c r="B1054" t="s">
        <v>3042</v>
      </c>
      <c r="C1054" t="s">
        <v>2234</v>
      </c>
      <c r="E1054" t="s">
        <v>2234</v>
      </c>
      <c r="H1054" t="s">
        <v>22</v>
      </c>
      <c r="I1054">
        <v>1007356378</v>
      </c>
      <c r="J1054" t="s">
        <v>2235</v>
      </c>
      <c r="P1054" t="s">
        <v>2233</v>
      </c>
      <c r="Q1054" s="8">
        <v>9000000</v>
      </c>
      <c r="R1054" s="8" t="e">
        <f>SUMIFS([1]REPORTADOS!$D$2:$D$3345,[1]REPORTADOS!$C$2:$C$3345,E1054)</f>
        <v>#VALUE!</v>
      </c>
      <c r="S1054" s="3" t="e">
        <f t="shared" si="17"/>
        <v>#VALUE!</v>
      </c>
    </row>
    <row r="1055" spans="1:19" x14ac:dyDescent="0.25">
      <c r="A1055">
        <v>900091143</v>
      </c>
      <c r="B1055" t="s">
        <v>3043</v>
      </c>
      <c r="C1055" t="s">
        <v>2239</v>
      </c>
      <c r="E1055" t="s">
        <v>2239</v>
      </c>
      <c r="H1055" t="s">
        <v>22</v>
      </c>
      <c r="I1055">
        <v>59314601</v>
      </c>
      <c r="J1055" t="s">
        <v>2240</v>
      </c>
      <c r="P1055" t="s">
        <v>2204</v>
      </c>
      <c r="Q1055" s="8">
        <v>9000000</v>
      </c>
      <c r="R1055" s="8" t="e">
        <f>SUMIFS([1]REPORTADOS!$D$2:$D$3345,[1]REPORTADOS!$C$2:$C$3345,E1055)</f>
        <v>#VALUE!</v>
      </c>
      <c r="S1055" s="3" t="e">
        <f t="shared" si="17"/>
        <v>#VALUE!</v>
      </c>
    </row>
    <row r="1056" spans="1:19" x14ac:dyDescent="0.25">
      <c r="A1056">
        <v>900091143</v>
      </c>
      <c r="B1056" t="s">
        <v>3044</v>
      </c>
      <c r="C1056" t="s">
        <v>2222</v>
      </c>
      <c r="E1056" t="s">
        <v>2222</v>
      </c>
      <c r="H1056" t="s">
        <v>22</v>
      </c>
      <c r="I1056">
        <v>36758143</v>
      </c>
      <c r="J1056" t="s">
        <v>2223</v>
      </c>
      <c r="P1056" t="s">
        <v>2204</v>
      </c>
      <c r="Q1056" s="8">
        <v>9000000</v>
      </c>
      <c r="R1056" s="8" t="e">
        <f>SUMIFS([1]REPORTADOS!$D$2:$D$3345,[1]REPORTADOS!$C$2:$C$3345,E1056)</f>
        <v>#VALUE!</v>
      </c>
      <c r="S1056" s="3" t="e">
        <f t="shared" si="17"/>
        <v>#VALUE!</v>
      </c>
    </row>
    <row r="1057" spans="1:19" x14ac:dyDescent="0.25">
      <c r="A1057">
        <v>900091143</v>
      </c>
      <c r="B1057" t="s">
        <v>3045</v>
      </c>
      <c r="C1057" t="s">
        <v>2248</v>
      </c>
      <c r="E1057" t="s">
        <v>2248</v>
      </c>
      <c r="H1057" t="s">
        <v>22</v>
      </c>
      <c r="I1057">
        <v>27087122</v>
      </c>
      <c r="J1057" t="s">
        <v>1961</v>
      </c>
      <c r="P1057" t="s">
        <v>2233</v>
      </c>
      <c r="Q1057" s="8">
        <v>9000000</v>
      </c>
      <c r="R1057" s="8" t="e">
        <f>SUMIFS([1]REPORTADOS!$D$2:$D$3345,[1]REPORTADOS!$C$2:$C$3345,E1057)</f>
        <v>#VALUE!</v>
      </c>
      <c r="S1057" s="3" t="e">
        <f t="shared" si="17"/>
        <v>#VALUE!</v>
      </c>
    </row>
    <row r="1058" spans="1:19" x14ac:dyDescent="0.25">
      <c r="A1058">
        <v>900091143</v>
      </c>
      <c r="B1058" t="s">
        <v>3046</v>
      </c>
      <c r="C1058" t="s">
        <v>2249</v>
      </c>
      <c r="E1058" t="s">
        <v>2249</v>
      </c>
      <c r="H1058" t="s">
        <v>22</v>
      </c>
      <c r="I1058">
        <v>1088799034</v>
      </c>
      <c r="J1058" t="s">
        <v>2250</v>
      </c>
      <c r="P1058" t="s">
        <v>2204</v>
      </c>
      <c r="Q1058" s="8">
        <v>9000000</v>
      </c>
      <c r="R1058" s="8" t="e">
        <f>SUMIFS([1]REPORTADOS!$D$2:$D$3345,[1]REPORTADOS!$C$2:$C$3345,E1058)</f>
        <v>#VALUE!</v>
      </c>
      <c r="S1058" s="3" t="e">
        <f t="shared" si="17"/>
        <v>#VALUE!</v>
      </c>
    </row>
    <row r="1059" spans="1:19" x14ac:dyDescent="0.25">
      <c r="A1059">
        <v>900091143</v>
      </c>
      <c r="B1059" t="s">
        <v>3047</v>
      </c>
      <c r="C1059" t="s">
        <v>2258</v>
      </c>
      <c r="E1059" t="s">
        <v>2258</v>
      </c>
      <c r="H1059" t="s">
        <v>22</v>
      </c>
      <c r="I1059">
        <v>1014857280</v>
      </c>
      <c r="J1059" t="s">
        <v>2259</v>
      </c>
      <c r="P1059" t="s">
        <v>2204</v>
      </c>
      <c r="Q1059" s="8">
        <v>9000000</v>
      </c>
      <c r="R1059" s="8" t="e">
        <f>SUMIFS([1]REPORTADOS!$D$2:$D$3345,[1]REPORTADOS!$C$2:$C$3345,E1059)</f>
        <v>#VALUE!</v>
      </c>
      <c r="S1059" s="3" t="e">
        <f t="shared" si="17"/>
        <v>#VALUE!</v>
      </c>
    </row>
    <row r="1060" spans="1:19" x14ac:dyDescent="0.25">
      <c r="A1060">
        <v>900091143</v>
      </c>
      <c r="B1060" t="s">
        <v>3048</v>
      </c>
      <c r="C1060" t="s">
        <v>2260</v>
      </c>
      <c r="E1060" t="s">
        <v>2260</v>
      </c>
      <c r="H1060" t="s">
        <v>22</v>
      </c>
      <c r="I1060">
        <v>1081592303</v>
      </c>
      <c r="J1060" t="s">
        <v>1739</v>
      </c>
      <c r="P1060" t="s">
        <v>2204</v>
      </c>
      <c r="Q1060" s="8">
        <v>9000000</v>
      </c>
      <c r="R1060" s="8" t="e">
        <f>SUMIFS([1]REPORTADOS!$D$2:$D$3345,[1]REPORTADOS!$C$2:$C$3345,E1060)</f>
        <v>#VALUE!</v>
      </c>
      <c r="S1060" s="3" t="e">
        <f t="shared" si="17"/>
        <v>#VALUE!</v>
      </c>
    </row>
    <row r="1061" spans="1:19" x14ac:dyDescent="0.25">
      <c r="A1061">
        <v>900091143</v>
      </c>
      <c r="B1061" t="s">
        <v>3049</v>
      </c>
      <c r="C1061" t="s">
        <v>2261</v>
      </c>
      <c r="E1061" t="s">
        <v>2261</v>
      </c>
      <c r="H1061" t="s">
        <v>22</v>
      </c>
      <c r="I1061">
        <v>1030606749</v>
      </c>
      <c r="J1061" t="s">
        <v>2066</v>
      </c>
      <c r="P1061" t="s">
        <v>2204</v>
      </c>
      <c r="Q1061" s="8">
        <v>9000000</v>
      </c>
      <c r="R1061" s="8" t="e">
        <f>SUMIFS([1]REPORTADOS!$D$2:$D$3345,[1]REPORTADOS!$C$2:$C$3345,E1061)</f>
        <v>#VALUE!</v>
      </c>
      <c r="S1061" s="3" t="e">
        <f t="shared" si="17"/>
        <v>#VALUE!</v>
      </c>
    </row>
    <row r="1062" spans="1:19" x14ac:dyDescent="0.25">
      <c r="A1062">
        <v>900091143</v>
      </c>
      <c r="B1062" t="s">
        <v>3050</v>
      </c>
      <c r="C1062" t="s">
        <v>2262</v>
      </c>
      <c r="E1062" t="s">
        <v>2262</v>
      </c>
      <c r="H1062" t="s">
        <v>22</v>
      </c>
      <c r="I1062">
        <v>1089243630</v>
      </c>
      <c r="J1062" t="s">
        <v>2263</v>
      </c>
      <c r="P1062" t="s">
        <v>2204</v>
      </c>
      <c r="Q1062" s="8">
        <v>9000000</v>
      </c>
      <c r="R1062" s="8" t="e">
        <f>SUMIFS([1]REPORTADOS!$D$2:$D$3345,[1]REPORTADOS!$C$2:$C$3345,E1062)</f>
        <v>#VALUE!</v>
      </c>
      <c r="S1062" s="3" t="e">
        <f t="shared" si="17"/>
        <v>#VALUE!</v>
      </c>
    </row>
    <row r="1063" spans="1:19" x14ac:dyDescent="0.25">
      <c r="A1063">
        <v>900091143</v>
      </c>
      <c r="B1063" t="s">
        <v>3051</v>
      </c>
      <c r="C1063" t="s">
        <v>2264</v>
      </c>
      <c r="E1063" t="s">
        <v>2264</v>
      </c>
      <c r="H1063" t="s">
        <v>22</v>
      </c>
      <c r="I1063">
        <v>1193385397</v>
      </c>
      <c r="J1063" t="s">
        <v>2265</v>
      </c>
      <c r="P1063" t="s">
        <v>2204</v>
      </c>
      <c r="Q1063" s="8">
        <v>9000000</v>
      </c>
      <c r="R1063" s="8" t="e">
        <f>SUMIFS([1]REPORTADOS!$D$2:$D$3345,[1]REPORTADOS!$C$2:$C$3345,E1063)</f>
        <v>#VALUE!</v>
      </c>
      <c r="S1063" s="3" t="e">
        <f t="shared" si="17"/>
        <v>#VALUE!</v>
      </c>
    </row>
    <row r="1064" spans="1:19" x14ac:dyDescent="0.25">
      <c r="A1064">
        <v>900091143</v>
      </c>
      <c r="B1064" t="s">
        <v>3052</v>
      </c>
      <c r="C1064" t="s">
        <v>2268</v>
      </c>
      <c r="E1064" t="s">
        <v>2268</v>
      </c>
      <c r="H1064" t="s">
        <v>22</v>
      </c>
      <c r="I1064">
        <v>1192717330</v>
      </c>
      <c r="J1064" t="s">
        <v>1901</v>
      </c>
      <c r="P1064" t="s">
        <v>2233</v>
      </c>
      <c r="Q1064" s="8">
        <v>9000000</v>
      </c>
      <c r="R1064" s="8" t="e">
        <f>SUMIFS([1]REPORTADOS!$D$2:$D$3345,[1]REPORTADOS!$C$2:$C$3345,E1064)</f>
        <v>#VALUE!</v>
      </c>
      <c r="S1064" s="3" t="e">
        <f t="shared" si="17"/>
        <v>#VALUE!</v>
      </c>
    </row>
    <row r="1065" spans="1:19" x14ac:dyDescent="0.25">
      <c r="A1065">
        <v>900091143</v>
      </c>
      <c r="B1065" t="s">
        <v>3053</v>
      </c>
      <c r="C1065" t="s">
        <v>2269</v>
      </c>
      <c r="E1065" t="s">
        <v>2269</v>
      </c>
      <c r="H1065" t="s">
        <v>22</v>
      </c>
      <c r="I1065">
        <v>1085261053</v>
      </c>
      <c r="J1065" t="s">
        <v>2270</v>
      </c>
      <c r="P1065" t="s">
        <v>2204</v>
      </c>
      <c r="Q1065" s="8">
        <v>9000000</v>
      </c>
      <c r="R1065" s="8" t="e">
        <f>SUMIFS([1]REPORTADOS!$D$2:$D$3345,[1]REPORTADOS!$C$2:$C$3345,E1065)</f>
        <v>#VALUE!</v>
      </c>
      <c r="S1065" s="3" t="e">
        <f t="shared" si="17"/>
        <v>#VALUE!</v>
      </c>
    </row>
    <row r="1066" spans="1:19" x14ac:dyDescent="0.25">
      <c r="A1066">
        <v>900091143</v>
      </c>
      <c r="B1066" t="s">
        <v>3054</v>
      </c>
      <c r="C1066" t="s">
        <v>2271</v>
      </c>
      <c r="E1066" t="s">
        <v>2271</v>
      </c>
      <c r="H1066" t="s">
        <v>22</v>
      </c>
      <c r="I1066">
        <v>1085344082</v>
      </c>
      <c r="J1066" t="s">
        <v>2272</v>
      </c>
      <c r="P1066" t="s">
        <v>2233</v>
      </c>
      <c r="Q1066" s="8">
        <v>9000000</v>
      </c>
      <c r="R1066" s="8" t="e">
        <f>SUMIFS([1]REPORTADOS!$D$2:$D$3345,[1]REPORTADOS!$C$2:$C$3345,E1066)</f>
        <v>#VALUE!</v>
      </c>
      <c r="S1066" s="3" t="e">
        <f t="shared" si="17"/>
        <v>#VALUE!</v>
      </c>
    </row>
    <row r="1067" spans="1:19" x14ac:dyDescent="0.25">
      <c r="A1067">
        <v>900091143</v>
      </c>
      <c r="B1067" t="s">
        <v>3055</v>
      </c>
      <c r="C1067" t="s">
        <v>2273</v>
      </c>
      <c r="E1067" t="s">
        <v>2273</v>
      </c>
      <c r="H1067" t="s">
        <v>22</v>
      </c>
      <c r="I1067">
        <v>1085290651</v>
      </c>
      <c r="J1067" t="s">
        <v>2274</v>
      </c>
      <c r="P1067" t="s">
        <v>2204</v>
      </c>
      <c r="Q1067" s="8">
        <v>9000000</v>
      </c>
      <c r="R1067" s="8" t="e">
        <f>SUMIFS([1]REPORTADOS!$D$2:$D$3345,[1]REPORTADOS!$C$2:$C$3345,E1067)</f>
        <v>#VALUE!</v>
      </c>
      <c r="S1067" s="3" t="e">
        <f t="shared" si="17"/>
        <v>#VALUE!</v>
      </c>
    </row>
    <row r="1068" spans="1:19" x14ac:dyDescent="0.25">
      <c r="A1068">
        <v>900091143</v>
      </c>
      <c r="B1068" t="s">
        <v>3056</v>
      </c>
      <c r="C1068" t="s">
        <v>2275</v>
      </c>
      <c r="E1068" t="s">
        <v>2275</v>
      </c>
      <c r="H1068" t="s">
        <v>22</v>
      </c>
      <c r="I1068">
        <v>1085255972</v>
      </c>
      <c r="J1068" t="s">
        <v>2276</v>
      </c>
      <c r="P1068" t="s">
        <v>2204</v>
      </c>
      <c r="Q1068" s="8">
        <v>9000000</v>
      </c>
      <c r="R1068" s="8" t="e">
        <f>SUMIFS([1]REPORTADOS!$D$2:$D$3345,[1]REPORTADOS!$C$2:$C$3345,E1068)</f>
        <v>#VALUE!</v>
      </c>
      <c r="S1068" s="3" t="e">
        <f t="shared" si="17"/>
        <v>#VALUE!</v>
      </c>
    </row>
    <row r="1069" spans="1:19" x14ac:dyDescent="0.25">
      <c r="A1069">
        <v>900091143</v>
      </c>
      <c r="B1069" t="s">
        <v>3057</v>
      </c>
      <c r="C1069" t="s">
        <v>2280</v>
      </c>
      <c r="E1069" t="s">
        <v>2280</v>
      </c>
      <c r="H1069" t="s">
        <v>22</v>
      </c>
      <c r="I1069">
        <v>1085271641</v>
      </c>
      <c r="J1069" t="s">
        <v>2281</v>
      </c>
      <c r="P1069" t="s">
        <v>2204</v>
      </c>
      <c r="Q1069" s="8">
        <v>9000000</v>
      </c>
      <c r="R1069" s="8" t="e">
        <f>SUMIFS([1]REPORTADOS!$D$2:$D$3345,[1]REPORTADOS!$C$2:$C$3345,E1069)</f>
        <v>#VALUE!</v>
      </c>
      <c r="S1069" s="3" t="e">
        <f t="shared" si="17"/>
        <v>#VALUE!</v>
      </c>
    </row>
    <row r="1070" spans="1:19" x14ac:dyDescent="0.25">
      <c r="A1070">
        <v>900091143</v>
      </c>
      <c r="B1070" t="s">
        <v>3058</v>
      </c>
      <c r="C1070" t="s">
        <v>2282</v>
      </c>
      <c r="E1070" t="s">
        <v>2282</v>
      </c>
      <c r="H1070" t="s">
        <v>22</v>
      </c>
      <c r="I1070">
        <v>36752202</v>
      </c>
      <c r="J1070" t="s">
        <v>2283</v>
      </c>
      <c r="P1070" t="s">
        <v>2233</v>
      </c>
      <c r="Q1070" s="8">
        <v>9000000</v>
      </c>
      <c r="R1070" s="8" t="e">
        <f>SUMIFS([1]REPORTADOS!$D$2:$D$3345,[1]REPORTADOS!$C$2:$C$3345,E1070)</f>
        <v>#VALUE!</v>
      </c>
      <c r="S1070" s="3" t="e">
        <f t="shared" si="17"/>
        <v>#VALUE!</v>
      </c>
    </row>
    <row r="1071" spans="1:19" x14ac:dyDescent="0.25">
      <c r="A1071">
        <v>900091143</v>
      </c>
      <c r="B1071" t="s">
        <v>3059</v>
      </c>
      <c r="C1071" t="s">
        <v>2285</v>
      </c>
      <c r="E1071" t="s">
        <v>2285</v>
      </c>
      <c r="H1071" t="s">
        <v>22</v>
      </c>
      <c r="I1071">
        <v>13070330</v>
      </c>
      <c r="J1071" t="s">
        <v>2286</v>
      </c>
      <c r="P1071" t="s">
        <v>2204</v>
      </c>
      <c r="Q1071" s="8">
        <v>9000000</v>
      </c>
      <c r="R1071" s="8" t="e">
        <f>SUMIFS([1]REPORTADOS!$D$2:$D$3345,[1]REPORTADOS!$C$2:$C$3345,E1071)</f>
        <v>#VALUE!</v>
      </c>
      <c r="S1071" s="3" t="e">
        <f t="shared" si="17"/>
        <v>#VALUE!</v>
      </c>
    </row>
    <row r="1072" spans="1:19" x14ac:dyDescent="0.25">
      <c r="A1072">
        <v>900091143</v>
      </c>
      <c r="B1072" t="s">
        <v>3060</v>
      </c>
      <c r="C1072" t="s">
        <v>2310</v>
      </c>
      <c r="E1072" t="s">
        <v>2310</v>
      </c>
      <c r="H1072" t="s">
        <v>22</v>
      </c>
      <c r="I1072">
        <v>98382500</v>
      </c>
      <c r="J1072" t="s">
        <v>1802</v>
      </c>
      <c r="P1072" t="s">
        <v>2233</v>
      </c>
      <c r="Q1072" s="8">
        <v>9000000</v>
      </c>
      <c r="R1072" s="8" t="e">
        <f>SUMIFS([1]REPORTADOS!$D$2:$D$3345,[1]REPORTADOS!$C$2:$C$3345,E1072)</f>
        <v>#VALUE!</v>
      </c>
      <c r="S1072" s="3" t="e">
        <f t="shared" ref="S1072:S1135" si="18">Q1072-R1072</f>
        <v>#VALUE!</v>
      </c>
    </row>
    <row r="1073" spans="1:19" x14ac:dyDescent="0.25">
      <c r="A1073">
        <v>900091143</v>
      </c>
      <c r="B1073" t="s">
        <v>3061</v>
      </c>
      <c r="C1073" t="s">
        <v>2311</v>
      </c>
      <c r="E1073" t="s">
        <v>2311</v>
      </c>
      <c r="H1073" t="s">
        <v>22</v>
      </c>
      <c r="I1073">
        <v>1085327677</v>
      </c>
      <c r="J1073" t="s">
        <v>2312</v>
      </c>
      <c r="P1073" t="s">
        <v>2204</v>
      </c>
      <c r="Q1073" s="8">
        <v>9000000</v>
      </c>
      <c r="R1073" s="8" t="e">
        <f>SUMIFS([1]REPORTADOS!$D$2:$D$3345,[1]REPORTADOS!$C$2:$C$3345,E1073)</f>
        <v>#VALUE!</v>
      </c>
      <c r="S1073" s="3" t="e">
        <f t="shared" si="18"/>
        <v>#VALUE!</v>
      </c>
    </row>
    <row r="1074" spans="1:19" x14ac:dyDescent="0.25">
      <c r="A1074">
        <v>900091143</v>
      </c>
      <c r="B1074" t="s">
        <v>3062</v>
      </c>
      <c r="C1074" t="s">
        <v>2313</v>
      </c>
      <c r="E1074" t="s">
        <v>2313</v>
      </c>
      <c r="H1074" t="s">
        <v>22</v>
      </c>
      <c r="I1074">
        <v>1085296353</v>
      </c>
      <c r="J1074" t="s">
        <v>2314</v>
      </c>
      <c r="P1074" t="s">
        <v>2204</v>
      </c>
      <c r="Q1074" s="8">
        <v>9000000</v>
      </c>
      <c r="R1074" s="8" t="e">
        <f>SUMIFS([1]REPORTADOS!$D$2:$D$3345,[1]REPORTADOS!$C$2:$C$3345,E1074)</f>
        <v>#VALUE!</v>
      </c>
      <c r="S1074" s="3" t="e">
        <f t="shared" si="18"/>
        <v>#VALUE!</v>
      </c>
    </row>
    <row r="1075" spans="1:19" x14ac:dyDescent="0.25">
      <c r="A1075">
        <v>900091143</v>
      </c>
      <c r="B1075" t="s">
        <v>3063</v>
      </c>
      <c r="C1075" t="s">
        <v>2315</v>
      </c>
      <c r="E1075" t="s">
        <v>2315</v>
      </c>
      <c r="H1075" t="s">
        <v>22</v>
      </c>
      <c r="I1075">
        <v>1085300095</v>
      </c>
      <c r="J1075" t="s">
        <v>1717</v>
      </c>
      <c r="P1075" t="s">
        <v>2233</v>
      </c>
      <c r="Q1075" s="8">
        <v>9000000</v>
      </c>
      <c r="R1075" s="8" t="e">
        <f>SUMIFS([1]REPORTADOS!$D$2:$D$3345,[1]REPORTADOS!$C$2:$C$3345,E1075)</f>
        <v>#VALUE!</v>
      </c>
      <c r="S1075" s="3" t="e">
        <f t="shared" si="18"/>
        <v>#VALUE!</v>
      </c>
    </row>
    <row r="1076" spans="1:19" x14ac:dyDescent="0.25">
      <c r="A1076">
        <v>900091143</v>
      </c>
      <c r="B1076" t="s">
        <v>3064</v>
      </c>
      <c r="C1076" t="s">
        <v>2316</v>
      </c>
      <c r="E1076" t="s">
        <v>2316</v>
      </c>
      <c r="H1076" t="s">
        <v>22</v>
      </c>
      <c r="I1076">
        <v>1085318688</v>
      </c>
      <c r="J1076" t="s">
        <v>2317</v>
      </c>
      <c r="P1076" t="s">
        <v>2233</v>
      </c>
      <c r="Q1076" s="8">
        <v>9000000</v>
      </c>
      <c r="R1076" s="8" t="e">
        <f>SUMIFS([1]REPORTADOS!$D$2:$D$3345,[1]REPORTADOS!$C$2:$C$3345,E1076)</f>
        <v>#VALUE!</v>
      </c>
      <c r="S1076" s="3" t="e">
        <f t="shared" si="18"/>
        <v>#VALUE!</v>
      </c>
    </row>
    <row r="1077" spans="1:19" x14ac:dyDescent="0.25">
      <c r="A1077">
        <v>900091143</v>
      </c>
      <c r="B1077" t="s">
        <v>3065</v>
      </c>
      <c r="C1077" t="s">
        <v>2318</v>
      </c>
      <c r="E1077" t="s">
        <v>2318</v>
      </c>
      <c r="H1077" t="s">
        <v>22</v>
      </c>
      <c r="I1077">
        <v>37084285</v>
      </c>
      <c r="J1077" t="s">
        <v>1724</v>
      </c>
      <c r="P1077" t="s">
        <v>2204</v>
      </c>
      <c r="Q1077" s="8">
        <v>9000000</v>
      </c>
      <c r="R1077" s="8" t="e">
        <f>SUMIFS([1]REPORTADOS!$D$2:$D$3345,[1]REPORTADOS!$C$2:$C$3345,E1077)</f>
        <v>#VALUE!</v>
      </c>
      <c r="S1077" s="3" t="e">
        <f t="shared" si="18"/>
        <v>#VALUE!</v>
      </c>
    </row>
    <row r="1078" spans="1:19" x14ac:dyDescent="0.25">
      <c r="A1078">
        <v>900091143</v>
      </c>
      <c r="B1078" t="s">
        <v>3066</v>
      </c>
      <c r="C1078" t="s">
        <v>2319</v>
      </c>
      <c r="E1078" t="s">
        <v>2319</v>
      </c>
      <c r="H1078" t="s">
        <v>22</v>
      </c>
      <c r="I1078">
        <v>1085266584</v>
      </c>
      <c r="J1078" t="s">
        <v>1981</v>
      </c>
      <c r="P1078" t="s">
        <v>2233</v>
      </c>
      <c r="Q1078" s="8">
        <v>9000000</v>
      </c>
      <c r="R1078" s="8" t="e">
        <f>SUMIFS([1]REPORTADOS!$D$2:$D$3345,[1]REPORTADOS!$C$2:$C$3345,E1078)</f>
        <v>#VALUE!</v>
      </c>
      <c r="S1078" s="3" t="e">
        <f t="shared" si="18"/>
        <v>#VALUE!</v>
      </c>
    </row>
    <row r="1079" spans="1:19" x14ac:dyDescent="0.25">
      <c r="A1079">
        <v>900091143</v>
      </c>
      <c r="B1079" t="s">
        <v>3067</v>
      </c>
      <c r="C1079" t="s">
        <v>2320</v>
      </c>
      <c r="E1079" t="s">
        <v>2320</v>
      </c>
      <c r="H1079" t="s">
        <v>22</v>
      </c>
      <c r="I1079">
        <v>1085326198</v>
      </c>
      <c r="J1079" t="s">
        <v>2321</v>
      </c>
      <c r="P1079" t="s">
        <v>2233</v>
      </c>
      <c r="Q1079" s="8">
        <v>9000000</v>
      </c>
      <c r="R1079" s="8" t="e">
        <f>SUMIFS([1]REPORTADOS!$D$2:$D$3345,[1]REPORTADOS!$C$2:$C$3345,E1079)</f>
        <v>#VALUE!</v>
      </c>
      <c r="S1079" s="3" t="e">
        <f t="shared" si="18"/>
        <v>#VALUE!</v>
      </c>
    </row>
    <row r="1080" spans="1:19" x14ac:dyDescent="0.25">
      <c r="A1080">
        <v>900091143</v>
      </c>
      <c r="B1080" t="s">
        <v>3068</v>
      </c>
      <c r="C1080" t="s">
        <v>2322</v>
      </c>
      <c r="E1080" t="s">
        <v>2322</v>
      </c>
      <c r="H1080" t="s">
        <v>22</v>
      </c>
      <c r="I1080">
        <v>87070661</v>
      </c>
      <c r="J1080" t="s">
        <v>2323</v>
      </c>
      <c r="P1080" t="s">
        <v>2204</v>
      </c>
      <c r="Q1080" s="8">
        <v>9000000</v>
      </c>
      <c r="R1080" s="8" t="e">
        <f>SUMIFS([1]REPORTADOS!$D$2:$D$3345,[1]REPORTADOS!$C$2:$C$3345,E1080)</f>
        <v>#VALUE!</v>
      </c>
      <c r="S1080" s="3" t="e">
        <f t="shared" si="18"/>
        <v>#VALUE!</v>
      </c>
    </row>
    <row r="1081" spans="1:19" x14ac:dyDescent="0.25">
      <c r="A1081">
        <v>900091143</v>
      </c>
      <c r="B1081" t="s">
        <v>3069</v>
      </c>
      <c r="C1081" t="s">
        <v>2304</v>
      </c>
      <c r="E1081" t="s">
        <v>2304</v>
      </c>
      <c r="H1081" t="s">
        <v>22</v>
      </c>
      <c r="I1081">
        <v>59310524</v>
      </c>
      <c r="J1081" t="s">
        <v>2305</v>
      </c>
      <c r="P1081" t="s">
        <v>2204</v>
      </c>
      <c r="Q1081" s="8">
        <v>9000000</v>
      </c>
      <c r="R1081" s="8" t="e">
        <f>SUMIFS([1]REPORTADOS!$D$2:$D$3345,[1]REPORTADOS!$C$2:$C$3345,E1081)</f>
        <v>#VALUE!</v>
      </c>
      <c r="S1081" s="3" t="e">
        <f t="shared" si="18"/>
        <v>#VALUE!</v>
      </c>
    </row>
    <row r="1082" spans="1:19" x14ac:dyDescent="0.25">
      <c r="A1082">
        <v>900091143</v>
      </c>
      <c r="B1082" t="s">
        <v>3070</v>
      </c>
      <c r="C1082" t="s">
        <v>2287</v>
      </c>
      <c r="E1082" t="s">
        <v>2287</v>
      </c>
      <c r="H1082" t="s">
        <v>22</v>
      </c>
      <c r="I1082">
        <v>1085327701</v>
      </c>
      <c r="J1082" t="s">
        <v>2288</v>
      </c>
      <c r="P1082" t="s">
        <v>2204</v>
      </c>
      <c r="Q1082" s="8">
        <v>9000000</v>
      </c>
      <c r="R1082" s="8" t="e">
        <f>SUMIFS([1]REPORTADOS!$D$2:$D$3345,[1]REPORTADOS!$C$2:$C$3345,E1082)</f>
        <v>#VALUE!</v>
      </c>
      <c r="S1082" s="3" t="e">
        <f t="shared" si="18"/>
        <v>#VALUE!</v>
      </c>
    </row>
    <row r="1083" spans="1:19" x14ac:dyDescent="0.25">
      <c r="A1083">
        <v>900091143</v>
      </c>
      <c r="B1083" t="s">
        <v>3071</v>
      </c>
      <c r="C1083" t="s">
        <v>2292</v>
      </c>
      <c r="E1083" t="s">
        <v>2292</v>
      </c>
      <c r="H1083" t="s">
        <v>22</v>
      </c>
      <c r="I1083">
        <v>1193271854</v>
      </c>
      <c r="J1083" t="s">
        <v>1695</v>
      </c>
      <c r="P1083" t="s">
        <v>2204</v>
      </c>
      <c r="Q1083" s="8">
        <v>9000000</v>
      </c>
      <c r="R1083" s="8" t="e">
        <f>SUMIFS([1]REPORTADOS!$D$2:$D$3345,[1]REPORTADOS!$C$2:$C$3345,E1083)</f>
        <v>#VALUE!</v>
      </c>
      <c r="S1083" s="3" t="e">
        <f t="shared" si="18"/>
        <v>#VALUE!</v>
      </c>
    </row>
    <row r="1084" spans="1:19" x14ac:dyDescent="0.25">
      <c r="A1084">
        <v>900091143</v>
      </c>
      <c r="B1084" t="s">
        <v>3072</v>
      </c>
      <c r="C1084" t="s">
        <v>2297</v>
      </c>
      <c r="E1084" t="s">
        <v>2297</v>
      </c>
      <c r="H1084" t="s">
        <v>22</v>
      </c>
      <c r="I1084">
        <v>36757522</v>
      </c>
      <c r="J1084" t="s">
        <v>2298</v>
      </c>
      <c r="P1084" t="s">
        <v>2204</v>
      </c>
      <c r="Q1084" s="8">
        <v>9000000</v>
      </c>
      <c r="R1084" s="8" t="e">
        <f>SUMIFS([1]REPORTADOS!$D$2:$D$3345,[1]REPORTADOS!$C$2:$C$3345,E1084)</f>
        <v>#VALUE!</v>
      </c>
      <c r="S1084" s="3" t="e">
        <f t="shared" si="18"/>
        <v>#VALUE!</v>
      </c>
    </row>
    <row r="1085" spans="1:19" x14ac:dyDescent="0.25">
      <c r="A1085">
        <v>900091143</v>
      </c>
      <c r="B1085" t="s">
        <v>3073</v>
      </c>
      <c r="C1085" t="s">
        <v>2301</v>
      </c>
      <c r="E1085" t="s">
        <v>2301</v>
      </c>
      <c r="H1085" t="s">
        <v>22</v>
      </c>
      <c r="I1085">
        <v>1233189234</v>
      </c>
      <c r="J1085" t="s">
        <v>1869</v>
      </c>
      <c r="P1085" t="s">
        <v>2233</v>
      </c>
      <c r="Q1085" s="8">
        <v>9000000</v>
      </c>
      <c r="R1085" s="8" t="e">
        <f>SUMIFS([1]REPORTADOS!$D$2:$D$3345,[1]REPORTADOS!$C$2:$C$3345,E1085)</f>
        <v>#VALUE!</v>
      </c>
      <c r="S1085" s="3" t="e">
        <f t="shared" si="18"/>
        <v>#VALUE!</v>
      </c>
    </row>
    <row r="1086" spans="1:19" x14ac:dyDescent="0.25">
      <c r="A1086">
        <v>900091143</v>
      </c>
      <c r="B1086" t="s">
        <v>3074</v>
      </c>
      <c r="C1086" t="s">
        <v>2302</v>
      </c>
      <c r="E1086" t="s">
        <v>2302</v>
      </c>
      <c r="H1086" t="s">
        <v>22</v>
      </c>
      <c r="I1086">
        <v>1085323101</v>
      </c>
      <c r="J1086" t="s">
        <v>2303</v>
      </c>
      <c r="P1086" t="s">
        <v>2204</v>
      </c>
      <c r="Q1086" s="8">
        <v>9000000</v>
      </c>
      <c r="R1086" s="8" t="e">
        <f>SUMIFS([1]REPORTADOS!$D$2:$D$3345,[1]REPORTADOS!$C$2:$C$3345,E1086)</f>
        <v>#VALUE!</v>
      </c>
      <c r="S1086" s="3" t="e">
        <f t="shared" si="18"/>
        <v>#VALUE!</v>
      </c>
    </row>
    <row r="1087" spans="1:19" x14ac:dyDescent="0.25">
      <c r="A1087">
        <v>900091143</v>
      </c>
      <c r="B1087" t="s">
        <v>3075</v>
      </c>
      <c r="C1087" t="s">
        <v>2308</v>
      </c>
      <c r="E1087" t="s">
        <v>2308</v>
      </c>
      <c r="H1087" t="s">
        <v>22</v>
      </c>
      <c r="I1087">
        <v>1004234290</v>
      </c>
      <c r="J1087" t="s">
        <v>2309</v>
      </c>
      <c r="P1087" t="s">
        <v>2204</v>
      </c>
      <c r="Q1087" s="8">
        <v>9000000</v>
      </c>
      <c r="R1087" s="8" t="e">
        <f>SUMIFS([1]REPORTADOS!$D$2:$D$3345,[1]REPORTADOS!$C$2:$C$3345,E1087)</f>
        <v>#VALUE!</v>
      </c>
      <c r="S1087" s="3" t="e">
        <f t="shared" si="18"/>
        <v>#VALUE!</v>
      </c>
    </row>
    <row r="1088" spans="1:19" x14ac:dyDescent="0.25">
      <c r="A1088">
        <v>900091143</v>
      </c>
      <c r="B1088" t="s">
        <v>3076</v>
      </c>
      <c r="C1088" t="s">
        <v>2326</v>
      </c>
      <c r="E1088" t="s">
        <v>2326</v>
      </c>
      <c r="H1088" t="s">
        <v>22</v>
      </c>
      <c r="I1088">
        <v>59178610</v>
      </c>
      <c r="J1088" t="s">
        <v>2327</v>
      </c>
      <c r="P1088" t="s">
        <v>2204</v>
      </c>
      <c r="Q1088" s="8">
        <v>9000000</v>
      </c>
      <c r="R1088" s="8" t="e">
        <f>SUMIFS([1]REPORTADOS!$D$2:$D$3345,[1]REPORTADOS!$C$2:$C$3345,E1088)</f>
        <v>#VALUE!</v>
      </c>
      <c r="S1088" s="3" t="e">
        <f t="shared" si="18"/>
        <v>#VALUE!</v>
      </c>
    </row>
    <row r="1089" spans="1:19" x14ac:dyDescent="0.25">
      <c r="A1089">
        <v>900091143</v>
      </c>
      <c r="B1089" t="s">
        <v>3077</v>
      </c>
      <c r="C1089" t="s">
        <v>2324</v>
      </c>
      <c r="E1089" t="s">
        <v>2324</v>
      </c>
      <c r="H1089" t="s">
        <v>22</v>
      </c>
      <c r="I1089">
        <v>1010113730</v>
      </c>
      <c r="J1089" t="s">
        <v>2325</v>
      </c>
      <c r="P1089" t="s">
        <v>2233</v>
      </c>
      <c r="Q1089" s="8">
        <v>9000000</v>
      </c>
      <c r="R1089" s="8" t="e">
        <f>SUMIFS([1]REPORTADOS!$D$2:$D$3345,[1]REPORTADOS!$C$2:$C$3345,E1089)</f>
        <v>#VALUE!</v>
      </c>
      <c r="S1089" s="3" t="e">
        <f t="shared" si="18"/>
        <v>#VALUE!</v>
      </c>
    </row>
    <row r="1090" spans="1:19" x14ac:dyDescent="0.25">
      <c r="A1090">
        <v>900091143</v>
      </c>
      <c r="B1090" t="s">
        <v>3078</v>
      </c>
      <c r="C1090" t="s">
        <v>2328</v>
      </c>
      <c r="E1090" t="s">
        <v>2328</v>
      </c>
      <c r="H1090" t="s">
        <v>22</v>
      </c>
      <c r="I1090">
        <v>59834953</v>
      </c>
      <c r="J1090" t="s">
        <v>1759</v>
      </c>
      <c r="P1090" t="s">
        <v>2233</v>
      </c>
      <c r="Q1090" s="8">
        <v>9000000</v>
      </c>
      <c r="R1090" s="8" t="e">
        <f>SUMIFS([1]REPORTADOS!$D$2:$D$3345,[1]REPORTADOS!$C$2:$C$3345,E1090)</f>
        <v>#VALUE!</v>
      </c>
      <c r="S1090" s="3" t="e">
        <f t="shared" si="18"/>
        <v>#VALUE!</v>
      </c>
    </row>
    <row r="1091" spans="1:19" x14ac:dyDescent="0.25">
      <c r="A1091">
        <v>900091143</v>
      </c>
      <c r="B1091" t="s">
        <v>3079</v>
      </c>
      <c r="C1091" t="s">
        <v>2403</v>
      </c>
      <c r="E1091" t="s">
        <v>2403</v>
      </c>
      <c r="H1091" t="s">
        <v>22</v>
      </c>
      <c r="I1091">
        <v>59830040</v>
      </c>
      <c r="J1091" t="s">
        <v>2026</v>
      </c>
      <c r="P1091" t="s">
        <v>2233</v>
      </c>
      <c r="Q1091" s="8">
        <v>9000000</v>
      </c>
      <c r="R1091" s="8" t="e">
        <f>SUMIFS([1]REPORTADOS!$D$2:$D$3345,[1]REPORTADOS!$C$2:$C$3345,E1091)</f>
        <v>#VALUE!</v>
      </c>
      <c r="S1091" s="3" t="e">
        <f t="shared" si="18"/>
        <v>#VALUE!</v>
      </c>
    </row>
    <row r="1092" spans="1:19" x14ac:dyDescent="0.25">
      <c r="A1092">
        <v>900091143</v>
      </c>
      <c r="B1092" t="s">
        <v>3080</v>
      </c>
      <c r="C1092" t="s">
        <v>2404</v>
      </c>
      <c r="E1092" t="s">
        <v>2404</v>
      </c>
      <c r="H1092" t="s">
        <v>22</v>
      </c>
      <c r="I1092">
        <v>1004592366</v>
      </c>
      <c r="J1092" t="s">
        <v>2405</v>
      </c>
      <c r="P1092" t="s">
        <v>2233</v>
      </c>
      <c r="Q1092" s="8">
        <v>9000000</v>
      </c>
      <c r="R1092" s="8" t="e">
        <f>SUMIFS([1]REPORTADOS!$D$2:$D$3345,[1]REPORTADOS!$C$2:$C$3345,E1092)</f>
        <v>#VALUE!</v>
      </c>
      <c r="S1092" s="3" t="e">
        <f t="shared" si="18"/>
        <v>#VALUE!</v>
      </c>
    </row>
    <row r="1093" spans="1:19" x14ac:dyDescent="0.25">
      <c r="A1093">
        <v>900091143</v>
      </c>
      <c r="B1093" t="s">
        <v>3081</v>
      </c>
      <c r="C1093" t="s">
        <v>2401</v>
      </c>
      <c r="E1093" t="s">
        <v>2401</v>
      </c>
      <c r="H1093" t="s">
        <v>22</v>
      </c>
      <c r="I1093">
        <v>1085302942</v>
      </c>
      <c r="J1093" t="s">
        <v>2402</v>
      </c>
      <c r="P1093" t="s">
        <v>2233</v>
      </c>
      <c r="Q1093" s="8">
        <v>9000000</v>
      </c>
      <c r="R1093" s="8" t="e">
        <f>SUMIFS([1]REPORTADOS!$D$2:$D$3345,[1]REPORTADOS!$C$2:$C$3345,E1093)</f>
        <v>#VALUE!</v>
      </c>
      <c r="S1093" s="3" t="e">
        <f t="shared" si="18"/>
        <v>#VALUE!</v>
      </c>
    </row>
    <row r="1094" spans="1:19" x14ac:dyDescent="0.25">
      <c r="A1094">
        <v>900091143</v>
      </c>
      <c r="B1094" t="s">
        <v>3082</v>
      </c>
      <c r="C1094" t="s">
        <v>2400</v>
      </c>
      <c r="E1094" t="s">
        <v>2400</v>
      </c>
      <c r="H1094" t="s">
        <v>22</v>
      </c>
      <c r="I1094">
        <v>1004535234</v>
      </c>
      <c r="J1094" t="s">
        <v>1910</v>
      </c>
      <c r="P1094" t="s">
        <v>2233</v>
      </c>
      <c r="Q1094" s="8">
        <v>9000000</v>
      </c>
      <c r="R1094" s="8" t="e">
        <f>SUMIFS([1]REPORTADOS!$D$2:$D$3345,[1]REPORTADOS!$C$2:$C$3345,E1094)</f>
        <v>#VALUE!</v>
      </c>
      <c r="S1094" s="3" t="e">
        <f t="shared" si="18"/>
        <v>#VALUE!</v>
      </c>
    </row>
    <row r="1095" spans="1:19" x14ac:dyDescent="0.25">
      <c r="A1095">
        <v>900091143</v>
      </c>
      <c r="B1095" t="s">
        <v>3083</v>
      </c>
      <c r="C1095" t="s">
        <v>2398</v>
      </c>
      <c r="E1095" t="s">
        <v>2398</v>
      </c>
      <c r="H1095" t="s">
        <v>22</v>
      </c>
      <c r="I1095">
        <v>1007403454</v>
      </c>
      <c r="J1095" t="s">
        <v>2399</v>
      </c>
      <c r="P1095" t="s">
        <v>2204</v>
      </c>
      <c r="Q1095" s="8">
        <v>9000000</v>
      </c>
      <c r="R1095" s="8" t="e">
        <f>SUMIFS([1]REPORTADOS!$D$2:$D$3345,[1]REPORTADOS!$C$2:$C$3345,E1095)</f>
        <v>#VALUE!</v>
      </c>
      <c r="S1095" s="3" t="e">
        <f t="shared" si="18"/>
        <v>#VALUE!</v>
      </c>
    </row>
    <row r="1096" spans="1:19" x14ac:dyDescent="0.25">
      <c r="A1096">
        <v>900091143</v>
      </c>
      <c r="B1096" t="s">
        <v>3084</v>
      </c>
      <c r="C1096" t="s">
        <v>2390</v>
      </c>
      <c r="E1096" t="s">
        <v>2390</v>
      </c>
      <c r="H1096" t="s">
        <v>22</v>
      </c>
      <c r="I1096">
        <v>59833702</v>
      </c>
      <c r="J1096" t="s">
        <v>2391</v>
      </c>
      <c r="P1096" t="s">
        <v>2204</v>
      </c>
      <c r="Q1096" s="8">
        <v>9000000</v>
      </c>
      <c r="R1096" s="8" t="e">
        <f>SUMIFS([1]REPORTADOS!$D$2:$D$3345,[1]REPORTADOS!$C$2:$C$3345,E1096)</f>
        <v>#VALUE!</v>
      </c>
      <c r="S1096" s="3" t="e">
        <f t="shared" si="18"/>
        <v>#VALUE!</v>
      </c>
    </row>
    <row r="1097" spans="1:19" x14ac:dyDescent="0.25">
      <c r="A1097">
        <v>900091143</v>
      </c>
      <c r="B1097" t="s">
        <v>3085</v>
      </c>
      <c r="C1097" t="s">
        <v>2331</v>
      </c>
      <c r="E1097" t="s">
        <v>2331</v>
      </c>
      <c r="H1097" t="s">
        <v>22</v>
      </c>
      <c r="I1097">
        <v>1086329609</v>
      </c>
      <c r="J1097" t="s">
        <v>2332</v>
      </c>
      <c r="P1097" t="s">
        <v>2204</v>
      </c>
      <c r="Q1097" s="8">
        <v>9000000</v>
      </c>
      <c r="R1097" s="8" t="e">
        <f>SUMIFS([1]REPORTADOS!$D$2:$D$3345,[1]REPORTADOS!$C$2:$C$3345,E1097)</f>
        <v>#VALUE!</v>
      </c>
      <c r="S1097" s="3" t="e">
        <f t="shared" si="18"/>
        <v>#VALUE!</v>
      </c>
    </row>
    <row r="1098" spans="1:19" x14ac:dyDescent="0.25">
      <c r="A1098">
        <v>900091143</v>
      </c>
      <c r="B1098" t="s">
        <v>3086</v>
      </c>
      <c r="C1098" t="s">
        <v>2333</v>
      </c>
      <c r="E1098" t="s">
        <v>2333</v>
      </c>
      <c r="H1098" t="s">
        <v>22</v>
      </c>
      <c r="I1098">
        <v>1193224810</v>
      </c>
      <c r="J1098" t="s">
        <v>1736</v>
      </c>
      <c r="P1098" t="s">
        <v>2204</v>
      </c>
      <c r="Q1098" s="8">
        <v>9000000</v>
      </c>
      <c r="R1098" s="8" t="e">
        <f>SUMIFS([1]REPORTADOS!$D$2:$D$3345,[1]REPORTADOS!$C$2:$C$3345,E1098)</f>
        <v>#VALUE!</v>
      </c>
      <c r="S1098" s="3" t="e">
        <f t="shared" si="18"/>
        <v>#VALUE!</v>
      </c>
    </row>
    <row r="1099" spans="1:19" x14ac:dyDescent="0.25">
      <c r="A1099">
        <v>900091143</v>
      </c>
      <c r="B1099" t="s">
        <v>3087</v>
      </c>
      <c r="C1099" t="s">
        <v>2348</v>
      </c>
      <c r="E1099" t="s">
        <v>2348</v>
      </c>
      <c r="H1099" t="s">
        <v>22</v>
      </c>
      <c r="I1099">
        <v>1081052746</v>
      </c>
      <c r="J1099" t="s">
        <v>2349</v>
      </c>
      <c r="P1099" t="s">
        <v>2204</v>
      </c>
      <c r="Q1099" s="8">
        <v>9000000</v>
      </c>
      <c r="R1099" s="8" t="e">
        <f>SUMIFS([1]REPORTADOS!$D$2:$D$3345,[1]REPORTADOS!$C$2:$C$3345,E1099)</f>
        <v>#VALUE!</v>
      </c>
      <c r="S1099" s="3" t="e">
        <f t="shared" si="18"/>
        <v>#VALUE!</v>
      </c>
    </row>
    <row r="1100" spans="1:19" x14ac:dyDescent="0.25">
      <c r="A1100">
        <v>900091143</v>
      </c>
      <c r="B1100" t="s">
        <v>3088</v>
      </c>
      <c r="C1100" t="s">
        <v>2340</v>
      </c>
      <c r="E1100" t="s">
        <v>2340</v>
      </c>
      <c r="H1100" t="s">
        <v>22</v>
      </c>
      <c r="I1100">
        <v>1233188273</v>
      </c>
      <c r="J1100" t="s">
        <v>2341</v>
      </c>
      <c r="P1100" t="s">
        <v>2204</v>
      </c>
      <c r="Q1100" s="8">
        <v>9000000</v>
      </c>
      <c r="R1100" s="8" t="e">
        <f>SUMIFS([1]REPORTADOS!$D$2:$D$3345,[1]REPORTADOS!$C$2:$C$3345,E1100)</f>
        <v>#VALUE!</v>
      </c>
      <c r="S1100" s="3" t="e">
        <f t="shared" si="18"/>
        <v>#VALUE!</v>
      </c>
    </row>
    <row r="1101" spans="1:19" x14ac:dyDescent="0.25">
      <c r="A1101">
        <v>900091143</v>
      </c>
      <c r="B1101" t="s">
        <v>3089</v>
      </c>
      <c r="C1101" t="s">
        <v>2334</v>
      </c>
      <c r="E1101" t="s">
        <v>2334</v>
      </c>
      <c r="H1101" t="s">
        <v>22</v>
      </c>
      <c r="I1101">
        <v>1010085543</v>
      </c>
      <c r="J1101" t="s">
        <v>2335</v>
      </c>
      <c r="P1101" t="s">
        <v>2204</v>
      </c>
      <c r="Q1101" s="8">
        <v>9000000</v>
      </c>
      <c r="R1101" s="8" t="e">
        <f>SUMIFS([1]REPORTADOS!$D$2:$D$3345,[1]REPORTADOS!$C$2:$C$3345,E1101)</f>
        <v>#VALUE!</v>
      </c>
      <c r="S1101" s="3" t="e">
        <f t="shared" si="18"/>
        <v>#VALUE!</v>
      </c>
    </row>
    <row r="1102" spans="1:19" x14ac:dyDescent="0.25">
      <c r="A1102">
        <v>900091143</v>
      </c>
      <c r="B1102" t="s">
        <v>3090</v>
      </c>
      <c r="C1102" t="s">
        <v>2336</v>
      </c>
      <c r="E1102" t="s">
        <v>2336</v>
      </c>
      <c r="H1102" t="s">
        <v>22</v>
      </c>
      <c r="I1102">
        <v>27285974</v>
      </c>
      <c r="J1102" t="s">
        <v>2337</v>
      </c>
      <c r="P1102" t="s">
        <v>2204</v>
      </c>
      <c r="Q1102" s="8">
        <v>9000000</v>
      </c>
      <c r="R1102" s="8" t="e">
        <f>SUMIFS([1]REPORTADOS!$D$2:$D$3345,[1]REPORTADOS!$C$2:$C$3345,E1102)</f>
        <v>#VALUE!</v>
      </c>
      <c r="S1102" s="3" t="e">
        <f t="shared" si="18"/>
        <v>#VALUE!</v>
      </c>
    </row>
    <row r="1103" spans="1:19" x14ac:dyDescent="0.25">
      <c r="A1103">
        <v>900091143</v>
      </c>
      <c r="B1103" t="s">
        <v>3091</v>
      </c>
      <c r="C1103" t="s">
        <v>2372</v>
      </c>
      <c r="E1103" t="s">
        <v>2372</v>
      </c>
      <c r="H1103" t="s">
        <v>22</v>
      </c>
      <c r="I1103">
        <v>1085250095</v>
      </c>
      <c r="J1103" t="s">
        <v>2373</v>
      </c>
      <c r="P1103" t="s">
        <v>2233</v>
      </c>
      <c r="Q1103" s="8">
        <v>9000000</v>
      </c>
      <c r="R1103" s="8" t="e">
        <f>SUMIFS([1]REPORTADOS!$D$2:$D$3345,[1]REPORTADOS!$C$2:$C$3345,E1103)</f>
        <v>#VALUE!</v>
      </c>
      <c r="S1103" s="3" t="e">
        <f t="shared" si="18"/>
        <v>#VALUE!</v>
      </c>
    </row>
    <row r="1104" spans="1:19" x14ac:dyDescent="0.25">
      <c r="A1104">
        <v>900091143</v>
      </c>
      <c r="B1104" t="s">
        <v>3092</v>
      </c>
      <c r="C1104" t="s">
        <v>2374</v>
      </c>
      <c r="E1104" t="s">
        <v>2374</v>
      </c>
      <c r="H1104" t="s">
        <v>22</v>
      </c>
      <c r="I1104">
        <v>1085325325</v>
      </c>
      <c r="J1104" t="s">
        <v>2375</v>
      </c>
      <c r="P1104" t="s">
        <v>2233</v>
      </c>
      <c r="Q1104" s="8">
        <v>9000000</v>
      </c>
      <c r="R1104" s="8" t="e">
        <f>SUMIFS([1]REPORTADOS!$D$2:$D$3345,[1]REPORTADOS!$C$2:$C$3345,E1104)</f>
        <v>#VALUE!</v>
      </c>
      <c r="S1104" s="3" t="e">
        <f t="shared" si="18"/>
        <v>#VALUE!</v>
      </c>
    </row>
    <row r="1105" spans="1:19" x14ac:dyDescent="0.25">
      <c r="A1105">
        <v>900091143</v>
      </c>
      <c r="B1105" t="s">
        <v>3093</v>
      </c>
      <c r="C1105" t="s">
        <v>2376</v>
      </c>
      <c r="E1105" t="s">
        <v>2376</v>
      </c>
      <c r="H1105" t="s">
        <v>22</v>
      </c>
      <c r="I1105">
        <v>1085331508</v>
      </c>
      <c r="J1105" t="s">
        <v>2377</v>
      </c>
      <c r="P1105" t="s">
        <v>2233</v>
      </c>
      <c r="Q1105" s="8">
        <v>9000000</v>
      </c>
      <c r="R1105" s="8" t="e">
        <f>SUMIFS([1]REPORTADOS!$D$2:$D$3345,[1]REPORTADOS!$C$2:$C$3345,E1105)</f>
        <v>#VALUE!</v>
      </c>
      <c r="S1105" s="3" t="e">
        <f t="shared" si="18"/>
        <v>#VALUE!</v>
      </c>
    </row>
    <row r="1106" spans="1:19" x14ac:dyDescent="0.25">
      <c r="A1106">
        <v>900091143</v>
      </c>
      <c r="B1106" t="s">
        <v>3094</v>
      </c>
      <c r="C1106" t="s">
        <v>2352</v>
      </c>
      <c r="E1106" t="s">
        <v>2352</v>
      </c>
      <c r="H1106" t="s">
        <v>22</v>
      </c>
      <c r="I1106">
        <v>1233191675</v>
      </c>
      <c r="J1106" t="s">
        <v>1720</v>
      </c>
      <c r="P1106" t="s">
        <v>2233</v>
      </c>
      <c r="Q1106" s="8">
        <v>9000000</v>
      </c>
      <c r="R1106" s="8" t="e">
        <f>SUMIFS([1]REPORTADOS!$D$2:$D$3345,[1]REPORTADOS!$C$2:$C$3345,E1106)</f>
        <v>#VALUE!</v>
      </c>
      <c r="S1106" s="3" t="e">
        <f t="shared" si="18"/>
        <v>#VALUE!</v>
      </c>
    </row>
    <row r="1107" spans="1:19" x14ac:dyDescent="0.25">
      <c r="A1107">
        <v>900091143</v>
      </c>
      <c r="B1107" t="s">
        <v>3095</v>
      </c>
      <c r="C1107" t="s">
        <v>2380</v>
      </c>
      <c r="E1107" t="s">
        <v>2380</v>
      </c>
      <c r="H1107" t="s">
        <v>22</v>
      </c>
      <c r="I1107">
        <v>1144206777</v>
      </c>
      <c r="J1107" t="s">
        <v>2381</v>
      </c>
      <c r="P1107" t="s">
        <v>2382</v>
      </c>
      <c r="Q1107" s="8">
        <v>9000000</v>
      </c>
      <c r="R1107" s="8" t="e">
        <f>SUMIFS([1]REPORTADOS!$D$2:$D$3345,[1]REPORTADOS!$C$2:$C$3345,E1107)</f>
        <v>#VALUE!</v>
      </c>
      <c r="S1107" s="3" t="e">
        <f t="shared" si="18"/>
        <v>#VALUE!</v>
      </c>
    </row>
    <row r="1108" spans="1:19" x14ac:dyDescent="0.25">
      <c r="A1108">
        <v>900091143</v>
      </c>
      <c r="B1108" t="s">
        <v>3096</v>
      </c>
      <c r="C1108" t="s">
        <v>2367</v>
      </c>
      <c r="E1108" t="s">
        <v>2367</v>
      </c>
      <c r="H1108" t="s">
        <v>22</v>
      </c>
      <c r="I1108">
        <v>1081053820</v>
      </c>
      <c r="J1108" t="s">
        <v>2368</v>
      </c>
      <c r="P1108" t="s">
        <v>2233</v>
      </c>
      <c r="Q1108" s="8">
        <v>9000000</v>
      </c>
      <c r="R1108" s="8" t="e">
        <f>SUMIFS([1]REPORTADOS!$D$2:$D$3345,[1]REPORTADOS!$C$2:$C$3345,E1108)</f>
        <v>#VALUE!</v>
      </c>
      <c r="S1108" s="3" t="e">
        <f t="shared" si="18"/>
        <v>#VALUE!</v>
      </c>
    </row>
    <row r="1109" spans="1:19" x14ac:dyDescent="0.25">
      <c r="A1109">
        <v>900091143</v>
      </c>
      <c r="B1109" t="s">
        <v>3097</v>
      </c>
      <c r="C1109" t="s">
        <v>2369</v>
      </c>
      <c r="E1109" t="s">
        <v>2369</v>
      </c>
      <c r="H1109" t="s">
        <v>22</v>
      </c>
      <c r="I1109">
        <v>1085269090</v>
      </c>
      <c r="J1109" t="s">
        <v>1860</v>
      </c>
      <c r="P1109" t="s">
        <v>2233</v>
      </c>
      <c r="Q1109" s="8">
        <v>9000000</v>
      </c>
      <c r="R1109" s="8" t="e">
        <f>SUMIFS([1]REPORTADOS!$D$2:$D$3345,[1]REPORTADOS!$C$2:$C$3345,E1109)</f>
        <v>#VALUE!</v>
      </c>
      <c r="S1109" s="3" t="e">
        <f t="shared" si="18"/>
        <v>#VALUE!</v>
      </c>
    </row>
    <row r="1110" spans="1:19" x14ac:dyDescent="0.25">
      <c r="A1110">
        <v>900091143</v>
      </c>
      <c r="B1110" t="s">
        <v>3098</v>
      </c>
      <c r="C1110" t="s">
        <v>2387</v>
      </c>
      <c r="E1110" t="s">
        <v>2387</v>
      </c>
      <c r="H1110" t="s">
        <v>22</v>
      </c>
      <c r="I1110">
        <v>1004726758</v>
      </c>
      <c r="J1110" t="s">
        <v>2388</v>
      </c>
      <c r="P1110" t="s">
        <v>2389</v>
      </c>
      <c r="Q1110" s="8">
        <v>9000000</v>
      </c>
      <c r="R1110" s="8" t="e">
        <f>SUMIFS([1]REPORTADOS!$D$2:$D$3345,[1]REPORTADOS!$C$2:$C$3345,E1110)</f>
        <v>#VALUE!</v>
      </c>
      <c r="S1110" s="3" t="e">
        <f t="shared" si="18"/>
        <v>#VALUE!</v>
      </c>
    </row>
    <row r="1111" spans="1:19" x14ac:dyDescent="0.25">
      <c r="A1111">
        <v>900091143</v>
      </c>
      <c r="B1111" t="s">
        <v>3099</v>
      </c>
      <c r="C1111" t="s">
        <v>2338</v>
      </c>
      <c r="E1111" t="s">
        <v>2338</v>
      </c>
      <c r="H1111" t="s">
        <v>22</v>
      </c>
      <c r="I1111">
        <v>1004131976</v>
      </c>
      <c r="J1111" t="s">
        <v>2339</v>
      </c>
      <c r="P1111" t="s">
        <v>2233</v>
      </c>
      <c r="Q1111" s="8">
        <v>9000000</v>
      </c>
      <c r="R1111" s="8" t="e">
        <f>SUMIFS([1]REPORTADOS!$D$2:$D$3345,[1]REPORTADOS!$C$2:$C$3345,E1111)</f>
        <v>#VALUE!</v>
      </c>
      <c r="S1111" s="3" t="e">
        <f t="shared" si="18"/>
        <v>#VALUE!</v>
      </c>
    </row>
    <row r="1112" spans="1:19" x14ac:dyDescent="0.25">
      <c r="A1112">
        <v>900091143</v>
      </c>
      <c r="B1112" t="s">
        <v>3100</v>
      </c>
      <c r="C1112" t="s">
        <v>2383</v>
      </c>
      <c r="E1112" t="s">
        <v>2383</v>
      </c>
      <c r="H1112" t="s">
        <v>22</v>
      </c>
      <c r="I1112">
        <v>1085288636</v>
      </c>
      <c r="J1112" t="s">
        <v>2384</v>
      </c>
      <c r="P1112" t="s">
        <v>2204</v>
      </c>
      <c r="Q1112" s="8">
        <v>9000000</v>
      </c>
      <c r="R1112" s="8" t="e">
        <f>SUMIFS([1]REPORTADOS!$D$2:$D$3345,[1]REPORTADOS!$C$2:$C$3345,E1112)</f>
        <v>#VALUE!</v>
      </c>
      <c r="S1112" s="3" t="e">
        <f t="shared" si="18"/>
        <v>#VALUE!</v>
      </c>
    </row>
    <row r="1113" spans="1:19" x14ac:dyDescent="0.25">
      <c r="A1113">
        <v>900091143</v>
      </c>
      <c r="B1113" t="s">
        <v>3101</v>
      </c>
      <c r="C1113" t="s">
        <v>2385</v>
      </c>
      <c r="E1113" t="s">
        <v>2385</v>
      </c>
      <c r="H1113" t="s">
        <v>22</v>
      </c>
      <c r="I1113">
        <v>1004410201</v>
      </c>
      <c r="J1113" t="s">
        <v>2386</v>
      </c>
      <c r="P1113" t="s">
        <v>2204</v>
      </c>
      <c r="Q1113" s="8">
        <v>9000000</v>
      </c>
      <c r="R1113" s="8" t="e">
        <f>SUMIFS([1]REPORTADOS!$D$2:$D$3345,[1]REPORTADOS!$C$2:$C$3345,E1113)</f>
        <v>#VALUE!</v>
      </c>
      <c r="S1113" s="3" t="e">
        <f t="shared" si="18"/>
        <v>#VALUE!</v>
      </c>
    </row>
    <row r="1114" spans="1:19" x14ac:dyDescent="0.25">
      <c r="A1114">
        <v>900091143</v>
      </c>
      <c r="B1114" t="s">
        <v>3102</v>
      </c>
      <c r="C1114" t="s">
        <v>2342</v>
      </c>
      <c r="E1114" t="s">
        <v>2342</v>
      </c>
      <c r="H1114" t="s">
        <v>22</v>
      </c>
      <c r="I1114">
        <v>59837416</v>
      </c>
      <c r="J1114" t="s">
        <v>2343</v>
      </c>
      <c r="P1114" t="s">
        <v>2233</v>
      </c>
      <c r="Q1114" s="8">
        <v>9000000</v>
      </c>
      <c r="R1114" s="8" t="e">
        <f>SUMIFS([1]REPORTADOS!$D$2:$D$3345,[1]REPORTADOS!$C$2:$C$3345,E1114)</f>
        <v>#VALUE!</v>
      </c>
      <c r="S1114" s="3" t="e">
        <f t="shared" si="18"/>
        <v>#VALUE!</v>
      </c>
    </row>
    <row r="1115" spans="1:19" x14ac:dyDescent="0.25">
      <c r="A1115">
        <v>900091143</v>
      </c>
      <c r="B1115" t="s">
        <v>3103</v>
      </c>
      <c r="C1115" t="s">
        <v>2356</v>
      </c>
      <c r="E1115" t="s">
        <v>2356</v>
      </c>
      <c r="H1115" t="s">
        <v>22</v>
      </c>
      <c r="I1115">
        <v>1193218691</v>
      </c>
      <c r="J1115" t="s">
        <v>2357</v>
      </c>
      <c r="P1115" t="s">
        <v>2204</v>
      </c>
      <c r="Q1115" s="8">
        <v>9000000</v>
      </c>
      <c r="R1115" s="8" t="e">
        <f>SUMIFS([1]REPORTADOS!$D$2:$D$3345,[1]REPORTADOS!$C$2:$C$3345,E1115)</f>
        <v>#VALUE!</v>
      </c>
      <c r="S1115" s="3" t="e">
        <f t="shared" si="18"/>
        <v>#VALUE!</v>
      </c>
    </row>
    <row r="1116" spans="1:19" x14ac:dyDescent="0.25">
      <c r="A1116">
        <v>900091143</v>
      </c>
      <c r="B1116" t="s">
        <v>3104</v>
      </c>
      <c r="C1116" t="s">
        <v>2360</v>
      </c>
      <c r="E1116" t="s">
        <v>2360</v>
      </c>
      <c r="H1116" t="s">
        <v>22</v>
      </c>
      <c r="I1116">
        <v>1085272140</v>
      </c>
      <c r="J1116" t="s">
        <v>2361</v>
      </c>
      <c r="P1116" t="s">
        <v>2204</v>
      </c>
      <c r="Q1116" s="8">
        <v>9000000</v>
      </c>
      <c r="R1116" s="8" t="e">
        <f>SUMIFS([1]REPORTADOS!$D$2:$D$3345,[1]REPORTADOS!$C$2:$C$3345,E1116)</f>
        <v>#VALUE!</v>
      </c>
      <c r="S1116" s="3" t="e">
        <f t="shared" si="18"/>
        <v>#VALUE!</v>
      </c>
    </row>
    <row r="1117" spans="1:19" x14ac:dyDescent="0.25">
      <c r="A1117">
        <v>900091143</v>
      </c>
      <c r="B1117" t="s">
        <v>3105</v>
      </c>
      <c r="C1117" t="s">
        <v>2358</v>
      </c>
      <c r="E1117" t="s">
        <v>2358</v>
      </c>
      <c r="H1117" t="s">
        <v>22</v>
      </c>
      <c r="I1117">
        <v>1085313463</v>
      </c>
      <c r="J1117" t="s">
        <v>2359</v>
      </c>
      <c r="P1117" t="s">
        <v>2233</v>
      </c>
      <c r="Q1117" s="8">
        <v>9000000</v>
      </c>
      <c r="R1117" s="8" t="e">
        <f>SUMIFS([1]REPORTADOS!$D$2:$D$3345,[1]REPORTADOS!$C$2:$C$3345,E1117)</f>
        <v>#VALUE!</v>
      </c>
      <c r="S1117" s="3" t="e">
        <f t="shared" si="18"/>
        <v>#VALUE!</v>
      </c>
    </row>
    <row r="1118" spans="1:19" x14ac:dyDescent="0.25">
      <c r="A1118">
        <v>900091143</v>
      </c>
      <c r="B1118" t="s">
        <v>3106</v>
      </c>
      <c r="C1118" t="s">
        <v>2431</v>
      </c>
      <c r="E1118" t="s">
        <v>2431</v>
      </c>
      <c r="H1118" t="s">
        <v>22</v>
      </c>
      <c r="I1118">
        <v>1086328142</v>
      </c>
      <c r="J1118" t="s">
        <v>2432</v>
      </c>
      <c r="P1118" t="s">
        <v>2233</v>
      </c>
      <c r="Q1118" s="8">
        <v>9000000</v>
      </c>
      <c r="R1118" s="8" t="e">
        <f>SUMIFS([1]REPORTADOS!$D$2:$D$3345,[1]REPORTADOS!$C$2:$C$3345,E1118)</f>
        <v>#VALUE!</v>
      </c>
      <c r="S1118" s="3" t="e">
        <f t="shared" si="18"/>
        <v>#VALUE!</v>
      </c>
    </row>
    <row r="1119" spans="1:19" x14ac:dyDescent="0.25">
      <c r="A1119">
        <v>900091143</v>
      </c>
      <c r="B1119" t="s">
        <v>3107</v>
      </c>
      <c r="C1119" t="s">
        <v>2439</v>
      </c>
      <c r="E1119" t="s">
        <v>2439</v>
      </c>
      <c r="H1119" t="s">
        <v>22</v>
      </c>
      <c r="I1119">
        <v>30743783</v>
      </c>
      <c r="J1119" t="s">
        <v>2440</v>
      </c>
      <c r="P1119" t="s">
        <v>2204</v>
      </c>
      <c r="Q1119" s="8">
        <v>9000000</v>
      </c>
      <c r="R1119" s="8" t="e">
        <f>SUMIFS([1]REPORTADOS!$D$2:$D$3345,[1]REPORTADOS!$C$2:$C$3345,E1119)</f>
        <v>#VALUE!</v>
      </c>
      <c r="S1119" s="3" t="e">
        <f t="shared" si="18"/>
        <v>#VALUE!</v>
      </c>
    </row>
    <row r="1120" spans="1:19" x14ac:dyDescent="0.25">
      <c r="A1120">
        <v>900091143</v>
      </c>
      <c r="B1120" t="s">
        <v>3108</v>
      </c>
      <c r="C1120" t="s">
        <v>2441</v>
      </c>
      <c r="E1120" t="s">
        <v>2441</v>
      </c>
      <c r="H1120" t="s">
        <v>22</v>
      </c>
      <c r="I1120">
        <v>98391531</v>
      </c>
      <c r="J1120" t="s">
        <v>2442</v>
      </c>
      <c r="P1120" t="s">
        <v>2204</v>
      </c>
      <c r="Q1120" s="8">
        <v>9000000</v>
      </c>
      <c r="R1120" s="8" t="e">
        <f>SUMIFS([1]REPORTADOS!$D$2:$D$3345,[1]REPORTADOS!$C$2:$C$3345,E1120)</f>
        <v>#VALUE!</v>
      </c>
      <c r="S1120" s="3" t="e">
        <f t="shared" si="18"/>
        <v>#VALUE!</v>
      </c>
    </row>
    <row r="1121" spans="1:19" x14ac:dyDescent="0.25">
      <c r="A1121">
        <v>900091143</v>
      </c>
      <c r="B1121" t="s">
        <v>3109</v>
      </c>
      <c r="C1121" t="s">
        <v>2443</v>
      </c>
      <c r="E1121" t="s">
        <v>2443</v>
      </c>
      <c r="H1121" t="s">
        <v>22</v>
      </c>
      <c r="I1121">
        <v>1085286725</v>
      </c>
      <c r="J1121" t="s">
        <v>1786</v>
      </c>
      <c r="P1121" t="s">
        <v>2233</v>
      </c>
      <c r="Q1121" s="8">
        <v>9000000</v>
      </c>
      <c r="R1121" s="8" t="e">
        <f>SUMIFS([1]REPORTADOS!$D$2:$D$3345,[1]REPORTADOS!$C$2:$C$3345,E1121)</f>
        <v>#VALUE!</v>
      </c>
      <c r="S1121" s="3" t="e">
        <f t="shared" si="18"/>
        <v>#VALUE!</v>
      </c>
    </row>
    <row r="1122" spans="1:19" x14ac:dyDescent="0.25">
      <c r="A1122">
        <v>900091143</v>
      </c>
      <c r="B1122" t="s">
        <v>3110</v>
      </c>
      <c r="C1122" t="s">
        <v>2451</v>
      </c>
      <c r="E1122" t="s">
        <v>2451</v>
      </c>
      <c r="H1122" t="s">
        <v>22</v>
      </c>
      <c r="I1122">
        <v>59311233</v>
      </c>
      <c r="J1122" t="s">
        <v>2452</v>
      </c>
      <c r="P1122" t="s">
        <v>2204</v>
      </c>
      <c r="Q1122" s="8">
        <v>9000000</v>
      </c>
      <c r="R1122" s="8" t="e">
        <f>SUMIFS([1]REPORTADOS!$D$2:$D$3345,[1]REPORTADOS!$C$2:$C$3345,E1122)</f>
        <v>#VALUE!</v>
      </c>
      <c r="S1122" s="3" t="e">
        <f t="shared" si="18"/>
        <v>#VALUE!</v>
      </c>
    </row>
    <row r="1123" spans="1:19" x14ac:dyDescent="0.25">
      <c r="A1123">
        <v>900091143</v>
      </c>
      <c r="B1123" t="s">
        <v>3111</v>
      </c>
      <c r="C1123" t="s">
        <v>2453</v>
      </c>
      <c r="E1123" t="s">
        <v>2453</v>
      </c>
      <c r="H1123" t="s">
        <v>22</v>
      </c>
      <c r="I1123">
        <v>27082649</v>
      </c>
      <c r="J1123" t="s">
        <v>2454</v>
      </c>
      <c r="P1123" t="s">
        <v>2204</v>
      </c>
      <c r="Q1123" s="8">
        <v>9000000</v>
      </c>
      <c r="R1123" s="8" t="e">
        <f>SUMIFS([1]REPORTADOS!$D$2:$D$3345,[1]REPORTADOS!$C$2:$C$3345,E1123)</f>
        <v>#VALUE!</v>
      </c>
      <c r="S1123" s="3" t="e">
        <f t="shared" si="18"/>
        <v>#VALUE!</v>
      </c>
    </row>
    <row r="1124" spans="1:19" x14ac:dyDescent="0.25">
      <c r="A1124">
        <v>900091143</v>
      </c>
      <c r="B1124" t="s">
        <v>3112</v>
      </c>
      <c r="C1124" t="s">
        <v>2455</v>
      </c>
      <c r="E1124" t="s">
        <v>2455</v>
      </c>
      <c r="H1124" t="s">
        <v>22</v>
      </c>
      <c r="I1124">
        <v>69028150</v>
      </c>
      <c r="J1124" t="s">
        <v>1666</v>
      </c>
      <c r="P1124" t="s">
        <v>2204</v>
      </c>
      <c r="Q1124" s="8">
        <v>9000000</v>
      </c>
      <c r="R1124" s="8" t="e">
        <f>SUMIFS([1]REPORTADOS!$D$2:$D$3345,[1]REPORTADOS!$C$2:$C$3345,E1124)</f>
        <v>#VALUE!</v>
      </c>
      <c r="S1124" s="3" t="e">
        <f t="shared" si="18"/>
        <v>#VALUE!</v>
      </c>
    </row>
    <row r="1125" spans="1:19" x14ac:dyDescent="0.25">
      <c r="A1125">
        <v>900091143</v>
      </c>
      <c r="B1125" t="s">
        <v>3113</v>
      </c>
      <c r="C1125" t="s">
        <v>2421</v>
      </c>
      <c r="E1125" t="s">
        <v>2421</v>
      </c>
      <c r="H1125" t="s">
        <v>22</v>
      </c>
      <c r="I1125">
        <v>1085309422</v>
      </c>
      <c r="J1125" t="s">
        <v>2422</v>
      </c>
      <c r="P1125" t="s">
        <v>2204</v>
      </c>
      <c r="Q1125" s="8">
        <v>9000000</v>
      </c>
      <c r="R1125" s="8" t="e">
        <f>SUMIFS([1]REPORTADOS!$D$2:$D$3345,[1]REPORTADOS!$C$2:$C$3345,E1125)</f>
        <v>#VALUE!</v>
      </c>
      <c r="S1125" s="3" t="e">
        <f t="shared" si="18"/>
        <v>#VALUE!</v>
      </c>
    </row>
    <row r="1126" spans="1:19" x14ac:dyDescent="0.25">
      <c r="A1126">
        <v>900091143</v>
      </c>
      <c r="B1126" t="s">
        <v>3114</v>
      </c>
      <c r="C1126" t="s">
        <v>2423</v>
      </c>
      <c r="E1126" t="s">
        <v>2423</v>
      </c>
      <c r="H1126" t="s">
        <v>22</v>
      </c>
      <c r="I1126">
        <v>1137624011</v>
      </c>
      <c r="J1126" t="s">
        <v>2424</v>
      </c>
      <c r="P1126" t="s">
        <v>2204</v>
      </c>
      <c r="Q1126" s="8">
        <v>9000000</v>
      </c>
      <c r="R1126" s="8" t="e">
        <f>SUMIFS([1]REPORTADOS!$D$2:$D$3345,[1]REPORTADOS!$C$2:$C$3345,E1126)</f>
        <v>#VALUE!</v>
      </c>
      <c r="S1126" s="3" t="e">
        <f t="shared" si="18"/>
        <v>#VALUE!</v>
      </c>
    </row>
    <row r="1127" spans="1:19" x14ac:dyDescent="0.25">
      <c r="A1127">
        <v>900091143</v>
      </c>
      <c r="B1127" t="s">
        <v>3115</v>
      </c>
      <c r="C1127" t="s">
        <v>2430</v>
      </c>
      <c r="E1127" t="s">
        <v>2430</v>
      </c>
      <c r="H1127" t="s">
        <v>22</v>
      </c>
      <c r="I1127">
        <v>59813323</v>
      </c>
      <c r="J1127" t="s">
        <v>1995</v>
      </c>
      <c r="P1127" t="s">
        <v>2233</v>
      </c>
      <c r="Q1127" s="8">
        <v>9000000</v>
      </c>
      <c r="R1127" s="8" t="e">
        <f>SUMIFS([1]REPORTADOS!$D$2:$D$3345,[1]REPORTADOS!$C$2:$C$3345,E1127)</f>
        <v>#VALUE!</v>
      </c>
      <c r="S1127" s="3" t="e">
        <f t="shared" si="18"/>
        <v>#VALUE!</v>
      </c>
    </row>
    <row r="1128" spans="1:19" x14ac:dyDescent="0.25">
      <c r="A1128">
        <v>900091143</v>
      </c>
      <c r="B1128" t="s">
        <v>3116</v>
      </c>
      <c r="C1128" t="s">
        <v>2414</v>
      </c>
      <c r="E1128" t="s">
        <v>2414</v>
      </c>
      <c r="H1128" t="s">
        <v>22</v>
      </c>
      <c r="I1128">
        <v>1010082397</v>
      </c>
      <c r="J1128" t="s">
        <v>1799</v>
      </c>
      <c r="P1128" t="s">
        <v>2233</v>
      </c>
      <c r="Q1128" s="8">
        <v>9000000</v>
      </c>
      <c r="R1128" s="8" t="e">
        <f>SUMIFS([1]REPORTADOS!$D$2:$D$3345,[1]REPORTADOS!$C$2:$C$3345,E1128)</f>
        <v>#VALUE!</v>
      </c>
      <c r="S1128" s="3" t="e">
        <f t="shared" si="18"/>
        <v>#VALUE!</v>
      </c>
    </row>
    <row r="1129" spans="1:19" x14ac:dyDescent="0.25">
      <c r="A1129">
        <v>900091143</v>
      </c>
      <c r="B1129" t="s">
        <v>3117</v>
      </c>
      <c r="C1129" t="s">
        <v>2449</v>
      </c>
      <c r="E1129" t="s">
        <v>2449</v>
      </c>
      <c r="H1129" t="s">
        <v>22</v>
      </c>
      <c r="I1129">
        <v>1080040858</v>
      </c>
      <c r="J1129" t="s">
        <v>2450</v>
      </c>
      <c r="P1129" t="s">
        <v>2233</v>
      </c>
      <c r="Q1129" s="8">
        <v>9000000</v>
      </c>
      <c r="R1129" s="8" t="e">
        <f>SUMIFS([1]REPORTADOS!$D$2:$D$3345,[1]REPORTADOS!$C$2:$C$3345,E1129)</f>
        <v>#VALUE!</v>
      </c>
      <c r="S1129" s="3" t="e">
        <f t="shared" si="18"/>
        <v>#VALUE!</v>
      </c>
    </row>
    <row r="1130" spans="1:19" x14ac:dyDescent="0.25">
      <c r="A1130">
        <v>900091143</v>
      </c>
      <c r="B1130" t="s">
        <v>3118</v>
      </c>
      <c r="C1130" t="s">
        <v>2416</v>
      </c>
      <c r="E1130" t="s">
        <v>2416</v>
      </c>
      <c r="H1130" t="s">
        <v>22</v>
      </c>
      <c r="I1130">
        <v>1085277516</v>
      </c>
      <c r="J1130" t="s">
        <v>2417</v>
      </c>
      <c r="P1130" t="s">
        <v>2418</v>
      </c>
      <c r="Q1130" s="8">
        <v>9000000</v>
      </c>
      <c r="R1130" s="8" t="e">
        <f>SUMIFS([1]REPORTADOS!$D$2:$D$3345,[1]REPORTADOS!$C$2:$C$3345,E1130)</f>
        <v>#VALUE!</v>
      </c>
      <c r="S1130" s="3" t="e">
        <f t="shared" si="18"/>
        <v>#VALUE!</v>
      </c>
    </row>
    <row r="1131" spans="1:19" x14ac:dyDescent="0.25">
      <c r="A1131">
        <v>900091143</v>
      </c>
      <c r="B1131" t="s">
        <v>3119</v>
      </c>
      <c r="C1131" t="s">
        <v>2419</v>
      </c>
      <c r="E1131" t="s">
        <v>2419</v>
      </c>
      <c r="H1131" t="s">
        <v>22</v>
      </c>
      <c r="I1131">
        <v>1085325718</v>
      </c>
      <c r="J1131" t="s">
        <v>2420</v>
      </c>
      <c r="P1131" t="s">
        <v>2233</v>
      </c>
      <c r="Q1131" s="8">
        <v>9000000</v>
      </c>
      <c r="R1131" s="8" t="e">
        <f>SUMIFS([1]REPORTADOS!$D$2:$D$3345,[1]REPORTADOS!$C$2:$C$3345,E1131)</f>
        <v>#VALUE!</v>
      </c>
      <c r="S1131" s="3" t="e">
        <f t="shared" si="18"/>
        <v>#VALUE!</v>
      </c>
    </row>
    <row r="1132" spans="1:19" x14ac:dyDescent="0.25">
      <c r="A1132">
        <v>900091143</v>
      </c>
      <c r="B1132" t="s">
        <v>3120</v>
      </c>
      <c r="C1132" t="s">
        <v>2445</v>
      </c>
      <c r="E1132" t="s">
        <v>2445</v>
      </c>
      <c r="H1132" t="s">
        <v>22</v>
      </c>
      <c r="I1132">
        <v>1004135064</v>
      </c>
      <c r="J1132" t="s">
        <v>2446</v>
      </c>
      <c r="P1132" t="s">
        <v>2389</v>
      </c>
      <c r="Q1132" s="8">
        <v>9000000</v>
      </c>
      <c r="R1132" s="8" t="e">
        <f>SUMIFS([1]REPORTADOS!$D$2:$D$3345,[1]REPORTADOS!$C$2:$C$3345,E1132)</f>
        <v>#VALUE!</v>
      </c>
      <c r="S1132" s="3" t="e">
        <f t="shared" si="18"/>
        <v>#VALUE!</v>
      </c>
    </row>
    <row r="1133" spans="1:19" x14ac:dyDescent="0.25">
      <c r="A1133">
        <v>900091143</v>
      </c>
      <c r="B1133" t="s">
        <v>3121</v>
      </c>
      <c r="C1133" t="s">
        <v>2470</v>
      </c>
      <c r="E1133" t="s">
        <v>2470</v>
      </c>
      <c r="H1133" t="s">
        <v>22</v>
      </c>
      <c r="I1133">
        <v>59310433</v>
      </c>
      <c r="J1133" t="s">
        <v>2471</v>
      </c>
      <c r="P1133" t="s">
        <v>2472</v>
      </c>
      <c r="Q1133" s="8">
        <v>9000000</v>
      </c>
      <c r="R1133" s="8" t="e">
        <f>SUMIFS([1]REPORTADOS!$D$2:$D$3345,[1]REPORTADOS!$C$2:$C$3345,E1133)</f>
        <v>#VALUE!</v>
      </c>
      <c r="S1133" s="3" t="e">
        <f t="shared" si="18"/>
        <v>#VALUE!</v>
      </c>
    </row>
    <row r="1134" spans="1:19" x14ac:dyDescent="0.25">
      <c r="A1134">
        <v>900091143</v>
      </c>
      <c r="B1134" t="s">
        <v>3122</v>
      </c>
      <c r="C1134" t="s">
        <v>2475</v>
      </c>
      <c r="E1134" t="s">
        <v>2475</v>
      </c>
      <c r="H1134" t="s">
        <v>22</v>
      </c>
      <c r="I1134">
        <v>1085339190</v>
      </c>
      <c r="J1134" t="s">
        <v>2476</v>
      </c>
      <c r="P1134" t="s">
        <v>2100</v>
      </c>
      <c r="Q1134" s="8">
        <v>9000000</v>
      </c>
      <c r="R1134" s="8" t="e">
        <f>SUMIFS([1]REPORTADOS!$D$2:$D$3345,[1]REPORTADOS!$C$2:$C$3345,E1134)</f>
        <v>#VALUE!</v>
      </c>
      <c r="S1134" s="3" t="e">
        <f t="shared" si="18"/>
        <v>#VALUE!</v>
      </c>
    </row>
    <row r="1135" spans="1:19" x14ac:dyDescent="0.25">
      <c r="A1135">
        <v>900091143</v>
      </c>
      <c r="B1135" t="s">
        <v>3123</v>
      </c>
      <c r="C1135" t="s">
        <v>2477</v>
      </c>
      <c r="E1135" t="s">
        <v>2477</v>
      </c>
      <c r="H1135" t="s">
        <v>22</v>
      </c>
      <c r="I1135">
        <v>1085338575</v>
      </c>
      <c r="J1135" t="s">
        <v>2478</v>
      </c>
      <c r="P1135" t="s">
        <v>2233</v>
      </c>
      <c r="Q1135" s="8">
        <v>9000000</v>
      </c>
      <c r="R1135" s="8" t="e">
        <f>SUMIFS([1]REPORTADOS!$D$2:$D$3345,[1]REPORTADOS!$C$2:$C$3345,E1135)</f>
        <v>#VALUE!</v>
      </c>
      <c r="S1135" s="3" t="e">
        <f t="shared" si="18"/>
        <v>#VALUE!</v>
      </c>
    </row>
    <row r="1136" spans="1:19" x14ac:dyDescent="0.25">
      <c r="A1136">
        <v>900091143</v>
      </c>
      <c r="B1136" t="s">
        <v>3124</v>
      </c>
      <c r="C1136" t="s">
        <v>2479</v>
      </c>
      <c r="E1136" t="s">
        <v>2479</v>
      </c>
      <c r="H1136" t="s">
        <v>22</v>
      </c>
      <c r="I1136">
        <v>1004299312</v>
      </c>
      <c r="J1136" t="s">
        <v>2480</v>
      </c>
      <c r="P1136" t="s">
        <v>2472</v>
      </c>
      <c r="Q1136" s="8">
        <v>9000000</v>
      </c>
      <c r="R1136" s="8" t="e">
        <f>SUMIFS([1]REPORTADOS!$D$2:$D$3345,[1]REPORTADOS!$C$2:$C$3345,E1136)</f>
        <v>#VALUE!</v>
      </c>
      <c r="S1136" s="3" t="e">
        <f t="shared" ref="S1136:S1199" si="19">Q1136-R1136</f>
        <v>#VALUE!</v>
      </c>
    </row>
    <row r="1137" spans="1:19" x14ac:dyDescent="0.25">
      <c r="A1137">
        <v>900091143</v>
      </c>
      <c r="B1137" t="s">
        <v>3125</v>
      </c>
      <c r="C1137" t="s">
        <v>2490</v>
      </c>
      <c r="E1137" t="s">
        <v>2490</v>
      </c>
      <c r="H1137" t="s">
        <v>22</v>
      </c>
      <c r="I1137">
        <v>1081276146</v>
      </c>
      <c r="J1137" t="s">
        <v>2491</v>
      </c>
      <c r="P1137" t="s">
        <v>2233</v>
      </c>
      <c r="Q1137" s="8">
        <v>9000000</v>
      </c>
      <c r="R1137" s="8" t="e">
        <f>SUMIFS([1]REPORTADOS!$D$2:$D$3345,[1]REPORTADOS!$C$2:$C$3345,E1137)</f>
        <v>#VALUE!</v>
      </c>
      <c r="S1137" s="3" t="e">
        <f t="shared" si="19"/>
        <v>#VALUE!</v>
      </c>
    </row>
    <row r="1138" spans="1:19" x14ac:dyDescent="0.25">
      <c r="A1138">
        <v>900091143</v>
      </c>
      <c r="B1138" t="s">
        <v>3126</v>
      </c>
      <c r="C1138" t="s">
        <v>2492</v>
      </c>
      <c r="E1138" t="s">
        <v>2492</v>
      </c>
      <c r="H1138" t="s">
        <v>22</v>
      </c>
      <c r="I1138">
        <v>1084224968</v>
      </c>
      <c r="J1138" t="s">
        <v>2493</v>
      </c>
      <c r="P1138" t="s">
        <v>2233</v>
      </c>
      <c r="Q1138" s="8">
        <v>9000000</v>
      </c>
      <c r="R1138" s="8" t="e">
        <f>SUMIFS([1]REPORTADOS!$D$2:$D$3345,[1]REPORTADOS!$C$2:$C$3345,E1138)</f>
        <v>#VALUE!</v>
      </c>
      <c r="S1138" s="3" t="e">
        <f t="shared" si="19"/>
        <v>#VALUE!</v>
      </c>
    </row>
    <row r="1139" spans="1:19" x14ac:dyDescent="0.25">
      <c r="A1139">
        <v>900091143</v>
      </c>
      <c r="B1139" t="s">
        <v>3127</v>
      </c>
      <c r="C1139" t="s">
        <v>2494</v>
      </c>
      <c r="E1139" t="s">
        <v>2494</v>
      </c>
      <c r="H1139" t="s">
        <v>22</v>
      </c>
      <c r="I1139">
        <v>1080043348</v>
      </c>
      <c r="J1139" t="s">
        <v>2495</v>
      </c>
      <c r="P1139" t="s">
        <v>2204</v>
      </c>
      <c r="Q1139" s="8">
        <v>9000000</v>
      </c>
      <c r="R1139" s="8" t="e">
        <f>SUMIFS([1]REPORTADOS!$D$2:$D$3345,[1]REPORTADOS!$C$2:$C$3345,E1139)</f>
        <v>#VALUE!</v>
      </c>
      <c r="S1139" s="3" t="e">
        <f t="shared" si="19"/>
        <v>#VALUE!</v>
      </c>
    </row>
    <row r="1140" spans="1:19" x14ac:dyDescent="0.25">
      <c r="A1140">
        <v>900091143</v>
      </c>
      <c r="B1140" t="s">
        <v>3128</v>
      </c>
      <c r="C1140" t="s">
        <v>2510</v>
      </c>
      <c r="E1140" t="s">
        <v>2510</v>
      </c>
      <c r="H1140" t="s">
        <v>22</v>
      </c>
      <c r="I1140">
        <v>1085324685</v>
      </c>
      <c r="J1140" t="s">
        <v>2511</v>
      </c>
      <c r="P1140" t="s">
        <v>2204</v>
      </c>
      <c r="Q1140" s="8">
        <v>9000000</v>
      </c>
      <c r="R1140" s="8" t="e">
        <f>SUMIFS([1]REPORTADOS!$D$2:$D$3345,[1]REPORTADOS!$C$2:$C$3345,E1140)</f>
        <v>#VALUE!</v>
      </c>
      <c r="S1140" s="3" t="e">
        <f t="shared" si="19"/>
        <v>#VALUE!</v>
      </c>
    </row>
    <row r="1141" spans="1:19" x14ac:dyDescent="0.25">
      <c r="A1141">
        <v>900091143</v>
      </c>
      <c r="B1141" t="s">
        <v>3129</v>
      </c>
      <c r="C1141" t="s">
        <v>2512</v>
      </c>
      <c r="E1141" t="s">
        <v>2512</v>
      </c>
      <c r="H1141" t="s">
        <v>22</v>
      </c>
      <c r="I1141">
        <v>37083086</v>
      </c>
      <c r="J1141" t="s">
        <v>2513</v>
      </c>
      <c r="P1141" t="s">
        <v>2204</v>
      </c>
      <c r="Q1141" s="8">
        <v>9000000</v>
      </c>
      <c r="R1141" s="8" t="e">
        <f>SUMIFS([1]REPORTADOS!$D$2:$D$3345,[1]REPORTADOS!$C$2:$C$3345,E1141)</f>
        <v>#VALUE!</v>
      </c>
      <c r="S1141" s="3" t="e">
        <f t="shared" si="19"/>
        <v>#VALUE!</v>
      </c>
    </row>
    <row r="1142" spans="1:19" x14ac:dyDescent="0.25">
      <c r="A1142">
        <v>900091143</v>
      </c>
      <c r="B1142" t="s">
        <v>3130</v>
      </c>
      <c r="C1142" t="s">
        <v>2517</v>
      </c>
      <c r="E1142" t="s">
        <v>2517</v>
      </c>
      <c r="H1142" t="s">
        <v>22</v>
      </c>
      <c r="I1142">
        <v>119265360</v>
      </c>
      <c r="J1142" t="s">
        <v>2518</v>
      </c>
      <c r="P1142" t="s">
        <v>2519</v>
      </c>
      <c r="Q1142" s="8">
        <v>9000000</v>
      </c>
      <c r="R1142" s="8" t="e">
        <f>SUMIFS([1]REPORTADOS!$D$2:$D$3345,[1]REPORTADOS!$C$2:$C$3345,E1142)</f>
        <v>#VALUE!</v>
      </c>
      <c r="S1142" s="3" t="e">
        <f t="shared" si="19"/>
        <v>#VALUE!</v>
      </c>
    </row>
    <row r="1143" spans="1:19" x14ac:dyDescent="0.25">
      <c r="A1143">
        <v>900091143</v>
      </c>
      <c r="B1143" t="s">
        <v>3131</v>
      </c>
      <c r="C1143" t="s">
        <v>2500</v>
      </c>
      <c r="E1143" t="s">
        <v>2500</v>
      </c>
      <c r="H1143" t="s">
        <v>22</v>
      </c>
      <c r="I1143">
        <v>1085330237</v>
      </c>
      <c r="J1143" t="s">
        <v>2501</v>
      </c>
      <c r="P1143" t="s">
        <v>2233</v>
      </c>
      <c r="Q1143" s="8">
        <v>9000000</v>
      </c>
      <c r="R1143" s="8" t="e">
        <f>SUMIFS([1]REPORTADOS!$D$2:$D$3345,[1]REPORTADOS!$C$2:$C$3345,E1143)</f>
        <v>#VALUE!</v>
      </c>
      <c r="S1143" s="3" t="e">
        <f t="shared" si="19"/>
        <v>#VALUE!</v>
      </c>
    </row>
    <row r="1144" spans="1:19" x14ac:dyDescent="0.25">
      <c r="A1144">
        <v>900091143</v>
      </c>
      <c r="B1144" t="s">
        <v>3132</v>
      </c>
      <c r="C1144" t="s">
        <v>2557</v>
      </c>
      <c r="E1144" t="s">
        <v>2557</v>
      </c>
      <c r="H1144" t="s">
        <v>22</v>
      </c>
      <c r="I1144">
        <v>1085310350</v>
      </c>
      <c r="J1144" t="s">
        <v>2558</v>
      </c>
      <c r="P1144" t="s">
        <v>2204</v>
      </c>
      <c r="Q1144" s="8">
        <v>9000000</v>
      </c>
      <c r="R1144" s="8" t="e">
        <f>SUMIFS([1]REPORTADOS!$D$2:$D$3345,[1]REPORTADOS!$C$2:$C$3345,E1144)</f>
        <v>#VALUE!</v>
      </c>
      <c r="S1144" s="3" t="e">
        <f t="shared" si="19"/>
        <v>#VALUE!</v>
      </c>
    </row>
    <row r="1145" spans="1:19" x14ac:dyDescent="0.25">
      <c r="A1145">
        <v>900091143</v>
      </c>
      <c r="B1145" t="s">
        <v>3133</v>
      </c>
      <c r="C1145" t="s">
        <v>2543</v>
      </c>
      <c r="E1145" t="s">
        <v>2543</v>
      </c>
      <c r="H1145" t="s">
        <v>22</v>
      </c>
      <c r="I1145">
        <v>1004215136</v>
      </c>
      <c r="J1145" t="s">
        <v>2544</v>
      </c>
      <c r="P1145" t="s">
        <v>2537</v>
      </c>
      <c r="Q1145" s="8">
        <v>9000000</v>
      </c>
      <c r="R1145" s="8" t="e">
        <f>SUMIFS([1]REPORTADOS!$D$2:$D$3345,[1]REPORTADOS!$C$2:$C$3345,E1145)</f>
        <v>#VALUE!</v>
      </c>
      <c r="S1145" s="3" t="e">
        <f t="shared" si="19"/>
        <v>#VALUE!</v>
      </c>
    </row>
    <row r="1146" spans="1:19" x14ac:dyDescent="0.25">
      <c r="A1146">
        <v>900091143</v>
      </c>
      <c r="B1146" t="s">
        <v>3134</v>
      </c>
      <c r="C1146" t="s">
        <v>2549</v>
      </c>
      <c r="E1146" t="s">
        <v>2549</v>
      </c>
      <c r="H1146" t="s">
        <v>22</v>
      </c>
      <c r="I1146">
        <v>59311295</v>
      </c>
      <c r="J1146" t="s">
        <v>2550</v>
      </c>
      <c r="P1146" t="s">
        <v>2551</v>
      </c>
      <c r="Q1146" s="8">
        <v>9000000</v>
      </c>
      <c r="R1146" s="8" t="e">
        <f>SUMIFS([1]REPORTADOS!$D$2:$D$3345,[1]REPORTADOS!$C$2:$C$3345,E1146)</f>
        <v>#VALUE!</v>
      </c>
      <c r="S1146" s="3" t="e">
        <f t="shared" si="19"/>
        <v>#VALUE!</v>
      </c>
    </row>
    <row r="1147" spans="1:19" x14ac:dyDescent="0.25">
      <c r="A1147">
        <v>900091143</v>
      </c>
      <c r="B1147" t="s">
        <v>3135</v>
      </c>
      <c r="C1147" t="s">
        <v>2535</v>
      </c>
      <c r="E1147" t="s">
        <v>2535</v>
      </c>
      <c r="H1147" t="s">
        <v>22</v>
      </c>
      <c r="I1147">
        <v>5930737</v>
      </c>
      <c r="J1147" t="s">
        <v>2536</v>
      </c>
      <c r="P1147" t="s">
        <v>2537</v>
      </c>
      <c r="Q1147" s="8">
        <v>9000000</v>
      </c>
      <c r="R1147" s="8" t="e">
        <f>SUMIFS([1]REPORTADOS!$D$2:$D$3345,[1]REPORTADOS!$C$2:$C$3345,E1147)</f>
        <v>#VALUE!</v>
      </c>
      <c r="S1147" s="3" t="e">
        <f t="shared" si="19"/>
        <v>#VALUE!</v>
      </c>
    </row>
    <row r="1148" spans="1:19" x14ac:dyDescent="0.25">
      <c r="A1148">
        <v>900091143</v>
      </c>
      <c r="B1148" t="s">
        <v>3136</v>
      </c>
      <c r="C1148" t="s">
        <v>2538</v>
      </c>
      <c r="E1148" t="s">
        <v>2538</v>
      </c>
      <c r="H1148" t="s">
        <v>22</v>
      </c>
      <c r="I1148">
        <v>1085275473</v>
      </c>
      <c r="J1148" t="s">
        <v>2539</v>
      </c>
      <c r="P1148" t="s">
        <v>2540</v>
      </c>
      <c r="Q1148" s="8">
        <v>9000000</v>
      </c>
      <c r="R1148" s="8" t="e">
        <f>SUMIFS([1]REPORTADOS!$D$2:$D$3345,[1]REPORTADOS!$C$2:$C$3345,E1148)</f>
        <v>#VALUE!</v>
      </c>
      <c r="S1148" s="3" t="e">
        <f t="shared" si="19"/>
        <v>#VALUE!</v>
      </c>
    </row>
    <row r="1149" spans="1:19" x14ac:dyDescent="0.25">
      <c r="A1149">
        <v>900091143</v>
      </c>
      <c r="B1149" t="s">
        <v>3137</v>
      </c>
      <c r="C1149" t="s">
        <v>2573</v>
      </c>
      <c r="E1149" t="s">
        <v>2573</v>
      </c>
      <c r="H1149" t="s">
        <v>22</v>
      </c>
      <c r="I1149">
        <v>1085252263</v>
      </c>
      <c r="J1149" t="s">
        <v>2574</v>
      </c>
      <c r="P1149" t="s">
        <v>2233</v>
      </c>
      <c r="Q1149" s="8">
        <v>9000000</v>
      </c>
      <c r="R1149" s="8" t="e">
        <f>SUMIFS([1]REPORTADOS!$D$2:$D$3345,[1]REPORTADOS!$C$2:$C$3345,E1149)</f>
        <v>#VALUE!</v>
      </c>
      <c r="S1149" s="3" t="e">
        <f t="shared" si="19"/>
        <v>#VALUE!</v>
      </c>
    </row>
    <row r="1150" spans="1:19" x14ac:dyDescent="0.25">
      <c r="A1150">
        <v>900091143</v>
      </c>
      <c r="B1150" t="s">
        <v>3138</v>
      </c>
      <c r="C1150" t="s">
        <v>2575</v>
      </c>
      <c r="E1150" t="s">
        <v>2575</v>
      </c>
      <c r="H1150" t="s">
        <v>22</v>
      </c>
      <c r="I1150">
        <v>1085319295</v>
      </c>
      <c r="J1150" t="s">
        <v>2576</v>
      </c>
      <c r="P1150" t="s">
        <v>2540</v>
      </c>
      <c r="Q1150" s="8">
        <v>9000000</v>
      </c>
      <c r="R1150" s="8" t="e">
        <f>SUMIFS([1]REPORTADOS!$D$2:$D$3345,[1]REPORTADOS!$C$2:$C$3345,E1150)</f>
        <v>#VALUE!</v>
      </c>
      <c r="S1150" s="3" t="e">
        <f t="shared" si="19"/>
        <v>#VALUE!</v>
      </c>
    </row>
    <row r="1151" spans="1:19" x14ac:dyDescent="0.25">
      <c r="A1151">
        <v>900091143</v>
      </c>
      <c r="B1151" t="s">
        <v>3139</v>
      </c>
      <c r="C1151" t="s">
        <v>2589</v>
      </c>
      <c r="E1151" t="s">
        <v>2589</v>
      </c>
      <c r="H1151" t="s">
        <v>22</v>
      </c>
      <c r="I1151">
        <v>1085322676</v>
      </c>
      <c r="J1151" t="s">
        <v>2590</v>
      </c>
      <c r="P1151" t="s">
        <v>2204</v>
      </c>
      <c r="Q1151" s="8">
        <v>9000000</v>
      </c>
      <c r="R1151" s="8" t="e">
        <f>SUMIFS([1]REPORTADOS!$D$2:$D$3345,[1]REPORTADOS!$C$2:$C$3345,E1151)</f>
        <v>#VALUE!</v>
      </c>
      <c r="S1151" s="3" t="e">
        <f t="shared" si="19"/>
        <v>#VALUE!</v>
      </c>
    </row>
    <row r="1152" spans="1:19" x14ac:dyDescent="0.25">
      <c r="A1152">
        <v>900091143</v>
      </c>
      <c r="B1152" t="s">
        <v>3140</v>
      </c>
      <c r="C1152" t="s">
        <v>2566</v>
      </c>
      <c r="E1152" t="s">
        <v>2566</v>
      </c>
      <c r="H1152" t="s">
        <v>22</v>
      </c>
      <c r="I1152">
        <v>1080046034</v>
      </c>
      <c r="J1152" t="s">
        <v>2567</v>
      </c>
      <c r="P1152" t="s">
        <v>2204</v>
      </c>
      <c r="Q1152" s="8">
        <v>9000000</v>
      </c>
      <c r="R1152" s="8" t="e">
        <f>SUMIFS([1]REPORTADOS!$D$2:$D$3345,[1]REPORTADOS!$C$2:$C$3345,E1152)</f>
        <v>#VALUE!</v>
      </c>
      <c r="S1152" s="3" t="e">
        <f t="shared" si="19"/>
        <v>#VALUE!</v>
      </c>
    </row>
    <row r="1153" spans="1:19" x14ac:dyDescent="0.25">
      <c r="A1153">
        <v>900091143</v>
      </c>
      <c r="B1153" t="s">
        <v>3141</v>
      </c>
      <c r="C1153" t="s">
        <v>2625</v>
      </c>
      <c r="E1153" t="s">
        <v>2625</v>
      </c>
      <c r="H1153" t="s">
        <v>22</v>
      </c>
      <c r="I1153">
        <v>1085286742</v>
      </c>
      <c r="J1153" t="s">
        <v>1774</v>
      </c>
      <c r="P1153" t="s">
        <v>2233</v>
      </c>
      <c r="Q1153" s="8">
        <v>8100000</v>
      </c>
      <c r="R1153" s="8" t="e">
        <f>SUMIFS([1]REPORTADOS!$D$2:$D$3345,[1]REPORTADOS!$C$2:$C$3345,E1153)</f>
        <v>#VALUE!</v>
      </c>
      <c r="S1153" s="3" t="e">
        <f t="shared" si="19"/>
        <v>#VALUE!</v>
      </c>
    </row>
    <row r="1154" spans="1:19" x14ac:dyDescent="0.25">
      <c r="A1154">
        <v>900091143</v>
      </c>
      <c r="B1154" t="s">
        <v>3142</v>
      </c>
      <c r="C1154" t="s">
        <v>2730</v>
      </c>
      <c r="E1154" t="s">
        <v>2730</v>
      </c>
      <c r="H1154" t="s">
        <v>22</v>
      </c>
      <c r="I1154">
        <v>31324345</v>
      </c>
      <c r="J1154" t="s">
        <v>2731</v>
      </c>
      <c r="P1154" t="s">
        <v>2119</v>
      </c>
      <c r="Q1154" s="8">
        <v>7558600</v>
      </c>
      <c r="R1154" s="8" t="e">
        <f>SUMIFS([1]REPORTADOS!$D$2:$D$3345,[1]REPORTADOS!$C$2:$C$3345,E1154)</f>
        <v>#VALUE!</v>
      </c>
      <c r="S1154" s="3" t="e">
        <f t="shared" si="19"/>
        <v>#VALUE!</v>
      </c>
    </row>
    <row r="1155" spans="1:19" x14ac:dyDescent="0.25">
      <c r="A1155">
        <v>900091143</v>
      </c>
      <c r="B1155" t="s">
        <v>3143</v>
      </c>
      <c r="C1155" t="s">
        <v>2736</v>
      </c>
      <c r="E1155" t="s">
        <v>2736</v>
      </c>
      <c r="H1155" t="s">
        <v>22</v>
      </c>
      <c r="I1155">
        <v>59835376</v>
      </c>
      <c r="J1155" t="s">
        <v>2075</v>
      </c>
      <c r="P1155" t="s">
        <v>2119</v>
      </c>
      <c r="Q1155" s="8">
        <v>7558600</v>
      </c>
      <c r="R1155" s="8" t="e">
        <f>SUMIFS([1]REPORTADOS!$D$2:$D$3345,[1]REPORTADOS!$C$2:$C$3345,E1155)</f>
        <v>#VALUE!</v>
      </c>
      <c r="S1155" s="3" t="e">
        <f t="shared" si="19"/>
        <v>#VALUE!</v>
      </c>
    </row>
    <row r="1156" spans="1:19" x14ac:dyDescent="0.25">
      <c r="A1156">
        <v>900091143</v>
      </c>
      <c r="B1156" t="s">
        <v>3144</v>
      </c>
      <c r="C1156" t="s">
        <v>2289</v>
      </c>
      <c r="E1156" t="s">
        <v>2289</v>
      </c>
      <c r="H1156" t="s">
        <v>22</v>
      </c>
      <c r="I1156">
        <v>12974849</v>
      </c>
      <c r="J1156" t="s">
        <v>2290</v>
      </c>
      <c r="P1156" t="s">
        <v>2291</v>
      </c>
      <c r="Q1156" s="8">
        <v>7500000</v>
      </c>
      <c r="R1156" s="8" t="e">
        <f>SUMIFS([1]REPORTADOS!$D$2:$D$3345,[1]REPORTADOS!$C$2:$C$3345,E1156)</f>
        <v>#VALUE!</v>
      </c>
      <c r="S1156" s="3" t="e">
        <f t="shared" si="19"/>
        <v>#VALUE!</v>
      </c>
    </row>
    <row r="1157" spans="1:19" x14ac:dyDescent="0.25">
      <c r="A1157">
        <v>900091143</v>
      </c>
      <c r="B1157" t="s">
        <v>3145</v>
      </c>
      <c r="C1157" t="s">
        <v>2397</v>
      </c>
      <c r="E1157" t="s">
        <v>2397</v>
      </c>
      <c r="H1157" t="s">
        <v>22</v>
      </c>
      <c r="I1157">
        <v>1085327836</v>
      </c>
      <c r="J1157" t="s">
        <v>2023</v>
      </c>
      <c r="P1157" t="s">
        <v>2291</v>
      </c>
      <c r="Q1157" s="8">
        <v>7500000</v>
      </c>
      <c r="R1157" s="8" t="e">
        <f>SUMIFS([1]REPORTADOS!$D$2:$D$3345,[1]REPORTADOS!$C$2:$C$3345,E1157)</f>
        <v>#VALUE!</v>
      </c>
      <c r="S1157" s="3" t="e">
        <f t="shared" si="19"/>
        <v>#VALUE!</v>
      </c>
    </row>
    <row r="1158" spans="1:19" x14ac:dyDescent="0.25">
      <c r="A1158">
        <v>900091143</v>
      </c>
      <c r="B1158" t="s">
        <v>3146</v>
      </c>
      <c r="C1158" t="s">
        <v>2393</v>
      </c>
      <c r="E1158" t="s">
        <v>2393</v>
      </c>
      <c r="H1158" t="s">
        <v>22</v>
      </c>
      <c r="I1158">
        <v>37087268</v>
      </c>
      <c r="J1158" t="s">
        <v>1730</v>
      </c>
      <c r="P1158" t="s">
        <v>2291</v>
      </c>
      <c r="Q1158" s="8">
        <v>7500000</v>
      </c>
      <c r="R1158" s="8" t="e">
        <f>SUMIFS([1]REPORTADOS!$D$2:$D$3345,[1]REPORTADOS!$C$2:$C$3345,E1158)</f>
        <v>#VALUE!</v>
      </c>
      <c r="S1158" s="3" t="e">
        <f t="shared" si="19"/>
        <v>#VALUE!</v>
      </c>
    </row>
    <row r="1159" spans="1:19" x14ac:dyDescent="0.25">
      <c r="A1159">
        <v>900091143</v>
      </c>
      <c r="B1159" t="s">
        <v>3147</v>
      </c>
      <c r="C1159" t="s">
        <v>2392</v>
      </c>
      <c r="E1159" t="s">
        <v>2392</v>
      </c>
      <c r="H1159" t="s">
        <v>22</v>
      </c>
      <c r="I1159">
        <v>59830219</v>
      </c>
      <c r="J1159" t="s">
        <v>1872</v>
      </c>
      <c r="P1159" t="s">
        <v>2291</v>
      </c>
      <c r="Q1159" s="8">
        <v>7500000</v>
      </c>
      <c r="R1159" s="8" t="e">
        <f>SUMIFS([1]REPORTADOS!$D$2:$D$3345,[1]REPORTADOS!$C$2:$C$3345,E1159)</f>
        <v>#VALUE!</v>
      </c>
      <c r="S1159" s="3" t="e">
        <f t="shared" si="19"/>
        <v>#VALUE!</v>
      </c>
    </row>
    <row r="1160" spans="1:19" x14ac:dyDescent="0.25">
      <c r="A1160">
        <v>900091143</v>
      </c>
      <c r="B1160" t="s">
        <v>3148</v>
      </c>
      <c r="C1160" t="s">
        <v>2408</v>
      </c>
      <c r="E1160" t="s">
        <v>2408</v>
      </c>
      <c r="H1160" t="s">
        <v>22</v>
      </c>
      <c r="I1160">
        <v>36759281</v>
      </c>
      <c r="J1160" t="s">
        <v>2409</v>
      </c>
      <c r="P1160" t="s">
        <v>2291</v>
      </c>
      <c r="Q1160" s="8">
        <v>7500000</v>
      </c>
      <c r="R1160" s="8" t="e">
        <f>SUMIFS([1]REPORTADOS!$D$2:$D$3345,[1]REPORTADOS!$C$2:$C$3345,E1160)</f>
        <v>#VALUE!</v>
      </c>
      <c r="S1160" s="3" t="e">
        <f t="shared" si="19"/>
        <v>#VALUE!</v>
      </c>
    </row>
    <row r="1161" spans="1:19" x14ac:dyDescent="0.25">
      <c r="A1161">
        <v>900091143</v>
      </c>
      <c r="B1161" t="s">
        <v>3149</v>
      </c>
      <c r="C1161" t="s">
        <v>2370</v>
      </c>
      <c r="E1161" t="s">
        <v>2370</v>
      </c>
      <c r="H1161" t="s">
        <v>22</v>
      </c>
      <c r="I1161">
        <v>1085251468</v>
      </c>
      <c r="J1161" t="s">
        <v>2371</v>
      </c>
      <c r="P1161" t="s">
        <v>2291</v>
      </c>
      <c r="Q1161" s="8">
        <v>7500000</v>
      </c>
      <c r="R1161" s="8" t="e">
        <f>SUMIFS([1]REPORTADOS!$D$2:$D$3345,[1]REPORTADOS!$C$2:$C$3345,E1161)</f>
        <v>#VALUE!</v>
      </c>
      <c r="S1161" s="3" t="e">
        <f t="shared" si="19"/>
        <v>#VALUE!</v>
      </c>
    </row>
    <row r="1162" spans="1:19" x14ac:dyDescent="0.25">
      <c r="A1162">
        <v>900091143</v>
      </c>
      <c r="B1162" t="s">
        <v>3150</v>
      </c>
      <c r="C1162" t="s">
        <v>2378</v>
      </c>
      <c r="E1162" t="s">
        <v>2378</v>
      </c>
      <c r="H1162" t="s">
        <v>22</v>
      </c>
      <c r="I1162">
        <v>1233189896</v>
      </c>
      <c r="J1162" t="s">
        <v>2379</v>
      </c>
      <c r="P1162" t="s">
        <v>2291</v>
      </c>
      <c r="Q1162" s="8">
        <v>7500000</v>
      </c>
      <c r="R1162" s="8" t="e">
        <f>SUMIFS([1]REPORTADOS!$D$2:$D$3345,[1]REPORTADOS!$C$2:$C$3345,E1162)</f>
        <v>#VALUE!</v>
      </c>
      <c r="S1162" s="3" t="e">
        <f t="shared" si="19"/>
        <v>#VALUE!</v>
      </c>
    </row>
    <row r="1163" spans="1:19" x14ac:dyDescent="0.25">
      <c r="A1163">
        <v>900091143</v>
      </c>
      <c r="B1163" t="s">
        <v>3151</v>
      </c>
      <c r="C1163" t="s">
        <v>2524</v>
      </c>
      <c r="E1163" t="s">
        <v>2524</v>
      </c>
      <c r="H1163" t="s">
        <v>22</v>
      </c>
      <c r="I1163">
        <v>1085330079</v>
      </c>
      <c r="J1163" t="s">
        <v>2525</v>
      </c>
      <c r="P1163" t="s">
        <v>2291</v>
      </c>
      <c r="Q1163" s="8">
        <v>7500000</v>
      </c>
      <c r="R1163" s="8" t="e">
        <f>SUMIFS([1]REPORTADOS!$D$2:$D$3345,[1]REPORTADOS!$C$2:$C$3345,E1163)</f>
        <v>#VALUE!</v>
      </c>
      <c r="S1163" s="3" t="e">
        <f t="shared" si="19"/>
        <v>#VALUE!</v>
      </c>
    </row>
    <row r="1164" spans="1:19" x14ac:dyDescent="0.25">
      <c r="A1164">
        <v>900091143</v>
      </c>
      <c r="B1164" t="s">
        <v>3152</v>
      </c>
      <c r="C1164" t="s">
        <v>2353</v>
      </c>
      <c r="E1164" t="s">
        <v>2353</v>
      </c>
      <c r="H1164" t="s">
        <v>22</v>
      </c>
      <c r="I1164">
        <v>36753698</v>
      </c>
      <c r="J1164" t="s">
        <v>1633</v>
      </c>
      <c r="P1164" t="s">
        <v>2291</v>
      </c>
      <c r="Q1164" s="8">
        <v>7500000</v>
      </c>
      <c r="R1164" s="8" t="e">
        <f>SUMIFS([1]REPORTADOS!$D$2:$D$3345,[1]REPORTADOS!$C$2:$C$3345,E1164)</f>
        <v>#VALUE!</v>
      </c>
      <c r="S1164" s="3" t="e">
        <f t="shared" si="19"/>
        <v>#VALUE!</v>
      </c>
    </row>
    <row r="1165" spans="1:19" x14ac:dyDescent="0.25">
      <c r="A1165">
        <v>900091143</v>
      </c>
      <c r="B1165" t="s">
        <v>3153</v>
      </c>
      <c r="C1165" t="s">
        <v>2346</v>
      </c>
      <c r="E1165" t="s">
        <v>2346</v>
      </c>
      <c r="H1165" t="s">
        <v>22</v>
      </c>
      <c r="I1165">
        <v>36757715</v>
      </c>
      <c r="J1165" t="s">
        <v>2347</v>
      </c>
      <c r="P1165" t="s">
        <v>2291</v>
      </c>
      <c r="Q1165" s="8">
        <v>7500000</v>
      </c>
      <c r="R1165" s="8" t="e">
        <f>SUMIFS([1]REPORTADOS!$D$2:$D$3345,[1]REPORTADOS!$C$2:$C$3345,E1165)</f>
        <v>#VALUE!</v>
      </c>
      <c r="S1165" s="3" t="e">
        <f t="shared" si="19"/>
        <v>#VALUE!</v>
      </c>
    </row>
    <row r="1166" spans="1:19" x14ac:dyDescent="0.25">
      <c r="A1166">
        <v>900091143</v>
      </c>
      <c r="B1166" t="s">
        <v>3154</v>
      </c>
      <c r="C1166" t="s">
        <v>2466</v>
      </c>
      <c r="E1166" t="s">
        <v>2466</v>
      </c>
      <c r="H1166" t="s">
        <v>22</v>
      </c>
      <c r="I1166">
        <v>1086016308</v>
      </c>
      <c r="J1166" t="s">
        <v>2467</v>
      </c>
      <c r="P1166" t="s">
        <v>2291</v>
      </c>
      <c r="Q1166" s="8">
        <v>7500000</v>
      </c>
      <c r="R1166" s="8" t="e">
        <f>SUMIFS([1]REPORTADOS!$D$2:$D$3345,[1]REPORTADOS!$C$2:$C$3345,E1166)</f>
        <v>#VALUE!</v>
      </c>
      <c r="S1166" s="3" t="e">
        <f t="shared" si="19"/>
        <v>#VALUE!</v>
      </c>
    </row>
    <row r="1167" spans="1:19" x14ac:dyDescent="0.25">
      <c r="A1167">
        <v>900091143</v>
      </c>
      <c r="B1167" t="s">
        <v>3155</v>
      </c>
      <c r="C1167" t="s">
        <v>2434</v>
      </c>
      <c r="E1167" t="s">
        <v>2434</v>
      </c>
      <c r="H1167" t="s">
        <v>22</v>
      </c>
      <c r="I1167">
        <v>1081273343</v>
      </c>
      <c r="J1167" t="s">
        <v>2435</v>
      </c>
      <c r="P1167" t="s">
        <v>2436</v>
      </c>
      <c r="Q1167" s="8">
        <v>7500000</v>
      </c>
      <c r="R1167" s="8" t="e">
        <f>SUMIFS([1]REPORTADOS!$D$2:$D$3345,[1]REPORTADOS!$C$2:$C$3345,E1167)</f>
        <v>#VALUE!</v>
      </c>
      <c r="S1167" s="3" t="e">
        <f t="shared" si="19"/>
        <v>#VALUE!</v>
      </c>
    </row>
    <row r="1168" spans="1:19" x14ac:dyDescent="0.25">
      <c r="A1168">
        <v>900091143</v>
      </c>
      <c r="B1168" t="s">
        <v>3156</v>
      </c>
      <c r="C1168" t="s">
        <v>2437</v>
      </c>
      <c r="E1168" t="s">
        <v>2437</v>
      </c>
      <c r="H1168" t="s">
        <v>22</v>
      </c>
      <c r="I1168">
        <v>27090145</v>
      </c>
      <c r="J1168" t="s">
        <v>2438</v>
      </c>
      <c r="P1168" t="s">
        <v>2291</v>
      </c>
      <c r="Q1168" s="8">
        <v>7500000</v>
      </c>
      <c r="R1168" s="8" t="e">
        <f>SUMIFS([1]REPORTADOS!$D$2:$D$3345,[1]REPORTADOS!$C$2:$C$3345,E1168)</f>
        <v>#VALUE!</v>
      </c>
      <c r="S1168" s="3" t="e">
        <f t="shared" si="19"/>
        <v>#VALUE!</v>
      </c>
    </row>
    <row r="1169" spans="1:19" x14ac:dyDescent="0.25">
      <c r="A1169">
        <v>900091143</v>
      </c>
      <c r="B1169" t="s">
        <v>3157</v>
      </c>
      <c r="C1169" t="s">
        <v>2458</v>
      </c>
      <c r="E1169" t="s">
        <v>2458</v>
      </c>
      <c r="H1169" t="s">
        <v>22</v>
      </c>
      <c r="I1169">
        <v>12750863</v>
      </c>
      <c r="J1169" t="s">
        <v>2459</v>
      </c>
      <c r="P1169" t="s">
        <v>2291</v>
      </c>
      <c r="Q1169" s="8">
        <v>7500000</v>
      </c>
      <c r="R1169" s="8" t="e">
        <f>SUMIFS([1]REPORTADOS!$D$2:$D$3345,[1]REPORTADOS!$C$2:$C$3345,E1169)</f>
        <v>#VALUE!</v>
      </c>
      <c r="S1169" s="3" t="e">
        <f t="shared" si="19"/>
        <v>#VALUE!</v>
      </c>
    </row>
    <row r="1170" spans="1:19" x14ac:dyDescent="0.25">
      <c r="A1170">
        <v>900091143</v>
      </c>
      <c r="B1170" t="s">
        <v>3158</v>
      </c>
      <c r="C1170" t="s">
        <v>2460</v>
      </c>
      <c r="E1170" t="s">
        <v>2460</v>
      </c>
      <c r="H1170" t="s">
        <v>22</v>
      </c>
      <c r="I1170">
        <v>1193265831</v>
      </c>
      <c r="J1170" t="s">
        <v>2461</v>
      </c>
      <c r="P1170" t="s">
        <v>2291</v>
      </c>
      <c r="Q1170" s="8">
        <v>7500000</v>
      </c>
      <c r="R1170" s="8" t="e">
        <f>SUMIFS([1]REPORTADOS!$D$2:$D$3345,[1]REPORTADOS!$C$2:$C$3345,E1170)</f>
        <v>#VALUE!</v>
      </c>
      <c r="S1170" s="3" t="e">
        <f t="shared" si="19"/>
        <v>#VALUE!</v>
      </c>
    </row>
    <row r="1171" spans="1:19" x14ac:dyDescent="0.25">
      <c r="A1171">
        <v>900091143</v>
      </c>
      <c r="B1171" t="s">
        <v>3159</v>
      </c>
      <c r="C1171" t="s">
        <v>2462</v>
      </c>
      <c r="E1171" t="s">
        <v>2462</v>
      </c>
      <c r="H1171" t="s">
        <v>22</v>
      </c>
      <c r="I1171">
        <v>1085337465</v>
      </c>
      <c r="J1171" t="s">
        <v>2463</v>
      </c>
      <c r="P1171" t="s">
        <v>2291</v>
      </c>
      <c r="Q1171" s="8">
        <v>7500000</v>
      </c>
      <c r="R1171" s="8" t="e">
        <f>SUMIFS([1]REPORTADOS!$D$2:$D$3345,[1]REPORTADOS!$C$2:$C$3345,E1171)</f>
        <v>#VALUE!</v>
      </c>
      <c r="S1171" s="3" t="e">
        <f t="shared" si="19"/>
        <v>#VALUE!</v>
      </c>
    </row>
    <row r="1172" spans="1:19" x14ac:dyDescent="0.25">
      <c r="A1172">
        <v>900091143</v>
      </c>
      <c r="B1172" t="s">
        <v>3160</v>
      </c>
      <c r="C1172" t="s">
        <v>2410</v>
      </c>
      <c r="E1172" t="s">
        <v>2410</v>
      </c>
      <c r="H1172" t="s">
        <v>22</v>
      </c>
      <c r="I1172">
        <v>1085320930</v>
      </c>
      <c r="J1172" t="s">
        <v>2411</v>
      </c>
      <c r="P1172" t="s">
        <v>2291</v>
      </c>
      <c r="Q1172" s="8">
        <v>7500000</v>
      </c>
      <c r="R1172" s="8" t="e">
        <f>SUMIFS([1]REPORTADOS!$D$2:$D$3345,[1]REPORTADOS!$C$2:$C$3345,E1172)</f>
        <v>#VALUE!</v>
      </c>
      <c r="S1172" s="3" t="e">
        <f t="shared" si="19"/>
        <v>#VALUE!</v>
      </c>
    </row>
    <row r="1173" spans="1:19" x14ac:dyDescent="0.25">
      <c r="A1173">
        <v>900091143</v>
      </c>
      <c r="B1173" t="s">
        <v>3161</v>
      </c>
      <c r="C1173" t="s">
        <v>2473</v>
      </c>
      <c r="E1173" t="s">
        <v>2473</v>
      </c>
      <c r="H1173" t="s">
        <v>22</v>
      </c>
      <c r="I1173">
        <v>1085338135</v>
      </c>
      <c r="J1173" t="s">
        <v>2474</v>
      </c>
      <c r="P1173" t="s">
        <v>2291</v>
      </c>
      <c r="Q1173" s="8">
        <v>7500000</v>
      </c>
      <c r="R1173" s="8" t="e">
        <f>SUMIFS([1]REPORTADOS!$D$2:$D$3345,[1]REPORTADOS!$C$2:$C$3345,E1173)</f>
        <v>#VALUE!</v>
      </c>
      <c r="S1173" s="3" t="e">
        <f t="shared" si="19"/>
        <v>#VALUE!</v>
      </c>
    </row>
    <row r="1174" spans="1:19" x14ac:dyDescent="0.25">
      <c r="A1174">
        <v>900091143</v>
      </c>
      <c r="B1174" t="s">
        <v>3162</v>
      </c>
      <c r="C1174" t="s">
        <v>2488</v>
      </c>
      <c r="E1174" t="s">
        <v>2488</v>
      </c>
      <c r="H1174" t="s">
        <v>22</v>
      </c>
      <c r="I1174">
        <v>27309586</v>
      </c>
      <c r="J1174" t="s">
        <v>2489</v>
      </c>
      <c r="P1174" t="s">
        <v>2291</v>
      </c>
      <c r="Q1174" s="8">
        <v>7500000</v>
      </c>
      <c r="R1174" s="8" t="e">
        <f>SUMIFS([1]REPORTADOS!$D$2:$D$3345,[1]REPORTADOS!$C$2:$C$3345,E1174)</f>
        <v>#VALUE!</v>
      </c>
      <c r="S1174" s="3" t="e">
        <f t="shared" si="19"/>
        <v>#VALUE!</v>
      </c>
    </row>
    <row r="1175" spans="1:19" x14ac:dyDescent="0.25">
      <c r="A1175">
        <v>900091143</v>
      </c>
      <c r="B1175" t="s">
        <v>3163</v>
      </c>
      <c r="C1175" t="s">
        <v>2559</v>
      </c>
      <c r="E1175" t="s">
        <v>2559</v>
      </c>
      <c r="H1175" t="s">
        <v>22</v>
      </c>
      <c r="I1175">
        <v>13072447</v>
      </c>
      <c r="J1175" t="s">
        <v>2560</v>
      </c>
      <c r="P1175" t="s">
        <v>2561</v>
      </c>
      <c r="Q1175" s="8">
        <v>7500000</v>
      </c>
      <c r="R1175" s="8" t="e">
        <f>SUMIFS([1]REPORTADOS!$D$2:$D$3345,[1]REPORTADOS!$C$2:$C$3345,E1175)</f>
        <v>#VALUE!</v>
      </c>
      <c r="S1175" s="3" t="e">
        <f t="shared" si="19"/>
        <v>#VALUE!</v>
      </c>
    </row>
    <row r="1176" spans="1:19" x14ac:dyDescent="0.25">
      <c r="A1176">
        <v>900091143</v>
      </c>
      <c r="B1176" t="s">
        <v>3164</v>
      </c>
      <c r="C1176" t="s">
        <v>2562</v>
      </c>
      <c r="E1176" t="s">
        <v>2562</v>
      </c>
      <c r="H1176" t="s">
        <v>22</v>
      </c>
      <c r="I1176">
        <v>59311646</v>
      </c>
      <c r="J1176" t="s">
        <v>2563</v>
      </c>
      <c r="P1176" t="s">
        <v>2291</v>
      </c>
      <c r="Q1176" s="8">
        <v>7500000</v>
      </c>
      <c r="R1176" s="8" t="e">
        <f>SUMIFS([1]REPORTADOS!$D$2:$D$3345,[1]REPORTADOS!$C$2:$C$3345,E1176)</f>
        <v>#VALUE!</v>
      </c>
      <c r="S1176" s="3" t="e">
        <f t="shared" si="19"/>
        <v>#VALUE!</v>
      </c>
    </row>
    <row r="1177" spans="1:19" x14ac:dyDescent="0.25">
      <c r="A1177">
        <v>900091143</v>
      </c>
      <c r="B1177" t="s">
        <v>3165</v>
      </c>
      <c r="C1177" t="s">
        <v>2541</v>
      </c>
      <c r="E1177" t="s">
        <v>2541</v>
      </c>
      <c r="H1177" t="s">
        <v>22</v>
      </c>
      <c r="I1177">
        <v>1085289798</v>
      </c>
      <c r="J1177" t="s">
        <v>2542</v>
      </c>
      <c r="P1177" t="s">
        <v>2291</v>
      </c>
      <c r="Q1177" s="8">
        <v>7500000</v>
      </c>
      <c r="R1177" s="8" t="e">
        <f>SUMIFS([1]REPORTADOS!$D$2:$D$3345,[1]REPORTADOS!$C$2:$C$3345,E1177)</f>
        <v>#VALUE!</v>
      </c>
      <c r="S1177" s="3" t="e">
        <f t="shared" si="19"/>
        <v>#VALUE!</v>
      </c>
    </row>
    <row r="1178" spans="1:19" x14ac:dyDescent="0.25">
      <c r="A1178">
        <v>900091143</v>
      </c>
      <c r="B1178" t="s">
        <v>3166</v>
      </c>
      <c r="C1178" t="s">
        <v>2547</v>
      </c>
      <c r="E1178" t="s">
        <v>2547</v>
      </c>
      <c r="H1178" t="s">
        <v>22</v>
      </c>
      <c r="I1178">
        <v>30737741</v>
      </c>
      <c r="J1178" t="s">
        <v>2548</v>
      </c>
      <c r="P1178" t="s">
        <v>2291</v>
      </c>
      <c r="Q1178" s="8">
        <v>7500000</v>
      </c>
      <c r="R1178" s="8" t="e">
        <f>SUMIFS([1]REPORTADOS!$D$2:$D$3345,[1]REPORTADOS!$C$2:$C$3345,E1178)</f>
        <v>#VALUE!</v>
      </c>
      <c r="S1178" s="3" t="e">
        <f t="shared" si="19"/>
        <v>#VALUE!</v>
      </c>
    </row>
    <row r="1179" spans="1:19" x14ac:dyDescent="0.25">
      <c r="A1179">
        <v>900091143</v>
      </c>
      <c r="B1179" t="s">
        <v>3167</v>
      </c>
      <c r="C1179" t="s">
        <v>2552</v>
      </c>
      <c r="E1179" t="s">
        <v>2552</v>
      </c>
      <c r="H1179" t="s">
        <v>22</v>
      </c>
      <c r="I1179">
        <v>27211504</v>
      </c>
      <c r="J1179" t="s">
        <v>2553</v>
      </c>
      <c r="P1179" t="s">
        <v>2528</v>
      </c>
      <c r="Q1179" s="8">
        <v>7500000</v>
      </c>
      <c r="R1179" s="8" t="e">
        <f>SUMIFS([1]REPORTADOS!$D$2:$D$3345,[1]REPORTADOS!$C$2:$C$3345,E1179)</f>
        <v>#VALUE!</v>
      </c>
      <c r="S1179" s="3" t="e">
        <f t="shared" si="19"/>
        <v>#VALUE!</v>
      </c>
    </row>
    <row r="1180" spans="1:19" x14ac:dyDescent="0.25">
      <c r="A1180">
        <v>900091143</v>
      </c>
      <c r="B1180" t="s">
        <v>3168</v>
      </c>
      <c r="C1180" t="s">
        <v>2526</v>
      </c>
      <c r="E1180" t="s">
        <v>2526</v>
      </c>
      <c r="H1180" t="s">
        <v>22</v>
      </c>
      <c r="I1180">
        <v>1081595853</v>
      </c>
      <c r="J1180" t="s">
        <v>2527</v>
      </c>
      <c r="P1180" t="s">
        <v>2528</v>
      </c>
      <c r="Q1180" s="8">
        <v>7500000</v>
      </c>
      <c r="R1180" s="8" t="e">
        <f>SUMIFS([1]REPORTADOS!$D$2:$D$3345,[1]REPORTADOS!$C$2:$C$3345,E1180)</f>
        <v>#VALUE!</v>
      </c>
      <c r="S1180" s="3" t="e">
        <f t="shared" si="19"/>
        <v>#VALUE!</v>
      </c>
    </row>
    <row r="1181" spans="1:19" x14ac:dyDescent="0.25">
      <c r="A1181">
        <v>900091143</v>
      </c>
      <c r="B1181" t="s">
        <v>3169</v>
      </c>
      <c r="C1181" t="s">
        <v>2533</v>
      </c>
      <c r="E1181" t="s">
        <v>2533</v>
      </c>
      <c r="H1181" t="s">
        <v>22</v>
      </c>
      <c r="I1181">
        <v>1081052090</v>
      </c>
      <c r="J1181" t="s">
        <v>2534</v>
      </c>
      <c r="P1181" t="s">
        <v>2291</v>
      </c>
      <c r="Q1181" s="8">
        <v>7500000</v>
      </c>
      <c r="R1181" s="8" t="e">
        <f>SUMIFS([1]REPORTADOS!$D$2:$D$3345,[1]REPORTADOS!$C$2:$C$3345,E1181)</f>
        <v>#VALUE!</v>
      </c>
      <c r="S1181" s="3" t="e">
        <f t="shared" si="19"/>
        <v>#VALUE!</v>
      </c>
    </row>
    <row r="1182" spans="1:19" x14ac:dyDescent="0.25">
      <c r="A1182">
        <v>900091143</v>
      </c>
      <c r="B1182" t="s">
        <v>3170</v>
      </c>
      <c r="C1182" t="s">
        <v>2577</v>
      </c>
      <c r="E1182" t="s">
        <v>2577</v>
      </c>
      <c r="H1182" t="s">
        <v>22</v>
      </c>
      <c r="I1182">
        <v>1004535115</v>
      </c>
      <c r="J1182" t="s">
        <v>2578</v>
      </c>
      <c r="P1182" t="s">
        <v>2528</v>
      </c>
      <c r="Q1182" s="8">
        <v>7500000</v>
      </c>
      <c r="R1182" s="8" t="e">
        <f>SUMIFS([1]REPORTADOS!$D$2:$D$3345,[1]REPORTADOS!$C$2:$C$3345,E1182)</f>
        <v>#VALUE!</v>
      </c>
      <c r="S1182" s="3" t="e">
        <f t="shared" si="19"/>
        <v>#VALUE!</v>
      </c>
    </row>
    <row r="1183" spans="1:19" x14ac:dyDescent="0.25">
      <c r="A1183">
        <v>900091143</v>
      </c>
      <c r="B1183" t="s">
        <v>3171</v>
      </c>
      <c r="C1183" t="s">
        <v>2579</v>
      </c>
      <c r="E1183" t="s">
        <v>2579</v>
      </c>
      <c r="H1183" t="s">
        <v>22</v>
      </c>
      <c r="I1183">
        <v>1085314075</v>
      </c>
      <c r="J1183" t="s">
        <v>2580</v>
      </c>
      <c r="P1183" t="s">
        <v>2581</v>
      </c>
      <c r="Q1183" s="8">
        <v>7500000</v>
      </c>
      <c r="R1183" s="8" t="e">
        <f>SUMIFS([1]REPORTADOS!$D$2:$D$3345,[1]REPORTADOS!$C$2:$C$3345,E1183)</f>
        <v>#VALUE!</v>
      </c>
      <c r="S1183" s="3" t="e">
        <f t="shared" si="19"/>
        <v>#VALUE!</v>
      </c>
    </row>
    <row r="1184" spans="1:19" x14ac:dyDescent="0.25">
      <c r="A1184">
        <v>900091143</v>
      </c>
      <c r="B1184" t="s">
        <v>3172</v>
      </c>
      <c r="C1184" t="s">
        <v>2584</v>
      </c>
      <c r="E1184" t="s">
        <v>2584</v>
      </c>
      <c r="H1184" t="s">
        <v>22</v>
      </c>
      <c r="I1184">
        <v>1085338232</v>
      </c>
      <c r="J1184" t="s">
        <v>2585</v>
      </c>
      <c r="P1184" t="s">
        <v>2528</v>
      </c>
      <c r="Q1184" s="8">
        <v>7500000</v>
      </c>
      <c r="R1184" s="8" t="e">
        <f>SUMIFS([1]REPORTADOS!$D$2:$D$3345,[1]REPORTADOS!$C$2:$C$3345,E1184)</f>
        <v>#VALUE!</v>
      </c>
      <c r="S1184" s="3" t="e">
        <f t="shared" si="19"/>
        <v>#VALUE!</v>
      </c>
    </row>
    <row r="1185" spans="1:19" x14ac:dyDescent="0.25">
      <c r="A1185">
        <v>900091143</v>
      </c>
      <c r="B1185" t="s">
        <v>3173</v>
      </c>
      <c r="C1185" t="s">
        <v>2586</v>
      </c>
      <c r="E1185" t="s">
        <v>2586</v>
      </c>
      <c r="H1185" t="s">
        <v>22</v>
      </c>
      <c r="I1185">
        <v>1085310465</v>
      </c>
      <c r="J1185" t="s">
        <v>2587</v>
      </c>
      <c r="P1185" t="s">
        <v>2528</v>
      </c>
      <c r="Q1185" s="8">
        <v>7500000</v>
      </c>
      <c r="R1185" s="8" t="e">
        <f>SUMIFS([1]REPORTADOS!$D$2:$D$3345,[1]REPORTADOS!$C$2:$C$3345,E1185)</f>
        <v>#VALUE!</v>
      </c>
      <c r="S1185" s="3" t="e">
        <f t="shared" si="19"/>
        <v>#VALUE!</v>
      </c>
    </row>
    <row r="1186" spans="1:19" x14ac:dyDescent="0.25">
      <c r="A1186">
        <v>900091143</v>
      </c>
      <c r="B1186" t="s">
        <v>3174</v>
      </c>
      <c r="C1186" t="s">
        <v>2564</v>
      </c>
      <c r="E1186" t="s">
        <v>2564</v>
      </c>
      <c r="H1186" t="s">
        <v>22</v>
      </c>
      <c r="I1186">
        <v>27094521</v>
      </c>
      <c r="J1186" t="s">
        <v>2565</v>
      </c>
      <c r="P1186" t="s">
        <v>2528</v>
      </c>
      <c r="Q1186" s="8">
        <v>7500000</v>
      </c>
      <c r="R1186" s="8" t="e">
        <f>SUMIFS([1]REPORTADOS!$D$2:$D$3345,[1]REPORTADOS!$C$2:$C$3345,E1186)</f>
        <v>#VALUE!</v>
      </c>
      <c r="S1186" s="3" t="e">
        <f t="shared" si="19"/>
        <v>#VALUE!</v>
      </c>
    </row>
    <row r="1187" spans="1:19" x14ac:dyDescent="0.25">
      <c r="A1187">
        <v>900091143</v>
      </c>
      <c r="B1187" t="s">
        <v>3175</v>
      </c>
      <c r="C1187" t="s">
        <v>2596</v>
      </c>
      <c r="E1187" t="s">
        <v>2596</v>
      </c>
      <c r="H1187" t="s">
        <v>22</v>
      </c>
      <c r="I1187">
        <v>1004216993</v>
      </c>
      <c r="J1187" t="s">
        <v>2597</v>
      </c>
      <c r="P1187" t="s">
        <v>2598</v>
      </c>
      <c r="Q1187" s="8">
        <v>7500000</v>
      </c>
      <c r="R1187" s="8" t="e">
        <f>SUMIFS([1]REPORTADOS!$D$2:$D$3345,[1]REPORTADOS!$C$2:$C$3345,E1187)</f>
        <v>#VALUE!</v>
      </c>
      <c r="S1187" s="3" t="e">
        <f t="shared" si="19"/>
        <v>#VALUE!</v>
      </c>
    </row>
    <row r="1188" spans="1:19" x14ac:dyDescent="0.25">
      <c r="A1188">
        <v>900091143</v>
      </c>
      <c r="B1188" t="s">
        <v>3176</v>
      </c>
      <c r="C1188" t="s">
        <v>2599</v>
      </c>
      <c r="E1188" t="s">
        <v>2599</v>
      </c>
      <c r="H1188" t="s">
        <v>22</v>
      </c>
      <c r="I1188">
        <v>1004235479</v>
      </c>
      <c r="J1188" t="s">
        <v>1923</v>
      </c>
      <c r="P1188" t="s">
        <v>2204</v>
      </c>
      <c r="Q1188" s="8">
        <v>7500000</v>
      </c>
      <c r="R1188" s="8" t="e">
        <f>SUMIFS([1]REPORTADOS!$D$2:$D$3345,[1]REPORTADOS!$C$2:$C$3345,E1188)</f>
        <v>#VALUE!</v>
      </c>
      <c r="S1188" s="3" t="e">
        <f t="shared" si="19"/>
        <v>#VALUE!</v>
      </c>
    </row>
    <row r="1189" spans="1:19" x14ac:dyDescent="0.25">
      <c r="A1189">
        <v>900091143</v>
      </c>
      <c r="B1189" t="s">
        <v>3177</v>
      </c>
      <c r="C1189" t="s">
        <v>2620</v>
      </c>
      <c r="E1189" t="s">
        <v>2620</v>
      </c>
      <c r="H1189" t="s">
        <v>22</v>
      </c>
      <c r="I1189">
        <v>1085346528</v>
      </c>
      <c r="J1189" t="s">
        <v>2621</v>
      </c>
      <c r="P1189" t="s">
        <v>2540</v>
      </c>
      <c r="Q1189" s="8">
        <v>7500000</v>
      </c>
      <c r="R1189" s="8" t="e">
        <f>SUMIFS([1]REPORTADOS!$D$2:$D$3345,[1]REPORTADOS!$C$2:$C$3345,E1189)</f>
        <v>#VALUE!</v>
      </c>
      <c r="S1189" s="3" t="e">
        <f t="shared" si="19"/>
        <v>#VALUE!</v>
      </c>
    </row>
    <row r="1190" spans="1:19" x14ac:dyDescent="0.25">
      <c r="A1190">
        <v>900091143</v>
      </c>
      <c r="B1190" t="s">
        <v>3178</v>
      </c>
      <c r="C1190" t="s">
        <v>2749</v>
      </c>
      <c r="E1190" t="s">
        <v>2749</v>
      </c>
      <c r="H1190" t="s">
        <v>22</v>
      </c>
      <c r="I1190">
        <v>1085334685</v>
      </c>
      <c r="J1190" t="s">
        <v>2750</v>
      </c>
      <c r="P1190" t="s">
        <v>2253</v>
      </c>
      <c r="Q1190" s="8">
        <v>7441100</v>
      </c>
      <c r="R1190" s="8" t="e">
        <f>SUMIFS([1]REPORTADOS!$D$2:$D$3345,[1]REPORTADOS!$C$2:$C$3345,E1190)</f>
        <v>#VALUE!</v>
      </c>
      <c r="S1190" s="3" t="e">
        <f t="shared" si="19"/>
        <v>#VALUE!</v>
      </c>
    </row>
    <row r="1191" spans="1:19" x14ac:dyDescent="0.25">
      <c r="A1191">
        <v>900091143</v>
      </c>
      <c r="B1191" t="s">
        <v>3179</v>
      </c>
      <c r="C1191" t="s">
        <v>2755</v>
      </c>
      <c r="E1191" t="s">
        <v>2755</v>
      </c>
      <c r="H1191" t="s">
        <v>22</v>
      </c>
      <c r="I1191">
        <v>59830379</v>
      </c>
      <c r="J1191" t="s">
        <v>2756</v>
      </c>
      <c r="P1191" t="s">
        <v>2097</v>
      </c>
      <c r="Q1191" s="8">
        <v>7441100</v>
      </c>
      <c r="R1191" s="8" t="e">
        <f>SUMIFS([1]REPORTADOS!$D$2:$D$3345,[1]REPORTADOS!$C$2:$C$3345,E1191)</f>
        <v>#VALUE!</v>
      </c>
      <c r="S1191" s="3" t="e">
        <f t="shared" si="19"/>
        <v>#VALUE!</v>
      </c>
    </row>
    <row r="1192" spans="1:19" x14ac:dyDescent="0.25">
      <c r="A1192">
        <v>900091143</v>
      </c>
      <c r="B1192" t="s">
        <v>3180</v>
      </c>
      <c r="C1192" t="s">
        <v>2825</v>
      </c>
      <c r="E1192" t="s">
        <v>2825</v>
      </c>
      <c r="H1192" t="s">
        <v>22</v>
      </c>
      <c r="I1192">
        <v>1014212900</v>
      </c>
      <c r="J1192" t="s">
        <v>2826</v>
      </c>
      <c r="P1192" t="s">
        <v>4654</v>
      </c>
      <c r="Q1192" s="8">
        <v>7400000</v>
      </c>
      <c r="R1192" s="8" t="e">
        <f>SUMIFS([1]REPORTADOS!$D$2:$D$3345,[1]REPORTADOS!$C$2:$C$3345,E1192)</f>
        <v>#VALUE!</v>
      </c>
      <c r="S1192" s="3" t="e">
        <f t="shared" si="19"/>
        <v>#VALUE!</v>
      </c>
    </row>
    <row r="1193" spans="1:19" x14ac:dyDescent="0.25">
      <c r="A1193">
        <v>900091143</v>
      </c>
      <c r="B1193" t="s">
        <v>3181</v>
      </c>
      <c r="C1193" t="s">
        <v>2772</v>
      </c>
      <c r="E1193" t="s">
        <v>2772</v>
      </c>
      <c r="H1193" t="s">
        <v>22</v>
      </c>
      <c r="I1193">
        <v>1084228089</v>
      </c>
      <c r="J1193" t="s">
        <v>2773</v>
      </c>
      <c r="P1193" t="s">
        <v>2108</v>
      </c>
      <c r="Q1193" s="8">
        <v>7200000</v>
      </c>
      <c r="R1193" s="8" t="e">
        <f>SUMIFS([1]REPORTADOS!$D$2:$D$3345,[1]REPORTADOS!$C$2:$C$3345,E1193)</f>
        <v>#VALUE!</v>
      </c>
      <c r="S1193" s="3" t="e">
        <f t="shared" si="19"/>
        <v>#VALUE!</v>
      </c>
    </row>
    <row r="1194" spans="1:19" x14ac:dyDescent="0.25">
      <c r="A1194">
        <v>900091143</v>
      </c>
      <c r="B1194" t="s">
        <v>3182</v>
      </c>
      <c r="C1194" t="s">
        <v>2645</v>
      </c>
      <c r="E1194" t="s">
        <v>2645</v>
      </c>
      <c r="H1194" t="s">
        <v>22</v>
      </c>
      <c r="I1194">
        <v>59833899</v>
      </c>
      <c r="J1194" t="s">
        <v>2035</v>
      </c>
      <c r="P1194" t="s">
        <v>2540</v>
      </c>
      <c r="Q1194" s="8">
        <v>7100000</v>
      </c>
      <c r="R1194" s="8" t="e">
        <f>SUMIFS([1]REPORTADOS!$D$2:$D$3345,[1]REPORTADOS!$C$2:$C$3345,E1194)</f>
        <v>#VALUE!</v>
      </c>
      <c r="S1194" s="3" t="e">
        <f t="shared" si="19"/>
        <v>#VALUE!</v>
      </c>
    </row>
    <row r="1195" spans="1:19" x14ac:dyDescent="0.25">
      <c r="A1195">
        <v>900091143</v>
      </c>
      <c r="B1195" t="s">
        <v>3183</v>
      </c>
      <c r="C1195" t="s">
        <v>2654</v>
      </c>
      <c r="E1195" t="s">
        <v>2654</v>
      </c>
      <c r="H1195" t="s">
        <v>22</v>
      </c>
      <c r="I1195">
        <v>1193035720</v>
      </c>
      <c r="J1195" t="s">
        <v>2655</v>
      </c>
      <c r="P1195" t="s">
        <v>2540</v>
      </c>
      <c r="Q1195" s="8">
        <v>7100000</v>
      </c>
      <c r="R1195" s="8" t="e">
        <f>SUMIFS([1]REPORTADOS!$D$2:$D$3345,[1]REPORTADOS!$C$2:$C$3345,E1195)</f>
        <v>#VALUE!</v>
      </c>
      <c r="S1195" s="3" t="e">
        <f t="shared" si="19"/>
        <v>#VALUE!</v>
      </c>
    </row>
    <row r="1196" spans="1:19" x14ac:dyDescent="0.25">
      <c r="A1196">
        <v>900091143</v>
      </c>
      <c r="B1196" t="s">
        <v>3184</v>
      </c>
      <c r="C1196" t="s">
        <v>2739</v>
      </c>
      <c r="E1196" t="s">
        <v>2739</v>
      </c>
      <c r="H1196" t="s">
        <v>22</v>
      </c>
      <c r="I1196">
        <v>52048780</v>
      </c>
      <c r="J1196" t="s">
        <v>2740</v>
      </c>
      <c r="P1196" t="s">
        <v>2119</v>
      </c>
      <c r="Q1196" s="8">
        <v>6915400</v>
      </c>
      <c r="R1196" s="8" t="e">
        <f>SUMIFS([1]REPORTADOS!$D$2:$D$3345,[1]REPORTADOS!$C$2:$C$3345,E1196)</f>
        <v>#VALUE!</v>
      </c>
      <c r="S1196" s="3" t="e">
        <f t="shared" si="19"/>
        <v>#VALUE!</v>
      </c>
    </row>
    <row r="1197" spans="1:19" x14ac:dyDescent="0.25">
      <c r="A1197">
        <v>900091143</v>
      </c>
      <c r="B1197" t="s">
        <v>3185</v>
      </c>
      <c r="C1197" t="s">
        <v>2743</v>
      </c>
      <c r="E1197" t="s">
        <v>2743</v>
      </c>
      <c r="H1197" t="s">
        <v>22</v>
      </c>
      <c r="I1197">
        <v>1085322873</v>
      </c>
      <c r="J1197" t="s">
        <v>2744</v>
      </c>
      <c r="P1197" t="s">
        <v>2745</v>
      </c>
      <c r="Q1197" s="8">
        <v>6915400</v>
      </c>
      <c r="R1197" s="8" t="e">
        <f>SUMIFS([1]REPORTADOS!$D$2:$D$3345,[1]REPORTADOS!$C$2:$C$3345,E1197)</f>
        <v>#VALUE!</v>
      </c>
      <c r="S1197" s="3" t="e">
        <f t="shared" si="19"/>
        <v>#VALUE!</v>
      </c>
    </row>
    <row r="1198" spans="1:19" x14ac:dyDescent="0.25">
      <c r="A1198">
        <v>900091143</v>
      </c>
      <c r="B1198" t="s">
        <v>3186</v>
      </c>
      <c r="C1198" t="s">
        <v>2648</v>
      </c>
      <c r="E1198" t="s">
        <v>2648</v>
      </c>
      <c r="H1198" t="s">
        <v>22</v>
      </c>
      <c r="I1198">
        <v>1089846829</v>
      </c>
      <c r="J1198" t="s">
        <v>2649</v>
      </c>
      <c r="P1198" t="s">
        <v>2650</v>
      </c>
      <c r="Q1198" s="8">
        <v>6800000</v>
      </c>
      <c r="R1198" s="8" t="e">
        <f>SUMIFS([1]REPORTADOS!$D$2:$D$3345,[1]REPORTADOS!$C$2:$C$3345,E1198)</f>
        <v>#VALUE!</v>
      </c>
      <c r="S1198" s="3" t="e">
        <f t="shared" si="19"/>
        <v>#VALUE!</v>
      </c>
    </row>
    <row r="1199" spans="1:19" x14ac:dyDescent="0.25">
      <c r="A1199">
        <v>900091143</v>
      </c>
      <c r="B1199" t="s">
        <v>3187</v>
      </c>
      <c r="C1199" t="s">
        <v>2651</v>
      </c>
      <c r="E1199" t="s">
        <v>2651</v>
      </c>
      <c r="H1199" t="s">
        <v>22</v>
      </c>
      <c r="I1199">
        <v>1085317833</v>
      </c>
      <c r="J1199" t="s">
        <v>1791</v>
      </c>
      <c r="P1199" t="s">
        <v>2204</v>
      </c>
      <c r="Q1199" s="8">
        <v>6800000</v>
      </c>
      <c r="R1199" s="8" t="e">
        <f>SUMIFS([1]REPORTADOS!$D$2:$D$3345,[1]REPORTADOS!$C$2:$C$3345,E1199)</f>
        <v>#VALUE!</v>
      </c>
      <c r="S1199" s="3" t="e">
        <f t="shared" si="19"/>
        <v>#VALUE!</v>
      </c>
    </row>
    <row r="1200" spans="1:19" x14ac:dyDescent="0.25">
      <c r="A1200">
        <v>900091143</v>
      </c>
      <c r="B1200" t="s">
        <v>3188</v>
      </c>
      <c r="C1200" t="s">
        <v>2652</v>
      </c>
      <c r="E1200" t="s">
        <v>2652</v>
      </c>
      <c r="H1200" t="s">
        <v>22</v>
      </c>
      <c r="I1200">
        <v>1081272318</v>
      </c>
      <c r="J1200" t="s">
        <v>2653</v>
      </c>
      <c r="P1200" t="s">
        <v>2540</v>
      </c>
      <c r="Q1200" s="8">
        <v>6800000</v>
      </c>
      <c r="R1200" s="8" t="e">
        <f>SUMIFS([1]REPORTADOS!$D$2:$D$3345,[1]REPORTADOS!$C$2:$C$3345,E1200)</f>
        <v>#VALUE!</v>
      </c>
      <c r="S1200" s="3" t="e">
        <f t="shared" ref="S1200:S1263" si="20">Q1200-R1200</f>
        <v>#VALUE!</v>
      </c>
    </row>
    <row r="1201" spans="1:19" x14ac:dyDescent="0.25">
      <c r="A1201">
        <v>900091143</v>
      </c>
      <c r="B1201" t="s">
        <v>3189</v>
      </c>
      <c r="C1201" t="s">
        <v>2640</v>
      </c>
      <c r="E1201" t="s">
        <v>2640</v>
      </c>
      <c r="H1201" t="s">
        <v>22</v>
      </c>
      <c r="I1201">
        <v>27088197</v>
      </c>
      <c r="J1201" t="s">
        <v>1921</v>
      </c>
      <c r="P1201" t="s">
        <v>2233</v>
      </c>
      <c r="Q1201" s="8">
        <v>6800000</v>
      </c>
      <c r="R1201" s="8" t="e">
        <f>SUMIFS([1]REPORTADOS!$D$2:$D$3345,[1]REPORTADOS!$C$2:$C$3345,E1201)</f>
        <v>#VALUE!</v>
      </c>
      <c r="S1201" s="3" t="e">
        <f t="shared" si="20"/>
        <v>#VALUE!</v>
      </c>
    </row>
    <row r="1202" spans="1:19" x14ac:dyDescent="0.25">
      <c r="A1202">
        <v>900091143</v>
      </c>
      <c r="B1202" t="s">
        <v>3190</v>
      </c>
      <c r="C1202" t="s">
        <v>2643</v>
      </c>
      <c r="E1202" t="s">
        <v>2643</v>
      </c>
      <c r="H1202" t="s">
        <v>22</v>
      </c>
      <c r="I1202">
        <v>1085315209</v>
      </c>
      <c r="J1202" t="s">
        <v>2644</v>
      </c>
      <c r="P1202" t="s">
        <v>2233</v>
      </c>
      <c r="Q1202" s="8">
        <v>6800000</v>
      </c>
      <c r="R1202" s="8" t="e">
        <f>SUMIFS([1]REPORTADOS!$D$2:$D$3345,[1]REPORTADOS!$C$2:$C$3345,E1202)</f>
        <v>#VALUE!</v>
      </c>
      <c r="S1202" s="3" t="e">
        <f t="shared" si="20"/>
        <v>#VALUE!</v>
      </c>
    </row>
    <row r="1203" spans="1:19" x14ac:dyDescent="0.25">
      <c r="A1203">
        <v>900091143</v>
      </c>
      <c r="B1203" t="s">
        <v>3191</v>
      </c>
      <c r="C1203" t="s">
        <v>2603</v>
      </c>
      <c r="E1203" t="s">
        <v>2603</v>
      </c>
      <c r="H1203" t="s">
        <v>22</v>
      </c>
      <c r="I1203">
        <v>1085281545</v>
      </c>
      <c r="J1203" t="s">
        <v>2604</v>
      </c>
      <c r="P1203" t="s">
        <v>2291</v>
      </c>
      <c r="Q1203" s="8">
        <v>6250000</v>
      </c>
      <c r="R1203" s="8" t="e">
        <f>SUMIFS([1]REPORTADOS!$D$2:$D$3345,[1]REPORTADOS!$C$2:$C$3345,E1203)</f>
        <v>#VALUE!</v>
      </c>
      <c r="S1203" s="3" t="e">
        <f t="shared" si="20"/>
        <v>#VALUE!</v>
      </c>
    </row>
    <row r="1204" spans="1:19" x14ac:dyDescent="0.25">
      <c r="A1204">
        <v>900091143</v>
      </c>
      <c r="B1204" t="s">
        <v>3192</v>
      </c>
      <c r="C1204" t="s">
        <v>2612</v>
      </c>
      <c r="E1204" t="s">
        <v>2612</v>
      </c>
      <c r="H1204" t="s">
        <v>22</v>
      </c>
      <c r="I1204">
        <v>12994466</v>
      </c>
      <c r="J1204" t="s">
        <v>2613</v>
      </c>
      <c r="P1204" t="s">
        <v>2291</v>
      </c>
      <c r="Q1204" s="8">
        <v>6250000</v>
      </c>
      <c r="R1204" s="8" t="e">
        <f>SUMIFS([1]REPORTADOS!$D$2:$D$3345,[1]REPORTADOS!$C$2:$C$3345,E1204)</f>
        <v>#VALUE!</v>
      </c>
      <c r="S1204" s="3" t="e">
        <f t="shared" si="20"/>
        <v>#VALUE!</v>
      </c>
    </row>
    <row r="1205" spans="1:19" x14ac:dyDescent="0.25">
      <c r="A1205">
        <v>900091143</v>
      </c>
      <c r="B1205" t="s">
        <v>3193</v>
      </c>
      <c r="C1205" t="s">
        <v>2632</v>
      </c>
      <c r="E1205" t="s">
        <v>2632</v>
      </c>
      <c r="H1205" t="s">
        <v>22</v>
      </c>
      <c r="I1205">
        <v>1085335069</v>
      </c>
      <c r="J1205" t="s">
        <v>2633</v>
      </c>
      <c r="P1205" t="s">
        <v>2634</v>
      </c>
      <c r="Q1205" s="8">
        <v>6250000</v>
      </c>
      <c r="R1205" s="8" t="e">
        <f>SUMIFS([1]REPORTADOS!$D$2:$D$3345,[1]REPORTADOS!$C$2:$C$3345,E1205)</f>
        <v>#VALUE!</v>
      </c>
      <c r="S1205" s="3" t="e">
        <f t="shared" si="20"/>
        <v>#VALUE!</v>
      </c>
    </row>
    <row r="1206" spans="1:19" x14ac:dyDescent="0.25">
      <c r="A1206">
        <v>900091143</v>
      </c>
      <c r="B1206" t="s">
        <v>3194</v>
      </c>
      <c r="C1206" t="s">
        <v>2635</v>
      </c>
      <c r="E1206" t="s">
        <v>2635</v>
      </c>
      <c r="H1206" t="s">
        <v>22</v>
      </c>
      <c r="I1206">
        <v>37082480</v>
      </c>
      <c r="J1206" t="s">
        <v>2636</v>
      </c>
      <c r="P1206" t="s">
        <v>2634</v>
      </c>
      <c r="Q1206" s="8">
        <v>6250000</v>
      </c>
      <c r="R1206" s="8" t="e">
        <f>SUMIFS([1]REPORTADOS!$D$2:$D$3345,[1]REPORTADOS!$C$2:$C$3345,E1206)</f>
        <v>#VALUE!</v>
      </c>
      <c r="S1206" s="3" t="e">
        <f t="shared" si="20"/>
        <v>#VALUE!</v>
      </c>
    </row>
    <row r="1207" spans="1:19" x14ac:dyDescent="0.25">
      <c r="A1207">
        <v>900091143</v>
      </c>
      <c r="B1207" t="s">
        <v>3195</v>
      </c>
      <c r="C1207" t="s">
        <v>2700</v>
      </c>
      <c r="E1207" t="s">
        <v>2700</v>
      </c>
      <c r="H1207" t="s">
        <v>22</v>
      </c>
      <c r="I1207">
        <v>1085265947</v>
      </c>
      <c r="J1207" t="s">
        <v>2701</v>
      </c>
      <c r="P1207" t="s">
        <v>2233</v>
      </c>
      <c r="Q1207" s="8">
        <v>6000000</v>
      </c>
      <c r="R1207" s="8" t="e">
        <f>SUMIFS([1]REPORTADOS!$D$2:$D$3345,[1]REPORTADOS!$C$2:$C$3345,E1207)</f>
        <v>#VALUE!</v>
      </c>
      <c r="S1207" s="3" t="e">
        <f t="shared" si="20"/>
        <v>#VALUE!</v>
      </c>
    </row>
    <row r="1208" spans="1:19" x14ac:dyDescent="0.25">
      <c r="A1208">
        <v>900091143</v>
      </c>
      <c r="B1208" t="s">
        <v>3196</v>
      </c>
      <c r="C1208" t="s">
        <v>2723</v>
      </c>
      <c r="E1208" t="s">
        <v>2723</v>
      </c>
      <c r="H1208" t="s">
        <v>22</v>
      </c>
      <c r="I1208">
        <v>27388522</v>
      </c>
      <c r="J1208" t="s">
        <v>2724</v>
      </c>
      <c r="P1208" t="s">
        <v>2233</v>
      </c>
      <c r="Q1208" s="8">
        <v>6000000</v>
      </c>
      <c r="R1208" s="8" t="e">
        <f>SUMIFS([1]REPORTADOS!$D$2:$D$3345,[1]REPORTADOS!$C$2:$C$3345,E1208)</f>
        <v>#VALUE!</v>
      </c>
      <c r="S1208" s="3" t="e">
        <f t="shared" si="20"/>
        <v>#VALUE!</v>
      </c>
    </row>
    <row r="1209" spans="1:19" x14ac:dyDescent="0.25">
      <c r="A1209">
        <v>900091143</v>
      </c>
      <c r="B1209" t="s">
        <v>3197</v>
      </c>
      <c r="C1209" t="s">
        <v>2725</v>
      </c>
      <c r="E1209" t="s">
        <v>2725</v>
      </c>
      <c r="H1209" t="s">
        <v>22</v>
      </c>
      <c r="I1209">
        <v>1085255829</v>
      </c>
      <c r="J1209" t="s">
        <v>1678</v>
      </c>
      <c r="P1209" t="s">
        <v>2233</v>
      </c>
      <c r="Q1209" s="8">
        <v>6000000</v>
      </c>
      <c r="R1209" s="8" t="e">
        <f>SUMIFS([1]REPORTADOS!$D$2:$D$3345,[1]REPORTADOS!$C$2:$C$3345,E1209)</f>
        <v>#VALUE!</v>
      </c>
      <c r="S1209" s="3" t="e">
        <f t="shared" si="20"/>
        <v>#VALUE!</v>
      </c>
    </row>
    <row r="1210" spans="1:19" x14ac:dyDescent="0.25">
      <c r="A1210">
        <v>900091143</v>
      </c>
      <c r="B1210" t="s">
        <v>3198</v>
      </c>
      <c r="C1210" t="s">
        <v>2786</v>
      </c>
      <c r="E1210" t="s">
        <v>2786</v>
      </c>
      <c r="H1210" t="s">
        <v>22</v>
      </c>
      <c r="I1210">
        <v>1085277976</v>
      </c>
      <c r="J1210" t="s">
        <v>2787</v>
      </c>
      <c r="P1210" t="s">
        <v>2788</v>
      </c>
      <c r="Q1210" s="8">
        <v>6000000</v>
      </c>
      <c r="R1210" s="8" t="e">
        <f>SUMIFS([1]REPORTADOS!$D$2:$D$3345,[1]REPORTADOS!$C$2:$C$3345,E1210)</f>
        <v>#VALUE!</v>
      </c>
      <c r="S1210" s="3" t="e">
        <f t="shared" si="20"/>
        <v>#VALUE!</v>
      </c>
    </row>
    <row r="1211" spans="1:19" x14ac:dyDescent="0.25">
      <c r="A1211">
        <v>900091143</v>
      </c>
      <c r="B1211" t="s">
        <v>3199</v>
      </c>
      <c r="C1211" t="s">
        <v>2789</v>
      </c>
      <c r="E1211" t="s">
        <v>2789</v>
      </c>
      <c r="H1211" t="s">
        <v>22</v>
      </c>
      <c r="I1211">
        <v>1007254154</v>
      </c>
      <c r="J1211" t="s">
        <v>2790</v>
      </c>
      <c r="P1211" t="s">
        <v>2108</v>
      </c>
      <c r="Q1211" s="8">
        <v>6000000</v>
      </c>
      <c r="R1211" s="8" t="e">
        <f>SUMIFS([1]REPORTADOS!$D$2:$D$3345,[1]REPORTADOS!$C$2:$C$3345,E1211)</f>
        <v>#VALUE!</v>
      </c>
      <c r="S1211" s="3" t="e">
        <f t="shared" si="20"/>
        <v>#VALUE!</v>
      </c>
    </row>
    <row r="1212" spans="1:19" x14ac:dyDescent="0.25">
      <c r="A1212">
        <v>900091143</v>
      </c>
      <c r="B1212" t="s">
        <v>3200</v>
      </c>
      <c r="C1212" t="s">
        <v>2791</v>
      </c>
      <c r="E1212" t="s">
        <v>2791</v>
      </c>
      <c r="H1212" t="s">
        <v>22</v>
      </c>
      <c r="I1212">
        <v>27321605</v>
      </c>
      <c r="J1212" t="s">
        <v>2792</v>
      </c>
      <c r="P1212" t="s">
        <v>2108</v>
      </c>
      <c r="Q1212" s="8">
        <v>6000000</v>
      </c>
      <c r="R1212" s="8" t="e">
        <f>SUMIFS([1]REPORTADOS!$D$2:$D$3345,[1]REPORTADOS!$C$2:$C$3345,E1212)</f>
        <v>#VALUE!</v>
      </c>
      <c r="S1212" s="3" t="e">
        <f t="shared" si="20"/>
        <v>#VALUE!</v>
      </c>
    </row>
    <row r="1213" spans="1:19" x14ac:dyDescent="0.25">
      <c r="A1213">
        <v>900091143</v>
      </c>
      <c r="B1213" t="s">
        <v>3201</v>
      </c>
      <c r="C1213" t="s">
        <v>2851</v>
      </c>
      <c r="E1213" t="s">
        <v>2851</v>
      </c>
      <c r="H1213" t="s">
        <v>22</v>
      </c>
      <c r="I1213">
        <v>1085286725</v>
      </c>
      <c r="J1213" t="s">
        <v>1786</v>
      </c>
      <c r="P1213" t="s">
        <v>4649</v>
      </c>
      <c r="Q1213" s="8">
        <v>6000000</v>
      </c>
      <c r="R1213" s="8" t="e">
        <f>SUMIFS([1]REPORTADOS!$D$2:$D$3345,[1]REPORTADOS!$C$2:$C$3345,E1213)</f>
        <v>#VALUE!</v>
      </c>
      <c r="S1213" s="3" t="e">
        <f t="shared" si="20"/>
        <v>#VALUE!</v>
      </c>
    </row>
    <row r="1214" spans="1:19" x14ac:dyDescent="0.25">
      <c r="A1214">
        <v>900091143</v>
      </c>
      <c r="B1214" t="s">
        <v>3202</v>
      </c>
      <c r="C1214" t="s">
        <v>2852</v>
      </c>
      <c r="E1214" t="s">
        <v>2852</v>
      </c>
      <c r="H1214" t="s">
        <v>22</v>
      </c>
      <c r="I1214">
        <v>1085292185</v>
      </c>
      <c r="J1214" t="s">
        <v>2093</v>
      </c>
      <c r="P1214" t="s">
        <v>4655</v>
      </c>
      <c r="Q1214" s="8">
        <v>6000000</v>
      </c>
      <c r="R1214" s="8" t="e">
        <f>SUMIFS([1]REPORTADOS!$D$2:$D$3345,[1]REPORTADOS!$C$2:$C$3345,E1214)</f>
        <v>#VALUE!</v>
      </c>
      <c r="S1214" s="3" t="e">
        <f t="shared" si="20"/>
        <v>#VALUE!</v>
      </c>
    </row>
    <row r="1215" spans="1:19" x14ac:dyDescent="0.25">
      <c r="A1215">
        <v>900091143</v>
      </c>
      <c r="B1215" t="s">
        <v>3203</v>
      </c>
      <c r="C1215" t="s">
        <v>2828</v>
      </c>
      <c r="E1215" t="s">
        <v>2828</v>
      </c>
      <c r="H1215" t="s">
        <v>22</v>
      </c>
      <c r="I1215">
        <v>1085245375</v>
      </c>
      <c r="J1215" t="s">
        <v>2829</v>
      </c>
      <c r="P1215" t="s">
        <v>4656</v>
      </c>
      <c r="Q1215" s="8">
        <v>6000000</v>
      </c>
      <c r="R1215" s="8" t="e">
        <f>SUMIFS([1]REPORTADOS!$D$2:$D$3345,[1]REPORTADOS!$C$2:$C$3345,E1215)</f>
        <v>#VALUE!</v>
      </c>
      <c r="S1215" s="3" t="e">
        <f t="shared" si="20"/>
        <v>#VALUE!</v>
      </c>
    </row>
    <row r="1216" spans="1:19" x14ac:dyDescent="0.25">
      <c r="A1216">
        <v>900091143</v>
      </c>
      <c r="B1216" t="s">
        <v>3204</v>
      </c>
      <c r="C1216" t="s">
        <v>2832</v>
      </c>
      <c r="E1216" t="s">
        <v>2832</v>
      </c>
      <c r="H1216" t="s">
        <v>22</v>
      </c>
      <c r="I1216">
        <v>1233193716</v>
      </c>
      <c r="J1216" t="s">
        <v>2833</v>
      </c>
      <c r="P1216" t="s">
        <v>4657</v>
      </c>
      <c r="Q1216" s="8">
        <v>6000000</v>
      </c>
      <c r="R1216" s="8" t="e">
        <f>SUMIFS([1]REPORTADOS!$D$2:$D$3345,[1]REPORTADOS!$C$2:$C$3345,E1216)</f>
        <v>#VALUE!</v>
      </c>
      <c r="S1216" s="3" t="e">
        <f t="shared" si="20"/>
        <v>#VALUE!</v>
      </c>
    </row>
    <row r="1217" spans="1:19" x14ac:dyDescent="0.25">
      <c r="A1217">
        <v>900091143</v>
      </c>
      <c r="B1217" t="s">
        <v>3205</v>
      </c>
      <c r="C1217" t="s">
        <v>2835</v>
      </c>
      <c r="E1217" t="s">
        <v>2835</v>
      </c>
      <c r="H1217" t="s">
        <v>22</v>
      </c>
      <c r="I1217">
        <v>1085253062</v>
      </c>
      <c r="J1217" t="s">
        <v>2836</v>
      </c>
      <c r="P1217" t="s">
        <v>4658</v>
      </c>
      <c r="Q1217" s="8">
        <v>6000000</v>
      </c>
      <c r="R1217" s="8" t="e">
        <f>SUMIFS([1]REPORTADOS!$D$2:$D$3345,[1]REPORTADOS!$C$2:$C$3345,E1217)</f>
        <v>#VALUE!</v>
      </c>
      <c r="S1217" s="3" t="e">
        <f t="shared" si="20"/>
        <v>#VALUE!</v>
      </c>
    </row>
    <row r="1218" spans="1:19" x14ac:dyDescent="0.25">
      <c r="A1218">
        <v>900091143</v>
      </c>
      <c r="B1218" t="s">
        <v>3206</v>
      </c>
      <c r="C1218" t="s">
        <v>2842</v>
      </c>
      <c r="E1218" t="s">
        <v>2842</v>
      </c>
      <c r="H1218" t="s">
        <v>22</v>
      </c>
      <c r="I1218">
        <v>36954410</v>
      </c>
      <c r="J1218" t="s">
        <v>2001</v>
      </c>
      <c r="P1218" t="s">
        <v>4659</v>
      </c>
      <c r="Q1218" s="8">
        <v>6000000</v>
      </c>
      <c r="R1218" s="8" t="e">
        <f>SUMIFS([1]REPORTADOS!$D$2:$D$3345,[1]REPORTADOS!$C$2:$C$3345,E1218)</f>
        <v>#VALUE!</v>
      </c>
      <c r="S1218" s="3" t="e">
        <f t="shared" si="20"/>
        <v>#VALUE!</v>
      </c>
    </row>
    <row r="1219" spans="1:19" x14ac:dyDescent="0.25">
      <c r="A1219">
        <v>900091143</v>
      </c>
      <c r="B1219" t="s">
        <v>3207</v>
      </c>
      <c r="C1219" t="s">
        <v>2753</v>
      </c>
      <c r="E1219" t="s">
        <v>2753</v>
      </c>
      <c r="H1219" t="s">
        <v>22</v>
      </c>
      <c r="I1219">
        <v>1085266036</v>
      </c>
      <c r="J1219" t="s">
        <v>2754</v>
      </c>
      <c r="P1219" t="s">
        <v>2556</v>
      </c>
      <c r="Q1219" s="8">
        <v>6000000</v>
      </c>
      <c r="R1219" s="8" t="e">
        <f>SUMIFS([1]REPORTADOS!$D$2:$D$3345,[1]REPORTADOS!$C$2:$C$3345,E1219)</f>
        <v>#VALUE!</v>
      </c>
      <c r="S1219" s="3" t="e">
        <f t="shared" si="20"/>
        <v>#VALUE!</v>
      </c>
    </row>
    <row r="1220" spans="1:19" x14ac:dyDescent="0.25">
      <c r="A1220">
        <v>900091143</v>
      </c>
      <c r="B1220" t="s">
        <v>3208</v>
      </c>
      <c r="C1220" t="s">
        <v>2658</v>
      </c>
      <c r="E1220" t="s">
        <v>2658</v>
      </c>
      <c r="H1220" t="s">
        <v>22</v>
      </c>
      <c r="I1220">
        <v>1081272656</v>
      </c>
      <c r="J1220" t="s">
        <v>2659</v>
      </c>
      <c r="P1220" t="s">
        <v>2660</v>
      </c>
      <c r="Q1220" s="8">
        <v>6000000</v>
      </c>
      <c r="R1220" s="8" t="e">
        <f>SUMIFS([1]REPORTADOS!$D$2:$D$3345,[1]REPORTADOS!$C$2:$C$3345,E1220)</f>
        <v>#VALUE!</v>
      </c>
      <c r="S1220" s="3" t="e">
        <f t="shared" si="20"/>
        <v>#VALUE!</v>
      </c>
    </row>
    <row r="1221" spans="1:19" x14ac:dyDescent="0.25">
      <c r="A1221">
        <v>900091143</v>
      </c>
      <c r="B1221" t="s">
        <v>3209</v>
      </c>
      <c r="C1221" t="s">
        <v>2673</v>
      </c>
      <c r="E1221" t="s">
        <v>2673</v>
      </c>
      <c r="H1221" t="s">
        <v>22</v>
      </c>
      <c r="I1221">
        <v>1086222977</v>
      </c>
      <c r="J1221" t="s">
        <v>2015</v>
      </c>
      <c r="P1221" t="s">
        <v>2233</v>
      </c>
      <c r="Q1221" s="8">
        <v>6000000</v>
      </c>
      <c r="R1221" s="8" t="e">
        <f>SUMIFS([1]REPORTADOS!$D$2:$D$3345,[1]REPORTADOS!$C$2:$C$3345,E1221)</f>
        <v>#VALUE!</v>
      </c>
      <c r="S1221" s="3" t="e">
        <f t="shared" si="20"/>
        <v>#VALUE!</v>
      </c>
    </row>
    <row r="1222" spans="1:19" x14ac:dyDescent="0.25">
      <c r="A1222">
        <v>900091143</v>
      </c>
      <c r="B1222" t="s">
        <v>3210</v>
      </c>
      <c r="C1222" t="s">
        <v>2688</v>
      </c>
      <c r="E1222" t="s">
        <v>2688</v>
      </c>
      <c r="H1222" t="s">
        <v>22</v>
      </c>
      <c r="I1222">
        <v>37083324</v>
      </c>
      <c r="J1222" t="s">
        <v>2689</v>
      </c>
      <c r="P1222" t="s">
        <v>2233</v>
      </c>
      <c r="Q1222" s="8">
        <v>6000000</v>
      </c>
      <c r="R1222" s="8" t="e">
        <f>SUMIFS([1]REPORTADOS!$D$2:$D$3345,[1]REPORTADOS!$C$2:$C$3345,E1222)</f>
        <v>#VALUE!</v>
      </c>
      <c r="S1222" s="3" t="e">
        <f t="shared" si="20"/>
        <v>#VALUE!</v>
      </c>
    </row>
    <row r="1223" spans="1:19" x14ac:dyDescent="0.25">
      <c r="A1223">
        <v>900091143</v>
      </c>
      <c r="B1223" t="s">
        <v>3211</v>
      </c>
      <c r="C1223" t="s">
        <v>2637</v>
      </c>
      <c r="E1223" t="s">
        <v>2637</v>
      </c>
      <c r="H1223" t="s">
        <v>22</v>
      </c>
      <c r="I1223">
        <v>1131085946</v>
      </c>
      <c r="J1223" t="s">
        <v>2638</v>
      </c>
      <c r="P1223" t="s">
        <v>2639</v>
      </c>
      <c r="Q1223" s="8">
        <v>5916300</v>
      </c>
      <c r="R1223" s="8" t="e">
        <f>SUMIFS([1]REPORTADOS!$D$2:$D$3345,[1]REPORTADOS!$C$2:$C$3345,E1223)</f>
        <v>#VALUE!</v>
      </c>
      <c r="S1223" s="3" t="e">
        <f t="shared" si="20"/>
        <v>#VALUE!</v>
      </c>
    </row>
    <row r="1224" spans="1:19" x14ac:dyDescent="0.25">
      <c r="A1224">
        <v>900091143</v>
      </c>
      <c r="B1224" t="s">
        <v>3212</v>
      </c>
      <c r="C1224" t="s">
        <v>2646</v>
      </c>
      <c r="E1224" t="s">
        <v>2646</v>
      </c>
      <c r="H1224" t="s">
        <v>22</v>
      </c>
      <c r="I1224">
        <v>30736949</v>
      </c>
      <c r="J1224" t="s">
        <v>2647</v>
      </c>
      <c r="P1224" t="s">
        <v>2291</v>
      </c>
      <c r="Q1224" s="8">
        <v>5916300</v>
      </c>
      <c r="R1224" s="8" t="e">
        <f>SUMIFS([1]REPORTADOS!$D$2:$D$3345,[1]REPORTADOS!$C$2:$C$3345,E1224)</f>
        <v>#VALUE!</v>
      </c>
      <c r="S1224" s="3" t="e">
        <f t="shared" si="20"/>
        <v>#VALUE!</v>
      </c>
    </row>
    <row r="1225" spans="1:19" x14ac:dyDescent="0.25">
      <c r="A1225">
        <v>900091143</v>
      </c>
      <c r="B1225" t="s">
        <v>3213</v>
      </c>
      <c r="C1225" t="s">
        <v>2656</v>
      </c>
      <c r="E1225" t="s">
        <v>2656</v>
      </c>
      <c r="H1225" t="s">
        <v>22</v>
      </c>
      <c r="I1225">
        <v>1085268450</v>
      </c>
      <c r="J1225" t="s">
        <v>2657</v>
      </c>
      <c r="P1225" t="s">
        <v>2436</v>
      </c>
      <c r="Q1225" s="8">
        <v>5916300</v>
      </c>
      <c r="R1225" s="8" t="e">
        <f>SUMIFS([1]REPORTADOS!$D$2:$D$3345,[1]REPORTADOS!$C$2:$C$3345,E1225)</f>
        <v>#VALUE!</v>
      </c>
      <c r="S1225" s="3" t="e">
        <f t="shared" si="20"/>
        <v>#VALUE!</v>
      </c>
    </row>
    <row r="1226" spans="1:19" x14ac:dyDescent="0.25">
      <c r="A1226">
        <v>900091143</v>
      </c>
      <c r="B1226" t="s">
        <v>3214</v>
      </c>
      <c r="C1226" t="s">
        <v>2661</v>
      </c>
      <c r="E1226" t="s">
        <v>2661</v>
      </c>
      <c r="H1226" t="s">
        <v>22</v>
      </c>
      <c r="I1226">
        <v>59821968</v>
      </c>
      <c r="J1226" t="s">
        <v>2662</v>
      </c>
      <c r="P1226" t="s">
        <v>2291</v>
      </c>
      <c r="Q1226" s="8">
        <v>5916300</v>
      </c>
      <c r="R1226" s="8" t="e">
        <f>SUMIFS([1]REPORTADOS!$D$2:$D$3345,[1]REPORTADOS!$C$2:$C$3345,E1226)</f>
        <v>#VALUE!</v>
      </c>
      <c r="S1226" s="3" t="e">
        <f t="shared" si="20"/>
        <v>#VALUE!</v>
      </c>
    </row>
    <row r="1227" spans="1:19" x14ac:dyDescent="0.25">
      <c r="A1227">
        <v>900091143</v>
      </c>
      <c r="B1227" t="s">
        <v>3215</v>
      </c>
      <c r="C1227" t="s">
        <v>2776</v>
      </c>
      <c r="E1227" t="s">
        <v>2776</v>
      </c>
      <c r="H1227" t="s">
        <v>22</v>
      </c>
      <c r="I1227">
        <v>1085319572</v>
      </c>
      <c r="J1227" t="s">
        <v>2777</v>
      </c>
      <c r="P1227" t="s">
        <v>2745</v>
      </c>
      <c r="Q1227" s="8">
        <v>5629000</v>
      </c>
      <c r="R1227" s="8" t="e">
        <f>SUMIFS([1]REPORTADOS!$D$2:$D$3345,[1]REPORTADOS!$C$2:$C$3345,E1227)</f>
        <v>#VALUE!</v>
      </c>
      <c r="S1227" s="3" t="e">
        <f t="shared" si="20"/>
        <v>#VALUE!</v>
      </c>
    </row>
    <row r="1228" spans="1:19" x14ac:dyDescent="0.25">
      <c r="A1228">
        <v>900091143</v>
      </c>
      <c r="B1228" t="s">
        <v>3216</v>
      </c>
      <c r="C1228" t="s">
        <v>2771</v>
      </c>
      <c r="E1228" t="s">
        <v>2771</v>
      </c>
      <c r="H1228" t="s">
        <v>22</v>
      </c>
      <c r="I1228">
        <v>1080900817</v>
      </c>
      <c r="J1228" t="s">
        <v>1837</v>
      </c>
      <c r="P1228" t="s">
        <v>2427</v>
      </c>
      <c r="Q1228" s="8">
        <v>5629000</v>
      </c>
      <c r="R1228" s="8" t="e">
        <f>SUMIFS([1]REPORTADOS!$D$2:$D$3345,[1]REPORTADOS!$C$2:$C$3345,E1228)</f>
        <v>#VALUE!</v>
      </c>
      <c r="S1228" s="3" t="e">
        <f t="shared" si="20"/>
        <v>#VALUE!</v>
      </c>
    </row>
    <row r="1229" spans="1:19" x14ac:dyDescent="0.25">
      <c r="A1229">
        <v>900091143</v>
      </c>
      <c r="B1229" t="s">
        <v>3217</v>
      </c>
      <c r="C1229" t="s">
        <v>2702</v>
      </c>
      <c r="E1229" t="s">
        <v>2702</v>
      </c>
      <c r="H1229" t="s">
        <v>22</v>
      </c>
      <c r="I1229">
        <v>36950441</v>
      </c>
      <c r="J1229" t="s">
        <v>2703</v>
      </c>
      <c r="P1229" t="s">
        <v>2291</v>
      </c>
      <c r="Q1229" s="8">
        <v>5000000</v>
      </c>
      <c r="R1229" s="8" t="e">
        <f>SUMIFS([1]REPORTADOS!$D$2:$D$3345,[1]REPORTADOS!$C$2:$C$3345,E1229)</f>
        <v>#VALUE!</v>
      </c>
      <c r="S1229" s="3" t="e">
        <f t="shared" si="20"/>
        <v>#VALUE!</v>
      </c>
    </row>
    <row r="1230" spans="1:19" x14ac:dyDescent="0.25">
      <c r="A1230">
        <v>900091143</v>
      </c>
      <c r="B1230" t="s">
        <v>3218</v>
      </c>
      <c r="C1230" t="s">
        <v>2704</v>
      </c>
      <c r="E1230" t="s">
        <v>2704</v>
      </c>
      <c r="H1230" t="s">
        <v>22</v>
      </c>
      <c r="I1230">
        <v>1085324252</v>
      </c>
      <c r="J1230" t="s">
        <v>2705</v>
      </c>
      <c r="P1230" t="s">
        <v>2291</v>
      </c>
      <c r="Q1230" s="8">
        <v>5000000</v>
      </c>
      <c r="R1230" s="8" t="e">
        <f>SUMIFS([1]REPORTADOS!$D$2:$D$3345,[1]REPORTADOS!$C$2:$C$3345,E1230)</f>
        <v>#VALUE!</v>
      </c>
      <c r="S1230" s="3" t="e">
        <f t="shared" si="20"/>
        <v>#VALUE!</v>
      </c>
    </row>
    <row r="1231" spans="1:19" x14ac:dyDescent="0.25">
      <c r="A1231">
        <v>900091143</v>
      </c>
      <c r="B1231" t="s">
        <v>3219</v>
      </c>
      <c r="C1231" t="s">
        <v>2815</v>
      </c>
      <c r="E1231" t="s">
        <v>2815</v>
      </c>
      <c r="H1231" t="s">
        <v>22</v>
      </c>
      <c r="I1231">
        <v>1081052090</v>
      </c>
      <c r="J1231" t="s">
        <v>2534</v>
      </c>
      <c r="P1231" t="s">
        <v>4660</v>
      </c>
      <c r="Q1231" s="8">
        <v>5000000</v>
      </c>
      <c r="R1231" s="8" t="e">
        <f>SUMIFS([1]REPORTADOS!$D$2:$D$3345,[1]REPORTADOS!$C$2:$C$3345,E1231)</f>
        <v>#VALUE!</v>
      </c>
      <c r="S1231" s="3" t="e">
        <f t="shared" si="20"/>
        <v>#VALUE!</v>
      </c>
    </row>
    <row r="1232" spans="1:19" x14ac:dyDescent="0.25">
      <c r="A1232">
        <v>900091143</v>
      </c>
      <c r="B1232" t="s">
        <v>3220</v>
      </c>
      <c r="C1232" t="s">
        <v>2817</v>
      </c>
      <c r="E1232" t="s">
        <v>2817</v>
      </c>
      <c r="H1232" t="s">
        <v>22</v>
      </c>
      <c r="I1232">
        <v>1233188479</v>
      </c>
      <c r="J1232" t="s">
        <v>2818</v>
      </c>
      <c r="P1232" t="s">
        <v>4661</v>
      </c>
      <c r="Q1232" s="8">
        <v>5000000</v>
      </c>
      <c r="R1232" s="8" t="e">
        <f>SUMIFS([1]REPORTADOS!$D$2:$D$3345,[1]REPORTADOS!$C$2:$C$3345,E1232)</f>
        <v>#VALUE!</v>
      </c>
      <c r="S1232" s="3" t="e">
        <f t="shared" si="20"/>
        <v>#VALUE!</v>
      </c>
    </row>
    <row r="1233" spans="1:19" x14ac:dyDescent="0.25">
      <c r="A1233">
        <v>900091143</v>
      </c>
      <c r="B1233" t="s">
        <v>3221</v>
      </c>
      <c r="C1233" t="s">
        <v>2593</v>
      </c>
      <c r="E1233" t="s">
        <v>2593</v>
      </c>
      <c r="H1233" t="s">
        <v>22</v>
      </c>
      <c r="I1233">
        <v>1085324107</v>
      </c>
      <c r="J1233" t="s">
        <v>2594</v>
      </c>
      <c r="P1233" t="s">
        <v>2204</v>
      </c>
      <c r="Q1233" s="8">
        <v>5000000</v>
      </c>
      <c r="R1233" s="8" t="e">
        <f>SUMIFS([1]REPORTADOS!$D$2:$D$3345,[1]REPORTADOS!$C$2:$C$3345,E1233)</f>
        <v>#VALUE!</v>
      </c>
      <c r="S1233" s="3" t="e">
        <f t="shared" si="20"/>
        <v>#VALUE!</v>
      </c>
    </row>
    <row r="1234" spans="1:19" x14ac:dyDescent="0.25">
      <c r="A1234">
        <v>900091143</v>
      </c>
      <c r="B1234" t="s">
        <v>3222</v>
      </c>
      <c r="C1234" t="s">
        <v>2671</v>
      </c>
      <c r="E1234" t="s">
        <v>2671</v>
      </c>
      <c r="H1234" t="s">
        <v>22</v>
      </c>
      <c r="I1234">
        <v>1085314334</v>
      </c>
      <c r="J1234" t="s">
        <v>2672</v>
      </c>
      <c r="P1234" t="s">
        <v>2291</v>
      </c>
      <c r="Q1234" s="8">
        <v>5000000</v>
      </c>
      <c r="R1234" s="8" t="e">
        <f>SUMIFS([1]REPORTADOS!$D$2:$D$3345,[1]REPORTADOS!$C$2:$C$3345,E1234)</f>
        <v>#VALUE!</v>
      </c>
      <c r="S1234" s="3" t="e">
        <f t="shared" si="20"/>
        <v>#VALUE!</v>
      </c>
    </row>
    <row r="1235" spans="1:19" x14ac:dyDescent="0.25">
      <c r="A1235">
        <v>900091143</v>
      </c>
      <c r="B1235" t="s">
        <v>3223</v>
      </c>
      <c r="C1235" t="s">
        <v>2680</v>
      </c>
      <c r="E1235" t="s">
        <v>2680</v>
      </c>
      <c r="H1235" t="s">
        <v>22</v>
      </c>
      <c r="I1235">
        <v>1085318898</v>
      </c>
      <c r="J1235" t="s">
        <v>2681</v>
      </c>
      <c r="P1235" t="s">
        <v>2291</v>
      </c>
      <c r="Q1235" s="8">
        <v>5000000</v>
      </c>
      <c r="R1235" s="8" t="e">
        <f>SUMIFS([1]REPORTADOS!$D$2:$D$3345,[1]REPORTADOS!$C$2:$C$3345,E1235)</f>
        <v>#VALUE!</v>
      </c>
      <c r="S1235" s="3" t="e">
        <f t="shared" si="20"/>
        <v>#VALUE!</v>
      </c>
    </row>
    <row r="1236" spans="1:19" x14ac:dyDescent="0.25">
      <c r="A1236">
        <v>900091143</v>
      </c>
      <c r="B1236" t="s">
        <v>3224</v>
      </c>
      <c r="C1236" t="s">
        <v>2698</v>
      </c>
      <c r="E1236" t="s">
        <v>2698</v>
      </c>
      <c r="H1236" t="s">
        <v>22</v>
      </c>
      <c r="I1236">
        <v>36757507</v>
      </c>
      <c r="J1236" t="s">
        <v>2699</v>
      </c>
      <c r="P1236" t="s">
        <v>2291</v>
      </c>
      <c r="Q1236" s="8">
        <v>5000000</v>
      </c>
      <c r="R1236" s="8" t="e">
        <f>SUMIFS([1]REPORTADOS!$D$2:$D$3345,[1]REPORTADOS!$C$2:$C$3345,E1236)</f>
        <v>#VALUE!</v>
      </c>
      <c r="S1236" s="3" t="e">
        <f t="shared" si="20"/>
        <v>#VALUE!</v>
      </c>
    </row>
    <row r="1237" spans="1:19" x14ac:dyDescent="0.25">
      <c r="A1237">
        <v>900091143</v>
      </c>
      <c r="B1237" t="s">
        <v>3225</v>
      </c>
      <c r="C1237" t="s">
        <v>2718</v>
      </c>
      <c r="E1237" t="s">
        <v>2718</v>
      </c>
      <c r="H1237" t="s">
        <v>22</v>
      </c>
      <c r="I1237">
        <v>1004598784</v>
      </c>
      <c r="J1237" t="s">
        <v>2719</v>
      </c>
      <c r="P1237" t="s">
        <v>2720</v>
      </c>
      <c r="Q1237" s="8">
        <v>4700000</v>
      </c>
      <c r="R1237" s="8" t="e">
        <f>SUMIFS([1]REPORTADOS!$D$2:$D$3345,[1]REPORTADOS!$C$2:$C$3345,E1237)</f>
        <v>#VALUE!</v>
      </c>
      <c r="S1237" s="3" t="e">
        <f t="shared" si="20"/>
        <v>#VALUE!</v>
      </c>
    </row>
    <row r="1238" spans="1:19" x14ac:dyDescent="0.25">
      <c r="A1238">
        <v>900091143</v>
      </c>
      <c r="B1238" t="s">
        <v>3226</v>
      </c>
      <c r="C1238" t="s">
        <v>2734</v>
      </c>
      <c r="E1238" t="s">
        <v>2734</v>
      </c>
      <c r="H1238" t="s">
        <v>22</v>
      </c>
      <c r="I1238">
        <v>1085297914</v>
      </c>
      <c r="J1238" t="s">
        <v>2735</v>
      </c>
      <c r="P1238" t="s">
        <v>2204</v>
      </c>
      <c r="Q1238" s="8">
        <v>4700000</v>
      </c>
      <c r="R1238" s="8" t="e">
        <f>SUMIFS([1]REPORTADOS!$D$2:$D$3345,[1]REPORTADOS!$C$2:$C$3345,E1238)</f>
        <v>#VALUE!</v>
      </c>
      <c r="S1238" s="3" t="e">
        <f t="shared" si="20"/>
        <v>#VALUE!</v>
      </c>
    </row>
    <row r="1239" spans="1:19" x14ac:dyDescent="0.25">
      <c r="A1239">
        <v>900091143</v>
      </c>
      <c r="B1239" t="s">
        <v>3227</v>
      </c>
      <c r="C1239" t="s">
        <v>2746</v>
      </c>
      <c r="E1239" t="s">
        <v>2746</v>
      </c>
      <c r="H1239" t="s">
        <v>22</v>
      </c>
      <c r="I1239">
        <v>1088733625</v>
      </c>
      <c r="J1239" t="s">
        <v>1722</v>
      </c>
      <c r="P1239" t="s">
        <v>2204</v>
      </c>
      <c r="Q1239" s="8">
        <v>4300000</v>
      </c>
      <c r="R1239" s="8" t="e">
        <f>SUMIFS([1]REPORTADOS!$D$2:$D$3345,[1]REPORTADOS!$C$2:$C$3345,E1239)</f>
        <v>#VALUE!</v>
      </c>
      <c r="S1239" s="3" t="e">
        <f t="shared" si="20"/>
        <v>#VALUE!</v>
      </c>
    </row>
    <row r="1240" spans="1:19" x14ac:dyDescent="0.25">
      <c r="A1240">
        <v>900091143</v>
      </c>
      <c r="B1240" t="s">
        <v>3228</v>
      </c>
      <c r="C1240" t="s">
        <v>2774</v>
      </c>
      <c r="E1240" t="s">
        <v>2774</v>
      </c>
      <c r="H1240" t="s">
        <v>22</v>
      </c>
      <c r="I1240">
        <v>1004437571</v>
      </c>
      <c r="J1240" t="s">
        <v>2775</v>
      </c>
      <c r="P1240" t="s">
        <v>2204</v>
      </c>
      <c r="Q1240" s="8">
        <v>4000000</v>
      </c>
      <c r="R1240" s="8" t="e">
        <f>SUMIFS([1]REPORTADOS!$D$2:$D$3345,[1]REPORTADOS!$C$2:$C$3345,E1240)</f>
        <v>#VALUE!</v>
      </c>
      <c r="S1240" s="3" t="e">
        <f t="shared" si="20"/>
        <v>#VALUE!</v>
      </c>
    </row>
    <row r="1241" spans="1:19" x14ac:dyDescent="0.25">
      <c r="A1241">
        <v>900091143</v>
      </c>
      <c r="B1241" t="s">
        <v>3229</v>
      </c>
      <c r="C1241" t="s">
        <v>2721</v>
      </c>
      <c r="E1241" t="s">
        <v>2721</v>
      </c>
      <c r="H1241" t="s">
        <v>22</v>
      </c>
      <c r="I1241">
        <v>1088729401</v>
      </c>
      <c r="J1241" t="s">
        <v>2722</v>
      </c>
      <c r="P1241" t="s">
        <v>2291</v>
      </c>
      <c r="Q1241" s="8">
        <v>3916100</v>
      </c>
      <c r="R1241" s="8" t="e">
        <f>SUMIFS([1]REPORTADOS!$D$2:$D$3345,[1]REPORTADOS!$C$2:$C$3345,E1241)</f>
        <v>#VALUE!</v>
      </c>
      <c r="S1241" s="3" t="e">
        <f t="shared" si="20"/>
        <v>#VALUE!</v>
      </c>
    </row>
    <row r="1242" spans="1:19" x14ac:dyDescent="0.25">
      <c r="A1242">
        <v>900091143</v>
      </c>
      <c r="B1242" t="s">
        <v>3230</v>
      </c>
      <c r="C1242" t="s">
        <v>2737</v>
      </c>
      <c r="E1242" t="s">
        <v>2737</v>
      </c>
      <c r="H1242" t="s">
        <v>22</v>
      </c>
      <c r="I1242">
        <v>12996869</v>
      </c>
      <c r="J1242" t="s">
        <v>2738</v>
      </c>
      <c r="P1242" t="s">
        <v>2291</v>
      </c>
      <c r="Q1242" s="8">
        <v>3916100</v>
      </c>
      <c r="R1242" s="8" t="e">
        <f>SUMIFS([1]REPORTADOS!$D$2:$D$3345,[1]REPORTADOS!$C$2:$C$3345,E1242)</f>
        <v>#VALUE!</v>
      </c>
      <c r="S1242" s="3" t="e">
        <f t="shared" si="20"/>
        <v>#VALUE!</v>
      </c>
    </row>
    <row r="1243" spans="1:19" x14ac:dyDescent="0.25">
      <c r="A1243">
        <v>900091143</v>
      </c>
      <c r="B1243" t="s">
        <v>3231</v>
      </c>
      <c r="C1243" t="s">
        <v>2732</v>
      </c>
      <c r="E1243" t="s">
        <v>2732</v>
      </c>
      <c r="H1243" t="s">
        <v>22</v>
      </c>
      <c r="I1243">
        <v>36754171</v>
      </c>
      <c r="J1243" t="s">
        <v>2733</v>
      </c>
      <c r="P1243" t="s">
        <v>2291</v>
      </c>
      <c r="Q1243" s="8">
        <v>3916100</v>
      </c>
      <c r="R1243" s="8" t="e">
        <f>SUMIFS([1]REPORTADOS!$D$2:$D$3345,[1]REPORTADOS!$C$2:$C$3345,E1243)</f>
        <v>#VALUE!</v>
      </c>
      <c r="S1243" s="3" t="e">
        <f t="shared" si="20"/>
        <v>#VALUE!</v>
      </c>
    </row>
    <row r="1244" spans="1:19" x14ac:dyDescent="0.25">
      <c r="A1244">
        <v>900091143</v>
      </c>
      <c r="B1244" t="s">
        <v>3232</v>
      </c>
      <c r="C1244" t="s">
        <v>2741</v>
      </c>
      <c r="E1244" t="s">
        <v>2741</v>
      </c>
      <c r="H1244" t="s">
        <v>22</v>
      </c>
      <c r="I1244">
        <v>1085312811</v>
      </c>
      <c r="J1244" t="s">
        <v>2742</v>
      </c>
      <c r="P1244" t="s">
        <v>2291</v>
      </c>
      <c r="Q1244" s="8">
        <v>3916100</v>
      </c>
      <c r="R1244" s="8" t="e">
        <f>SUMIFS([1]REPORTADOS!$D$2:$D$3345,[1]REPORTADOS!$C$2:$C$3345,E1244)</f>
        <v>#VALUE!</v>
      </c>
      <c r="S1244" s="3" t="e">
        <f t="shared" si="20"/>
        <v>#VALUE!</v>
      </c>
    </row>
    <row r="1245" spans="1:19" x14ac:dyDescent="0.25">
      <c r="A1245">
        <v>900091143</v>
      </c>
      <c r="B1245" t="s">
        <v>3233</v>
      </c>
      <c r="C1245" t="s">
        <v>2747</v>
      </c>
      <c r="E1245" t="s">
        <v>2747</v>
      </c>
      <c r="H1245" t="s">
        <v>22</v>
      </c>
      <c r="I1245">
        <v>12990231</v>
      </c>
      <c r="J1245" t="s">
        <v>2748</v>
      </c>
      <c r="P1245" t="s">
        <v>2291</v>
      </c>
      <c r="Q1245" s="8">
        <v>3916000</v>
      </c>
      <c r="R1245" s="8" t="e">
        <f>SUMIFS([1]REPORTADOS!$D$2:$D$3345,[1]REPORTADOS!$C$2:$C$3345,E1245)</f>
        <v>#VALUE!</v>
      </c>
      <c r="S1245" s="3" t="e">
        <f t="shared" si="20"/>
        <v>#VALUE!</v>
      </c>
    </row>
    <row r="1246" spans="1:19" x14ac:dyDescent="0.25">
      <c r="A1246">
        <v>900091143</v>
      </c>
      <c r="B1246" t="s">
        <v>3234</v>
      </c>
      <c r="C1246" t="s">
        <v>2765</v>
      </c>
      <c r="E1246" t="s">
        <v>2765</v>
      </c>
      <c r="H1246" t="s">
        <v>22</v>
      </c>
      <c r="I1246">
        <v>1085283703</v>
      </c>
      <c r="J1246" t="s">
        <v>2766</v>
      </c>
      <c r="P1246" t="s">
        <v>2204</v>
      </c>
      <c r="Q1246" s="8">
        <v>3600000</v>
      </c>
      <c r="R1246" s="8" t="e">
        <f>SUMIFS([1]REPORTADOS!$D$2:$D$3345,[1]REPORTADOS!$C$2:$C$3345,E1246)</f>
        <v>#VALUE!</v>
      </c>
      <c r="S1246" s="3" t="e">
        <f t="shared" si="20"/>
        <v>#VALUE!</v>
      </c>
    </row>
    <row r="1247" spans="1:19" x14ac:dyDescent="0.25">
      <c r="A1247">
        <v>900091143</v>
      </c>
      <c r="B1247" t="s">
        <v>3235</v>
      </c>
      <c r="C1247" t="s">
        <v>2757</v>
      </c>
      <c r="E1247" t="s">
        <v>2757</v>
      </c>
      <c r="H1247" t="s">
        <v>22</v>
      </c>
      <c r="I1247">
        <v>13069881</v>
      </c>
      <c r="J1247" t="s">
        <v>2758</v>
      </c>
      <c r="P1247" t="s">
        <v>2204</v>
      </c>
      <c r="Q1247" s="8">
        <v>3600000</v>
      </c>
      <c r="R1247" s="8" t="e">
        <f>SUMIFS([1]REPORTADOS!$D$2:$D$3345,[1]REPORTADOS!$C$2:$C$3345,E1247)</f>
        <v>#VALUE!</v>
      </c>
      <c r="S1247" s="3" t="e">
        <f t="shared" si="20"/>
        <v>#VALUE!</v>
      </c>
    </row>
    <row r="1248" spans="1:19" x14ac:dyDescent="0.25">
      <c r="A1248">
        <v>900091143</v>
      </c>
      <c r="B1248" t="s">
        <v>3236</v>
      </c>
      <c r="C1248" t="s">
        <v>2759</v>
      </c>
      <c r="E1248" t="s">
        <v>2759</v>
      </c>
      <c r="H1248" t="s">
        <v>22</v>
      </c>
      <c r="I1248">
        <v>59313539</v>
      </c>
      <c r="J1248" t="s">
        <v>2760</v>
      </c>
      <c r="P1248" t="s">
        <v>2233</v>
      </c>
      <c r="Q1248" s="8">
        <v>3600000</v>
      </c>
      <c r="R1248" s="8" t="e">
        <f>SUMIFS([1]REPORTADOS!$D$2:$D$3345,[1]REPORTADOS!$C$2:$C$3345,E1248)</f>
        <v>#VALUE!</v>
      </c>
      <c r="S1248" s="3" t="e">
        <f t="shared" si="20"/>
        <v>#VALUE!</v>
      </c>
    </row>
    <row r="1249" spans="1:19" x14ac:dyDescent="0.25">
      <c r="A1249">
        <v>900091143</v>
      </c>
      <c r="B1249" t="s">
        <v>3237</v>
      </c>
      <c r="C1249" t="s">
        <v>2778</v>
      </c>
      <c r="E1249" t="s">
        <v>2778</v>
      </c>
      <c r="H1249" t="s">
        <v>22</v>
      </c>
      <c r="I1249">
        <v>87030128</v>
      </c>
      <c r="J1249" t="s">
        <v>2779</v>
      </c>
      <c r="P1249" t="s">
        <v>2204</v>
      </c>
      <c r="Q1249" s="8">
        <v>3600000</v>
      </c>
      <c r="R1249" s="8" t="e">
        <f>SUMIFS([1]REPORTADOS!$D$2:$D$3345,[1]REPORTADOS!$C$2:$C$3345,E1249)</f>
        <v>#VALUE!</v>
      </c>
      <c r="S1249" s="3" t="e">
        <f t="shared" si="20"/>
        <v>#VALUE!</v>
      </c>
    </row>
    <row r="1250" spans="1:19" x14ac:dyDescent="0.25">
      <c r="A1250">
        <v>900091143</v>
      </c>
      <c r="B1250" t="s">
        <v>3238</v>
      </c>
      <c r="C1250" t="s">
        <v>2822</v>
      </c>
      <c r="E1250" t="s">
        <v>2822</v>
      </c>
      <c r="H1250" t="s">
        <v>22</v>
      </c>
      <c r="I1250">
        <v>1004437571</v>
      </c>
      <c r="J1250" t="s">
        <v>2775</v>
      </c>
      <c r="P1250" t="s">
        <v>4662</v>
      </c>
      <c r="Q1250" s="8">
        <v>3600000</v>
      </c>
      <c r="R1250" s="8" t="e">
        <f>SUMIFS([1]REPORTADOS!$D$2:$D$3345,[1]REPORTADOS!$C$2:$C$3345,E1250)</f>
        <v>#VALUE!</v>
      </c>
      <c r="S1250" s="3" t="e">
        <f t="shared" si="20"/>
        <v>#VALUE!</v>
      </c>
    </row>
    <row r="1251" spans="1:19" x14ac:dyDescent="0.25">
      <c r="A1251">
        <v>900091143</v>
      </c>
      <c r="B1251" t="s">
        <v>3239</v>
      </c>
      <c r="C1251" t="s">
        <v>2824</v>
      </c>
      <c r="E1251" t="s">
        <v>2824</v>
      </c>
      <c r="H1251" t="s">
        <v>22</v>
      </c>
      <c r="I1251">
        <v>59813323</v>
      </c>
      <c r="J1251" t="s">
        <v>1995</v>
      </c>
      <c r="P1251" t="s">
        <v>4535</v>
      </c>
      <c r="Q1251" s="8">
        <v>3600000</v>
      </c>
      <c r="R1251" s="8" t="e">
        <f>SUMIFS([1]REPORTADOS!$D$2:$D$3345,[1]REPORTADOS!$C$2:$C$3345,E1251)</f>
        <v>#VALUE!</v>
      </c>
      <c r="S1251" s="3" t="e">
        <f t="shared" si="20"/>
        <v>#VALUE!</v>
      </c>
    </row>
    <row r="1252" spans="1:19" x14ac:dyDescent="0.25">
      <c r="A1252">
        <v>900091143</v>
      </c>
      <c r="B1252" t="s">
        <v>3240</v>
      </c>
      <c r="C1252" t="s">
        <v>2124</v>
      </c>
      <c r="E1252" t="s">
        <v>2124</v>
      </c>
      <c r="H1252" t="s">
        <v>22</v>
      </c>
      <c r="I1252">
        <v>30722194</v>
      </c>
      <c r="J1252" t="s">
        <v>2125</v>
      </c>
      <c r="P1252" t="s">
        <v>2126</v>
      </c>
      <c r="Q1252" s="8">
        <v>3582900</v>
      </c>
      <c r="R1252" s="8" t="e">
        <f>SUMIFS([1]REPORTADOS!$D$2:$D$3345,[1]REPORTADOS!$C$2:$C$3345,E1252)</f>
        <v>#VALUE!</v>
      </c>
      <c r="S1252" s="3" t="e">
        <f t="shared" si="20"/>
        <v>#VALUE!</v>
      </c>
    </row>
    <row r="1253" spans="1:19" x14ac:dyDescent="0.25">
      <c r="A1253">
        <v>900091143</v>
      </c>
      <c r="B1253" t="s">
        <v>3241</v>
      </c>
      <c r="C1253" t="s">
        <v>2767</v>
      </c>
      <c r="E1253" t="s">
        <v>2767</v>
      </c>
      <c r="H1253" t="s">
        <v>22</v>
      </c>
      <c r="I1253">
        <v>36951530</v>
      </c>
      <c r="J1253" t="s">
        <v>2768</v>
      </c>
      <c r="P1253" t="s">
        <v>2291</v>
      </c>
      <c r="Q1253" s="8">
        <v>3582900</v>
      </c>
      <c r="R1253" s="8" t="e">
        <f>SUMIFS([1]REPORTADOS!$D$2:$D$3345,[1]REPORTADOS!$C$2:$C$3345,E1253)</f>
        <v>#VALUE!</v>
      </c>
      <c r="S1253" s="3" t="e">
        <f t="shared" si="20"/>
        <v>#VALUE!</v>
      </c>
    </row>
    <row r="1254" spans="1:19" x14ac:dyDescent="0.25">
      <c r="A1254">
        <v>900091143</v>
      </c>
      <c r="B1254" t="s">
        <v>3242</v>
      </c>
      <c r="C1254" t="s">
        <v>2780</v>
      </c>
      <c r="E1254" t="s">
        <v>2780</v>
      </c>
      <c r="H1254" t="s">
        <v>22</v>
      </c>
      <c r="I1254">
        <v>1080690337</v>
      </c>
      <c r="J1254" t="s">
        <v>2781</v>
      </c>
      <c r="P1254" t="s">
        <v>2233</v>
      </c>
      <c r="Q1254" s="8">
        <v>3500000</v>
      </c>
      <c r="R1254" s="8" t="e">
        <f>SUMIFS([1]REPORTADOS!$D$2:$D$3345,[1]REPORTADOS!$C$2:$C$3345,E1254)</f>
        <v>#VALUE!</v>
      </c>
      <c r="S1254" s="3" t="e">
        <f t="shared" si="20"/>
        <v>#VALUE!</v>
      </c>
    </row>
    <row r="1255" spans="1:19" x14ac:dyDescent="0.25">
      <c r="A1255">
        <v>900091143</v>
      </c>
      <c r="B1255" t="s">
        <v>3243</v>
      </c>
      <c r="C1255" t="s">
        <v>2769</v>
      </c>
      <c r="E1255" t="s">
        <v>2769</v>
      </c>
      <c r="H1255" t="s">
        <v>22</v>
      </c>
      <c r="I1255">
        <v>1085254615</v>
      </c>
      <c r="J1255" t="s">
        <v>2770</v>
      </c>
      <c r="P1255" t="s">
        <v>2291</v>
      </c>
      <c r="Q1255" s="8">
        <v>3333000</v>
      </c>
      <c r="R1255" s="8" t="e">
        <f>SUMIFS([1]REPORTADOS!$D$2:$D$3345,[1]REPORTADOS!$C$2:$C$3345,E1255)</f>
        <v>#VALUE!</v>
      </c>
      <c r="S1255" s="3" t="e">
        <f t="shared" si="20"/>
        <v>#VALUE!</v>
      </c>
    </row>
    <row r="1256" spans="1:19" x14ac:dyDescent="0.25">
      <c r="A1256">
        <v>900091143</v>
      </c>
      <c r="B1256" t="s">
        <v>3244</v>
      </c>
      <c r="C1256" t="s">
        <v>2784</v>
      </c>
      <c r="E1256" t="s">
        <v>2784</v>
      </c>
      <c r="H1256" t="s">
        <v>22</v>
      </c>
      <c r="I1256">
        <v>1193273142</v>
      </c>
      <c r="J1256" t="s">
        <v>2785</v>
      </c>
      <c r="P1256" t="s">
        <v>2204</v>
      </c>
      <c r="Q1256" s="8">
        <v>3000000</v>
      </c>
      <c r="R1256" s="8" t="e">
        <f>SUMIFS([1]REPORTADOS!$D$2:$D$3345,[1]REPORTADOS!$C$2:$C$3345,E1256)</f>
        <v>#VALUE!</v>
      </c>
      <c r="S1256" s="3" t="e">
        <f t="shared" si="20"/>
        <v>#VALUE!</v>
      </c>
    </row>
    <row r="1257" spans="1:19" x14ac:dyDescent="0.25">
      <c r="A1257">
        <v>900091143</v>
      </c>
      <c r="B1257" t="s">
        <v>3245</v>
      </c>
      <c r="C1257" t="s">
        <v>2831</v>
      </c>
      <c r="E1257" t="s">
        <v>2831</v>
      </c>
      <c r="H1257" t="s">
        <v>22</v>
      </c>
      <c r="I1257">
        <v>27082649</v>
      </c>
      <c r="J1257" t="s">
        <v>2454</v>
      </c>
      <c r="P1257" t="s">
        <v>4649</v>
      </c>
      <c r="Q1257" s="8">
        <v>3000000</v>
      </c>
      <c r="R1257" s="8" t="e">
        <f>SUMIFS([1]REPORTADOS!$D$2:$D$3345,[1]REPORTADOS!$C$2:$C$3345,E1257)</f>
        <v>#VALUE!</v>
      </c>
      <c r="S1257" s="3" t="e">
        <f t="shared" si="20"/>
        <v>#VALUE!</v>
      </c>
    </row>
    <row r="1258" spans="1:19" x14ac:dyDescent="0.25">
      <c r="A1258">
        <v>900091143</v>
      </c>
      <c r="B1258" t="s">
        <v>3246</v>
      </c>
      <c r="C1258" t="s">
        <v>2838</v>
      </c>
      <c r="E1258" t="s">
        <v>2838</v>
      </c>
      <c r="H1258" t="s">
        <v>22</v>
      </c>
      <c r="I1258">
        <v>1085314138</v>
      </c>
      <c r="J1258" t="s">
        <v>2839</v>
      </c>
      <c r="P1258" t="s">
        <v>4649</v>
      </c>
      <c r="Q1258" s="8">
        <v>3000000</v>
      </c>
      <c r="R1258" s="8" t="e">
        <f>SUMIFS([1]REPORTADOS!$D$2:$D$3345,[1]REPORTADOS!$C$2:$C$3345,E1258)</f>
        <v>#VALUE!</v>
      </c>
      <c r="S1258" s="3" t="e">
        <f t="shared" si="20"/>
        <v>#VALUE!</v>
      </c>
    </row>
    <row r="1259" spans="1:19" x14ac:dyDescent="0.25">
      <c r="A1259">
        <v>900091143</v>
      </c>
      <c r="B1259" t="s">
        <v>3247</v>
      </c>
      <c r="C1259" t="s">
        <v>2810</v>
      </c>
      <c r="E1259" t="s">
        <v>2810</v>
      </c>
      <c r="H1259" t="s">
        <v>22</v>
      </c>
      <c r="I1259">
        <v>1004232315</v>
      </c>
      <c r="J1259" t="s">
        <v>2811</v>
      </c>
      <c r="P1259" t="s">
        <v>2233</v>
      </c>
      <c r="Q1259" s="8">
        <v>3000000</v>
      </c>
      <c r="R1259" s="8" t="e">
        <f>SUMIFS([1]REPORTADOS!$D$2:$D$3345,[1]REPORTADOS!$C$2:$C$3345,E1259)</f>
        <v>#VALUE!</v>
      </c>
      <c r="S1259" s="3" t="e">
        <f t="shared" si="20"/>
        <v>#VALUE!</v>
      </c>
    </row>
    <row r="1260" spans="1:19" x14ac:dyDescent="0.25">
      <c r="A1260">
        <v>900091143</v>
      </c>
      <c r="B1260" t="s">
        <v>3248</v>
      </c>
      <c r="C1260" t="s">
        <v>2761</v>
      </c>
      <c r="E1260" t="s">
        <v>2761</v>
      </c>
      <c r="H1260" t="s">
        <v>22</v>
      </c>
      <c r="I1260">
        <v>1085321176</v>
      </c>
      <c r="J1260" t="s">
        <v>2762</v>
      </c>
      <c r="P1260" t="s">
        <v>2291</v>
      </c>
      <c r="Q1260" s="8">
        <v>2999800</v>
      </c>
      <c r="R1260" s="8" t="e">
        <f>SUMIFS([1]REPORTADOS!$D$2:$D$3345,[1]REPORTADOS!$C$2:$C$3345,E1260)</f>
        <v>#VALUE!</v>
      </c>
      <c r="S1260" s="3" t="e">
        <f t="shared" si="20"/>
        <v>#VALUE!</v>
      </c>
    </row>
    <row r="1261" spans="1:19" x14ac:dyDescent="0.25">
      <c r="A1261">
        <v>900091143</v>
      </c>
      <c r="B1261" t="s">
        <v>3249</v>
      </c>
      <c r="C1261" t="s">
        <v>2763</v>
      </c>
      <c r="E1261" t="s">
        <v>2763</v>
      </c>
      <c r="H1261" t="s">
        <v>22</v>
      </c>
      <c r="I1261">
        <v>30709681</v>
      </c>
      <c r="J1261" t="s">
        <v>2764</v>
      </c>
      <c r="P1261" t="s">
        <v>2291</v>
      </c>
      <c r="Q1261" s="8">
        <v>2500000</v>
      </c>
      <c r="R1261" s="8" t="e">
        <f>SUMIFS([1]REPORTADOS!$D$2:$D$3345,[1]REPORTADOS!$C$2:$C$3345,E1261)</f>
        <v>#VALUE!</v>
      </c>
      <c r="S1261" s="3" t="e">
        <f t="shared" si="20"/>
        <v>#VALUE!</v>
      </c>
    </row>
    <row r="1262" spans="1:19" x14ac:dyDescent="0.25">
      <c r="A1262">
        <v>900091143</v>
      </c>
      <c r="B1262" t="s">
        <v>3250</v>
      </c>
      <c r="C1262" t="s">
        <v>2782</v>
      </c>
      <c r="E1262" t="s">
        <v>2782</v>
      </c>
      <c r="H1262" t="s">
        <v>22</v>
      </c>
      <c r="I1262">
        <v>37083937</v>
      </c>
      <c r="J1262" t="s">
        <v>2783</v>
      </c>
      <c r="P1262" t="s">
        <v>2291</v>
      </c>
      <c r="Q1262" s="8">
        <v>2500000</v>
      </c>
      <c r="R1262" s="8" t="e">
        <f>SUMIFS([1]REPORTADOS!$D$2:$D$3345,[1]REPORTADOS!$C$2:$C$3345,E1262)</f>
        <v>#VALUE!</v>
      </c>
      <c r="S1262" s="3" t="e">
        <f t="shared" si="20"/>
        <v>#VALUE!</v>
      </c>
    </row>
    <row r="1263" spans="1:19" x14ac:dyDescent="0.25">
      <c r="A1263">
        <v>900091143</v>
      </c>
      <c r="B1263" t="s">
        <v>3251</v>
      </c>
      <c r="C1263" t="s">
        <v>2840</v>
      </c>
      <c r="E1263" t="s">
        <v>2840</v>
      </c>
      <c r="H1263" t="s">
        <v>22</v>
      </c>
      <c r="I1263">
        <v>1085314334</v>
      </c>
      <c r="J1263" t="s">
        <v>2672</v>
      </c>
      <c r="P1263" t="s">
        <v>4663</v>
      </c>
      <c r="Q1263" s="8">
        <v>2500000</v>
      </c>
      <c r="R1263" s="8" t="e">
        <f>SUMIFS([1]REPORTADOS!$D$2:$D$3345,[1]REPORTADOS!$C$2:$C$3345,E1263)</f>
        <v>#VALUE!</v>
      </c>
      <c r="S1263" s="3" t="e">
        <f t="shared" si="20"/>
        <v>#VALUE!</v>
      </c>
    </row>
    <row r="1264" spans="1:19" x14ac:dyDescent="0.25">
      <c r="A1264">
        <v>900091143</v>
      </c>
      <c r="B1264" t="s">
        <v>3252</v>
      </c>
      <c r="C1264" t="s">
        <v>2846</v>
      </c>
      <c r="E1264" t="s">
        <v>2846</v>
      </c>
      <c r="H1264" t="s">
        <v>38</v>
      </c>
      <c r="I1264">
        <v>901181781</v>
      </c>
      <c r="J1264" t="s">
        <v>2847</v>
      </c>
      <c r="P1264" t="s">
        <v>2794</v>
      </c>
      <c r="Q1264" s="8">
        <v>2403324</v>
      </c>
      <c r="R1264" s="8" t="e">
        <f>SUMIFS([1]REPORTADOS!$D$2:$D$3345,[1]REPORTADOS!$C$2:$C$3345,E1264)</f>
        <v>#VALUE!</v>
      </c>
      <c r="S1264" s="3" t="e">
        <f t="shared" ref="S1264" si="21">Q1264-R1264</f>
        <v>#VALUE!</v>
      </c>
    </row>
    <row r="1265" spans="1:19" x14ac:dyDescent="0.25">
      <c r="A1265">
        <v>900091143</v>
      </c>
      <c r="B1265" t="s">
        <v>17</v>
      </c>
      <c r="C1265" t="s">
        <v>18</v>
      </c>
      <c r="D1265" t="s">
        <v>19</v>
      </c>
      <c r="E1265" t="s">
        <v>18</v>
      </c>
      <c r="F1265" t="s">
        <v>20</v>
      </c>
      <c r="G1265" t="s">
        <v>21</v>
      </c>
      <c r="H1265" t="s">
        <v>22</v>
      </c>
      <c r="I1265" t="s">
        <v>23</v>
      </c>
      <c r="J1265" t="s">
        <v>24</v>
      </c>
      <c r="K1265" t="s">
        <v>25</v>
      </c>
      <c r="L1265" t="s">
        <v>26</v>
      </c>
      <c r="M1265">
        <v>3</v>
      </c>
      <c r="N1265" t="s">
        <v>26</v>
      </c>
      <c r="O1265" t="s">
        <v>27</v>
      </c>
      <c r="P1265" t="s">
        <v>28</v>
      </c>
      <c r="Q1265" s="3">
        <v>14475000</v>
      </c>
      <c r="R1265" s="3">
        <v>14475000</v>
      </c>
      <c r="S1265" s="3">
        <v>0</v>
      </c>
    </row>
    <row r="1266" spans="1:19" x14ac:dyDescent="0.25">
      <c r="A1266">
        <v>900091143</v>
      </c>
      <c r="B1266" t="s">
        <v>17</v>
      </c>
      <c r="C1266" t="s">
        <v>34</v>
      </c>
      <c r="D1266" t="s">
        <v>35</v>
      </c>
      <c r="E1266" t="s">
        <v>34</v>
      </c>
      <c r="F1266" t="s">
        <v>36</v>
      </c>
      <c r="G1266" t="s">
        <v>37</v>
      </c>
      <c r="H1266" t="s">
        <v>38</v>
      </c>
      <c r="I1266" t="s">
        <v>39</v>
      </c>
      <c r="J1266" t="s">
        <v>40</v>
      </c>
      <c r="K1266" t="s">
        <v>32</v>
      </c>
      <c r="L1266" t="s">
        <v>41</v>
      </c>
      <c r="M1266">
        <v>1</v>
      </c>
      <c r="N1266" t="s">
        <v>41</v>
      </c>
      <c r="O1266" t="s">
        <v>42</v>
      </c>
      <c r="P1266" t="s">
        <v>43</v>
      </c>
      <c r="Q1266" s="3">
        <v>128681402</v>
      </c>
      <c r="R1266" s="3">
        <v>128681401.03999999</v>
      </c>
      <c r="S1266" s="3">
        <v>0.96000000834465027</v>
      </c>
    </row>
    <row r="1267" spans="1:19" x14ac:dyDescent="0.25">
      <c r="A1267">
        <v>900091143</v>
      </c>
      <c r="B1267" t="s">
        <v>17</v>
      </c>
      <c r="C1267" t="s">
        <v>44</v>
      </c>
      <c r="D1267" t="s">
        <v>45</v>
      </c>
      <c r="E1267" t="s">
        <v>44</v>
      </c>
      <c r="F1267" t="s">
        <v>46</v>
      </c>
      <c r="G1267" t="s">
        <v>47</v>
      </c>
      <c r="H1267" t="s">
        <v>22</v>
      </c>
      <c r="I1267" t="s">
        <v>48</v>
      </c>
      <c r="J1267" t="s">
        <v>49</v>
      </c>
      <c r="K1267" t="s">
        <v>50</v>
      </c>
      <c r="L1267" t="s">
        <v>51</v>
      </c>
      <c r="M1267">
        <v>5</v>
      </c>
      <c r="N1267" t="s">
        <v>51</v>
      </c>
      <c r="O1267" t="s">
        <v>52</v>
      </c>
      <c r="P1267" t="s">
        <v>53</v>
      </c>
      <c r="Q1267" s="3">
        <v>8000000</v>
      </c>
      <c r="R1267" s="3">
        <v>8000000</v>
      </c>
      <c r="S1267" s="3">
        <v>0</v>
      </c>
    </row>
    <row r="1268" spans="1:19" x14ac:dyDescent="0.25">
      <c r="A1268">
        <v>900091143</v>
      </c>
      <c r="B1268" t="s">
        <v>17</v>
      </c>
      <c r="C1268" t="s">
        <v>54</v>
      </c>
      <c r="D1268" t="s">
        <v>55</v>
      </c>
      <c r="E1268" t="s">
        <v>54</v>
      </c>
      <c r="F1268" t="s">
        <v>46</v>
      </c>
      <c r="G1268" t="s">
        <v>56</v>
      </c>
      <c r="H1268" t="s">
        <v>22</v>
      </c>
      <c r="I1268" t="s">
        <v>57</v>
      </c>
      <c r="J1268" t="s">
        <v>58</v>
      </c>
      <c r="K1268" t="s">
        <v>50</v>
      </c>
      <c r="L1268" t="s">
        <v>51</v>
      </c>
      <c r="M1268">
        <v>5</v>
      </c>
      <c r="N1268" t="s">
        <v>51</v>
      </c>
      <c r="O1268" t="s">
        <v>52</v>
      </c>
      <c r="P1268" t="s">
        <v>53</v>
      </c>
      <c r="Q1268" s="3">
        <v>8000000</v>
      </c>
      <c r="R1268" s="3">
        <v>8000000</v>
      </c>
      <c r="S1268" s="3">
        <v>0</v>
      </c>
    </row>
    <row r="1269" spans="1:19" x14ac:dyDescent="0.25">
      <c r="A1269">
        <v>900091143</v>
      </c>
      <c r="B1269" t="s">
        <v>17</v>
      </c>
      <c r="C1269" t="s">
        <v>59</v>
      </c>
      <c r="D1269" t="s">
        <v>60</v>
      </c>
      <c r="E1269" t="s">
        <v>59</v>
      </c>
      <c r="F1269" t="s">
        <v>46</v>
      </c>
      <c r="G1269" t="s">
        <v>61</v>
      </c>
      <c r="H1269" t="s">
        <v>22</v>
      </c>
      <c r="I1269" t="s">
        <v>62</v>
      </c>
      <c r="J1269" t="s">
        <v>63</v>
      </c>
      <c r="K1269" t="s">
        <v>25</v>
      </c>
      <c r="L1269" t="s">
        <v>51</v>
      </c>
      <c r="M1269">
        <v>4</v>
      </c>
      <c r="N1269" t="s">
        <v>51</v>
      </c>
      <c r="O1269" t="s">
        <v>64</v>
      </c>
      <c r="P1269" t="s">
        <v>65</v>
      </c>
      <c r="Q1269" s="3">
        <v>30000000</v>
      </c>
      <c r="R1269" s="3">
        <v>30000000</v>
      </c>
      <c r="S1269" s="3">
        <v>0</v>
      </c>
    </row>
    <row r="1270" spans="1:19" x14ac:dyDescent="0.25">
      <c r="A1270">
        <v>900091143</v>
      </c>
      <c r="B1270" t="s">
        <v>17</v>
      </c>
      <c r="C1270" t="s">
        <v>66</v>
      </c>
      <c r="D1270" t="s">
        <v>67</v>
      </c>
      <c r="E1270" t="s">
        <v>66</v>
      </c>
      <c r="F1270" t="s">
        <v>46</v>
      </c>
      <c r="G1270" t="s">
        <v>68</v>
      </c>
      <c r="H1270" t="s">
        <v>22</v>
      </c>
      <c r="I1270" t="s">
        <v>69</v>
      </c>
      <c r="J1270" t="s">
        <v>70</v>
      </c>
      <c r="K1270" t="s">
        <v>71</v>
      </c>
      <c r="L1270" t="s">
        <v>51</v>
      </c>
      <c r="M1270">
        <v>5</v>
      </c>
      <c r="N1270" t="s">
        <v>51</v>
      </c>
      <c r="O1270" t="s">
        <v>52</v>
      </c>
      <c r="P1270" t="s">
        <v>72</v>
      </c>
      <c r="Q1270" s="3">
        <v>19302400</v>
      </c>
      <c r="R1270" s="3">
        <v>19302400</v>
      </c>
      <c r="S1270" s="3">
        <v>0</v>
      </c>
    </row>
    <row r="1271" spans="1:19" x14ac:dyDescent="0.25">
      <c r="A1271">
        <v>900091143</v>
      </c>
      <c r="B1271" t="s">
        <v>17</v>
      </c>
      <c r="C1271" t="s">
        <v>73</v>
      </c>
      <c r="D1271" t="s">
        <v>74</v>
      </c>
      <c r="E1271" t="s">
        <v>73</v>
      </c>
      <c r="F1271" t="s">
        <v>46</v>
      </c>
      <c r="G1271" t="s">
        <v>75</v>
      </c>
      <c r="H1271" t="s">
        <v>22</v>
      </c>
      <c r="I1271" t="s">
        <v>76</v>
      </c>
      <c r="J1271" t="s">
        <v>77</v>
      </c>
      <c r="K1271" t="s">
        <v>50</v>
      </c>
      <c r="L1271" t="s">
        <v>51</v>
      </c>
      <c r="M1271">
        <v>5</v>
      </c>
      <c r="N1271" t="s">
        <v>51</v>
      </c>
      <c r="O1271" t="s">
        <v>52</v>
      </c>
      <c r="P1271" t="s">
        <v>53</v>
      </c>
      <c r="Q1271" s="3">
        <v>8000000</v>
      </c>
      <c r="R1271" s="3">
        <v>8000000</v>
      </c>
      <c r="S1271" s="3">
        <v>0</v>
      </c>
    </row>
    <row r="1272" spans="1:19" x14ac:dyDescent="0.25">
      <c r="A1272">
        <v>900091143</v>
      </c>
      <c r="B1272" t="s">
        <v>17</v>
      </c>
      <c r="C1272" t="s">
        <v>78</v>
      </c>
      <c r="D1272" t="s">
        <v>79</v>
      </c>
      <c r="E1272" t="s">
        <v>78</v>
      </c>
      <c r="F1272" t="s">
        <v>46</v>
      </c>
      <c r="G1272" t="s">
        <v>80</v>
      </c>
      <c r="H1272" t="s">
        <v>22</v>
      </c>
      <c r="I1272" t="s">
        <v>81</v>
      </c>
      <c r="J1272" t="s">
        <v>82</v>
      </c>
      <c r="K1272" t="s">
        <v>50</v>
      </c>
      <c r="L1272" t="s">
        <v>51</v>
      </c>
      <c r="M1272">
        <v>5</v>
      </c>
      <c r="N1272" t="s">
        <v>51</v>
      </c>
      <c r="O1272" t="s">
        <v>52</v>
      </c>
      <c r="P1272" t="s">
        <v>53</v>
      </c>
      <c r="Q1272" s="3">
        <v>8000000</v>
      </c>
      <c r="R1272" s="3">
        <v>8000000</v>
      </c>
      <c r="S1272" s="3">
        <v>0</v>
      </c>
    </row>
    <row r="1273" spans="1:19" x14ac:dyDescent="0.25">
      <c r="A1273">
        <v>900091143</v>
      </c>
      <c r="B1273" t="s">
        <v>17</v>
      </c>
      <c r="C1273" t="s">
        <v>83</v>
      </c>
      <c r="D1273" t="s">
        <v>84</v>
      </c>
      <c r="E1273" t="s">
        <v>83</v>
      </c>
      <c r="F1273" t="s">
        <v>46</v>
      </c>
      <c r="G1273" t="s">
        <v>85</v>
      </c>
      <c r="H1273" t="s">
        <v>22</v>
      </c>
      <c r="I1273" t="s">
        <v>86</v>
      </c>
      <c r="J1273" t="s">
        <v>87</v>
      </c>
      <c r="K1273" t="s">
        <v>50</v>
      </c>
      <c r="L1273" t="s">
        <v>51</v>
      </c>
      <c r="M1273">
        <v>5</v>
      </c>
      <c r="N1273" t="s">
        <v>51</v>
      </c>
      <c r="O1273" t="s">
        <v>52</v>
      </c>
      <c r="P1273" t="s">
        <v>53</v>
      </c>
      <c r="Q1273" s="3">
        <v>8000000</v>
      </c>
      <c r="R1273" s="3">
        <v>8000000</v>
      </c>
      <c r="S1273" s="3">
        <v>0</v>
      </c>
    </row>
    <row r="1274" spans="1:19" x14ac:dyDescent="0.25">
      <c r="A1274">
        <v>900091143</v>
      </c>
      <c r="B1274" t="s">
        <v>17</v>
      </c>
      <c r="C1274" t="s">
        <v>88</v>
      </c>
      <c r="D1274" t="s">
        <v>89</v>
      </c>
      <c r="E1274" t="s">
        <v>88</v>
      </c>
      <c r="F1274" t="s">
        <v>46</v>
      </c>
      <c r="G1274" t="s">
        <v>90</v>
      </c>
      <c r="H1274" t="s">
        <v>22</v>
      </c>
      <c r="I1274" t="s">
        <v>91</v>
      </c>
      <c r="J1274" t="s">
        <v>92</v>
      </c>
      <c r="K1274" t="s">
        <v>2860</v>
      </c>
      <c r="L1274" t="s">
        <v>51</v>
      </c>
      <c r="M1274">
        <v>5</v>
      </c>
      <c r="N1274" t="s">
        <v>51</v>
      </c>
      <c r="O1274" t="s">
        <v>52</v>
      </c>
      <c r="P1274" t="s">
        <v>93</v>
      </c>
      <c r="Q1274" s="3">
        <v>19000000</v>
      </c>
      <c r="R1274" s="3">
        <v>19000000</v>
      </c>
      <c r="S1274" s="3">
        <v>0</v>
      </c>
    </row>
    <row r="1275" spans="1:19" x14ac:dyDescent="0.25">
      <c r="A1275">
        <v>900091143</v>
      </c>
      <c r="B1275" t="s">
        <v>17</v>
      </c>
      <c r="C1275" t="s">
        <v>94</v>
      </c>
      <c r="D1275" t="s">
        <v>95</v>
      </c>
      <c r="E1275" t="s">
        <v>94</v>
      </c>
      <c r="F1275" t="s">
        <v>46</v>
      </c>
      <c r="G1275" t="s">
        <v>96</v>
      </c>
      <c r="H1275" t="s">
        <v>22</v>
      </c>
      <c r="I1275" t="s">
        <v>97</v>
      </c>
      <c r="J1275" t="s">
        <v>98</v>
      </c>
      <c r="K1275" t="s">
        <v>25</v>
      </c>
      <c r="L1275" t="s">
        <v>51</v>
      </c>
      <c r="M1275">
        <v>5</v>
      </c>
      <c r="N1275" t="s">
        <v>51</v>
      </c>
      <c r="O1275" t="s">
        <v>52</v>
      </c>
      <c r="P1275" t="s">
        <v>65</v>
      </c>
      <c r="Q1275" s="3">
        <v>30000000</v>
      </c>
      <c r="R1275" s="3">
        <v>30000000</v>
      </c>
      <c r="S1275" s="3">
        <v>0</v>
      </c>
    </row>
    <row r="1276" spans="1:19" x14ac:dyDescent="0.25">
      <c r="A1276">
        <v>900091143</v>
      </c>
      <c r="B1276" t="s">
        <v>17</v>
      </c>
      <c r="C1276" t="s">
        <v>99</v>
      </c>
      <c r="D1276" t="s">
        <v>100</v>
      </c>
      <c r="E1276" t="s">
        <v>99</v>
      </c>
      <c r="F1276" t="s">
        <v>46</v>
      </c>
      <c r="G1276" t="s">
        <v>101</v>
      </c>
      <c r="H1276" t="s">
        <v>22</v>
      </c>
      <c r="I1276" t="s">
        <v>102</v>
      </c>
      <c r="J1276" t="s">
        <v>103</v>
      </c>
      <c r="K1276" t="s">
        <v>2860</v>
      </c>
      <c r="L1276" t="s">
        <v>51</v>
      </c>
      <c r="M1276">
        <v>5</v>
      </c>
      <c r="N1276" t="s">
        <v>51</v>
      </c>
      <c r="O1276" t="s">
        <v>52</v>
      </c>
      <c r="P1276" t="s">
        <v>93</v>
      </c>
      <c r="Q1276" s="3">
        <v>19000000</v>
      </c>
      <c r="R1276" s="3">
        <v>19000000</v>
      </c>
      <c r="S1276" s="3">
        <v>0</v>
      </c>
    </row>
    <row r="1277" spans="1:19" x14ac:dyDescent="0.25">
      <c r="A1277">
        <v>900091143</v>
      </c>
      <c r="B1277" t="s">
        <v>17</v>
      </c>
      <c r="C1277" t="s">
        <v>104</v>
      </c>
      <c r="D1277" t="s">
        <v>105</v>
      </c>
      <c r="E1277" t="s">
        <v>104</v>
      </c>
      <c r="F1277" t="s">
        <v>46</v>
      </c>
      <c r="G1277" t="s">
        <v>106</v>
      </c>
      <c r="H1277" t="s">
        <v>22</v>
      </c>
      <c r="I1277" t="s">
        <v>107</v>
      </c>
      <c r="J1277" t="s">
        <v>108</v>
      </c>
      <c r="K1277" t="s">
        <v>25</v>
      </c>
      <c r="L1277" t="s">
        <v>51</v>
      </c>
      <c r="M1277">
        <v>5</v>
      </c>
      <c r="N1277" t="s">
        <v>51</v>
      </c>
      <c r="O1277" t="s">
        <v>52</v>
      </c>
      <c r="P1277" t="s">
        <v>65</v>
      </c>
      <c r="Q1277" s="3">
        <v>30000000</v>
      </c>
      <c r="R1277" s="3">
        <v>30000000</v>
      </c>
      <c r="S1277" s="3">
        <v>0</v>
      </c>
    </row>
    <row r="1278" spans="1:19" x14ac:dyDescent="0.25">
      <c r="A1278">
        <v>900091143</v>
      </c>
      <c r="B1278" t="s">
        <v>17</v>
      </c>
      <c r="C1278" t="s">
        <v>109</v>
      </c>
      <c r="D1278" t="s">
        <v>110</v>
      </c>
      <c r="E1278" t="s">
        <v>109</v>
      </c>
      <c r="F1278" t="s">
        <v>46</v>
      </c>
      <c r="G1278" t="s">
        <v>111</v>
      </c>
      <c r="H1278" t="s">
        <v>22</v>
      </c>
      <c r="I1278" t="s">
        <v>112</v>
      </c>
      <c r="J1278" t="s">
        <v>113</v>
      </c>
      <c r="K1278" t="s">
        <v>25</v>
      </c>
      <c r="L1278" t="s">
        <v>51</v>
      </c>
      <c r="M1278">
        <v>5</v>
      </c>
      <c r="N1278" t="s">
        <v>51</v>
      </c>
      <c r="O1278" t="s">
        <v>52</v>
      </c>
      <c r="P1278" t="s">
        <v>65</v>
      </c>
      <c r="Q1278" s="3">
        <v>30000000</v>
      </c>
      <c r="R1278" s="3">
        <v>30000000</v>
      </c>
      <c r="S1278" s="3">
        <v>0</v>
      </c>
    </row>
    <row r="1279" spans="1:19" x14ac:dyDescent="0.25">
      <c r="A1279">
        <v>900091143</v>
      </c>
      <c r="B1279" t="s">
        <v>17</v>
      </c>
      <c r="C1279" t="s">
        <v>114</v>
      </c>
      <c r="D1279" t="s">
        <v>115</v>
      </c>
      <c r="E1279" t="s">
        <v>114</v>
      </c>
      <c r="F1279" t="s">
        <v>46</v>
      </c>
      <c r="G1279" t="s">
        <v>116</v>
      </c>
      <c r="H1279" t="s">
        <v>22</v>
      </c>
      <c r="I1279" t="s">
        <v>117</v>
      </c>
      <c r="J1279" t="s">
        <v>118</v>
      </c>
      <c r="K1279" t="s">
        <v>50</v>
      </c>
      <c r="L1279" t="s">
        <v>51</v>
      </c>
      <c r="M1279">
        <v>5</v>
      </c>
      <c r="N1279" t="s">
        <v>51</v>
      </c>
      <c r="O1279" t="s">
        <v>52</v>
      </c>
      <c r="P1279" t="s">
        <v>53</v>
      </c>
      <c r="Q1279" s="3">
        <v>2000000</v>
      </c>
      <c r="R1279" s="3">
        <v>2000000</v>
      </c>
      <c r="S1279" s="3">
        <v>0</v>
      </c>
    </row>
    <row r="1280" spans="1:19" x14ac:dyDescent="0.25">
      <c r="A1280">
        <v>900091143</v>
      </c>
      <c r="B1280" t="s">
        <v>17</v>
      </c>
      <c r="C1280" t="s">
        <v>119</v>
      </c>
      <c r="D1280" t="s">
        <v>120</v>
      </c>
      <c r="E1280" t="s">
        <v>119</v>
      </c>
      <c r="F1280" t="s">
        <v>46</v>
      </c>
      <c r="G1280" t="s">
        <v>121</v>
      </c>
      <c r="H1280" t="s">
        <v>22</v>
      </c>
      <c r="I1280" t="s">
        <v>122</v>
      </c>
      <c r="J1280" t="s">
        <v>123</v>
      </c>
      <c r="K1280" t="s">
        <v>50</v>
      </c>
      <c r="L1280" t="s">
        <v>51</v>
      </c>
      <c r="M1280">
        <v>5</v>
      </c>
      <c r="N1280" t="s">
        <v>51</v>
      </c>
      <c r="O1280" t="s">
        <v>52</v>
      </c>
      <c r="P1280" t="s">
        <v>53</v>
      </c>
      <c r="Q1280" s="3">
        <v>8000000</v>
      </c>
      <c r="R1280" s="3">
        <v>8000000</v>
      </c>
      <c r="S1280" s="3">
        <v>0</v>
      </c>
    </row>
    <row r="1281" spans="1:19" x14ac:dyDescent="0.25">
      <c r="A1281">
        <v>900091143</v>
      </c>
      <c r="B1281" t="s">
        <v>17</v>
      </c>
      <c r="C1281" t="s">
        <v>124</v>
      </c>
      <c r="D1281" t="s">
        <v>125</v>
      </c>
      <c r="E1281" t="s">
        <v>124</v>
      </c>
      <c r="F1281" t="s">
        <v>46</v>
      </c>
      <c r="G1281" t="s">
        <v>126</v>
      </c>
      <c r="H1281" t="s">
        <v>22</v>
      </c>
      <c r="I1281" t="s">
        <v>127</v>
      </c>
      <c r="J1281" t="s">
        <v>128</v>
      </c>
      <c r="K1281" t="s">
        <v>50</v>
      </c>
      <c r="L1281" t="s">
        <v>129</v>
      </c>
      <c r="M1281">
        <v>5</v>
      </c>
      <c r="N1281" t="s">
        <v>129</v>
      </c>
      <c r="O1281" t="s">
        <v>130</v>
      </c>
      <c r="P1281" t="s">
        <v>53</v>
      </c>
      <c r="Q1281" s="3">
        <v>8000000</v>
      </c>
      <c r="R1281" s="3">
        <v>8000000</v>
      </c>
      <c r="S1281" s="3">
        <v>0</v>
      </c>
    </row>
    <row r="1282" spans="1:19" x14ac:dyDescent="0.25">
      <c r="A1282">
        <v>900091143</v>
      </c>
      <c r="B1282" t="s">
        <v>17</v>
      </c>
      <c r="C1282" t="s">
        <v>131</v>
      </c>
      <c r="D1282" t="s">
        <v>132</v>
      </c>
      <c r="E1282" t="s">
        <v>131</v>
      </c>
      <c r="F1282" t="s">
        <v>46</v>
      </c>
      <c r="G1282" t="s">
        <v>133</v>
      </c>
      <c r="H1282" t="s">
        <v>22</v>
      </c>
      <c r="I1282" t="s">
        <v>134</v>
      </c>
      <c r="J1282" t="s">
        <v>135</v>
      </c>
      <c r="K1282" t="s">
        <v>71</v>
      </c>
      <c r="L1282" t="s">
        <v>129</v>
      </c>
      <c r="M1282">
        <v>5</v>
      </c>
      <c r="N1282" t="s">
        <v>129</v>
      </c>
      <c r="O1282" t="s">
        <v>130</v>
      </c>
      <c r="P1282" t="s">
        <v>72</v>
      </c>
      <c r="Q1282" s="3">
        <v>19302400</v>
      </c>
      <c r="R1282" s="3">
        <v>19302400</v>
      </c>
      <c r="S1282" s="3">
        <v>0</v>
      </c>
    </row>
    <row r="1283" spans="1:19" x14ac:dyDescent="0.25">
      <c r="A1283">
        <v>900091143</v>
      </c>
      <c r="B1283" t="s">
        <v>17</v>
      </c>
      <c r="C1283" t="s">
        <v>136</v>
      </c>
      <c r="D1283" t="s">
        <v>137</v>
      </c>
      <c r="E1283" t="s">
        <v>136</v>
      </c>
      <c r="F1283" t="s">
        <v>46</v>
      </c>
      <c r="G1283" t="s">
        <v>138</v>
      </c>
      <c r="H1283" t="s">
        <v>22</v>
      </c>
      <c r="I1283" t="s">
        <v>139</v>
      </c>
      <c r="J1283" t="s">
        <v>140</v>
      </c>
      <c r="K1283" t="s">
        <v>50</v>
      </c>
      <c r="L1283" t="s">
        <v>129</v>
      </c>
      <c r="M1283">
        <v>5</v>
      </c>
      <c r="N1283" t="s">
        <v>129</v>
      </c>
      <c r="O1283" t="s">
        <v>130</v>
      </c>
      <c r="P1283" t="s">
        <v>53</v>
      </c>
      <c r="Q1283" s="3">
        <v>8000000</v>
      </c>
      <c r="R1283" s="3">
        <v>8000000</v>
      </c>
      <c r="S1283" s="3">
        <v>0</v>
      </c>
    </row>
    <row r="1284" spans="1:19" x14ac:dyDescent="0.25">
      <c r="A1284">
        <v>900091143</v>
      </c>
      <c r="B1284" t="s">
        <v>17</v>
      </c>
      <c r="C1284" t="s">
        <v>141</v>
      </c>
      <c r="D1284" t="s">
        <v>142</v>
      </c>
      <c r="E1284" t="s">
        <v>141</v>
      </c>
      <c r="F1284" t="s">
        <v>46</v>
      </c>
      <c r="G1284" t="s">
        <v>143</v>
      </c>
      <c r="H1284" t="s">
        <v>22</v>
      </c>
      <c r="I1284" t="s">
        <v>144</v>
      </c>
      <c r="J1284" t="s">
        <v>145</v>
      </c>
      <c r="K1284" t="s">
        <v>50</v>
      </c>
      <c r="L1284" t="s">
        <v>129</v>
      </c>
      <c r="M1284">
        <v>5</v>
      </c>
      <c r="N1284" t="s">
        <v>129</v>
      </c>
      <c r="O1284" t="s">
        <v>130</v>
      </c>
      <c r="P1284" t="s">
        <v>53</v>
      </c>
      <c r="Q1284" s="3">
        <v>8000000</v>
      </c>
      <c r="R1284" s="3">
        <v>8000000</v>
      </c>
      <c r="S1284" s="3">
        <v>0</v>
      </c>
    </row>
    <row r="1285" spans="1:19" x14ac:dyDescent="0.25">
      <c r="A1285">
        <v>900091143</v>
      </c>
      <c r="B1285" t="s">
        <v>17</v>
      </c>
      <c r="C1285" t="s">
        <v>146</v>
      </c>
      <c r="D1285" t="s">
        <v>147</v>
      </c>
      <c r="E1285" t="s">
        <v>146</v>
      </c>
      <c r="F1285" t="s">
        <v>46</v>
      </c>
      <c r="G1285" t="s">
        <v>148</v>
      </c>
      <c r="H1285" t="s">
        <v>22</v>
      </c>
      <c r="I1285" t="s">
        <v>149</v>
      </c>
      <c r="J1285" t="s">
        <v>150</v>
      </c>
      <c r="K1285" t="s">
        <v>151</v>
      </c>
      <c r="L1285" t="s">
        <v>129</v>
      </c>
      <c r="M1285">
        <v>5</v>
      </c>
      <c r="N1285" t="s">
        <v>129</v>
      </c>
      <c r="O1285" t="s">
        <v>130</v>
      </c>
      <c r="P1285" t="s">
        <v>152</v>
      </c>
      <c r="Q1285" s="3">
        <v>19302400</v>
      </c>
      <c r="R1285" s="3">
        <v>19302400</v>
      </c>
      <c r="S1285" s="3">
        <v>0</v>
      </c>
    </row>
    <row r="1286" spans="1:19" x14ac:dyDescent="0.25">
      <c r="A1286">
        <v>900091143</v>
      </c>
      <c r="B1286" t="s">
        <v>17</v>
      </c>
      <c r="C1286" t="s">
        <v>153</v>
      </c>
      <c r="D1286" t="s">
        <v>154</v>
      </c>
      <c r="E1286" t="s">
        <v>153</v>
      </c>
      <c r="F1286" t="s">
        <v>46</v>
      </c>
      <c r="G1286" t="s">
        <v>155</v>
      </c>
      <c r="H1286" t="s">
        <v>22</v>
      </c>
      <c r="I1286" t="s">
        <v>156</v>
      </c>
      <c r="J1286" t="s">
        <v>157</v>
      </c>
      <c r="K1286" t="s">
        <v>50</v>
      </c>
      <c r="L1286" t="s">
        <v>129</v>
      </c>
      <c r="M1286">
        <v>5</v>
      </c>
      <c r="N1286" t="s">
        <v>129</v>
      </c>
      <c r="O1286" t="s">
        <v>130</v>
      </c>
      <c r="P1286" t="s">
        <v>53</v>
      </c>
      <c r="Q1286" s="3">
        <v>8000000</v>
      </c>
      <c r="R1286" s="3">
        <v>8000000</v>
      </c>
      <c r="S1286" s="3">
        <v>0</v>
      </c>
    </row>
    <row r="1287" spans="1:19" x14ac:dyDescent="0.25">
      <c r="A1287">
        <v>900091143</v>
      </c>
      <c r="B1287" t="s">
        <v>17</v>
      </c>
      <c r="C1287" t="s">
        <v>158</v>
      </c>
      <c r="D1287" t="s">
        <v>159</v>
      </c>
      <c r="E1287" t="s">
        <v>158</v>
      </c>
      <c r="F1287" t="s">
        <v>46</v>
      </c>
      <c r="G1287" t="s">
        <v>160</v>
      </c>
      <c r="H1287" t="s">
        <v>22</v>
      </c>
      <c r="I1287" t="s">
        <v>161</v>
      </c>
      <c r="J1287" t="s">
        <v>162</v>
      </c>
      <c r="K1287" t="s">
        <v>2860</v>
      </c>
      <c r="L1287" t="s">
        <v>129</v>
      </c>
      <c r="M1287">
        <v>5</v>
      </c>
      <c r="N1287" t="s">
        <v>129</v>
      </c>
      <c r="O1287" t="s">
        <v>130</v>
      </c>
      <c r="P1287" t="s">
        <v>93</v>
      </c>
      <c r="Q1287" s="3">
        <v>19000000</v>
      </c>
      <c r="R1287" s="3">
        <v>19000000</v>
      </c>
      <c r="S1287" s="3">
        <v>0</v>
      </c>
    </row>
    <row r="1288" spans="1:19" x14ac:dyDescent="0.25">
      <c r="A1288">
        <v>900091143</v>
      </c>
      <c r="B1288" t="s">
        <v>17</v>
      </c>
      <c r="C1288" t="s">
        <v>163</v>
      </c>
      <c r="D1288" t="s">
        <v>164</v>
      </c>
      <c r="E1288" t="s">
        <v>163</v>
      </c>
      <c r="F1288" t="s">
        <v>46</v>
      </c>
      <c r="G1288" t="s">
        <v>165</v>
      </c>
      <c r="H1288" t="s">
        <v>22</v>
      </c>
      <c r="I1288" t="s">
        <v>166</v>
      </c>
      <c r="J1288" t="s">
        <v>167</v>
      </c>
      <c r="K1288" t="s">
        <v>168</v>
      </c>
      <c r="L1288" t="s">
        <v>129</v>
      </c>
      <c r="M1288">
        <v>5</v>
      </c>
      <c r="N1288" t="s">
        <v>129</v>
      </c>
      <c r="O1288" t="s">
        <v>130</v>
      </c>
      <c r="P1288" t="s">
        <v>169</v>
      </c>
      <c r="Q1288" s="3">
        <v>24000000</v>
      </c>
      <c r="R1288" s="3">
        <v>24000000</v>
      </c>
      <c r="S1288" s="3">
        <v>0</v>
      </c>
    </row>
    <row r="1289" spans="1:19" x14ac:dyDescent="0.25">
      <c r="A1289">
        <v>900091143</v>
      </c>
      <c r="B1289" t="s">
        <v>17</v>
      </c>
      <c r="C1289" t="s">
        <v>170</v>
      </c>
      <c r="D1289" t="s">
        <v>171</v>
      </c>
      <c r="E1289" t="s">
        <v>170</v>
      </c>
      <c r="F1289" t="s">
        <v>46</v>
      </c>
      <c r="G1289" t="s">
        <v>172</v>
      </c>
      <c r="H1289" t="s">
        <v>22</v>
      </c>
      <c r="I1289" t="s">
        <v>173</v>
      </c>
      <c r="J1289" t="s">
        <v>174</v>
      </c>
      <c r="K1289" t="s">
        <v>50</v>
      </c>
      <c r="L1289" t="s">
        <v>129</v>
      </c>
      <c r="M1289">
        <v>5</v>
      </c>
      <c r="N1289" t="s">
        <v>129</v>
      </c>
      <c r="O1289" t="s">
        <v>130</v>
      </c>
      <c r="P1289" t="s">
        <v>53</v>
      </c>
      <c r="Q1289" s="3">
        <v>8000000</v>
      </c>
      <c r="R1289" s="3">
        <v>8000000</v>
      </c>
      <c r="S1289" s="3">
        <v>0</v>
      </c>
    </row>
    <row r="1290" spans="1:19" x14ac:dyDescent="0.25">
      <c r="A1290">
        <v>900091143</v>
      </c>
      <c r="B1290" t="s">
        <v>17</v>
      </c>
      <c r="C1290" t="s">
        <v>175</v>
      </c>
      <c r="D1290" t="s">
        <v>176</v>
      </c>
      <c r="E1290" t="s">
        <v>175</v>
      </c>
      <c r="F1290" t="s">
        <v>46</v>
      </c>
      <c r="G1290" t="s">
        <v>177</v>
      </c>
      <c r="H1290" t="s">
        <v>22</v>
      </c>
      <c r="I1290" t="s">
        <v>178</v>
      </c>
      <c r="J1290" t="s">
        <v>179</v>
      </c>
      <c r="K1290" t="s">
        <v>25</v>
      </c>
      <c r="L1290" t="s">
        <v>129</v>
      </c>
      <c r="M1290">
        <v>5</v>
      </c>
      <c r="N1290" t="s">
        <v>129</v>
      </c>
      <c r="O1290" t="s">
        <v>130</v>
      </c>
      <c r="P1290" t="s">
        <v>65</v>
      </c>
      <c r="Q1290" s="3">
        <v>30000000</v>
      </c>
      <c r="R1290" s="3">
        <v>30000000</v>
      </c>
      <c r="S1290" s="3">
        <v>0</v>
      </c>
    </row>
    <row r="1291" spans="1:19" x14ac:dyDescent="0.25">
      <c r="A1291">
        <v>900091143</v>
      </c>
      <c r="B1291" t="s">
        <v>17</v>
      </c>
      <c r="C1291" t="s">
        <v>180</v>
      </c>
      <c r="D1291" t="s">
        <v>181</v>
      </c>
      <c r="E1291" t="s">
        <v>180</v>
      </c>
      <c r="F1291" t="s">
        <v>46</v>
      </c>
      <c r="G1291" t="s">
        <v>182</v>
      </c>
      <c r="H1291" t="s">
        <v>22</v>
      </c>
      <c r="I1291" t="s">
        <v>183</v>
      </c>
      <c r="J1291" t="s">
        <v>184</v>
      </c>
      <c r="K1291" t="s">
        <v>71</v>
      </c>
      <c r="L1291" t="s">
        <v>129</v>
      </c>
      <c r="M1291">
        <v>5</v>
      </c>
      <c r="N1291" t="s">
        <v>129</v>
      </c>
      <c r="O1291" t="s">
        <v>130</v>
      </c>
      <c r="P1291" t="s">
        <v>72</v>
      </c>
      <c r="Q1291" s="3">
        <v>19302400</v>
      </c>
      <c r="R1291" s="3">
        <v>19302400</v>
      </c>
      <c r="S1291" s="3">
        <v>0</v>
      </c>
    </row>
    <row r="1292" spans="1:19" x14ac:dyDescent="0.25">
      <c r="A1292">
        <v>900091143</v>
      </c>
      <c r="B1292" t="s">
        <v>17</v>
      </c>
      <c r="C1292" t="s">
        <v>185</v>
      </c>
      <c r="D1292" t="s">
        <v>186</v>
      </c>
      <c r="E1292" t="s">
        <v>185</v>
      </c>
      <c r="F1292" t="s">
        <v>46</v>
      </c>
      <c r="G1292" t="s">
        <v>187</v>
      </c>
      <c r="H1292" t="s">
        <v>22</v>
      </c>
      <c r="I1292" t="s">
        <v>188</v>
      </c>
      <c r="J1292" t="s">
        <v>189</v>
      </c>
      <c r="K1292" t="s">
        <v>50</v>
      </c>
      <c r="L1292" t="s">
        <v>129</v>
      </c>
      <c r="M1292">
        <v>5</v>
      </c>
      <c r="N1292" t="s">
        <v>129</v>
      </c>
      <c r="O1292" t="s">
        <v>130</v>
      </c>
      <c r="P1292" t="s">
        <v>53</v>
      </c>
      <c r="Q1292" s="3">
        <v>8000000</v>
      </c>
      <c r="R1292" s="3">
        <v>8000000</v>
      </c>
      <c r="S1292" s="3">
        <v>0</v>
      </c>
    </row>
    <row r="1293" spans="1:19" x14ac:dyDescent="0.25">
      <c r="A1293">
        <v>900091143</v>
      </c>
      <c r="B1293" t="s">
        <v>17</v>
      </c>
      <c r="C1293" t="s">
        <v>190</v>
      </c>
      <c r="D1293" t="s">
        <v>191</v>
      </c>
      <c r="E1293" t="s">
        <v>190</v>
      </c>
      <c r="F1293" t="s">
        <v>46</v>
      </c>
      <c r="G1293" t="s">
        <v>192</v>
      </c>
      <c r="H1293" t="s">
        <v>22</v>
      </c>
      <c r="I1293" t="s">
        <v>193</v>
      </c>
      <c r="J1293" t="s">
        <v>194</v>
      </c>
      <c r="K1293" t="s">
        <v>50</v>
      </c>
      <c r="L1293" t="s">
        <v>129</v>
      </c>
      <c r="M1293">
        <v>5</v>
      </c>
      <c r="N1293" t="s">
        <v>129</v>
      </c>
      <c r="O1293" t="s">
        <v>130</v>
      </c>
      <c r="P1293" t="s">
        <v>53</v>
      </c>
      <c r="Q1293" s="3">
        <v>8000000</v>
      </c>
      <c r="R1293" s="3">
        <v>8000000</v>
      </c>
      <c r="S1293" s="3">
        <v>0</v>
      </c>
    </row>
    <row r="1294" spans="1:19" x14ac:dyDescent="0.25">
      <c r="A1294">
        <v>900091143</v>
      </c>
      <c r="B1294" t="s">
        <v>17</v>
      </c>
      <c r="C1294" t="s">
        <v>195</v>
      </c>
      <c r="D1294" t="s">
        <v>196</v>
      </c>
      <c r="E1294" t="s">
        <v>195</v>
      </c>
      <c r="F1294" t="s">
        <v>46</v>
      </c>
      <c r="G1294" t="s">
        <v>197</v>
      </c>
      <c r="H1294" t="s">
        <v>22</v>
      </c>
      <c r="I1294" t="s">
        <v>193</v>
      </c>
      <c r="J1294" t="s">
        <v>194</v>
      </c>
      <c r="K1294" t="s">
        <v>50</v>
      </c>
      <c r="L1294" t="s">
        <v>129</v>
      </c>
      <c r="M1294">
        <v>5</v>
      </c>
      <c r="N1294" t="s">
        <v>129</v>
      </c>
      <c r="O1294" t="s">
        <v>130</v>
      </c>
      <c r="P1294" t="s">
        <v>53</v>
      </c>
      <c r="Q1294" s="3">
        <v>8000000</v>
      </c>
      <c r="R1294" s="3">
        <v>8000000</v>
      </c>
      <c r="S1294" s="3">
        <v>0</v>
      </c>
    </row>
    <row r="1295" spans="1:19" x14ac:dyDescent="0.25">
      <c r="A1295">
        <v>900091143</v>
      </c>
      <c r="B1295" t="s">
        <v>17</v>
      </c>
      <c r="C1295" t="s">
        <v>198</v>
      </c>
      <c r="D1295" t="s">
        <v>199</v>
      </c>
      <c r="E1295" t="s">
        <v>198</v>
      </c>
      <c r="F1295" t="s">
        <v>46</v>
      </c>
      <c r="G1295" t="s">
        <v>200</v>
      </c>
      <c r="H1295" t="s">
        <v>22</v>
      </c>
      <c r="I1295" t="s">
        <v>201</v>
      </c>
      <c r="J1295" t="s">
        <v>202</v>
      </c>
      <c r="K1295" t="s">
        <v>50</v>
      </c>
      <c r="L1295" t="s">
        <v>129</v>
      </c>
      <c r="M1295">
        <v>5</v>
      </c>
      <c r="N1295" t="s">
        <v>129</v>
      </c>
      <c r="O1295" t="s">
        <v>130</v>
      </c>
      <c r="P1295" t="s">
        <v>53</v>
      </c>
      <c r="Q1295" s="3">
        <v>8000000</v>
      </c>
      <c r="R1295" s="3">
        <v>8000000</v>
      </c>
      <c r="S1295" s="3">
        <v>0</v>
      </c>
    </row>
    <row r="1296" spans="1:19" x14ac:dyDescent="0.25">
      <c r="A1296">
        <v>900091143</v>
      </c>
      <c r="B1296" t="s">
        <v>17</v>
      </c>
      <c r="C1296" t="s">
        <v>203</v>
      </c>
      <c r="D1296" t="s">
        <v>204</v>
      </c>
      <c r="E1296" t="s">
        <v>203</v>
      </c>
      <c r="F1296" t="s">
        <v>46</v>
      </c>
      <c r="G1296" t="s">
        <v>205</v>
      </c>
      <c r="H1296" t="s">
        <v>22</v>
      </c>
      <c r="I1296" t="s">
        <v>206</v>
      </c>
      <c r="J1296" t="s">
        <v>207</v>
      </c>
      <c r="K1296" t="s">
        <v>25</v>
      </c>
      <c r="L1296" t="s">
        <v>129</v>
      </c>
      <c r="M1296">
        <v>5</v>
      </c>
      <c r="N1296" t="s">
        <v>42</v>
      </c>
      <c r="O1296" t="s">
        <v>208</v>
      </c>
      <c r="P1296" t="s">
        <v>65</v>
      </c>
      <c r="Q1296" s="3">
        <v>30000000</v>
      </c>
      <c r="R1296" s="3">
        <v>30000000</v>
      </c>
      <c r="S1296" s="3">
        <v>0</v>
      </c>
    </row>
    <row r="1297" spans="1:19" x14ac:dyDescent="0.25">
      <c r="A1297">
        <v>900091143</v>
      </c>
      <c r="B1297" t="s">
        <v>17</v>
      </c>
      <c r="C1297" t="s">
        <v>209</v>
      </c>
      <c r="D1297" t="s">
        <v>210</v>
      </c>
      <c r="E1297" t="s">
        <v>209</v>
      </c>
      <c r="F1297" t="s">
        <v>46</v>
      </c>
      <c r="G1297" t="s">
        <v>211</v>
      </c>
      <c r="H1297" t="s">
        <v>22</v>
      </c>
      <c r="I1297" t="s">
        <v>212</v>
      </c>
      <c r="J1297" t="s">
        <v>213</v>
      </c>
      <c r="K1297" t="s">
        <v>50</v>
      </c>
      <c r="L1297" t="s">
        <v>129</v>
      </c>
      <c r="M1297">
        <v>5</v>
      </c>
      <c r="N1297" t="s">
        <v>129</v>
      </c>
      <c r="O1297" t="s">
        <v>130</v>
      </c>
      <c r="P1297" t="s">
        <v>53</v>
      </c>
      <c r="Q1297" s="3">
        <v>8000000</v>
      </c>
      <c r="R1297" s="3">
        <v>8000000</v>
      </c>
      <c r="S1297" s="3">
        <v>0</v>
      </c>
    </row>
    <row r="1298" spans="1:19" x14ac:dyDescent="0.25">
      <c r="A1298">
        <v>900091143</v>
      </c>
      <c r="B1298" t="s">
        <v>17</v>
      </c>
      <c r="C1298" t="s">
        <v>214</v>
      </c>
      <c r="D1298" t="s">
        <v>215</v>
      </c>
      <c r="E1298" t="s">
        <v>214</v>
      </c>
      <c r="F1298" t="s">
        <v>46</v>
      </c>
      <c r="G1298" t="s">
        <v>216</v>
      </c>
      <c r="H1298" t="s">
        <v>22</v>
      </c>
      <c r="I1298" t="s">
        <v>217</v>
      </c>
      <c r="J1298" t="s">
        <v>218</v>
      </c>
      <c r="K1298" t="s">
        <v>50</v>
      </c>
      <c r="L1298" t="s">
        <v>42</v>
      </c>
      <c r="M1298">
        <v>5</v>
      </c>
      <c r="N1298" t="s">
        <v>219</v>
      </c>
      <c r="O1298" t="s">
        <v>220</v>
      </c>
      <c r="P1298" t="s">
        <v>53</v>
      </c>
      <c r="Q1298" s="3">
        <v>8000000</v>
      </c>
      <c r="R1298" s="3">
        <v>8000000</v>
      </c>
      <c r="S1298" s="3">
        <v>0</v>
      </c>
    </row>
    <row r="1299" spans="1:19" x14ac:dyDescent="0.25">
      <c r="A1299">
        <v>900091143</v>
      </c>
      <c r="B1299" t="s">
        <v>17</v>
      </c>
      <c r="C1299" t="s">
        <v>221</v>
      </c>
      <c r="D1299" t="s">
        <v>222</v>
      </c>
      <c r="E1299" t="s">
        <v>221</v>
      </c>
      <c r="F1299" t="s">
        <v>46</v>
      </c>
      <c r="G1299" t="s">
        <v>223</v>
      </c>
      <c r="H1299" t="s">
        <v>22</v>
      </c>
      <c r="I1299" t="s">
        <v>224</v>
      </c>
      <c r="J1299" t="s">
        <v>225</v>
      </c>
      <c r="K1299" t="s">
        <v>2860</v>
      </c>
      <c r="L1299" t="s">
        <v>219</v>
      </c>
      <c r="M1299">
        <v>4</v>
      </c>
      <c r="N1299" t="s">
        <v>226</v>
      </c>
      <c r="O1299" t="s">
        <v>227</v>
      </c>
      <c r="P1299" t="s">
        <v>93</v>
      </c>
      <c r="Q1299" s="3">
        <v>19000000</v>
      </c>
      <c r="R1299" s="3">
        <v>19000000</v>
      </c>
      <c r="S1299" s="3">
        <v>0</v>
      </c>
    </row>
    <row r="1300" spans="1:19" x14ac:dyDescent="0.25">
      <c r="A1300">
        <v>900091143</v>
      </c>
      <c r="B1300" t="s">
        <v>17</v>
      </c>
      <c r="C1300" t="s">
        <v>228</v>
      </c>
      <c r="D1300" t="s">
        <v>229</v>
      </c>
      <c r="E1300" t="s">
        <v>228</v>
      </c>
      <c r="F1300" t="s">
        <v>46</v>
      </c>
      <c r="G1300" t="s">
        <v>230</v>
      </c>
      <c r="H1300" t="s">
        <v>22</v>
      </c>
      <c r="I1300" t="s">
        <v>231</v>
      </c>
      <c r="J1300" t="s">
        <v>232</v>
      </c>
      <c r="K1300" t="s">
        <v>2860</v>
      </c>
      <c r="L1300" t="s">
        <v>233</v>
      </c>
      <c r="M1300">
        <v>4</v>
      </c>
      <c r="N1300" t="s">
        <v>233</v>
      </c>
      <c r="O1300" t="s">
        <v>234</v>
      </c>
      <c r="P1300" t="s">
        <v>93</v>
      </c>
      <c r="Q1300" s="3">
        <v>19000000</v>
      </c>
      <c r="R1300" s="3">
        <v>19000000</v>
      </c>
      <c r="S1300" s="3">
        <v>0</v>
      </c>
    </row>
    <row r="1301" spans="1:19" x14ac:dyDescent="0.25">
      <c r="A1301">
        <v>900091143</v>
      </c>
      <c r="B1301" t="s">
        <v>17</v>
      </c>
      <c r="C1301" t="s">
        <v>235</v>
      </c>
      <c r="D1301" t="s">
        <v>236</v>
      </c>
      <c r="E1301" t="s">
        <v>235</v>
      </c>
      <c r="F1301" t="s">
        <v>46</v>
      </c>
      <c r="G1301" t="s">
        <v>237</v>
      </c>
      <c r="H1301" t="s">
        <v>22</v>
      </c>
      <c r="I1301" t="s">
        <v>238</v>
      </c>
      <c r="J1301" t="s">
        <v>239</v>
      </c>
      <c r="K1301" t="s">
        <v>168</v>
      </c>
      <c r="L1301" t="s">
        <v>233</v>
      </c>
      <c r="M1301">
        <v>4</v>
      </c>
      <c r="N1301" t="s">
        <v>240</v>
      </c>
      <c r="O1301" t="s">
        <v>241</v>
      </c>
      <c r="P1301" t="s">
        <v>169</v>
      </c>
      <c r="Q1301" s="3">
        <v>24000000</v>
      </c>
      <c r="R1301" s="3">
        <v>24000000</v>
      </c>
      <c r="S1301" s="3">
        <v>0</v>
      </c>
    </row>
    <row r="1302" spans="1:19" x14ac:dyDescent="0.25">
      <c r="A1302">
        <v>900091143</v>
      </c>
      <c r="B1302" t="s">
        <v>17</v>
      </c>
      <c r="C1302" t="s">
        <v>242</v>
      </c>
      <c r="D1302" t="s">
        <v>243</v>
      </c>
      <c r="E1302" t="s">
        <v>242</v>
      </c>
      <c r="F1302" t="s">
        <v>46</v>
      </c>
      <c r="G1302" t="s">
        <v>244</v>
      </c>
      <c r="H1302" t="s">
        <v>22</v>
      </c>
      <c r="I1302" t="s">
        <v>245</v>
      </c>
      <c r="J1302" t="s">
        <v>246</v>
      </c>
      <c r="K1302" t="s">
        <v>50</v>
      </c>
      <c r="L1302" t="s">
        <v>233</v>
      </c>
      <c r="M1302">
        <v>4</v>
      </c>
      <c r="N1302" t="s">
        <v>233</v>
      </c>
      <c r="O1302" t="s">
        <v>234</v>
      </c>
      <c r="P1302" t="s">
        <v>53</v>
      </c>
      <c r="Q1302" s="3">
        <v>8000000</v>
      </c>
      <c r="R1302" s="3">
        <v>8000000</v>
      </c>
      <c r="S1302" s="3">
        <v>0</v>
      </c>
    </row>
    <row r="1303" spans="1:19" x14ac:dyDescent="0.25">
      <c r="A1303">
        <v>900091143</v>
      </c>
      <c r="B1303" t="s">
        <v>17</v>
      </c>
      <c r="C1303" t="s">
        <v>247</v>
      </c>
      <c r="D1303" t="s">
        <v>248</v>
      </c>
      <c r="E1303" t="s">
        <v>247</v>
      </c>
      <c r="F1303" t="s">
        <v>46</v>
      </c>
      <c r="G1303" t="s">
        <v>249</v>
      </c>
      <c r="H1303" t="s">
        <v>22</v>
      </c>
      <c r="I1303" t="s">
        <v>250</v>
      </c>
      <c r="J1303" t="s">
        <v>251</v>
      </c>
      <c r="K1303" t="s">
        <v>168</v>
      </c>
      <c r="L1303" t="s">
        <v>233</v>
      </c>
      <c r="M1303">
        <v>4</v>
      </c>
      <c r="N1303" t="s">
        <v>233</v>
      </c>
      <c r="O1303" t="s">
        <v>234</v>
      </c>
      <c r="P1303" t="s">
        <v>169</v>
      </c>
      <c r="Q1303" s="3">
        <v>24000000</v>
      </c>
      <c r="R1303" s="3">
        <v>24000000</v>
      </c>
      <c r="S1303" s="3">
        <v>0</v>
      </c>
    </row>
    <row r="1304" spans="1:19" x14ac:dyDescent="0.25">
      <c r="A1304">
        <v>900091143</v>
      </c>
      <c r="B1304" t="s">
        <v>17</v>
      </c>
      <c r="C1304" t="s">
        <v>252</v>
      </c>
      <c r="D1304" t="s">
        <v>253</v>
      </c>
      <c r="E1304" t="s">
        <v>252</v>
      </c>
      <c r="F1304" t="s">
        <v>46</v>
      </c>
      <c r="G1304" t="s">
        <v>254</v>
      </c>
      <c r="H1304" t="s">
        <v>22</v>
      </c>
      <c r="I1304" t="s">
        <v>255</v>
      </c>
      <c r="J1304" t="s">
        <v>256</v>
      </c>
      <c r="K1304" t="s">
        <v>2860</v>
      </c>
      <c r="L1304" t="s">
        <v>233</v>
      </c>
      <c r="M1304">
        <v>4</v>
      </c>
      <c r="N1304" t="s">
        <v>233</v>
      </c>
      <c r="O1304" t="s">
        <v>234</v>
      </c>
      <c r="P1304" t="s">
        <v>93</v>
      </c>
      <c r="Q1304" s="3">
        <v>19000000</v>
      </c>
      <c r="R1304" s="3">
        <v>19000000</v>
      </c>
      <c r="S1304" s="3">
        <v>0</v>
      </c>
    </row>
    <row r="1305" spans="1:19" x14ac:dyDescent="0.25">
      <c r="A1305">
        <v>900091143</v>
      </c>
      <c r="B1305" t="s">
        <v>17</v>
      </c>
      <c r="C1305" t="s">
        <v>257</v>
      </c>
      <c r="D1305" t="s">
        <v>258</v>
      </c>
      <c r="E1305" t="s">
        <v>257</v>
      </c>
      <c r="F1305" t="s">
        <v>46</v>
      </c>
      <c r="G1305" t="s">
        <v>259</v>
      </c>
      <c r="H1305" t="s">
        <v>22</v>
      </c>
      <c r="I1305" t="s">
        <v>260</v>
      </c>
      <c r="J1305" t="s">
        <v>261</v>
      </c>
      <c r="K1305" t="s">
        <v>50</v>
      </c>
      <c r="L1305" t="s">
        <v>233</v>
      </c>
      <c r="M1305">
        <v>4</v>
      </c>
      <c r="N1305" t="s">
        <v>233</v>
      </c>
      <c r="O1305" t="s">
        <v>234</v>
      </c>
      <c r="P1305" t="s">
        <v>53</v>
      </c>
      <c r="Q1305" s="3">
        <v>8000000</v>
      </c>
      <c r="R1305" s="3">
        <v>8000000</v>
      </c>
      <c r="S1305" s="3">
        <v>0</v>
      </c>
    </row>
    <row r="1306" spans="1:19" x14ac:dyDescent="0.25">
      <c r="A1306">
        <v>900091143</v>
      </c>
      <c r="B1306" t="s">
        <v>17</v>
      </c>
      <c r="C1306" t="s">
        <v>262</v>
      </c>
      <c r="D1306" t="s">
        <v>263</v>
      </c>
      <c r="E1306" t="s">
        <v>262</v>
      </c>
      <c r="F1306" t="s">
        <v>46</v>
      </c>
      <c r="G1306" t="s">
        <v>264</v>
      </c>
      <c r="H1306" t="s">
        <v>22</v>
      </c>
      <c r="I1306" t="s">
        <v>265</v>
      </c>
      <c r="J1306" t="s">
        <v>266</v>
      </c>
      <c r="K1306" t="s">
        <v>71</v>
      </c>
      <c r="L1306" t="s">
        <v>267</v>
      </c>
      <c r="M1306">
        <v>4</v>
      </c>
      <c r="N1306" t="s">
        <v>233</v>
      </c>
      <c r="O1306" t="s">
        <v>234</v>
      </c>
      <c r="P1306" t="s">
        <v>72</v>
      </c>
      <c r="Q1306" s="3">
        <v>19302400</v>
      </c>
      <c r="R1306" s="3">
        <v>19302400</v>
      </c>
      <c r="S1306" s="3">
        <v>0</v>
      </c>
    </row>
    <row r="1307" spans="1:19" x14ac:dyDescent="0.25">
      <c r="A1307">
        <v>900091143</v>
      </c>
      <c r="B1307" t="s">
        <v>17</v>
      </c>
      <c r="C1307" t="s">
        <v>268</v>
      </c>
      <c r="D1307" t="s">
        <v>269</v>
      </c>
      <c r="E1307" t="s">
        <v>268</v>
      </c>
      <c r="F1307" t="s">
        <v>46</v>
      </c>
      <c r="G1307" t="s">
        <v>270</v>
      </c>
      <c r="H1307" t="s">
        <v>22</v>
      </c>
      <c r="I1307" t="s">
        <v>271</v>
      </c>
      <c r="J1307" t="s">
        <v>272</v>
      </c>
      <c r="K1307" t="s">
        <v>2860</v>
      </c>
      <c r="L1307" t="s">
        <v>273</v>
      </c>
      <c r="M1307">
        <v>4</v>
      </c>
      <c r="N1307" t="s">
        <v>273</v>
      </c>
      <c r="O1307" t="s">
        <v>274</v>
      </c>
      <c r="P1307" t="s">
        <v>275</v>
      </c>
      <c r="Q1307" s="3">
        <v>19000000</v>
      </c>
      <c r="R1307" s="3">
        <v>19000000</v>
      </c>
      <c r="S1307" s="3">
        <v>0</v>
      </c>
    </row>
    <row r="1308" spans="1:19" x14ac:dyDescent="0.25">
      <c r="A1308">
        <v>900091143</v>
      </c>
      <c r="B1308" t="s">
        <v>17</v>
      </c>
      <c r="C1308" t="s">
        <v>276</v>
      </c>
      <c r="D1308" t="s">
        <v>277</v>
      </c>
      <c r="E1308" t="s">
        <v>276</v>
      </c>
      <c r="F1308" t="s">
        <v>46</v>
      </c>
      <c r="G1308" t="s">
        <v>278</v>
      </c>
      <c r="H1308" t="s">
        <v>22</v>
      </c>
      <c r="I1308" t="s">
        <v>279</v>
      </c>
      <c r="J1308" t="s">
        <v>280</v>
      </c>
      <c r="K1308" t="s">
        <v>50</v>
      </c>
      <c r="L1308" t="s">
        <v>273</v>
      </c>
      <c r="M1308">
        <v>4</v>
      </c>
      <c r="N1308" t="s">
        <v>273</v>
      </c>
      <c r="O1308" t="s">
        <v>274</v>
      </c>
      <c r="P1308" t="s">
        <v>53</v>
      </c>
      <c r="Q1308" s="3">
        <v>8000000</v>
      </c>
      <c r="R1308" s="3">
        <v>8000000</v>
      </c>
      <c r="S1308" s="3">
        <v>0</v>
      </c>
    </row>
    <row r="1309" spans="1:19" x14ac:dyDescent="0.25">
      <c r="A1309">
        <v>900091143</v>
      </c>
      <c r="B1309" t="s">
        <v>17</v>
      </c>
      <c r="C1309" t="s">
        <v>281</v>
      </c>
      <c r="D1309" t="s">
        <v>282</v>
      </c>
      <c r="E1309" t="s">
        <v>281</v>
      </c>
      <c r="F1309" t="s">
        <v>46</v>
      </c>
      <c r="G1309" t="s">
        <v>283</v>
      </c>
      <c r="H1309" t="s">
        <v>22</v>
      </c>
      <c r="I1309" t="s">
        <v>284</v>
      </c>
      <c r="J1309" t="s">
        <v>285</v>
      </c>
      <c r="K1309" t="s">
        <v>50</v>
      </c>
      <c r="L1309" t="s">
        <v>273</v>
      </c>
      <c r="M1309">
        <v>4</v>
      </c>
      <c r="N1309" t="s">
        <v>273</v>
      </c>
      <c r="O1309" t="s">
        <v>274</v>
      </c>
      <c r="P1309" t="s">
        <v>53</v>
      </c>
      <c r="Q1309" s="3">
        <v>8000000</v>
      </c>
      <c r="R1309" s="3">
        <v>8000000</v>
      </c>
      <c r="S1309" s="3">
        <v>0</v>
      </c>
    </row>
    <row r="1310" spans="1:19" x14ac:dyDescent="0.25">
      <c r="A1310">
        <v>900091143</v>
      </c>
      <c r="B1310" t="s">
        <v>17</v>
      </c>
      <c r="C1310" t="s">
        <v>286</v>
      </c>
      <c r="D1310" t="s">
        <v>287</v>
      </c>
      <c r="E1310" t="s">
        <v>286</v>
      </c>
      <c r="F1310" t="s">
        <v>46</v>
      </c>
      <c r="G1310" t="s">
        <v>288</v>
      </c>
      <c r="H1310" t="s">
        <v>22</v>
      </c>
      <c r="I1310" t="s">
        <v>289</v>
      </c>
      <c r="J1310" t="s">
        <v>290</v>
      </c>
      <c r="K1310" t="s">
        <v>50</v>
      </c>
      <c r="L1310" t="s">
        <v>273</v>
      </c>
      <c r="M1310">
        <v>4</v>
      </c>
      <c r="N1310" t="s">
        <v>273</v>
      </c>
      <c r="O1310" t="s">
        <v>274</v>
      </c>
      <c r="P1310" t="s">
        <v>53</v>
      </c>
      <c r="Q1310" s="3">
        <v>8000000</v>
      </c>
      <c r="R1310" s="3">
        <v>8000000</v>
      </c>
      <c r="S1310" s="3">
        <v>0</v>
      </c>
    </row>
    <row r="1311" spans="1:19" x14ac:dyDescent="0.25">
      <c r="A1311">
        <v>900091143</v>
      </c>
      <c r="B1311" t="s">
        <v>17</v>
      </c>
      <c r="C1311" t="s">
        <v>291</v>
      </c>
      <c r="D1311" t="s">
        <v>292</v>
      </c>
      <c r="E1311" t="s">
        <v>291</v>
      </c>
      <c r="F1311" t="s">
        <v>46</v>
      </c>
      <c r="G1311" t="s">
        <v>293</v>
      </c>
      <c r="H1311" t="s">
        <v>22</v>
      </c>
      <c r="I1311" t="s">
        <v>294</v>
      </c>
      <c r="J1311" t="s">
        <v>295</v>
      </c>
      <c r="K1311" t="s">
        <v>71</v>
      </c>
      <c r="L1311" t="s">
        <v>296</v>
      </c>
      <c r="M1311">
        <v>4</v>
      </c>
      <c r="N1311" t="s">
        <v>296</v>
      </c>
      <c r="O1311" t="s">
        <v>297</v>
      </c>
      <c r="P1311" t="s">
        <v>72</v>
      </c>
      <c r="Q1311" s="3">
        <v>19302400</v>
      </c>
      <c r="R1311" s="3">
        <v>19302400</v>
      </c>
      <c r="S1311" s="3">
        <v>0</v>
      </c>
    </row>
    <row r="1312" spans="1:19" x14ac:dyDescent="0.25">
      <c r="A1312">
        <v>900091143</v>
      </c>
      <c r="B1312" t="s">
        <v>17</v>
      </c>
      <c r="C1312" t="s">
        <v>298</v>
      </c>
      <c r="D1312" t="s">
        <v>299</v>
      </c>
      <c r="E1312" t="s">
        <v>298</v>
      </c>
      <c r="F1312" t="s">
        <v>46</v>
      </c>
      <c r="G1312" t="s">
        <v>300</v>
      </c>
      <c r="H1312" t="s">
        <v>22</v>
      </c>
      <c r="I1312" t="s">
        <v>301</v>
      </c>
      <c r="J1312" t="s">
        <v>302</v>
      </c>
      <c r="K1312" t="s">
        <v>50</v>
      </c>
      <c r="L1312" t="s">
        <v>296</v>
      </c>
      <c r="M1312">
        <v>4</v>
      </c>
      <c r="N1312" t="s">
        <v>296</v>
      </c>
      <c r="O1312" t="s">
        <v>297</v>
      </c>
      <c r="P1312" t="s">
        <v>53</v>
      </c>
      <c r="Q1312" s="3">
        <v>8000000</v>
      </c>
      <c r="R1312" s="3">
        <v>8000000</v>
      </c>
      <c r="S1312" s="3">
        <v>0</v>
      </c>
    </row>
    <row r="1313" spans="1:19" x14ac:dyDescent="0.25">
      <c r="A1313">
        <v>900091143</v>
      </c>
      <c r="B1313" t="s">
        <v>17</v>
      </c>
      <c r="C1313" t="s">
        <v>303</v>
      </c>
      <c r="D1313" t="s">
        <v>304</v>
      </c>
      <c r="E1313" t="s">
        <v>303</v>
      </c>
      <c r="F1313" t="s">
        <v>46</v>
      </c>
      <c r="G1313" t="s">
        <v>305</v>
      </c>
      <c r="H1313" t="s">
        <v>22</v>
      </c>
      <c r="I1313" t="s">
        <v>306</v>
      </c>
      <c r="J1313" t="s">
        <v>307</v>
      </c>
      <c r="K1313" t="s">
        <v>168</v>
      </c>
      <c r="L1313" t="s">
        <v>296</v>
      </c>
      <c r="M1313">
        <v>4</v>
      </c>
      <c r="N1313" t="s">
        <v>296</v>
      </c>
      <c r="O1313" t="s">
        <v>297</v>
      </c>
      <c r="P1313" t="s">
        <v>169</v>
      </c>
      <c r="Q1313" s="3">
        <v>24000000</v>
      </c>
      <c r="R1313" s="3">
        <v>24000000</v>
      </c>
      <c r="S1313" s="3">
        <v>0</v>
      </c>
    </row>
    <row r="1314" spans="1:19" x14ac:dyDescent="0.25">
      <c r="A1314">
        <v>900091143</v>
      </c>
      <c r="B1314" t="s">
        <v>17</v>
      </c>
      <c r="C1314" t="s">
        <v>308</v>
      </c>
      <c r="D1314" t="s">
        <v>309</v>
      </c>
      <c r="E1314" t="s">
        <v>308</v>
      </c>
      <c r="F1314" t="s">
        <v>46</v>
      </c>
      <c r="G1314" t="s">
        <v>310</v>
      </c>
      <c r="H1314" t="s">
        <v>22</v>
      </c>
      <c r="I1314" t="s">
        <v>311</v>
      </c>
      <c r="J1314" t="s">
        <v>312</v>
      </c>
      <c r="K1314" t="s">
        <v>168</v>
      </c>
      <c r="L1314" t="s">
        <v>296</v>
      </c>
      <c r="M1314">
        <v>4</v>
      </c>
      <c r="N1314" t="s">
        <v>296</v>
      </c>
      <c r="O1314" t="s">
        <v>297</v>
      </c>
      <c r="P1314" t="s">
        <v>313</v>
      </c>
      <c r="Q1314" s="3">
        <v>24000000</v>
      </c>
      <c r="R1314" s="3">
        <v>24000000</v>
      </c>
      <c r="S1314" s="3">
        <v>0</v>
      </c>
    </row>
    <row r="1315" spans="1:19" x14ac:dyDescent="0.25">
      <c r="A1315">
        <v>900091143</v>
      </c>
      <c r="B1315" t="s">
        <v>17</v>
      </c>
      <c r="C1315" t="s">
        <v>314</v>
      </c>
      <c r="D1315" t="s">
        <v>315</v>
      </c>
      <c r="E1315" t="s">
        <v>314</v>
      </c>
      <c r="F1315" t="s">
        <v>46</v>
      </c>
      <c r="G1315" t="s">
        <v>316</v>
      </c>
      <c r="H1315" t="s">
        <v>22</v>
      </c>
      <c r="I1315" t="s">
        <v>317</v>
      </c>
      <c r="J1315" t="s">
        <v>318</v>
      </c>
      <c r="K1315" t="s">
        <v>71</v>
      </c>
      <c r="L1315" t="s">
        <v>296</v>
      </c>
      <c r="M1315">
        <v>4</v>
      </c>
      <c r="N1315" t="s">
        <v>296</v>
      </c>
      <c r="O1315" t="s">
        <v>297</v>
      </c>
      <c r="P1315" t="s">
        <v>72</v>
      </c>
      <c r="Q1315" s="3">
        <v>19302400</v>
      </c>
      <c r="R1315" s="3">
        <v>19302400</v>
      </c>
      <c r="S1315" s="3">
        <v>0</v>
      </c>
    </row>
    <row r="1316" spans="1:19" x14ac:dyDescent="0.25">
      <c r="A1316">
        <v>900091143</v>
      </c>
      <c r="B1316" t="s">
        <v>17</v>
      </c>
      <c r="C1316" t="s">
        <v>319</v>
      </c>
      <c r="D1316" t="s">
        <v>320</v>
      </c>
      <c r="E1316" t="s">
        <v>319</v>
      </c>
      <c r="F1316" t="s">
        <v>46</v>
      </c>
      <c r="G1316" t="s">
        <v>321</v>
      </c>
      <c r="H1316" t="s">
        <v>22</v>
      </c>
      <c r="I1316" t="s">
        <v>322</v>
      </c>
      <c r="J1316" t="s">
        <v>323</v>
      </c>
      <c r="K1316" t="s">
        <v>25</v>
      </c>
      <c r="L1316" t="s">
        <v>296</v>
      </c>
      <c r="M1316">
        <v>4</v>
      </c>
      <c r="N1316" t="s">
        <v>296</v>
      </c>
      <c r="O1316" t="s">
        <v>297</v>
      </c>
      <c r="P1316" t="s">
        <v>65</v>
      </c>
      <c r="Q1316" s="3">
        <v>30000000</v>
      </c>
      <c r="R1316" s="3">
        <v>30000000</v>
      </c>
      <c r="S1316" s="3">
        <v>0</v>
      </c>
    </row>
    <row r="1317" spans="1:19" x14ac:dyDescent="0.25">
      <c r="A1317">
        <v>900091143</v>
      </c>
      <c r="B1317" t="s">
        <v>17</v>
      </c>
      <c r="C1317" t="s">
        <v>324</v>
      </c>
      <c r="D1317" t="s">
        <v>325</v>
      </c>
      <c r="E1317" t="s">
        <v>324</v>
      </c>
      <c r="F1317" t="s">
        <v>46</v>
      </c>
      <c r="G1317" t="s">
        <v>326</v>
      </c>
      <c r="H1317" t="s">
        <v>22</v>
      </c>
      <c r="I1317" t="s">
        <v>327</v>
      </c>
      <c r="J1317" t="s">
        <v>328</v>
      </c>
      <c r="K1317" t="s">
        <v>25</v>
      </c>
      <c r="L1317" t="s">
        <v>329</v>
      </c>
      <c r="M1317">
        <v>4</v>
      </c>
      <c r="N1317" t="s">
        <v>329</v>
      </c>
      <c r="O1317" t="s">
        <v>330</v>
      </c>
      <c r="P1317" t="s">
        <v>65</v>
      </c>
      <c r="Q1317" s="3">
        <v>30000000</v>
      </c>
      <c r="R1317" s="3">
        <v>30000000</v>
      </c>
      <c r="S1317" s="3">
        <v>0</v>
      </c>
    </row>
    <row r="1318" spans="1:19" x14ac:dyDescent="0.25">
      <c r="A1318">
        <v>900091143</v>
      </c>
      <c r="B1318" t="s">
        <v>17</v>
      </c>
      <c r="C1318" t="s">
        <v>331</v>
      </c>
      <c r="D1318" t="s">
        <v>332</v>
      </c>
      <c r="E1318" t="s">
        <v>331</v>
      </c>
      <c r="F1318" t="s">
        <v>46</v>
      </c>
      <c r="G1318" t="s">
        <v>333</v>
      </c>
      <c r="H1318" t="s">
        <v>22</v>
      </c>
      <c r="I1318" t="s">
        <v>334</v>
      </c>
      <c r="J1318" t="s">
        <v>335</v>
      </c>
      <c r="K1318" t="s">
        <v>151</v>
      </c>
      <c r="L1318" t="s">
        <v>329</v>
      </c>
      <c r="M1318">
        <v>3</v>
      </c>
      <c r="N1318" t="s">
        <v>329</v>
      </c>
      <c r="O1318" t="s">
        <v>297</v>
      </c>
      <c r="P1318" t="s">
        <v>152</v>
      </c>
      <c r="Q1318" s="3">
        <v>19302400</v>
      </c>
      <c r="R1318" s="3">
        <v>19302400</v>
      </c>
      <c r="S1318" s="3">
        <v>0</v>
      </c>
    </row>
    <row r="1319" spans="1:19" x14ac:dyDescent="0.25">
      <c r="A1319">
        <v>900091143</v>
      </c>
      <c r="B1319" t="s">
        <v>17</v>
      </c>
      <c r="C1319" t="s">
        <v>336</v>
      </c>
      <c r="D1319" t="s">
        <v>337</v>
      </c>
      <c r="E1319" t="s">
        <v>336</v>
      </c>
      <c r="F1319" t="s">
        <v>46</v>
      </c>
      <c r="G1319" t="s">
        <v>338</v>
      </c>
      <c r="H1319" t="s">
        <v>22</v>
      </c>
      <c r="I1319" t="s">
        <v>339</v>
      </c>
      <c r="J1319" t="s">
        <v>340</v>
      </c>
      <c r="K1319" t="s">
        <v>50</v>
      </c>
      <c r="L1319" t="s">
        <v>329</v>
      </c>
      <c r="M1319">
        <v>4</v>
      </c>
      <c r="N1319" t="s">
        <v>329</v>
      </c>
      <c r="O1319" t="s">
        <v>330</v>
      </c>
      <c r="P1319" t="s">
        <v>53</v>
      </c>
      <c r="Q1319" s="3">
        <v>8000000</v>
      </c>
      <c r="R1319" s="3">
        <v>8000000</v>
      </c>
      <c r="S1319" s="3">
        <v>0</v>
      </c>
    </row>
    <row r="1320" spans="1:19" x14ac:dyDescent="0.25">
      <c r="A1320">
        <v>900091143</v>
      </c>
      <c r="B1320" t="s">
        <v>17</v>
      </c>
      <c r="C1320" t="s">
        <v>341</v>
      </c>
      <c r="D1320" t="s">
        <v>342</v>
      </c>
      <c r="E1320" t="s">
        <v>341</v>
      </c>
      <c r="F1320" t="s">
        <v>46</v>
      </c>
      <c r="G1320" t="s">
        <v>343</v>
      </c>
      <c r="H1320" t="s">
        <v>22</v>
      </c>
      <c r="I1320" t="s">
        <v>344</v>
      </c>
      <c r="J1320" t="s">
        <v>345</v>
      </c>
      <c r="K1320" t="s">
        <v>168</v>
      </c>
      <c r="L1320" t="s">
        <v>329</v>
      </c>
      <c r="M1320">
        <v>4</v>
      </c>
      <c r="N1320" t="s">
        <v>329</v>
      </c>
      <c r="O1320" t="s">
        <v>330</v>
      </c>
      <c r="P1320" t="s">
        <v>169</v>
      </c>
      <c r="Q1320" s="3">
        <v>24000000</v>
      </c>
      <c r="R1320" s="3">
        <v>24000000</v>
      </c>
      <c r="S1320" s="3">
        <v>0</v>
      </c>
    </row>
    <row r="1321" spans="1:19" x14ac:dyDescent="0.25">
      <c r="A1321">
        <v>900091143</v>
      </c>
      <c r="B1321" t="s">
        <v>17</v>
      </c>
      <c r="C1321" t="s">
        <v>346</v>
      </c>
      <c r="D1321" t="s">
        <v>347</v>
      </c>
      <c r="E1321" t="s">
        <v>346</v>
      </c>
      <c r="F1321" t="s">
        <v>46</v>
      </c>
      <c r="G1321" t="s">
        <v>348</v>
      </c>
      <c r="H1321" t="s">
        <v>22</v>
      </c>
      <c r="I1321" t="s">
        <v>349</v>
      </c>
      <c r="J1321" t="s">
        <v>350</v>
      </c>
      <c r="K1321" t="s">
        <v>50</v>
      </c>
      <c r="L1321" t="s">
        <v>351</v>
      </c>
      <c r="M1321">
        <v>4</v>
      </c>
      <c r="N1321" t="s">
        <v>329</v>
      </c>
      <c r="O1321" t="s">
        <v>330</v>
      </c>
      <c r="P1321" t="s">
        <v>53</v>
      </c>
      <c r="Q1321" s="3">
        <v>8000000</v>
      </c>
      <c r="R1321" s="3">
        <v>8000000</v>
      </c>
      <c r="S1321" s="3">
        <v>0</v>
      </c>
    </row>
    <row r="1322" spans="1:19" x14ac:dyDescent="0.25">
      <c r="A1322">
        <v>900091143</v>
      </c>
      <c r="B1322" t="s">
        <v>17</v>
      </c>
      <c r="C1322" t="s">
        <v>352</v>
      </c>
      <c r="D1322" t="s">
        <v>353</v>
      </c>
      <c r="E1322" t="s">
        <v>352</v>
      </c>
      <c r="F1322" t="s">
        <v>46</v>
      </c>
      <c r="G1322" t="s">
        <v>354</v>
      </c>
      <c r="H1322" t="s">
        <v>22</v>
      </c>
      <c r="I1322" t="s">
        <v>355</v>
      </c>
      <c r="J1322" t="s">
        <v>356</v>
      </c>
      <c r="K1322" t="s">
        <v>2860</v>
      </c>
      <c r="L1322" t="s">
        <v>329</v>
      </c>
      <c r="M1322">
        <v>4</v>
      </c>
      <c r="N1322" t="s">
        <v>329</v>
      </c>
      <c r="O1322" t="s">
        <v>330</v>
      </c>
      <c r="P1322" t="s">
        <v>93</v>
      </c>
      <c r="Q1322" s="3">
        <v>19000000</v>
      </c>
      <c r="R1322" s="3">
        <v>19000000</v>
      </c>
      <c r="S1322" s="3">
        <v>0</v>
      </c>
    </row>
    <row r="1323" spans="1:19" x14ac:dyDescent="0.25">
      <c r="A1323">
        <v>900091143</v>
      </c>
      <c r="B1323" t="s">
        <v>17</v>
      </c>
      <c r="C1323" t="s">
        <v>357</v>
      </c>
      <c r="D1323" t="s">
        <v>358</v>
      </c>
      <c r="E1323" t="s">
        <v>357</v>
      </c>
      <c r="F1323" t="s">
        <v>46</v>
      </c>
      <c r="G1323" t="s">
        <v>359</v>
      </c>
      <c r="H1323" t="s">
        <v>22</v>
      </c>
      <c r="I1323" t="s">
        <v>360</v>
      </c>
      <c r="J1323" t="s">
        <v>361</v>
      </c>
      <c r="K1323" t="s">
        <v>71</v>
      </c>
      <c r="L1323" t="s">
        <v>329</v>
      </c>
      <c r="M1323">
        <v>4</v>
      </c>
      <c r="N1323" t="s">
        <v>329</v>
      </c>
      <c r="O1323" t="s">
        <v>330</v>
      </c>
      <c r="P1323" t="s">
        <v>72</v>
      </c>
      <c r="Q1323" s="3">
        <v>19302400</v>
      </c>
      <c r="R1323" s="3">
        <v>19302400</v>
      </c>
      <c r="S1323" s="3">
        <v>0</v>
      </c>
    </row>
    <row r="1324" spans="1:19" x14ac:dyDescent="0.25">
      <c r="A1324">
        <v>900091143</v>
      </c>
      <c r="B1324" t="s">
        <v>17</v>
      </c>
      <c r="C1324" t="s">
        <v>362</v>
      </c>
      <c r="D1324" t="s">
        <v>363</v>
      </c>
      <c r="E1324" t="s">
        <v>362</v>
      </c>
      <c r="F1324" t="s">
        <v>46</v>
      </c>
      <c r="G1324" t="s">
        <v>364</v>
      </c>
      <c r="H1324" t="s">
        <v>22</v>
      </c>
      <c r="I1324" t="s">
        <v>365</v>
      </c>
      <c r="J1324" t="s">
        <v>366</v>
      </c>
      <c r="K1324" t="s">
        <v>25</v>
      </c>
      <c r="L1324" t="s">
        <v>351</v>
      </c>
      <c r="M1324">
        <v>4</v>
      </c>
      <c r="N1324" t="s">
        <v>329</v>
      </c>
      <c r="O1324" t="s">
        <v>330</v>
      </c>
      <c r="P1324" t="s">
        <v>65</v>
      </c>
      <c r="Q1324" s="3">
        <v>30000000</v>
      </c>
      <c r="R1324" s="3">
        <v>30000000</v>
      </c>
      <c r="S1324" s="3">
        <v>0</v>
      </c>
    </row>
    <row r="1325" spans="1:19" x14ac:dyDescent="0.25">
      <c r="A1325">
        <v>900091143</v>
      </c>
      <c r="B1325" t="s">
        <v>17</v>
      </c>
      <c r="C1325" t="s">
        <v>367</v>
      </c>
      <c r="D1325" t="s">
        <v>368</v>
      </c>
      <c r="E1325" t="s">
        <v>367</v>
      </c>
      <c r="F1325" t="s">
        <v>46</v>
      </c>
      <c r="G1325" t="s">
        <v>369</v>
      </c>
      <c r="H1325" t="s">
        <v>22</v>
      </c>
      <c r="I1325" t="s">
        <v>370</v>
      </c>
      <c r="J1325" t="s">
        <v>371</v>
      </c>
      <c r="K1325" t="s">
        <v>168</v>
      </c>
      <c r="L1325" t="s">
        <v>351</v>
      </c>
      <c r="M1325">
        <v>4</v>
      </c>
      <c r="N1325" t="s">
        <v>329</v>
      </c>
      <c r="O1325" t="s">
        <v>330</v>
      </c>
      <c r="P1325" t="s">
        <v>372</v>
      </c>
      <c r="Q1325" s="3">
        <v>2600000</v>
      </c>
      <c r="R1325" s="3">
        <v>2600000</v>
      </c>
      <c r="S1325" s="3">
        <v>0</v>
      </c>
    </row>
    <row r="1326" spans="1:19" x14ac:dyDescent="0.25">
      <c r="A1326">
        <v>900091143</v>
      </c>
      <c r="B1326" t="s">
        <v>17</v>
      </c>
      <c r="C1326" t="s">
        <v>373</v>
      </c>
      <c r="D1326" t="s">
        <v>374</v>
      </c>
      <c r="E1326" t="s">
        <v>373</v>
      </c>
      <c r="F1326" t="s">
        <v>375</v>
      </c>
      <c r="G1326" t="s">
        <v>376</v>
      </c>
      <c r="H1326" t="s">
        <v>22</v>
      </c>
      <c r="I1326" t="s">
        <v>377</v>
      </c>
      <c r="J1326" t="s">
        <v>378</v>
      </c>
      <c r="K1326" t="s">
        <v>32</v>
      </c>
      <c r="L1326" t="s">
        <v>379</v>
      </c>
      <c r="M1326">
        <v>1</v>
      </c>
      <c r="N1326" t="s">
        <v>379</v>
      </c>
      <c r="O1326" t="s">
        <v>380</v>
      </c>
      <c r="P1326" t="s">
        <v>381</v>
      </c>
      <c r="Q1326" s="3">
        <v>25496760</v>
      </c>
      <c r="R1326" s="3">
        <v>25496760</v>
      </c>
      <c r="S1326" s="3">
        <v>0</v>
      </c>
    </row>
    <row r="1327" spans="1:19" x14ac:dyDescent="0.25">
      <c r="A1327">
        <v>900091143</v>
      </c>
      <c r="B1327" t="s">
        <v>17</v>
      </c>
      <c r="C1327" t="s">
        <v>382</v>
      </c>
      <c r="D1327" t="s">
        <v>383</v>
      </c>
      <c r="E1327" t="s">
        <v>382</v>
      </c>
      <c r="F1327" t="s">
        <v>46</v>
      </c>
      <c r="G1327" t="s">
        <v>384</v>
      </c>
      <c r="H1327" t="s">
        <v>22</v>
      </c>
      <c r="I1327" t="s">
        <v>385</v>
      </c>
      <c r="J1327" t="s">
        <v>386</v>
      </c>
      <c r="K1327" t="s">
        <v>71</v>
      </c>
      <c r="L1327" t="s">
        <v>379</v>
      </c>
      <c r="M1327">
        <v>4</v>
      </c>
      <c r="N1327" t="s">
        <v>379</v>
      </c>
      <c r="O1327" t="s">
        <v>387</v>
      </c>
      <c r="P1327" t="s">
        <v>72</v>
      </c>
      <c r="Q1327" s="3">
        <v>19302400</v>
      </c>
      <c r="R1327" s="3">
        <v>19302400</v>
      </c>
      <c r="S1327" s="3">
        <v>0</v>
      </c>
    </row>
    <row r="1328" spans="1:19" x14ac:dyDescent="0.25">
      <c r="A1328">
        <v>900091143</v>
      </c>
      <c r="B1328" t="s">
        <v>17</v>
      </c>
      <c r="C1328" t="s">
        <v>388</v>
      </c>
      <c r="D1328" t="s">
        <v>389</v>
      </c>
      <c r="E1328" t="s">
        <v>388</v>
      </c>
      <c r="F1328" t="s">
        <v>46</v>
      </c>
      <c r="G1328" t="s">
        <v>390</v>
      </c>
      <c r="H1328" t="s">
        <v>22</v>
      </c>
      <c r="I1328" t="s">
        <v>391</v>
      </c>
      <c r="J1328" t="s">
        <v>392</v>
      </c>
      <c r="K1328" t="s">
        <v>25</v>
      </c>
      <c r="L1328" t="s">
        <v>379</v>
      </c>
      <c r="M1328">
        <v>4</v>
      </c>
      <c r="N1328" t="s">
        <v>379</v>
      </c>
      <c r="O1328" t="s">
        <v>387</v>
      </c>
      <c r="P1328" t="s">
        <v>393</v>
      </c>
      <c r="Q1328" s="3">
        <v>22500000</v>
      </c>
      <c r="R1328" s="3">
        <v>22500000</v>
      </c>
      <c r="S1328" s="3">
        <v>0</v>
      </c>
    </row>
    <row r="1329" spans="1:19" x14ac:dyDescent="0.25">
      <c r="A1329">
        <v>900091143</v>
      </c>
      <c r="B1329" t="s">
        <v>17</v>
      </c>
      <c r="C1329" t="s">
        <v>394</v>
      </c>
      <c r="D1329" t="s">
        <v>395</v>
      </c>
      <c r="E1329" t="s">
        <v>394</v>
      </c>
      <c r="F1329" t="s">
        <v>396</v>
      </c>
      <c r="G1329" t="s">
        <v>397</v>
      </c>
      <c r="H1329" t="s">
        <v>38</v>
      </c>
      <c r="I1329" t="s">
        <v>398</v>
      </c>
      <c r="J1329" t="s">
        <v>399</v>
      </c>
      <c r="K1329" t="s">
        <v>32</v>
      </c>
      <c r="L1329" t="s">
        <v>379</v>
      </c>
      <c r="M1329">
        <v>4</v>
      </c>
      <c r="N1329" t="s">
        <v>400</v>
      </c>
      <c r="O1329" t="s">
        <v>401</v>
      </c>
      <c r="P1329" t="s">
        <v>402</v>
      </c>
      <c r="Q1329" s="3">
        <v>257728831</v>
      </c>
      <c r="R1329" s="3">
        <v>257728831</v>
      </c>
      <c r="S1329" s="3">
        <v>0</v>
      </c>
    </row>
    <row r="1330" spans="1:19" x14ac:dyDescent="0.25">
      <c r="A1330">
        <v>900091143</v>
      </c>
      <c r="B1330" t="s">
        <v>17</v>
      </c>
      <c r="C1330" t="s">
        <v>403</v>
      </c>
      <c r="D1330" t="s">
        <v>404</v>
      </c>
      <c r="E1330" t="s">
        <v>403</v>
      </c>
      <c r="F1330" t="s">
        <v>46</v>
      </c>
      <c r="G1330" t="s">
        <v>405</v>
      </c>
      <c r="H1330" t="s">
        <v>22</v>
      </c>
      <c r="I1330" t="s">
        <v>406</v>
      </c>
      <c r="J1330" t="s">
        <v>407</v>
      </c>
      <c r="K1330" t="s">
        <v>50</v>
      </c>
      <c r="L1330" t="s">
        <v>408</v>
      </c>
      <c r="M1330">
        <v>4</v>
      </c>
      <c r="N1330" t="s">
        <v>408</v>
      </c>
      <c r="O1330" t="s">
        <v>409</v>
      </c>
      <c r="P1330" t="s">
        <v>53</v>
      </c>
      <c r="Q1330" s="3">
        <v>8000000</v>
      </c>
      <c r="R1330" s="3">
        <v>8000000</v>
      </c>
      <c r="S1330" s="3">
        <v>0</v>
      </c>
    </row>
    <row r="1331" spans="1:19" x14ac:dyDescent="0.25">
      <c r="A1331">
        <v>900091143</v>
      </c>
      <c r="B1331" t="s">
        <v>17</v>
      </c>
      <c r="C1331" t="s">
        <v>410</v>
      </c>
      <c r="D1331" t="s">
        <v>411</v>
      </c>
      <c r="E1331" t="s">
        <v>410</v>
      </c>
      <c r="F1331" t="s">
        <v>46</v>
      </c>
      <c r="G1331" t="s">
        <v>412</v>
      </c>
      <c r="H1331" t="s">
        <v>22</v>
      </c>
      <c r="I1331" t="s">
        <v>413</v>
      </c>
      <c r="J1331" t="s">
        <v>414</v>
      </c>
      <c r="K1331" t="s">
        <v>168</v>
      </c>
      <c r="L1331" t="s">
        <v>408</v>
      </c>
      <c r="M1331">
        <v>4</v>
      </c>
      <c r="N1331" t="s">
        <v>408</v>
      </c>
      <c r="O1331" t="s">
        <v>409</v>
      </c>
      <c r="P1331" t="s">
        <v>169</v>
      </c>
      <c r="Q1331" s="3">
        <v>24000000</v>
      </c>
      <c r="R1331" s="3">
        <v>24000000</v>
      </c>
      <c r="S1331" s="3">
        <v>0</v>
      </c>
    </row>
    <row r="1332" spans="1:19" x14ac:dyDescent="0.25">
      <c r="A1332">
        <v>900091143</v>
      </c>
      <c r="B1332" t="s">
        <v>17</v>
      </c>
      <c r="C1332" t="s">
        <v>415</v>
      </c>
      <c r="D1332" t="s">
        <v>416</v>
      </c>
      <c r="E1332" t="s">
        <v>415</v>
      </c>
      <c r="F1332" t="s">
        <v>46</v>
      </c>
      <c r="G1332" t="s">
        <v>417</v>
      </c>
      <c r="H1332" t="s">
        <v>22</v>
      </c>
      <c r="I1332" t="s">
        <v>418</v>
      </c>
      <c r="J1332" t="s">
        <v>419</v>
      </c>
      <c r="K1332" t="s">
        <v>25</v>
      </c>
      <c r="L1332" t="s">
        <v>408</v>
      </c>
      <c r="M1332">
        <v>4</v>
      </c>
      <c r="N1332" t="s">
        <v>400</v>
      </c>
      <c r="O1332" t="s">
        <v>420</v>
      </c>
      <c r="P1332" t="s">
        <v>65</v>
      </c>
      <c r="Q1332" s="3">
        <v>30000000</v>
      </c>
      <c r="R1332" s="3">
        <v>30000000</v>
      </c>
      <c r="S1332" s="3">
        <v>0</v>
      </c>
    </row>
    <row r="1333" spans="1:19" x14ac:dyDescent="0.25">
      <c r="A1333">
        <v>900091143</v>
      </c>
      <c r="B1333" t="s">
        <v>17</v>
      </c>
      <c r="C1333" t="s">
        <v>421</v>
      </c>
      <c r="D1333" t="s">
        <v>422</v>
      </c>
      <c r="E1333" t="s">
        <v>421</v>
      </c>
      <c r="F1333" t="s">
        <v>46</v>
      </c>
      <c r="G1333" t="s">
        <v>423</v>
      </c>
      <c r="H1333" t="s">
        <v>22</v>
      </c>
      <c r="I1333" t="s">
        <v>424</v>
      </c>
      <c r="J1333" t="s">
        <v>425</v>
      </c>
      <c r="K1333" t="s">
        <v>2860</v>
      </c>
      <c r="L1333" t="s">
        <v>408</v>
      </c>
      <c r="M1333">
        <v>4</v>
      </c>
      <c r="N1333" t="s">
        <v>400</v>
      </c>
      <c r="O1333" t="s">
        <v>420</v>
      </c>
      <c r="P1333" t="s">
        <v>93</v>
      </c>
      <c r="Q1333" s="3">
        <v>19000000</v>
      </c>
      <c r="R1333" s="3">
        <v>19000000</v>
      </c>
      <c r="S1333" s="3">
        <v>0</v>
      </c>
    </row>
    <row r="1334" spans="1:19" x14ac:dyDescent="0.25">
      <c r="A1334">
        <v>900091143</v>
      </c>
      <c r="B1334" t="s">
        <v>17</v>
      </c>
      <c r="C1334" t="s">
        <v>426</v>
      </c>
      <c r="D1334" t="s">
        <v>427</v>
      </c>
      <c r="E1334" t="s">
        <v>426</v>
      </c>
      <c r="F1334" t="s">
        <v>46</v>
      </c>
      <c r="G1334" t="s">
        <v>428</v>
      </c>
      <c r="H1334" t="s">
        <v>22</v>
      </c>
      <c r="I1334" t="s">
        <v>429</v>
      </c>
      <c r="J1334" t="s">
        <v>430</v>
      </c>
      <c r="K1334" t="s">
        <v>2860</v>
      </c>
      <c r="L1334" t="s">
        <v>408</v>
      </c>
      <c r="M1334">
        <v>4</v>
      </c>
      <c r="N1334" t="s">
        <v>400</v>
      </c>
      <c r="O1334" t="s">
        <v>420</v>
      </c>
      <c r="P1334" t="s">
        <v>93</v>
      </c>
      <c r="Q1334" s="3">
        <v>19000000</v>
      </c>
      <c r="R1334" s="3">
        <v>19000000</v>
      </c>
      <c r="S1334" s="3">
        <v>0</v>
      </c>
    </row>
    <row r="1335" spans="1:19" x14ac:dyDescent="0.25">
      <c r="A1335">
        <v>900091143</v>
      </c>
      <c r="B1335" t="s">
        <v>17</v>
      </c>
      <c r="C1335" t="s">
        <v>431</v>
      </c>
      <c r="D1335" t="s">
        <v>432</v>
      </c>
      <c r="E1335" t="s">
        <v>431</v>
      </c>
      <c r="F1335" t="s">
        <v>46</v>
      </c>
      <c r="G1335" t="s">
        <v>433</v>
      </c>
      <c r="H1335" t="s">
        <v>22</v>
      </c>
      <c r="I1335" t="s">
        <v>434</v>
      </c>
      <c r="J1335" t="s">
        <v>435</v>
      </c>
      <c r="K1335" t="s">
        <v>71</v>
      </c>
      <c r="L1335" t="s">
        <v>400</v>
      </c>
      <c r="M1335">
        <v>4</v>
      </c>
      <c r="N1335" t="s">
        <v>400</v>
      </c>
      <c r="O1335" t="s">
        <v>420</v>
      </c>
      <c r="P1335" t="s">
        <v>72</v>
      </c>
      <c r="Q1335" s="3">
        <v>19302400</v>
      </c>
      <c r="R1335" s="3">
        <v>19302400</v>
      </c>
      <c r="S1335" s="3">
        <v>0</v>
      </c>
    </row>
    <row r="1336" spans="1:19" x14ac:dyDescent="0.25">
      <c r="A1336">
        <v>900091143</v>
      </c>
      <c r="B1336" t="s">
        <v>17</v>
      </c>
      <c r="C1336" t="s">
        <v>436</v>
      </c>
      <c r="D1336" t="s">
        <v>437</v>
      </c>
      <c r="E1336" t="s">
        <v>436</v>
      </c>
      <c r="F1336" t="s">
        <v>46</v>
      </c>
      <c r="G1336" t="s">
        <v>438</v>
      </c>
      <c r="H1336" t="s">
        <v>22</v>
      </c>
      <c r="I1336" t="s">
        <v>439</v>
      </c>
      <c r="J1336" t="s">
        <v>440</v>
      </c>
      <c r="K1336" t="s">
        <v>25</v>
      </c>
      <c r="L1336" t="s">
        <v>400</v>
      </c>
      <c r="M1336">
        <v>4</v>
      </c>
      <c r="N1336" t="s">
        <v>400</v>
      </c>
      <c r="O1336" t="s">
        <v>420</v>
      </c>
      <c r="P1336" t="s">
        <v>65</v>
      </c>
      <c r="Q1336" s="3">
        <v>30000000</v>
      </c>
      <c r="R1336" s="3">
        <v>30000000</v>
      </c>
      <c r="S1336" s="3">
        <v>0</v>
      </c>
    </row>
    <row r="1337" spans="1:19" x14ac:dyDescent="0.25">
      <c r="A1337">
        <v>900091143</v>
      </c>
      <c r="B1337" t="s">
        <v>17</v>
      </c>
      <c r="C1337" t="s">
        <v>441</v>
      </c>
      <c r="D1337" t="s">
        <v>442</v>
      </c>
      <c r="E1337" t="s">
        <v>441</v>
      </c>
      <c r="F1337" t="s">
        <v>46</v>
      </c>
      <c r="G1337" t="s">
        <v>443</v>
      </c>
      <c r="H1337" t="s">
        <v>22</v>
      </c>
      <c r="I1337" t="s">
        <v>444</v>
      </c>
      <c r="J1337" t="s">
        <v>445</v>
      </c>
      <c r="K1337" t="s">
        <v>50</v>
      </c>
      <c r="L1337" t="s">
        <v>400</v>
      </c>
      <c r="M1337">
        <v>4</v>
      </c>
      <c r="N1337" t="s">
        <v>400</v>
      </c>
      <c r="O1337" t="s">
        <v>420</v>
      </c>
      <c r="P1337" t="s">
        <v>53</v>
      </c>
      <c r="Q1337" s="3">
        <v>8000000</v>
      </c>
      <c r="R1337" s="3">
        <v>8000000</v>
      </c>
      <c r="S1337" s="3">
        <v>0</v>
      </c>
    </row>
    <row r="1338" spans="1:19" x14ac:dyDescent="0.25">
      <c r="A1338">
        <v>900091143</v>
      </c>
      <c r="B1338" t="s">
        <v>17</v>
      </c>
      <c r="C1338" t="s">
        <v>446</v>
      </c>
      <c r="D1338" t="s">
        <v>447</v>
      </c>
      <c r="E1338" t="s">
        <v>446</v>
      </c>
      <c r="F1338" t="s">
        <v>46</v>
      </c>
      <c r="G1338" t="s">
        <v>448</v>
      </c>
      <c r="H1338" t="s">
        <v>22</v>
      </c>
      <c r="I1338" t="s">
        <v>449</v>
      </c>
      <c r="J1338" t="s">
        <v>450</v>
      </c>
      <c r="K1338" t="s">
        <v>451</v>
      </c>
      <c r="L1338" t="s">
        <v>400</v>
      </c>
      <c r="M1338">
        <v>4</v>
      </c>
      <c r="N1338" t="s">
        <v>452</v>
      </c>
      <c r="O1338" t="s">
        <v>453</v>
      </c>
      <c r="P1338" t="s">
        <v>454</v>
      </c>
      <c r="Q1338" s="3">
        <v>19302400</v>
      </c>
      <c r="R1338" s="3">
        <v>19302400</v>
      </c>
      <c r="S1338" s="3">
        <v>0</v>
      </c>
    </row>
    <row r="1339" spans="1:19" x14ac:dyDescent="0.25">
      <c r="A1339">
        <v>900091143</v>
      </c>
      <c r="B1339" t="s">
        <v>17</v>
      </c>
      <c r="C1339" t="s">
        <v>455</v>
      </c>
      <c r="D1339" t="s">
        <v>456</v>
      </c>
      <c r="E1339" t="s">
        <v>455</v>
      </c>
      <c r="F1339" t="s">
        <v>46</v>
      </c>
      <c r="G1339" t="s">
        <v>457</v>
      </c>
      <c r="H1339" t="s">
        <v>22</v>
      </c>
      <c r="I1339" t="s">
        <v>458</v>
      </c>
      <c r="J1339" t="s">
        <v>459</v>
      </c>
      <c r="K1339" t="s">
        <v>50</v>
      </c>
      <c r="L1339" t="s">
        <v>400</v>
      </c>
      <c r="M1339">
        <v>4</v>
      </c>
      <c r="N1339" t="s">
        <v>400</v>
      </c>
      <c r="O1339" t="s">
        <v>420</v>
      </c>
      <c r="P1339" t="s">
        <v>460</v>
      </c>
      <c r="Q1339" s="3">
        <v>8000000</v>
      </c>
      <c r="R1339" s="3">
        <v>8000000</v>
      </c>
      <c r="S1339" s="3">
        <v>0</v>
      </c>
    </row>
    <row r="1340" spans="1:19" x14ac:dyDescent="0.25">
      <c r="A1340">
        <v>900091143</v>
      </c>
      <c r="B1340" t="s">
        <v>17</v>
      </c>
      <c r="C1340" t="s">
        <v>461</v>
      </c>
      <c r="D1340" t="s">
        <v>462</v>
      </c>
      <c r="E1340" t="s">
        <v>461</v>
      </c>
      <c r="F1340" t="s">
        <v>46</v>
      </c>
      <c r="G1340" t="s">
        <v>463</v>
      </c>
      <c r="H1340" t="s">
        <v>22</v>
      </c>
      <c r="I1340" t="s">
        <v>464</v>
      </c>
      <c r="J1340" t="s">
        <v>465</v>
      </c>
      <c r="K1340" t="s">
        <v>50</v>
      </c>
      <c r="L1340" t="s">
        <v>400</v>
      </c>
      <c r="M1340">
        <v>4</v>
      </c>
      <c r="N1340" t="s">
        <v>400</v>
      </c>
      <c r="O1340" t="s">
        <v>420</v>
      </c>
      <c r="P1340" t="s">
        <v>53</v>
      </c>
      <c r="Q1340" s="3">
        <v>8000000</v>
      </c>
      <c r="R1340" s="3">
        <v>8000000</v>
      </c>
      <c r="S1340" s="3">
        <v>0</v>
      </c>
    </row>
    <row r="1341" spans="1:19" x14ac:dyDescent="0.25">
      <c r="A1341">
        <v>900091143</v>
      </c>
      <c r="B1341" t="s">
        <v>17</v>
      </c>
      <c r="C1341" t="s">
        <v>466</v>
      </c>
      <c r="D1341" t="s">
        <v>467</v>
      </c>
      <c r="E1341" t="s">
        <v>466</v>
      </c>
      <c r="F1341" t="s">
        <v>46</v>
      </c>
      <c r="G1341" t="s">
        <v>468</v>
      </c>
      <c r="H1341" t="s">
        <v>22</v>
      </c>
      <c r="I1341" t="s">
        <v>469</v>
      </c>
      <c r="J1341" t="s">
        <v>470</v>
      </c>
      <c r="K1341" t="s">
        <v>2860</v>
      </c>
      <c r="L1341" t="s">
        <v>471</v>
      </c>
      <c r="M1341">
        <v>4</v>
      </c>
      <c r="N1341" t="s">
        <v>471</v>
      </c>
      <c r="O1341" t="s">
        <v>472</v>
      </c>
      <c r="P1341" t="s">
        <v>473</v>
      </c>
      <c r="Q1341" s="3">
        <v>19000000</v>
      </c>
      <c r="R1341" s="3">
        <v>19000000</v>
      </c>
      <c r="S1341" s="3">
        <v>0</v>
      </c>
    </row>
    <row r="1342" spans="1:19" x14ac:dyDescent="0.25">
      <c r="A1342">
        <v>900091143</v>
      </c>
      <c r="B1342" t="s">
        <v>17</v>
      </c>
      <c r="C1342" t="s">
        <v>474</v>
      </c>
      <c r="D1342" t="s">
        <v>475</v>
      </c>
      <c r="E1342" t="s">
        <v>474</v>
      </c>
      <c r="F1342" t="s">
        <v>46</v>
      </c>
      <c r="G1342" t="s">
        <v>476</v>
      </c>
      <c r="H1342" t="s">
        <v>22</v>
      </c>
      <c r="I1342" t="s">
        <v>477</v>
      </c>
      <c r="J1342" t="s">
        <v>478</v>
      </c>
      <c r="K1342" t="s">
        <v>168</v>
      </c>
      <c r="L1342" t="s">
        <v>479</v>
      </c>
      <c r="M1342">
        <v>4</v>
      </c>
      <c r="N1342" t="s">
        <v>479</v>
      </c>
      <c r="O1342" t="s">
        <v>480</v>
      </c>
      <c r="P1342" t="s">
        <v>313</v>
      </c>
      <c r="Q1342" s="3">
        <v>24000000</v>
      </c>
      <c r="R1342" s="3">
        <v>24000000</v>
      </c>
      <c r="S1342" s="3">
        <v>0</v>
      </c>
    </row>
    <row r="1343" spans="1:19" x14ac:dyDescent="0.25">
      <c r="A1343">
        <v>900091143</v>
      </c>
      <c r="B1343" t="s">
        <v>17</v>
      </c>
      <c r="C1343" t="s">
        <v>481</v>
      </c>
      <c r="D1343" t="s">
        <v>482</v>
      </c>
      <c r="E1343" t="s">
        <v>481</v>
      </c>
      <c r="F1343" t="s">
        <v>46</v>
      </c>
      <c r="G1343" t="s">
        <v>483</v>
      </c>
      <c r="H1343" t="s">
        <v>22</v>
      </c>
      <c r="I1343" t="s">
        <v>484</v>
      </c>
      <c r="J1343" t="s">
        <v>485</v>
      </c>
      <c r="K1343" t="s">
        <v>50</v>
      </c>
      <c r="L1343" t="s">
        <v>479</v>
      </c>
      <c r="M1343">
        <v>4</v>
      </c>
      <c r="N1343" t="s">
        <v>486</v>
      </c>
      <c r="O1343" t="s">
        <v>487</v>
      </c>
      <c r="P1343" t="s">
        <v>53</v>
      </c>
      <c r="Q1343" s="3">
        <v>8000000</v>
      </c>
      <c r="R1343" s="3">
        <v>8000000</v>
      </c>
      <c r="S1343" s="3">
        <v>0</v>
      </c>
    </row>
    <row r="1344" spans="1:19" x14ac:dyDescent="0.25">
      <c r="A1344">
        <v>900091143</v>
      </c>
      <c r="B1344" t="s">
        <v>17</v>
      </c>
      <c r="C1344" t="s">
        <v>488</v>
      </c>
      <c r="D1344" t="s">
        <v>489</v>
      </c>
      <c r="E1344" t="s">
        <v>488</v>
      </c>
      <c r="F1344" t="s">
        <v>46</v>
      </c>
      <c r="G1344" t="s">
        <v>490</v>
      </c>
      <c r="H1344" t="s">
        <v>22</v>
      </c>
      <c r="I1344" t="s">
        <v>23</v>
      </c>
      <c r="J1344" t="s">
        <v>24</v>
      </c>
      <c r="K1344" t="s">
        <v>71</v>
      </c>
      <c r="L1344" t="s">
        <v>479</v>
      </c>
      <c r="M1344">
        <v>4</v>
      </c>
      <c r="N1344" t="s">
        <v>491</v>
      </c>
      <c r="O1344" t="s">
        <v>492</v>
      </c>
      <c r="P1344" t="s">
        <v>72</v>
      </c>
      <c r="Q1344" s="3">
        <v>19302400</v>
      </c>
      <c r="R1344" s="3">
        <v>19302400</v>
      </c>
      <c r="S1344" s="3">
        <v>0</v>
      </c>
    </row>
    <row r="1345" spans="1:19" x14ac:dyDescent="0.25">
      <c r="A1345">
        <v>900091143</v>
      </c>
      <c r="B1345" t="s">
        <v>17</v>
      </c>
      <c r="C1345" t="s">
        <v>493</v>
      </c>
      <c r="D1345" t="s">
        <v>494</v>
      </c>
      <c r="E1345" t="s">
        <v>493</v>
      </c>
      <c r="F1345" t="s">
        <v>46</v>
      </c>
      <c r="G1345" t="s">
        <v>495</v>
      </c>
      <c r="H1345" t="s">
        <v>22</v>
      </c>
      <c r="I1345" t="s">
        <v>496</v>
      </c>
      <c r="J1345" t="s">
        <v>497</v>
      </c>
      <c r="K1345" t="s">
        <v>25</v>
      </c>
      <c r="L1345" t="s">
        <v>479</v>
      </c>
      <c r="M1345">
        <v>4</v>
      </c>
      <c r="N1345" t="s">
        <v>486</v>
      </c>
      <c r="O1345" t="s">
        <v>487</v>
      </c>
      <c r="P1345" t="s">
        <v>393</v>
      </c>
      <c r="Q1345" s="3">
        <v>30000000</v>
      </c>
      <c r="R1345" s="3">
        <v>30000000</v>
      </c>
      <c r="S1345" s="3">
        <v>0</v>
      </c>
    </row>
    <row r="1346" spans="1:19" x14ac:dyDescent="0.25">
      <c r="A1346">
        <v>900091143</v>
      </c>
      <c r="B1346" t="s">
        <v>17</v>
      </c>
      <c r="C1346" t="s">
        <v>498</v>
      </c>
      <c r="D1346" t="s">
        <v>499</v>
      </c>
      <c r="E1346" t="s">
        <v>498</v>
      </c>
      <c r="F1346" t="s">
        <v>46</v>
      </c>
      <c r="G1346" t="s">
        <v>500</v>
      </c>
      <c r="H1346" t="s">
        <v>22</v>
      </c>
      <c r="I1346" t="s">
        <v>501</v>
      </c>
      <c r="J1346" t="s">
        <v>502</v>
      </c>
      <c r="K1346" t="s">
        <v>50</v>
      </c>
      <c r="L1346" t="s">
        <v>479</v>
      </c>
      <c r="M1346">
        <v>4</v>
      </c>
      <c r="N1346" t="s">
        <v>486</v>
      </c>
      <c r="O1346" t="s">
        <v>487</v>
      </c>
      <c r="P1346" t="s">
        <v>53</v>
      </c>
      <c r="Q1346" s="3">
        <v>8000000</v>
      </c>
      <c r="R1346" s="3">
        <v>8000000</v>
      </c>
      <c r="S1346" s="3">
        <v>0</v>
      </c>
    </row>
    <row r="1347" spans="1:19" x14ac:dyDescent="0.25">
      <c r="A1347">
        <v>900091143</v>
      </c>
      <c r="B1347" t="s">
        <v>17</v>
      </c>
      <c r="C1347" t="s">
        <v>503</v>
      </c>
      <c r="D1347" t="s">
        <v>504</v>
      </c>
      <c r="E1347" t="s">
        <v>503</v>
      </c>
      <c r="F1347" t="s">
        <v>46</v>
      </c>
      <c r="G1347" t="s">
        <v>505</v>
      </c>
      <c r="H1347" t="s">
        <v>22</v>
      </c>
      <c r="I1347" t="s">
        <v>506</v>
      </c>
      <c r="J1347" t="s">
        <v>507</v>
      </c>
      <c r="K1347" t="s">
        <v>2860</v>
      </c>
      <c r="L1347" t="s">
        <v>486</v>
      </c>
      <c r="M1347">
        <v>4</v>
      </c>
      <c r="N1347" t="s">
        <v>491</v>
      </c>
      <c r="O1347" t="s">
        <v>492</v>
      </c>
      <c r="P1347" t="s">
        <v>93</v>
      </c>
      <c r="Q1347" s="3">
        <v>19000000</v>
      </c>
      <c r="R1347" s="3">
        <v>19000000</v>
      </c>
      <c r="S1347" s="3">
        <v>0</v>
      </c>
    </row>
    <row r="1348" spans="1:19" x14ac:dyDescent="0.25">
      <c r="A1348">
        <v>900091143</v>
      </c>
      <c r="B1348" t="s">
        <v>17</v>
      </c>
      <c r="C1348" t="s">
        <v>508</v>
      </c>
      <c r="D1348" t="s">
        <v>509</v>
      </c>
      <c r="E1348" t="s">
        <v>508</v>
      </c>
      <c r="F1348" t="s">
        <v>46</v>
      </c>
      <c r="G1348" t="s">
        <v>510</v>
      </c>
      <c r="H1348" t="s">
        <v>22</v>
      </c>
      <c r="I1348" t="s">
        <v>511</v>
      </c>
      <c r="J1348" t="s">
        <v>512</v>
      </c>
      <c r="K1348" t="s">
        <v>451</v>
      </c>
      <c r="L1348" t="s">
        <v>491</v>
      </c>
      <c r="M1348">
        <v>4</v>
      </c>
      <c r="N1348" t="s">
        <v>491</v>
      </c>
      <c r="O1348" t="s">
        <v>492</v>
      </c>
      <c r="P1348" t="s">
        <v>454</v>
      </c>
      <c r="Q1348" s="3">
        <v>19302400</v>
      </c>
      <c r="R1348" s="3">
        <v>19302400</v>
      </c>
      <c r="S1348" s="3">
        <v>0</v>
      </c>
    </row>
    <row r="1349" spans="1:19" x14ac:dyDescent="0.25">
      <c r="A1349">
        <v>900091143</v>
      </c>
      <c r="B1349" t="s">
        <v>17</v>
      </c>
      <c r="C1349" t="s">
        <v>513</v>
      </c>
      <c r="D1349" t="s">
        <v>514</v>
      </c>
      <c r="E1349" t="s">
        <v>513</v>
      </c>
      <c r="F1349" t="s">
        <v>46</v>
      </c>
      <c r="G1349" t="s">
        <v>515</v>
      </c>
      <c r="H1349" t="s">
        <v>22</v>
      </c>
      <c r="I1349" t="s">
        <v>516</v>
      </c>
      <c r="J1349" t="s">
        <v>517</v>
      </c>
      <c r="K1349" t="s">
        <v>50</v>
      </c>
      <c r="L1349" t="s">
        <v>491</v>
      </c>
      <c r="M1349">
        <v>4</v>
      </c>
      <c r="N1349" t="s">
        <v>518</v>
      </c>
      <c r="O1349" t="s">
        <v>519</v>
      </c>
      <c r="P1349" t="s">
        <v>53</v>
      </c>
      <c r="Q1349" s="3">
        <v>8000000</v>
      </c>
      <c r="R1349" s="3">
        <v>8000000</v>
      </c>
      <c r="S1349" s="3">
        <v>0</v>
      </c>
    </row>
    <row r="1350" spans="1:19" x14ac:dyDescent="0.25">
      <c r="A1350">
        <v>900091143</v>
      </c>
      <c r="B1350" t="s">
        <v>17</v>
      </c>
      <c r="C1350" t="s">
        <v>520</v>
      </c>
      <c r="D1350" t="s">
        <v>521</v>
      </c>
      <c r="E1350" t="s">
        <v>520</v>
      </c>
      <c r="F1350" t="s">
        <v>46</v>
      </c>
      <c r="G1350" t="s">
        <v>522</v>
      </c>
      <c r="H1350" t="s">
        <v>22</v>
      </c>
      <c r="I1350" t="s">
        <v>523</v>
      </c>
      <c r="J1350" t="s">
        <v>524</v>
      </c>
      <c r="K1350" t="s">
        <v>680</v>
      </c>
      <c r="L1350" t="s">
        <v>491</v>
      </c>
      <c r="M1350">
        <v>4</v>
      </c>
      <c r="N1350" t="s">
        <v>518</v>
      </c>
      <c r="O1350" t="s">
        <v>519</v>
      </c>
      <c r="P1350" t="s">
        <v>525</v>
      </c>
      <c r="Q1350" s="3">
        <v>8000000</v>
      </c>
      <c r="R1350" s="3">
        <v>8000000</v>
      </c>
      <c r="S1350" s="3">
        <v>0</v>
      </c>
    </row>
    <row r="1351" spans="1:19" x14ac:dyDescent="0.25">
      <c r="A1351">
        <v>900091143</v>
      </c>
      <c r="B1351" t="s">
        <v>17</v>
      </c>
      <c r="C1351" t="s">
        <v>526</v>
      </c>
      <c r="D1351" t="s">
        <v>527</v>
      </c>
      <c r="E1351" t="s">
        <v>526</v>
      </c>
      <c r="F1351" t="s">
        <v>46</v>
      </c>
      <c r="G1351" t="s">
        <v>528</v>
      </c>
      <c r="H1351" t="s">
        <v>22</v>
      </c>
      <c r="I1351" t="s">
        <v>529</v>
      </c>
      <c r="J1351" t="s">
        <v>530</v>
      </c>
      <c r="K1351" t="s">
        <v>451</v>
      </c>
      <c r="L1351" t="s">
        <v>491</v>
      </c>
      <c r="M1351">
        <v>4</v>
      </c>
      <c r="N1351" t="s">
        <v>518</v>
      </c>
      <c r="O1351" t="s">
        <v>519</v>
      </c>
      <c r="P1351" t="s">
        <v>454</v>
      </c>
      <c r="Q1351" s="3">
        <v>19302400</v>
      </c>
      <c r="R1351" s="3">
        <v>19302400</v>
      </c>
      <c r="S1351" s="3">
        <v>0</v>
      </c>
    </row>
    <row r="1352" spans="1:19" x14ac:dyDescent="0.25">
      <c r="A1352">
        <v>900091143</v>
      </c>
      <c r="B1352" t="s">
        <v>17</v>
      </c>
      <c r="C1352" t="s">
        <v>531</v>
      </c>
      <c r="D1352" t="s">
        <v>532</v>
      </c>
      <c r="E1352" t="s">
        <v>531</v>
      </c>
      <c r="F1352" t="s">
        <v>46</v>
      </c>
      <c r="G1352" t="s">
        <v>533</v>
      </c>
      <c r="H1352" t="s">
        <v>22</v>
      </c>
      <c r="I1352" t="s">
        <v>534</v>
      </c>
      <c r="J1352" t="s">
        <v>535</v>
      </c>
      <c r="K1352" t="s">
        <v>50</v>
      </c>
      <c r="L1352" t="s">
        <v>518</v>
      </c>
      <c r="M1352">
        <v>4</v>
      </c>
      <c r="N1352" t="s">
        <v>518</v>
      </c>
      <c r="O1352" t="s">
        <v>519</v>
      </c>
      <c r="P1352" t="s">
        <v>53</v>
      </c>
      <c r="Q1352" s="3">
        <v>8000000</v>
      </c>
      <c r="R1352" s="3">
        <v>8000000</v>
      </c>
      <c r="S1352" s="3">
        <v>0</v>
      </c>
    </row>
    <row r="1353" spans="1:19" x14ac:dyDescent="0.25">
      <c r="A1353">
        <v>900091143</v>
      </c>
      <c r="B1353" t="s">
        <v>17</v>
      </c>
      <c r="C1353" t="s">
        <v>536</v>
      </c>
      <c r="D1353" t="s">
        <v>537</v>
      </c>
      <c r="E1353" t="s">
        <v>536</v>
      </c>
      <c r="F1353" t="s">
        <v>46</v>
      </c>
      <c r="G1353" t="s">
        <v>538</v>
      </c>
      <c r="H1353" t="s">
        <v>22</v>
      </c>
      <c r="I1353" t="s">
        <v>539</v>
      </c>
      <c r="J1353" t="s">
        <v>540</v>
      </c>
      <c r="K1353" t="s">
        <v>451</v>
      </c>
      <c r="L1353" t="s">
        <v>518</v>
      </c>
      <c r="M1353">
        <v>4</v>
      </c>
      <c r="N1353" t="s">
        <v>518</v>
      </c>
      <c r="O1353" t="s">
        <v>519</v>
      </c>
      <c r="P1353" t="s">
        <v>454</v>
      </c>
      <c r="Q1353" s="3">
        <v>19302400</v>
      </c>
      <c r="R1353" s="3">
        <v>19302400</v>
      </c>
      <c r="S1353" s="3">
        <v>0</v>
      </c>
    </row>
    <row r="1354" spans="1:19" x14ac:dyDescent="0.25">
      <c r="A1354">
        <v>900091143</v>
      </c>
      <c r="B1354" t="s">
        <v>17</v>
      </c>
      <c r="C1354" t="s">
        <v>541</v>
      </c>
      <c r="D1354" t="s">
        <v>542</v>
      </c>
      <c r="E1354" t="s">
        <v>541</v>
      </c>
      <c r="F1354" t="s">
        <v>46</v>
      </c>
      <c r="G1354" t="s">
        <v>543</v>
      </c>
      <c r="H1354" t="s">
        <v>22</v>
      </c>
      <c r="I1354" t="s">
        <v>544</v>
      </c>
      <c r="J1354" t="s">
        <v>545</v>
      </c>
      <c r="K1354" t="s">
        <v>50</v>
      </c>
      <c r="L1354" t="s">
        <v>518</v>
      </c>
      <c r="M1354">
        <v>4</v>
      </c>
      <c r="N1354" t="s">
        <v>518</v>
      </c>
      <c r="O1354" t="s">
        <v>519</v>
      </c>
      <c r="P1354" t="s">
        <v>53</v>
      </c>
      <c r="Q1354" s="3">
        <v>8000000</v>
      </c>
      <c r="R1354" s="3">
        <v>8000000</v>
      </c>
      <c r="S1354" s="3">
        <v>0</v>
      </c>
    </row>
    <row r="1355" spans="1:19" x14ac:dyDescent="0.25">
      <c r="A1355">
        <v>900091143</v>
      </c>
      <c r="B1355" t="s">
        <v>17</v>
      </c>
      <c r="C1355" t="s">
        <v>546</v>
      </c>
      <c r="D1355" t="s">
        <v>547</v>
      </c>
      <c r="E1355" t="s">
        <v>546</v>
      </c>
      <c r="F1355" t="s">
        <v>46</v>
      </c>
      <c r="G1355" t="s">
        <v>548</v>
      </c>
      <c r="H1355" t="s">
        <v>22</v>
      </c>
      <c r="I1355" t="s">
        <v>549</v>
      </c>
      <c r="J1355" t="s">
        <v>550</v>
      </c>
      <c r="K1355" t="s">
        <v>50</v>
      </c>
      <c r="L1355" t="s">
        <v>518</v>
      </c>
      <c r="M1355">
        <v>4</v>
      </c>
      <c r="N1355" t="s">
        <v>518</v>
      </c>
      <c r="O1355" t="s">
        <v>519</v>
      </c>
      <c r="P1355" t="s">
        <v>53</v>
      </c>
      <c r="Q1355" s="3">
        <v>8000000</v>
      </c>
      <c r="R1355" s="3">
        <v>8000000</v>
      </c>
      <c r="S1355" s="3">
        <v>0</v>
      </c>
    </row>
    <row r="1356" spans="1:19" x14ac:dyDescent="0.25">
      <c r="A1356">
        <v>900091143</v>
      </c>
      <c r="B1356" t="s">
        <v>17</v>
      </c>
      <c r="C1356" t="s">
        <v>551</v>
      </c>
      <c r="D1356" t="s">
        <v>552</v>
      </c>
      <c r="E1356" t="s">
        <v>551</v>
      </c>
      <c r="F1356" t="s">
        <v>46</v>
      </c>
      <c r="G1356" t="s">
        <v>553</v>
      </c>
      <c r="H1356" t="s">
        <v>22</v>
      </c>
      <c r="I1356" t="s">
        <v>554</v>
      </c>
      <c r="J1356" t="s">
        <v>555</v>
      </c>
      <c r="K1356" t="s">
        <v>50</v>
      </c>
      <c r="L1356" t="s">
        <v>518</v>
      </c>
      <c r="M1356">
        <v>4</v>
      </c>
      <c r="N1356" t="s">
        <v>518</v>
      </c>
      <c r="O1356" t="s">
        <v>519</v>
      </c>
      <c r="P1356" t="s">
        <v>460</v>
      </c>
      <c r="Q1356" s="3">
        <v>8000000</v>
      </c>
      <c r="R1356" s="3">
        <v>8000000</v>
      </c>
      <c r="S1356" s="3">
        <v>0</v>
      </c>
    </row>
    <row r="1357" spans="1:19" x14ac:dyDescent="0.25">
      <c r="A1357">
        <v>900091143</v>
      </c>
      <c r="B1357" t="s">
        <v>17</v>
      </c>
      <c r="C1357" t="s">
        <v>556</v>
      </c>
      <c r="D1357" t="s">
        <v>557</v>
      </c>
      <c r="E1357" t="s">
        <v>556</v>
      </c>
      <c r="F1357" t="s">
        <v>46</v>
      </c>
      <c r="G1357" t="s">
        <v>558</v>
      </c>
      <c r="H1357" t="s">
        <v>22</v>
      </c>
      <c r="I1357" t="s">
        <v>559</v>
      </c>
      <c r="J1357" t="s">
        <v>560</v>
      </c>
      <c r="K1357" t="s">
        <v>50</v>
      </c>
      <c r="L1357" t="s">
        <v>518</v>
      </c>
      <c r="M1357">
        <v>4</v>
      </c>
      <c r="N1357" t="s">
        <v>518</v>
      </c>
      <c r="O1357" t="s">
        <v>519</v>
      </c>
      <c r="P1357" t="s">
        <v>460</v>
      </c>
      <c r="Q1357" s="3">
        <v>8000000</v>
      </c>
      <c r="R1357" s="3">
        <v>8000000</v>
      </c>
      <c r="S1357" s="3">
        <v>0</v>
      </c>
    </row>
    <row r="1358" spans="1:19" x14ac:dyDescent="0.25">
      <c r="A1358">
        <v>900091143</v>
      </c>
      <c r="B1358" t="s">
        <v>17</v>
      </c>
      <c r="C1358" t="s">
        <v>561</v>
      </c>
      <c r="D1358" t="s">
        <v>562</v>
      </c>
      <c r="E1358" t="s">
        <v>561</v>
      </c>
      <c r="F1358" t="s">
        <v>46</v>
      </c>
      <c r="G1358" t="s">
        <v>563</v>
      </c>
      <c r="H1358" t="s">
        <v>22</v>
      </c>
      <c r="I1358" t="s">
        <v>564</v>
      </c>
      <c r="J1358" t="s">
        <v>565</v>
      </c>
      <c r="K1358" t="s">
        <v>50</v>
      </c>
      <c r="L1358" t="s">
        <v>566</v>
      </c>
      <c r="M1358">
        <v>4</v>
      </c>
      <c r="N1358" t="s">
        <v>566</v>
      </c>
      <c r="O1358" t="s">
        <v>567</v>
      </c>
      <c r="P1358" t="s">
        <v>53</v>
      </c>
      <c r="Q1358" s="3">
        <v>9000000</v>
      </c>
      <c r="R1358" s="3">
        <v>9000000</v>
      </c>
      <c r="S1358" s="3">
        <v>0</v>
      </c>
    </row>
    <row r="1359" spans="1:19" x14ac:dyDescent="0.25">
      <c r="A1359">
        <v>900091143</v>
      </c>
      <c r="B1359" t="s">
        <v>17</v>
      </c>
      <c r="C1359" t="s">
        <v>568</v>
      </c>
      <c r="D1359" t="s">
        <v>569</v>
      </c>
      <c r="E1359" t="s">
        <v>568</v>
      </c>
      <c r="F1359" t="s">
        <v>46</v>
      </c>
      <c r="G1359" t="s">
        <v>570</v>
      </c>
      <c r="H1359" t="s">
        <v>22</v>
      </c>
      <c r="I1359" t="s">
        <v>571</v>
      </c>
      <c r="J1359" t="s">
        <v>572</v>
      </c>
      <c r="K1359" t="s">
        <v>50</v>
      </c>
      <c r="L1359" t="s">
        <v>566</v>
      </c>
      <c r="M1359">
        <v>4</v>
      </c>
      <c r="N1359" t="s">
        <v>566</v>
      </c>
      <c r="O1359" t="s">
        <v>567</v>
      </c>
      <c r="P1359" t="s">
        <v>53</v>
      </c>
      <c r="Q1359" s="3">
        <v>8000000</v>
      </c>
      <c r="R1359" s="3">
        <v>8000000</v>
      </c>
      <c r="S1359" s="3">
        <v>0</v>
      </c>
    </row>
    <row r="1360" spans="1:19" x14ac:dyDescent="0.25">
      <c r="A1360">
        <v>900091143</v>
      </c>
      <c r="B1360" t="s">
        <v>17</v>
      </c>
      <c r="C1360" t="s">
        <v>573</v>
      </c>
      <c r="D1360" t="s">
        <v>574</v>
      </c>
      <c r="E1360" t="s">
        <v>573</v>
      </c>
      <c r="F1360" t="s">
        <v>46</v>
      </c>
      <c r="G1360" t="s">
        <v>575</v>
      </c>
      <c r="H1360" t="s">
        <v>22</v>
      </c>
      <c r="I1360" t="s">
        <v>576</v>
      </c>
      <c r="J1360" t="s">
        <v>577</v>
      </c>
      <c r="K1360" t="s">
        <v>50</v>
      </c>
      <c r="L1360" t="s">
        <v>578</v>
      </c>
      <c r="M1360">
        <v>4</v>
      </c>
      <c r="N1360" t="s">
        <v>578</v>
      </c>
      <c r="O1360" t="s">
        <v>401</v>
      </c>
      <c r="P1360" t="s">
        <v>460</v>
      </c>
      <c r="Q1360" s="3">
        <v>8000000</v>
      </c>
      <c r="R1360" s="3">
        <v>8000000</v>
      </c>
      <c r="S1360" s="3">
        <v>0</v>
      </c>
    </row>
    <row r="1361" spans="1:19" x14ac:dyDescent="0.25">
      <c r="A1361">
        <v>900091143</v>
      </c>
      <c r="B1361" t="s">
        <v>17</v>
      </c>
      <c r="C1361" t="s">
        <v>579</v>
      </c>
      <c r="D1361" t="s">
        <v>580</v>
      </c>
      <c r="E1361" t="s">
        <v>579</v>
      </c>
      <c r="F1361" t="s">
        <v>46</v>
      </c>
      <c r="G1361" t="s">
        <v>581</v>
      </c>
      <c r="H1361" t="s">
        <v>22</v>
      </c>
      <c r="I1361" t="s">
        <v>582</v>
      </c>
      <c r="J1361" t="s">
        <v>583</v>
      </c>
      <c r="K1361" t="s">
        <v>50</v>
      </c>
      <c r="L1361" t="s">
        <v>584</v>
      </c>
      <c r="M1361">
        <v>4</v>
      </c>
      <c r="N1361" t="s">
        <v>584</v>
      </c>
      <c r="O1361" t="s">
        <v>585</v>
      </c>
      <c r="P1361" t="s">
        <v>53</v>
      </c>
      <c r="Q1361" s="3">
        <v>8000000</v>
      </c>
      <c r="R1361" s="3">
        <v>8000000</v>
      </c>
      <c r="S1361" s="3">
        <v>0</v>
      </c>
    </row>
    <row r="1362" spans="1:19" x14ac:dyDescent="0.25">
      <c r="A1362">
        <v>900091143</v>
      </c>
      <c r="B1362" t="s">
        <v>17</v>
      </c>
      <c r="C1362" t="s">
        <v>586</v>
      </c>
      <c r="D1362" t="s">
        <v>587</v>
      </c>
      <c r="E1362" t="s">
        <v>586</v>
      </c>
      <c r="F1362" t="s">
        <v>46</v>
      </c>
      <c r="G1362" t="s">
        <v>588</v>
      </c>
      <c r="H1362" t="s">
        <v>22</v>
      </c>
      <c r="I1362" t="s">
        <v>589</v>
      </c>
      <c r="J1362" t="s">
        <v>590</v>
      </c>
      <c r="K1362" t="s">
        <v>50</v>
      </c>
      <c r="L1362" t="s">
        <v>584</v>
      </c>
      <c r="M1362">
        <v>4</v>
      </c>
      <c r="N1362" t="s">
        <v>584</v>
      </c>
      <c r="O1362" t="s">
        <v>585</v>
      </c>
      <c r="P1362" t="s">
        <v>53</v>
      </c>
      <c r="Q1362" s="3">
        <v>8000000</v>
      </c>
      <c r="R1362" s="3">
        <v>8000000</v>
      </c>
      <c r="S1362" s="3">
        <v>0</v>
      </c>
    </row>
    <row r="1363" spans="1:19" x14ac:dyDescent="0.25">
      <c r="A1363">
        <v>900091143</v>
      </c>
      <c r="B1363" t="s">
        <v>17</v>
      </c>
      <c r="C1363" t="s">
        <v>591</v>
      </c>
      <c r="D1363" t="s">
        <v>592</v>
      </c>
      <c r="E1363" t="s">
        <v>591</v>
      </c>
      <c r="F1363" t="s">
        <v>46</v>
      </c>
      <c r="G1363" t="s">
        <v>593</v>
      </c>
      <c r="H1363" t="s">
        <v>22</v>
      </c>
      <c r="I1363" t="s">
        <v>594</v>
      </c>
      <c r="J1363" t="s">
        <v>595</v>
      </c>
      <c r="K1363" t="s">
        <v>50</v>
      </c>
      <c r="L1363" t="s">
        <v>584</v>
      </c>
      <c r="M1363">
        <v>4</v>
      </c>
      <c r="N1363" t="s">
        <v>584</v>
      </c>
      <c r="O1363" t="s">
        <v>585</v>
      </c>
      <c r="P1363" t="s">
        <v>53</v>
      </c>
      <c r="Q1363" s="3">
        <v>8000000</v>
      </c>
      <c r="R1363" s="3">
        <v>8000000</v>
      </c>
      <c r="S1363" s="3">
        <v>0</v>
      </c>
    </row>
    <row r="1364" spans="1:19" x14ac:dyDescent="0.25">
      <c r="A1364">
        <v>900091143</v>
      </c>
      <c r="B1364" t="s">
        <v>17</v>
      </c>
      <c r="C1364" t="s">
        <v>596</v>
      </c>
      <c r="D1364" t="s">
        <v>597</v>
      </c>
      <c r="E1364" t="s">
        <v>596</v>
      </c>
      <c r="F1364" t="s">
        <v>46</v>
      </c>
      <c r="G1364" t="s">
        <v>598</v>
      </c>
      <c r="H1364" t="s">
        <v>22</v>
      </c>
      <c r="I1364" t="s">
        <v>599</v>
      </c>
      <c r="J1364" t="s">
        <v>600</v>
      </c>
      <c r="K1364" t="s">
        <v>2860</v>
      </c>
      <c r="L1364" t="s">
        <v>584</v>
      </c>
      <c r="M1364">
        <v>4</v>
      </c>
      <c r="N1364" t="s">
        <v>584</v>
      </c>
      <c r="O1364" t="s">
        <v>585</v>
      </c>
      <c r="P1364" t="s">
        <v>93</v>
      </c>
      <c r="Q1364" s="3">
        <v>19000000</v>
      </c>
      <c r="R1364" s="3">
        <v>19000000</v>
      </c>
      <c r="S1364" s="3">
        <v>0</v>
      </c>
    </row>
    <row r="1365" spans="1:19" x14ac:dyDescent="0.25">
      <c r="A1365">
        <v>900091143</v>
      </c>
      <c r="B1365" t="s">
        <v>17</v>
      </c>
      <c r="C1365" t="s">
        <v>601</v>
      </c>
      <c r="D1365" t="s">
        <v>602</v>
      </c>
      <c r="E1365" t="s">
        <v>601</v>
      </c>
      <c r="F1365" t="s">
        <v>46</v>
      </c>
      <c r="G1365" t="s">
        <v>603</v>
      </c>
      <c r="H1365" t="s">
        <v>22</v>
      </c>
      <c r="I1365" t="s">
        <v>604</v>
      </c>
      <c r="J1365" t="s">
        <v>605</v>
      </c>
      <c r="K1365" t="s">
        <v>50</v>
      </c>
      <c r="L1365" t="s">
        <v>584</v>
      </c>
      <c r="M1365">
        <v>4</v>
      </c>
      <c r="N1365" t="s">
        <v>584</v>
      </c>
      <c r="O1365" t="s">
        <v>585</v>
      </c>
      <c r="P1365" t="s">
        <v>53</v>
      </c>
      <c r="Q1365" s="3">
        <v>8000000</v>
      </c>
      <c r="R1365" s="3">
        <v>8000000</v>
      </c>
      <c r="S1365" s="3">
        <v>0</v>
      </c>
    </row>
    <row r="1366" spans="1:19" x14ac:dyDescent="0.25">
      <c r="A1366">
        <v>900091143</v>
      </c>
      <c r="B1366" t="s">
        <v>17</v>
      </c>
      <c r="C1366" t="s">
        <v>606</v>
      </c>
      <c r="D1366" t="s">
        <v>607</v>
      </c>
      <c r="E1366" t="s">
        <v>606</v>
      </c>
      <c r="F1366" t="s">
        <v>46</v>
      </c>
      <c r="G1366" t="s">
        <v>608</v>
      </c>
      <c r="H1366" t="s">
        <v>22</v>
      </c>
      <c r="I1366" t="s">
        <v>609</v>
      </c>
      <c r="J1366" t="s">
        <v>610</v>
      </c>
      <c r="K1366" t="s">
        <v>50</v>
      </c>
      <c r="L1366" t="s">
        <v>380</v>
      </c>
      <c r="M1366">
        <v>4</v>
      </c>
      <c r="N1366" t="s">
        <v>380</v>
      </c>
      <c r="O1366" t="s">
        <v>52</v>
      </c>
      <c r="P1366" t="s">
        <v>53</v>
      </c>
      <c r="Q1366" s="3">
        <v>8000000</v>
      </c>
      <c r="R1366" s="3">
        <v>8000000</v>
      </c>
      <c r="S1366" s="3">
        <v>0</v>
      </c>
    </row>
    <row r="1367" spans="1:19" x14ac:dyDescent="0.25">
      <c r="A1367">
        <v>900091143</v>
      </c>
      <c r="B1367" t="s">
        <v>17</v>
      </c>
      <c r="C1367" t="s">
        <v>611</v>
      </c>
      <c r="D1367" t="s">
        <v>612</v>
      </c>
      <c r="E1367" t="s">
        <v>611</v>
      </c>
      <c r="F1367" t="s">
        <v>46</v>
      </c>
      <c r="G1367" t="s">
        <v>613</v>
      </c>
      <c r="H1367" t="s">
        <v>22</v>
      </c>
      <c r="I1367" t="s">
        <v>614</v>
      </c>
      <c r="J1367" t="s">
        <v>615</v>
      </c>
      <c r="K1367" t="s">
        <v>50</v>
      </c>
      <c r="L1367" t="s">
        <v>380</v>
      </c>
      <c r="M1367">
        <v>4</v>
      </c>
      <c r="N1367" t="s">
        <v>380</v>
      </c>
      <c r="O1367" t="s">
        <v>52</v>
      </c>
      <c r="P1367" t="s">
        <v>53</v>
      </c>
      <c r="Q1367" s="3">
        <v>8000000</v>
      </c>
      <c r="R1367" s="3">
        <v>8000000</v>
      </c>
      <c r="S1367" s="3">
        <v>0</v>
      </c>
    </row>
    <row r="1368" spans="1:19" x14ac:dyDescent="0.25">
      <c r="A1368">
        <v>900091143</v>
      </c>
      <c r="B1368" t="s">
        <v>17</v>
      </c>
      <c r="C1368" t="s">
        <v>616</v>
      </c>
      <c r="D1368" t="s">
        <v>617</v>
      </c>
      <c r="E1368" t="s">
        <v>616</v>
      </c>
      <c r="F1368" t="s">
        <v>46</v>
      </c>
      <c r="G1368" t="s">
        <v>618</v>
      </c>
      <c r="H1368" t="s">
        <v>22</v>
      </c>
      <c r="I1368" t="s">
        <v>619</v>
      </c>
      <c r="J1368" t="s">
        <v>620</v>
      </c>
      <c r="K1368" t="s">
        <v>451</v>
      </c>
      <c r="L1368" t="s">
        <v>380</v>
      </c>
      <c r="M1368">
        <v>4</v>
      </c>
      <c r="N1368" t="s">
        <v>380</v>
      </c>
      <c r="O1368" t="s">
        <v>52</v>
      </c>
      <c r="P1368" t="s">
        <v>454</v>
      </c>
      <c r="Q1368" s="3">
        <v>19302400</v>
      </c>
      <c r="R1368" s="3">
        <v>19302400</v>
      </c>
      <c r="S1368" s="3">
        <v>0</v>
      </c>
    </row>
    <row r="1369" spans="1:19" x14ac:dyDescent="0.25">
      <c r="A1369">
        <v>900091143</v>
      </c>
      <c r="B1369" t="s">
        <v>17</v>
      </c>
      <c r="C1369" t="s">
        <v>621</v>
      </c>
      <c r="D1369" t="s">
        <v>622</v>
      </c>
      <c r="E1369" t="s">
        <v>621</v>
      </c>
      <c r="F1369" t="s">
        <v>46</v>
      </c>
      <c r="G1369" t="s">
        <v>623</v>
      </c>
      <c r="H1369" t="s">
        <v>22</v>
      </c>
      <c r="I1369" t="s">
        <v>624</v>
      </c>
      <c r="J1369" t="s">
        <v>625</v>
      </c>
      <c r="K1369" t="s">
        <v>50</v>
      </c>
      <c r="L1369" t="s">
        <v>380</v>
      </c>
      <c r="M1369">
        <v>4</v>
      </c>
      <c r="N1369" t="s">
        <v>380</v>
      </c>
      <c r="O1369" t="s">
        <v>52</v>
      </c>
      <c r="P1369" t="s">
        <v>53</v>
      </c>
      <c r="Q1369" s="3">
        <v>8000000</v>
      </c>
      <c r="R1369" s="3">
        <v>8000000</v>
      </c>
      <c r="S1369" s="3">
        <v>0</v>
      </c>
    </row>
    <row r="1370" spans="1:19" x14ac:dyDescent="0.25">
      <c r="A1370">
        <v>900091143</v>
      </c>
      <c r="B1370" t="s">
        <v>17</v>
      </c>
      <c r="C1370" t="s">
        <v>626</v>
      </c>
      <c r="D1370" t="s">
        <v>627</v>
      </c>
      <c r="E1370" t="s">
        <v>626</v>
      </c>
      <c r="F1370" t="s">
        <v>46</v>
      </c>
      <c r="G1370" t="s">
        <v>628</v>
      </c>
      <c r="H1370" t="s">
        <v>22</v>
      </c>
      <c r="I1370" t="s">
        <v>629</v>
      </c>
      <c r="J1370" t="s">
        <v>630</v>
      </c>
      <c r="K1370" t="s">
        <v>50</v>
      </c>
      <c r="L1370" t="s">
        <v>631</v>
      </c>
      <c r="M1370">
        <v>4</v>
      </c>
      <c r="N1370" t="s">
        <v>380</v>
      </c>
      <c r="O1370" t="s">
        <v>52</v>
      </c>
      <c r="P1370" t="s">
        <v>53</v>
      </c>
      <c r="Q1370" s="3">
        <v>8000000</v>
      </c>
      <c r="R1370" s="3">
        <v>8000000</v>
      </c>
      <c r="S1370" s="3">
        <v>0</v>
      </c>
    </row>
    <row r="1371" spans="1:19" x14ac:dyDescent="0.25">
      <c r="A1371">
        <v>900091143</v>
      </c>
      <c r="B1371" t="s">
        <v>17</v>
      </c>
      <c r="C1371" t="s">
        <v>632</v>
      </c>
      <c r="D1371" t="s">
        <v>633</v>
      </c>
      <c r="E1371" t="s">
        <v>632</v>
      </c>
      <c r="F1371" t="s">
        <v>634</v>
      </c>
      <c r="G1371" t="s">
        <v>635</v>
      </c>
      <c r="H1371" t="s">
        <v>38</v>
      </c>
      <c r="I1371" t="s">
        <v>636</v>
      </c>
      <c r="J1371" t="s">
        <v>637</v>
      </c>
      <c r="K1371" t="s">
        <v>32</v>
      </c>
      <c r="L1371" t="s">
        <v>631</v>
      </c>
      <c r="M1371">
        <v>3</v>
      </c>
      <c r="N1371" t="s">
        <v>631</v>
      </c>
      <c r="O1371" t="s">
        <v>567</v>
      </c>
      <c r="P1371" t="s">
        <v>638</v>
      </c>
      <c r="Q1371" s="3">
        <v>389900000</v>
      </c>
      <c r="R1371" s="3">
        <v>389900000</v>
      </c>
      <c r="S1371" s="3">
        <v>0</v>
      </c>
    </row>
    <row r="1372" spans="1:19" x14ac:dyDescent="0.25">
      <c r="A1372">
        <v>900091143</v>
      </c>
      <c r="B1372" t="s">
        <v>17</v>
      </c>
      <c r="C1372" t="s">
        <v>639</v>
      </c>
      <c r="D1372" t="s">
        <v>640</v>
      </c>
      <c r="E1372" t="s">
        <v>639</v>
      </c>
      <c r="F1372" t="s">
        <v>46</v>
      </c>
      <c r="G1372" t="s">
        <v>641</v>
      </c>
      <c r="H1372" t="s">
        <v>22</v>
      </c>
      <c r="I1372" t="s">
        <v>642</v>
      </c>
      <c r="J1372" t="s">
        <v>643</v>
      </c>
      <c r="K1372" t="s">
        <v>2860</v>
      </c>
      <c r="L1372" t="s">
        <v>631</v>
      </c>
      <c r="M1372">
        <v>4</v>
      </c>
      <c r="N1372" t="s">
        <v>631</v>
      </c>
      <c r="O1372" t="s">
        <v>130</v>
      </c>
      <c r="P1372" t="s">
        <v>473</v>
      </c>
      <c r="Q1372" s="3">
        <v>19000000</v>
      </c>
      <c r="R1372" s="3">
        <v>19000000</v>
      </c>
      <c r="S1372" s="3">
        <v>0</v>
      </c>
    </row>
    <row r="1373" spans="1:19" x14ac:dyDescent="0.25">
      <c r="A1373">
        <v>900091143</v>
      </c>
      <c r="B1373" t="s">
        <v>17</v>
      </c>
      <c r="C1373" t="s">
        <v>644</v>
      </c>
      <c r="D1373" t="s">
        <v>645</v>
      </c>
      <c r="E1373" t="s">
        <v>644</v>
      </c>
      <c r="F1373" t="s">
        <v>46</v>
      </c>
      <c r="G1373" t="s">
        <v>646</v>
      </c>
      <c r="H1373" t="s">
        <v>22</v>
      </c>
      <c r="I1373" t="s">
        <v>647</v>
      </c>
      <c r="J1373" t="s">
        <v>648</v>
      </c>
      <c r="K1373" t="s">
        <v>50</v>
      </c>
      <c r="L1373" t="s">
        <v>649</v>
      </c>
      <c r="M1373">
        <v>4</v>
      </c>
      <c r="N1373" t="s">
        <v>649</v>
      </c>
      <c r="O1373" t="s">
        <v>650</v>
      </c>
      <c r="P1373" t="s">
        <v>460</v>
      </c>
      <c r="Q1373" s="3">
        <v>8000000</v>
      </c>
      <c r="R1373" s="3">
        <v>8000000</v>
      </c>
      <c r="S1373" s="3">
        <v>0</v>
      </c>
    </row>
    <row r="1374" spans="1:19" x14ac:dyDescent="0.25">
      <c r="A1374">
        <v>900091143</v>
      </c>
      <c r="B1374" t="s">
        <v>17</v>
      </c>
      <c r="C1374" t="s">
        <v>651</v>
      </c>
      <c r="D1374" t="s">
        <v>652</v>
      </c>
      <c r="E1374" t="s">
        <v>651</v>
      </c>
      <c r="F1374" t="s">
        <v>46</v>
      </c>
      <c r="G1374" t="s">
        <v>653</v>
      </c>
      <c r="H1374" t="s">
        <v>22</v>
      </c>
      <c r="I1374" t="s">
        <v>654</v>
      </c>
      <c r="J1374" t="s">
        <v>655</v>
      </c>
      <c r="K1374" t="s">
        <v>50</v>
      </c>
      <c r="L1374" t="s">
        <v>656</v>
      </c>
      <c r="M1374">
        <v>4</v>
      </c>
      <c r="N1374" t="s">
        <v>656</v>
      </c>
      <c r="O1374" t="s">
        <v>657</v>
      </c>
      <c r="P1374" t="s">
        <v>460</v>
      </c>
      <c r="Q1374" s="3">
        <v>8000000</v>
      </c>
      <c r="R1374" s="3">
        <v>8000000</v>
      </c>
      <c r="S1374" s="3">
        <v>0</v>
      </c>
    </row>
    <row r="1375" spans="1:19" x14ac:dyDescent="0.25">
      <c r="A1375">
        <v>900091143</v>
      </c>
      <c r="B1375" t="s">
        <v>17</v>
      </c>
      <c r="C1375" t="s">
        <v>658</v>
      </c>
      <c r="D1375" t="s">
        <v>659</v>
      </c>
      <c r="E1375" t="s">
        <v>658</v>
      </c>
      <c r="F1375" t="s">
        <v>46</v>
      </c>
      <c r="G1375" t="s">
        <v>660</v>
      </c>
      <c r="H1375" t="s">
        <v>22</v>
      </c>
      <c r="I1375" t="s">
        <v>661</v>
      </c>
      <c r="J1375" t="s">
        <v>662</v>
      </c>
      <c r="K1375" t="s">
        <v>25</v>
      </c>
      <c r="L1375" t="s">
        <v>656</v>
      </c>
      <c r="M1375">
        <v>4</v>
      </c>
      <c r="N1375" t="s">
        <v>656</v>
      </c>
      <c r="O1375" t="s">
        <v>657</v>
      </c>
      <c r="P1375" t="s">
        <v>393</v>
      </c>
      <c r="Q1375" s="3">
        <v>30000000</v>
      </c>
      <c r="R1375" s="3">
        <v>30000000</v>
      </c>
      <c r="S1375" s="3">
        <v>0</v>
      </c>
    </row>
    <row r="1376" spans="1:19" x14ac:dyDescent="0.25">
      <c r="A1376">
        <v>900091143</v>
      </c>
      <c r="B1376" t="s">
        <v>17</v>
      </c>
      <c r="C1376" t="s">
        <v>663</v>
      </c>
      <c r="D1376" t="s">
        <v>664</v>
      </c>
      <c r="E1376" t="s">
        <v>663</v>
      </c>
      <c r="F1376" t="s">
        <v>46</v>
      </c>
      <c r="G1376" t="s">
        <v>665</v>
      </c>
      <c r="H1376" t="s">
        <v>22</v>
      </c>
      <c r="I1376" t="s">
        <v>666</v>
      </c>
      <c r="J1376" t="s">
        <v>667</v>
      </c>
      <c r="K1376" t="s">
        <v>50</v>
      </c>
      <c r="L1376" t="s">
        <v>656</v>
      </c>
      <c r="M1376">
        <v>4</v>
      </c>
      <c r="N1376" t="s">
        <v>656</v>
      </c>
      <c r="O1376" t="s">
        <v>657</v>
      </c>
      <c r="P1376" t="s">
        <v>460</v>
      </c>
      <c r="Q1376" s="3">
        <v>8000000</v>
      </c>
      <c r="R1376" s="3">
        <v>8000000</v>
      </c>
      <c r="S1376" s="3">
        <v>0</v>
      </c>
    </row>
    <row r="1377" spans="1:19" x14ac:dyDescent="0.25">
      <c r="A1377">
        <v>900091143</v>
      </c>
      <c r="B1377" t="s">
        <v>17</v>
      </c>
      <c r="C1377" t="s">
        <v>668</v>
      </c>
      <c r="D1377" t="s">
        <v>669</v>
      </c>
      <c r="E1377" t="s">
        <v>668</v>
      </c>
      <c r="F1377" t="s">
        <v>46</v>
      </c>
      <c r="G1377" t="s">
        <v>670</v>
      </c>
      <c r="H1377" t="s">
        <v>22</v>
      </c>
      <c r="I1377" t="s">
        <v>671</v>
      </c>
      <c r="J1377" t="s">
        <v>672</v>
      </c>
      <c r="K1377" t="s">
        <v>50</v>
      </c>
      <c r="L1377" t="s">
        <v>673</v>
      </c>
      <c r="M1377">
        <v>4</v>
      </c>
      <c r="N1377" t="s">
        <v>673</v>
      </c>
      <c r="O1377" t="s">
        <v>674</v>
      </c>
      <c r="P1377" t="s">
        <v>460</v>
      </c>
      <c r="Q1377" s="3">
        <v>8000000</v>
      </c>
      <c r="R1377" s="3">
        <v>8000000</v>
      </c>
      <c r="S1377" s="3">
        <v>0</v>
      </c>
    </row>
    <row r="1378" spans="1:19" x14ac:dyDescent="0.25">
      <c r="A1378">
        <v>900091143</v>
      </c>
      <c r="B1378" t="s">
        <v>17</v>
      </c>
      <c r="C1378" t="s">
        <v>675</v>
      </c>
      <c r="D1378" t="s">
        <v>676</v>
      </c>
      <c r="E1378" t="s">
        <v>675</v>
      </c>
      <c r="F1378" t="s">
        <v>46</v>
      </c>
      <c r="G1378" t="s">
        <v>677</v>
      </c>
      <c r="H1378" t="s">
        <v>22</v>
      </c>
      <c r="I1378" t="s">
        <v>678</v>
      </c>
      <c r="J1378" t="s">
        <v>679</v>
      </c>
      <c r="K1378" t="s">
        <v>680</v>
      </c>
      <c r="L1378" t="s">
        <v>681</v>
      </c>
      <c r="M1378">
        <v>4</v>
      </c>
      <c r="N1378" t="s">
        <v>681</v>
      </c>
      <c r="O1378" t="s">
        <v>682</v>
      </c>
      <c r="P1378" t="s">
        <v>683</v>
      </c>
      <c r="Q1378" s="3">
        <v>8000000</v>
      </c>
      <c r="R1378" s="3">
        <v>8000000</v>
      </c>
      <c r="S1378" s="3">
        <v>0</v>
      </c>
    </row>
    <row r="1379" spans="1:19" x14ac:dyDescent="0.25">
      <c r="A1379">
        <v>900091143</v>
      </c>
      <c r="B1379" t="s">
        <v>17</v>
      </c>
      <c r="C1379" t="s">
        <v>684</v>
      </c>
      <c r="D1379" t="s">
        <v>685</v>
      </c>
      <c r="E1379" t="s">
        <v>684</v>
      </c>
      <c r="F1379" t="s">
        <v>46</v>
      </c>
      <c r="G1379" t="s">
        <v>686</v>
      </c>
      <c r="H1379" t="s">
        <v>22</v>
      </c>
      <c r="I1379" t="s">
        <v>687</v>
      </c>
      <c r="J1379" t="s">
        <v>688</v>
      </c>
      <c r="K1379" t="s">
        <v>168</v>
      </c>
      <c r="L1379" t="s">
        <v>681</v>
      </c>
      <c r="M1379">
        <v>4</v>
      </c>
      <c r="N1379" t="s">
        <v>681</v>
      </c>
      <c r="O1379" t="s">
        <v>682</v>
      </c>
      <c r="P1379" t="s">
        <v>169</v>
      </c>
      <c r="Q1379" s="3">
        <v>24000000</v>
      </c>
      <c r="R1379" s="3">
        <v>24000000</v>
      </c>
      <c r="S1379" s="3">
        <v>0</v>
      </c>
    </row>
    <row r="1380" spans="1:19" x14ac:dyDescent="0.25">
      <c r="A1380">
        <v>900091143</v>
      </c>
      <c r="B1380" t="s">
        <v>17</v>
      </c>
      <c r="C1380" t="s">
        <v>689</v>
      </c>
      <c r="D1380" t="s">
        <v>690</v>
      </c>
      <c r="E1380" t="s">
        <v>689</v>
      </c>
      <c r="F1380" t="s">
        <v>46</v>
      </c>
      <c r="G1380" t="s">
        <v>691</v>
      </c>
      <c r="H1380" t="s">
        <v>22</v>
      </c>
      <c r="I1380" t="s">
        <v>692</v>
      </c>
      <c r="J1380" t="s">
        <v>693</v>
      </c>
      <c r="K1380" t="s">
        <v>50</v>
      </c>
      <c r="L1380" t="s">
        <v>681</v>
      </c>
      <c r="M1380">
        <v>4</v>
      </c>
      <c r="N1380" t="s">
        <v>681</v>
      </c>
      <c r="O1380" t="s">
        <v>682</v>
      </c>
      <c r="P1380" t="s">
        <v>53</v>
      </c>
      <c r="Q1380" s="3">
        <v>8000000</v>
      </c>
      <c r="R1380" s="3">
        <v>8000000</v>
      </c>
      <c r="S1380" s="3">
        <v>0</v>
      </c>
    </row>
    <row r="1381" spans="1:19" x14ac:dyDescent="0.25">
      <c r="A1381">
        <v>900091143</v>
      </c>
      <c r="B1381" t="s">
        <v>17</v>
      </c>
      <c r="C1381" t="s">
        <v>694</v>
      </c>
      <c r="D1381" t="s">
        <v>695</v>
      </c>
      <c r="E1381" t="s">
        <v>694</v>
      </c>
      <c r="F1381" t="s">
        <v>46</v>
      </c>
      <c r="G1381" t="s">
        <v>696</v>
      </c>
      <c r="H1381" t="s">
        <v>22</v>
      </c>
      <c r="I1381" t="s">
        <v>697</v>
      </c>
      <c r="J1381" t="s">
        <v>698</v>
      </c>
      <c r="K1381" t="s">
        <v>50</v>
      </c>
      <c r="L1381" t="s">
        <v>699</v>
      </c>
      <c r="M1381">
        <v>4</v>
      </c>
      <c r="N1381" t="s">
        <v>699</v>
      </c>
      <c r="O1381" t="s">
        <v>700</v>
      </c>
      <c r="P1381" t="s">
        <v>460</v>
      </c>
      <c r="Q1381" s="3">
        <v>8000000</v>
      </c>
      <c r="R1381" s="3">
        <v>8000000</v>
      </c>
      <c r="S1381" s="3">
        <v>0</v>
      </c>
    </row>
    <row r="1382" spans="1:19" x14ac:dyDescent="0.25">
      <c r="A1382">
        <v>900091143</v>
      </c>
      <c r="B1382" t="s">
        <v>17</v>
      </c>
      <c r="C1382" t="s">
        <v>701</v>
      </c>
      <c r="D1382" t="s">
        <v>702</v>
      </c>
      <c r="E1382" t="s">
        <v>701</v>
      </c>
      <c r="F1382" t="s">
        <v>46</v>
      </c>
      <c r="G1382" t="s">
        <v>703</v>
      </c>
      <c r="H1382" t="s">
        <v>22</v>
      </c>
      <c r="I1382" t="s">
        <v>704</v>
      </c>
      <c r="J1382" t="s">
        <v>705</v>
      </c>
      <c r="K1382" t="s">
        <v>50</v>
      </c>
      <c r="L1382" t="s">
        <v>699</v>
      </c>
      <c r="M1382">
        <v>4</v>
      </c>
      <c r="N1382" t="s">
        <v>699</v>
      </c>
      <c r="O1382" t="s">
        <v>700</v>
      </c>
      <c r="P1382" t="s">
        <v>460</v>
      </c>
      <c r="Q1382" s="3">
        <v>8000000</v>
      </c>
      <c r="R1382" s="3">
        <v>8000000</v>
      </c>
      <c r="S1382" s="3">
        <v>0</v>
      </c>
    </row>
    <row r="1383" spans="1:19" x14ac:dyDescent="0.25">
      <c r="A1383">
        <v>900091143</v>
      </c>
      <c r="B1383" t="s">
        <v>17</v>
      </c>
      <c r="C1383" t="s">
        <v>706</v>
      </c>
      <c r="D1383" t="s">
        <v>707</v>
      </c>
      <c r="E1383" t="s">
        <v>706</v>
      </c>
      <c r="F1383" t="s">
        <v>46</v>
      </c>
      <c r="G1383" t="s">
        <v>708</v>
      </c>
      <c r="H1383" t="s">
        <v>22</v>
      </c>
      <c r="I1383" t="s">
        <v>709</v>
      </c>
      <c r="J1383" t="s">
        <v>710</v>
      </c>
      <c r="K1383" t="s">
        <v>2860</v>
      </c>
      <c r="L1383" t="s">
        <v>699</v>
      </c>
      <c r="M1383">
        <v>4</v>
      </c>
      <c r="N1383" t="s">
        <v>699</v>
      </c>
      <c r="O1383" t="s">
        <v>700</v>
      </c>
      <c r="P1383" t="s">
        <v>473</v>
      </c>
      <c r="Q1383" s="3">
        <v>19000000</v>
      </c>
      <c r="R1383" s="3">
        <v>19000000</v>
      </c>
      <c r="S1383" s="3">
        <v>0</v>
      </c>
    </row>
    <row r="1384" spans="1:19" x14ac:dyDescent="0.25">
      <c r="A1384">
        <v>900091143</v>
      </c>
      <c r="B1384" t="s">
        <v>17</v>
      </c>
      <c r="C1384" t="s">
        <v>711</v>
      </c>
      <c r="D1384" t="s">
        <v>712</v>
      </c>
      <c r="E1384" t="s">
        <v>711</v>
      </c>
      <c r="F1384" t="s">
        <v>46</v>
      </c>
      <c r="G1384" t="s">
        <v>713</v>
      </c>
      <c r="H1384" t="s">
        <v>22</v>
      </c>
      <c r="I1384" t="s">
        <v>714</v>
      </c>
      <c r="J1384" t="s">
        <v>715</v>
      </c>
      <c r="K1384" t="s">
        <v>50</v>
      </c>
      <c r="L1384" t="s">
        <v>699</v>
      </c>
      <c r="M1384">
        <v>4</v>
      </c>
      <c r="N1384" t="s">
        <v>699</v>
      </c>
      <c r="O1384" t="s">
        <v>700</v>
      </c>
      <c r="P1384" t="s">
        <v>460</v>
      </c>
      <c r="Q1384" s="3">
        <v>8000000</v>
      </c>
      <c r="R1384" s="3">
        <v>8000000</v>
      </c>
      <c r="S1384" s="3">
        <v>0</v>
      </c>
    </row>
    <row r="1385" spans="1:19" x14ac:dyDescent="0.25">
      <c r="A1385">
        <v>900091143</v>
      </c>
      <c r="B1385" t="s">
        <v>17</v>
      </c>
      <c r="C1385" t="s">
        <v>716</v>
      </c>
      <c r="D1385" t="s">
        <v>717</v>
      </c>
      <c r="E1385" t="s">
        <v>716</v>
      </c>
      <c r="F1385" t="s">
        <v>46</v>
      </c>
      <c r="G1385" t="s">
        <v>718</v>
      </c>
      <c r="H1385" t="s">
        <v>22</v>
      </c>
      <c r="I1385" t="s">
        <v>719</v>
      </c>
      <c r="J1385" t="s">
        <v>720</v>
      </c>
      <c r="K1385" t="s">
        <v>50</v>
      </c>
      <c r="L1385" t="s">
        <v>699</v>
      </c>
      <c r="M1385">
        <v>4</v>
      </c>
      <c r="N1385" t="s">
        <v>699</v>
      </c>
      <c r="O1385" t="s">
        <v>700</v>
      </c>
      <c r="P1385" t="s">
        <v>460</v>
      </c>
      <c r="Q1385" s="3">
        <v>8000000</v>
      </c>
      <c r="R1385" s="3">
        <v>8000000</v>
      </c>
      <c r="S1385" s="3">
        <v>0</v>
      </c>
    </row>
    <row r="1386" spans="1:19" x14ac:dyDescent="0.25">
      <c r="A1386">
        <v>900091143</v>
      </c>
      <c r="B1386" t="s">
        <v>17</v>
      </c>
      <c r="C1386" t="s">
        <v>721</v>
      </c>
      <c r="D1386" t="s">
        <v>722</v>
      </c>
      <c r="E1386" t="s">
        <v>721</v>
      </c>
      <c r="F1386" t="s">
        <v>46</v>
      </c>
      <c r="G1386" t="s">
        <v>723</v>
      </c>
      <c r="H1386" t="s">
        <v>22</v>
      </c>
      <c r="I1386" t="s">
        <v>724</v>
      </c>
      <c r="J1386" t="s">
        <v>725</v>
      </c>
      <c r="K1386" t="s">
        <v>25</v>
      </c>
      <c r="L1386" t="s">
        <v>699</v>
      </c>
      <c r="M1386">
        <v>4</v>
      </c>
      <c r="N1386" t="s">
        <v>699</v>
      </c>
      <c r="O1386" t="s">
        <v>700</v>
      </c>
      <c r="P1386" t="s">
        <v>393</v>
      </c>
      <c r="Q1386" s="3">
        <v>30000000</v>
      </c>
      <c r="R1386" s="3">
        <v>30000000</v>
      </c>
      <c r="S1386" s="3">
        <v>0</v>
      </c>
    </row>
    <row r="1387" spans="1:19" x14ac:dyDescent="0.25">
      <c r="A1387">
        <v>900091143</v>
      </c>
      <c r="B1387" t="s">
        <v>17</v>
      </c>
      <c r="C1387" t="s">
        <v>726</v>
      </c>
      <c r="D1387" t="s">
        <v>727</v>
      </c>
      <c r="E1387" t="s">
        <v>726</v>
      </c>
      <c r="F1387" t="s">
        <v>46</v>
      </c>
      <c r="G1387" t="s">
        <v>728</v>
      </c>
      <c r="H1387" t="s">
        <v>22</v>
      </c>
      <c r="I1387" t="s">
        <v>729</v>
      </c>
      <c r="J1387" t="s">
        <v>730</v>
      </c>
      <c r="K1387" t="s">
        <v>50</v>
      </c>
      <c r="L1387" t="s">
        <v>699</v>
      </c>
      <c r="M1387">
        <v>4</v>
      </c>
      <c r="N1387" t="s">
        <v>699</v>
      </c>
      <c r="O1387" t="s">
        <v>700</v>
      </c>
      <c r="P1387" t="s">
        <v>460</v>
      </c>
      <c r="Q1387" s="3">
        <v>8000000</v>
      </c>
      <c r="R1387" s="3">
        <v>8000000</v>
      </c>
      <c r="S1387" s="3">
        <v>0</v>
      </c>
    </row>
    <row r="1388" spans="1:19" x14ac:dyDescent="0.25">
      <c r="A1388">
        <v>900091143</v>
      </c>
      <c r="B1388" t="s">
        <v>17</v>
      </c>
      <c r="C1388" t="s">
        <v>731</v>
      </c>
      <c r="D1388" t="s">
        <v>732</v>
      </c>
      <c r="E1388" t="s">
        <v>731</v>
      </c>
      <c r="F1388" t="s">
        <v>46</v>
      </c>
      <c r="G1388" t="s">
        <v>733</v>
      </c>
      <c r="H1388" t="s">
        <v>22</v>
      </c>
      <c r="I1388" t="s">
        <v>734</v>
      </c>
      <c r="J1388" t="s">
        <v>735</v>
      </c>
      <c r="K1388" t="s">
        <v>2860</v>
      </c>
      <c r="L1388" t="s">
        <v>699</v>
      </c>
      <c r="M1388">
        <v>4</v>
      </c>
      <c r="N1388" t="s">
        <v>699</v>
      </c>
      <c r="O1388" t="s">
        <v>700</v>
      </c>
      <c r="P1388" t="s">
        <v>473</v>
      </c>
      <c r="Q1388" s="3">
        <v>19000000</v>
      </c>
      <c r="R1388" s="3">
        <v>19000000</v>
      </c>
      <c r="S1388" s="3">
        <v>0</v>
      </c>
    </row>
    <row r="1389" spans="1:19" x14ac:dyDescent="0.25">
      <c r="A1389">
        <v>900091143</v>
      </c>
      <c r="B1389" t="s">
        <v>17</v>
      </c>
      <c r="C1389" t="s">
        <v>736</v>
      </c>
      <c r="D1389" t="s">
        <v>737</v>
      </c>
      <c r="E1389" t="s">
        <v>736</v>
      </c>
      <c r="F1389" t="s">
        <v>46</v>
      </c>
      <c r="G1389" t="s">
        <v>738</v>
      </c>
      <c r="H1389" t="s">
        <v>22</v>
      </c>
      <c r="I1389" t="s">
        <v>739</v>
      </c>
      <c r="J1389" t="s">
        <v>740</v>
      </c>
      <c r="K1389" t="s">
        <v>2860</v>
      </c>
      <c r="L1389" t="s">
        <v>699</v>
      </c>
      <c r="M1389">
        <v>4</v>
      </c>
      <c r="N1389" t="s">
        <v>699</v>
      </c>
      <c r="O1389" t="s">
        <v>700</v>
      </c>
      <c r="P1389" t="s">
        <v>473</v>
      </c>
      <c r="Q1389" s="3">
        <v>19000000</v>
      </c>
      <c r="R1389" s="3">
        <v>19000000</v>
      </c>
      <c r="S1389" s="3">
        <v>0</v>
      </c>
    </row>
    <row r="1390" spans="1:19" x14ac:dyDescent="0.25">
      <c r="A1390">
        <v>900091143</v>
      </c>
      <c r="B1390" t="s">
        <v>17</v>
      </c>
      <c r="C1390" t="s">
        <v>741</v>
      </c>
      <c r="D1390" t="s">
        <v>742</v>
      </c>
      <c r="E1390" t="s">
        <v>741</v>
      </c>
      <c r="F1390" t="s">
        <v>46</v>
      </c>
      <c r="G1390" t="s">
        <v>743</v>
      </c>
      <c r="H1390" t="s">
        <v>22</v>
      </c>
      <c r="I1390" t="s">
        <v>744</v>
      </c>
      <c r="J1390" t="s">
        <v>745</v>
      </c>
      <c r="K1390" t="s">
        <v>50</v>
      </c>
      <c r="L1390" t="s">
        <v>699</v>
      </c>
      <c r="M1390">
        <v>4</v>
      </c>
      <c r="N1390" t="s">
        <v>699</v>
      </c>
      <c r="O1390" t="s">
        <v>700</v>
      </c>
      <c r="P1390" t="s">
        <v>53</v>
      </c>
      <c r="Q1390" s="3">
        <v>8000000</v>
      </c>
      <c r="R1390" s="3">
        <v>8000000</v>
      </c>
      <c r="S1390" s="3">
        <v>0</v>
      </c>
    </row>
    <row r="1391" spans="1:19" x14ac:dyDescent="0.25">
      <c r="A1391">
        <v>900091143</v>
      </c>
      <c r="B1391" t="s">
        <v>17</v>
      </c>
      <c r="C1391" t="s">
        <v>746</v>
      </c>
      <c r="D1391" t="s">
        <v>747</v>
      </c>
      <c r="E1391" t="s">
        <v>746</v>
      </c>
      <c r="F1391" t="s">
        <v>46</v>
      </c>
      <c r="G1391" t="s">
        <v>748</v>
      </c>
      <c r="H1391" t="s">
        <v>22</v>
      </c>
      <c r="I1391" t="s">
        <v>749</v>
      </c>
      <c r="J1391" t="s">
        <v>750</v>
      </c>
      <c r="K1391" t="s">
        <v>25</v>
      </c>
      <c r="L1391" t="s">
        <v>699</v>
      </c>
      <c r="M1391">
        <v>4</v>
      </c>
      <c r="N1391" t="s">
        <v>699</v>
      </c>
      <c r="O1391" t="s">
        <v>700</v>
      </c>
      <c r="P1391" t="s">
        <v>65</v>
      </c>
      <c r="Q1391" s="3">
        <v>30000000</v>
      </c>
      <c r="R1391" s="3">
        <v>30000000</v>
      </c>
      <c r="S1391" s="3">
        <v>0</v>
      </c>
    </row>
    <row r="1392" spans="1:19" x14ac:dyDescent="0.25">
      <c r="A1392">
        <v>900091143</v>
      </c>
      <c r="B1392" t="s">
        <v>17</v>
      </c>
      <c r="C1392" t="s">
        <v>751</v>
      </c>
      <c r="D1392" t="s">
        <v>752</v>
      </c>
      <c r="E1392" t="s">
        <v>751</v>
      </c>
      <c r="F1392" t="s">
        <v>46</v>
      </c>
      <c r="G1392" t="s">
        <v>753</v>
      </c>
      <c r="H1392" t="s">
        <v>22</v>
      </c>
      <c r="I1392" t="s">
        <v>754</v>
      </c>
      <c r="J1392" t="s">
        <v>755</v>
      </c>
      <c r="K1392" t="s">
        <v>168</v>
      </c>
      <c r="L1392" t="s">
        <v>699</v>
      </c>
      <c r="M1392">
        <v>4</v>
      </c>
      <c r="N1392" t="s">
        <v>699</v>
      </c>
      <c r="O1392" t="s">
        <v>700</v>
      </c>
      <c r="P1392" t="s">
        <v>313</v>
      </c>
      <c r="Q1392" s="3">
        <v>24000000</v>
      </c>
      <c r="R1392" s="3">
        <v>24000000</v>
      </c>
      <c r="S1392" s="3">
        <v>0</v>
      </c>
    </row>
    <row r="1393" spans="1:19" x14ac:dyDescent="0.25">
      <c r="A1393">
        <v>900091143</v>
      </c>
      <c r="B1393" t="s">
        <v>17</v>
      </c>
      <c r="C1393" t="s">
        <v>756</v>
      </c>
      <c r="D1393" t="s">
        <v>757</v>
      </c>
      <c r="E1393" t="s">
        <v>756</v>
      </c>
      <c r="F1393" t="s">
        <v>46</v>
      </c>
      <c r="G1393" t="s">
        <v>758</v>
      </c>
      <c r="H1393" t="s">
        <v>22</v>
      </c>
      <c r="I1393" t="s">
        <v>759</v>
      </c>
      <c r="J1393" t="s">
        <v>760</v>
      </c>
      <c r="K1393" t="s">
        <v>50</v>
      </c>
      <c r="L1393" t="s">
        <v>699</v>
      </c>
      <c r="M1393">
        <v>4</v>
      </c>
      <c r="N1393" t="s">
        <v>699</v>
      </c>
      <c r="O1393" t="s">
        <v>700</v>
      </c>
      <c r="P1393" t="s">
        <v>53</v>
      </c>
      <c r="Q1393" s="3">
        <v>8000000</v>
      </c>
      <c r="R1393" s="3">
        <v>8000000</v>
      </c>
      <c r="S1393" s="3">
        <v>0</v>
      </c>
    </row>
    <row r="1394" spans="1:19" x14ac:dyDescent="0.25">
      <c r="A1394">
        <v>900091143</v>
      </c>
      <c r="B1394" t="s">
        <v>17</v>
      </c>
      <c r="C1394" t="s">
        <v>761</v>
      </c>
      <c r="D1394" t="s">
        <v>762</v>
      </c>
      <c r="E1394" t="s">
        <v>761</v>
      </c>
      <c r="F1394" t="s">
        <v>46</v>
      </c>
      <c r="G1394" t="s">
        <v>763</v>
      </c>
      <c r="H1394" t="s">
        <v>22</v>
      </c>
      <c r="I1394" t="s">
        <v>764</v>
      </c>
      <c r="J1394" t="s">
        <v>765</v>
      </c>
      <c r="K1394" t="s">
        <v>2861</v>
      </c>
      <c r="L1394" t="s">
        <v>766</v>
      </c>
      <c r="M1394">
        <v>4</v>
      </c>
      <c r="N1394" t="s">
        <v>766</v>
      </c>
      <c r="O1394" t="s">
        <v>767</v>
      </c>
      <c r="P1394" t="s">
        <v>768</v>
      </c>
      <c r="Q1394" s="3">
        <v>8000000</v>
      </c>
      <c r="R1394" s="3">
        <v>8000000</v>
      </c>
      <c r="S1394" s="3">
        <v>0</v>
      </c>
    </row>
    <row r="1395" spans="1:19" x14ac:dyDescent="0.25">
      <c r="A1395">
        <v>900091143</v>
      </c>
      <c r="B1395" t="s">
        <v>17</v>
      </c>
      <c r="C1395" t="s">
        <v>769</v>
      </c>
      <c r="D1395" t="s">
        <v>770</v>
      </c>
      <c r="E1395" t="s">
        <v>769</v>
      </c>
      <c r="F1395" t="s">
        <v>375</v>
      </c>
      <c r="G1395" t="s">
        <v>771</v>
      </c>
      <c r="H1395" t="s">
        <v>22</v>
      </c>
      <c r="I1395" t="s">
        <v>772</v>
      </c>
      <c r="J1395" t="s">
        <v>773</v>
      </c>
      <c r="K1395" t="s">
        <v>32</v>
      </c>
      <c r="L1395" t="s">
        <v>774</v>
      </c>
      <c r="M1395">
        <v>1</v>
      </c>
      <c r="N1395" t="s">
        <v>774</v>
      </c>
      <c r="O1395" t="s">
        <v>775</v>
      </c>
      <c r="P1395" t="s">
        <v>776</v>
      </c>
      <c r="Q1395" s="3">
        <v>1500000</v>
      </c>
      <c r="R1395" s="3">
        <v>1500000</v>
      </c>
      <c r="S1395" s="3">
        <v>0</v>
      </c>
    </row>
    <row r="1396" spans="1:19" x14ac:dyDescent="0.25">
      <c r="A1396">
        <v>900091143</v>
      </c>
      <c r="B1396" t="s">
        <v>17</v>
      </c>
      <c r="C1396" t="s">
        <v>777</v>
      </c>
      <c r="D1396" t="s">
        <v>778</v>
      </c>
      <c r="E1396" t="s">
        <v>777</v>
      </c>
      <c r="F1396" t="s">
        <v>46</v>
      </c>
      <c r="G1396" t="s">
        <v>779</v>
      </c>
      <c r="H1396" t="s">
        <v>22</v>
      </c>
      <c r="I1396" t="s">
        <v>780</v>
      </c>
      <c r="J1396" t="s">
        <v>781</v>
      </c>
      <c r="K1396" t="s">
        <v>2860</v>
      </c>
      <c r="L1396" t="s">
        <v>782</v>
      </c>
      <c r="M1396">
        <v>4</v>
      </c>
      <c r="N1396" t="s">
        <v>782</v>
      </c>
      <c r="O1396" t="s">
        <v>783</v>
      </c>
      <c r="P1396" t="s">
        <v>473</v>
      </c>
      <c r="Q1396" s="3">
        <v>14250000</v>
      </c>
      <c r="R1396" s="3">
        <v>14250000</v>
      </c>
      <c r="S1396" s="3">
        <v>0</v>
      </c>
    </row>
    <row r="1397" spans="1:19" x14ac:dyDescent="0.25">
      <c r="A1397">
        <v>900091143</v>
      </c>
      <c r="B1397" t="s">
        <v>17</v>
      </c>
      <c r="C1397" t="s">
        <v>784</v>
      </c>
      <c r="D1397" t="s">
        <v>785</v>
      </c>
      <c r="E1397" t="s">
        <v>784</v>
      </c>
      <c r="F1397" t="s">
        <v>46</v>
      </c>
      <c r="G1397" t="s">
        <v>786</v>
      </c>
      <c r="H1397" t="s">
        <v>22</v>
      </c>
      <c r="I1397" t="s">
        <v>787</v>
      </c>
      <c r="J1397" t="s">
        <v>788</v>
      </c>
      <c r="K1397" t="s">
        <v>50</v>
      </c>
      <c r="L1397" t="s">
        <v>782</v>
      </c>
      <c r="M1397">
        <v>4</v>
      </c>
      <c r="N1397" t="s">
        <v>789</v>
      </c>
      <c r="O1397" t="s">
        <v>790</v>
      </c>
      <c r="P1397" t="s">
        <v>460</v>
      </c>
      <c r="Q1397" s="3">
        <v>6000000</v>
      </c>
      <c r="R1397" s="3">
        <v>6000000</v>
      </c>
      <c r="S1397" s="3">
        <v>0</v>
      </c>
    </row>
    <row r="1398" spans="1:19" x14ac:dyDescent="0.25">
      <c r="A1398">
        <v>900091143</v>
      </c>
      <c r="B1398" t="s">
        <v>17</v>
      </c>
      <c r="C1398" t="s">
        <v>791</v>
      </c>
      <c r="D1398" t="s">
        <v>792</v>
      </c>
      <c r="E1398" t="s">
        <v>791</v>
      </c>
      <c r="F1398" t="s">
        <v>46</v>
      </c>
      <c r="G1398" t="s">
        <v>793</v>
      </c>
      <c r="H1398" t="s">
        <v>22</v>
      </c>
      <c r="I1398" t="s">
        <v>794</v>
      </c>
      <c r="J1398" t="s">
        <v>795</v>
      </c>
      <c r="K1398" t="s">
        <v>50</v>
      </c>
      <c r="L1398" t="s">
        <v>789</v>
      </c>
      <c r="M1398">
        <v>4</v>
      </c>
      <c r="N1398" t="s">
        <v>789</v>
      </c>
      <c r="O1398" t="s">
        <v>790</v>
      </c>
      <c r="P1398" t="s">
        <v>460</v>
      </c>
      <c r="Q1398" s="3">
        <v>6000000</v>
      </c>
      <c r="R1398" s="3">
        <v>6000000</v>
      </c>
      <c r="S1398" s="3">
        <v>0</v>
      </c>
    </row>
    <row r="1399" spans="1:19" x14ac:dyDescent="0.25">
      <c r="A1399">
        <v>900091143</v>
      </c>
      <c r="B1399" t="s">
        <v>17</v>
      </c>
      <c r="C1399" t="s">
        <v>796</v>
      </c>
      <c r="D1399" t="s">
        <v>797</v>
      </c>
      <c r="E1399" t="s">
        <v>796</v>
      </c>
      <c r="F1399" t="s">
        <v>46</v>
      </c>
      <c r="G1399" t="s">
        <v>798</v>
      </c>
      <c r="H1399" t="s">
        <v>22</v>
      </c>
      <c r="I1399" t="s">
        <v>799</v>
      </c>
      <c r="J1399" t="s">
        <v>800</v>
      </c>
      <c r="K1399" t="s">
        <v>50</v>
      </c>
      <c r="L1399" t="s">
        <v>789</v>
      </c>
      <c r="M1399">
        <v>4</v>
      </c>
      <c r="N1399" t="s">
        <v>789</v>
      </c>
      <c r="O1399" t="s">
        <v>790</v>
      </c>
      <c r="P1399" t="s">
        <v>460</v>
      </c>
      <c r="Q1399" s="3">
        <v>6000000</v>
      </c>
      <c r="R1399" s="3">
        <v>6000000</v>
      </c>
      <c r="S1399" s="3">
        <v>0</v>
      </c>
    </row>
    <row r="1400" spans="1:19" x14ac:dyDescent="0.25">
      <c r="A1400">
        <v>900091143</v>
      </c>
      <c r="B1400" t="s">
        <v>17</v>
      </c>
      <c r="C1400" t="s">
        <v>801</v>
      </c>
      <c r="D1400" t="s">
        <v>802</v>
      </c>
      <c r="E1400" t="s">
        <v>801</v>
      </c>
      <c r="F1400" t="s">
        <v>46</v>
      </c>
      <c r="G1400" t="s">
        <v>803</v>
      </c>
      <c r="H1400" t="s">
        <v>22</v>
      </c>
      <c r="I1400" t="s">
        <v>804</v>
      </c>
      <c r="J1400" t="s">
        <v>805</v>
      </c>
      <c r="K1400" t="s">
        <v>50</v>
      </c>
      <c r="L1400" t="s">
        <v>789</v>
      </c>
      <c r="M1400">
        <v>4</v>
      </c>
      <c r="N1400" t="s">
        <v>789</v>
      </c>
      <c r="O1400" t="s">
        <v>790</v>
      </c>
      <c r="P1400" t="s">
        <v>460</v>
      </c>
      <c r="Q1400" s="3">
        <v>6000000</v>
      </c>
      <c r="R1400" s="3">
        <v>6000000</v>
      </c>
      <c r="S1400" s="3">
        <v>0</v>
      </c>
    </row>
    <row r="1401" spans="1:19" x14ac:dyDescent="0.25">
      <c r="A1401">
        <v>900091143</v>
      </c>
      <c r="B1401" t="s">
        <v>17</v>
      </c>
      <c r="C1401" t="s">
        <v>806</v>
      </c>
      <c r="D1401" t="s">
        <v>807</v>
      </c>
      <c r="E1401" t="s">
        <v>806</v>
      </c>
      <c r="F1401" t="s">
        <v>46</v>
      </c>
      <c r="G1401" t="s">
        <v>808</v>
      </c>
      <c r="H1401" t="s">
        <v>22</v>
      </c>
      <c r="I1401" t="s">
        <v>809</v>
      </c>
      <c r="J1401" t="s">
        <v>810</v>
      </c>
      <c r="K1401" t="s">
        <v>50</v>
      </c>
      <c r="L1401" t="s">
        <v>789</v>
      </c>
      <c r="M1401">
        <v>4</v>
      </c>
      <c r="N1401" t="s">
        <v>789</v>
      </c>
      <c r="O1401" t="s">
        <v>790</v>
      </c>
      <c r="P1401" t="s">
        <v>460</v>
      </c>
      <c r="Q1401" s="3">
        <v>6000000</v>
      </c>
      <c r="R1401" s="3">
        <v>6000000</v>
      </c>
      <c r="S1401" s="3">
        <v>0</v>
      </c>
    </row>
    <row r="1402" spans="1:19" x14ac:dyDescent="0.25">
      <c r="A1402">
        <v>900091143</v>
      </c>
      <c r="B1402" t="s">
        <v>17</v>
      </c>
      <c r="C1402" t="s">
        <v>811</v>
      </c>
      <c r="D1402" t="s">
        <v>812</v>
      </c>
      <c r="E1402" t="s">
        <v>811</v>
      </c>
      <c r="F1402" t="s">
        <v>46</v>
      </c>
      <c r="G1402" t="s">
        <v>813</v>
      </c>
      <c r="H1402" t="s">
        <v>22</v>
      </c>
      <c r="I1402" t="s">
        <v>814</v>
      </c>
      <c r="J1402" t="s">
        <v>815</v>
      </c>
      <c r="K1402" t="s">
        <v>50</v>
      </c>
      <c r="L1402" t="s">
        <v>816</v>
      </c>
      <c r="M1402">
        <v>4</v>
      </c>
      <c r="N1402" t="s">
        <v>816</v>
      </c>
      <c r="O1402" t="s">
        <v>817</v>
      </c>
      <c r="P1402" t="s">
        <v>460</v>
      </c>
      <c r="Q1402" s="3">
        <v>6000000</v>
      </c>
      <c r="R1402" s="3">
        <v>6000000</v>
      </c>
      <c r="S1402" s="3">
        <v>0</v>
      </c>
    </row>
    <row r="1403" spans="1:19" x14ac:dyDescent="0.25">
      <c r="A1403">
        <v>900091143</v>
      </c>
      <c r="B1403" t="s">
        <v>17</v>
      </c>
      <c r="C1403" t="s">
        <v>818</v>
      </c>
      <c r="D1403" t="s">
        <v>819</v>
      </c>
      <c r="E1403" t="s">
        <v>818</v>
      </c>
      <c r="F1403" t="s">
        <v>46</v>
      </c>
      <c r="G1403" t="s">
        <v>820</v>
      </c>
      <c r="H1403" t="s">
        <v>22</v>
      </c>
      <c r="I1403" t="s">
        <v>821</v>
      </c>
      <c r="J1403" t="s">
        <v>822</v>
      </c>
      <c r="K1403" t="s">
        <v>2861</v>
      </c>
      <c r="L1403" t="s">
        <v>816</v>
      </c>
      <c r="M1403">
        <v>4</v>
      </c>
      <c r="N1403" t="s">
        <v>816</v>
      </c>
      <c r="O1403" t="s">
        <v>817</v>
      </c>
      <c r="P1403" t="s">
        <v>823</v>
      </c>
      <c r="Q1403" s="3">
        <v>6000000</v>
      </c>
      <c r="R1403" s="3">
        <v>6000000</v>
      </c>
      <c r="S1403" s="3">
        <v>0</v>
      </c>
    </row>
    <row r="1404" spans="1:19" x14ac:dyDescent="0.25">
      <c r="A1404">
        <v>900091143</v>
      </c>
      <c r="B1404" t="s">
        <v>17</v>
      </c>
      <c r="C1404" t="s">
        <v>824</v>
      </c>
      <c r="D1404" t="s">
        <v>825</v>
      </c>
      <c r="E1404" t="s">
        <v>824</v>
      </c>
      <c r="F1404" t="s">
        <v>46</v>
      </c>
      <c r="G1404" t="s">
        <v>826</v>
      </c>
      <c r="H1404" t="s">
        <v>22</v>
      </c>
      <c r="I1404" t="s">
        <v>827</v>
      </c>
      <c r="J1404" t="s">
        <v>828</v>
      </c>
      <c r="K1404" t="s">
        <v>50</v>
      </c>
      <c r="L1404" t="s">
        <v>829</v>
      </c>
      <c r="M1404">
        <v>4</v>
      </c>
      <c r="N1404" t="s">
        <v>830</v>
      </c>
      <c r="O1404" t="s">
        <v>831</v>
      </c>
      <c r="P1404" t="s">
        <v>460</v>
      </c>
      <c r="Q1404" s="3">
        <v>6000000</v>
      </c>
      <c r="R1404" s="3">
        <v>6000000</v>
      </c>
      <c r="S1404" s="3">
        <v>0</v>
      </c>
    </row>
    <row r="1405" spans="1:19" x14ac:dyDescent="0.25">
      <c r="A1405">
        <v>900091143</v>
      </c>
      <c r="B1405" t="s">
        <v>17</v>
      </c>
      <c r="C1405" t="s">
        <v>832</v>
      </c>
      <c r="D1405" t="s">
        <v>833</v>
      </c>
      <c r="E1405" t="s">
        <v>832</v>
      </c>
      <c r="F1405" t="s">
        <v>46</v>
      </c>
      <c r="G1405" t="s">
        <v>834</v>
      </c>
      <c r="H1405" t="s">
        <v>22</v>
      </c>
      <c r="I1405" t="s">
        <v>835</v>
      </c>
      <c r="J1405" t="s">
        <v>836</v>
      </c>
      <c r="K1405" t="s">
        <v>50</v>
      </c>
      <c r="L1405" t="s">
        <v>829</v>
      </c>
      <c r="M1405">
        <v>4</v>
      </c>
      <c r="N1405" t="s">
        <v>830</v>
      </c>
      <c r="O1405" t="s">
        <v>831</v>
      </c>
      <c r="P1405" t="s">
        <v>460</v>
      </c>
      <c r="Q1405" s="3">
        <v>6000000</v>
      </c>
      <c r="R1405" s="3">
        <v>6000000</v>
      </c>
      <c r="S1405" s="3">
        <v>0</v>
      </c>
    </row>
    <row r="1406" spans="1:19" x14ac:dyDescent="0.25">
      <c r="A1406">
        <v>900091143</v>
      </c>
      <c r="B1406" t="s">
        <v>17</v>
      </c>
      <c r="C1406" t="s">
        <v>837</v>
      </c>
      <c r="D1406" t="s">
        <v>838</v>
      </c>
      <c r="E1406" t="s">
        <v>837</v>
      </c>
      <c r="F1406" t="s">
        <v>46</v>
      </c>
      <c r="G1406" t="s">
        <v>839</v>
      </c>
      <c r="H1406" t="s">
        <v>22</v>
      </c>
      <c r="I1406" t="s">
        <v>840</v>
      </c>
      <c r="J1406" t="s">
        <v>841</v>
      </c>
      <c r="K1406" t="s">
        <v>2860</v>
      </c>
      <c r="L1406" t="s">
        <v>830</v>
      </c>
      <c r="M1406">
        <v>4</v>
      </c>
      <c r="N1406" t="s">
        <v>830</v>
      </c>
      <c r="O1406" t="s">
        <v>831</v>
      </c>
      <c r="P1406" t="s">
        <v>473</v>
      </c>
      <c r="Q1406" s="3">
        <v>14250000</v>
      </c>
      <c r="R1406" s="3">
        <v>14250000</v>
      </c>
      <c r="S1406" s="3">
        <v>0</v>
      </c>
    </row>
    <row r="1407" spans="1:19" x14ac:dyDescent="0.25">
      <c r="A1407">
        <v>900091143</v>
      </c>
      <c r="B1407" t="s">
        <v>17</v>
      </c>
      <c r="C1407" t="s">
        <v>842</v>
      </c>
      <c r="D1407" t="s">
        <v>843</v>
      </c>
      <c r="E1407" t="s">
        <v>842</v>
      </c>
      <c r="F1407" t="s">
        <v>46</v>
      </c>
      <c r="G1407" t="s">
        <v>844</v>
      </c>
      <c r="H1407" t="s">
        <v>22</v>
      </c>
      <c r="I1407" t="s">
        <v>845</v>
      </c>
      <c r="J1407" t="s">
        <v>846</v>
      </c>
      <c r="K1407" t="s">
        <v>71</v>
      </c>
      <c r="L1407" t="s">
        <v>847</v>
      </c>
      <c r="M1407">
        <v>4</v>
      </c>
      <c r="N1407" t="s">
        <v>847</v>
      </c>
      <c r="O1407" t="s">
        <v>848</v>
      </c>
      <c r="P1407" t="s">
        <v>72</v>
      </c>
      <c r="Q1407" s="3">
        <v>14476800</v>
      </c>
      <c r="R1407" s="3">
        <v>14476800</v>
      </c>
      <c r="S1407" s="3">
        <v>0</v>
      </c>
    </row>
    <row r="1408" spans="1:19" x14ac:dyDescent="0.25">
      <c r="A1408">
        <v>900091143</v>
      </c>
      <c r="B1408" t="s">
        <v>17</v>
      </c>
      <c r="C1408" t="s">
        <v>849</v>
      </c>
      <c r="D1408" t="s">
        <v>850</v>
      </c>
      <c r="E1408" t="s">
        <v>849</v>
      </c>
      <c r="F1408" t="s">
        <v>46</v>
      </c>
      <c r="G1408" t="s">
        <v>851</v>
      </c>
      <c r="H1408" t="s">
        <v>22</v>
      </c>
      <c r="I1408" t="s">
        <v>852</v>
      </c>
      <c r="J1408" t="s">
        <v>853</v>
      </c>
      <c r="K1408" t="s">
        <v>2860</v>
      </c>
      <c r="L1408" t="s">
        <v>847</v>
      </c>
      <c r="M1408">
        <v>4</v>
      </c>
      <c r="N1408" t="s">
        <v>847</v>
      </c>
      <c r="O1408" t="s">
        <v>848</v>
      </c>
      <c r="P1408" t="s">
        <v>473</v>
      </c>
      <c r="Q1408" s="3">
        <v>14250000</v>
      </c>
      <c r="R1408" s="3">
        <v>14250000</v>
      </c>
      <c r="S1408" s="3">
        <v>0</v>
      </c>
    </row>
    <row r="1409" spans="1:19" x14ac:dyDescent="0.25">
      <c r="A1409">
        <v>900091143</v>
      </c>
      <c r="B1409" t="s">
        <v>17</v>
      </c>
      <c r="C1409" t="s">
        <v>854</v>
      </c>
      <c r="D1409" t="s">
        <v>855</v>
      </c>
      <c r="E1409" t="s">
        <v>854</v>
      </c>
      <c r="F1409" t="s">
        <v>46</v>
      </c>
      <c r="G1409" t="s">
        <v>856</v>
      </c>
      <c r="H1409" t="s">
        <v>22</v>
      </c>
      <c r="I1409" t="s">
        <v>857</v>
      </c>
      <c r="J1409" t="s">
        <v>858</v>
      </c>
      <c r="K1409" t="s">
        <v>168</v>
      </c>
      <c r="L1409" t="s">
        <v>859</v>
      </c>
      <c r="M1409">
        <v>4</v>
      </c>
      <c r="N1409" t="s">
        <v>859</v>
      </c>
      <c r="O1409" t="s">
        <v>860</v>
      </c>
      <c r="P1409" t="s">
        <v>313</v>
      </c>
      <c r="Q1409" s="3">
        <v>18000000</v>
      </c>
      <c r="R1409" s="3">
        <v>18000000</v>
      </c>
      <c r="S1409" s="3">
        <v>0</v>
      </c>
    </row>
    <row r="1410" spans="1:19" x14ac:dyDescent="0.25">
      <c r="A1410">
        <v>900091143</v>
      </c>
      <c r="B1410" t="s">
        <v>17</v>
      </c>
      <c r="C1410" t="s">
        <v>861</v>
      </c>
      <c r="D1410" t="s">
        <v>862</v>
      </c>
      <c r="E1410" t="s">
        <v>861</v>
      </c>
      <c r="F1410" t="s">
        <v>46</v>
      </c>
      <c r="G1410" t="s">
        <v>863</v>
      </c>
      <c r="H1410" t="s">
        <v>22</v>
      </c>
      <c r="I1410" t="s">
        <v>864</v>
      </c>
      <c r="J1410" t="s">
        <v>865</v>
      </c>
      <c r="K1410" t="s">
        <v>25</v>
      </c>
      <c r="L1410" t="s">
        <v>866</v>
      </c>
      <c r="M1410">
        <v>4</v>
      </c>
      <c r="N1410" t="s">
        <v>866</v>
      </c>
      <c r="O1410" t="s">
        <v>867</v>
      </c>
      <c r="P1410" t="s">
        <v>393</v>
      </c>
      <c r="Q1410" s="3">
        <v>22500000</v>
      </c>
      <c r="R1410" s="3">
        <v>22500000</v>
      </c>
      <c r="S1410" s="3">
        <v>0</v>
      </c>
    </row>
    <row r="1411" spans="1:19" x14ac:dyDescent="0.25">
      <c r="A1411">
        <v>900091143</v>
      </c>
      <c r="B1411" t="s">
        <v>17</v>
      </c>
      <c r="C1411" t="s">
        <v>868</v>
      </c>
      <c r="D1411" t="s">
        <v>869</v>
      </c>
      <c r="E1411" t="s">
        <v>868</v>
      </c>
      <c r="F1411" t="s">
        <v>46</v>
      </c>
      <c r="G1411" t="s">
        <v>870</v>
      </c>
      <c r="H1411" t="s">
        <v>22</v>
      </c>
      <c r="I1411" t="s">
        <v>871</v>
      </c>
      <c r="J1411" t="s">
        <v>872</v>
      </c>
      <c r="K1411" t="s">
        <v>168</v>
      </c>
      <c r="L1411" t="s">
        <v>866</v>
      </c>
      <c r="M1411">
        <v>4</v>
      </c>
      <c r="N1411" t="s">
        <v>866</v>
      </c>
      <c r="O1411" t="s">
        <v>867</v>
      </c>
      <c r="P1411" t="s">
        <v>313</v>
      </c>
      <c r="Q1411" s="3">
        <v>18000000</v>
      </c>
      <c r="R1411" s="3">
        <v>18000000</v>
      </c>
      <c r="S1411" s="3">
        <v>0</v>
      </c>
    </row>
    <row r="1412" spans="1:19" x14ac:dyDescent="0.25">
      <c r="A1412">
        <v>900091143</v>
      </c>
      <c r="B1412" t="s">
        <v>17</v>
      </c>
      <c r="C1412" t="s">
        <v>873</v>
      </c>
      <c r="D1412" t="s">
        <v>874</v>
      </c>
      <c r="E1412" t="s">
        <v>873</v>
      </c>
      <c r="F1412" t="s">
        <v>46</v>
      </c>
      <c r="G1412" t="s">
        <v>875</v>
      </c>
      <c r="H1412" t="s">
        <v>22</v>
      </c>
      <c r="I1412" t="s">
        <v>876</v>
      </c>
      <c r="J1412" t="s">
        <v>877</v>
      </c>
      <c r="K1412" t="s">
        <v>50</v>
      </c>
      <c r="L1412" t="s">
        <v>866</v>
      </c>
      <c r="M1412">
        <v>4</v>
      </c>
      <c r="N1412" t="s">
        <v>866</v>
      </c>
      <c r="O1412" t="s">
        <v>867</v>
      </c>
      <c r="P1412" t="s">
        <v>53</v>
      </c>
      <c r="Q1412" s="3">
        <v>6000000</v>
      </c>
      <c r="R1412" s="3">
        <v>6000000</v>
      </c>
      <c r="S1412" s="3">
        <v>0</v>
      </c>
    </row>
    <row r="1413" spans="1:19" x14ac:dyDescent="0.25">
      <c r="A1413">
        <v>900091143</v>
      </c>
      <c r="B1413" t="s">
        <v>17</v>
      </c>
      <c r="C1413" t="s">
        <v>878</v>
      </c>
      <c r="D1413" t="s">
        <v>879</v>
      </c>
      <c r="E1413" t="s">
        <v>878</v>
      </c>
      <c r="F1413" t="s">
        <v>46</v>
      </c>
      <c r="G1413" t="s">
        <v>880</v>
      </c>
      <c r="H1413" t="s">
        <v>22</v>
      </c>
      <c r="I1413" t="s">
        <v>881</v>
      </c>
      <c r="J1413" t="s">
        <v>882</v>
      </c>
      <c r="K1413" t="s">
        <v>168</v>
      </c>
      <c r="L1413" t="s">
        <v>866</v>
      </c>
      <c r="M1413">
        <v>4</v>
      </c>
      <c r="N1413" t="s">
        <v>866</v>
      </c>
      <c r="O1413" t="s">
        <v>867</v>
      </c>
      <c r="P1413" t="s">
        <v>313</v>
      </c>
      <c r="Q1413" s="3">
        <v>18000000</v>
      </c>
      <c r="R1413" s="3">
        <v>18000000</v>
      </c>
      <c r="S1413" s="3">
        <v>0</v>
      </c>
    </row>
    <row r="1414" spans="1:19" x14ac:dyDescent="0.25">
      <c r="A1414">
        <v>900091143</v>
      </c>
      <c r="B1414" t="s">
        <v>17</v>
      </c>
      <c r="C1414" t="s">
        <v>883</v>
      </c>
      <c r="D1414" t="s">
        <v>884</v>
      </c>
      <c r="E1414" t="s">
        <v>883</v>
      </c>
      <c r="F1414" t="s">
        <v>46</v>
      </c>
      <c r="G1414" t="s">
        <v>885</v>
      </c>
      <c r="H1414" t="s">
        <v>22</v>
      </c>
      <c r="I1414" t="s">
        <v>886</v>
      </c>
      <c r="J1414" t="s">
        <v>887</v>
      </c>
      <c r="K1414" t="s">
        <v>25</v>
      </c>
      <c r="L1414" t="s">
        <v>888</v>
      </c>
      <c r="M1414">
        <v>4</v>
      </c>
      <c r="N1414" t="s">
        <v>888</v>
      </c>
      <c r="O1414" t="s">
        <v>889</v>
      </c>
      <c r="P1414" t="s">
        <v>393</v>
      </c>
      <c r="Q1414" s="3">
        <v>22500000</v>
      </c>
      <c r="R1414" s="3">
        <v>22500000</v>
      </c>
      <c r="S1414" s="3">
        <v>0</v>
      </c>
    </row>
    <row r="1415" spans="1:19" x14ac:dyDescent="0.25">
      <c r="A1415">
        <v>900091143</v>
      </c>
      <c r="B1415" t="s">
        <v>17</v>
      </c>
      <c r="C1415" t="s">
        <v>890</v>
      </c>
      <c r="D1415" t="s">
        <v>891</v>
      </c>
      <c r="E1415" t="s">
        <v>890</v>
      </c>
      <c r="F1415" t="s">
        <v>46</v>
      </c>
      <c r="G1415" t="s">
        <v>892</v>
      </c>
      <c r="H1415" t="s">
        <v>22</v>
      </c>
      <c r="I1415" t="s">
        <v>893</v>
      </c>
      <c r="J1415" t="s">
        <v>894</v>
      </c>
      <c r="K1415" t="s">
        <v>168</v>
      </c>
      <c r="L1415" t="s">
        <v>888</v>
      </c>
      <c r="M1415">
        <v>3</v>
      </c>
      <c r="N1415" t="s">
        <v>888</v>
      </c>
      <c r="O1415" t="s">
        <v>895</v>
      </c>
      <c r="P1415" t="s">
        <v>313</v>
      </c>
      <c r="Q1415" s="3">
        <v>18000000</v>
      </c>
      <c r="R1415" s="3">
        <v>18000000</v>
      </c>
      <c r="S1415" s="3">
        <v>0</v>
      </c>
    </row>
    <row r="1416" spans="1:19" x14ac:dyDescent="0.25">
      <c r="A1416">
        <v>900091143</v>
      </c>
      <c r="B1416" t="s">
        <v>17</v>
      </c>
      <c r="C1416" t="s">
        <v>896</v>
      </c>
      <c r="D1416" t="s">
        <v>897</v>
      </c>
      <c r="E1416" t="s">
        <v>896</v>
      </c>
      <c r="F1416" t="s">
        <v>46</v>
      </c>
      <c r="G1416" t="s">
        <v>898</v>
      </c>
      <c r="H1416" t="s">
        <v>22</v>
      </c>
      <c r="I1416" t="s">
        <v>899</v>
      </c>
      <c r="J1416" t="s">
        <v>900</v>
      </c>
      <c r="K1416" t="s">
        <v>168</v>
      </c>
      <c r="L1416" t="s">
        <v>888</v>
      </c>
      <c r="M1416">
        <v>4</v>
      </c>
      <c r="N1416" t="s">
        <v>888</v>
      </c>
      <c r="O1416" t="s">
        <v>889</v>
      </c>
      <c r="P1416" t="s">
        <v>313</v>
      </c>
      <c r="Q1416" s="3">
        <v>18000000</v>
      </c>
      <c r="R1416" s="3">
        <v>18000000</v>
      </c>
      <c r="S1416" s="3">
        <v>0</v>
      </c>
    </row>
    <row r="1417" spans="1:19" x14ac:dyDescent="0.25">
      <c r="A1417">
        <v>900091143</v>
      </c>
      <c r="B1417" t="s">
        <v>17</v>
      </c>
      <c r="C1417" t="s">
        <v>901</v>
      </c>
      <c r="D1417" t="s">
        <v>902</v>
      </c>
      <c r="E1417" t="s">
        <v>901</v>
      </c>
      <c r="F1417" t="s">
        <v>46</v>
      </c>
      <c r="G1417" t="s">
        <v>903</v>
      </c>
      <c r="H1417" t="s">
        <v>22</v>
      </c>
      <c r="I1417" t="s">
        <v>904</v>
      </c>
      <c r="J1417" t="s">
        <v>905</v>
      </c>
      <c r="K1417" t="s">
        <v>168</v>
      </c>
      <c r="L1417" t="s">
        <v>888</v>
      </c>
      <c r="M1417">
        <v>4</v>
      </c>
      <c r="N1417" t="s">
        <v>888</v>
      </c>
      <c r="O1417" t="s">
        <v>889</v>
      </c>
      <c r="P1417" t="s">
        <v>313</v>
      </c>
      <c r="Q1417" s="3">
        <v>18000000</v>
      </c>
      <c r="R1417" s="3">
        <v>18000000</v>
      </c>
      <c r="S1417" s="3">
        <v>0</v>
      </c>
    </row>
    <row r="1418" spans="1:19" x14ac:dyDescent="0.25">
      <c r="A1418">
        <v>900091143</v>
      </c>
      <c r="B1418" t="s">
        <v>17</v>
      </c>
      <c r="C1418" t="s">
        <v>906</v>
      </c>
      <c r="D1418" t="s">
        <v>907</v>
      </c>
      <c r="E1418" t="s">
        <v>906</v>
      </c>
      <c r="F1418" t="s">
        <v>46</v>
      </c>
      <c r="G1418" t="s">
        <v>908</v>
      </c>
      <c r="H1418" t="s">
        <v>22</v>
      </c>
      <c r="I1418" t="s">
        <v>909</v>
      </c>
      <c r="J1418" t="s">
        <v>910</v>
      </c>
      <c r="K1418" t="s">
        <v>25</v>
      </c>
      <c r="L1418" t="s">
        <v>888</v>
      </c>
      <c r="M1418">
        <v>4</v>
      </c>
      <c r="N1418" t="s">
        <v>888</v>
      </c>
      <c r="O1418" t="s">
        <v>889</v>
      </c>
      <c r="P1418" t="s">
        <v>393</v>
      </c>
      <c r="Q1418" s="3">
        <v>22500000</v>
      </c>
      <c r="R1418" s="3">
        <v>22500000</v>
      </c>
      <c r="S1418" s="3">
        <v>0</v>
      </c>
    </row>
    <row r="1419" spans="1:19" x14ac:dyDescent="0.25">
      <c r="A1419">
        <v>900091143</v>
      </c>
      <c r="B1419" t="s">
        <v>17</v>
      </c>
      <c r="C1419" t="s">
        <v>911</v>
      </c>
      <c r="D1419" t="s">
        <v>912</v>
      </c>
      <c r="E1419" t="s">
        <v>911</v>
      </c>
      <c r="F1419" t="s">
        <v>46</v>
      </c>
      <c r="G1419" t="s">
        <v>913</v>
      </c>
      <c r="H1419" t="s">
        <v>22</v>
      </c>
      <c r="I1419" t="s">
        <v>914</v>
      </c>
      <c r="J1419" t="s">
        <v>915</v>
      </c>
      <c r="K1419" t="s">
        <v>50</v>
      </c>
      <c r="L1419" t="s">
        <v>888</v>
      </c>
      <c r="M1419">
        <v>4</v>
      </c>
      <c r="N1419" t="s">
        <v>888</v>
      </c>
      <c r="O1419" t="s">
        <v>889</v>
      </c>
      <c r="P1419" t="s">
        <v>460</v>
      </c>
      <c r="Q1419" s="3">
        <v>6000000</v>
      </c>
      <c r="R1419" s="3">
        <v>6000000</v>
      </c>
      <c r="S1419" s="3">
        <v>0</v>
      </c>
    </row>
    <row r="1420" spans="1:19" x14ac:dyDescent="0.25">
      <c r="A1420">
        <v>900091143</v>
      </c>
      <c r="B1420" t="s">
        <v>17</v>
      </c>
      <c r="C1420" t="s">
        <v>916</v>
      </c>
      <c r="D1420" t="s">
        <v>917</v>
      </c>
      <c r="E1420" t="s">
        <v>916</v>
      </c>
      <c r="F1420" t="s">
        <v>46</v>
      </c>
      <c r="G1420" t="s">
        <v>918</v>
      </c>
      <c r="H1420" t="s">
        <v>22</v>
      </c>
      <c r="I1420" t="s">
        <v>919</v>
      </c>
      <c r="J1420" t="s">
        <v>920</v>
      </c>
      <c r="K1420" t="s">
        <v>50</v>
      </c>
      <c r="L1420" t="s">
        <v>888</v>
      </c>
      <c r="M1420">
        <v>4</v>
      </c>
      <c r="N1420" t="s">
        <v>888</v>
      </c>
      <c r="O1420" t="s">
        <v>889</v>
      </c>
      <c r="P1420" t="s">
        <v>53</v>
      </c>
      <c r="Q1420" s="3">
        <v>6000000</v>
      </c>
      <c r="R1420" s="3">
        <v>6000000</v>
      </c>
      <c r="S1420" s="3">
        <v>0</v>
      </c>
    </row>
    <row r="1421" spans="1:19" x14ac:dyDescent="0.25">
      <c r="A1421">
        <v>900091143</v>
      </c>
      <c r="B1421" t="s">
        <v>17</v>
      </c>
      <c r="C1421" t="s">
        <v>921</v>
      </c>
      <c r="D1421" t="s">
        <v>922</v>
      </c>
      <c r="E1421" t="s">
        <v>921</v>
      </c>
      <c r="F1421" t="s">
        <v>46</v>
      </c>
      <c r="G1421" t="s">
        <v>923</v>
      </c>
      <c r="H1421" t="s">
        <v>22</v>
      </c>
      <c r="I1421" t="s">
        <v>924</v>
      </c>
      <c r="J1421" t="s">
        <v>925</v>
      </c>
      <c r="K1421" t="s">
        <v>50</v>
      </c>
      <c r="L1421" t="s">
        <v>888</v>
      </c>
      <c r="M1421">
        <v>4</v>
      </c>
      <c r="N1421" t="s">
        <v>888</v>
      </c>
      <c r="O1421" t="s">
        <v>889</v>
      </c>
      <c r="P1421" t="s">
        <v>460</v>
      </c>
      <c r="Q1421" s="3">
        <v>6000000</v>
      </c>
      <c r="R1421" s="3">
        <v>6000000</v>
      </c>
      <c r="S1421" s="3">
        <v>0</v>
      </c>
    </row>
    <row r="1422" spans="1:19" x14ac:dyDescent="0.25">
      <c r="A1422">
        <v>900091143</v>
      </c>
      <c r="B1422" t="s">
        <v>17</v>
      </c>
      <c r="C1422" t="s">
        <v>926</v>
      </c>
      <c r="D1422" t="s">
        <v>927</v>
      </c>
      <c r="E1422" t="s">
        <v>926</v>
      </c>
      <c r="F1422" t="s">
        <v>46</v>
      </c>
      <c r="G1422" t="s">
        <v>928</v>
      </c>
      <c r="H1422" t="s">
        <v>22</v>
      </c>
      <c r="I1422" t="s">
        <v>929</v>
      </c>
      <c r="J1422" t="s">
        <v>930</v>
      </c>
      <c r="K1422" t="s">
        <v>50</v>
      </c>
      <c r="L1422" t="s">
        <v>775</v>
      </c>
      <c r="M1422">
        <v>4</v>
      </c>
      <c r="N1422" t="s">
        <v>775</v>
      </c>
      <c r="O1422" t="s">
        <v>931</v>
      </c>
      <c r="P1422" t="s">
        <v>53</v>
      </c>
      <c r="Q1422" s="3">
        <v>6000000</v>
      </c>
      <c r="R1422" s="3">
        <v>6000000</v>
      </c>
      <c r="S1422" s="3">
        <v>0</v>
      </c>
    </row>
    <row r="1423" spans="1:19" x14ac:dyDescent="0.25">
      <c r="A1423">
        <v>900091143</v>
      </c>
      <c r="B1423" t="s">
        <v>17</v>
      </c>
      <c r="C1423" t="s">
        <v>932</v>
      </c>
      <c r="D1423" t="s">
        <v>933</v>
      </c>
      <c r="E1423" t="s">
        <v>932</v>
      </c>
      <c r="F1423" t="s">
        <v>46</v>
      </c>
      <c r="G1423" t="s">
        <v>934</v>
      </c>
      <c r="H1423" t="s">
        <v>22</v>
      </c>
      <c r="I1423" t="s">
        <v>935</v>
      </c>
      <c r="J1423" t="s">
        <v>936</v>
      </c>
      <c r="K1423" t="s">
        <v>71</v>
      </c>
      <c r="L1423" t="s">
        <v>775</v>
      </c>
      <c r="M1423">
        <v>4</v>
      </c>
      <c r="N1423" t="s">
        <v>775</v>
      </c>
      <c r="O1423" t="s">
        <v>931</v>
      </c>
      <c r="P1423" t="s">
        <v>72</v>
      </c>
      <c r="Q1423" s="3">
        <v>14476800</v>
      </c>
      <c r="R1423" s="3">
        <v>14476800</v>
      </c>
      <c r="S1423" s="3">
        <v>0</v>
      </c>
    </row>
    <row r="1424" spans="1:19" x14ac:dyDescent="0.25">
      <c r="A1424">
        <v>900091143</v>
      </c>
      <c r="B1424" t="s">
        <v>17</v>
      </c>
      <c r="C1424" t="s">
        <v>937</v>
      </c>
      <c r="D1424" t="s">
        <v>938</v>
      </c>
      <c r="E1424" t="s">
        <v>937</v>
      </c>
      <c r="F1424" t="s">
        <v>46</v>
      </c>
      <c r="G1424" t="s">
        <v>939</v>
      </c>
      <c r="H1424" t="s">
        <v>22</v>
      </c>
      <c r="I1424" t="s">
        <v>940</v>
      </c>
      <c r="J1424" t="s">
        <v>941</v>
      </c>
      <c r="K1424" t="s">
        <v>2860</v>
      </c>
      <c r="L1424" t="s">
        <v>775</v>
      </c>
      <c r="M1424">
        <v>4</v>
      </c>
      <c r="N1424" t="s">
        <v>775</v>
      </c>
      <c r="O1424" t="s">
        <v>931</v>
      </c>
      <c r="P1424" t="s">
        <v>473</v>
      </c>
      <c r="Q1424" s="3">
        <v>14250000</v>
      </c>
      <c r="R1424" s="3">
        <v>14250000</v>
      </c>
      <c r="S1424" s="3">
        <v>0</v>
      </c>
    </row>
    <row r="1425" spans="1:19" x14ac:dyDescent="0.25">
      <c r="A1425">
        <v>900091143</v>
      </c>
      <c r="B1425" t="s">
        <v>17</v>
      </c>
      <c r="C1425" t="s">
        <v>942</v>
      </c>
      <c r="D1425" t="s">
        <v>943</v>
      </c>
      <c r="E1425" t="s">
        <v>942</v>
      </c>
      <c r="F1425" t="s">
        <v>46</v>
      </c>
      <c r="G1425" t="s">
        <v>944</v>
      </c>
      <c r="H1425" t="s">
        <v>22</v>
      </c>
      <c r="I1425" t="s">
        <v>945</v>
      </c>
      <c r="J1425" t="s">
        <v>946</v>
      </c>
      <c r="K1425" t="s">
        <v>50</v>
      </c>
      <c r="L1425" t="s">
        <v>947</v>
      </c>
      <c r="M1425">
        <v>4</v>
      </c>
      <c r="N1425" t="s">
        <v>947</v>
      </c>
      <c r="O1425" t="s">
        <v>948</v>
      </c>
      <c r="P1425" t="s">
        <v>460</v>
      </c>
      <c r="Q1425" s="3">
        <v>6000000</v>
      </c>
      <c r="R1425" s="3">
        <v>6000000</v>
      </c>
      <c r="S1425" s="3">
        <v>0</v>
      </c>
    </row>
    <row r="1426" spans="1:19" x14ac:dyDescent="0.25">
      <c r="A1426">
        <v>900091143</v>
      </c>
      <c r="B1426" t="s">
        <v>17</v>
      </c>
      <c r="C1426" t="s">
        <v>949</v>
      </c>
      <c r="D1426" t="s">
        <v>950</v>
      </c>
      <c r="E1426" t="s">
        <v>949</v>
      </c>
      <c r="F1426" t="s">
        <v>46</v>
      </c>
      <c r="G1426" t="s">
        <v>951</v>
      </c>
      <c r="H1426" t="s">
        <v>22</v>
      </c>
      <c r="I1426" t="s">
        <v>952</v>
      </c>
      <c r="J1426" t="s">
        <v>953</v>
      </c>
      <c r="K1426" t="s">
        <v>680</v>
      </c>
      <c r="L1426" t="s">
        <v>947</v>
      </c>
      <c r="M1426">
        <v>4</v>
      </c>
      <c r="N1426" t="s">
        <v>947</v>
      </c>
      <c r="O1426" t="s">
        <v>948</v>
      </c>
      <c r="P1426" t="s">
        <v>954</v>
      </c>
      <c r="Q1426" s="3">
        <v>6000000</v>
      </c>
      <c r="R1426" s="3">
        <v>6000000</v>
      </c>
      <c r="S1426" s="3">
        <v>0</v>
      </c>
    </row>
    <row r="1427" spans="1:19" x14ac:dyDescent="0.25">
      <c r="A1427">
        <v>900091143</v>
      </c>
      <c r="B1427" t="s">
        <v>17</v>
      </c>
      <c r="C1427" t="s">
        <v>955</v>
      </c>
      <c r="D1427" t="s">
        <v>956</v>
      </c>
      <c r="E1427" t="s">
        <v>955</v>
      </c>
      <c r="F1427" t="s">
        <v>46</v>
      </c>
      <c r="G1427" t="s">
        <v>957</v>
      </c>
      <c r="H1427" t="s">
        <v>22</v>
      </c>
      <c r="I1427" t="s">
        <v>958</v>
      </c>
      <c r="J1427" t="s">
        <v>959</v>
      </c>
      <c r="K1427" t="s">
        <v>168</v>
      </c>
      <c r="L1427" t="s">
        <v>947</v>
      </c>
      <c r="M1427">
        <v>4</v>
      </c>
      <c r="N1427" t="s">
        <v>947</v>
      </c>
      <c r="O1427" t="s">
        <v>948</v>
      </c>
      <c r="P1427" t="s">
        <v>313</v>
      </c>
      <c r="Q1427" s="3">
        <v>18000000</v>
      </c>
      <c r="R1427" s="3">
        <v>18000000</v>
      </c>
      <c r="S1427" s="3">
        <v>0</v>
      </c>
    </row>
    <row r="1428" spans="1:19" x14ac:dyDescent="0.25">
      <c r="A1428">
        <v>900091143</v>
      </c>
      <c r="B1428" t="s">
        <v>17</v>
      </c>
      <c r="C1428" t="s">
        <v>960</v>
      </c>
      <c r="D1428" t="s">
        <v>961</v>
      </c>
      <c r="E1428" t="s">
        <v>960</v>
      </c>
      <c r="F1428" t="s">
        <v>46</v>
      </c>
      <c r="G1428" t="s">
        <v>962</v>
      </c>
      <c r="H1428" t="s">
        <v>22</v>
      </c>
      <c r="I1428" t="s">
        <v>963</v>
      </c>
      <c r="J1428" t="s">
        <v>964</v>
      </c>
      <c r="K1428" t="s">
        <v>71</v>
      </c>
      <c r="L1428" t="s">
        <v>947</v>
      </c>
      <c r="M1428">
        <v>4</v>
      </c>
      <c r="N1428" t="s">
        <v>947</v>
      </c>
      <c r="O1428" t="s">
        <v>948</v>
      </c>
      <c r="P1428" t="s">
        <v>72</v>
      </c>
      <c r="Q1428" s="3">
        <v>14476800</v>
      </c>
      <c r="R1428" s="3">
        <v>14476800</v>
      </c>
      <c r="S1428" s="3">
        <v>0</v>
      </c>
    </row>
    <row r="1429" spans="1:19" x14ac:dyDescent="0.25">
      <c r="A1429">
        <v>900091143</v>
      </c>
      <c r="B1429" t="s">
        <v>17</v>
      </c>
      <c r="C1429" t="s">
        <v>965</v>
      </c>
      <c r="D1429" t="s">
        <v>966</v>
      </c>
      <c r="E1429" t="s">
        <v>965</v>
      </c>
      <c r="F1429" t="s">
        <v>46</v>
      </c>
      <c r="G1429" t="s">
        <v>967</v>
      </c>
      <c r="H1429" t="s">
        <v>22</v>
      </c>
      <c r="I1429" t="s">
        <v>968</v>
      </c>
      <c r="J1429" t="s">
        <v>969</v>
      </c>
      <c r="K1429" t="s">
        <v>71</v>
      </c>
      <c r="L1429" t="s">
        <v>947</v>
      </c>
      <c r="M1429">
        <v>4</v>
      </c>
      <c r="N1429" t="s">
        <v>947</v>
      </c>
      <c r="O1429" t="s">
        <v>948</v>
      </c>
      <c r="P1429" t="s">
        <v>72</v>
      </c>
      <c r="Q1429" s="3">
        <v>14476800</v>
      </c>
      <c r="R1429" s="3">
        <v>14476800</v>
      </c>
      <c r="S1429" s="3">
        <v>0</v>
      </c>
    </row>
    <row r="1430" spans="1:19" x14ac:dyDescent="0.25">
      <c r="A1430">
        <v>900091143</v>
      </c>
      <c r="B1430" t="s">
        <v>17</v>
      </c>
      <c r="C1430" t="s">
        <v>970</v>
      </c>
      <c r="D1430" t="s">
        <v>971</v>
      </c>
      <c r="E1430" t="s">
        <v>970</v>
      </c>
      <c r="F1430" t="s">
        <v>46</v>
      </c>
      <c r="G1430" t="s">
        <v>972</v>
      </c>
      <c r="H1430" t="s">
        <v>22</v>
      </c>
      <c r="I1430" t="s">
        <v>973</v>
      </c>
      <c r="J1430" t="s">
        <v>974</v>
      </c>
      <c r="K1430" t="s">
        <v>168</v>
      </c>
      <c r="L1430" t="s">
        <v>947</v>
      </c>
      <c r="M1430">
        <v>4</v>
      </c>
      <c r="N1430" t="s">
        <v>947</v>
      </c>
      <c r="O1430" t="s">
        <v>948</v>
      </c>
      <c r="P1430" t="s">
        <v>313</v>
      </c>
      <c r="Q1430" s="3">
        <v>18000000</v>
      </c>
      <c r="R1430" s="3">
        <v>18000000</v>
      </c>
      <c r="S1430" s="3">
        <v>0</v>
      </c>
    </row>
    <row r="1431" spans="1:19" x14ac:dyDescent="0.25">
      <c r="A1431">
        <v>900091143</v>
      </c>
      <c r="B1431" t="s">
        <v>17</v>
      </c>
      <c r="C1431" t="s">
        <v>975</v>
      </c>
      <c r="D1431" t="s">
        <v>976</v>
      </c>
      <c r="E1431" t="s">
        <v>975</v>
      </c>
      <c r="F1431" t="s">
        <v>46</v>
      </c>
      <c r="G1431" t="s">
        <v>977</v>
      </c>
      <c r="H1431" t="s">
        <v>22</v>
      </c>
      <c r="I1431" t="s">
        <v>978</v>
      </c>
      <c r="J1431" t="s">
        <v>979</v>
      </c>
      <c r="K1431" t="s">
        <v>168</v>
      </c>
      <c r="L1431" t="s">
        <v>980</v>
      </c>
      <c r="M1431">
        <v>4</v>
      </c>
      <c r="N1431" t="s">
        <v>980</v>
      </c>
      <c r="O1431" t="s">
        <v>981</v>
      </c>
      <c r="P1431" t="s">
        <v>313</v>
      </c>
      <c r="Q1431" s="3">
        <v>18000000</v>
      </c>
      <c r="R1431" s="3">
        <v>18000000</v>
      </c>
      <c r="S1431" s="3">
        <v>0</v>
      </c>
    </row>
    <row r="1432" spans="1:19" x14ac:dyDescent="0.25">
      <c r="A1432">
        <v>900091143</v>
      </c>
      <c r="B1432" t="s">
        <v>17</v>
      </c>
      <c r="C1432" t="s">
        <v>982</v>
      </c>
      <c r="D1432" t="s">
        <v>983</v>
      </c>
      <c r="E1432" t="s">
        <v>982</v>
      </c>
      <c r="F1432" t="s">
        <v>46</v>
      </c>
      <c r="G1432" t="s">
        <v>984</v>
      </c>
      <c r="H1432" t="s">
        <v>22</v>
      </c>
      <c r="I1432" t="s">
        <v>985</v>
      </c>
      <c r="J1432" t="s">
        <v>986</v>
      </c>
      <c r="K1432" t="s">
        <v>168</v>
      </c>
      <c r="L1432" t="s">
        <v>980</v>
      </c>
      <c r="M1432">
        <v>4</v>
      </c>
      <c r="N1432" t="s">
        <v>980</v>
      </c>
      <c r="O1432" t="s">
        <v>981</v>
      </c>
      <c r="P1432" t="s">
        <v>313</v>
      </c>
      <c r="Q1432" s="3">
        <v>18000000</v>
      </c>
      <c r="R1432" s="3">
        <v>18000000</v>
      </c>
      <c r="S1432" s="3">
        <v>0</v>
      </c>
    </row>
    <row r="1433" spans="1:19" x14ac:dyDescent="0.25">
      <c r="A1433">
        <v>900091143</v>
      </c>
      <c r="B1433" t="s">
        <v>17</v>
      </c>
      <c r="C1433" t="s">
        <v>987</v>
      </c>
      <c r="D1433" t="s">
        <v>988</v>
      </c>
      <c r="E1433" t="s">
        <v>987</v>
      </c>
      <c r="F1433" t="s">
        <v>46</v>
      </c>
      <c r="G1433" t="s">
        <v>989</v>
      </c>
      <c r="H1433" t="s">
        <v>22</v>
      </c>
      <c r="I1433" t="s">
        <v>990</v>
      </c>
      <c r="J1433" t="s">
        <v>991</v>
      </c>
      <c r="K1433" t="s">
        <v>50</v>
      </c>
      <c r="L1433" t="s">
        <v>992</v>
      </c>
      <c r="M1433">
        <v>4</v>
      </c>
      <c r="N1433" t="s">
        <v>992</v>
      </c>
      <c r="O1433" t="s">
        <v>993</v>
      </c>
      <c r="P1433" t="s">
        <v>460</v>
      </c>
      <c r="Q1433" s="3">
        <v>6000000</v>
      </c>
      <c r="R1433" s="3">
        <v>6000000</v>
      </c>
      <c r="S1433" s="3">
        <v>0</v>
      </c>
    </row>
    <row r="1434" spans="1:19" x14ac:dyDescent="0.25">
      <c r="A1434">
        <v>900091143</v>
      </c>
      <c r="B1434" t="s">
        <v>17</v>
      </c>
      <c r="C1434" t="s">
        <v>994</v>
      </c>
      <c r="D1434" t="s">
        <v>995</v>
      </c>
      <c r="E1434" t="s">
        <v>994</v>
      </c>
      <c r="F1434" t="s">
        <v>46</v>
      </c>
      <c r="G1434" t="s">
        <v>996</v>
      </c>
      <c r="H1434" t="s">
        <v>22</v>
      </c>
      <c r="I1434" t="s">
        <v>997</v>
      </c>
      <c r="J1434" t="s">
        <v>998</v>
      </c>
      <c r="K1434" t="s">
        <v>50</v>
      </c>
      <c r="L1434" t="s">
        <v>999</v>
      </c>
      <c r="M1434">
        <v>4</v>
      </c>
      <c r="N1434" t="s">
        <v>999</v>
      </c>
      <c r="O1434" t="s">
        <v>1000</v>
      </c>
      <c r="P1434" t="s">
        <v>53</v>
      </c>
      <c r="Q1434" s="3">
        <v>6000000</v>
      </c>
      <c r="R1434" s="3">
        <v>6000000</v>
      </c>
      <c r="S1434" s="3">
        <v>0</v>
      </c>
    </row>
    <row r="1435" spans="1:19" x14ac:dyDescent="0.25">
      <c r="A1435">
        <v>900091143</v>
      </c>
      <c r="B1435" t="s">
        <v>17</v>
      </c>
      <c r="C1435" t="s">
        <v>1001</v>
      </c>
      <c r="D1435" t="s">
        <v>1002</v>
      </c>
      <c r="E1435" t="s">
        <v>1001</v>
      </c>
      <c r="F1435" t="s">
        <v>46</v>
      </c>
      <c r="G1435" t="s">
        <v>1003</v>
      </c>
      <c r="H1435" t="s">
        <v>22</v>
      </c>
      <c r="I1435" t="s">
        <v>1004</v>
      </c>
      <c r="J1435" t="s">
        <v>1005</v>
      </c>
      <c r="K1435" t="s">
        <v>50</v>
      </c>
      <c r="L1435" t="s">
        <v>999</v>
      </c>
      <c r="M1435">
        <v>4</v>
      </c>
      <c r="N1435" t="s">
        <v>999</v>
      </c>
      <c r="O1435" t="s">
        <v>1000</v>
      </c>
      <c r="P1435" t="s">
        <v>53</v>
      </c>
      <c r="Q1435" s="3">
        <v>6000000</v>
      </c>
      <c r="R1435" s="3">
        <v>6000000</v>
      </c>
      <c r="S1435" s="3">
        <v>0</v>
      </c>
    </row>
    <row r="1436" spans="1:19" x14ac:dyDescent="0.25">
      <c r="A1436">
        <v>900091143</v>
      </c>
      <c r="B1436" t="s">
        <v>17</v>
      </c>
      <c r="C1436" t="s">
        <v>1006</v>
      </c>
      <c r="D1436" t="s">
        <v>1007</v>
      </c>
      <c r="E1436" t="s">
        <v>1006</v>
      </c>
      <c r="F1436" t="s">
        <v>46</v>
      </c>
      <c r="G1436" t="s">
        <v>1008</v>
      </c>
      <c r="H1436" t="s">
        <v>22</v>
      </c>
      <c r="I1436" t="s">
        <v>1009</v>
      </c>
      <c r="J1436" t="s">
        <v>1010</v>
      </c>
      <c r="K1436" t="s">
        <v>25</v>
      </c>
      <c r="L1436" t="s">
        <v>1011</v>
      </c>
      <c r="M1436">
        <v>4</v>
      </c>
      <c r="N1436" t="s">
        <v>1011</v>
      </c>
      <c r="O1436" t="s">
        <v>1012</v>
      </c>
      <c r="P1436" t="s">
        <v>393</v>
      </c>
      <c r="Q1436" s="3">
        <v>22500000</v>
      </c>
      <c r="R1436" s="3">
        <v>22500000</v>
      </c>
      <c r="S1436" s="3">
        <v>0</v>
      </c>
    </row>
    <row r="1437" spans="1:19" x14ac:dyDescent="0.25">
      <c r="A1437">
        <v>900091143</v>
      </c>
      <c r="B1437" t="s">
        <v>17</v>
      </c>
      <c r="C1437" t="s">
        <v>1013</v>
      </c>
      <c r="D1437" t="s">
        <v>1014</v>
      </c>
      <c r="E1437" t="s">
        <v>1013</v>
      </c>
      <c r="F1437" t="s">
        <v>46</v>
      </c>
      <c r="G1437" t="s">
        <v>1015</v>
      </c>
      <c r="H1437" t="s">
        <v>22</v>
      </c>
      <c r="I1437" t="s">
        <v>1016</v>
      </c>
      <c r="J1437" t="s">
        <v>1017</v>
      </c>
      <c r="K1437" t="s">
        <v>25</v>
      </c>
      <c r="L1437" t="s">
        <v>1018</v>
      </c>
      <c r="M1437">
        <v>4</v>
      </c>
      <c r="N1437" t="s">
        <v>1018</v>
      </c>
      <c r="O1437" t="s">
        <v>1019</v>
      </c>
      <c r="P1437" t="s">
        <v>393</v>
      </c>
      <c r="Q1437" s="3">
        <v>22500000</v>
      </c>
      <c r="R1437" s="3">
        <v>22500000</v>
      </c>
      <c r="S1437" s="3">
        <v>0</v>
      </c>
    </row>
    <row r="1438" spans="1:19" x14ac:dyDescent="0.25">
      <c r="A1438">
        <v>900091143</v>
      </c>
      <c r="B1438" t="s">
        <v>17</v>
      </c>
      <c r="C1438" t="s">
        <v>1020</v>
      </c>
      <c r="D1438" t="s">
        <v>1021</v>
      </c>
      <c r="E1438" t="s">
        <v>1020</v>
      </c>
      <c r="F1438" t="s">
        <v>46</v>
      </c>
      <c r="G1438" t="s">
        <v>1022</v>
      </c>
      <c r="H1438" t="s">
        <v>22</v>
      </c>
      <c r="I1438" t="s">
        <v>1023</v>
      </c>
      <c r="J1438" t="s">
        <v>1024</v>
      </c>
      <c r="K1438" t="s">
        <v>2861</v>
      </c>
      <c r="L1438" t="s">
        <v>1025</v>
      </c>
      <c r="M1438">
        <v>3</v>
      </c>
      <c r="N1438" t="s">
        <v>1025</v>
      </c>
      <c r="O1438" t="s">
        <v>1026</v>
      </c>
      <c r="P1438" t="s">
        <v>768</v>
      </c>
      <c r="Q1438" s="3">
        <v>4000000</v>
      </c>
      <c r="R1438" s="3">
        <v>4000000</v>
      </c>
      <c r="S1438" s="3">
        <v>0</v>
      </c>
    </row>
    <row r="1439" spans="1:19" x14ac:dyDescent="0.25">
      <c r="A1439">
        <v>900091143</v>
      </c>
      <c r="B1439" t="s">
        <v>17</v>
      </c>
      <c r="C1439" t="s">
        <v>1027</v>
      </c>
      <c r="D1439" t="s">
        <v>1028</v>
      </c>
      <c r="E1439" t="s">
        <v>1027</v>
      </c>
      <c r="F1439" t="s">
        <v>46</v>
      </c>
      <c r="G1439" t="s">
        <v>1029</v>
      </c>
      <c r="H1439" t="s">
        <v>22</v>
      </c>
      <c r="I1439" t="s">
        <v>1030</v>
      </c>
      <c r="J1439" t="s">
        <v>1031</v>
      </c>
      <c r="K1439" t="s">
        <v>2861</v>
      </c>
      <c r="L1439" t="s">
        <v>1025</v>
      </c>
      <c r="M1439">
        <v>3</v>
      </c>
      <c r="N1439" t="s">
        <v>1025</v>
      </c>
      <c r="O1439" t="s">
        <v>1026</v>
      </c>
      <c r="P1439" t="s">
        <v>1032</v>
      </c>
      <c r="Q1439" s="3">
        <v>4000000</v>
      </c>
      <c r="R1439" s="3">
        <v>4000000</v>
      </c>
      <c r="S1439" s="3">
        <v>0</v>
      </c>
    </row>
    <row r="1440" spans="1:19" x14ac:dyDescent="0.25">
      <c r="A1440">
        <v>900091143</v>
      </c>
      <c r="B1440" t="s">
        <v>17</v>
      </c>
      <c r="C1440" t="s">
        <v>1033</v>
      </c>
      <c r="D1440" t="s">
        <v>1034</v>
      </c>
      <c r="E1440" t="s">
        <v>1033</v>
      </c>
      <c r="F1440" t="s">
        <v>46</v>
      </c>
      <c r="G1440" t="s">
        <v>1035</v>
      </c>
      <c r="H1440" t="s">
        <v>22</v>
      </c>
      <c r="I1440" t="s">
        <v>1036</v>
      </c>
      <c r="J1440" t="s">
        <v>1037</v>
      </c>
      <c r="K1440" t="s">
        <v>2861</v>
      </c>
      <c r="L1440" t="s">
        <v>1025</v>
      </c>
      <c r="M1440">
        <v>3</v>
      </c>
      <c r="N1440" t="s">
        <v>1025</v>
      </c>
      <c r="O1440" t="s">
        <v>1026</v>
      </c>
      <c r="P1440" t="s">
        <v>1032</v>
      </c>
      <c r="Q1440" s="3">
        <v>4000000</v>
      </c>
      <c r="R1440" s="3">
        <v>4000000</v>
      </c>
      <c r="S1440" s="3">
        <v>0</v>
      </c>
    </row>
    <row r="1441" spans="1:19" x14ac:dyDescent="0.25">
      <c r="A1441">
        <v>900091143</v>
      </c>
      <c r="B1441" t="s">
        <v>17</v>
      </c>
      <c r="C1441" t="s">
        <v>1038</v>
      </c>
      <c r="D1441" t="s">
        <v>1039</v>
      </c>
      <c r="E1441" t="s">
        <v>1038</v>
      </c>
      <c r="F1441" t="s">
        <v>46</v>
      </c>
      <c r="G1441" t="s">
        <v>1040</v>
      </c>
      <c r="H1441" t="s">
        <v>22</v>
      </c>
      <c r="I1441" t="s">
        <v>1041</v>
      </c>
      <c r="J1441" t="s">
        <v>1042</v>
      </c>
      <c r="K1441" t="s">
        <v>2861</v>
      </c>
      <c r="L1441" t="s">
        <v>1025</v>
      </c>
      <c r="M1441">
        <v>3</v>
      </c>
      <c r="N1441" t="s">
        <v>1025</v>
      </c>
      <c r="O1441" t="s">
        <v>1026</v>
      </c>
      <c r="P1441" t="s">
        <v>768</v>
      </c>
      <c r="Q1441" s="3">
        <v>4000000</v>
      </c>
      <c r="R1441" s="3">
        <v>4000000</v>
      </c>
      <c r="S1441" s="3">
        <v>0</v>
      </c>
    </row>
    <row r="1442" spans="1:19" x14ac:dyDescent="0.25">
      <c r="A1442">
        <v>900091143</v>
      </c>
      <c r="B1442" t="s">
        <v>17</v>
      </c>
      <c r="C1442" t="s">
        <v>1043</v>
      </c>
      <c r="D1442" t="s">
        <v>1044</v>
      </c>
      <c r="E1442" t="s">
        <v>1043</v>
      </c>
      <c r="F1442" t="s">
        <v>46</v>
      </c>
      <c r="G1442" t="s">
        <v>1045</v>
      </c>
      <c r="H1442" t="s">
        <v>22</v>
      </c>
      <c r="I1442" t="s">
        <v>1046</v>
      </c>
      <c r="J1442" t="s">
        <v>1047</v>
      </c>
      <c r="K1442" t="s">
        <v>2861</v>
      </c>
      <c r="L1442" t="s">
        <v>1025</v>
      </c>
      <c r="M1442">
        <v>3</v>
      </c>
      <c r="N1442" t="s">
        <v>1025</v>
      </c>
      <c r="O1442" t="s">
        <v>1026</v>
      </c>
      <c r="P1442" t="s">
        <v>1032</v>
      </c>
      <c r="Q1442" s="3">
        <v>4000000</v>
      </c>
      <c r="R1442" s="3">
        <v>4000000</v>
      </c>
      <c r="S1442" s="3">
        <v>0</v>
      </c>
    </row>
    <row r="1443" spans="1:19" x14ac:dyDescent="0.25">
      <c r="A1443">
        <v>900091143</v>
      </c>
      <c r="B1443" t="s">
        <v>17</v>
      </c>
      <c r="C1443" t="s">
        <v>1048</v>
      </c>
      <c r="D1443" t="s">
        <v>1049</v>
      </c>
      <c r="E1443" t="s">
        <v>1048</v>
      </c>
      <c r="F1443" t="s">
        <v>46</v>
      </c>
      <c r="G1443" t="s">
        <v>1050</v>
      </c>
      <c r="H1443" t="s">
        <v>22</v>
      </c>
      <c r="I1443" t="s">
        <v>1051</v>
      </c>
      <c r="J1443" t="s">
        <v>1052</v>
      </c>
      <c r="K1443" t="s">
        <v>2861</v>
      </c>
      <c r="L1443" t="s">
        <v>1053</v>
      </c>
      <c r="M1443">
        <v>3</v>
      </c>
      <c r="N1443" t="s">
        <v>1053</v>
      </c>
      <c r="O1443" t="s">
        <v>1054</v>
      </c>
      <c r="P1443" t="s">
        <v>1055</v>
      </c>
      <c r="Q1443" s="3">
        <v>4000000</v>
      </c>
      <c r="R1443" s="3">
        <v>4000000</v>
      </c>
      <c r="S1443" s="3">
        <v>0</v>
      </c>
    </row>
    <row r="1444" spans="1:19" x14ac:dyDescent="0.25">
      <c r="A1444">
        <v>900091143</v>
      </c>
      <c r="B1444" t="s">
        <v>17</v>
      </c>
      <c r="C1444" t="s">
        <v>1056</v>
      </c>
      <c r="D1444" t="s">
        <v>1057</v>
      </c>
      <c r="E1444" t="s">
        <v>1056</v>
      </c>
      <c r="F1444" t="s">
        <v>46</v>
      </c>
      <c r="G1444" t="s">
        <v>1058</v>
      </c>
      <c r="H1444" t="s">
        <v>22</v>
      </c>
      <c r="I1444" t="s">
        <v>1059</v>
      </c>
      <c r="J1444" t="s">
        <v>1060</v>
      </c>
      <c r="K1444" t="s">
        <v>2861</v>
      </c>
      <c r="L1444" t="s">
        <v>1053</v>
      </c>
      <c r="M1444">
        <v>3</v>
      </c>
      <c r="N1444" t="s">
        <v>1053</v>
      </c>
      <c r="O1444" t="s">
        <v>1054</v>
      </c>
      <c r="P1444" t="s">
        <v>1032</v>
      </c>
      <c r="Q1444" s="3">
        <v>4000000</v>
      </c>
      <c r="R1444" s="3">
        <v>4000000</v>
      </c>
      <c r="S1444" s="3">
        <v>0</v>
      </c>
    </row>
    <row r="1445" spans="1:19" x14ac:dyDescent="0.25">
      <c r="A1445">
        <v>900091143</v>
      </c>
      <c r="B1445" t="s">
        <v>17</v>
      </c>
      <c r="C1445" t="s">
        <v>1061</v>
      </c>
      <c r="D1445" t="s">
        <v>1062</v>
      </c>
      <c r="E1445" t="s">
        <v>1061</v>
      </c>
      <c r="F1445" t="s">
        <v>46</v>
      </c>
      <c r="G1445" t="s">
        <v>1063</v>
      </c>
      <c r="H1445" t="s">
        <v>22</v>
      </c>
      <c r="I1445" t="s">
        <v>1064</v>
      </c>
      <c r="J1445" t="s">
        <v>1065</v>
      </c>
      <c r="K1445" t="s">
        <v>2861</v>
      </c>
      <c r="L1445" t="s">
        <v>1066</v>
      </c>
      <c r="M1445">
        <v>3</v>
      </c>
      <c r="N1445" t="s">
        <v>1066</v>
      </c>
      <c r="O1445" t="s">
        <v>895</v>
      </c>
      <c r="P1445" t="s">
        <v>1032</v>
      </c>
      <c r="Q1445" s="3">
        <v>4000000</v>
      </c>
      <c r="R1445" s="3">
        <v>4000000</v>
      </c>
      <c r="S1445" s="3">
        <v>0</v>
      </c>
    </row>
    <row r="1446" spans="1:19" x14ac:dyDescent="0.25">
      <c r="A1446">
        <v>900091143</v>
      </c>
      <c r="B1446" t="s">
        <v>17</v>
      </c>
      <c r="C1446" t="s">
        <v>1067</v>
      </c>
      <c r="D1446" t="s">
        <v>1068</v>
      </c>
      <c r="E1446" t="s">
        <v>1067</v>
      </c>
      <c r="F1446" t="s">
        <v>46</v>
      </c>
      <c r="G1446" t="s">
        <v>1069</v>
      </c>
      <c r="H1446" t="s">
        <v>22</v>
      </c>
      <c r="I1446" t="s">
        <v>1070</v>
      </c>
      <c r="J1446" t="s">
        <v>1071</v>
      </c>
      <c r="K1446" t="s">
        <v>2861</v>
      </c>
      <c r="L1446" t="s">
        <v>1066</v>
      </c>
      <c r="M1446">
        <v>3</v>
      </c>
      <c r="N1446" t="s">
        <v>1066</v>
      </c>
      <c r="O1446" t="s">
        <v>895</v>
      </c>
      <c r="P1446" t="s">
        <v>1032</v>
      </c>
      <c r="Q1446" s="3">
        <v>4000000</v>
      </c>
      <c r="R1446" s="3">
        <v>4000000</v>
      </c>
      <c r="S1446" s="3">
        <v>0</v>
      </c>
    </row>
    <row r="1447" spans="1:19" x14ac:dyDescent="0.25">
      <c r="A1447">
        <v>900091143</v>
      </c>
      <c r="B1447" t="s">
        <v>17</v>
      </c>
      <c r="C1447" t="s">
        <v>1072</v>
      </c>
      <c r="D1447" t="s">
        <v>1073</v>
      </c>
      <c r="E1447" t="s">
        <v>1072</v>
      </c>
      <c r="F1447" t="s">
        <v>46</v>
      </c>
      <c r="G1447" t="s">
        <v>1074</v>
      </c>
      <c r="H1447" t="s">
        <v>22</v>
      </c>
      <c r="I1447" t="s">
        <v>1075</v>
      </c>
      <c r="J1447" t="s">
        <v>1076</v>
      </c>
      <c r="K1447" t="s">
        <v>2861</v>
      </c>
      <c r="L1447" t="s">
        <v>1077</v>
      </c>
      <c r="M1447">
        <v>3</v>
      </c>
      <c r="N1447" t="s">
        <v>1077</v>
      </c>
      <c r="O1447" t="s">
        <v>1078</v>
      </c>
      <c r="P1447" t="s">
        <v>1032</v>
      </c>
      <c r="Q1447" s="3">
        <v>4000000</v>
      </c>
      <c r="R1447" s="3">
        <v>4000000</v>
      </c>
      <c r="S1447" s="3">
        <v>0</v>
      </c>
    </row>
    <row r="1448" spans="1:19" x14ac:dyDescent="0.25">
      <c r="A1448">
        <v>900091143</v>
      </c>
      <c r="B1448" t="s">
        <v>17</v>
      </c>
      <c r="C1448" t="s">
        <v>1079</v>
      </c>
      <c r="D1448" t="s">
        <v>1080</v>
      </c>
      <c r="E1448" t="s">
        <v>1079</v>
      </c>
      <c r="F1448" t="s">
        <v>46</v>
      </c>
      <c r="G1448" t="s">
        <v>1081</v>
      </c>
      <c r="H1448" t="s">
        <v>22</v>
      </c>
      <c r="I1448" t="s">
        <v>1082</v>
      </c>
      <c r="J1448" t="s">
        <v>1083</v>
      </c>
      <c r="K1448" t="s">
        <v>2861</v>
      </c>
      <c r="L1448" t="s">
        <v>1077</v>
      </c>
      <c r="M1448">
        <v>3</v>
      </c>
      <c r="N1448" t="s">
        <v>1077</v>
      </c>
      <c r="O1448" t="s">
        <v>1078</v>
      </c>
      <c r="P1448" t="s">
        <v>1032</v>
      </c>
      <c r="Q1448" s="3">
        <v>4000000</v>
      </c>
      <c r="R1448" s="3">
        <v>4000000</v>
      </c>
      <c r="S1448" s="3">
        <v>0</v>
      </c>
    </row>
    <row r="1449" spans="1:19" x14ac:dyDescent="0.25">
      <c r="A1449">
        <v>900091143</v>
      </c>
      <c r="B1449" t="s">
        <v>17</v>
      </c>
      <c r="C1449" t="s">
        <v>1084</v>
      </c>
      <c r="D1449" t="s">
        <v>1085</v>
      </c>
      <c r="E1449" t="s">
        <v>1084</v>
      </c>
      <c r="F1449" t="s">
        <v>46</v>
      </c>
      <c r="G1449" t="s">
        <v>1086</v>
      </c>
      <c r="H1449" t="s">
        <v>22</v>
      </c>
      <c r="I1449" t="s">
        <v>1087</v>
      </c>
      <c r="J1449" t="s">
        <v>1088</v>
      </c>
      <c r="K1449" t="s">
        <v>2861</v>
      </c>
      <c r="L1449" t="s">
        <v>1077</v>
      </c>
      <c r="M1449">
        <v>3</v>
      </c>
      <c r="N1449" t="s">
        <v>1077</v>
      </c>
      <c r="O1449" t="s">
        <v>1078</v>
      </c>
      <c r="P1449" t="s">
        <v>768</v>
      </c>
      <c r="Q1449" s="3">
        <v>4000000</v>
      </c>
      <c r="R1449" s="3">
        <v>4000000</v>
      </c>
      <c r="S1449" s="3">
        <v>0</v>
      </c>
    </row>
    <row r="1450" spans="1:19" x14ac:dyDescent="0.25">
      <c r="A1450">
        <v>900091143</v>
      </c>
      <c r="B1450" t="s">
        <v>17</v>
      </c>
      <c r="C1450" t="s">
        <v>1089</v>
      </c>
      <c r="D1450" t="s">
        <v>1090</v>
      </c>
      <c r="E1450" t="s">
        <v>1089</v>
      </c>
      <c r="F1450" t="s">
        <v>46</v>
      </c>
      <c r="G1450" t="s">
        <v>1091</v>
      </c>
      <c r="H1450" t="s">
        <v>22</v>
      </c>
      <c r="I1450" t="s">
        <v>1092</v>
      </c>
      <c r="J1450" t="s">
        <v>1093</v>
      </c>
      <c r="K1450" t="s">
        <v>2861</v>
      </c>
      <c r="L1450" t="s">
        <v>1077</v>
      </c>
      <c r="M1450">
        <v>3</v>
      </c>
      <c r="N1450" t="s">
        <v>1077</v>
      </c>
      <c r="O1450" t="s">
        <v>1078</v>
      </c>
      <c r="P1450" t="s">
        <v>768</v>
      </c>
      <c r="Q1450" s="3">
        <v>4000000</v>
      </c>
      <c r="R1450" s="3">
        <v>4000000</v>
      </c>
      <c r="S1450" s="3">
        <v>0</v>
      </c>
    </row>
    <row r="1451" spans="1:19" x14ac:dyDescent="0.25">
      <c r="A1451">
        <v>900091143</v>
      </c>
      <c r="B1451" t="s">
        <v>17</v>
      </c>
      <c r="C1451" t="s">
        <v>1094</v>
      </c>
      <c r="D1451" t="s">
        <v>1095</v>
      </c>
      <c r="E1451" t="s">
        <v>1094</v>
      </c>
      <c r="F1451" t="s">
        <v>46</v>
      </c>
      <c r="G1451" t="s">
        <v>1096</v>
      </c>
      <c r="H1451" t="s">
        <v>22</v>
      </c>
      <c r="I1451" t="s">
        <v>1097</v>
      </c>
      <c r="J1451" t="s">
        <v>1098</v>
      </c>
      <c r="K1451" t="s">
        <v>2861</v>
      </c>
      <c r="L1451" t="s">
        <v>1099</v>
      </c>
      <c r="M1451">
        <v>3</v>
      </c>
      <c r="N1451" t="s">
        <v>1099</v>
      </c>
      <c r="O1451" t="s">
        <v>817</v>
      </c>
      <c r="P1451" t="s">
        <v>768</v>
      </c>
      <c r="Q1451" s="3">
        <v>4000000</v>
      </c>
      <c r="R1451" s="3">
        <v>4000000</v>
      </c>
      <c r="S1451" s="3">
        <v>0</v>
      </c>
    </row>
    <row r="1452" spans="1:19" x14ac:dyDescent="0.25">
      <c r="A1452">
        <v>900091143</v>
      </c>
      <c r="B1452" t="s">
        <v>17</v>
      </c>
      <c r="C1452" t="s">
        <v>1100</v>
      </c>
      <c r="D1452" t="s">
        <v>1101</v>
      </c>
      <c r="E1452" t="s">
        <v>1100</v>
      </c>
      <c r="F1452" t="s">
        <v>46</v>
      </c>
      <c r="G1452" t="s">
        <v>1102</v>
      </c>
      <c r="H1452" t="s">
        <v>22</v>
      </c>
      <c r="I1452" t="s">
        <v>1103</v>
      </c>
      <c r="J1452" t="s">
        <v>1104</v>
      </c>
      <c r="K1452" t="s">
        <v>2861</v>
      </c>
      <c r="L1452" t="s">
        <v>1099</v>
      </c>
      <c r="M1452">
        <v>3</v>
      </c>
      <c r="N1452" t="s">
        <v>1099</v>
      </c>
      <c r="O1452" t="s">
        <v>817</v>
      </c>
      <c r="P1452" t="s">
        <v>1032</v>
      </c>
      <c r="Q1452" s="3">
        <v>4000000</v>
      </c>
      <c r="R1452" s="3">
        <v>4000000</v>
      </c>
      <c r="S1452" s="3">
        <v>0</v>
      </c>
    </row>
    <row r="1453" spans="1:19" x14ac:dyDescent="0.25">
      <c r="A1453">
        <v>900091143</v>
      </c>
      <c r="B1453" t="s">
        <v>17</v>
      </c>
      <c r="C1453" t="s">
        <v>1105</v>
      </c>
      <c r="D1453" t="s">
        <v>1106</v>
      </c>
      <c r="E1453" t="s">
        <v>1105</v>
      </c>
      <c r="F1453" t="s">
        <v>46</v>
      </c>
      <c r="G1453" t="s">
        <v>1107</v>
      </c>
      <c r="H1453" t="s">
        <v>22</v>
      </c>
      <c r="I1453" t="s">
        <v>1108</v>
      </c>
      <c r="J1453" t="s">
        <v>1109</v>
      </c>
      <c r="K1453" t="s">
        <v>2861</v>
      </c>
      <c r="L1453" t="s">
        <v>1099</v>
      </c>
      <c r="M1453">
        <v>3</v>
      </c>
      <c r="N1453" t="s">
        <v>1099</v>
      </c>
      <c r="O1453" t="s">
        <v>817</v>
      </c>
      <c r="P1453" t="s">
        <v>1032</v>
      </c>
      <c r="Q1453" s="3">
        <v>3733333.33</v>
      </c>
      <c r="R1453" s="3">
        <v>3733333.33</v>
      </c>
      <c r="S1453" s="3">
        <v>0</v>
      </c>
    </row>
    <row r="1454" spans="1:19" x14ac:dyDescent="0.25">
      <c r="A1454">
        <v>900091143</v>
      </c>
      <c r="B1454" t="s">
        <v>17</v>
      </c>
      <c r="C1454" t="s">
        <v>1110</v>
      </c>
      <c r="D1454" t="s">
        <v>1111</v>
      </c>
      <c r="E1454" t="s">
        <v>1110</v>
      </c>
      <c r="F1454" t="s">
        <v>46</v>
      </c>
      <c r="G1454" t="s">
        <v>1112</v>
      </c>
      <c r="H1454" t="s">
        <v>22</v>
      </c>
      <c r="I1454" t="s">
        <v>1113</v>
      </c>
      <c r="J1454" t="s">
        <v>1114</v>
      </c>
      <c r="K1454" t="s">
        <v>2861</v>
      </c>
      <c r="L1454" t="s">
        <v>1099</v>
      </c>
      <c r="M1454">
        <v>3</v>
      </c>
      <c r="N1454" t="s">
        <v>1099</v>
      </c>
      <c r="O1454" t="s">
        <v>817</v>
      </c>
      <c r="P1454" t="s">
        <v>768</v>
      </c>
      <c r="Q1454" s="3">
        <v>4000000</v>
      </c>
      <c r="R1454" s="3">
        <v>4000000</v>
      </c>
      <c r="S1454" s="3">
        <v>0</v>
      </c>
    </row>
    <row r="1455" spans="1:19" x14ac:dyDescent="0.25">
      <c r="A1455">
        <v>900091143</v>
      </c>
      <c r="B1455" t="s">
        <v>17</v>
      </c>
      <c r="C1455" t="s">
        <v>1115</v>
      </c>
      <c r="D1455" t="s">
        <v>1116</v>
      </c>
      <c r="E1455" t="s">
        <v>1115</v>
      </c>
      <c r="F1455" t="s">
        <v>46</v>
      </c>
      <c r="G1455" t="s">
        <v>1117</v>
      </c>
      <c r="H1455" t="s">
        <v>22</v>
      </c>
      <c r="I1455" t="s">
        <v>1118</v>
      </c>
      <c r="J1455" t="s">
        <v>1119</v>
      </c>
      <c r="K1455" t="s">
        <v>2861</v>
      </c>
      <c r="L1455" t="s">
        <v>1099</v>
      </c>
      <c r="M1455">
        <v>3</v>
      </c>
      <c r="N1455" t="s">
        <v>1099</v>
      </c>
      <c r="O1455" t="s">
        <v>817</v>
      </c>
      <c r="P1455" t="s">
        <v>768</v>
      </c>
      <c r="Q1455" s="3">
        <v>4000000</v>
      </c>
      <c r="R1455" s="3">
        <v>4000000</v>
      </c>
      <c r="S1455" s="3">
        <v>0</v>
      </c>
    </row>
    <row r="1456" spans="1:19" x14ac:dyDescent="0.25">
      <c r="A1456">
        <v>900091143</v>
      </c>
      <c r="B1456" t="s">
        <v>17</v>
      </c>
      <c r="C1456" t="s">
        <v>1120</v>
      </c>
      <c r="D1456" t="s">
        <v>1121</v>
      </c>
      <c r="E1456" t="s">
        <v>1120</v>
      </c>
      <c r="F1456" t="s">
        <v>46</v>
      </c>
      <c r="G1456" t="s">
        <v>1122</v>
      </c>
      <c r="H1456" t="s">
        <v>22</v>
      </c>
      <c r="I1456" t="s">
        <v>1123</v>
      </c>
      <c r="J1456" t="s">
        <v>1124</v>
      </c>
      <c r="K1456" t="s">
        <v>2861</v>
      </c>
      <c r="L1456" t="s">
        <v>1099</v>
      </c>
      <c r="M1456">
        <v>3</v>
      </c>
      <c r="N1456" t="s">
        <v>1099</v>
      </c>
      <c r="O1456" t="s">
        <v>817</v>
      </c>
      <c r="P1456" t="s">
        <v>768</v>
      </c>
      <c r="Q1456" s="3">
        <v>4000000</v>
      </c>
      <c r="R1456" s="3">
        <v>4000000</v>
      </c>
      <c r="S1456" s="3">
        <v>0</v>
      </c>
    </row>
    <row r="1457" spans="1:19" x14ac:dyDescent="0.25">
      <c r="A1457">
        <v>900091143</v>
      </c>
      <c r="B1457" t="s">
        <v>17</v>
      </c>
      <c r="C1457" t="s">
        <v>1125</v>
      </c>
      <c r="D1457" t="s">
        <v>1126</v>
      </c>
      <c r="E1457" t="s">
        <v>1125</v>
      </c>
      <c r="F1457" t="s">
        <v>46</v>
      </c>
      <c r="G1457" t="s">
        <v>1127</v>
      </c>
      <c r="H1457" t="s">
        <v>22</v>
      </c>
      <c r="I1457" t="s">
        <v>1128</v>
      </c>
      <c r="J1457" t="s">
        <v>1129</v>
      </c>
      <c r="K1457" t="s">
        <v>2861</v>
      </c>
      <c r="L1457" t="s">
        <v>1130</v>
      </c>
      <c r="M1457">
        <v>3</v>
      </c>
      <c r="N1457" t="s">
        <v>1130</v>
      </c>
      <c r="O1457" t="s">
        <v>1131</v>
      </c>
      <c r="P1457" t="s">
        <v>1032</v>
      </c>
      <c r="Q1457" s="3">
        <v>4000000</v>
      </c>
      <c r="R1457" s="3">
        <v>4000000</v>
      </c>
      <c r="S1457" s="3">
        <v>0</v>
      </c>
    </row>
    <row r="1458" spans="1:19" x14ac:dyDescent="0.25">
      <c r="A1458">
        <v>900091143</v>
      </c>
      <c r="B1458" t="s">
        <v>17</v>
      </c>
      <c r="C1458" t="s">
        <v>1132</v>
      </c>
      <c r="D1458" t="s">
        <v>1133</v>
      </c>
      <c r="E1458" t="s">
        <v>1132</v>
      </c>
      <c r="F1458" t="s">
        <v>46</v>
      </c>
      <c r="G1458" t="s">
        <v>1134</v>
      </c>
      <c r="H1458" t="s">
        <v>22</v>
      </c>
      <c r="I1458" t="s">
        <v>1135</v>
      </c>
      <c r="J1458" t="s">
        <v>1136</v>
      </c>
      <c r="K1458" t="s">
        <v>2861</v>
      </c>
      <c r="L1458" t="s">
        <v>1130</v>
      </c>
      <c r="M1458">
        <v>3</v>
      </c>
      <c r="N1458" t="s">
        <v>1130</v>
      </c>
      <c r="O1458" t="s">
        <v>1131</v>
      </c>
      <c r="P1458" t="s">
        <v>1032</v>
      </c>
      <c r="Q1458" s="3">
        <v>4000000</v>
      </c>
      <c r="R1458" s="3">
        <v>4000000</v>
      </c>
      <c r="S1458" s="3">
        <v>0</v>
      </c>
    </row>
    <row r="1459" spans="1:19" x14ac:dyDescent="0.25">
      <c r="A1459">
        <v>900091143</v>
      </c>
      <c r="B1459" t="s">
        <v>17</v>
      </c>
      <c r="C1459" t="s">
        <v>1137</v>
      </c>
      <c r="D1459" t="s">
        <v>1138</v>
      </c>
      <c r="E1459" t="s">
        <v>1137</v>
      </c>
      <c r="F1459" t="s">
        <v>46</v>
      </c>
      <c r="G1459" t="s">
        <v>1139</v>
      </c>
      <c r="H1459" t="s">
        <v>22</v>
      </c>
      <c r="I1459" t="s">
        <v>1140</v>
      </c>
      <c r="J1459" t="s">
        <v>1141</v>
      </c>
      <c r="K1459" t="s">
        <v>2861</v>
      </c>
      <c r="L1459" t="s">
        <v>1130</v>
      </c>
      <c r="M1459">
        <v>3</v>
      </c>
      <c r="N1459" t="s">
        <v>1130</v>
      </c>
      <c r="O1459" t="s">
        <v>1131</v>
      </c>
      <c r="P1459" t="s">
        <v>1032</v>
      </c>
      <c r="Q1459" s="3">
        <v>4000000</v>
      </c>
      <c r="R1459" s="3">
        <v>4000000</v>
      </c>
      <c r="S1459" s="3">
        <v>0</v>
      </c>
    </row>
    <row r="1460" spans="1:19" x14ac:dyDescent="0.25">
      <c r="A1460">
        <v>900091143</v>
      </c>
      <c r="B1460" t="s">
        <v>17</v>
      </c>
      <c r="C1460" t="s">
        <v>1142</v>
      </c>
      <c r="D1460" t="s">
        <v>1143</v>
      </c>
      <c r="E1460" t="s">
        <v>1142</v>
      </c>
      <c r="F1460" t="s">
        <v>46</v>
      </c>
      <c r="G1460" t="s">
        <v>1144</v>
      </c>
      <c r="H1460" t="s">
        <v>22</v>
      </c>
      <c r="I1460" t="s">
        <v>1145</v>
      </c>
      <c r="J1460" t="s">
        <v>1146</v>
      </c>
      <c r="K1460" t="s">
        <v>2861</v>
      </c>
      <c r="L1460" t="s">
        <v>1130</v>
      </c>
      <c r="M1460">
        <v>3</v>
      </c>
      <c r="N1460" t="s">
        <v>1130</v>
      </c>
      <c r="O1460" t="s">
        <v>1131</v>
      </c>
      <c r="P1460" t="s">
        <v>1032</v>
      </c>
      <c r="Q1460" s="3">
        <v>4000000</v>
      </c>
      <c r="R1460" s="3">
        <v>4000000</v>
      </c>
      <c r="S1460" s="3">
        <v>0</v>
      </c>
    </row>
    <row r="1461" spans="1:19" x14ac:dyDescent="0.25">
      <c r="A1461">
        <v>900091143</v>
      </c>
      <c r="B1461" t="s">
        <v>17</v>
      </c>
      <c r="C1461" t="s">
        <v>1147</v>
      </c>
      <c r="D1461" t="s">
        <v>1148</v>
      </c>
      <c r="E1461" t="s">
        <v>1147</v>
      </c>
      <c r="F1461" t="s">
        <v>46</v>
      </c>
      <c r="G1461" t="s">
        <v>1149</v>
      </c>
      <c r="H1461" t="s">
        <v>22</v>
      </c>
      <c r="I1461" t="s">
        <v>1150</v>
      </c>
      <c r="J1461" t="s">
        <v>1151</v>
      </c>
      <c r="K1461" t="s">
        <v>2861</v>
      </c>
      <c r="L1461" t="s">
        <v>1130</v>
      </c>
      <c r="M1461">
        <v>3</v>
      </c>
      <c r="N1461" t="s">
        <v>1130</v>
      </c>
      <c r="O1461" t="s">
        <v>1131</v>
      </c>
      <c r="P1461" t="s">
        <v>1032</v>
      </c>
      <c r="Q1461" s="3">
        <v>4000000</v>
      </c>
      <c r="R1461" s="3">
        <v>0</v>
      </c>
      <c r="S1461" s="3">
        <v>4000000</v>
      </c>
    </row>
    <row r="1462" spans="1:19" x14ac:dyDescent="0.25">
      <c r="A1462">
        <v>900091143</v>
      </c>
      <c r="B1462" t="s">
        <v>17</v>
      </c>
      <c r="C1462" t="s">
        <v>1152</v>
      </c>
      <c r="D1462" t="s">
        <v>1153</v>
      </c>
      <c r="E1462" t="s">
        <v>1152</v>
      </c>
      <c r="F1462" t="s">
        <v>46</v>
      </c>
      <c r="G1462" t="s">
        <v>1154</v>
      </c>
      <c r="H1462" t="s">
        <v>22</v>
      </c>
      <c r="I1462" t="s">
        <v>1155</v>
      </c>
      <c r="J1462" t="s">
        <v>1156</v>
      </c>
      <c r="K1462" t="s">
        <v>2861</v>
      </c>
      <c r="L1462" t="s">
        <v>1130</v>
      </c>
      <c r="M1462">
        <v>3</v>
      </c>
      <c r="N1462" t="s">
        <v>1130</v>
      </c>
      <c r="O1462" t="s">
        <v>1131</v>
      </c>
      <c r="P1462" t="s">
        <v>768</v>
      </c>
      <c r="Q1462" s="3">
        <v>4000000</v>
      </c>
      <c r="R1462" s="3">
        <v>4000000</v>
      </c>
      <c r="S1462" s="3">
        <v>0</v>
      </c>
    </row>
    <row r="1463" spans="1:19" x14ac:dyDescent="0.25">
      <c r="A1463">
        <v>900091143</v>
      </c>
      <c r="B1463" t="s">
        <v>17</v>
      </c>
      <c r="C1463" t="s">
        <v>1157</v>
      </c>
      <c r="D1463" t="s">
        <v>1158</v>
      </c>
      <c r="E1463" t="s">
        <v>1157</v>
      </c>
      <c r="F1463" t="s">
        <v>46</v>
      </c>
      <c r="G1463" t="s">
        <v>1159</v>
      </c>
      <c r="H1463" t="s">
        <v>22</v>
      </c>
      <c r="I1463" t="s">
        <v>1160</v>
      </c>
      <c r="J1463" t="s">
        <v>1161</v>
      </c>
      <c r="K1463" t="s">
        <v>2861</v>
      </c>
      <c r="L1463" t="s">
        <v>1130</v>
      </c>
      <c r="M1463">
        <v>3</v>
      </c>
      <c r="N1463" t="s">
        <v>1130</v>
      </c>
      <c r="O1463" t="s">
        <v>1131</v>
      </c>
      <c r="P1463" t="s">
        <v>1032</v>
      </c>
      <c r="Q1463" s="3">
        <v>4000000</v>
      </c>
      <c r="R1463" s="3">
        <v>4000000</v>
      </c>
      <c r="S1463" s="3">
        <v>0</v>
      </c>
    </row>
    <row r="1464" spans="1:19" x14ac:dyDescent="0.25">
      <c r="A1464">
        <v>900091143</v>
      </c>
      <c r="B1464" t="s">
        <v>17</v>
      </c>
      <c r="C1464" t="s">
        <v>1162</v>
      </c>
      <c r="D1464" t="s">
        <v>1163</v>
      </c>
      <c r="E1464" t="s">
        <v>1162</v>
      </c>
      <c r="F1464" t="s">
        <v>46</v>
      </c>
      <c r="G1464" t="s">
        <v>1164</v>
      </c>
      <c r="H1464" t="s">
        <v>22</v>
      </c>
      <c r="I1464" t="s">
        <v>1165</v>
      </c>
      <c r="J1464" t="s">
        <v>1166</v>
      </c>
      <c r="K1464" t="s">
        <v>2861</v>
      </c>
      <c r="L1464" t="s">
        <v>1130</v>
      </c>
      <c r="M1464">
        <v>3</v>
      </c>
      <c r="N1464" t="s">
        <v>1130</v>
      </c>
      <c r="O1464" t="s">
        <v>1131</v>
      </c>
      <c r="P1464" t="s">
        <v>768</v>
      </c>
      <c r="Q1464" s="3">
        <v>4000000</v>
      </c>
      <c r="R1464" s="3">
        <v>4000000</v>
      </c>
      <c r="S1464" s="3">
        <v>0</v>
      </c>
    </row>
    <row r="1465" spans="1:19" x14ac:dyDescent="0.25">
      <c r="A1465">
        <v>900091143</v>
      </c>
      <c r="B1465" t="s">
        <v>17</v>
      </c>
      <c r="C1465" t="s">
        <v>1167</v>
      </c>
      <c r="D1465" t="s">
        <v>1168</v>
      </c>
      <c r="E1465" t="s">
        <v>1167</v>
      </c>
      <c r="F1465" t="s">
        <v>46</v>
      </c>
      <c r="G1465" t="s">
        <v>1169</v>
      </c>
      <c r="H1465" t="s">
        <v>22</v>
      </c>
      <c r="I1465" t="s">
        <v>1170</v>
      </c>
      <c r="J1465" t="s">
        <v>1171</v>
      </c>
      <c r="K1465" t="s">
        <v>2861</v>
      </c>
      <c r="L1465" t="s">
        <v>1172</v>
      </c>
      <c r="M1465">
        <v>3</v>
      </c>
      <c r="N1465" t="s">
        <v>1172</v>
      </c>
      <c r="O1465" t="s">
        <v>1173</v>
      </c>
      <c r="P1465" t="s">
        <v>1032</v>
      </c>
      <c r="Q1465" s="3">
        <v>4000000</v>
      </c>
      <c r="R1465" s="3">
        <v>4000000</v>
      </c>
      <c r="S1465" s="3">
        <v>0</v>
      </c>
    </row>
    <row r="1466" spans="1:19" x14ac:dyDescent="0.25">
      <c r="A1466">
        <v>900091143</v>
      </c>
      <c r="B1466" t="s">
        <v>17</v>
      </c>
      <c r="C1466" t="s">
        <v>1174</v>
      </c>
      <c r="D1466" t="s">
        <v>1175</v>
      </c>
      <c r="E1466" t="s">
        <v>1174</v>
      </c>
      <c r="F1466" t="s">
        <v>46</v>
      </c>
      <c r="G1466" t="s">
        <v>1176</v>
      </c>
      <c r="H1466" t="s">
        <v>22</v>
      </c>
      <c r="I1466" t="s">
        <v>1177</v>
      </c>
      <c r="J1466" t="s">
        <v>1178</v>
      </c>
      <c r="K1466" t="s">
        <v>2861</v>
      </c>
      <c r="L1466" t="s">
        <v>1172</v>
      </c>
      <c r="M1466">
        <v>3</v>
      </c>
      <c r="N1466" t="s">
        <v>1172</v>
      </c>
      <c r="O1466" t="s">
        <v>1173</v>
      </c>
      <c r="P1466" t="s">
        <v>1032</v>
      </c>
      <c r="Q1466" s="3">
        <v>4000000</v>
      </c>
      <c r="R1466" s="3">
        <v>4000000</v>
      </c>
      <c r="S1466" s="3">
        <v>0</v>
      </c>
    </row>
    <row r="1467" spans="1:19" x14ac:dyDescent="0.25">
      <c r="A1467">
        <v>900091143</v>
      </c>
      <c r="B1467" t="s">
        <v>17</v>
      </c>
      <c r="C1467" t="s">
        <v>1179</v>
      </c>
      <c r="D1467" t="s">
        <v>1180</v>
      </c>
      <c r="E1467" t="s">
        <v>1179</v>
      </c>
      <c r="F1467" t="s">
        <v>46</v>
      </c>
      <c r="G1467" t="s">
        <v>1181</v>
      </c>
      <c r="H1467" t="s">
        <v>22</v>
      </c>
      <c r="I1467" t="s">
        <v>1182</v>
      </c>
      <c r="J1467" t="s">
        <v>1183</v>
      </c>
      <c r="K1467" t="s">
        <v>2861</v>
      </c>
      <c r="L1467" t="s">
        <v>64</v>
      </c>
      <c r="M1467">
        <v>3</v>
      </c>
      <c r="N1467" t="s">
        <v>64</v>
      </c>
      <c r="O1467" t="s">
        <v>1184</v>
      </c>
      <c r="P1467" t="s">
        <v>768</v>
      </c>
      <c r="Q1467" s="3">
        <v>4000000</v>
      </c>
      <c r="R1467" s="3">
        <v>4000000</v>
      </c>
      <c r="S1467" s="3">
        <v>0</v>
      </c>
    </row>
    <row r="1468" spans="1:19" x14ac:dyDescent="0.25">
      <c r="A1468">
        <v>900091143</v>
      </c>
      <c r="B1468" t="s">
        <v>17</v>
      </c>
      <c r="C1468" t="s">
        <v>1185</v>
      </c>
      <c r="D1468" t="s">
        <v>1186</v>
      </c>
      <c r="E1468" t="s">
        <v>1185</v>
      </c>
      <c r="F1468" t="s">
        <v>46</v>
      </c>
      <c r="G1468" t="s">
        <v>1187</v>
      </c>
      <c r="H1468" t="s">
        <v>22</v>
      </c>
      <c r="I1468" t="s">
        <v>1188</v>
      </c>
      <c r="J1468" t="s">
        <v>1189</v>
      </c>
      <c r="K1468" t="s">
        <v>2861</v>
      </c>
      <c r="L1468" t="s">
        <v>1190</v>
      </c>
      <c r="M1468">
        <v>3</v>
      </c>
      <c r="N1468" t="s">
        <v>1190</v>
      </c>
      <c r="O1468" t="s">
        <v>860</v>
      </c>
      <c r="P1468" t="s">
        <v>768</v>
      </c>
      <c r="Q1468" s="3">
        <v>4000000</v>
      </c>
      <c r="R1468" s="3">
        <v>4000000</v>
      </c>
      <c r="S1468" s="3">
        <v>0</v>
      </c>
    </row>
    <row r="1469" spans="1:19" x14ac:dyDescent="0.25">
      <c r="A1469">
        <v>900091143</v>
      </c>
      <c r="B1469" t="s">
        <v>17</v>
      </c>
      <c r="C1469" t="s">
        <v>1191</v>
      </c>
      <c r="D1469" t="s">
        <v>1192</v>
      </c>
      <c r="E1469" t="s">
        <v>1191</v>
      </c>
      <c r="F1469" t="s">
        <v>46</v>
      </c>
      <c r="G1469" t="s">
        <v>1193</v>
      </c>
      <c r="H1469" t="s">
        <v>22</v>
      </c>
      <c r="I1469" t="s">
        <v>1194</v>
      </c>
      <c r="J1469" t="s">
        <v>1195</v>
      </c>
      <c r="K1469" t="s">
        <v>2861</v>
      </c>
      <c r="L1469" t="s">
        <v>1190</v>
      </c>
      <c r="M1469">
        <v>3</v>
      </c>
      <c r="N1469" t="s">
        <v>1190</v>
      </c>
      <c r="O1469" t="s">
        <v>860</v>
      </c>
      <c r="P1469" t="s">
        <v>768</v>
      </c>
      <c r="Q1469" s="3">
        <v>4000000</v>
      </c>
      <c r="R1469" s="3">
        <v>4000000</v>
      </c>
      <c r="S1469" s="3">
        <v>0</v>
      </c>
    </row>
    <row r="1470" spans="1:19" x14ac:dyDescent="0.25">
      <c r="A1470">
        <v>900091143</v>
      </c>
      <c r="B1470" t="s">
        <v>17</v>
      </c>
      <c r="C1470" t="s">
        <v>1196</v>
      </c>
      <c r="D1470" t="s">
        <v>1197</v>
      </c>
      <c r="E1470" t="s">
        <v>1196</v>
      </c>
      <c r="F1470" t="s">
        <v>46</v>
      </c>
      <c r="G1470" t="s">
        <v>1198</v>
      </c>
      <c r="H1470" t="s">
        <v>22</v>
      </c>
      <c r="I1470" t="s">
        <v>1199</v>
      </c>
      <c r="J1470" t="s">
        <v>1200</v>
      </c>
      <c r="K1470" t="s">
        <v>2861</v>
      </c>
      <c r="L1470" t="s">
        <v>1201</v>
      </c>
      <c r="M1470">
        <v>3</v>
      </c>
      <c r="N1470" t="s">
        <v>1201</v>
      </c>
      <c r="O1470" t="s">
        <v>867</v>
      </c>
      <c r="P1470" t="s">
        <v>768</v>
      </c>
      <c r="Q1470" s="3">
        <v>4000000</v>
      </c>
      <c r="R1470" s="3">
        <v>4000000</v>
      </c>
      <c r="S1470" s="3">
        <v>0</v>
      </c>
    </row>
    <row r="1471" spans="1:19" x14ac:dyDescent="0.25">
      <c r="A1471">
        <v>900091143</v>
      </c>
      <c r="B1471" t="s">
        <v>17</v>
      </c>
      <c r="C1471" t="s">
        <v>1202</v>
      </c>
      <c r="D1471" t="s">
        <v>1203</v>
      </c>
      <c r="E1471" t="s">
        <v>1202</v>
      </c>
      <c r="F1471" t="s">
        <v>46</v>
      </c>
      <c r="G1471" t="s">
        <v>1204</v>
      </c>
      <c r="H1471" t="s">
        <v>22</v>
      </c>
      <c r="I1471" t="s">
        <v>1205</v>
      </c>
      <c r="J1471" t="s">
        <v>1206</v>
      </c>
      <c r="K1471" t="s">
        <v>2861</v>
      </c>
      <c r="L1471" t="s">
        <v>1201</v>
      </c>
      <c r="M1471">
        <v>3</v>
      </c>
      <c r="N1471" t="s">
        <v>1201</v>
      </c>
      <c r="O1471" t="s">
        <v>867</v>
      </c>
      <c r="P1471" t="s">
        <v>1032</v>
      </c>
      <c r="Q1471" s="3">
        <v>4000000</v>
      </c>
      <c r="R1471" s="3">
        <v>4000000</v>
      </c>
      <c r="S1471" s="3">
        <v>0</v>
      </c>
    </row>
    <row r="1472" spans="1:19" x14ac:dyDescent="0.25">
      <c r="A1472">
        <v>900091143</v>
      </c>
      <c r="B1472" t="s">
        <v>17</v>
      </c>
      <c r="C1472" t="s">
        <v>1207</v>
      </c>
      <c r="D1472" t="s">
        <v>1208</v>
      </c>
      <c r="E1472" t="s">
        <v>1207</v>
      </c>
      <c r="F1472" t="s">
        <v>46</v>
      </c>
      <c r="G1472" t="s">
        <v>1209</v>
      </c>
      <c r="H1472" t="s">
        <v>22</v>
      </c>
      <c r="I1472" t="s">
        <v>1210</v>
      </c>
      <c r="J1472" t="s">
        <v>1211</v>
      </c>
      <c r="K1472" t="s">
        <v>50</v>
      </c>
      <c r="L1472" t="s">
        <v>297</v>
      </c>
      <c r="M1472">
        <v>2</v>
      </c>
      <c r="N1472" t="s">
        <v>297</v>
      </c>
      <c r="O1472" t="s">
        <v>700</v>
      </c>
      <c r="P1472" t="s">
        <v>53</v>
      </c>
      <c r="Q1472" s="3">
        <v>2000000</v>
      </c>
      <c r="R1472" s="3">
        <v>2000000</v>
      </c>
      <c r="S1472" s="3">
        <v>0</v>
      </c>
    </row>
    <row r="1473" spans="1:19" x14ac:dyDescent="0.25">
      <c r="A1473">
        <v>900091143</v>
      </c>
      <c r="B1473" t="s">
        <v>17</v>
      </c>
      <c r="C1473" t="s">
        <v>1212</v>
      </c>
      <c r="D1473" t="s">
        <v>1213</v>
      </c>
      <c r="E1473" t="s">
        <v>1212</v>
      </c>
      <c r="F1473" t="s">
        <v>46</v>
      </c>
      <c r="G1473" t="s">
        <v>1214</v>
      </c>
      <c r="H1473" t="s">
        <v>22</v>
      </c>
      <c r="I1473" t="s">
        <v>1215</v>
      </c>
      <c r="J1473" t="s">
        <v>1216</v>
      </c>
      <c r="K1473" t="s">
        <v>25</v>
      </c>
      <c r="L1473" t="s">
        <v>330</v>
      </c>
      <c r="M1473">
        <v>2</v>
      </c>
      <c r="N1473" t="s">
        <v>330</v>
      </c>
      <c r="O1473" t="s">
        <v>1217</v>
      </c>
      <c r="P1473" t="s">
        <v>65</v>
      </c>
      <c r="Q1473" s="3">
        <v>7500000</v>
      </c>
      <c r="R1473" s="3">
        <v>7500000</v>
      </c>
      <c r="S1473" s="3">
        <v>0</v>
      </c>
    </row>
    <row r="1474" spans="1:19" x14ac:dyDescent="0.25">
      <c r="A1474">
        <v>900091143</v>
      </c>
      <c r="B1474" t="s">
        <v>17</v>
      </c>
      <c r="C1474" t="s">
        <v>1218</v>
      </c>
      <c r="D1474" t="s">
        <v>1219</v>
      </c>
      <c r="E1474" t="s">
        <v>1218</v>
      </c>
      <c r="F1474" t="s">
        <v>46</v>
      </c>
      <c r="G1474" t="s">
        <v>1220</v>
      </c>
      <c r="H1474" t="s">
        <v>22</v>
      </c>
      <c r="I1474" t="s">
        <v>1221</v>
      </c>
      <c r="J1474" t="s">
        <v>1222</v>
      </c>
      <c r="K1474" t="s">
        <v>2861</v>
      </c>
      <c r="L1474" t="s">
        <v>330</v>
      </c>
      <c r="M1474">
        <v>2</v>
      </c>
      <c r="N1474" t="s">
        <v>330</v>
      </c>
      <c r="O1474" t="s">
        <v>1217</v>
      </c>
      <c r="P1474" t="s">
        <v>1032</v>
      </c>
      <c r="Q1474" s="3">
        <v>2000000</v>
      </c>
      <c r="R1474" s="3">
        <v>2000000</v>
      </c>
      <c r="S1474" s="3">
        <v>0</v>
      </c>
    </row>
    <row r="1475" spans="1:19" x14ac:dyDescent="0.25">
      <c r="A1475">
        <v>900091143</v>
      </c>
      <c r="B1475" t="s">
        <v>17</v>
      </c>
      <c r="C1475" t="s">
        <v>1223</v>
      </c>
      <c r="D1475" t="s">
        <v>1224</v>
      </c>
      <c r="E1475" t="s">
        <v>1223</v>
      </c>
      <c r="F1475" t="s">
        <v>46</v>
      </c>
      <c r="G1475" t="s">
        <v>1225</v>
      </c>
      <c r="H1475" t="s">
        <v>22</v>
      </c>
      <c r="I1475" t="s">
        <v>1226</v>
      </c>
      <c r="J1475" t="s">
        <v>1227</v>
      </c>
      <c r="K1475" t="s">
        <v>50</v>
      </c>
      <c r="L1475" t="s">
        <v>330</v>
      </c>
      <c r="M1475">
        <v>2</v>
      </c>
      <c r="N1475" t="s">
        <v>330</v>
      </c>
      <c r="O1475" t="s">
        <v>1217</v>
      </c>
      <c r="P1475" t="s">
        <v>460</v>
      </c>
      <c r="Q1475" s="3">
        <v>2000000</v>
      </c>
      <c r="R1475" s="3">
        <v>2000000</v>
      </c>
      <c r="S1475" s="3">
        <v>0</v>
      </c>
    </row>
    <row r="1476" spans="1:19" x14ac:dyDescent="0.25">
      <c r="A1476">
        <v>900091143</v>
      </c>
      <c r="B1476" t="s">
        <v>17</v>
      </c>
      <c r="C1476" t="s">
        <v>1228</v>
      </c>
      <c r="D1476" t="s">
        <v>1229</v>
      </c>
      <c r="E1476" t="s">
        <v>1228</v>
      </c>
      <c r="F1476" t="s">
        <v>46</v>
      </c>
      <c r="G1476" t="s">
        <v>1230</v>
      </c>
      <c r="H1476" t="s">
        <v>22</v>
      </c>
      <c r="I1476" t="s">
        <v>1231</v>
      </c>
      <c r="J1476" t="s">
        <v>1232</v>
      </c>
      <c r="K1476" t="s">
        <v>168</v>
      </c>
      <c r="L1476" t="s">
        <v>420</v>
      </c>
      <c r="M1476">
        <v>2</v>
      </c>
      <c r="N1476" t="s">
        <v>420</v>
      </c>
      <c r="O1476" t="s">
        <v>1233</v>
      </c>
      <c r="P1476" t="s">
        <v>313</v>
      </c>
      <c r="Q1476" s="3">
        <v>6000000</v>
      </c>
      <c r="R1476" s="3">
        <v>6000000</v>
      </c>
      <c r="S1476" s="3">
        <v>0</v>
      </c>
    </row>
    <row r="1477" spans="1:19" x14ac:dyDescent="0.25">
      <c r="A1477">
        <v>900091143</v>
      </c>
      <c r="B1477" t="s">
        <v>17</v>
      </c>
      <c r="C1477" t="s">
        <v>1234</v>
      </c>
      <c r="D1477" t="s">
        <v>1235</v>
      </c>
      <c r="E1477" t="s">
        <v>1234</v>
      </c>
      <c r="F1477" t="s">
        <v>46</v>
      </c>
      <c r="G1477" t="s">
        <v>1236</v>
      </c>
      <c r="H1477" t="s">
        <v>22</v>
      </c>
      <c r="I1477" t="s">
        <v>1237</v>
      </c>
      <c r="J1477" t="s">
        <v>1238</v>
      </c>
      <c r="K1477" t="s">
        <v>168</v>
      </c>
      <c r="L1477" t="s">
        <v>420</v>
      </c>
      <c r="M1477">
        <v>2</v>
      </c>
      <c r="N1477" t="s">
        <v>420</v>
      </c>
      <c r="O1477" t="s">
        <v>1233</v>
      </c>
      <c r="P1477" t="s">
        <v>313</v>
      </c>
      <c r="Q1477" s="3">
        <v>6000000</v>
      </c>
      <c r="R1477" s="3">
        <v>6000000</v>
      </c>
      <c r="S1477" s="3">
        <v>0</v>
      </c>
    </row>
    <row r="1478" spans="1:19" x14ac:dyDescent="0.25">
      <c r="A1478">
        <v>900091143</v>
      </c>
      <c r="B1478" t="s">
        <v>17</v>
      </c>
      <c r="C1478" t="s">
        <v>1239</v>
      </c>
      <c r="D1478" t="s">
        <v>1240</v>
      </c>
      <c r="E1478" t="s">
        <v>1239</v>
      </c>
      <c r="F1478" t="s">
        <v>46</v>
      </c>
      <c r="G1478" t="s">
        <v>1241</v>
      </c>
      <c r="H1478" t="s">
        <v>22</v>
      </c>
      <c r="I1478" t="s">
        <v>1242</v>
      </c>
      <c r="J1478" t="s">
        <v>1243</v>
      </c>
      <c r="K1478" t="s">
        <v>50</v>
      </c>
      <c r="L1478" t="s">
        <v>1244</v>
      </c>
      <c r="M1478">
        <v>2</v>
      </c>
      <c r="N1478" t="s">
        <v>1244</v>
      </c>
      <c r="O1478" t="s">
        <v>1245</v>
      </c>
      <c r="P1478" t="s">
        <v>53</v>
      </c>
      <c r="Q1478" s="3">
        <v>2000000</v>
      </c>
      <c r="R1478" s="3">
        <v>2000000</v>
      </c>
      <c r="S1478" s="3">
        <v>0</v>
      </c>
    </row>
    <row r="1479" spans="1:19" x14ac:dyDescent="0.25">
      <c r="A1479">
        <v>900091143</v>
      </c>
      <c r="B1479" t="s">
        <v>17</v>
      </c>
      <c r="C1479" t="s">
        <v>1246</v>
      </c>
      <c r="D1479" t="s">
        <v>1247</v>
      </c>
      <c r="E1479" t="s">
        <v>1246</v>
      </c>
      <c r="F1479" t="s">
        <v>46</v>
      </c>
      <c r="G1479" t="s">
        <v>1248</v>
      </c>
      <c r="H1479" t="s">
        <v>22</v>
      </c>
      <c r="I1479" t="s">
        <v>1249</v>
      </c>
      <c r="J1479" t="s">
        <v>1250</v>
      </c>
      <c r="K1479" t="s">
        <v>2861</v>
      </c>
      <c r="L1479" t="s">
        <v>472</v>
      </c>
      <c r="M1479">
        <v>2</v>
      </c>
      <c r="N1479" t="s">
        <v>472</v>
      </c>
      <c r="O1479" t="s">
        <v>1026</v>
      </c>
      <c r="P1479" t="s">
        <v>768</v>
      </c>
      <c r="Q1479" s="3">
        <v>2000000</v>
      </c>
      <c r="R1479" s="3">
        <v>2000000</v>
      </c>
      <c r="S1479" s="3">
        <v>0</v>
      </c>
    </row>
    <row r="1480" spans="1:19" x14ac:dyDescent="0.25">
      <c r="A1480">
        <v>900091143</v>
      </c>
      <c r="B1480" t="s">
        <v>17</v>
      </c>
      <c r="C1480" t="s">
        <v>1251</v>
      </c>
      <c r="D1480" t="s">
        <v>1252</v>
      </c>
      <c r="E1480" t="s">
        <v>1251</v>
      </c>
      <c r="F1480" t="s">
        <v>375</v>
      </c>
      <c r="G1480" t="s">
        <v>1253</v>
      </c>
      <c r="H1480" t="s">
        <v>22</v>
      </c>
      <c r="I1480" t="s">
        <v>772</v>
      </c>
      <c r="J1480" t="s">
        <v>773</v>
      </c>
      <c r="K1480" t="s">
        <v>32</v>
      </c>
      <c r="L1480" t="s">
        <v>472</v>
      </c>
      <c r="M1480">
        <v>1</v>
      </c>
      <c r="N1480" t="s">
        <v>472</v>
      </c>
      <c r="O1480" t="s">
        <v>1245</v>
      </c>
      <c r="P1480" t="s">
        <v>1254</v>
      </c>
      <c r="Q1480" s="3">
        <v>2625000</v>
      </c>
      <c r="R1480" s="3">
        <v>2625000</v>
      </c>
      <c r="S1480" s="3">
        <v>0</v>
      </c>
    </row>
    <row r="1481" spans="1:19" x14ac:dyDescent="0.25">
      <c r="A1481">
        <v>900091143</v>
      </c>
      <c r="B1481" t="s">
        <v>17</v>
      </c>
      <c r="C1481" t="s">
        <v>1255</v>
      </c>
      <c r="D1481" t="s">
        <v>1256</v>
      </c>
      <c r="E1481" t="s">
        <v>1255</v>
      </c>
      <c r="F1481" t="s">
        <v>46</v>
      </c>
      <c r="G1481" t="s">
        <v>1257</v>
      </c>
      <c r="H1481" t="s">
        <v>22</v>
      </c>
      <c r="I1481" t="s">
        <v>1258</v>
      </c>
      <c r="J1481" t="s">
        <v>1259</v>
      </c>
      <c r="K1481" t="s">
        <v>25</v>
      </c>
      <c r="L1481" t="s">
        <v>657</v>
      </c>
      <c r="M1481">
        <v>2</v>
      </c>
      <c r="N1481" t="s">
        <v>657</v>
      </c>
      <c r="O1481" t="s">
        <v>948</v>
      </c>
      <c r="P1481" t="s">
        <v>393</v>
      </c>
      <c r="Q1481" s="3">
        <v>7500000</v>
      </c>
      <c r="R1481" s="3">
        <v>7500000</v>
      </c>
      <c r="S1481" s="3">
        <v>0</v>
      </c>
    </row>
    <row r="1482" spans="1:19" x14ac:dyDescent="0.25">
      <c r="A1482">
        <v>900091143</v>
      </c>
      <c r="B1482" t="s">
        <v>17</v>
      </c>
      <c r="C1482" t="s">
        <v>1260</v>
      </c>
      <c r="D1482" t="s">
        <v>1261</v>
      </c>
      <c r="E1482" t="s">
        <v>1260</v>
      </c>
      <c r="F1482" t="s">
        <v>375</v>
      </c>
      <c r="G1482" t="s">
        <v>1262</v>
      </c>
      <c r="H1482" t="s">
        <v>22</v>
      </c>
      <c r="I1482" t="s">
        <v>1263</v>
      </c>
      <c r="J1482" t="s">
        <v>1264</v>
      </c>
      <c r="K1482" t="s">
        <v>32</v>
      </c>
      <c r="L1482" t="s">
        <v>1184</v>
      </c>
      <c r="M1482">
        <v>1</v>
      </c>
      <c r="N1482" t="s">
        <v>1184</v>
      </c>
      <c r="O1482" t="s">
        <v>1265</v>
      </c>
      <c r="P1482" t="s">
        <v>1266</v>
      </c>
      <c r="Q1482" s="3">
        <v>9506000</v>
      </c>
      <c r="R1482" s="3">
        <v>9506000</v>
      </c>
      <c r="S1482" s="3">
        <v>0</v>
      </c>
    </row>
    <row r="1483" spans="1:19" x14ac:dyDescent="0.25">
      <c r="A1483">
        <v>900091143</v>
      </c>
      <c r="B1483" t="s">
        <v>17</v>
      </c>
      <c r="C1483" t="s">
        <v>1267</v>
      </c>
      <c r="D1483" t="s">
        <v>1268</v>
      </c>
      <c r="E1483" t="s">
        <v>1267</v>
      </c>
      <c r="F1483" t="s">
        <v>1269</v>
      </c>
      <c r="G1483" t="s">
        <v>1270</v>
      </c>
      <c r="H1483" t="s">
        <v>22</v>
      </c>
      <c r="I1483" t="s">
        <v>161</v>
      </c>
      <c r="J1483" t="s">
        <v>162</v>
      </c>
      <c r="K1483" t="s">
        <v>2860</v>
      </c>
      <c r="L1483" t="s">
        <v>1271</v>
      </c>
      <c r="M1483">
        <v>2</v>
      </c>
      <c r="N1483" t="s">
        <v>1271</v>
      </c>
      <c r="O1483" t="s">
        <v>1272</v>
      </c>
      <c r="P1483" t="s">
        <v>1273</v>
      </c>
      <c r="Q1483" s="3">
        <v>9500000</v>
      </c>
      <c r="R1483" s="3">
        <v>0</v>
      </c>
      <c r="S1483" s="3">
        <v>9500000</v>
      </c>
    </row>
    <row r="1484" spans="1:19" x14ac:dyDescent="0.25">
      <c r="A1484">
        <v>900091143</v>
      </c>
      <c r="B1484" t="s">
        <v>17</v>
      </c>
      <c r="C1484" t="s">
        <v>1274</v>
      </c>
      <c r="D1484" t="s">
        <v>1275</v>
      </c>
      <c r="E1484" t="s">
        <v>1274</v>
      </c>
      <c r="F1484" t="s">
        <v>1269</v>
      </c>
      <c r="G1484" t="s">
        <v>1276</v>
      </c>
      <c r="H1484" t="s">
        <v>22</v>
      </c>
      <c r="I1484" t="s">
        <v>599</v>
      </c>
      <c r="J1484" t="s">
        <v>600</v>
      </c>
      <c r="K1484" t="s">
        <v>2860</v>
      </c>
      <c r="L1484" t="s">
        <v>1271</v>
      </c>
      <c r="M1484">
        <v>2</v>
      </c>
      <c r="N1484" t="s">
        <v>1271</v>
      </c>
      <c r="O1484" t="s">
        <v>1272</v>
      </c>
      <c r="P1484" t="s">
        <v>1273</v>
      </c>
      <c r="Q1484" s="3">
        <v>9500000</v>
      </c>
      <c r="R1484" s="3">
        <v>9500000</v>
      </c>
      <c r="S1484" s="3">
        <v>0</v>
      </c>
    </row>
    <row r="1485" spans="1:19" x14ac:dyDescent="0.25">
      <c r="A1485">
        <v>900091143</v>
      </c>
      <c r="B1485" t="s">
        <v>17</v>
      </c>
      <c r="C1485" t="s">
        <v>1277</v>
      </c>
      <c r="D1485" t="s">
        <v>1278</v>
      </c>
      <c r="E1485" t="s">
        <v>1277</v>
      </c>
      <c r="F1485" t="s">
        <v>1269</v>
      </c>
      <c r="G1485" t="s">
        <v>1279</v>
      </c>
      <c r="H1485" t="s">
        <v>22</v>
      </c>
      <c r="I1485" t="s">
        <v>424</v>
      </c>
      <c r="J1485" t="s">
        <v>425</v>
      </c>
      <c r="K1485" t="s">
        <v>2860</v>
      </c>
      <c r="L1485" t="s">
        <v>1271</v>
      </c>
      <c r="M1485">
        <v>2</v>
      </c>
      <c r="N1485" t="s">
        <v>1271</v>
      </c>
      <c r="O1485" t="s">
        <v>1272</v>
      </c>
      <c r="P1485" t="s">
        <v>1273</v>
      </c>
      <c r="Q1485" s="3">
        <v>9500000</v>
      </c>
      <c r="R1485" s="3">
        <v>9500000</v>
      </c>
      <c r="S1485" s="3">
        <v>0</v>
      </c>
    </row>
    <row r="1486" spans="1:19" x14ac:dyDescent="0.25">
      <c r="A1486">
        <v>900091143</v>
      </c>
      <c r="B1486" t="s">
        <v>17</v>
      </c>
      <c r="C1486" t="s">
        <v>1280</v>
      </c>
      <c r="D1486" t="s">
        <v>1281</v>
      </c>
      <c r="E1486" t="s">
        <v>1280</v>
      </c>
      <c r="F1486" t="s">
        <v>1269</v>
      </c>
      <c r="G1486" t="s">
        <v>1282</v>
      </c>
      <c r="H1486" t="s">
        <v>22</v>
      </c>
      <c r="I1486" t="s">
        <v>1283</v>
      </c>
      <c r="J1486" t="s">
        <v>1284</v>
      </c>
      <c r="K1486" t="s">
        <v>71</v>
      </c>
      <c r="L1486" t="s">
        <v>1271</v>
      </c>
      <c r="M1486">
        <v>2</v>
      </c>
      <c r="N1486" t="s">
        <v>1271</v>
      </c>
      <c r="O1486" t="s">
        <v>1272</v>
      </c>
      <c r="P1486" t="s">
        <v>1285</v>
      </c>
      <c r="Q1486" s="3">
        <v>9650000</v>
      </c>
      <c r="R1486" s="3">
        <v>9650000</v>
      </c>
      <c r="S1486" s="3">
        <v>0</v>
      </c>
    </row>
    <row r="1487" spans="1:19" x14ac:dyDescent="0.25">
      <c r="A1487">
        <v>900091143</v>
      </c>
      <c r="B1487" t="s">
        <v>17</v>
      </c>
      <c r="C1487" t="s">
        <v>1286</v>
      </c>
      <c r="D1487" t="s">
        <v>1287</v>
      </c>
      <c r="E1487" t="s">
        <v>1286</v>
      </c>
      <c r="F1487" t="s">
        <v>1269</v>
      </c>
      <c r="G1487" t="s">
        <v>1288</v>
      </c>
      <c r="H1487" t="s">
        <v>22</v>
      </c>
      <c r="I1487" t="s">
        <v>1289</v>
      </c>
      <c r="J1487" t="s">
        <v>1290</v>
      </c>
      <c r="K1487" t="s">
        <v>71</v>
      </c>
      <c r="L1487" t="s">
        <v>1271</v>
      </c>
      <c r="M1487">
        <v>2</v>
      </c>
      <c r="N1487" t="s">
        <v>1271</v>
      </c>
      <c r="O1487" t="s">
        <v>1272</v>
      </c>
      <c r="P1487" t="s">
        <v>1285</v>
      </c>
      <c r="Q1487" s="3">
        <v>9650000</v>
      </c>
      <c r="R1487" s="3">
        <v>9650000</v>
      </c>
      <c r="S1487" s="3">
        <v>0</v>
      </c>
    </row>
    <row r="1488" spans="1:19" x14ac:dyDescent="0.25">
      <c r="A1488">
        <v>900091143</v>
      </c>
      <c r="B1488" t="s">
        <v>17</v>
      </c>
      <c r="C1488" t="s">
        <v>1291</v>
      </c>
      <c r="D1488" t="s">
        <v>1292</v>
      </c>
      <c r="E1488" t="s">
        <v>1291</v>
      </c>
      <c r="F1488" t="s">
        <v>1269</v>
      </c>
      <c r="G1488" t="s">
        <v>1293</v>
      </c>
      <c r="H1488" t="s">
        <v>22</v>
      </c>
      <c r="I1488" t="s">
        <v>360</v>
      </c>
      <c r="J1488" t="s">
        <v>361</v>
      </c>
      <c r="K1488" t="s">
        <v>71</v>
      </c>
      <c r="L1488" t="s">
        <v>1271</v>
      </c>
      <c r="M1488">
        <v>2</v>
      </c>
      <c r="N1488" t="s">
        <v>1271</v>
      </c>
      <c r="O1488" t="s">
        <v>1272</v>
      </c>
      <c r="P1488" t="s">
        <v>1285</v>
      </c>
      <c r="Q1488" s="3">
        <v>9650000</v>
      </c>
      <c r="R1488" s="3">
        <v>9650000</v>
      </c>
      <c r="S1488" s="3">
        <v>0</v>
      </c>
    </row>
    <row r="1489" spans="1:19" x14ac:dyDescent="0.25">
      <c r="A1489">
        <v>900091143</v>
      </c>
      <c r="B1489" t="s">
        <v>17</v>
      </c>
      <c r="C1489" t="s">
        <v>1294</v>
      </c>
      <c r="D1489" t="s">
        <v>1295</v>
      </c>
      <c r="E1489" t="s">
        <v>1294</v>
      </c>
      <c r="F1489" t="s">
        <v>1269</v>
      </c>
      <c r="G1489" t="s">
        <v>1296</v>
      </c>
      <c r="H1489" t="s">
        <v>22</v>
      </c>
      <c r="I1489" t="s">
        <v>809</v>
      </c>
      <c r="J1489" t="s">
        <v>810</v>
      </c>
      <c r="K1489" t="s">
        <v>50</v>
      </c>
      <c r="L1489" t="s">
        <v>1271</v>
      </c>
      <c r="M1489">
        <v>2</v>
      </c>
      <c r="N1489" t="s">
        <v>1271</v>
      </c>
      <c r="O1489" t="s">
        <v>1272</v>
      </c>
      <c r="P1489" t="s">
        <v>1297</v>
      </c>
      <c r="Q1489" s="3">
        <v>6000000</v>
      </c>
      <c r="R1489" s="3">
        <v>6000000</v>
      </c>
      <c r="S1489" s="3">
        <v>0</v>
      </c>
    </row>
    <row r="1490" spans="1:19" x14ac:dyDescent="0.25">
      <c r="A1490">
        <v>900091143</v>
      </c>
      <c r="B1490" t="s">
        <v>17</v>
      </c>
      <c r="C1490" t="s">
        <v>1298</v>
      </c>
      <c r="D1490" t="s">
        <v>1299</v>
      </c>
      <c r="E1490" t="s">
        <v>1298</v>
      </c>
      <c r="F1490" t="s">
        <v>1269</v>
      </c>
      <c r="G1490" t="s">
        <v>1300</v>
      </c>
      <c r="H1490" t="s">
        <v>22</v>
      </c>
      <c r="I1490" t="s">
        <v>349</v>
      </c>
      <c r="J1490" t="s">
        <v>350</v>
      </c>
      <c r="K1490" t="s">
        <v>50</v>
      </c>
      <c r="L1490" t="s">
        <v>1271</v>
      </c>
      <c r="M1490">
        <v>2</v>
      </c>
      <c r="N1490" t="s">
        <v>1271</v>
      </c>
      <c r="O1490" t="s">
        <v>1272</v>
      </c>
      <c r="P1490" t="s">
        <v>1297</v>
      </c>
      <c r="Q1490" s="3">
        <v>6000000</v>
      </c>
      <c r="R1490" s="3">
        <v>6000000</v>
      </c>
      <c r="S1490" s="3">
        <v>0</v>
      </c>
    </row>
    <row r="1491" spans="1:19" x14ac:dyDescent="0.25">
      <c r="A1491">
        <v>900091143</v>
      </c>
      <c r="B1491" t="s">
        <v>17</v>
      </c>
      <c r="C1491" t="s">
        <v>1301</v>
      </c>
      <c r="D1491" t="s">
        <v>1302</v>
      </c>
      <c r="E1491" t="s">
        <v>1301</v>
      </c>
      <c r="F1491" t="s">
        <v>1269</v>
      </c>
      <c r="G1491" t="s">
        <v>1303</v>
      </c>
      <c r="H1491" t="s">
        <v>22</v>
      </c>
      <c r="I1491" t="s">
        <v>224</v>
      </c>
      <c r="J1491" t="s">
        <v>225</v>
      </c>
      <c r="K1491" t="s">
        <v>2860</v>
      </c>
      <c r="L1491" t="s">
        <v>1271</v>
      </c>
      <c r="M1491">
        <v>2</v>
      </c>
      <c r="N1491" t="s">
        <v>1271</v>
      </c>
      <c r="O1491" t="s">
        <v>1272</v>
      </c>
      <c r="P1491" t="s">
        <v>1273</v>
      </c>
      <c r="Q1491" s="3">
        <v>9500000</v>
      </c>
      <c r="R1491" s="3">
        <v>9500000</v>
      </c>
      <c r="S1491" s="3">
        <v>0</v>
      </c>
    </row>
    <row r="1492" spans="1:19" x14ac:dyDescent="0.25">
      <c r="A1492">
        <v>900091143</v>
      </c>
      <c r="B1492" t="s">
        <v>17</v>
      </c>
      <c r="C1492" t="s">
        <v>1304</v>
      </c>
      <c r="D1492" t="s">
        <v>1305</v>
      </c>
      <c r="E1492" t="s">
        <v>1304</v>
      </c>
      <c r="F1492" t="s">
        <v>1269</v>
      </c>
      <c r="G1492" t="s">
        <v>1306</v>
      </c>
      <c r="H1492" t="s">
        <v>22</v>
      </c>
      <c r="I1492" t="s">
        <v>734</v>
      </c>
      <c r="J1492" t="s">
        <v>735</v>
      </c>
      <c r="K1492" t="s">
        <v>2860</v>
      </c>
      <c r="L1492" t="s">
        <v>1271</v>
      </c>
      <c r="M1492">
        <v>2</v>
      </c>
      <c r="N1492" t="s">
        <v>1271</v>
      </c>
      <c r="O1492" t="s">
        <v>1272</v>
      </c>
      <c r="P1492" t="s">
        <v>1273</v>
      </c>
      <c r="Q1492" s="3">
        <v>9500000</v>
      </c>
      <c r="R1492" s="3">
        <v>9500000</v>
      </c>
      <c r="S1492" s="3">
        <v>0</v>
      </c>
    </row>
    <row r="1493" spans="1:19" x14ac:dyDescent="0.25">
      <c r="A1493">
        <v>900091143</v>
      </c>
      <c r="B1493" t="s">
        <v>17</v>
      </c>
      <c r="C1493" t="s">
        <v>1307</v>
      </c>
      <c r="D1493" t="s">
        <v>1308</v>
      </c>
      <c r="E1493" t="s">
        <v>1307</v>
      </c>
      <c r="F1493" t="s">
        <v>1269</v>
      </c>
      <c r="G1493" t="s">
        <v>1309</v>
      </c>
      <c r="H1493" t="s">
        <v>22</v>
      </c>
      <c r="I1493" t="s">
        <v>1310</v>
      </c>
      <c r="J1493" t="s">
        <v>1311</v>
      </c>
      <c r="K1493" t="s">
        <v>2860</v>
      </c>
      <c r="L1493" t="s">
        <v>1271</v>
      </c>
      <c r="M1493">
        <v>2</v>
      </c>
      <c r="N1493" t="s">
        <v>1271</v>
      </c>
      <c r="O1493" t="s">
        <v>1272</v>
      </c>
      <c r="P1493" t="s">
        <v>1273</v>
      </c>
      <c r="Q1493" s="3">
        <v>9500000</v>
      </c>
      <c r="R1493" s="3">
        <v>9500000</v>
      </c>
      <c r="S1493" s="3">
        <v>0</v>
      </c>
    </row>
    <row r="1494" spans="1:19" x14ac:dyDescent="0.25">
      <c r="A1494">
        <v>900091143</v>
      </c>
      <c r="B1494" t="s">
        <v>17</v>
      </c>
      <c r="C1494" t="s">
        <v>1312</v>
      </c>
      <c r="D1494" t="s">
        <v>1313</v>
      </c>
      <c r="E1494" t="s">
        <v>1312</v>
      </c>
      <c r="F1494" t="s">
        <v>1269</v>
      </c>
      <c r="G1494" t="s">
        <v>1314</v>
      </c>
      <c r="H1494" t="s">
        <v>22</v>
      </c>
      <c r="I1494" t="s">
        <v>144</v>
      </c>
      <c r="J1494" t="s">
        <v>145</v>
      </c>
      <c r="K1494" t="s">
        <v>50</v>
      </c>
      <c r="L1494" t="s">
        <v>1271</v>
      </c>
      <c r="M1494">
        <v>2</v>
      </c>
      <c r="N1494" t="s">
        <v>1271</v>
      </c>
      <c r="O1494" t="s">
        <v>1272</v>
      </c>
      <c r="P1494" t="s">
        <v>1297</v>
      </c>
      <c r="Q1494" s="3">
        <v>6000000</v>
      </c>
      <c r="R1494" s="3">
        <v>6000000</v>
      </c>
      <c r="S1494" s="3">
        <v>0</v>
      </c>
    </row>
    <row r="1495" spans="1:19" x14ac:dyDescent="0.25">
      <c r="A1495">
        <v>900091143</v>
      </c>
      <c r="B1495" t="s">
        <v>17</v>
      </c>
      <c r="C1495" t="s">
        <v>1315</v>
      </c>
      <c r="D1495" t="s">
        <v>1316</v>
      </c>
      <c r="E1495" t="s">
        <v>1315</v>
      </c>
      <c r="F1495" t="s">
        <v>1269</v>
      </c>
      <c r="G1495" t="s">
        <v>1317</v>
      </c>
      <c r="H1495" t="s">
        <v>22</v>
      </c>
      <c r="I1495" t="s">
        <v>188</v>
      </c>
      <c r="J1495" t="s">
        <v>189</v>
      </c>
      <c r="K1495" t="s">
        <v>50</v>
      </c>
      <c r="L1495" t="s">
        <v>1271</v>
      </c>
      <c r="M1495">
        <v>2</v>
      </c>
      <c r="N1495" t="s">
        <v>1271</v>
      </c>
      <c r="O1495" t="s">
        <v>1272</v>
      </c>
      <c r="P1495" t="s">
        <v>1297</v>
      </c>
      <c r="Q1495" s="3">
        <v>6000000</v>
      </c>
      <c r="R1495" s="3">
        <v>6000000</v>
      </c>
      <c r="S1495" s="3">
        <v>0</v>
      </c>
    </row>
    <row r="1496" spans="1:19" x14ac:dyDescent="0.25">
      <c r="A1496">
        <v>900091143</v>
      </c>
      <c r="B1496" t="s">
        <v>17</v>
      </c>
      <c r="C1496" t="s">
        <v>1318</v>
      </c>
      <c r="D1496" t="s">
        <v>1319</v>
      </c>
      <c r="E1496" t="s">
        <v>1318</v>
      </c>
      <c r="F1496" t="s">
        <v>1269</v>
      </c>
      <c r="G1496" t="s">
        <v>1320</v>
      </c>
      <c r="H1496" t="s">
        <v>22</v>
      </c>
      <c r="I1496" t="s">
        <v>549</v>
      </c>
      <c r="J1496" t="s">
        <v>550</v>
      </c>
      <c r="K1496" t="s">
        <v>50</v>
      </c>
      <c r="L1496" t="s">
        <v>1271</v>
      </c>
      <c r="M1496">
        <v>2</v>
      </c>
      <c r="N1496" t="s">
        <v>1271</v>
      </c>
      <c r="O1496" t="s">
        <v>1272</v>
      </c>
      <c r="P1496" t="s">
        <v>1297</v>
      </c>
      <c r="Q1496" s="3">
        <v>6000000</v>
      </c>
      <c r="R1496" s="3">
        <v>6000000</v>
      </c>
      <c r="S1496" s="3">
        <v>0</v>
      </c>
    </row>
    <row r="1497" spans="1:19" x14ac:dyDescent="0.25">
      <c r="A1497">
        <v>900091143</v>
      </c>
      <c r="B1497" t="s">
        <v>17</v>
      </c>
      <c r="C1497" t="s">
        <v>1321</v>
      </c>
      <c r="D1497" t="s">
        <v>1322</v>
      </c>
      <c r="E1497" t="s">
        <v>1321</v>
      </c>
      <c r="F1497" t="s">
        <v>1269</v>
      </c>
      <c r="G1497" t="s">
        <v>1323</v>
      </c>
      <c r="H1497" t="s">
        <v>22</v>
      </c>
      <c r="I1497" t="s">
        <v>413</v>
      </c>
      <c r="J1497" t="s">
        <v>414</v>
      </c>
      <c r="K1497" t="s">
        <v>168</v>
      </c>
      <c r="L1497" t="s">
        <v>1271</v>
      </c>
      <c r="M1497">
        <v>2</v>
      </c>
      <c r="N1497" t="s">
        <v>1271</v>
      </c>
      <c r="O1497" t="s">
        <v>1272</v>
      </c>
      <c r="P1497" t="s">
        <v>1324</v>
      </c>
      <c r="Q1497" s="3">
        <v>12000000</v>
      </c>
      <c r="R1497" s="3">
        <v>12000000</v>
      </c>
      <c r="S1497" s="3">
        <v>0</v>
      </c>
    </row>
    <row r="1498" spans="1:19" x14ac:dyDescent="0.25">
      <c r="A1498">
        <v>900091143</v>
      </c>
      <c r="B1498" t="s">
        <v>17</v>
      </c>
      <c r="C1498" t="s">
        <v>1325</v>
      </c>
      <c r="D1498" t="s">
        <v>1326</v>
      </c>
      <c r="E1498" t="s">
        <v>1325</v>
      </c>
      <c r="F1498" t="s">
        <v>1269</v>
      </c>
      <c r="G1498" t="s">
        <v>1327</v>
      </c>
      <c r="H1498" t="s">
        <v>22</v>
      </c>
      <c r="I1498" t="s">
        <v>1328</v>
      </c>
      <c r="J1498" t="s">
        <v>1329</v>
      </c>
      <c r="K1498" t="s">
        <v>2860</v>
      </c>
      <c r="L1498" t="s">
        <v>1271</v>
      </c>
      <c r="M1498">
        <v>2</v>
      </c>
      <c r="N1498" t="s">
        <v>1271</v>
      </c>
      <c r="O1498" t="s">
        <v>1272</v>
      </c>
      <c r="P1498" t="s">
        <v>1273</v>
      </c>
      <c r="Q1498" s="3">
        <v>9500000</v>
      </c>
      <c r="R1498" s="3">
        <v>9500000</v>
      </c>
      <c r="S1498" s="3">
        <v>0</v>
      </c>
    </row>
    <row r="1499" spans="1:19" x14ac:dyDescent="0.25">
      <c r="A1499">
        <v>900091143</v>
      </c>
      <c r="B1499" t="s">
        <v>17</v>
      </c>
      <c r="C1499" t="s">
        <v>1330</v>
      </c>
      <c r="D1499" t="s">
        <v>1331</v>
      </c>
      <c r="E1499" t="s">
        <v>1330</v>
      </c>
      <c r="F1499" t="s">
        <v>1269</v>
      </c>
      <c r="G1499" t="s">
        <v>1332</v>
      </c>
      <c r="H1499" t="s">
        <v>22</v>
      </c>
      <c r="I1499" t="s">
        <v>255</v>
      </c>
      <c r="J1499" t="s">
        <v>256</v>
      </c>
      <c r="K1499" t="s">
        <v>2860</v>
      </c>
      <c r="L1499" t="s">
        <v>1271</v>
      </c>
      <c r="M1499">
        <v>2</v>
      </c>
      <c r="N1499" t="s">
        <v>1271</v>
      </c>
      <c r="O1499" t="s">
        <v>1272</v>
      </c>
      <c r="P1499" t="s">
        <v>1273</v>
      </c>
      <c r="Q1499" s="3">
        <v>9500000</v>
      </c>
      <c r="R1499" s="3">
        <v>9500000</v>
      </c>
      <c r="S1499" s="3">
        <v>0</v>
      </c>
    </row>
    <row r="1500" spans="1:19" x14ac:dyDescent="0.25">
      <c r="A1500">
        <v>900091143</v>
      </c>
      <c r="B1500" t="s">
        <v>17</v>
      </c>
      <c r="C1500" t="s">
        <v>1333</v>
      </c>
      <c r="D1500" t="s">
        <v>1334</v>
      </c>
      <c r="E1500" t="s">
        <v>1333</v>
      </c>
      <c r="F1500" t="s">
        <v>1269</v>
      </c>
      <c r="G1500" t="s">
        <v>1335</v>
      </c>
      <c r="H1500" t="s">
        <v>22</v>
      </c>
      <c r="I1500" t="s">
        <v>1336</v>
      </c>
      <c r="J1500" t="s">
        <v>1337</v>
      </c>
      <c r="K1500" t="s">
        <v>50</v>
      </c>
      <c r="L1500" t="s">
        <v>1271</v>
      </c>
      <c r="M1500">
        <v>2</v>
      </c>
      <c r="N1500" t="s">
        <v>1271</v>
      </c>
      <c r="O1500" t="s">
        <v>1338</v>
      </c>
      <c r="P1500" t="s">
        <v>1297</v>
      </c>
      <c r="Q1500" s="3">
        <v>4000000</v>
      </c>
      <c r="R1500" s="3">
        <v>4000000</v>
      </c>
      <c r="S1500" s="3">
        <v>0</v>
      </c>
    </row>
    <row r="1501" spans="1:19" x14ac:dyDescent="0.25">
      <c r="A1501">
        <v>900091143</v>
      </c>
      <c r="B1501" t="s">
        <v>17</v>
      </c>
      <c r="C1501" t="s">
        <v>1339</v>
      </c>
      <c r="D1501" t="s">
        <v>1340</v>
      </c>
      <c r="E1501" t="s">
        <v>1339</v>
      </c>
      <c r="F1501" t="s">
        <v>1269</v>
      </c>
      <c r="G1501" t="s">
        <v>1341</v>
      </c>
      <c r="H1501" t="s">
        <v>22</v>
      </c>
      <c r="I1501" t="s">
        <v>814</v>
      </c>
      <c r="J1501" t="s">
        <v>815</v>
      </c>
      <c r="K1501" t="s">
        <v>50</v>
      </c>
      <c r="L1501" t="s">
        <v>1271</v>
      </c>
      <c r="M1501">
        <v>2</v>
      </c>
      <c r="N1501" t="s">
        <v>1271</v>
      </c>
      <c r="O1501" t="s">
        <v>1272</v>
      </c>
      <c r="P1501" t="s">
        <v>1297</v>
      </c>
      <c r="Q1501" s="3">
        <v>6000000</v>
      </c>
      <c r="R1501" s="3">
        <v>6000000</v>
      </c>
      <c r="S1501" s="3">
        <v>0</v>
      </c>
    </row>
    <row r="1502" spans="1:19" x14ac:dyDescent="0.25">
      <c r="A1502">
        <v>900091143</v>
      </c>
      <c r="B1502" t="s">
        <v>17</v>
      </c>
      <c r="C1502" t="s">
        <v>1342</v>
      </c>
      <c r="D1502" t="s">
        <v>1343</v>
      </c>
      <c r="E1502" t="s">
        <v>1342</v>
      </c>
      <c r="F1502" t="s">
        <v>1269</v>
      </c>
      <c r="G1502" t="s">
        <v>1344</v>
      </c>
      <c r="H1502" t="s">
        <v>22</v>
      </c>
      <c r="I1502" t="s">
        <v>1170</v>
      </c>
      <c r="J1502" t="s">
        <v>1171</v>
      </c>
      <c r="K1502" t="s">
        <v>2861</v>
      </c>
      <c r="L1502" t="s">
        <v>1271</v>
      </c>
      <c r="M1502">
        <v>3</v>
      </c>
      <c r="N1502" t="s">
        <v>1271</v>
      </c>
      <c r="O1502" t="s">
        <v>1345</v>
      </c>
      <c r="P1502" t="s">
        <v>1346</v>
      </c>
      <c r="Q1502" s="3">
        <v>7500000</v>
      </c>
      <c r="R1502" s="3">
        <v>7500000</v>
      </c>
      <c r="S1502" s="3">
        <v>0</v>
      </c>
    </row>
    <row r="1503" spans="1:19" x14ac:dyDescent="0.25">
      <c r="A1503">
        <v>900091143</v>
      </c>
      <c r="B1503" t="s">
        <v>17</v>
      </c>
      <c r="C1503" t="s">
        <v>1347</v>
      </c>
      <c r="D1503" t="s">
        <v>1348</v>
      </c>
      <c r="E1503" t="s">
        <v>1347</v>
      </c>
      <c r="F1503" t="s">
        <v>1269</v>
      </c>
      <c r="G1503" t="s">
        <v>1349</v>
      </c>
      <c r="H1503" t="s">
        <v>22</v>
      </c>
      <c r="I1503" t="s">
        <v>127</v>
      </c>
      <c r="J1503" t="s">
        <v>1350</v>
      </c>
      <c r="K1503" t="s">
        <v>50</v>
      </c>
      <c r="L1503" t="s">
        <v>1351</v>
      </c>
      <c r="M1503">
        <v>2</v>
      </c>
      <c r="N1503" t="s">
        <v>1351</v>
      </c>
      <c r="O1503" t="s">
        <v>1272</v>
      </c>
      <c r="P1503" t="s">
        <v>1297</v>
      </c>
      <c r="Q1503" s="3">
        <v>6000000</v>
      </c>
      <c r="R1503" s="3">
        <v>6000000</v>
      </c>
      <c r="S1503" s="3">
        <v>0</v>
      </c>
    </row>
    <row r="1504" spans="1:19" x14ac:dyDescent="0.25">
      <c r="A1504">
        <v>900091143</v>
      </c>
      <c r="B1504" t="s">
        <v>17</v>
      </c>
      <c r="C1504" t="s">
        <v>1352</v>
      </c>
      <c r="D1504" t="s">
        <v>1353</v>
      </c>
      <c r="E1504" t="s">
        <v>1352</v>
      </c>
      <c r="F1504" t="s">
        <v>1269</v>
      </c>
      <c r="G1504" t="s">
        <v>1354</v>
      </c>
      <c r="H1504" t="s">
        <v>22</v>
      </c>
      <c r="I1504" t="s">
        <v>166</v>
      </c>
      <c r="J1504" t="s">
        <v>1355</v>
      </c>
      <c r="K1504" t="s">
        <v>168</v>
      </c>
      <c r="L1504" t="s">
        <v>1351</v>
      </c>
      <c r="M1504">
        <v>2</v>
      </c>
      <c r="N1504" t="s">
        <v>1351</v>
      </c>
      <c r="O1504" t="s">
        <v>1272</v>
      </c>
      <c r="P1504" t="s">
        <v>169</v>
      </c>
      <c r="Q1504" s="3">
        <v>12000000</v>
      </c>
      <c r="R1504" s="3">
        <v>12000000</v>
      </c>
      <c r="S1504" s="3">
        <v>0</v>
      </c>
    </row>
    <row r="1505" spans="1:19" x14ac:dyDescent="0.25">
      <c r="A1505">
        <v>900091143</v>
      </c>
      <c r="B1505" t="s">
        <v>17</v>
      </c>
      <c r="C1505" t="s">
        <v>1356</v>
      </c>
      <c r="D1505" t="s">
        <v>1357</v>
      </c>
      <c r="E1505" t="s">
        <v>1356</v>
      </c>
      <c r="F1505" t="s">
        <v>1269</v>
      </c>
      <c r="G1505" t="s">
        <v>1358</v>
      </c>
      <c r="H1505" t="s">
        <v>22</v>
      </c>
      <c r="I1505" t="s">
        <v>924</v>
      </c>
      <c r="J1505" t="s">
        <v>925</v>
      </c>
      <c r="K1505" t="s">
        <v>50</v>
      </c>
      <c r="L1505" t="s">
        <v>1351</v>
      </c>
      <c r="M1505">
        <v>2</v>
      </c>
      <c r="N1505" t="s">
        <v>1351</v>
      </c>
      <c r="O1505" t="s">
        <v>1272</v>
      </c>
      <c r="P1505" t="s">
        <v>1297</v>
      </c>
      <c r="Q1505" s="3">
        <v>6000000</v>
      </c>
      <c r="R1505" s="3">
        <v>0</v>
      </c>
      <c r="S1505" s="3">
        <v>6000000</v>
      </c>
    </row>
    <row r="1506" spans="1:19" x14ac:dyDescent="0.25">
      <c r="A1506">
        <v>900091143</v>
      </c>
      <c r="B1506" t="s">
        <v>17</v>
      </c>
      <c r="C1506" t="s">
        <v>1359</v>
      </c>
      <c r="D1506" t="s">
        <v>1360</v>
      </c>
      <c r="E1506" t="s">
        <v>1359</v>
      </c>
      <c r="F1506" t="s">
        <v>1269</v>
      </c>
      <c r="G1506" t="s">
        <v>1361</v>
      </c>
      <c r="H1506" t="s">
        <v>22</v>
      </c>
      <c r="I1506" t="s">
        <v>1362</v>
      </c>
      <c r="J1506" t="s">
        <v>1363</v>
      </c>
      <c r="K1506" t="s">
        <v>50</v>
      </c>
      <c r="L1506" t="s">
        <v>1351</v>
      </c>
      <c r="M1506">
        <v>2</v>
      </c>
      <c r="N1506" t="s">
        <v>1351</v>
      </c>
      <c r="O1506" t="s">
        <v>1272</v>
      </c>
      <c r="P1506" t="s">
        <v>1297</v>
      </c>
      <c r="Q1506" s="3">
        <v>6000000</v>
      </c>
      <c r="R1506" s="3">
        <v>6000000</v>
      </c>
      <c r="S1506" s="3">
        <v>0</v>
      </c>
    </row>
    <row r="1507" spans="1:19" x14ac:dyDescent="0.25">
      <c r="A1507">
        <v>900091143</v>
      </c>
      <c r="B1507" t="s">
        <v>17</v>
      </c>
      <c r="C1507" t="s">
        <v>1364</v>
      </c>
      <c r="D1507" t="s">
        <v>1365</v>
      </c>
      <c r="E1507" t="s">
        <v>1364</v>
      </c>
      <c r="F1507" t="s">
        <v>1269</v>
      </c>
      <c r="G1507" t="s">
        <v>1366</v>
      </c>
      <c r="H1507" t="s">
        <v>22</v>
      </c>
      <c r="I1507" t="s">
        <v>434</v>
      </c>
      <c r="J1507" t="s">
        <v>435</v>
      </c>
      <c r="K1507" t="s">
        <v>71</v>
      </c>
      <c r="L1507" t="s">
        <v>1351</v>
      </c>
      <c r="M1507">
        <v>14</v>
      </c>
      <c r="N1507" t="s">
        <v>1367</v>
      </c>
      <c r="O1507" t="s">
        <v>1272</v>
      </c>
      <c r="P1507" t="s">
        <v>72</v>
      </c>
      <c r="Q1507" s="3">
        <v>9650000</v>
      </c>
      <c r="R1507" s="3">
        <v>9650000</v>
      </c>
      <c r="S1507" s="3">
        <v>0</v>
      </c>
    </row>
    <row r="1508" spans="1:19" x14ac:dyDescent="0.25">
      <c r="A1508">
        <v>900091143</v>
      </c>
      <c r="B1508" t="s">
        <v>17</v>
      </c>
      <c r="C1508" t="s">
        <v>1368</v>
      </c>
      <c r="D1508" t="s">
        <v>1369</v>
      </c>
      <c r="E1508" t="s">
        <v>1368</v>
      </c>
      <c r="F1508" t="s">
        <v>1269</v>
      </c>
      <c r="G1508" t="s">
        <v>1370</v>
      </c>
      <c r="H1508" t="s">
        <v>22</v>
      </c>
      <c r="I1508" t="s">
        <v>86</v>
      </c>
      <c r="J1508" t="s">
        <v>87</v>
      </c>
      <c r="K1508" t="s">
        <v>50</v>
      </c>
      <c r="L1508" t="s">
        <v>1351</v>
      </c>
      <c r="M1508">
        <v>2</v>
      </c>
      <c r="N1508" t="s">
        <v>1351</v>
      </c>
      <c r="O1508" t="s">
        <v>1272</v>
      </c>
      <c r="P1508" t="s">
        <v>1297</v>
      </c>
      <c r="Q1508" s="3">
        <v>6000000</v>
      </c>
      <c r="R1508" s="3">
        <v>6000000</v>
      </c>
      <c r="S1508" s="3">
        <v>0</v>
      </c>
    </row>
    <row r="1509" spans="1:19" x14ac:dyDescent="0.25">
      <c r="A1509">
        <v>900091143</v>
      </c>
      <c r="B1509" t="s">
        <v>17</v>
      </c>
      <c r="C1509" t="s">
        <v>1371</v>
      </c>
      <c r="D1509" t="s">
        <v>1372</v>
      </c>
      <c r="E1509" t="s">
        <v>1371</v>
      </c>
      <c r="F1509" t="s">
        <v>1269</v>
      </c>
      <c r="G1509" t="s">
        <v>1373</v>
      </c>
      <c r="H1509" t="s">
        <v>22</v>
      </c>
      <c r="I1509" t="s">
        <v>122</v>
      </c>
      <c r="J1509" t="s">
        <v>123</v>
      </c>
      <c r="K1509" t="s">
        <v>50</v>
      </c>
      <c r="L1509" t="s">
        <v>1351</v>
      </c>
      <c r="M1509">
        <v>2</v>
      </c>
      <c r="N1509" t="s">
        <v>1351</v>
      </c>
      <c r="O1509" t="s">
        <v>1272</v>
      </c>
      <c r="P1509" t="s">
        <v>1297</v>
      </c>
      <c r="Q1509" s="3">
        <v>6000000</v>
      </c>
      <c r="R1509" s="3">
        <v>6000000</v>
      </c>
      <c r="S1509" s="3">
        <v>0</v>
      </c>
    </row>
    <row r="1510" spans="1:19" x14ac:dyDescent="0.25">
      <c r="A1510">
        <v>900091143</v>
      </c>
      <c r="B1510" t="s">
        <v>17</v>
      </c>
      <c r="C1510" t="s">
        <v>1374</v>
      </c>
      <c r="D1510" t="s">
        <v>1375</v>
      </c>
      <c r="E1510" t="s">
        <v>1374</v>
      </c>
      <c r="F1510" t="s">
        <v>1269</v>
      </c>
      <c r="G1510" t="s">
        <v>1376</v>
      </c>
      <c r="H1510" t="s">
        <v>22</v>
      </c>
      <c r="I1510" t="s">
        <v>1377</v>
      </c>
      <c r="J1510" t="s">
        <v>1378</v>
      </c>
      <c r="K1510" t="s">
        <v>50</v>
      </c>
      <c r="L1510" t="s">
        <v>1351</v>
      </c>
      <c r="M1510">
        <v>2</v>
      </c>
      <c r="N1510" t="s">
        <v>1351</v>
      </c>
      <c r="O1510" t="s">
        <v>1272</v>
      </c>
      <c r="P1510" t="s">
        <v>1297</v>
      </c>
      <c r="Q1510" s="3">
        <v>6000000</v>
      </c>
      <c r="R1510" s="3">
        <v>6000000</v>
      </c>
      <c r="S1510" s="3">
        <v>0</v>
      </c>
    </row>
    <row r="1511" spans="1:19" x14ac:dyDescent="0.25">
      <c r="A1511">
        <v>900091143</v>
      </c>
      <c r="B1511" t="s">
        <v>17</v>
      </c>
      <c r="C1511" t="s">
        <v>1379</v>
      </c>
      <c r="D1511" t="s">
        <v>1380</v>
      </c>
      <c r="E1511" t="s">
        <v>1379</v>
      </c>
      <c r="F1511" t="s">
        <v>1269</v>
      </c>
      <c r="G1511" t="s">
        <v>1381</v>
      </c>
      <c r="H1511" t="s">
        <v>22</v>
      </c>
      <c r="I1511" t="s">
        <v>1382</v>
      </c>
      <c r="J1511" t="s">
        <v>1383</v>
      </c>
      <c r="K1511" t="s">
        <v>50</v>
      </c>
      <c r="L1511" t="s">
        <v>1351</v>
      </c>
      <c r="M1511">
        <v>2</v>
      </c>
      <c r="N1511" t="s">
        <v>1351</v>
      </c>
      <c r="O1511" t="s">
        <v>1272</v>
      </c>
      <c r="P1511" t="s">
        <v>1297</v>
      </c>
      <c r="Q1511" s="3">
        <v>6000000</v>
      </c>
      <c r="R1511" s="3">
        <v>6000000</v>
      </c>
      <c r="S1511" s="3">
        <v>0</v>
      </c>
    </row>
    <row r="1512" spans="1:19" x14ac:dyDescent="0.25">
      <c r="A1512">
        <v>900091143</v>
      </c>
      <c r="B1512" t="s">
        <v>17</v>
      </c>
      <c r="C1512" t="s">
        <v>1384</v>
      </c>
      <c r="D1512" t="s">
        <v>1385</v>
      </c>
      <c r="E1512" t="s">
        <v>1384</v>
      </c>
      <c r="F1512" t="s">
        <v>1269</v>
      </c>
      <c r="G1512" t="s">
        <v>1386</v>
      </c>
      <c r="H1512" t="s">
        <v>22</v>
      </c>
      <c r="I1512" t="s">
        <v>212</v>
      </c>
      <c r="J1512" t="s">
        <v>213</v>
      </c>
      <c r="K1512" t="s">
        <v>50</v>
      </c>
      <c r="L1512" t="s">
        <v>1351</v>
      </c>
      <c r="M1512">
        <v>2</v>
      </c>
      <c r="N1512" t="s">
        <v>1351</v>
      </c>
      <c r="O1512" t="s">
        <v>1272</v>
      </c>
      <c r="P1512" t="s">
        <v>1297</v>
      </c>
      <c r="Q1512" s="3">
        <v>6000000</v>
      </c>
      <c r="R1512" s="3">
        <v>6000000</v>
      </c>
      <c r="S1512" s="3">
        <v>0</v>
      </c>
    </row>
    <row r="1513" spans="1:19" x14ac:dyDescent="0.25">
      <c r="A1513">
        <v>900091143</v>
      </c>
      <c r="B1513" t="s">
        <v>17</v>
      </c>
      <c r="C1513" t="s">
        <v>1387</v>
      </c>
      <c r="D1513" t="s">
        <v>1388</v>
      </c>
      <c r="E1513" t="s">
        <v>1387</v>
      </c>
      <c r="F1513" t="s">
        <v>1269</v>
      </c>
      <c r="G1513" t="s">
        <v>1389</v>
      </c>
      <c r="H1513" t="s">
        <v>22</v>
      </c>
      <c r="I1513" t="s">
        <v>1390</v>
      </c>
      <c r="J1513" t="s">
        <v>1391</v>
      </c>
      <c r="K1513" t="s">
        <v>50</v>
      </c>
      <c r="L1513" t="s">
        <v>1392</v>
      </c>
      <c r="M1513">
        <v>2</v>
      </c>
      <c r="N1513" t="s">
        <v>1392</v>
      </c>
      <c r="O1513" t="s">
        <v>1272</v>
      </c>
      <c r="P1513" t="s">
        <v>1297</v>
      </c>
      <c r="Q1513" s="3">
        <v>6000000</v>
      </c>
      <c r="R1513" s="3">
        <v>6000000</v>
      </c>
      <c r="S1513" s="3">
        <v>0</v>
      </c>
    </row>
    <row r="1514" spans="1:19" x14ac:dyDescent="0.25">
      <c r="A1514">
        <v>900091143</v>
      </c>
      <c r="B1514" t="s">
        <v>17</v>
      </c>
      <c r="C1514" t="s">
        <v>1393</v>
      </c>
      <c r="D1514" t="s">
        <v>1394</v>
      </c>
      <c r="E1514" t="s">
        <v>1393</v>
      </c>
      <c r="F1514" t="s">
        <v>1269</v>
      </c>
      <c r="G1514" t="s">
        <v>1395</v>
      </c>
      <c r="H1514" t="s">
        <v>22</v>
      </c>
      <c r="I1514" t="s">
        <v>1396</v>
      </c>
      <c r="J1514" t="s">
        <v>1397</v>
      </c>
      <c r="K1514" t="s">
        <v>2860</v>
      </c>
      <c r="L1514" t="s">
        <v>1392</v>
      </c>
      <c r="M1514">
        <v>2</v>
      </c>
      <c r="N1514" t="s">
        <v>1392</v>
      </c>
      <c r="O1514" t="s">
        <v>1272</v>
      </c>
      <c r="P1514" t="s">
        <v>1273</v>
      </c>
      <c r="Q1514" s="3">
        <v>9500000</v>
      </c>
      <c r="R1514" s="3">
        <v>9500000</v>
      </c>
      <c r="S1514" s="3">
        <v>0</v>
      </c>
    </row>
    <row r="1515" spans="1:19" x14ac:dyDescent="0.25">
      <c r="A1515">
        <v>900091143</v>
      </c>
      <c r="B1515" t="s">
        <v>17</v>
      </c>
      <c r="C1515" t="s">
        <v>1398</v>
      </c>
      <c r="D1515" t="s">
        <v>1399</v>
      </c>
      <c r="E1515" t="s">
        <v>1398</v>
      </c>
      <c r="F1515" t="s">
        <v>1269</v>
      </c>
      <c r="G1515" t="s">
        <v>1400</v>
      </c>
      <c r="H1515" t="s">
        <v>22</v>
      </c>
      <c r="I1515" t="s">
        <v>1401</v>
      </c>
      <c r="J1515" t="s">
        <v>1402</v>
      </c>
      <c r="K1515" t="s">
        <v>2860</v>
      </c>
      <c r="L1515" t="s">
        <v>1392</v>
      </c>
      <c r="M1515">
        <v>2</v>
      </c>
      <c r="N1515" t="s">
        <v>1392</v>
      </c>
      <c r="O1515" t="s">
        <v>1272</v>
      </c>
      <c r="P1515" t="s">
        <v>1273</v>
      </c>
      <c r="Q1515" s="3">
        <v>9500000</v>
      </c>
      <c r="R1515" s="3">
        <v>9500000</v>
      </c>
      <c r="S1515" s="3">
        <v>0</v>
      </c>
    </row>
    <row r="1516" spans="1:19" x14ac:dyDescent="0.25">
      <c r="A1516">
        <v>900091143</v>
      </c>
      <c r="B1516" t="s">
        <v>17</v>
      </c>
      <c r="C1516" t="s">
        <v>1403</v>
      </c>
      <c r="D1516" t="s">
        <v>1404</v>
      </c>
      <c r="E1516" t="s">
        <v>1403</v>
      </c>
      <c r="F1516" t="s">
        <v>1269</v>
      </c>
      <c r="G1516" t="s">
        <v>1405</v>
      </c>
      <c r="H1516" t="s">
        <v>22</v>
      </c>
      <c r="I1516" t="s">
        <v>1406</v>
      </c>
      <c r="J1516" t="s">
        <v>1407</v>
      </c>
      <c r="K1516" t="s">
        <v>50</v>
      </c>
      <c r="L1516" t="s">
        <v>1392</v>
      </c>
      <c r="M1516">
        <v>2</v>
      </c>
      <c r="N1516" t="s">
        <v>1392</v>
      </c>
      <c r="O1516" t="s">
        <v>1272</v>
      </c>
      <c r="P1516" t="s">
        <v>1297</v>
      </c>
      <c r="Q1516" s="3">
        <v>6000000</v>
      </c>
      <c r="R1516" s="3">
        <v>6000000</v>
      </c>
      <c r="S1516" s="3">
        <v>0</v>
      </c>
    </row>
    <row r="1517" spans="1:19" x14ac:dyDescent="0.25">
      <c r="A1517">
        <v>900091143</v>
      </c>
      <c r="B1517" t="s">
        <v>17</v>
      </c>
      <c r="C1517" t="s">
        <v>1408</v>
      </c>
      <c r="D1517" t="s">
        <v>1409</v>
      </c>
      <c r="E1517" t="s">
        <v>1408</v>
      </c>
      <c r="F1517" t="s">
        <v>1269</v>
      </c>
      <c r="G1517" t="s">
        <v>1410</v>
      </c>
      <c r="H1517" t="s">
        <v>22</v>
      </c>
      <c r="I1517" t="s">
        <v>1411</v>
      </c>
      <c r="J1517" t="s">
        <v>1412</v>
      </c>
      <c r="K1517" t="s">
        <v>2861</v>
      </c>
      <c r="L1517" t="s">
        <v>1392</v>
      </c>
      <c r="M1517">
        <v>2</v>
      </c>
      <c r="N1517" t="s">
        <v>1392</v>
      </c>
      <c r="O1517" t="s">
        <v>1272</v>
      </c>
      <c r="P1517" t="s">
        <v>1346</v>
      </c>
      <c r="Q1517" s="3">
        <v>5000000</v>
      </c>
      <c r="R1517" s="3">
        <v>5000000</v>
      </c>
      <c r="S1517" s="3">
        <v>0</v>
      </c>
    </row>
    <row r="1518" spans="1:19" x14ac:dyDescent="0.25">
      <c r="A1518">
        <v>900091143</v>
      </c>
      <c r="B1518" t="s">
        <v>17</v>
      </c>
      <c r="C1518" t="s">
        <v>1413</v>
      </c>
      <c r="D1518" t="s">
        <v>1414</v>
      </c>
      <c r="E1518" t="s">
        <v>1413</v>
      </c>
      <c r="F1518" t="s">
        <v>1269</v>
      </c>
      <c r="G1518" t="s">
        <v>1415</v>
      </c>
      <c r="H1518" t="s">
        <v>22</v>
      </c>
      <c r="I1518" t="s">
        <v>1416</v>
      </c>
      <c r="J1518" t="s">
        <v>1417</v>
      </c>
      <c r="K1518" t="s">
        <v>50</v>
      </c>
      <c r="L1518" t="s">
        <v>1392</v>
      </c>
      <c r="M1518">
        <v>2</v>
      </c>
      <c r="N1518" t="s">
        <v>1392</v>
      </c>
      <c r="O1518" t="s">
        <v>1272</v>
      </c>
      <c r="P1518" t="s">
        <v>1297</v>
      </c>
      <c r="Q1518" s="3">
        <v>6000000</v>
      </c>
      <c r="R1518" s="3">
        <v>6000000</v>
      </c>
      <c r="S1518" s="3">
        <v>0</v>
      </c>
    </row>
    <row r="1519" spans="1:19" x14ac:dyDescent="0.25">
      <c r="A1519">
        <v>900091143</v>
      </c>
      <c r="B1519" t="s">
        <v>17</v>
      </c>
      <c r="C1519" t="s">
        <v>1418</v>
      </c>
      <c r="D1519" t="s">
        <v>1419</v>
      </c>
      <c r="E1519" t="s">
        <v>1418</v>
      </c>
      <c r="F1519" t="s">
        <v>1269</v>
      </c>
      <c r="G1519" t="s">
        <v>1420</v>
      </c>
      <c r="H1519" t="s">
        <v>22</v>
      </c>
      <c r="I1519" t="s">
        <v>1421</v>
      </c>
      <c r="J1519" t="s">
        <v>1422</v>
      </c>
      <c r="K1519" t="s">
        <v>50</v>
      </c>
      <c r="L1519" t="s">
        <v>1392</v>
      </c>
      <c r="M1519">
        <v>2</v>
      </c>
      <c r="N1519" t="s">
        <v>1392</v>
      </c>
      <c r="O1519" t="s">
        <v>1272</v>
      </c>
      <c r="P1519" t="s">
        <v>1297</v>
      </c>
      <c r="Q1519" s="3">
        <v>6000000</v>
      </c>
      <c r="R1519" s="3">
        <v>6000000</v>
      </c>
      <c r="S1519" s="3">
        <v>0</v>
      </c>
    </row>
    <row r="1520" spans="1:19" x14ac:dyDescent="0.25">
      <c r="A1520">
        <v>900091143</v>
      </c>
      <c r="B1520" t="s">
        <v>17</v>
      </c>
      <c r="C1520" t="s">
        <v>1423</v>
      </c>
      <c r="D1520" t="s">
        <v>1424</v>
      </c>
      <c r="E1520" t="s">
        <v>1423</v>
      </c>
      <c r="F1520" t="s">
        <v>1269</v>
      </c>
      <c r="G1520" t="s">
        <v>1425</v>
      </c>
      <c r="H1520" t="s">
        <v>22</v>
      </c>
      <c r="I1520" t="s">
        <v>1426</v>
      </c>
      <c r="J1520" t="s">
        <v>1427</v>
      </c>
      <c r="K1520" t="s">
        <v>50</v>
      </c>
      <c r="L1520" t="s">
        <v>1392</v>
      </c>
      <c r="M1520">
        <v>2</v>
      </c>
      <c r="N1520" t="s">
        <v>1392</v>
      </c>
      <c r="O1520" t="s">
        <v>1272</v>
      </c>
      <c r="P1520" t="s">
        <v>1297</v>
      </c>
      <c r="Q1520" s="3">
        <v>6000000</v>
      </c>
      <c r="R1520" s="3">
        <v>6000000</v>
      </c>
      <c r="S1520" s="3">
        <v>0</v>
      </c>
    </row>
    <row r="1521" spans="1:19" x14ac:dyDescent="0.25">
      <c r="A1521">
        <v>900091143</v>
      </c>
      <c r="B1521" t="s">
        <v>17</v>
      </c>
      <c r="C1521" t="s">
        <v>1428</v>
      </c>
      <c r="D1521" t="s">
        <v>1429</v>
      </c>
      <c r="E1521" t="s">
        <v>1428</v>
      </c>
      <c r="F1521" t="s">
        <v>1269</v>
      </c>
      <c r="G1521" t="s">
        <v>1430</v>
      </c>
      <c r="H1521" t="s">
        <v>22</v>
      </c>
      <c r="I1521" t="s">
        <v>1431</v>
      </c>
      <c r="J1521" t="s">
        <v>1432</v>
      </c>
      <c r="K1521" t="s">
        <v>50</v>
      </c>
      <c r="L1521" t="s">
        <v>1392</v>
      </c>
      <c r="M1521">
        <v>2</v>
      </c>
      <c r="N1521" t="s">
        <v>1392</v>
      </c>
      <c r="O1521" t="s">
        <v>1272</v>
      </c>
      <c r="P1521" t="s">
        <v>1297</v>
      </c>
      <c r="Q1521" s="3">
        <v>6000000</v>
      </c>
      <c r="R1521" s="3">
        <v>6000000</v>
      </c>
      <c r="S1521" s="3">
        <v>0</v>
      </c>
    </row>
    <row r="1522" spans="1:19" x14ac:dyDescent="0.25">
      <c r="A1522">
        <v>900091143</v>
      </c>
      <c r="B1522" t="s">
        <v>17</v>
      </c>
      <c r="C1522" t="s">
        <v>1433</v>
      </c>
      <c r="D1522" t="s">
        <v>1434</v>
      </c>
      <c r="E1522" t="s">
        <v>1433</v>
      </c>
      <c r="F1522" t="s">
        <v>1269</v>
      </c>
      <c r="G1522" t="s">
        <v>1435</v>
      </c>
      <c r="H1522" t="s">
        <v>22</v>
      </c>
      <c r="I1522" t="s">
        <v>1436</v>
      </c>
      <c r="J1522" t="s">
        <v>1437</v>
      </c>
      <c r="K1522" t="s">
        <v>50</v>
      </c>
      <c r="L1522" t="s">
        <v>1392</v>
      </c>
      <c r="M1522">
        <v>2</v>
      </c>
      <c r="N1522" t="s">
        <v>1392</v>
      </c>
      <c r="O1522" t="s">
        <v>1272</v>
      </c>
      <c r="P1522" t="s">
        <v>1438</v>
      </c>
      <c r="Q1522" s="3">
        <v>6000000</v>
      </c>
      <c r="R1522" s="3">
        <v>6000000</v>
      </c>
      <c r="S1522" s="3">
        <v>0</v>
      </c>
    </row>
    <row r="1523" spans="1:19" x14ac:dyDescent="0.25">
      <c r="A1523">
        <v>900091143</v>
      </c>
      <c r="B1523" t="s">
        <v>17</v>
      </c>
      <c r="C1523" t="s">
        <v>1439</v>
      </c>
      <c r="D1523" t="s">
        <v>1440</v>
      </c>
      <c r="E1523" t="s">
        <v>1439</v>
      </c>
      <c r="F1523" t="s">
        <v>1269</v>
      </c>
      <c r="G1523" t="s">
        <v>1441</v>
      </c>
      <c r="H1523" t="s">
        <v>22</v>
      </c>
      <c r="I1523" t="s">
        <v>231</v>
      </c>
      <c r="J1523" t="s">
        <v>232</v>
      </c>
      <c r="K1523" t="s">
        <v>2860</v>
      </c>
      <c r="L1523" t="s">
        <v>1392</v>
      </c>
      <c r="M1523">
        <v>2</v>
      </c>
      <c r="N1523" t="s">
        <v>1392</v>
      </c>
      <c r="O1523" t="s">
        <v>1272</v>
      </c>
      <c r="P1523" t="s">
        <v>1442</v>
      </c>
      <c r="Q1523" s="3">
        <v>9500000</v>
      </c>
      <c r="R1523" s="3">
        <v>9500000</v>
      </c>
      <c r="S1523" s="3">
        <v>0</v>
      </c>
    </row>
    <row r="1524" spans="1:19" x14ac:dyDescent="0.25">
      <c r="A1524">
        <v>900091143</v>
      </c>
      <c r="B1524" t="s">
        <v>17</v>
      </c>
      <c r="C1524" t="s">
        <v>1443</v>
      </c>
      <c r="D1524" t="s">
        <v>1444</v>
      </c>
      <c r="E1524" t="s">
        <v>1443</v>
      </c>
      <c r="F1524" t="s">
        <v>1269</v>
      </c>
      <c r="G1524" t="s">
        <v>1445</v>
      </c>
      <c r="H1524" t="s">
        <v>22</v>
      </c>
      <c r="I1524" t="s">
        <v>827</v>
      </c>
      <c r="J1524" t="s">
        <v>828</v>
      </c>
      <c r="K1524" t="s">
        <v>50</v>
      </c>
      <c r="L1524" t="s">
        <v>1392</v>
      </c>
      <c r="M1524">
        <v>2</v>
      </c>
      <c r="N1524" t="s">
        <v>1392</v>
      </c>
      <c r="O1524" t="s">
        <v>1272</v>
      </c>
      <c r="P1524" t="s">
        <v>1297</v>
      </c>
      <c r="Q1524" s="3">
        <v>6000000</v>
      </c>
      <c r="R1524" s="3">
        <v>6000000</v>
      </c>
      <c r="S1524" s="3">
        <v>0</v>
      </c>
    </row>
    <row r="1525" spans="1:19" x14ac:dyDescent="0.25">
      <c r="A1525">
        <v>900091143</v>
      </c>
      <c r="B1525" t="s">
        <v>17</v>
      </c>
      <c r="C1525" t="s">
        <v>1446</v>
      </c>
      <c r="D1525" t="s">
        <v>1447</v>
      </c>
      <c r="E1525" t="s">
        <v>1446</v>
      </c>
      <c r="F1525" t="s">
        <v>1269</v>
      </c>
      <c r="G1525" t="s">
        <v>1448</v>
      </c>
      <c r="H1525" t="s">
        <v>22</v>
      </c>
      <c r="I1525" t="s">
        <v>1449</v>
      </c>
      <c r="J1525" t="s">
        <v>1450</v>
      </c>
      <c r="K1525" t="s">
        <v>25</v>
      </c>
      <c r="L1525" t="s">
        <v>1392</v>
      </c>
      <c r="M1525">
        <v>2</v>
      </c>
      <c r="N1525" t="s">
        <v>1392</v>
      </c>
      <c r="O1525" t="s">
        <v>1272</v>
      </c>
      <c r="P1525" t="s">
        <v>1451</v>
      </c>
      <c r="Q1525" s="3">
        <v>15000000</v>
      </c>
      <c r="R1525" s="3">
        <v>15000000</v>
      </c>
      <c r="S1525" s="3">
        <v>0</v>
      </c>
    </row>
    <row r="1526" spans="1:19" x14ac:dyDescent="0.25">
      <c r="A1526">
        <v>900091143</v>
      </c>
      <c r="B1526" t="s">
        <v>17</v>
      </c>
      <c r="C1526" t="s">
        <v>1452</v>
      </c>
      <c r="D1526" t="s">
        <v>1453</v>
      </c>
      <c r="E1526" t="s">
        <v>1452</v>
      </c>
      <c r="F1526" t="s">
        <v>1269</v>
      </c>
      <c r="G1526" t="s">
        <v>1454</v>
      </c>
      <c r="H1526" t="s">
        <v>22</v>
      </c>
      <c r="I1526" t="s">
        <v>654</v>
      </c>
      <c r="J1526" t="s">
        <v>655</v>
      </c>
      <c r="K1526" t="s">
        <v>50</v>
      </c>
      <c r="L1526" t="s">
        <v>1392</v>
      </c>
      <c r="M1526">
        <v>2</v>
      </c>
      <c r="N1526" t="s">
        <v>1392</v>
      </c>
      <c r="O1526" t="s">
        <v>1272</v>
      </c>
      <c r="P1526" t="s">
        <v>1297</v>
      </c>
      <c r="Q1526" s="3">
        <v>6000000</v>
      </c>
      <c r="R1526" s="3">
        <v>6000000</v>
      </c>
      <c r="S1526" s="3">
        <v>0</v>
      </c>
    </row>
    <row r="1527" spans="1:19" x14ac:dyDescent="0.25">
      <c r="A1527">
        <v>900091143</v>
      </c>
      <c r="B1527" t="s">
        <v>17</v>
      </c>
      <c r="C1527" t="s">
        <v>1455</v>
      </c>
      <c r="D1527" t="s">
        <v>1456</v>
      </c>
      <c r="E1527" t="s">
        <v>1455</v>
      </c>
      <c r="F1527" t="s">
        <v>1269</v>
      </c>
      <c r="G1527" t="s">
        <v>1457</v>
      </c>
      <c r="H1527" t="s">
        <v>22</v>
      </c>
      <c r="I1527" t="s">
        <v>904</v>
      </c>
      <c r="J1527" t="s">
        <v>905</v>
      </c>
      <c r="K1527" t="s">
        <v>168</v>
      </c>
      <c r="L1527" t="s">
        <v>1392</v>
      </c>
      <c r="M1527">
        <v>2</v>
      </c>
      <c r="N1527" t="s">
        <v>1392</v>
      </c>
      <c r="O1527" t="s">
        <v>1272</v>
      </c>
      <c r="P1527" t="s">
        <v>1324</v>
      </c>
      <c r="Q1527" s="3">
        <v>12000000</v>
      </c>
      <c r="R1527" s="3">
        <v>12000000</v>
      </c>
      <c r="S1527" s="3">
        <v>0</v>
      </c>
    </row>
    <row r="1528" spans="1:19" x14ac:dyDescent="0.25">
      <c r="A1528">
        <v>900091143</v>
      </c>
      <c r="B1528" t="s">
        <v>17</v>
      </c>
      <c r="C1528" t="s">
        <v>1458</v>
      </c>
      <c r="D1528" t="s">
        <v>1459</v>
      </c>
      <c r="E1528" t="s">
        <v>1458</v>
      </c>
      <c r="F1528" t="s">
        <v>1269</v>
      </c>
      <c r="G1528" t="s">
        <v>1460</v>
      </c>
      <c r="H1528" t="s">
        <v>22</v>
      </c>
      <c r="I1528" t="s">
        <v>1461</v>
      </c>
      <c r="J1528" t="s">
        <v>1462</v>
      </c>
      <c r="K1528" t="s">
        <v>50</v>
      </c>
      <c r="L1528" t="s">
        <v>1392</v>
      </c>
      <c r="M1528">
        <v>2</v>
      </c>
      <c r="N1528" t="s">
        <v>1392</v>
      </c>
      <c r="O1528" t="s">
        <v>1272</v>
      </c>
      <c r="P1528" t="s">
        <v>1297</v>
      </c>
      <c r="Q1528" s="3">
        <v>6000000</v>
      </c>
      <c r="R1528" s="3">
        <v>6000000</v>
      </c>
      <c r="S1528" s="3">
        <v>0</v>
      </c>
    </row>
    <row r="1529" spans="1:19" x14ac:dyDescent="0.25">
      <c r="A1529">
        <v>900091143</v>
      </c>
      <c r="B1529" t="s">
        <v>17</v>
      </c>
      <c r="C1529" t="s">
        <v>1463</v>
      </c>
      <c r="D1529" t="s">
        <v>1464</v>
      </c>
      <c r="E1529" t="s">
        <v>1463</v>
      </c>
      <c r="F1529" t="s">
        <v>1269</v>
      </c>
      <c r="G1529" t="s">
        <v>1465</v>
      </c>
      <c r="H1529" t="s">
        <v>22</v>
      </c>
      <c r="I1529" t="s">
        <v>344</v>
      </c>
      <c r="J1529" t="s">
        <v>345</v>
      </c>
      <c r="K1529" t="s">
        <v>168</v>
      </c>
      <c r="L1529" t="s">
        <v>1392</v>
      </c>
      <c r="M1529">
        <v>2</v>
      </c>
      <c r="N1529" t="s">
        <v>1392</v>
      </c>
      <c r="O1529" t="s">
        <v>1272</v>
      </c>
      <c r="P1529" t="s">
        <v>1324</v>
      </c>
      <c r="Q1529" s="3">
        <v>12000000</v>
      </c>
      <c r="R1529" s="3">
        <v>12000000</v>
      </c>
      <c r="S1529" s="3">
        <v>0</v>
      </c>
    </row>
    <row r="1530" spans="1:19" x14ac:dyDescent="0.25">
      <c r="A1530">
        <v>900091143</v>
      </c>
      <c r="B1530" t="s">
        <v>17</v>
      </c>
      <c r="C1530" t="s">
        <v>1466</v>
      </c>
      <c r="D1530" t="s">
        <v>1467</v>
      </c>
      <c r="E1530" t="s">
        <v>1466</v>
      </c>
      <c r="F1530" t="s">
        <v>1269</v>
      </c>
      <c r="G1530" t="s">
        <v>1468</v>
      </c>
      <c r="H1530" t="s">
        <v>22</v>
      </c>
      <c r="I1530" t="s">
        <v>1469</v>
      </c>
      <c r="J1530" t="s">
        <v>1470</v>
      </c>
      <c r="K1530" t="s">
        <v>50</v>
      </c>
      <c r="L1530" t="s">
        <v>1471</v>
      </c>
      <c r="M1530">
        <v>2</v>
      </c>
      <c r="N1530" t="s">
        <v>1471</v>
      </c>
      <c r="O1530" t="s">
        <v>1272</v>
      </c>
      <c r="P1530" t="s">
        <v>1297</v>
      </c>
      <c r="Q1530" s="3">
        <v>6000000</v>
      </c>
      <c r="R1530" s="3">
        <v>6000000</v>
      </c>
      <c r="S1530" s="3">
        <v>0</v>
      </c>
    </row>
    <row r="1531" spans="1:19" x14ac:dyDescent="0.25">
      <c r="A1531">
        <v>900091143</v>
      </c>
      <c r="B1531" t="s">
        <v>17</v>
      </c>
      <c r="C1531" t="s">
        <v>1472</v>
      </c>
      <c r="D1531" t="s">
        <v>1473</v>
      </c>
      <c r="E1531" t="s">
        <v>1472</v>
      </c>
      <c r="F1531" t="s">
        <v>1269</v>
      </c>
      <c r="G1531" t="s">
        <v>1474</v>
      </c>
      <c r="H1531" t="s">
        <v>22</v>
      </c>
      <c r="I1531" t="s">
        <v>1475</v>
      </c>
      <c r="J1531" t="s">
        <v>1476</v>
      </c>
      <c r="K1531" t="s">
        <v>50</v>
      </c>
      <c r="L1531" t="s">
        <v>1471</v>
      </c>
      <c r="M1531">
        <v>2</v>
      </c>
      <c r="N1531" t="s">
        <v>1471</v>
      </c>
      <c r="O1531" t="s">
        <v>1272</v>
      </c>
      <c r="P1531" t="s">
        <v>1297</v>
      </c>
      <c r="Q1531" s="3">
        <v>6000000</v>
      </c>
      <c r="R1531" s="3">
        <v>6000000</v>
      </c>
      <c r="S1531" s="3">
        <v>0</v>
      </c>
    </row>
    <row r="1532" spans="1:19" x14ac:dyDescent="0.25">
      <c r="A1532">
        <v>900091143</v>
      </c>
      <c r="B1532" t="s">
        <v>17</v>
      </c>
      <c r="C1532" t="s">
        <v>1477</v>
      </c>
      <c r="D1532" t="s">
        <v>1478</v>
      </c>
      <c r="E1532" t="s">
        <v>1477</v>
      </c>
      <c r="F1532" t="s">
        <v>1269</v>
      </c>
      <c r="G1532" t="s">
        <v>1479</v>
      </c>
      <c r="H1532" t="s">
        <v>22</v>
      </c>
      <c r="I1532" t="s">
        <v>749</v>
      </c>
      <c r="J1532" t="s">
        <v>750</v>
      </c>
      <c r="K1532" t="s">
        <v>25</v>
      </c>
      <c r="L1532" t="s">
        <v>1471</v>
      </c>
      <c r="M1532">
        <v>2</v>
      </c>
      <c r="N1532" t="s">
        <v>1471</v>
      </c>
      <c r="O1532" t="s">
        <v>1272</v>
      </c>
      <c r="P1532" t="s">
        <v>1451</v>
      </c>
      <c r="Q1532" s="3">
        <v>15000000</v>
      </c>
      <c r="R1532" s="3">
        <v>15000000</v>
      </c>
      <c r="S1532" s="3">
        <v>0</v>
      </c>
    </row>
    <row r="1533" spans="1:19" x14ac:dyDescent="0.25">
      <c r="A1533">
        <v>900091143</v>
      </c>
      <c r="B1533" t="s">
        <v>17</v>
      </c>
      <c r="C1533" t="s">
        <v>1480</v>
      </c>
      <c r="D1533" t="s">
        <v>1481</v>
      </c>
      <c r="E1533" t="s">
        <v>1480</v>
      </c>
      <c r="F1533" t="s">
        <v>1269</v>
      </c>
      <c r="G1533" t="s">
        <v>1482</v>
      </c>
      <c r="H1533" t="s">
        <v>22</v>
      </c>
      <c r="I1533" t="s">
        <v>279</v>
      </c>
      <c r="J1533" t="s">
        <v>1483</v>
      </c>
      <c r="K1533" t="s">
        <v>50</v>
      </c>
      <c r="L1533" t="s">
        <v>1471</v>
      </c>
      <c r="M1533">
        <v>2</v>
      </c>
      <c r="N1533" t="s">
        <v>1471</v>
      </c>
      <c r="O1533" t="s">
        <v>1272</v>
      </c>
      <c r="P1533" t="s">
        <v>1297</v>
      </c>
      <c r="Q1533" s="3">
        <v>6000000</v>
      </c>
      <c r="R1533" s="3">
        <v>3000000</v>
      </c>
      <c r="S1533" s="3">
        <v>3000000</v>
      </c>
    </row>
    <row r="1534" spans="1:19" x14ac:dyDescent="0.25">
      <c r="A1534">
        <v>900091143</v>
      </c>
      <c r="B1534" t="s">
        <v>17</v>
      </c>
      <c r="C1534" t="s">
        <v>1484</v>
      </c>
      <c r="D1534" t="s">
        <v>1485</v>
      </c>
      <c r="E1534" t="s">
        <v>1484</v>
      </c>
      <c r="F1534" t="s">
        <v>1269</v>
      </c>
      <c r="G1534" t="s">
        <v>1486</v>
      </c>
      <c r="H1534" t="s">
        <v>22</v>
      </c>
      <c r="I1534" t="s">
        <v>91</v>
      </c>
      <c r="J1534" t="s">
        <v>92</v>
      </c>
      <c r="K1534" t="s">
        <v>2860</v>
      </c>
      <c r="L1534" t="s">
        <v>1471</v>
      </c>
      <c r="M1534">
        <v>2</v>
      </c>
      <c r="N1534" t="s">
        <v>1471</v>
      </c>
      <c r="O1534" t="s">
        <v>1272</v>
      </c>
      <c r="P1534" t="s">
        <v>1273</v>
      </c>
      <c r="Q1534" s="3">
        <v>9500000</v>
      </c>
      <c r="R1534" s="3">
        <v>9500000</v>
      </c>
      <c r="S1534" s="3">
        <v>0</v>
      </c>
    </row>
    <row r="1535" spans="1:19" x14ac:dyDescent="0.25">
      <c r="A1535">
        <v>900091143</v>
      </c>
      <c r="B1535" t="s">
        <v>17</v>
      </c>
      <c r="C1535" t="s">
        <v>1487</v>
      </c>
      <c r="D1535" t="s">
        <v>1488</v>
      </c>
      <c r="E1535" t="s">
        <v>1487</v>
      </c>
      <c r="F1535" t="s">
        <v>1269</v>
      </c>
      <c r="G1535" t="s">
        <v>1489</v>
      </c>
      <c r="H1535" t="s">
        <v>22</v>
      </c>
      <c r="I1535" t="s">
        <v>1490</v>
      </c>
      <c r="J1535" t="s">
        <v>1491</v>
      </c>
      <c r="K1535" t="s">
        <v>168</v>
      </c>
      <c r="L1535" t="s">
        <v>1471</v>
      </c>
      <c r="M1535">
        <v>2</v>
      </c>
      <c r="N1535" t="s">
        <v>1471</v>
      </c>
      <c r="O1535" t="s">
        <v>1272</v>
      </c>
      <c r="P1535" t="s">
        <v>1324</v>
      </c>
      <c r="Q1535" s="3">
        <v>12000000</v>
      </c>
      <c r="R1535" s="3">
        <v>12000000</v>
      </c>
      <c r="S1535" s="3">
        <v>0</v>
      </c>
    </row>
    <row r="1536" spans="1:19" x14ac:dyDescent="0.25">
      <c r="A1536">
        <v>900091143</v>
      </c>
      <c r="B1536" t="s">
        <v>17</v>
      </c>
      <c r="C1536" t="s">
        <v>1492</v>
      </c>
      <c r="D1536" t="s">
        <v>1493</v>
      </c>
      <c r="E1536" t="s">
        <v>1492</v>
      </c>
      <c r="F1536" t="s">
        <v>1269</v>
      </c>
      <c r="G1536" t="s">
        <v>1494</v>
      </c>
      <c r="H1536" t="s">
        <v>22</v>
      </c>
      <c r="I1536" t="s">
        <v>1495</v>
      </c>
      <c r="J1536" t="s">
        <v>1496</v>
      </c>
      <c r="K1536" t="s">
        <v>50</v>
      </c>
      <c r="L1536" t="s">
        <v>1471</v>
      </c>
      <c r="M1536">
        <v>2</v>
      </c>
      <c r="N1536" t="s">
        <v>1471</v>
      </c>
      <c r="O1536" t="s">
        <v>1272</v>
      </c>
      <c r="P1536" t="s">
        <v>1297</v>
      </c>
      <c r="Q1536" s="3">
        <v>6000000</v>
      </c>
      <c r="R1536" s="3">
        <v>6000000</v>
      </c>
      <c r="S1536" s="3">
        <v>0</v>
      </c>
    </row>
    <row r="1537" spans="1:19" x14ac:dyDescent="0.25">
      <c r="A1537">
        <v>900091143</v>
      </c>
      <c r="B1537" t="s">
        <v>17</v>
      </c>
      <c r="C1537" t="s">
        <v>1497</v>
      </c>
      <c r="D1537" t="s">
        <v>1498</v>
      </c>
      <c r="E1537" t="s">
        <v>1497</v>
      </c>
      <c r="F1537" t="s">
        <v>1269</v>
      </c>
      <c r="G1537" t="s">
        <v>1499</v>
      </c>
      <c r="H1537" t="s">
        <v>22</v>
      </c>
      <c r="I1537" t="s">
        <v>671</v>
      </c>
      <c r="J1537" t="s">
        <v>1500</v>
      </c>
      <c r="K1537" t="s">
        <v>50</v>
      </c>
      <c r="L1537" t="s">
        <v>1471</v>
      </c>
      <c r="M1537">
        <v>2</v>
      </c>
      <c r="N1537" t="s">
        <v>1471</v>
      </c>
      <c r="O1537" t="s">
        <v>1272</v>
      </c>
      <c r="P1537" t="s">
        <v>1297</v>
      </c>
      <c r="Q1537" s="3">
        <v>6000000</v>
      </c>
      <c r="R1537" s="3">
        <v>6000000</v>
      </c>
      <c r="S1537" s="3">
        <v>0</v>
      </c>
    </row>
    <row r="1538" spans="1:19" x14ac:dyDescent="0.25">
      <c r="A1538">
        <v>900091143</v>
      </c>
      <c r="B1538" t="s">
        <v>17</v>
      </c>
      <c r="C1538" t="s">
        <v>1501</v>
      </c>
      <c r="D1538" t="s">
        <v>1502</v>
      </c>
      <c r="E1538" t="s">
        <v>1501</v>
      </c>
      <c r="F1538" t="s">
        <v>1269</v>
      </c>
      <c r="G1538" t="s">
        <v>1503</v>
      </c>
      <c r="H1538" t="s">
        <v>22</v>
      </c>
      <c r="I1538" t="s">
        <v>48</v>
      </c>
      <c r="J1538" t="s">
        <v>49</v>
      </c>
      <c r="K1538" t="s">
        <v>50</v>
      </c>
      <c r="L1538" t="s">
        <v>1471</v>
      </c>
      <c r="M1538">
        <v>2</v>
      </c>
      <c r="N1538" t="s">
        <v>1471</v>
      </c>
      <c r="O1538" t="s">
        <v>1272</v>
      </c>
      <c r="P1538" t="s">
        <v>1297</v>
      </c>
      <c r="Q1538" s="3">
        <v>6000000</v>
      </c>
      <c r="R1538" s="3">
        <v>6000000</v>
      </c>
      <c r="S1538" s="3">
        <v>0</v>
      </c>
    </row>
    <row r="1539" spans="1:19" x14ac:dyDescent="0.25">
      <c r="A1539">
        <v>900091143</v>
      </c>
      <c r="B1539" t="s">
        <v>17</v>
      </c>
      <c r="C1539" t="s">
        <v>1504</v>
      </c>
      <c r="D1539" t="s">
        <v>1505</v>
      </c>
      <c r="E1539" t="s">
        <v>1504</v>
      </c>
      <c r="F1539" t="s">
        <v>1269</v>
      </c>
      <c r="G1539" t="s">
        <v>1506</v>
      </c>
      <c r="H1539" t="s">
        <v>22</v>
      </c>
      <c r="I1539" t="s">
        <v>201</v>
      </c>
      <c r="J1539" t="s">
        <v>202</v>
      </c>
      <c r="K1539" t="s">
        <v>50</v>
      </c>
      <c r="L1539" t="s">
        <v>1471</v>
      </c>
      <c r="M1539">
        <v>2</v>
      </c>
      <c r="N1539" t="s">
        <v>1471</v>
      </c>
      <c r="O1539" t="s">
        <v>1272</v>
      </c>
      <c r="P1539" t="s">
        <v>1297</v>
      </c>
      <c r="Q1539" s="3">
        <v>6000000</v>
      </c>
      <c r="R1539" s="3">
        <v>6000000</v>
      </c>
      <c r="S1539" s="3">
        <v>0</v>
      </c>
    </row>
    <row r="1540" spans="1:19" x14ac:dyDescent="0.25">
      <c r="A1540">
        <v>900091143</v>
      </c>
      <c r="B1540" t="s">
        <v>17</v>
      </c>
      <c r="C1540" t="s">
        <v>1507</v>
      </c>
      <c r="D1540" t="s">
        <v>1508</v>
      </c>
      <c r="E1540" t="s">
        <v>1507</v>
      </c>
      <c r="F1540" t="s">
        <v>1269</v>
      </c>
      <c r="G1540" t="s">
        <v>1509</v>
      </c>
      <c r="H1540" t="s">
        <v>22</v>
      </c>
      <c r="I1540" t="s">
        <v>1510</v>
      </c>
      <c r="J1540" t="s">
        <v>1511</v>
      </c>
      <c r="K1540" t="s">
        <v>71</v>
      </c>
      <c r="L1540" t="s">
        <v>1471</v>
      </c>
      <c r="M1540">
        <v>2</v>
      </c>
      <c r="N1540" t="s">
        <v>1471</v>
      </c>
      <c r="O1540" t="s">
        <v>1272</v>
      </c>
      <c r="P1540" t="s">
        <v>1285</v>
      </c>
      <c r="Q1540" s="3">
        <v>9650000</v>
      </c>
      <c r="R1540" s="3">
        <v>9650000</v>
      </c>
      <c r="S1540" s="3">
        <v>0</v>
      </c>
    </row>
    <row r="1541" spans="1:19" x14ac:dyDescent="0.25">
      <c r="A1541">
        <v>900091143</v>
      </c>
      <c r="B1541" t="s">
        <v>17</v>
      </c>
      <c r="C1541" t="s">
        <v>1512</v>
      </c>
      <c r="D1541" t="s">
        <v>1513</v>
      </c>
      <c r="E1541" t="s">
        <v>1512</v>
      </c>
      <c r="F1541" t="s">
        <v>1269</v>
      </c>
      <c r="G1541" t="s">
        <v>1514</v>
      </c>
      <c r="H1541" t="s">
        <v>22</v>
      </c>
      <c r="I1541" t="s">
        <v>539</v>
      </c>
      <c r="J1541" t="s">
        <v>540</v>
      </c>
      <c r="K1541" t="s">
        <v>2861</v>
      </c>
      <c r="L1541" t="s">
        <v>1471</v>
      </c>
      <c r="M1541">
        <v>2</v>
      </c>
      <c r="N1541" t="s">
        <v>1471</v>
      </c>
      <c r="O1541" t="s">
        <v>1272</v>
      </c>
      <c r="P1541" t="s">
        <v>1346</v>
      </c>
      <c r="Q1541" s="3">
        <v>5000000</v>
      </c>
      <c r="R1541" s="3">
        <v>5000000</v>
      </c>
      <c r="S1541" s="3">
        <v>0</v>
      </c>
    </row>
    <row r="1542" spans="1:19" x14ac:dyDescent="0.25">
      <c r="A1542">
        <v>900091143</v>
      </c>
      <c r="B1542" t="s">
        <v>17</v>
      </c>
      <c r="C1542" t="s">
        <v>1515</v>
      </c>
      <c r="D1542" t="s">
        <v>1516</v>
      </c>
      <c r="E1542" t="s">
        <v>1515</v>
      </c>
      <c r="F1542" t="s">
        <v>1269</v>
      </c>
      <c r="G1542" t="s">
        <v>1517</v>
      </c>
      <c r="H1542" t="s">
        <v>22</v>
      </c>
      <c r="I1542" t="s">
        <v>1518</v>
      </c>
      <c r="J1542" t="s">
        <v>1519</v>
      </c>
      <c r="K1542" t="s">
        <v>2861</v>
      </c>
      <c r="L1542" t="s">
        <v>1471</v>
      </c>
      <c r="M1542">
        <v>2</v>
      </c>
      <c r="N1542" t="s">
        <v>1471</v>
      </c>
      <c r="O1542" t="s">
        <v>1272</v>
      </c>
      <c r="P1542" t="s">
        <v>1346</v>
      </c>
      <c r="Q1542" s="3">
        <v>5000000</v>
      </c>
      <c r="R1542" s="3">
        <v>5000000</v>
      </c>
      <c r="S1542" s="3">
        <v>0</v>
      </c>
    </row>
    <row r="1543" spans="1:19" x14ac:dyDescent="0.25">
      <c r="A1543">
        <v>900091143</v>
      </c>
      <c r="B1543" t="s">
        <v>17</v>
      </c>
      <c r="C1543" t="s">
        <v>1520</v>
      </c>
      <c r="D1543" t="s">
        <v>1521</v>
      </c>
      <c r="E1543" t="s">
        <v>1520</v>
      </c>
      <c r="F1543" t="s">
        <v>1269</v>
      </c>
      <c r="G1543" t="s">
        <v>1522</v>
      </c>
      <c r="H1543" t="s">
        <v>22</v>
      </c>
      <c r="I1543" t="s">
        <v>1523</v>
      </c>
      <c r="J1543" t="s">
        <v>1524</v>
      </c>
      <c r="K1543" t="s">
        <v>50</v>
      </c>
      <c r="L1543" t="s">
        <v>1471</v>
      </c>
      <c r="M1543">
        <v>2</v>
      </c>
      <c r="N1543" t="s">
        <v>1471</v>
      </c>
      <c r="O1543" t="s">
        <v>1272</v>
      </c>
      <c r="P1543" t="s">
        <v>1297</v>
      </c>
      <c r="Q1543" s="3">
        <v>6000000</v>
      </c>
      <c r="R1543" s="3">
        <v>6000000</v>
      </c>
      <c r="S1543" s="3">
        <v>0</v>
      </c>
    </row>
    <row r="1544" spans="1:19" x14ac:dyDescent="0.25">
      <c r="A1544">
        <v>900091143</v>
      </c>
      <c r="B1544" t="s">
        <v>17</v>
      </c>
      <c r="C1544" t="s">
        <v>1525</v>
      </c>
      <c r="D1544" t="s">
        <v>1526</v>
      </c>
      <c r="E1544" t="s">
        <v>1525</v>
      </c>
      <c r="F1544" t="s">
        <v>1269</v>
      </c>
      <c r="G1544" t="s">
        <v>1527</v>
      </c>
      <c r="H1544" t="s">
        <v>22</v>
      </c>
      <c r="I1544" t="s">
        <v>1528</v>
      </c>
      <c r="J1544" t="s">
        <v>1529</v>
      </c>
      <c r="K1544" t="s">
        <v>2861</v>
      </c>
      <c r="L1544" t="s">
        <v>1471</v>
      </c>
      <c r="M1544">
        <v>2</v>
      </c>
      <c r="N1544" t="s">
        <v>1471</v>
      </c>
      <c r="O1544" t="s">
        <v>1272</v>
      </c>
      <c r="P1544" t="s">
        <v>1346</v>
      </c>
      <c r="Q1544" s="3">
        <v>5000000</v>
      </c>
      <c r="R1544" s="3">
        <v>5000000</v>
      </c>
      <c r="S1544" s="3">
        <v>0</v>
      </c>
    </row>
    <row r="1545" spans="1:19" x14ac:dyDescent="0.25">
      <c r="A1545">
        <v>900091143</v>
      </c>
      <c r="B1545" t="s">
        <v>17</v>
      </c>
      <c r="C1545" t="s">
        <v>1530</v>
      </c>
      <c r="D1545" t="s">
        <v>1531</v>
      </c>
      <c r="E1545" t="s">
        <v>1530</v>
      </c>
      <c r="F1545" t="s">
        <v>1269</v>
      </c>
      <c r="G1545" t="s">
        <v>1532</v>
      </c>
      <c r="H1545" t="s">
        <v>22</v>
      </c>
      <c r="I1545" t="s">
        <v>1533</v>
      </c>
      <c r="J1545" t="s">
        <v>1534</v>
      </c>
      <c r="K1545" t="s">
        <v>2860</v>
      </c>
      <c r="L1545" t="s">
        <v>1535</v>
      </c>
      <c r="M1545">
        <v>2</v>
      </c>
      <c r="N1545" t="s">
        <v>1535</v>
      </c>
      <c r="O1545" t="s">
        <v>1272</v>
      </c>
      <c r="P1545" t="s">
        <v>1273</v>
      </c>
      <c r="Q1545" s="3">
        <v>9500000</v>
      </c>
      <c r="R1545" s="3">
        <v>9500000</v>
      </c>
      <c r="S1545" s="3">
        <v>0</v>
      </c>
    </row>
    <row r="1546" spans="1:19" x14ac:dyDescent="0.25">
      <c r="A1546">
        <v>900091143</v>
      </c>
      <c r="B1546" t="s">
        <v>17</v>
      </c>
      <c r="C1546" t="s">
        <v>1536</v>
      </c>
      <c r="D1546" t="s">
        <v>1537</v>
      </c>
      <c r="E1546" t="s">
        <v>1536</v>
      </c>
      <c r="F1546" t="s">
        <v>1538</v>
      </c>
      <c r="G1546" t="s">
        <v>1539</v>
      </c>
      <c r="H1546" t="s">
        <v>22</v>
      </c>
      <c r="I1546" t="s">
        <v>1540</v>
      </c>
      <c r="J1546" t="s">
        <v>1541</v>
      </c>
      <c r="K1546" t="s">
        <v>50</v>
      </c>
      <c r="L1546" t="s">
        <v>1542</v>
      </c>
      <c r="M1546">
        <v>2</v>
      </c>
      <c r="N1546" t="s">
        <v>1542</v>
      </c>
      <c r="O1546" t="s">
        <v>1272</v>
      </c>
      <c r="P1546" t="s">
        <v>1297</v>
      </c>
      <c r="Q1546" s="3">
        <v>6000000</v>
      </c>
      <c r="R1546" s="3">
        <v>6000000</v>
      </c>
      <c r="S1546" s="3">
        <v>0</v>
      </c>
    </row>
    <row r="1547" spans="1:19" x14ac:dyDescent="0.25">
      <c r="A1547">
        <v>900091143</v>
      </c>
      <c r="B1547" t="s">
        <v>17</v>
      </c>
      <c r="C1547" t="s">
        <v>1543</v>
      </c>
      <c r="D1547" t="s">
        <v>1544</v>
      </c>
      <c r="E1547" t="s">
        <v>1543</v>
      </c>
      <c r="F1547" t="s">
        <v>1269</v>
      </c>
      <c r="G1547" t="s">
        <v>1545</v>
      </c>
      <c r="H1547" t="s">
        <v>22</v>
      </c>
      <c r="I1547" t="s">
        <v>1546</v>
      </c>
      <c r="J1547" t="s">
        <v>1547</v>
      </c>
      <c r="K1547" t="s">
        <v>2861</v>
      </c>
      <c r="L1547" t="s">
        <v>1548</v>
      </c>
      <c r="M1547">
        <v>2</v>
      </c>
      <c r="N1547" t="s">
        <v>1548</v>
      </c>
      <c r="O1547" t="s">
        <v>1272</v>
      </c>
      <c r="P1547" t="s">
        <v>1346</v>
      </c>
      <c r="Q1547" s="3">
        <v>5000000</v>
      </c>
      <c r="R1547" s="3">
        <v>5000000</v>
      </c>
      <c r="S1547" s="3">
        <v>0</v>
      </c>
    </row>
    <row r="1548" spans="1:19" x14ac:dyDescent="0.25">
      <c r="A1548">
        <v>900091143</v>
      </c>
      <c r="B1548" t="s">
        <v>17</v>
      </c>
      <c r="C1548" t="s">
        <v>1549</v>
      </c>
      <c r="D1548" t="s">
        <v>1550</v>
      </c>
      <c r="E1548" t="s">
        <v>1549</v>
      </c>
      <c r="F1548" t="s">
        <v>1269</v>
      </c>
      <c r="G1548" t="s">
        <v>1551</v>
      </c>
      <c r="H1548" t="s">
        <v>22</v>
      </c>
      <c r="I1548" t="s">
        <v>1552</v>
      </c>
      <c r="J1548" t="s">
        <v>1553</v>
      </c>
      <c r="K1548" t="s">
        <v>2861</v>
      </c>
      <c r="L1548" t="s">
        <v>1548</v>
      </c>
      <c r="M1548">
        <v>2</v>
      </c>
      <c r="N1548" t="s">
        <v>1548</v>
      </c>
      <c r="O1548" t="s">
        <v>1272</v>
      </c>
      <c r="P1548" t="s">
        <v>1346</v>
      </c>
      <c r="Q1548" s="3">
        <v>5000000</v>
      </c>
      <c r="R1548" s="3">
        <v>5000000</v>
      </c>
      <c r="S1548" s="3">
        <v>0</v>
      </c>
    </row>
    <row r="1549" spans="1:19" x14ac:dyDescent="0.25">
      <c r="A1549">
        <v>900091143</v>
      </c>
      <c r="B1549" t="s">
        <v>17</v>
      </c>
      <c r="C1549" t="s">
        <v>1554</v>
      </c>
      <c r="D1549" t="s">
        <v>1555</v>
      </c>
      <c r="E1549" t="s">
        <v>1554</v>
      </c>
      <c r="F1549" t="s">
        <v>1269</v>
      </c>
      <c r="G1549" t="s">
        <v>1556</v>
      </c>
      <c r="H1549" t="s">
        <v>22</v>
      </c>
      <c r="I1549" t="s">
        <v>1557</v>
      </c>
      <c r="J1549" t="s">
        <v>1558</v>
      </c>
      <c r="K1549" t="s">
        <v>50</v>
      </c>
      <c r="L1549" t="s">
        <v>1548</v>
      </c>
      <c r="M1549">
        <v>2</v>
      </c>
      <c r="N1549" t="s">
        <v>1548</v>
      </c>
      <c r="O1549" t="s">
        <v>1272</v>
      </c>
      <c r="P1549" t="s">
        <v>1297</v>
      </c>
      <c r="Q1549" s="3">
        <v>6000000</v>
      </c>
      <c r="R1549" s="3">
        <v>6000000</v>
      </c>
      <c r="S1549" s="3">
        <v>0</v>
      </c>
    </row>
    <row r="1550" spans="1:19" x14ac:dyDescent="0.25">
      <c r="A1550">
        <v>900091143</v>
      </c>
      <c r="B1550" t="s">
        <v>17</v>
      </c>
      <c r="C1550" t="s">
        <v>1559</v>
      </c>
      <c r="D1550" t="s">
        <v>1560</v>
      </c>
      <c r="E1550" t="s">
        <v>1559</v>
      </c>
      <c r="F1550" t="s">
        <v>1269</v>
      </c>
      <c r="G1550" t="s">
        <v>1561</v>
      </c>
      <c r="H1550" t="s">
        <v>22</v>
      </c>
      <c r="I1550" t="s">
        <v>1562</v>
      </c>
      <c r="J1550" t="s">
        <v>1563</v>
      </c>
      <c r="K1550" t="s">
        <v>2860</v>
      </c>
      <c r="L1550" t="s">
        <v>1548</v>
      </c>
      <c r="M1550">
        <v>2</v>
      </c>
      <c r="N1550" t="s">
        <v>1548</v>
      </c>
      <c r="O1550" t="s">
        <v>1272</v>
      </c>
      <c r="P1550" t="s">
        <v>1273</v>
      </c>
      <c r="Q1550" s="3">
        <v>9500000</v>
      </c>
      <c r="R1550" s="3">
        <v>9500000</v>
      </c>
      <c r="S1550" s="3">
        <v>0</v>
      </c>
    </row>
    <row r="1551" spans="1:19" x14ac:dyDescent="0.25">
      <c r="A1551">
        <v>900091143</v>
      </c>
      <c r="B1551" t="s">
        <v>17</v>
      </c>
      <c r="C1551" t="s">
        <v>1564</v>
      </c>
      <c r="D1551" t="s">
        <v>1565</v>
      </c>
      <c r="E1551" t="s">
        <v>1564</v>
      </c>
      <c r="F1551" t="s">
        <v>1269</v>
      </c>
      <c r="G1551" t="s">
        <v>1566</v>
      </c>
      <c r="H1551" t="s">
        <v>22</v>
      </c>
      <c r="I1551" t="s">
        <v>1165</v>
      </c>
      <c r="J1551" t="s">
        <v>1166</v>
      </c>
      <c r="K1551" t="s">
        <v>2861</v>
      </c>
      <c r="L1551" t="s">
        <v>1548</v>
      </c>
      <c r="M1551">
        <v>2</v>
      </c>
      <c r="N1551" t="s">
        <v>1548</v>
      </c>
      <c r="O1551" t="s">
        <v>1272</v>
      </c>
      <c r="P1551" t="s">
        <v>1346</v>
      </c>
      <c r="Q1551" s="3">
        <v>5000000</v>
      </c>
      <c r="R1551" s="3">
        <v>5000000</v>
      </c>
      <c r="S1551" s="3">
        <v>0</v>
      </c>
    </row>
    <row r="1552" spans="1:19" x14ac:dyDescent="0.25">
      <c r="A1552">
        <v>900091143</v>
      </c>
      <c r="B1552" t="s">
        <v>17</v>
      </c>
      <c r="C1552" t="s">
        <v>1567</v>
      </c>
      <c r="D1552" t="s">
        <v>1568</v>
      </c>
      <c r="E1552" t="s">
        <v>1567</v>
      </c>
      <c r="F1552" t="s">
        <v>1269</v>
      </c>
      <c r="G1552" t="s">
        <v>1569</v>
      </c>
      <c r="H1552" t="s">
        <v>22</v>
      </c>
      <c r="I1552" t="s">
        <v>1570</v>
      </c>
      <c r="J1552" t="s">
        <v>1571</v>
      </c>
      <c r="K1552" t="s">
        <v>50</v>
      </c>
      <c r="L1552" t="s">
        <v>1548</v>
      </c>
      <c r="M1552">
        <v>2</v>
      </c>
      <c r="N1552" t="s">
        <v>1548</v>
      </c>
      <c r="O1552" t="s">
        <v>1272</v>
      </c>
      <c r="P1552" t="s">
        <v>1297</v>
      </c>
      <c r="Q1552" s="3">
        <v>6000000</v>
      </c>
      <c r="R1552" s="3">
        <v>6000000</v>
      </c>
      <c r="S1552" s="3">
        <v>0</v>
      </c>
    </row>
    <row r="1553" spans="1:19" x14ac:dyDescent="0.25">
      <c r="A1553">
        <v>900091143</v>
      </c>
      <c r="B1553" t="s">
        <v>17</v>
      </c>
      <c r="C1553" t="s">
        <v>1572</v>
      </c>
      <c r="D1553" t="s">
        <v>1573</v>
      </c>
      <c r="E1553" t="s">
        <v>1572</v>
      </c>
      <c r="F1553" t="s">
        <v>1269</v>
      </c>
      <c r="G1553" t="s">
        <v>1574</v>
      </c>
      <c r="H1553" t="s">
        <v>22</v>
      </c>
      <c r="I1553" t="s">
        <v>1103</v>
      </c>
      <c r="J1553" t="s">
        <v>1104</v>
      </c>
      <c r="K1553" t="s">
        <v>2861</v>
      </c>
      <c r="L1553" t="s">
        <v>1548</v>
      </c>
      <c r="M1553">
        <v>2</v>
      </c>
      <c r="N1553" t="s">
        <v>1548</v>
      </c>
      <c r="O1553" t="s">
        <v>1272</v>
      </c>
      <c r="P1553" t="s">
        <v>1346</v>
      </c>
      <c r="Q1553" s="3">
        <v>5000000</v>
      </c>
      <c r="R1553" s="3">
        <v>5000000</v>
      </c>
      <c r="S1553" s="3">
        <v>0</v>
      </c>
    </row>
    <row r="1554" spans="1:19" x14ac:dyDescent="0.25">
      <c r="A1554">
        <v>900091143</v>
      </c>
      <c r="B1554" t="s">
        <v>17</v>
      </c>
      <c r="C1554" t="s">
        <v>1575</v>
      </c>
      <c r="D1554" t="s">
        <v>1576</v>
      </c>
      <c r="E1554" t="s">
        <v>1575</v>
      </c>
      <c r="F1554" t="s">
        <v>1269</v>
      </c>
      <c r="G1554" t="s">
        <v>1577</v>
      </c>
      <c r="H1554" t="s">
        <v>22</v>
      </c>
      <c r="I1554" t="s">
        <v>1578</v>
      </c>
      <c r="J1554" t="s">
        <v>1579</v>
      </c>
      <c r="K1554" t="s">
        <v>168</v>
      </c>
      <c r="L1554" t="s">
        <v>1548</v>
      </c>
      <c r="M1554">
        <v>2</v>
      </c>
      <c r="N1554" t="s">
        <v>1548</v>
      </c>
      <c r="O1554" t="s">
        <v>1272</v>
      </c>
      <c r="P1554" t="s">
        <v>1324</v>
      </c>
      <c r="Q1554" s="3">
        <v>12000000</v>
      </c>
      <c r="R1554" s="3">
        <v>12000000</v>
      </c>
      <c r="S1554" s="3">
        <v>0</v>
      </c>
    </row>
    <row r="1555" spans="1:19" x14ac:dyDescent="0.25">
      <c r="A1555">
        <v>900091143</v>
      </c>
      <c r="B1555" t="s">
        <v>17</v>
      </c>
      <c r="C1555" t="s">
        <v>1580</v>
      </c>
      <c r="D1555" t="s">
        <v>1581</v>
      </c>
      <c r="E1555" t="s">
        <v>1580</v>
      </c>
      <c r="F1555" t="s">
        <v>1269</v>
      </c>
      <c r="G1555" t="s">
        <v>1582</v>
      </c>
      <c r="H1555" t="s">
        <v>22</v>
      </c>
      <c r="I1555" t="s">
        <v>406</v>
      </c>
      <c r="J1555" t="s">
        <v>407</v>
      </c>
      <c r="K1555" t="s">
        <v>50</v>
      </c>
      <c r="L1555" t="s">
        <v>1548</v>
      </c>
      <c r="M1555">
        <v>2</v>
      </c>
      <c r="N1555" t="s">
        <v>1548</v>
      </c>
      <c r="O1555" t="s">
        <v>1272</v>
      </c>
      <c r="P1555" t="s">
        <v>1297</v>
      </c>
      <c r="Q1555" s="3">
        <v>6000000</v>
      </c>
      <c r="R1555" s="3">
        <v>6000000</v>
      </c>
      <c r="S1555" s="3">
        <v>0</v>
      </c>
    </row>
    <row r="1556" spans="1:19" x14ac:dyDescent="0.25">
      <c r="A1556">
        <v>900091143</v>
      </c>
      <c r="B1556" t="s">
        <v>17</v>
      </c>
      <c r="C1556" t="s">
        <v>1583</v>
      </c>
      <c r="D1556" t="s">
        <v>1584</v>
      </c>
      <c r="E1556" t="s">
        <v>1583</v>
      </c>
      <c r="F1556" t="s">
        <v>1269</v>
      </c>
      <c r="G1556" t="s">
        <v>1585</v>
      </c>
      <c r="H1556" t="s">
        <v>22</v>
      </c>
      <c r="I1556" t="s">
        <v>1586</v>
      </c>
      <c r="J1556" t="s">
        <v>1587</v>
      </c>
      <c r="K1556" t="s">
        <v>71</v>
      </c>
      <c r="L1556" t="s">
        <v>1548</v>
      </c>
      <c r="M1556">
        <v>2</v>
      </c>
      <c r="N1556" t="s">
        <v>1548</v>
      </c>
      <c r="O1556" t="s">
        <v>1272</v>
      </c>
      <c r="P1556" t="s">
        <v>1285</v>
      </c>
      <c r="Q1556" s="3">
        <v>9650000</v>
      </c>
      <c r="R1556" s="3">
        <v>9650000</v>
      </c>
      <c r="S1556" s="3">
        <v>0</v>
      </c>
    </row>
    <row r="1557" spans="1:19" x14ac:dyDescent="0.25">
      <c r="A1557">
        <v>900091143</v>
      </c>
      <c r="B1557" t="s">
        <v>17</v>
      </c>
      <c r="C1557" t="s">
        <v>1588</v>
      </c>
      <c r="D1557" t="s">
        <v>1589</v>
      </c>
      <c r="E1557" t="s">
        <v>1588</v>
      </c>
      <c r="F1557" t="s">
        <v>1269</v>
      </c>
      <c r="G1557" t="s">
        <v>1590</v>
      </c>
      <c r="H1557" t="s">
        <v>22</v>
      </c>
      <c r="I1557" t="s">
        <v>1591</v>
      </c>
      <c r="J1557" t="s">
        <v>1592</v>
      </c>
      <c r="K1557" t="s">
        <v>50</v>
      </c>
      <c r="L1557" t="s">
        <v>1593</v>
      </c>
      <c r="M1557">
        <v>2</v>
      </c>
      <c r="N1557" t="s">
        <v>1593</v>
      </c>
      <c r="O1557" t="s">
        <v>1272</v>
      </c>
      <c r="P1557" t="s">
        <v>1297</v>
      </c>
      <c r="Q1557" s="3">
        <v>6000000</v>
      </c>
      <c r="R1557" s="3">
        <v>6000000</v>
      </c>
      <c r="S1557" s="3">
        <v>0</v>
      </c>
    </row>
    <row r="1558" spans="1:19" x14ac:dyDescent="0.25">
      <c r="A1558">
        <v>900091143</v>
      </c>
      <c r="B1558" t="s">
        <v>17</v>
      </c>
      <c r="C1558" t="s">
        <v>1594</v>
      </c>
      <c r="D1558" t="s">
        <v>1595</v>
      </c>
      <c r="E1558" t="s">
        <v>1594</v>
      </c>
      <c r="F1558" t="s">
        <v>1269</v>
      </c>
      <c r="G1558" t="s">
        <v>1596</v>
      </c>
      <c r="H1558" t="s">
        <v>22</v>
      </c>
      <c r="I1558" t="s">
        <v>1597</v>
      </c>
      <c r="J1558" t="s">
        <v>1598</v>
      </c>
      <c r="K1558" t="s">
        <v>50</v>
      </c>
      <c r="L1558" t="s">
        <v>1593</v>
      </c>
      <c r="M1558">
        <v>2</v>
      </c>
      <c r="N1558" t="s">
        <v>1593</v>
      </c>
      <c r="O1558" t="s">
        <v>1272</v>
      </c>
      <c r="P1558" t="s">
        <v>1297</v>
      </c>
      <c r="Q1558" s="3">
        <v>6000000</v>
      </c>
      <c r="R1558" s="3">
        <v>6000000</v>
      </c>
      <c r="S1558" s="3">
        <v>0</v>
      </c>
    </row>
    <row r="1559" spans="1:19" x14ac:dyDescent="0.25">
      <c r="A1559">
        <v>900091143</v>
      </c>
      <c r="B1559" t="s">
        <v>17</v>
      </c>
      <c r="C1559" t="s">
        <v>1599</v>
      </c>
      <c r="D1559" t="s">
        <v>1600</v>
      </c>
      <c r="E1559" t="s">
        <v>1599</v>
      </c>
      <c r="F1559" t="s">
        <v>1269</v>
      </c>
      <c r="G1559" t="s">
        <v>1601</v>
      </c>
      <c r="H1559" t="s">
        <v>22</v>
      </c>
      <c r="I1559" t="s">
        <v>1602</v>
      </c>
      <c r="J1559" t="s">
        <v>1603</v>
      </c>
      <c r="K1559" t="s">
        <v>50</v>
      </c>
      <c r="L1559" t="s">
        <v>1593</v>
      </c>
      <c r="M1559">
        <v>2</v>
      </c>
      <c r="N1559" t="s">
        <v>1593</v>
      </c>
      <c r="O1559" t="s">
        <v>1272</v>
      </c>
      <c r="P1559" t="s">
        <v>1297</v>
      </c>
      <c r="Q1559" s="3">
        <v>6000000</v>
      </c>
      <c r="R1559" s="3">
        <v>6000000</v>
      </c>
      <c r="S1559" s="3">
        <v>0</v>
      </c>
    </row>
    <row r="1560" spans="1:19" x14ac:dyDescent="0.25">
      <c r="A1560">
        <v>900091143</v>
      </c>
      <c r="B1560" t="s">
        <v>17</v>
      </c>
      <c r="C1560" t="s">
        <v>1604</v>
      </c>
      <c r="D1560" t="s">
        <v>1605</v>
      </c>
      <c r="E1560" t="s">
        <v>1604</v>
      </c>
      <c r="F1560" t="s">
        <v>1269</v>
      </c>
      <c r="G1560" t="s">
        <v>1606</v>
      </c>
      <c r="H1560" t="s">
        <v>22</v>
      </c>
      <c r="I1560" t="s">
        <v>477</v>
      </c>
      <c r="J1560" t="s">
        <v>478</v>
      </c>
      <c r="K1560" t="s">
        <v>168</v>
      </c>
      <c r="L1560" t="s">
        <v>1593</v>
      </c>
      <c r="M1560">
        <v>2</v>
      </c>
      <c r="N1560" t="s">
        <v>1593</v>
      </c>
      <c r="O1560" t="s">
        <v>1272</v>
      </c>
      <c r="P1560" t="s">
        <v>1324</v>
      </c>
      <c r="Q1560" s="3">
        <v>12000000</v>
      </c>
      <c r="R1560" s="3">
        <v>12000000</v>
      </c>
      <c r="S1560" s="3">
        <v>0</v>
      </c>
    </row>
    <row r="1561" spans="1:19" x14ac:dyDescent="0.25">
      <c r="A1561">
        <v>900091143</v>
      </c>
      <c r="B1561" t="s">
        <v>17</v>
      </c>
      <c r="C1561" t="s">
        <v>1607</v>
      </c>
      <c r="D1561" t="s">
        <v>1608</v>
      </c>
      <c r="E1561" t="s">
        <v>1607</v>
      </c>
      <c r="F1561" t="s">
        <v>1269</v>
      </c>
      <c r="G1561" t="s">
        <v>1609</v>
      </c>
      <c r="H1561" t="s">
        <v>22</v>
      </c>
      <c r="I1561" t="s">
        <v>1610</v>
      </c>
      <c r="J1561" t="s">
        <v>1611</v>
      </c>
      <c r="K1561" t="s">
        <v>2861</v>
      </c>
      <c r="L1561" t="s">
        <v>1612</v>
      </c>
      <c r="M1561">
        <v>2</v>
      </c>
      <c r="N1561" t="s">
        <v>1612</v>
      </c>
      <c r="O1561" t="s">
        <v>1272</v>
      </c>
      <c r="P1561" t="s">
        <v>1346</v>
      </c>
      <c r="Q1561" s="3">
        <v>5000000</v>
      </c>
      <c r="R1561" s="3">
        <v>5000000</v>
      </c>
      <c r="S1561" s="3">
        <v>0</v>
      </c>
    </row>
    <row r="1562" spans="1:19" x14ac:dyDescent="0.25">
      <c r="A1562">
        <v>900091143</v>
      </c>
      <c r="B1562" t="s">
        <v>17</v>
      </c>
      <c r="C1562" t="s">
        <v>1613</v>
      </c>
      <c r="D1562" t="s">
        <v>1614</v>
      </c>
      <c r="E1562" t="s">
        <v>1613</v>
      </c>
      <c r="F1562" t="s">
        <v>1269</v>
      </c>
      <c r="G1562" t="s">
        <v>1615</v>
      </c>
      <c r="H1562" t="s">
        <v>22</v>
      </c>
      <c r="I1562" t="s">
        <v>780</v>
      </c>
      <c r="J1562" t="s">
        <v>781</v>
      </c>
      <c r="K1562" t="s">
        <v>2860</v>
      </c>
      <c r="L1562" t="s">
        <v>1612</v>
      </c>
      <c r="M1562">
        <v>2</v>
      </c>
      <c r="N1562" t="s">
        <v>1612</v>
      </c>
      <c r="O1562" t="s">
        <v>1272</v>
      </c>
      <c r="P1562" t="s">
        <v>1273</v>
      </c>
      <c r="Q1562" s="3">
        <v>9500000</v>
      </c>
      <c r="R1562" s="3">
        <v>9500000</v>
      </c>
      <c r="S1562" s="3">
        <v>0</v>
      </c>
    </row>
    <row r="1563" spans="1:19" x14ac:dyDescent="0.25">
      <c r="A1563">
        <v>900091143</v>
      </c>
      <c r="B1563" t="s">
        <v>17</v>
      </c>
      <c r="C1563" t="s">
        <v>1616</v>
      </c>
      <c r="D1563" t="s">
        <v>1617</v>
      </c>
      <c r="E1563" t="s">
        <v>1616</v>
      </c>
      <c r="F1563" t="s">
        <v>1269</v>
      </c>
      <c r="G1563" t="s">
        <v>1618</v>
      </c>
      <c r="H1563" t="s">
        <v>22</v>
      </c>
      <c r="I1563" t="s">
        <v>764</v>
      </c>
      <c r="J1563" t="s">
        <v>765</v>
      </c>
      <c r="K1563" t="s">
        <v>2861</v>
      </c>
      <c r="L1563" t="s">
        <v>1612</v>
      </c>
      <c r="M1563">
        <v>2</v>
      </c>
      <c r="N1563" t="s">
        <v>1612</v>
      </c>
      <c r="O1563" t="s">
        <v>1272</v>
      </c>
      <c r="P1563" t="s">
        <v>1346</v>
      </c>
      <c r="Q1563" s="3">
        <v>5000000</v>
      </c>
      <c r="R1563" s="3">
        <v>5000000</v>
      </c>
      <c r="S1563" s="3">
        <v>0</v>
      </c>
    </row>
    <row r="1564" spans="1:19" x14ac:dyDescent="0.25">
      <c r="A1564">
        <v>900091143</v>
      </c>
      <c r="B1564" t="s">
        <v>17</v>
      </c>
      <c r="C1564" t="s">
        <v>1619</v>
      </c>
      <c r="D1564" t="s">
        <v>1620</v>
      </c>
      <c r="E1564" t="s">
        <v>1619</v>
      </c>
      <c r="F1564" t="s">
        <v>1269</v>
      </c>
      <c r="G1564" t="s">
        <v>1621</v>
      </c>
      <c r="H1564" t="s">
        <v>22</v>
      </c>
      <c r="I1564" t="s">
        <v>687</v>
      </c>
      <c r="J1564" t="s">
        <v>688</v>
      </c>
      <c r="K1564" t="s">
        <v>168</v>
      </c>
      <c r="L1564" t="s">
        <v>1622</v>
      </c>
      <c r="M1564">
        <v>2</v>
      </c>
      <c r="N1564" t="s">
        <v>1622</v>
      </c>
      <c r="O1564" t="s">
        <v>1272</v>
      </c>
      <c r="P1564" t="s">
        <v>1324</v>
      </c>
      <c r="Q1564" s="3">
        <v>9000000</v>
      </c>
      <c r="R1564" s="3">
        <v>9000000</v>
      </c>
      <c r="S1564" s="3">
        <v>0</v>
      </c>
    </row>
    <row r="1565" spans="1:19" x14ac:dyDescent="0.25">
      <c r="A1565">
        <v>900091143</v>
      </c>
      <c r="B1565" t="s">
        <v>17</v>
      </c>
      <c r="C1565" t="s">
        <v>1623</v>
      </c>
      <c r="D1565" t="s">
        <v>1624</v>
      </c>
      <c r="E1565" t="s">
        <v>1623</v>
      </c>
      <c r="F1565" t="s">
        <v>46</v>
      </c>
      <c r="G1565" t="s">
        <v>1625</v>
      </c>
      <c r="H1565" t="s">
        <v>22</v>
      </c>
      <c r="I1565" t="s">
        <v>1626</v>
      </c>
      <c r="J1565" t="s">
        <v>1627</v>
      </c>
      <c r="K1565" t="s">
        <v>2860</v>
      </c>
      <c r="L1565" t="s">
        <v>479</v>
      </c>
      <c r="M1565">
        <v>4</v>
      </c>
      <c r="N1565" t="s">
        <v>486</v>
      </c>
      <c r="O1565" t="s">
        <v>487</v>
      </c>
      <c r="P1565" t="s">
        <v>473</v>
      </c>
      <c r="Q1565" s="3">
        <v>19000000</v>
      </c>
      <c r="R1565" s="3">
        <v>19000000</v>
      </c>
      <c r="S1565" s="3">
        <v>0</v>
      </c>
    </row>
    <row r="1566" spans="1:19" x14ac:dyDescent="0.25">
      <c r="A1566">
        <v>900091143</v>
      </c>
      <c r="B1566" t="s">
        <v>17</v>
      </c>
      <c r="C1566" t="s">
        <v>1628</v>
      </c>
      <c r="D1566" t="s">
        <v>1629</v>
      </c>
      <c r="E1566" t="s">
        <v>1628</v>
      </c>
      <c r="F1566" t="s">
        <v>1269</v>
      </c>
      <c r="G1566" t="s">
        <v>1630</v>
      </c>
      <c r="H1566" t="s">
        <v>22</v>
      </c>
      <c r="I1566" t="s">
        <v>544</v>
      </c>
      <c r="J1566" t="s">
        <v>545</v>
      </c>
      <c r="K1566" t="s">
        <v>50</v>
      </c>
      <c r="L1566" t="s">
        <v>1631</v>
      </c>
      <c r="M1566">
        <v>2</v>
      </c>
      <c r="N1566" t="s">
        <v>1631</v>
      </c>
      <c r="O1566" t="s">
        <v>1272</v>
      </c>
      <c r="P1566" t="s">
        <v>1297</v>
      </c>
      <c r="Q1566" s="3">
        <v>3700000</v>
      </c>
      <c r="R1566" s="3">
        <v>3700000</v>
      </c>
      <c r="S1566" s="3">
        <v>0</v>
      </c>
    </row>
    <row r="1567" spans="1:19" x14ac:dyDescent="0.25">
      <c r="A1567">
        <v>900091143</v>
      </c>
      <c r="B1567" t="s">
        <v>17</v>
      </c>
      <c r="C1567" t="s">
        <v>2856</v>
      </c>
      <c r="D1567" t="s">
        <v>2857</v>
      </c>
      <c r="E1567" t="s">
        <v>2856</v>
      </c>
      <c r="F1567" t="s">
        <v>46</v>
      </c>
      <c r="G1567" t="s">
        <v>2858</v>
      </c>
      <c r="H1567" t="s">
        <v>22</v>
      </c>
      <c r="I1567">
        <v>1085340196</v>
      </c>
      <c r="J1567" t="s">
        <v>2859</v>
      </c>
      <c r="K1567" t="s">
        <v>50</v>
      </c>
      <c r="L1567" t="s">
        <v>273</v>
      </c>
      <c r="M1567">
        <v>4</v>
      </c>
      <c r="N1567" t="s">
        <v>296</v>
      </c>
      <c r="O1567" t="s">
        <v>297</v>
      </c>
      <c r="P1567" t="s">
        <v>53</v>
      </c>
      <c r="Q1567" s="3">
        <v>6000000</v>
      </c>
      <c r="R1567" s="3">
        <v>0</v>
      </c>
      <c r="S1567" s="3">
        <v>6000000</v>
      </c>
    </row>
  </sheetData>
  <autoFilter ref="A1:S1567" xr:uid="{145BAA26-7F52-4D8D-BFF4-0902A1F6368A}"/>
  <conditionalFormatting sqref="C713:C878">
    <cfRule type="duplicateValues" dxfId="9" priority="5"/>
  </conditionalFormatting>
  <conditionalFormatting sqref="C879:C1180">
    <cfRule type="duplicateValues" dxfId="8" priority="3"/>
  </conditionalFormatting>
  <conditionalFormatting sqref="C1265:C1566">
    <cfRule type="duplicateValues" dxfId="7" priority="1"/>
  </conditionalFormatting>
  <conditionalFormatting sqref="E713:E878">
    <cfRule type="duplicateValues" dxfId="6" priority="4"/>
  </conditionalFormatting>
  <conditionalFormatting sqref="E879:E1180">
    <cfRule type="duplicateValues" dxfId="5"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32D4-82CC-4361-82F6-331B60E061F6}">
  <dimension ref="A1:S712"/>
  <sheetViews>
    <sheetView tabSelected="1" workbookViewId="0">
      <selection activeCell="R2" sqref="R2"/>
    </sheetView>
  </sheetViews>
  <sheetFormatPr baseColWidth="10" defaultRowHeight="15" x14ac:dyDescent="0.25"/>
  <cols>
    <col min="17" max="17" width="16.28515625" style="8" bestFit="1" customWidth="1"/>
    <col min="18" max="18" width="14.7109375" style="8"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c r="S1" s="3"/>
    </row>
    <row r="2" spans="1:19" x14ac:dyDescent="0.25">
      <c r="A2">
        <v>900091143</v>
      </c>
      <c r="B2" t="s">
        <v>3965</v>
      </c>
      <c r="C2" s="6" t="s">
        <v>3255</v>
      </c>
      <c r="E2" s="6" t="s">
        <v>3255</v>
      </c>
      <c r="H2" t="s">
        <v>22</v>
      </c>
      <c r="I2">
        <v>1089458776</v>
      </c>
      <c r="J2" t="s">
        <v>3966</v>
      </c>
      <c r="P2" t="s">
        <v>4273</v>
      </c>
      <c r="Q2" s="8">
        <v>9450000</v>
      </c>
      <c r="R2" s="8" t="e">
        <f>SUMIFS([1]REPORTADOS!$D$2:$D$3379,[1]REPORTADOS!$C$2:$C$3379,E2)</f>
        <v>#VALUE!</v>
      </c>
    </row>
    <row r="3" spans="1:19" x14ac:dyDescent="0.25">
      <c r="A3">
        <v>900091143</v>
      </c>
      <c r="B3" t="s">
        <v>3965</v>
      </c>
      <c r="C3" t="s">
        <v>3256</v>
      </c>
      <c r="E3" t="s">
        <v>3256</v>
      </c>
      <c r="H3" t="s">
        <v>22</v>
      </c>
      <c r="I3">
        <v>1233191133</v>
      </c>
      <c r="J3" t="s">
        <v>3967</v>
      </c>
      <c r="P3" t="s">
        <v>4273</v>
      </c>
      <c r="Q3" s="8">
        <v>9450000</v>
      </c>
      <c r="R3" s="8" t="e">
        <f>SUMIFS([1]REPORTADOS!$D$2:$D$3379,[1]REPORTADOS!$C$2:$C$3379,E3)</f>
        <v>#VALUE!</v>
      </c>
    </row>
    <row r="4" spans="1:19" x14ac:dyDescent="0.25">
      <c r="A4">
        <v>900091143</v>
      </c>
      <c r="B4" t="s">
        <v>3965</v>
      </c>
      <c r="C4" t="s">
        <v>3257</v>
      </c>
      <c r="E4" t="s">
        <v>3257</v>
      </c>
      <c r="H4" t="s">
        <v>22</v>
      </c>
      <c r="I4">
        <v>1085287296</v>
      </c>
      <c r="J4" t="s">
        <v>3968</v>
      </c>
      <c r="P4" t="s">
        <v>4274</v>
      </c>
      <c r="Q4" s="15">
        <v>4000000</v>
      </c>
      <c r="R4" s="8" t="e">
        <f>SUMIFS([1]REPORTADOS!$D$2:$D$3379,[1]REPORTADOS!$C$2:$C$3379,E4)</f>
        <v>#VALUE!</v>
      </c>
    </row>
    <row r="5" spans="1:19" x14ac:dyDescent="0.25">
      <c r="A5">
        <v>900091143</v>
      </c>
      <c r="B5" t="s">
        <v>3965</v>
      </c>
      <c r="C5" t="s">
        <v>3258</v>
      </c>
      <c r="E5" t="s">
        <v>3258</v>
      </c>
      <c r="H5" t="s">
        <v>22</v>
      </c>
      <c r="I5">
        <v>1085253512</v>
      </c>
      <c r="J5" t="s">
        <v>3969</v>
      </c>
      <c r="P5" t="s">
        <v>4275</v>
      </c>
      <c r="Q5" s="15">
        <v>4000000</v>
      </c>
      <c r="R5" s="8" t="e">
        <f>SUMIFS([1]REPORTADOS!$D$2:$D$3379,[1]REPORTADOS!$C$2:$C$3379,E5)</f>
        <v>#VALUE!</v>
      </c>
    </row>
    <row r="6" spans="1:19" x14ac:dyDescent="0.25">
      <c r="A6">
        <v>900091143</v>
      </c>
      <c r="B6" t="s">
        <v>3965</v>
      </c>
      <c r="C6" t="s">
        <v>3259</v>
      </c>
      <c r="E6" t="s">
        <v>3259</v>
      </c>
      <c r="H6" t="s">
        <v>22</v>
      </c>
      <c r="I6">
        <v>59312779</v>
      </c>
      <c r="J6" t="s">
        <v>3970</v>
      </c>
      <c r="P6" t="s">
        <v>4276</v>
      </c>
      <c r="Q6" s="15">
        <v>4000000</v>
      </c>
      <c r="R6" s="8" t="e">
        <f>SUMIFS([1]REPORTADOS!$D$2:$D$3379,[1]REPORTADOS!$C$2:$C$3379,E6)</f>
        <v>#VALUE!</v>
      </c>
    </row>
    <row r="7" spans="1:19" x14ac:dyDescent="0.25">
      <c r="A7">
        <v>900091143</v>
      </c>
      <c r="B7" t="s">
        <v>3965</v>
      </c>
      <c r="C7" t="s">
        <v>3260</v>
      </c>
      <c r="E7" t="s">
        <v>3260</v>
      </c>
      <c r="H7" t="s">
        <v>22</v>
      </c>
      <c r="I7">
        <v>1085312669</v>
      </c>
      <c r="J7" t="s">
        <v>3971</v>
      </c>
      <c r="P7" t="s">
        <v>4277</v>
      </c>
      <c r="Q7" s="15">
        <v>4000000</v>
      </c>
      <c r="R7" s="8" t="e">
        <f>SUMIFS([1]REPORTADOS!$D$2:$D$3379,[1]REPORTADOS!$C$2:$C$3379,E7)</f>
        <v>#VALUE!</v>
      </c>
    </row>
    <row r="8" spans="1:19" x14ac:dyDescent="0.25">
      <c r="A8">
        <v>900091143</v>
      </c>
      <c r="B8" t="s">
        <v>3965</v>
      </c>
      <c r="C8" t="s">
        <v>3261</v>
      </c>
      <c r="E8" t="s">
        <v>3261</v>
      </c>
      <c r="H8" t="s">
        <v>22</v>
      </c>
      <c r="I8">
        <v>1085327836</v>
      </c>
      <c r="J8" t="s">
        <v>2023</v>
      </c>
      <c r="P8" t="s">
        <v>4278</v>
      </c>
      <c r="Q8" s="15">
        <v>4000000</v>
      </c>
      <c r="R8" s="8" t="e">
        <f>SUMIFS([1]REPORTADOS!$D$2:$D$3379,[1]REPORTADOS!$C$2:$C$3379,E8)</f>
        <v>#VALUE!</v>
      </c>
    </row>
    <row r="9" spans="1:19" x14ac:dyDescent="0.25">
      <c r="A9">
        <v>900091143</v>
      </c>
      <c r="B9" t="s">
        <v>3965</v>
      </c>
      <c r="C9" t="s">
        <v>3262</v>
      </c>
      <c r="E9" t="s">
        <v>3262</v>
      </c>
      <c r="H9" t="s">
        <v>22</v>
      </c>
      <c r="I9">
        <v>37083933</v>
      </c>
      <c r="J9" t="s">
        <v>3972</v>
      </c>
      <c r="P9" t="s">
        <v>4279</v>
      </c>
      <c r="Q9" s="15">
        <v>4000000</v>
      </c>
      <c r="R9" s="8" t="e">
        <f>SUMIFS([1]REPORTADOS!$D$2:$D$3379,[1]REPORTADOS!$C$2:$C$3379,E9)</f>
        <v>#VALUE!</v>
      </c>
    </row>
    <row r="10" spans="1:19" x14ac:dyDescent="0.25">
      <c r="A10">
        <v>900091143</v>
      </c>
      <c r="B10" t="s">
        <v>3965</v>
      </c>
      <c r="C10" t="s">
        <v>3263</v>
      </c>
      <c r="E10" t="s">
        <v>3263</v>
      </c>
      <c r="H10" t="s">
        <v>22</v>
      </c>
      <c r="I10">
        <v>1010113730</v>
      </c>
      <c r="J10" t="s">
        <v>2325</v>
      </c>
      <c r="P10" t="s">
        <v>4280</v>
      </c>
      <c r="Q10" s="15">
        <v>4000000</v>
      </c>
      <c r="R10" s="8" t="e">
        <f>SUMIFS([1]REPORTADOS!$D$2:$D$3379,[1]REPORTADOS!$C$2:$C$3379,E10)</f>
        <v>#VALUE!</v>
      </c>
    </row>
    <row r="11" spans="1:19" x14ac:dyDescent="0.25">
      <c r="A11">
        <v>900091143</v>
      </c>
      <c r="B11" t="s">
        <v>3965</v>
      </c>
      <c r="C11" t="s">
        <v>3264</v>
      </c>
      <c r="E11" t="s">
        <v>3264</v>
      </c>
      <c r="H11" t="s">
        <v>22</v>
      </c>
      <c r="I11">
        <v>1085281545</v>
      </c>
      <c r="J11" t="s">
        <v>2604</v>
      </c>
      <c r="P11" t="s">
        <v>4279</v>
      </c>
      <c r="Q11" s="15">
        <v>4000000</v>
      </c>
      <c r="R11" s="8" t="e">
        <f>SUMIFS([1]REPORTADOS!$D$2:$D$3379,[1]REPORTADOS!$C$2:$C$3379,E11)</f>
        <v>#VALUE!</v>
      </c>
    </row>
    <row r="12" spans="1:19" x14ac:dyDescent="0.25">
      <c r="A12">
        <v>900091143</v>
      </c>
      <c r="B12" t="s">
        <v>3965</v>
      </c>
      <c r="C12" t="s">
        <v>3265</v>
      </c>
      <c r="E12" t="s">
        <v>3265</v>
      </c>
      <c r="H12" t="s">
        <v>22</v>
      </c>
      <c r="I12">
        <v>1081274779</v>
      </c>
      <c r="J12" t="s">
        <v>3973</v>
      </c>
      <c r="P12" t="s">
        <v>4281</v>
      </c>
      <c r="Q12" s="15">
        <v>4000000</v>
      </c>
      <c r="R12" s="8" t="e">
        <f>SUMIFS([1]REPORTADOS!$D$2:$D$3379,[1]REPORTADOS!$C$2:$C$3379,E12)</f>
        <v>#VALUE!</v>
      </c>
    </row>
    <row r="13" spans="1:19" x14ac:dyDescent="0.25">
      <c r="A13">
        <v>900091143</v>
      </c>
      <c r="B13" t="s">
        <v>3965</v>
      </c>
      <c r="C13" t="s">
        <v>3266</v>
      </c>
      <c r="E13" t="s">
        <v>3266</v>
      </c>
      <c r="H13" t="s">
        <v>22</v>
      </c>
      <c r="I13">
        <v>1085275445</v>
      </c>
      <c r="J13" t="s">
        <v>3974</v>
      </c>
      <c r="P13" t="s">
        <v>4279</v>
      </c>
      <c r="Q13" s="15">
        <v>4000000</v>
      </c>
      <c r="R13" s="8" t="e">
        <f>SUMIFS([1]REPORTADOS!$D$2:$D$3379,[1]REPORTADOS!$C$2:$C$3379,E13)</f>
        <v>#VALUE!</v>
      </c>
    </row>
    <row r="14" spans="1:19" x14ac:dyDescent="0.25">
      <c r="A14">
        <v>900091143</v>
      </c>
      <c r="B14" t="s">
        <v>3965</v>
      </c>
      <c r="C14" t="s">
        <v>3267</v>
      </c>
      <c r="E14" t="s">
        <v>3267</v>
      </c>
      <c r="H14" t="s">
        <v>22</v>
      </c>
      <c r="I14">
        <v>1085268450</v>
      </c>
      <c r="J14" t="s">
        <v>3975</v>
      </c>
      <c r="P14" t="s">
        <v>4279</v>
      </c>
      <c r="Q14" s="15">
        <v>4000000</v>
      </c>
      <c r="R14" s="8" t="e">
        <f>SUMIFS([1]REPORTADOS!$D$2:$D$3379,[1]REPORTADOS!$C$2:$C$3379,E14)</f>
        <v>#VALUE!</v>
      </c>
    </row>
    <row r="15" spans="1:19" x14ac:dyDescent="0.25">
      <c r="A15">
        <v>900091143</v>
      </c>
      <c r="B15" t="s">
        <v>3965</v>
      </c>
      <c r="C15" t="s">
        <v>3268</v>
      </c>
      <c r="E15" t="s">
        <v>3268</v>
      </c>
      <c r="H15" t="s">
        <v>22</v>
      </c>
      <c r="I15">
        <v>59815593</v>
      </c>
      <c r="J15" t="s">
        <v>3976</v>
      </c>
      <c r="P15" t="s">
        <v>4282</v>
      </c>
      <c r="Q15" s="15">
        <v>4000000</v>
      </c>
      <c r="R15" s="8" t="e">
        <f>SUMIFS([1]REPORTADOS!$D$2:$D$3379,[1]REPORTADOS!$C$2:$C$3379,E15)</f>
        <v>#VALUE!</v>
      </c>
    </row>
    <row r="16" spans="1:19" x14ac:dyDescent="0.25">
      <c r="A16">
        <v>900091143</v>
      </c>
      <c r="B16" t="s">
        <v>3965</v>
      </c>
      <c r="C16" t="s">
        <v>3269</v>
      </c>
      <c r="E16" t="s">
        <v>3269</v>
      </c>
      <c r="H16" t="s">
        <v>22</v>
      </c>
      <c r="I16">
        <v>36757715</v>
      </c>
      <c r="J16" t="s">
        <v>2347</v>
      </c>
      <c r="P16" t="s">
        <v>4283</v>
      </c>
      <c r="Q16" s="15">
        <v>4000000</v>
      </c>
      <c r="R16" s="8" t="e">
        <f>SUMIFS([1]REPORTADOS!$D$2:$D$3379,[1]REPORTADOS!$C$2:$C$3379,E16)</f>
        <v>#VALUE!</v>
      </c>
    </row>
    <row r="17" spans="1:18" x14ac:dyDescent="0.25">
      <c r="A17">
        <v>900091143</v>
      </c>
      <c r="B17" t="s">
        <v>3965</v>
      </c>
      <c r="C17" t="s">
        <v>3270</v>
      </c>
      <c r="E17" t="s">
        <v>3270</v>
      </c>
      <c r="H17" t="s">
        <v>22</v>
      </c>
      <c r="I17">
        <v>27436186</v>
      </c>
      <c r="J17" t="s">
        <v>3977</v>
      </c>
      <c r="P17" t="s">
        <v>4275</v>
      </c>
      <c r="Q17" s="15">
        <v>4200000</v>
      </c>
      <c r="R17" s="8" t="e">
        <f>SUMIFS([1]REPORTADOS!$D$2:$D$3379,[1]REPORTADOS!$C$2:$C$3379,E17)</f>
        <v>#VALUE!</v>
      </c>
    </row>
    <row r="18" spans="1:18" x14ac:dyDescent="0.25">
      <c r="A18">
        <v>900091143</v>
      </c>
      <c r="B18" t="s">
        <v>3965</v>
      </c>
      <c r="C18" t="s">
        <v>3271</v>
      </c>
      <c r="E18" t="s">
        <v>3271</v>
      </c>
      <c r="H18" t="s">
        <v>22</v>
      </c>
      <c r="I18">
        <v>27549932</v>
      </c>
      <c r="J18" t="s">
        <v>3978</v>
      </c>
      <c r="P18" t="s">
        <v>4273</v>
      </c>
      <c r="Q18" s="15">
        <v>4200000</v>
      </c>
      <c r="R18" s="8" t="e">
        <f>SUMIFS([1]REPORTADOS!$D$2:$D$3379,[1]REPORTADOS!$C$2:$C$3379,E18)</f>
        <v>#VALUE!</v>
      </c>
    </row>
    <row r="19" spans="1:18" x14ac:dyDescent="0.25">
      <c r="A19">
        <v>900091143</v>
      </c>
      <c r="B19" t="s">
        <v>3965</v>
      </c>
      <c r="C19" t="s">
        <v>3272</v>
      </c>
      <c r="E19" t="s">
        <v>3272</v>
      </c>
      <c r="H19" t="s">
        <v>22</v>
      </c>
      <c r="I19">
        <v>1089243630</v>
      </c>
      <c r="J19" t="s">
        <v>2263</v>
      </c>
      <c r="P19" t="s">
        <v>4273</v>
      </c>
      <c r="Q19" s="8">
        <v>9450000</v>
      </c>
      <c r="R19" s="8" t="e">
        <f>SUMIFS([1]REPORTADOS!$D$2:$D$3379,[1]REPORTADOS!$C$2:$C$3379,E19)</f>
        <v>#VALUE!</v>
      </c>
    </row>
    <row r="20" spans="1:18" x14ac:dyDescent="0.25">
      <c r="A20">
        <v>900091143</v>
      </c>
      <c r="B20" t="s">
        <v>3965</v>
      </c>
      <c r="C20" t="s">
        <v>3273</v>
      </c>
      <c r="E20" t="s">
        <v>3273</v>
      </c>
      <c r="H20" t="s">
        <v>22</v>
      </c>
      <c r="I20">
        <v>1085327677</v>
      </c>
      <c r="J20" t="s">
        <v>3979</v>
      </c>
      <c r="P20" t="s">
        <v>4273</v>
      </c>
      <c r="Q20" s="8">
        <v>9450000</v>
      </c>
      <c r="R20" s="8" t="e">
        <f>SUMIFS([1]REPORTADOS!$D$2:$D$3379,[1]REPORTADOS!$C$2:$C$3379,E20)</f>
        <v>#VALUE!</v>
      </c>
    </row>
    <row r="21" spans="1:18" x14ac:dyDescent="0.25">
      <c r="A21">
        <v>900091143</v>
      </c>
      <c r="B21" t="s">
        <v>3965</v>
      </c>
      <c r="C21" t="s">
        <v>3274</v>
      </c>
      <c r="E21" t="s">
        <v>3274</v>
      </c>
      <c r="H21" t="s">
        <v>22</v>
      </c>
      <c r="I21">
        <v>1089243630</v>
      </c>
      <c r="J21" t="s">
        <v>2263</v>
      </c>
      <c r="P21" t="s">
        <v>4273</v>
      </c>
      <c r="Q21" s="15">
        <v>4725000</v>
      </c>
      <c r="R21" s="8" t="e">
        <f>SUMIFS([1]REPORTADOS!$D$2:$D$3379,[1]REPORTADOS!$C$2:$C$3379,E21)</f>
        <v>#VALUE!</v>
      </c>
    </row>
    <row r="22" spans="1:18" x14ac:dyDescent="0.25">
      <c r="A22">
        <v>900091143</v>
      </c>
      <c r="B22" t="s">
        <v>3965</v>
      </c>
      <c r="C22" t="s">
        <v>3275</v>
      </c>
      <c r="E22" t="s">
        <v>3275</v>
      </c>
      <c r="H22" t="s">
        <v>22</v>
      </c>
      <c r="I22">
        <v>36751255</v>
      </c>
      <c r="J22" t="s">
        <v>3980</v>
      </c>
      <c r="P22" t="s">
        <v>4273</v>
      </c>
      <c r="Q22" s="15">
        <v>4725000</v>
      </c>
      <c r="R22" s="8" t="e">
        <f>SUMIFS([1]REPORTADOS!$D$2:$D$3379,[1]REPORTADOS!$C$2:$C$3379,E22)</f>
        <v>#VALUE!</v>
      </c>
    </row>
    <row r="23" spans="1:18" x14ac:dyDescent="0.25">
      <c r="A23">
        <v>900091143</v>
      </c>
      <c r="B23" t="s">
        <v>3965</v>
      </c>
      <c r="C23" t="s">
        <v>3276</v>
      </c>
      <c r="E23" t="s">
        <v>3276</v>
      </c>
      <c r="H23" t="s">
        <v>22</v>
      </c>
      <c r="I23">
        <v>1233193191</v>
      </c>
      <c r="J23" t="s">
        <v>3981</v>
      </c>
      <c r="P23" t="s">
        <v>4273</v>
      </c>
      <c r="Q23" s="8">
        <v>9450000</v>
      </c>
      <c r="R23" s="8" t="e">
        <f>SUMIFS([1]REPORTADOS!$D$2:$D$3379,[1]REPORTADOS!$C$2:$C$3379,E23)</f>
        <v>#VALUE!</v>
      </c>
    </row>
    <row r="24" spans="1:18" x14ac:dyDescent="0.25">
      <c r="A24">
        <v>900091143</v>
      </c>
      <c r="B24" t="s">
        <v>3965</v>
      </c>
      <c r="C24" t="s">
        <v>3277</v>
      </c>
      <c r="E24" t="s">
        <v>3277</v>
      </c>
      <c r="H24" t="s">
        <v>22</v>
      </c>
      <c r="I24">
        <v>1081052090</v>
      </c>
      <c r="J24" t="s">
        <v>2534</v>
      </c>
      <c r="P24" t="s">
        <v>4279</v>
      </c>
      <c r="Q24" s="15">
        <v>6000000</v>
      </c>
      <c r="R24" s="8" t="e">
        <f>SUMIFS([1]REPORTADOS!$D$2:$D$3379,[1]REPORTADOS!$C$2:$C$3379,E24)</f>
        <v>#VALUE!</v>
      </c>
    </row>
    <row r="25" spans="1:18" x14ac:dyDescent="0.25">
      <c r="A25">
        <v>900091143</v>
      </c>
      <c r="B25" t="s">
        <v>3965</v>
      </c>
      <c r="C25" t="s">
        <v>3278</v>
      </c>
      <c r="E25" t="s">
        <v>3278</v>
      </c>
      <c r="H25" t="s">
        <v>22</v>
      </c>
      <c r="I25">
        <v>1080040525</v>
      </c>
      <c r="J25" t="s">
        <v>3982</v>
      </c>
      <c r="P25" t="s">
        <v>4284</v>
      </c>
      <c r="Q25" s="15">
        <v>6000000</v>
      </c>
      <c r="R25" s="8" t="e">
        <f>SUMIFS([1]REPORTADOS!$D$2:$D$3379,[1]REPORTADOS!$C$2:$C$3379,E25)</f>
        <v>#VALUE!</v>
      </c>
    </row>
    <row r="26" spans="1:18" x14ac:dyDescent="0.25">
      <c r="A26">
        <v>900091143</v>
      </c>
      <c r="B26" t="s">
        <v>3965</v>
      </c>
      <c r="C26" t="s">
        <v>3279</v>
      </c>
      <c r="E26" t="s">
        <v>3279</v>
      </c>
      <c r="H26" t="s">
        <v>22</v>
      </c>
      <c r="I26">
        <v>59313273</v>
      </c>
      <c r="J26" t="s">
        <v>3983</v>
      </c>
      <c r="P26" t="s">
        <v>4285</v>
      </c>
      <c r="Q26" s="15">
        <v>6000000</v>
      </c>
      <c r="R26" s="8" t="e">
        <f>SUMIFS([1]REPORTADOS!$D$2:$D$3379,[1]REPORTADOS!$C$2:$C$3379,E26)</f>
        <v>#VALUE!</v>
      </c>
    </row>
    <row r="27" spans="1:18" x14ac:dyDescent="0.25">
      <c r="A27">
        <v>900091143</v>
      </c>
      <c r="B27" t="s">
        <v>3965</v>
      </c>
      <c r="C27" t="s">
        <v>3280</v>
      </c>
      <c r="E27" t="s">
        <v>3280</v>
      </c>
      <c r="H27" t="s">
        <v>22</v>
      </c>
      <c r="I27">
        <v>1085313195</v>
      </c>
      <c r="J27" t="s">
        <v>3984</v>
      </c>
      <c r="P27" t="s">
        <v>4286</v>
      </c>
      <c r="Q27" s="15">
        <v>6000000</v>
      </c>
      <c r="R27" s="8" t="e">
        <f>SUMIFS([1]REPORTADOS!$D$2:$D$3379,[1]REPORTADOS!$C$2:$C$3379,E27)</f>
        <v>#VALUE!</v>
      </c>
    </row>
    <row r="28" spans="1:18" x14ac:dyDescent="0.25">
      <c r="A28">
        <v>900091143</v>
      </c>
      <c r="B28" t="s">
        <v>3965</v>
      </c>
      <c r="C28" t="s">
        <v>3281</v>
      </c>
      <c r="E28" t="s">
        <v>3281</v>
      </c>
      <c r="H28" t="s">
        <v>22</v>
      </c>
      <c r="I28">
        <v>1085334752</v>
      </c>
      <c r="J28" t="s">
        <v>3985</v>
      </c>
      <c r="P28" t="s">
        <v>4287</v>
      </c>
      <c r="Q28" s="15">
        <v>6000000</v>
      </c>
      <c r="R28" s="8" t="e">
        <f>SUMIFS([1]REPORTADOS!$D$2:$D$3379,[1]REPORTADOS!$C$2:$C$3379,E28)</f>
        <v>#VALUE!</v>
      </c>
    </row>
    <row r="29" spans="1:18" x14ac:dyDescent="0.25">
      <c r="A29">
        <v>900091143</v>
      </c>
      <c r="B29" t="s">
        <v>3965</v>
      </c>
      <c r="C29" t="s">
        <v>3282</v>
      </c>
      <c r="E29" t="s">
        <v>3282</v>
      </c>
      <c r="H29" t="s">
        <v>22</v>
      </c>
      <c r="I29">
        <v>87060188</v>
      </c>
      <c r="J29" t="s">
        <v>3986</v>
      </c>
      <c r="P29" t="s">
        <v>4288</v>
      </c>
      <c r="Q29" s="15">
        <v>6000000</v>
      </c>
      <c r="R29" s="8" t="e">
        <f>SUMIFS([1]REPORTADOS!$D$2:$D$3379,[1]REPORTADOS!$C$2:$C$3379,E29)</f>
        <v>#VALUE!</v>
      </c>
    </row>
    <row r="30" spans="1:18" x14ac:dyDescent="0.25">
      <c r="A30">
        <v>900091143</v>
      </c>
      <c r="B30" t="s">
        <v>3965</v>
      </c>
      <c r="C30" t="s">
        <v>3283</v>
      </c>
      <c r="E30" t="s">
        <v>3283</v>
      </c>
      <c r="H30" t="s">
        <v>22</v>
      </c>
      <c r="I30">
        <v>1137089036</v>
      </c>
      <c r="J30" t="s">
        <v>3987</v>
      </c>
      <c r="P30" t="s">
        <v>4278</v>
      </c>
      <c r="Q30" s="15">
        <v>6000000</v>
      </c>
      <c r="R30" s="8" t="e">
        <f>SUMIFS([1]REPORTADOS!$D$2:$D$3379,[1]REPORTADOS!$C$2:$C$3379,E30)</f>
        <v>#VALUE!</v>
      </c>
    </row>
    <row r="31" spans="1:18" x14ac:dyDescent="0.25">
      <c r="A31">
        <v>900091143</v>
      </c>
      <c r="B31" t="s">
        <v>3965</v>
      </c>
      <c r="C31" t="s">
        <v>3284</v>
      </c>
      <c r="E31" t="s">
        <v>3284</v>
      </c>
      <c r="H31" t="s">
        <v>22</v>
      </c>
      <c r="I31">
        <v>1233188221</v>
      </c>
      <c r="J31" t="s">
        <v>3988</v>
      </c>
      <c r="P31" t="s">
        <v>4279</v>
      </c>
      <c r="Q31" s="15">
        <v>6000000</v>
      </c>
      <c r="R31" s="8" t="e">
        <f>SUMIFS([1]REPORTADOS!$D$2:$D$3379,[1]REPORTADOS!$C$2:$C$3379,E31)</f>
        <v>#VALUE!</v>
      </c>
    </row>
    <row r="32" spans="1:18" x14ac:dyDescent="0.25">
      <c r="A32">
        <v>900091143</v>
      </c>
      <c r="B32" t="s">
        <v>3965</v>
      </c>
      <c r="C32" t="s">
        <v>3285</v>
      </c>
      <c r="E32" t="s">
        <v>3285</v>
      </c>
      <c r="H32" t="s">
        <v>22</v>
      </c>
      <c r="I32">
        <v>27082650</v>
      </c>
      <c r="J32" t="s">
        <v>3989</v>
      </c>
      <c r="P32" t="s">
        <v>4278</v>
      </c>
      <c r="Q32" s="15">
        <v>6000000</v>
      </c>
      <c r="R32" s="8" t="e">
        <f>SUMIFS([1]REPORTADOS!$D$2:$D$3379,[1]REPORTADOS!$C$2:$C$3379,E32)</f>
        <v>#VALUE!</v>
      </c>
    </row>
    <row r="33" spans="1:18" x14ac:dyDescent="0.25">
      <c r="A33">
        <v>900091143</v>
      </c>
      <c r="B33" t="s">
        <v>3965</v>
      </c>
      <c r="C33" t="s">
        <v>3286</v>
      </c>
      <c r="E33" t="s">
        <v>3286</v>
      </c>
      <c r="H33" t="s">
        <v>22</v>
      </c>
      <c r="I33">
        <v>1085253462</v>
      </c>
      <c r="J33" t="s">
        <v>3990</v>
      </c>
      <c r="P33" t="s">
        <v>4279</v>
      </c>
      <c r="Q33" s="15">
        <v>6000000</v>
      </c>
      <c r="R33" s="8" t="e">
        <f>SUMIFS([1]REPORTADOS!$D$2:$D$3379,[1]REPORTADOS!$C$2:$C$3379,E33)</f>
        <v>#VALUE!</v>
      </c>
    </row>
    <row r="34" spans="1:18" x14ac:dyDescent="0.25">
      <c r="A34">
        <v>900091143</v>
      </c>
      <c r="B34" t="s">
        <v>3965</v>
      </c>
      <c r="C34" t="s">
        <v>3287</v>
      </c>
      <c r="E34" t="s">
        <v>3287</v>
      </c>
      <c r="H34" t="s">
        <v>22</v>
      </c>
      <c r="I34">
        <v>1081282855</v>
      </c>
      <c r="J34" t="s">
        <v>3991</v>
      </c>
      <c r="P34" t="s">
        <v>4279</v>
      </c>
      <c r="Q34" s="15">
        <v>6000000</v>
      </c>
      <c r="R34" s="8" t="e">
        <f>SUMIFS([1]REPORTADOS!$D$2:$D$3379,[1]REPORTADOS!$C$2:$C$3379,E34)</f>
        <v>#VALUE!</v>
      </c>
    </row>
    <row r="35" spans="1:18" x14ac:dyDescent="0.25">
      <c r="A35">
        <v>900091143</v>
      </c>
      <c r="B35" t="s">
        <v>3965</v>
      </c>
      <c r="C35" t="s">
        <v>3288</v>
      </c>
      <c r="E35" t="s">
        <v>3288</v>
      </c>
      <c r="H35" t="s">
        <v>22</v>
      </c>
      <c r="I35">
        <v>1004217048</v>
      </c>
      <c r="J35" t="s">
        <v>3992</v>
      </c>
      <c r="P35" t="s">
        <v>4286</v>
      </c>
      <c r="Q35" s="15">
        <v>6000000</v>
      </c>
      <c r="R35" s="8" t="e">
        <f>SUMIFS([1]REPORTADOS!$D$2:$D$3379,[1]REPORTADOS!$C$2:$C$3379,E35)</f>
        <v>#VALUE!</v>
      </c>
    </row>
    <row r="36" spans="1:18" x14ac:dyDescent="0.25">
      <c r="A36">
        <v>900091143</v>
      </c>
      <c r="B36" t="s">
        <v>3965</v>
      </c>
      <c r="C36" t="s">
        <v>3289</v>
      </c>
      <c r="E36" t="s">
        <v>3289</v>
      </c>
      <c r="H36" t="s">
        <v>22</v>
      </c>
      <c r="I36">
        <v>1233190640</v>
      </c>
      <c r="J36" t="s">
        <v>3993</v>
      </c>
      <c r="P36" t="s">
        <v>4289</v>
      </c>
      <c r="Q36" s="15">
        <v>6000000</v>
      </c>
      <c r="R36" s="8" t="e">
        <f>SUMIFS([1]REPORTADOS!$D$2:$D$3379,[1]REPORTADOS!$C$2:$C$3379,E36)</f>
        <v>#VALUE!</v>
      </c>
    </row>
    <row r="37" spans="1:18" x14ac:dyDescent="0.25">
      <c r="A37">
        <v>900091143</v>
      </c>
      <c r="B37" t="s">
        <v>3965</v>
      </c>
      <c r="C37" t="s">
        <v>3290</v>
      </c>
      <c r="E37" t="s">
        <v>3290</v>
      </c>
      <c r="H37" t="s">
        <v>22</v>
      </c>
      <c r="I37">
        <v>59314118</v>
      </c>
      <c r="J37" t="s">
        <v>3994</v>
      </c>
      <c r="P37" t="s">
        <v>4279</v>
      </c>
      <c r="Q37" s="15">
        <v>6000000</v>
      </c>
      <c r="R37" s="8" t="e">
        <f>SUMIFS([1]REPORTADOS!$D$2:$D$3379,[1]REPORTADOS!$C$2:$C$3379,E37)</f>
        <v>#VALUE!</v>
      </c>
    </row>
    <row r="38" spans="1:18" x14ac:dyDescent="0.25">
      <c r="A38">
        <v>900091143</v>
      </c>
      <c r="B38" t="s">
        <v>3965</v>
      </c>
      <c r="C38" t="s">
        <v>3291</v>
      </c>
      <c r="E38" t="s">
        <v>3291</v>
      </c>
      <c r="H38" t="s">
        <v>22</v>
      </c>
      <c r="I38">
        <v>1085310465</v>
      </c>
      <c r="J38" t="s">
        <v>2587</v>
      </c>
      <c r="P38" t="s">
        <v>4279</v>
      </c>
      <c r="Q38" s="15">
        <v>6000000</v>
      </c>
      <c r="R38" s="8" t="e">
        <f>SUMIFS([1]REPORTADOS!$D$2:$D$3379,[1]REPORTADOS!$C$2:$C$3379,E38)</f>
        <v>#VALUE!</v>
      </c>
    </row>
    <row r="39" spans="1:18" x14ac:dyDescent="0.25">
      <c r="A39">
        <v>900091143</v>
      </c>
      <c r="B39" t="s">
        <v>3965</v>
      </c>
      <c r="C39" t="s">
        <v>3292</v>
      </c>
      <c r="E39" t="s">
        <v>3292</v>
      </c>
      <c r="H39" t="s">
        <v>22</v>
      </c>
      <c r="I39">
        <v>59829440</v>
      </c>
      <c r="J39" t="s">
        <v>3995</v>
      </c>
      <c r="P39" t="s">
        <v>4290</v>
      </c>
      <c r="Q39" s="15">
        <v>6000000</v>
      </c>
      <c r="R39" s="8" t="e">
        <f>SUMIFS([1]REPORTADOS!$D$2:$D$3379,[1]REPORTADOS!$C$2:$C$3379,E39)</f>
        <v>#VALUE!</v>
      </c>
    </row>
    <row r="40" spans="1:18" x14ac:dyDescent="0.25">
      <c r="A40">
        <v>900091143</v>
      </c>
      <c r="B40" t="s">
        <v>3965</v>
      </c>
      <c r="C40" t="s">
        <v>3293</v>
      </c>
      <c r="E40" t="s">
        <v>3293</v>
      </c>
      <c r="H40" t="s">
        <v>22</v>
      </c>
      <c r="I40">
        <v>27086745</v>
      </c>
      <c r="J40" t="s">
        <v>3996</v>
      </c>
      <c r="P40" t="s">
        <v>4279</v>
      </c>
      <c r="Q40" s="15">
        <v>6000000</v>
      </c>
      <c r="R40" s="8" t="e">
        <f>SUMIFS([1]REPORTADOS!$D$2:$D$3379,[1]REPORTADOS!$C$2:$C$3379,E40)</f>
        <v>#VALUE!</v>
      </c>
    </row>
    <row r="41" spans="1:18" x14ac:dyDescent="0.25">
      <c r="A41">
        <v>900091143</v>
      </c>
      <c r="B41" t="s">
        <v>3965</v>
      </c>
      <c r="C41" t="s">
        <v>3294</v>
      </c>
      <c r="E41" t="s">
        <v>3294</v>
      </c>
      <c r="H41" t="s">
        <v>22</v>
      </c>
      <c r="I41">
        <v>1085334831</v>
      </c>
      <c r="J41" t="s">
        <v>3997</v>
      </c>
      <c r="P41" t="s">
        <v>4291</v>
      </c>
      <c r="Q41" s="15">
        <v>6000000</v>
      </c>
      <c r="R41" s="8" t="e">
        <f>SUMIFS([1]REPORTADOS!$D$2:$D$3379,[1]REPORTADOS!$C$2:$C$3379,E41)</f>
        <v>#VALUE!</v>
      </c>
    </row>
    <row r="42" spans="1:18" x14ac:dyDescent="0.25">
      <c r="A42">
        <v>900091143</v>
      </c>
      <c r="B42" t="s">
        <v>3965</v>
      </c>
      <c r="C42" t="s">
        <v>3295</v>
      </c>
      <c r="E42" t="s">
        <v>3295</v>
      </c>
      <c r="H42" t="s">
        <v>22</v>
      </c>
      <c r="I42">
        <v>36933095</v>
      </c>
      <c r="J42" t="s">
        <v>3998</v>
      </c>
      <c r="P42" t="s">
        <v>4283</v>
      </c>
      <c r="Q42" s="15">
        <v>6000000</v>
      </c>
      <c r="R42" s="8" t="e">
        <f>SUMIFS([1]REPORTADOS!$D$2:$D$3379,[1]REPORTADOS!$C$2:$C$3379,E42)</f>
        <v>#VALUE!</v>
      </c>
    </row>
    <row r="43" spans="1:18" x14ac:dyDescent="0.25">
      <c r="A43">
        <v>900091143</v>
      </c>
      <c r="B43" t="s">
        <v>3965</v>
      </c>
      <c r="C43" t="s">
        <v>3296</v>
      </c>
      <c r="E43" t="s">
        <v>3296</v>
      </c>
      <c r="H43" t="s">
        <v>22</v>
      </c>
      <c r="I43">
        <v>1085317085</v>
      </c>
      <c r="J43" t="s">
        <v>3999</v>
      </c>
      <c r="P43" t="s">
        <v>4279</v>
      </c>
      <c r="Q43" s="15">
        <v>6000000</v>
      </c>
      <c r="R43" s="8" t="e">
        <f>SUMIFS([1]REPORTADOS!$D$2:$D$3379,[1]REPORTADOS!$C$2:$C$3379,E43)</f>
        <v>#VALUE!</v>
      </c>
    </row>
    <row r="44" spans="1:18" x14ac:dyDescent="0.25">
      <c r="A44">
        <v>900091143</v>
      </c>
      <c r="B44" t="s">
        <v>3965</v>
      </c>
      <c r="C44" t="s">
        <v>3297</v>
      </c>
      <c r="E44" t="s">
        <v>3297</v>
      </c>
      <c r="H44" t="s">
        <v>22</v>
      </c>
      <c r="I44">
        <v>12990231</v>
      </c>
      <c r="J44" t="s">
        <v>2748</v>
      </c>
      <c r="P44" t="s">
        <v>4287</v>
      </c>
      <c r="Q44" s="15">
        <v>6000000</v>
      </c>
      <c r="R44" s="8" t="e">
        <f>SUMIFS([1]REPORTADOS!$D$2:$D$3379,[1]REPORTADOS!$C$2:$C$3379,E44)</f>
        <v>#VALUE!</v>
      </c>
    </row>
    <row r="45" spans="1:18" x14ac:dyDescent="0.25">
      <c r="A45">
        <v>900091143</v>
      </c>
      <c r="B45" t="s">
        <v>3965</v>
      </c>
      <c r="C45" t="s">
        <v>3298</v>
      </c>
      <c r="E45" t="s">
        <v>3298</v>
      </c>
      <c r="H45" t="s">
        <v>22</v>
      </c>
      <c r="I45">
        <v>12974849</v>
      </c>
      <c r="J45" t="s">
        <v>2290</v>
      </c>
      <c r="P45" t="s">
        <v>4292</v>
      </c>
      <c r="Q45" s="15">
        <v>6000000</v>
      </c>
      <c r="R45" s="8" t="e">
        <f>SUMIFS([1]REPORTADOS!$D$2:$D$3379,[1]REPORTADOS!$C$2:$C$3379,E45)</f>
        <v>#VALUE!</v>
      </c>
    </row>
    <row r="46" spans="1:18" x14ac:dyDescent="0.25">
      <c r="A46">
        <v>900091143</v>
      </c>
      <c r="B46" t="s">
        <v>3965</v>
      </c>
      <c r="C46" t="s">
        <v>3299</v>
      </c>
      <c r="E46" t="s">
        <v>3299</v>
      </c>
      <c r="H46" t="s">
        <v>22</v>
      </c>
      <c r="I46">
        <v>1085317833</v>
      </c>
      <c r="J46" t="s">
        <v>1791</v>
      </c>
      <c r="P46" t="s">
        <v>4273</v>
      </c>
      <c r="Q46" s="15">
        <v>6300000</v>
      </c>
      <c r="R46" s="8" t="e">
        <f>SUMIFS([1]REPORTADOS!$D$2:$D$3379,[1]REPORTADOS!$C$2:$C$3379,E46)</f>
        <v>#VALUE!</v>
      </c>
    </row>
    <row r="47" spans="1:18" x14ac:dyDescent="0.25">
      <c r="A47">
        <v>900091143</v>
      </c>
      <c r="B47" t="s">
        <v>3965</v>
      </c>
      <c r="C47" t="s">
        <v>3300</v>
      </c>
      <c r="E47" t="s">
        <v>3300</v>
      </c>
      <c r="H47" t="s">
        <v>22</v>
      </c>
      <c r="I47">
        <v>1233192104</v>
      </c>
      <c r="J47" t="s">
        <v>4000</v>
      </c>
      <c r="P47" t="s">
        <v>4275</v>
      </c>
      <c r="Q47" s="15">
        <v>6300000</v>
      </c>
      <c r="R47" s="8" t="e">
        <f>SUMIFS([1]REPORTADOS!$D$2:$D$3379,[1]REPORTADOS!$C$2:$C$3379,E47)</f>
        <v>#VALUE!</v>
      </c>
    </row>
    <row r="48" spans="1:18" x14ac:dyDescent="0.25">
      <c r="A48">
        <v>900091143</v>
      </c>
      <c r="B48" t="s">
        <v>3965</v>
      </c>
      <c r="C48" t="s">
        <v>3301</v>
      </c>
      <c r="E48" t="s">
        <v>3301</v>
      </c>
      <c r="H48" t="s">
        <v>22</v>
      </c>
      <c r="I48">
        <v>1082748420</v>
      </c>
      <c r="J48" t="s">
        <v>1948</v>
      </c>
      <c r="P48" t="s">
        <v>4273</v>
      </c>
      <c r="Q48" s="8">
        <v>18900000</v>
      </c>
      <c r="R48" s="8" t="e">
        <f>SUMIFS([1]REPORTADOS!$D$2:$D$3379,[1]REPORTADOS!$C$2:$C$3379,E48)</f>
        <v>#VALUE!</v>
      </c>
    </row>
    <row r="49" spans="1:18" x14ac:dyDescent="0.25">
      <c r="A49">
        <v>900091143</v>
      </c>
      <c r="B49" t="s">
        <v>3965</v>
      </c>
      <c r="C49" t="s">
        <v>3302</v>
      </c>
      <c r="E49" t="s">
        <v>3302</v>
      </c>
      <c r="H49" t="s">
        <v>22</v>
      </c>
      <c r="I49">
        <v>1085252263</v>
      </c>
      <c r="J49" t="s">
        <v>4001</v>
      </c>
      <c r="P49" t="s">
        <v>4273</v>
      </c>
      <c r="Q49" s="8">
        <v>9450000</v>
      </c>
      <c r="R49" s="8" t="e">
        <f>SUMIFS([1]REPORTADOS!$D$2:$D$3379,[1]REPORTADOS!$C$2:$C$3379,E49)</f>
        <v>#VALUE!</v>
      </c>
    </row>
    <row r="50" spans="1:18" x14ac:dyDescent="0.25">
      <c r="A50">
        <v>900091143</v>
      </c>
      <c r="B50" t="s">
        <v>3965</v>
      </c>
      <c r="C50" t="s">
        <v>3303</v>
      </c>
      <c r="E50" t="s">
        <v>3303</v>
      </c>
      <c r="H50" t="s">
        <v>22</v>
      </c>
      <c r="I50">
        <v>1086222689</v>
      </c>
      <c r="J50" t="s">
        <v>1768</v>
      </c>
      <c r="P50" t="s">
        <v>4273</v>
      </c>
      <c r="Q50" s="15">
        <v>6300000</v>
      </c>
      <c r="R50" s="8" t="e">
        <f>SUMIFS([1]REPORTADOS!$D$2:$D$3379,[1]REPORTADOS!$C$2:$C$3379,E50)</f>
        <v>#VALUE!</v>
      </c>
    </row>
    <row r="51" spans="1:18" x14ac:dyDescent="0.25">
      <c r="A51">
        <v>900091143</v>
      </c>
      <c r="B51" t="s">
        <v>3965</v>
      </c>
      <c r="C51" t="s">
        <v>3304</v>
      </c>
      <c r="E51" t="s">
        <v>3304</v>
      </c>
      <c r="H51" t="s">
        <v>22</v>
      </c>
      <c r="I51">
        <v>1085324685</v>
      </c>
      <c r="J51" t="s">
        <v>2511</v>
      </c>
      <c r="P51" t="s">
        <v>4293</v>
      </c>
      <c r="Q51" s="15">
        <v>6300000</v>
      </c>
      <c r="R51" s="8" t="e">
        <f>SUMIFS([1]REPORTADOS!$D$2:$D$3379,[1]REPORTADOS!$C$2:$C$3379,E51)</f>
        <v>#VALUE!</v>
      </c>
    </row>
    <row r="52" spans="1:18" x14ac:dyDescent="0.25">
      <c r="A52">
        <v>900091143</v>
      </c>
      <c r="B52" t="s">
        <v>3965</v>
      </c>
      <c r="C52" t="s">
        <v>3305</v>
      </c>
      <c r="E52" t="s">
        <v>3305</v>
      </c>
      <c r="H52" t="s">
        <v>22</v>
      </c>
      <c r="I52">
        <v>1085331508</v>
      </c>
      <c r="J52" t="s">
        <v>2377</v>
      </c>
      <c r="P52" t="s">
        <v>4293</v>
      </c>
      <c r="Q52" s="15">
        <v>6300000</v>
      </c>
      <c r="R52" s="8" t="e">
        <f>SUMIFS([1]REPORTADOS!$D$2:$D$3379,[1]REPORTADOS!$C$2:$C$3379,E52)</f>
        <v>#VALUE!</v>
      </c>
    </row>
    <row r="53" spans="1:18" x14ac:dyDescent="0.25">
      <c r="A53">
        <v>900091143</v>
      </c>
      <c r="B53" t="s">
        <v>3965</v>
      </c>
      <c r="C53" t="s">
        <v>3306</v>
      </c>
      <c r="E53" t="s">
        <v>3306</v>
      </c>
      <c r="H53" t="s">
        <v>22</v>
      </c>
      <c r="I53">
        <v>1085281002</v>
      </c>
      <c r="J53" t="s">
        <v>4002</v>
      </c>
      <c r="P53" t="s">
        <v>4294</v>
      </c>
      <c r="Q53" s="15">
        <v>6300000</v>
      </c>
      <c r="R53" s="8" t="e">
        <f>SUMIFS([1]REPORTADOS!$D$2:$D$3379,[1]REPORTADOS!$C$2:$C$3379,E53)</f>
        <v>#VALUE!</v>
      </c>
    </row>
    <row r="54" spans="1:18" x14ac:dyDescent="0.25">
      <c r="A54">
        <v>900091143</v>
      </c>
      <c r="B54" t="s">
        <v>3965</v>
      </c>
      <c r="C54" t="s">
        <v>3307</v>
      </c>
      <c r="E54" t="s">
        <v>3307</v>
      </c>
      <c r="H54" t="s">
        <v>22</v>
      </c>
      <c r="I54">
        <v>1085246674</v>
      </c>
      <c r="J54" t="s">
        <v>4003</v>
      </c>
      <c r="P54" t="s">
        <v>4293</v>
      </c>
      <c r="Q54" s="15">
        <v>6300000</v>
      </c>
      <c r="R54" s="8" t="e">
        <f>SUMIFS([1]REPORTADOS!$D$2:$D$3379,[1]REPORTADOS!$C$2:$C$3379,E54)</f>
        <v>#VALUE!</v>
      </c>
    </row>
    <row r="55" spans="1:18" x14ac:dyDescent="0.25">
      <c r="A55">
        <v>900091143</v>
      </c>
      <c r="B55" t="s">
        <v>3965</v>
      </c>
      <c r="C55" t="s">
        <v>3308</v>
      </c>
      <c r="E55" t="s">
        <v>3308</v>
      </c>
      <c r="H55" t="s">
        <v>22</v>
      </c>
      <c r="I55">
        <v>1088799080</v>
      </c>
      <c r="J55" t="s">
        <v>4004</v>
      </c>
      <c r="P55" t="s">
        <v>4295</v>
      </c>
      <c r="Q55" s="15">
        <v>6300000</v>
      </c>
      <c r="R55" s="8" t="e">
        <f>SUMIFS([1]REPORTADOS!$D$2:$D$3379,[1]REPORTADOS!$C$2:$C$3379,E55)</f>
        <v>#VALUE!</v>
      </c>
    </row>
    <row r="56" spans="1:18" x14ac:dyDescent="0.25">
      <c r="A56">
        <v>900091143</v>
      </c>
      <c r="B56" t="s">
        <v>3965</v>
      </c>
      <c r="C56" t="s">
        <v>3309</v>
      </c>
      <c r="E56" t="s">
        <v>3309</v>
      </c>
      <c r="H56" t="s">
        <v>22</v>
      </c>
      <c r="I56">
        <v>1233191133</v>
      </c>
      <c r="J56" t="s">
        <v>3967</v>
      </c>
      <c r="P56" t="s">
        <v>4296</v>
      </c>
      <c r="Q56" s="15">
        <v>6300000</v>
      </c>
      <c r="R56" s="8" t="e">
        <f>SUMIFS([1]REPORTADOS!$D$2:$D$3379,[1]REPORTADOS!$C$2:$C$3379,E56)</f>
        <v>#VALUE!</v>
      </c>
    </row>
    <row r="57" spans="1:18" x14ac:dyDescent="0.25">
      <c r="A57">
        <v>900091143</v>
      </c>
      <c r="B57" t="s">
        <v>3965</v>
      </c>
      <c r="C57" t="s">
        <v>3310</v>
      </c>
      <c r="E57" t="s">
        <v>3310</v>
      </c>
      <c r="H57" t="s">
        <v>22</v>
      </c>
      <c r="I57">
        <v>1085325325</v>
      </c>
      <c r="J57" t="s">
        <v>2375</v>
      </c>
      <c r="P57" t="s">
        <v>4296</v>
      </c>
      <c r="Q57" s="15">
        <v>6300000</v>
      </c>
      <c r="R57" s="8" t="e">
        <f>SUMIFS([1]REPORTADOS!$D$2:$D$3379,[1]REPORTADOS!$C$2:$C$3379,E57)</f>
        <v>#VALUE!</v>
      </c>
    </row>
    <row r="58" spans="1:18" x14ac:dyDescent="0.25">
      <c r="A58">
        <v>900091143</v>
      </c>
      <c r="B58" t="s">
        <v>3965</v>
      </c>
      <c r="C58" t="s">
        <v>3311</v>
      </c>
      <c r="E58" t="s">
        <v>3311</v>
      </c>
      <c r="H58" t="s">
        <v>22</v>
      </c>
      <c r="I58">
        <v>27091114</v>
      </c>
      <c r="J58" t="s">
        <v>2041</v>
      </c>
      <c r="P58" t="s">
        <v>4297</v>
      </c>
      <c r="Q58" s="15">
        <v>6300000</v>
      </c>
      <c r="R58" s="8" t="e">
        <f>SUMIFS([1]REPORTADOS!$D$2:$D$3379,[1]REPORTADOS!$C$2:$C$3379,E58)</f>
        <v>#VALUE!</v>
      </c>
    </row>
    <row r="59" spans="1:18" x14ac:dyDescent="0.25">
      <c r="A59">
        <v>900091143</v>
      </c>
      <c r="B59" t="s">
        <v>3965</v>
      </c>
      <c r="C59" t="s">
        <v>3312</v>
      </c>
      <c r="E59" t="s">
        <v>3312</v>
      </c>
      <c r="H59" t="s">
        <v>22</v>
      </c>
      <c r="I59">
        <v>1004190751</v>
      </c>
      <c r="J59" t="s">
        <v>4005</v>
      </c>
      <c r="P59" t="s">
        <v>4298</v>
      </c>
      <c r="Q59" s="15">
        <v>6300000</v>
      </c>
      <c r="R59" s="8" t="e">
        <f>SUMIFS([1]REPORTADOS!$D$2:$D$3379,[1]REPORTADOS!$C$2:$C$3379,E59)</f>
        <v>#VALUE!</v>
      </c>
    </row>
    <row r="60" spans="1:18" x14ac:dyDescent="0.25">
      <c r="A60">
        <v>900091143</v>
      </c>
      <c r="B60" t="s">
        <v>3965</v>
      </c>
      <c r="C60" t="s">
        <v>3313</v>
      </c>
      <c r="E60" t="s">
        <v>3313</v>
      </c>
      <c r="H60" t="s">
        <v>22</v>
      </c>
      <c r="I60">
        <v>1082748783</v>
      </c>
      <c r="J60" t="s">
        <v>2009</v>
      </c>
      <c r="P60" t="s">
        <v>4275</v>
      </c>
      <c r="Q60" s="15">
        <v>6300000</v>
      </c>
      <c r="R60" s="8" t="e">
        <f>SUMIFS([1]REPORTADOS!$D$2:$D$3379,[1]REPORTADOS!$C$2:$C$3379,E60)</f>
        <v>#VALUE!</v>
      </c>
    </row>
    <row r="61" spans="1:18" x14ac:dyDescent="0.25">
      <c r="A61">
        <v>900091143</v>
      </c>
      <c r="B61" t="s">
        <v>3965</v>
      </c>
      <c r="C61" t="s">
        <v>3314</v>
      </c>
      <c r="E61" t="s">
        <v>3314</v>
      </c>
      <c r="H61" t="s">
        <v>22</v>
      </c>
      <c r="I61">
        <v>59833899</v>
      </c>
      <c r="J61" t="s">
        <v>2035</v>
      </c>
      <c r="P61" t="s">
        <v>4296</v>
      </c>
      <c r="Q61" s="15">
        <v>6300000</v>
      </c>
      <c r="R61" s="8" t="e">
        <f>SUMIFS([1]REPORTADOS!$D$2:$D$3379,[1]REPORTADOS!$C$2:$C$3379,E61)</f>
        <v>#VALUE!</v>
      </c>
    </row>
    <row r="62" spans="1:18" x14ac:dyDescent="0.25">
      <c r="A62">
        <v>900091143</v>
      </c>
      <c r="B62" t="s">
        <v>3965</v>
      </c>
      <c r="C62" t="s">
        <v>3315</v>
      </c>
      <c r="E62" t="s">
        <v>3315</v>
      </c>
      <c r="H62" t="s">
        <v>22</v>
      </c>
      <c r="I62">
        <v>59828916</v>
      </c>
      <c r="J62" t="s">
        <v>2018</v>
      </c>
      <c r="P62" t="s">
        <v>4299</v>
      </c>
      <c r="Q62" s="15">
        <v>6300000</v>
      </c>
      <c r="R62" s="8" t="e">
        <f>SUMIFS([1]REPORTADOS!$D$2:$D$3379,[1]REPORTADOS!$C$2:$C$3379,E62)</f>
        <v>#VALUE!</v>
      </c>
    </row>
    <row r="63" spans="1:18" x14ac:dyDescent="0.25">
      <c r="A63">
        <v>900091143</v>
      </c>
      <c r="B63" t="s">
        <v>3965</v>
      </c>
      <c r="C63" t="s">
        <v>3316</v>
      </c>
      <c r="E63" t="s">
        <v>3316</v>
      </c>
      <c r="H63" t="s">
        <v>22</v>
      </c>
      <c r="I63">
        <v>1010099104</v>
      </c>
      <c r="J63" t="s">
        <v>4006</v>
      </c>
      <c r="P63" t="s">
        <v>4300</v>
      </c>
      <c r="Q63" s="15">
        <v>6300000</v>
      </c>
      <c r="R63" s="8" t="e">
        <f>SUMIFS([1]REPORTADOS!$D$2:$D$3379,[1]REPORTADOS!$C$2:$C$3379,E63)</f>
        <v>#VALUE!</v>
      </c>
    </row>
    <row r="64" spans="1:18" x14ac:dyDescent="0.25">
      <c r="A64">
        <v>900091143</v>
      </c>
      <c r="B64" t="s">
        <v>3965</v>
      </c>
      <c r="C64" t="s">
        <v>3317</v>
      </c>
      <c r="E64" t="s">
        <v>3317</v>
      </c>
      <c r="H64" t="s">
        <v>22</v>
      </c>
      <c r="I64">
        <v>1088216350</v>
      </c>
      <c r="J64" t="s">
        <v>4007</v>
      </c>
      <c r="P64" t="s">
        <v>4301</v>
      </c>
      <c r="Q64" s="15">
        <v>6300000</v>
      </c>
      <c r="R64" s="8" t="e">
        <f>SUMIFS([1]REPORTADOS!$D$2:$D$3379,[1]REPORTADOS!$C$2:$C$3379,E64)</f>
        <v>#VALUE!</v>
      </c>
    </row>
    <row r="65" spans="1:18" x14ac:dyDescent="0.25">
      <c r="A65">
        <v>900091143</v>
      </c>
      <c r="B65" t="s">
        <v>3965</v>
      </c>
      <c r="C65" t="s">
        <v>3318</v>
      </c>
      <c r="E65" t="s">
        <v>3318</v>
      </c>
      <c r="H65" t="s">
        <v>22</v>
      </c>
      <c r="I65">
        <v>59830040</v>
      </c>
      <c r="J65" t="s">
        <v>2026</v>
      </c>
      <c r="P65" t="s">
        <v>4293</v>
      </c>
      <c r="Q65" s="15">
        <v>6300000</v>
      </c>
      <c r="R65" s="8" t="e">
        <f>SUMIFS([1]REPORTADOS!$D$2:$D$3379,[1]REPORTADOS!$C$2:$C$3379,E65)</f>
        <v>#VALUE!</v>
      </c>
    </row>
    <row r="66" spans="1:18" x14ac:dyDescent="0.25">
      <c r="A66">
        <v>900091143</v>
      </c>
      <c r="B66" t="s">
        <v>3965</v>
      </c>
      <c r="C66" t="s">
        <v>3319</v>
      </c>
      <c r="E66" t="s">
        <v>3319</v>
      </c>
      <c r="H66" t="s">
        <v>22</v>
      </c>
      <c r="I66">
        <v>1085338921</v>
      </c>
      <c r="J66" t="s">
        <v>4008</v>
      </c>
      <c r="P66" t="s">
        <v>4302</v>
      </c>
      <c r="Q66" s="15">
        <v>6300000</v>
      </c>
      <c r="R66" s="8" t="e">
        <f>SUMIFS([1]REPORTADOS!$D$2:$D$3379,[1]REPORTADOS!$C$2:$C$3379,E66)</f>
        <v>#VALUE!</v>
      </c>
    </row>
    <row r="67" spans="1:18" x14ac:dyDescent="0.25">
      <c r="A67">
        <v>900091143</v>
      </c>
      <c r="B67" t="s">
        <v>3965</v>
      </c>
      <c r="C67" t="s">
        <v>3320</v>
      </c>
      <c r="E67" t="s">
        <v>3320</v>
      </c>
      <c r="H67" t="s">
        <v>22</v>
      </c>
      <c r="I67">
        <v>1086328142</v>
      </c>
      <c r="J67" t="s">
        <v>2432</v>
      </c>
      <c r="P67" t="s">
        <v>4303</v>
      </c>
      <c r="Q67" s="15">
        <v>6300000</v>
      </c>
      <c r="R67" s="8" t="e">
        <f>SUMIFS([1]REPORTADOS!$D$2:$D$3379,[1]REPORTADOS!$C$2:$C$3379,E67)</f>
        <v>#VALUE!</v>
      </c>
    </row>
    <row r="68" spans="1:18" x14ac:dyDescent="0.25">
      <c r="A68">
        <v>900091143</v>
      </c>
      <c r="B68" t="s">
        <v>3965</v>
      </c>
      <c r="C68" t="s">
        <v>3321</v>
      </c>
      <c r="E68" t="s">
        <v>3321</v>
      </c>
      <c r="H68" t="s">
        <v>22</v>
      </c>
      <c r="I68">
        <v>1084224968</v>
      </c>
      <c r="J68" t="s">
        <v>2493</v>
      </c>
      <c r="P68" t="s">
        <v>4304</v>
      </c>
      <c r="Q68" s="15">
        <v>6300000</v>
      </c>
      <c r="R68" s="8" t="e">
        <f>SUMIFS([1]REPORTADOS!$D$2:$D$3379,[1]REPORTADOS!$C$2:$C$3379,E68)</f>
        <v>#VALUE!</v>
      </c>
    </row>
    <row r="69" spans="1:18" x14ac:dyDescent="0.25">
      <c r="A69">
        <v>900091143</v>
      </c>
      <c r="B69" t="s">
        <v>3965</v>
      </c>
      <c r="C69" t="s">
        <v>3322</v>
      </c>
      <c r="E69" t="s">
        <v>3322</v>
      </c>
      <c r="H69" t="s">
        <v>22</v>
      </c>
      <c r="I69">
        <v>1085344795</v>
      </c>
      <c r="J69" t="s">
        <v>2038</v>
      </c>
      <c r="P69" t="s">
        <v>4293</v>
      </c>
      <c r="Q69" s="15">
        <v>6300000</v>
      </c>
      <c r="R69" s="8" t="e">
        <f>SUMIFS([1]REPORTADOS!$D$2:$D$3379,[1]REPORTADOS!$C$2:$C$3379,E69)</f>
        <v>#VALUE!</v>
      </c>
    </row>
    <row r="70" spans="1:18" x14ac:dyDescent="0.25">
      <c r="A70">
        <v>900091143</v>
      </c>
      <c r="B70" t="s">
        <v>3965</v>
      </c>
      <c r="C70" t="s">
        <v>3323</v>
      </c>
      <c r="E70" t="s">
        <v>3323</v>
      </c>
      <c r="H70" t="s">
        <v>22</v>
      </c>
      <c r="I70">
        <v>1085266584</v>
      </c>
      <c r="J70" t="s">
        <v>1981</v>
      </c>
      <c r="P70" t="s">
        <v>4295</v>
      </c>
      <c r="Q70" s="15">
        <v>6300000</v>
      </c>
      <c r="R70" s="8" t="e">
        <f>SUMIFS([1]REPORTADOS!$D$2:$D$3379,[1]REPORTADOS!$C$2:$C$3379,E70)</f>
        <v>#VALUE!</v>
      </c>
    </row>
    <row r="71" spans="1:18" x14ac:dyDescent="0.25">
      <c r="A71">
        <v>900091143</v>
      </c>
      <c r="B71" t="s">
        <v>3965</v>
      </c>
      <c r="C71" t="s">
        <v>3324</v>
      </c>
      <c r="E71" t="s">
        <v>3324</v>
      </c>
      <c r="H71" t="s">
        <v>22</v>
      </c>
      <c r="I71">
        <v>98391531</v>
      </c>
      <c r="J71" t="s">
        <v>2442</v>
      </c>
      <c r="P71" t="s">
        <v>4305</v>
      </c>
      <c r="Q71" s="15">
        <v>6300000</v>
      </c>
      <c r="R71" s="8" t="e">
        <f>SUMIFS([1]REPORTADOS!$D$2:$D$3379,[1]REPORTADOS!$C$2:$C$3379,E71)</f>
        <v>#VALUE!</v>
      </c>
    </row>
    <row r="72" spans="1:18" x14ac:dyDescent="0.25">
      <c r="A72">
        <v>900091143</v>
      </c>
      <c r="B72" t="s">
        <v>3965</v>
      </c>
      <c r="C72" t="s">
        <v>3325</v>
      </c>
      <c r="E72" t="s">
        <v>3325</v>
      </c>
      <c r="H72" t="s">
        <v>22</v>
      </c>
      <c r="I72">
        <v>1081592769</v>
      </c>
      <c r="J72" t="s">
        <v>4009</v>
      </c>
      <c r="P72" t="s">
        <v>4296</v>
      </c>
      <c r="Q72" s="15">
        <v>6300000</v>
      </c>
      <c r="R72" s="8" t="e">
        <f>SUMIFS([1]REPORTADOS!$D$2:$D$3379,[1]REPORTADOS!$C$2:$C$3379,E72)</f>
        <v>#VALUE!</v>
      </c>
    </row>
    <row r="73" spans="1:18" x14ac:dyDescent="0.25">
      <c r="A73">
        <v>900091143</v>
      </c>
      <c r="B73" t="s">
        <v>3965</v>
      </c>
      <c r="C73" t="s">
        <v>3326</v>
      </c>
      <c r="E73" t="s">
        <v>3326</v>
      </c>
      <c r="H73" t="s">
        <v>22</v>
      </c>
      <c r="I73">
        <v>1085286742</v>
      </c>
      <c r="J73" t="s">
        <v>1774</v>
      </c>
      <c r="P73" t="s">
        <v>4303</v>
      </c>
      <c r="Q73" s="15">
        <v>6300000</v>
      </c>
      <c r="R73" s="8" t="e">
        <f>SUMIFS([1]REPORTADOS!$D$2:$D$3379,[1]REPORTADOS!$C$2:$C$3379,E73)</f>
        <v>#VALUE!</v>
      </c>
    </row>
    <row r="74" spans="1:18" x14ac:dyDescent="0.25">
      <c r="A74">
        <v>900091143</v>
      </c>
      <c r="B74" t="s">
        <v>3965</v>
      </c>
      <c r="C74" t="s">
        <v>3327</v>
      </c>
      <c r="E74" t="s">
        <v>3327</v>
      </c>
      <c r="H74" t="s">
        <v>22</v>
      </c>
      <c r="I74">
        <v>1085331558</v>
      </c>
      <c r="J74" t="s">
        <v>4010</v>
      </c>
      <c r="P74" t="s">
        <v>4306</v>
      </c>
      <c r="Q74" s="15">
        <v>6300000</v>
      </c>
      <c r="R74" s="8" t="e">
        <f>SUMIFS([1]REPORTADOS!$D$2:$D$3379,[1]REPORTADOS!$C$2:$C$3379,E74)</f>
        <v>#VALUE!</v>
      </c>
    </row>
    <row r="75" spans="1:18" x14ac:dyDescent="0.25">
      <c r="A75">
        <v>900091143</v>
      </c>
      <c r="B75" t="s">
        <v>3965</v>
      </c>
      <c r="C75" t="s">
        <v>3328</v>
      </c>
      <c r="E75" t="s">
        <v>3328</v>
      </c>
      <c r="H75" t="s">
        <v>22</v>
      </c>
      <c r="I75">
        <v>1086018841</v>
      </c>
      <c r="J75" t="s">
        <v>4011</v>
      </c>
      <c r="P75" t="s">
        <v>4293</v>
      </c>
      <c r="Q75" s="15">
        <v>6300000</v>
      </c>
      <c r="R75" s="8" t="e">
        <f>SUMIFS([1]REPORTADOS!$D$2:$D$3379,[1]REPORTADOS!$C$2:$C$3379,E75)</f>
        <v>#VALUE!</v>
      </c>
    </row>
    <row r="76" spans="1:18" x14ac:dyDescent="0.25">
      <c r="A76">
        <v>900091143</v>
      </c>
      <c r="B76" t="s">
        <v>3965</v>
      </c>
      <c r="C76" t="s">
        <v>3329</v>
      </c>
      <c r="E76" t="s">
        <v>3329</v>
      </c>
      <c r="H76" t="s">
        <v>22</v>
      </c>
      <c r="I76">
        <v>1085270448</v>
      </c>
      <c r="J76" t="s">
        <v>4012</v>
      </c>
      <c r="P76" t="s">
        <v>4303</v>
      </c>
      <c r="Q76" s="15">
        <v>6300000</v>
      </c>
      <c r="R76" s="8" t="e">
        <f>SUMIFS([1]REPORTADOS!$D$2:$D$3379,[1]REPORTADOS!$C$2:$C$3379,E76)</f>
        <v>#VALUE!</v>
      </c>
    </row>
    <row r="77" spans="1:18" x14ac:dyDescent="0.25">
      <c r="A77">
        <v>900091143</v>
      </c>
      <c r="B77" t="s">
        <v>3965</v>
      </c>
      <c r="C77" t="s">
        <v>3330</v>
      </c>
      <c r="E77" t="s">
        <v>3330</v>
      </c>
      <c r="H77" t="s">
        <v>22</v>
      </c>
      <c r="I77">
        <v>59834953</v>
      </c>
      <c r="J77" t="s">
        <v>1759</v>
      </c>
      <c r="P77" t="s">
        <v>4307</v>
      </c>
      <c r="Q77" s="15">
        <v>7875000</v>
      </c>
      <c r="R77" s="8" t="e">
        <f>SUMIFS([1]REPORTADOS!$D$2:$D$3379,[1]REPORTADOS!$C$2:$C$3379,E77)</f>
        <v>#VALUE!</v>
      </c>
    </row>
    <row r="78" spans="1:18" x14ac:dyDescent="0.25">
      <c r="A78">
        <v>900091143</v>
      </c>
      <c r="B78" t="s">
        <v>3965</v>
      </c>
      <c r="C78" t="s">
        <v>3331</v>
      </c>
      <c r="E78" t="s">
        <v>3331</v>
      </c>
      <c r="H78" t="s">
        <v>22</v>
      </c>
      <c r="I78">
        <v>59813323</v>
      </c>
      <c r="J78" t="s">
        <v>1995</v>
      </c>
      <c r="P78" t="s">
        <v>4293</v>
      </c>
      <c r="Q78" s="15">
        <v>7875000</v>
      </c>
      <c r="R78" s="8" t="e">
        <f>SUMIFS([1]REPORTADOS!$D$2:$D$3379,[1]REPORTADOS!$C$2:$C$3379,E78)</f>
        <v>#VALUE!</v>
      </c>
    </row>
    <row r="79" spans="1:18" x14ac:dyDescent="0.25">
      <c r="A79">
        <v>900091143</v>
      </c>
      <c r="B79" t="s">
        <v>3965</v>
      </c>
      <c r="C79" t="s">
        <v>3332</v>
      </c>
      <c r="E79" t="s">
        <v>3332</v>
      </c>
      <c r="H79" t="s">
        <v>22</v>
      </c>
      <c r="I79">
        <v>1193405962</v>
      </c>
      <c r="J79" t="s">
        <v>4013</v>
      </c>
      <c r="P79" t="s">
        <v>4302</v>
      </c>
      <c r="Q79" s="15">
        <v>7875000</v>
      </c>
      <c r="R79" s="8" t="e">
        <f>SUMIFS([1]REPORTADOS!$D$2:$D$3379,[1]REPORTADOS!$C$2:$C$3379,E79)</f>
        <v>#VALUE!</v>
      </c>
    </row>
    <row r="80" spans="1:18" x14ac:dyDescent="0.25">
      <c r="A80">
        <v>900091143</v>
      </c>
      <c r="B80" t="s">
        <v>3965</v>
      </c>
      <c r="C80" t="s">
        <v>3333</v>
      </c>
      <c r="E80" t="s">
        <v>3333</v>
      </c>
      <c r="H80" t="s">
        <v>22</v>
      </c>
      <c r="I80">
        <v>1085327677</v>
      </c>
      <c r="J80" t="s">
        <v>3979</v>
      </c>
      <c r="P80" t="s">
        <v>4308</v>
      </c>
      <c r="Q80" s="15">
        <v>7875000</v>
      </c>
      <c r="R80" s="8" t="e">
        <f>SUMIFS([1]REPORTADOS!$D$2:$D$3379,[1]REPORTADOS!$C$2:$C$3379,E80)</f>
        <v>#VALUE!</v>
      </c>
    </row>
    <row r="81" spans="1:18" x14ac:dyDescent="0.25">
      <c r="A81">
        <v>900091143</v>
      </c>
      <c r="B81" t="s">
        <v>3965</v>
      </c>
      <c r="C81" t="s">
        <v>3334</v>
      </c>
      <c r="E81" t="s">
        <v>3334</v>
      </c>
      <c r="H81" t="s">
        <v>22</v>
      </c>
      <c r="I81">
        <v>36950892</v>
      </c>
      <c r="J81" t="s">
        <v>4014</v>
      </c>
      <c r="P81" t="s">
        <v>4296</v>
      </c>
      <c r="Q81" s="15">
        <v>7875000</v>
      </c>
      <c r="R81" s="8" t="e">
        <f>SUMIFS([1]REPORTADOS!$D$2:$D$3379,[1]REPORTADOS!$C$2:$C$3379,E81)</f>
        <v>#VALUE!</v>
      </c>
    </row>
    <row r="82" spans="1:18" x14ac:dyDescent="0.25">
      <c r="A82">
        <v>900091143</v>
      </c>
      <c r="B82" t="s">
        <v>3965</v>
      </c>
      <c r="C82" t="s">
        <v>3335</v>
      </c>
      <c r="E82" t="s">
        <v>3335</v>
      </c>
      <c r="H82" t="s">
        <v>22</v>
      </c>
      <c r="I82">
        <v>1086329800</v>
      </c>
      <c r="J82" t="s">
        <v>4015</v>
      </c>
      <c r="P82" t="s">
        <v>4309</v>
      </c>
      <c r="Q82" s="15">
        <v>7875000</v>
      </c>
      <c r="R82" s="8" t="e">
        <f>SUMIFS([1]REPORTADOS!$D$2:$D$3379,[1]REPORTADOS!$C$2:$C$3379,E82)</f>
        <v>#VALUE!</v>
      </c>
    </row>
    <row r="83" spans="1:18" x14ac:dyDescent="0.25">
      <c r="A83">
        <v>900091143</v>
      </c>
      <c r="B83" t="s">
        <v>3965</v>
      </c>
      <c r="C83" t="s">
        <v>3336</v>
      </c>
      <c r="E83" t="s">
        <v>3336</v>
      </c>
      <c r="H83" t="s">
        <v>22</v>
      </c>
      <c r="I83">
        <v>27253636</v>
      </c>
      <c r="J83" t="s">
        <v>4016</v>
      </c>
      <c r="P83" t="s">
        <v>4296</v>
      </c>
      <c r="Q83" s="15">
        <v>7875000</v>
      </c>
      <c r="R83" s="8" t="e">
        <f>SUMIFS([1]REPORTADOS!$D$2:$D$3379,[1]REPORTADOS!$C$2:$C$3379,E83)</f>
        <v>#VALUE!</v>
      </c>
    </row>
    <row r="84" spans="1:18" x14ac:dyDescent="0.25">
      <c r="A84">
        <v>900091143</v>
      </c>
      <c r="B84" t="s">
        <v>3965</v>
      </c>
      <c r="C84" t="s">
        <v>3337</v>
      </c>
      <c r="E84" t="s">
        <v>3337</v>
      </c>
      <c r="H84" t="s">
        <v>22</v>
      </c>
      <c r="I84">
        <v>27285974</v>
      </c>
      <c r="J84" t="s">
        <v>4017</v>
      </c>
      <c r="P84" t="s">
        <v>4310</v>
      </c>
      <c r="Q84" s="15">
        <v>7875000</v>
      </c>
      <c r="R84" s="8" t="e">
        <f>SUMIFS([1]REPORTADOS!$D$2:$D$3379,[1]REPORTADOS!$C$2:$C$3379,E84)</f>
        <v>#VALUE!</v>
      </c>
    </row>
    <row r="85" spans="1:18" x14ac:dyDescent="0.25">
      <c r="A85">
        <v>900091143</v>
      </c>
      <c r="B85" t="s">
        <v>3965</v>
      </c>
      <c r="C85" t="s">
        <v>3338</v>
      </c>
      <c r="E85" t="s">
        <v>3338</v>
      </c>
      <c r="H85" t="s">
        <v>22</v>
      </c>
      <c r="I85">
        <v>1088975658</v>
      </c>
      <c r="J85" t="s">
        <v>4018</v>
      </c>
      <c r="P85" t="s">
        <v>4311</v>
      </c>
      <c r="Q85" s="15">
        <v>7875000</v>
      </c>
      <c r="R85" s="8" t="e">
        <f>SUMIFS([1]REPORTADOS!$D$2:$D$3379,[1]REPORTADOS!$C$2:$C$3379,E85)</f>
        <v>#VALUE!</v>
      </c>
    </row>
    <row r="86" spans="1:18" x14ac:dyDescent="0.25">
      <c r="A86">
        <v>900091143</v>
      </c>
      <c r="B86" t="s">
        <v>3965</v>
      </c>
      <c r="C86" t="s">
        <v>3339</v>
      </c>
      <c r="E86" t="s">
        <v>3339</v>
      </c>
      <c r="H86" t="s">
        <v>22</v>
      </c>
      <c r="I86">
        <v>1080693240</v>
      </c>
      <c r="J86" t="s">
        <v>4019</v>
      </c>
      <c r="P86" t="s">
        <v>4293</v>
      </c>
      <c r="Q86" s="15">
        <v>7875000</v>
      </c>
      <c r="R86" s="8" t="e">
        <f>SUMIFS([1]REPORTADOS!$D$2:$D$3379,[1]REPORTADOS!$C$2:$C$3379,E86)</f>
        <v>#VALUE!</v>
      </c>
    </row>
    <row r="87" spans="1:18" x14ac:dyDescent="0.25">
      <c r="A87">
        <v>900091143</v>
      </c>
      <c r="B87" t="s">
        <v>3965</v>
      </c>
      <c r="C87" t="s">
        <v>3340</v>
      </c>
      <c r="E87" t="s">
        <v>3340</v>
      </c>
      <c r="H87" t="s">
        <v>22</v>
      </c>
      <c r="I87">
        <v>1137089268</v>
      </c>
      <c r="J87" t="s">
        <v>4020</v>
      </c>
      <c r="P87" t="s">
        <v>4303</v>
      </c>
      <c r="Q87" s="15">
        <v>7875000</v>
      </c>
      <c r="R87" s="8" t="e">
        <f>SUMIFS([1]REPORTADOS!$D$2:$D$3379,[1]REPORTADOS!$C$2:$C$3379,E87)</f>
        <v>#VALUE!</v>
      </c>
    </row>
    <row r="88" spans="1:18" x14ac:dyDescent="0.25">
      <c r="A88">
        <v>900091143</v>
      </c>
      <c r="B88" t="s">
        <v>3965</v>
      </c>
      <c r="C88" t="s">
        <v>3341</v>
      </c>
      <c r="E88" t="s">
        <v>3341</v>
      </c>
      <c r="H88" t="s">
        <v>22</v>
      </c>
      <c r="I88">
        <v>1004343043</v>
      </c>
      <c r="J88" t="s">
        <v>4021</v>
      </c>
      <c r="P88" t="s">
        <v>4293</v>
      </c>
      <c r="Q88" s="15">
        <v>7875000</v>
      </c>
      <c r="R88" s="8" t="e">
        <f>SUMIFS([1]REPORTADOS!$D$2:$D$3379,[1]REPORTADOS!$C$2:$C$3379,E88)</f>
        <v>#VALUE!</v>
      </c>
    </row>
    <row r="89" spans="1:18" x14ac:dyDescent="0.25">
      <c r="A89">
        <v>900091143</v>
      </c>
      <c r="B89" t="s">
        <v>3965</v>
      </c>
      <c r="C89" t="s">
        <v>3342</v>
      </c>
      <c r="E89" t="s">
        <v>3342</v>
      </c>
      <c r="H89" t="s">
        <v>22</v>
      </c>
      <c r="I89">
        <v>87030128</v>
      </c>
      <c r="J89" t="s">
        <v>2779</v>
      </c>
      <c r="P89" t="s">
        <v>4312</v>
      </c>
      <c r="Q89" s="15">
        <v>7875000</v>
      </c>
      <c r="R89" s="8" t="e">
        <f>SUMIFS([1]REPORTADOS!$D$2:$D$3379,[1]REPORTADOS!$C$2:$C$3379,E89)</f>
        <v>#VALUE!</v>
      </c>
    </row>
    <row r="90" spans="1:18" x14ac:dyDescent="0.25">
      <c r="A90">
        <v>900091143</v>
      </c>
      <c r="B90" t="s">
        <v>3965</v>
      </c>
      <c r="C90" t="s">
        <v>3343</v>
      </c>
      <c r="E90" t="s">
        <v>3343</v>
      </c>
      <c r="H90" t="s">
        <v>22</v>
      </c>
      <c r="I90">
        <v>27388522</v>
      </c>
      <c r="J90" t="s">
        <v>1777</v>
      </c>
      <c r="P90" t="s">
        <v>4313</v>
      </c>
      <c r="Q90" s="15">
        <v>7875000</v>
      </c>
      <c r="R90" s="8" t="e">
        <f>SUMIFS([1]REPORTADOS!$D$2:$D$3379,[1]REPORTADOS!$C$2:$C$3379,E90)</f>
        <v>#VALUE!</v>
      </c>
    </row>
    <row r="91" spans="1:18" x14ac:dyDescent="0.25">
      <c r="A91">
        <v>900091143</v>
      </c>
      <c r="B91" t="s">
        <v>3965</v>
      </c>
      <c r="C91" t="s">
        <v>3344</v>
      </c>
      <c r="E91" t="s">
        <v>3344</v>
      </c>
      <c r="H91" t="s">
        <v>22</v>
      </c>
      <c r="I91">
        <v>1081592742</v>
      </c>
      <c r="J91" t="s">
        <v>4022</v>
      </c>
      <c r="P91" t="s">
        <v>4293</v>
      </c>
      <c r="Q91" s="15">
        <v>9450000</v>
      </c>
      <c r="R91" s="8" t="e">
        <f>SUMIFS([1]REPORTADOS!$D$2:$D$3379,[1]REPORTADOS!$C$2:$C$3379,E91)</f>
        <v>#VALUE!</v>
      </c>
    </row>
    <row r="92" spans="1:18" x14ac:dyDescent="0.25">
      <c r="A92">
        <v>900091143</v>
      </c>
      <c r="B92" t="s">
        <v>3965</v>
      </c>
      <c r="C92" t="s">
        <v>3345</v>
      </c>
      <c r="E92" t="s">
        <v>3345</v>
      </c>
      <c r="H92" t="s">
        <v>22</v>
      </c>
      <c r="I92">
        <v>1081272318</v>
      </c>
      <c r="J92" t="s">
        <v>2653</v>
      </c>
      <c r="P92" t="s">
        <v>4314</v>
      </c>
      <c r="Q92" s="15">
        <v>9450000</v>
      </c>
      <c r="R92" s="8" t="e">
        <f>SUMIFS([1]REPORTADOS!$D$2:$D$3379,[1]REPORTADOS!$C$2:$C$3379,E92)</f>
        <v>#VALUE!</v>
      </c>
    </row>
    <row r="93" spans="1:18" x14ac:dyDescent="0.25">
      <c r="A93">
        <v>900091143</v>
      </c>
      <c r="B93" t="s">
        <v>3965</v>
      </c>
      <c r="C93" t="s">
        <v>3346</v>
      </c>
      <c r="E93" t="s">
        <v>3346</v>
      </c>
      <c r="H93" t="s">
        <v>22</v>
      </c>
      <c r="I93">
        <v>27222016</v>
      </c>
      <c r="J93" t="s">
        <v>4023</v>
      </c>
      <c r="P93" t="s">
        <v>4297</v>
      </c>
      <c r="Q93" s="15">
        <v>9450000</v>
      </c>
      <c r="R93" s="8" t="e">
        <f>SUMIFS([1]REPORTADOS!$D$2:$D$3379,[1]REPORTADOS!$C$2:$C$3379,E93)</f>
        <v>#VALUE!</v>
      </c>
    </row>
    <row r="94" spans="1:18" x14ac:dyDescent="0.25">
      <c r="A94">
        <v>900091143</v>
      </c>
      <c r="B94" t="s">
        <v>3965</v>
      </c>
      <c r="C94" t="s">
        <v>3347</v>
      </c>
      <c r="E94" t="s">
        <v>3347</v>
      </c>
      <c r="H94" t="s">
        <v>22</v>
      </c>
      <c r="I94">
        <v>1085317094</v>
      </c>
      <c r="J94" t="s">
        <v>4024</v>
      </c>
      <c r="P94" t="s">
        <v>4315</v>
      </c>
      <c r="Q94" s="15">
        <v>9450000</v>
      </c>
      <c r="R94" s="8" t="e">
        <f>SUMIFS([1]REPORTADOS!$D$2:$D$3379,[1]REPORTADOS!$C$2:$C$3379,E94)</f>
        <v>#VALUE!</v>
      </c>
    </row>
    <row r="95" spans="1:18" x14ac:dyDescent="0.25">
      <c r="A95">
        <v>900091143</v>
      </c>
      <c r="B95" t="s">
        <v>3965</v>
      </c>
      <c r="C95" t="s">
        <v>3348</v>
      </c>
      <c r="E95" t="s">
        <v>3348</v>
      </c>
      <c r="H95" t="s">
        <v>22</v>
      </c>
      <c r="I95">
        <v>1085261053</v>
      </c>
      <c r="J95" t="s">
        <v>2270</v>
      </c>
      <c r="P95" t="s">
        <v>4316</v>
      </c>
      <c r="Q95" s="15">
        <v>9450000</v>
      </c>
      <c r="R95" s="8" t="e">
        <f>SUMIFS([1]REPORTADOS!$D$2:$D$3379,[1]REPORTADOS!$C$2:$C$3379,E95)</f>
        <v>#VALUE!</v>
      </c>
    </row>
    <row r="96" spans="1:18" x14ac:dyDescent="0.25">
      <c r="A96">
        <v>900091143</v>
      </c>
      <c r="B96" t="s">
        <v>3965</v>
      </c>
      <c r="C96" t="s">
        <v>3349</v>
      </c>
      <c r="E96" t="s">
        <v>3349</v>
      </c>
      <c r="H96" t="s">
        <v>22</v>
      </c>
      <c r="I96">
        <v>1089458048</v>
      </c>
      <c r="J96" t="s">
        <v>4025</v>
      </c>
      <c r="P96" t="s">
        <v>4273</v>
      </c>
      <c r="Q96" s="8">
        <v>9450000</v>
      </c>
      <c r="R96" s="8" t="e">
        <f>SUMIFS([1]REPORTADOS!$D$2:$D$3379,[1]REPORTADOS!$C$2:$C$3379,E96)</f>
        <v>#VALUE!</v>
      </c>
    </row>
    <row r="97" spans="1:18" x14ac:dyDescent="0.25">
      <c r="A97">
        <v>900091143</v>
      </c>
      <c r="B97" t="s">
        <v>3965</v>
      </c>
      <c r="C97" t="s">
        <v>3350</v>
      </c>
      <c r="E97" t="s">
        <v>3350</v>
      </c>
      <c r="H97" t="s">
        <v>22</v>
      </c>
      <c r="I97">
        <v>1081592303</v>
      </c>
      <c r="J97" t="s">
        <v>1739</v>
      </c>
      <c r="P97" t="s">
        <v>4273</v>
      </c>
      <c r="Q97" s="8">
        <v>9450000</v>
      </c>
      <c r="R97" s="8" t="e">
        <f>SUMIFS([1]REPORTADOS!$D$2:$D$3379,[1]REPORTADOS!$C$2:$C$3379,E97)</f>
        <v>#VALUE!</v>
      </c>
    </row>
    <row r="98" spans="1:18" x14ac:dyDescent="0.25">
      <c r="A98">
        <v>900091143</v>
      </c>
      <c r="B98" t="s">
        <v>3965</v>
      </c>
      <c r="C98" t="s">
        <v>3351</v>
      </c>
      <c r="E98" t="s">
        <v>3351</v>
      </c>
      <c r="H98" t="s">
        <v>22</v>
      </c>
      <c r="I98">
        <v>1081272025</v>
      </c>
      <c r="J98" t="s">
        <v>1789</v>
      </c>
      <c r="P98" t="s">
        <v>4273</v>
      </c>
      <c r="Q98" s="8">
        <v>9450000</v>
      </c>
      <c r="R98" s="8" t="e">
        <f>SUMIFS([1]REPORTADOS!$D$2:$D$3379,[1]REPORTADOS!$C$2:$C$3379,E98)</f>
        <v>#VALUE!</v>
      </c>
    </row>
    <row r="99" spans="1:18" x14ac:dyDescent="0.25">
      <c r="A99">
        <v>900091143</v>
      </c>
      <c r="B99" t="s">
        <v>3965</v>
      </c>
      <c r="C99" t="s">
        <v>3352</v>
      </c>
      <c r="E99" t="s">
        <v>3352</v>
      </c>
      <c r="H99" t="s">
        <v>22</v>
      </c>
      <c r="I99">
        <v>1004190984</v>
      </c>
      <c r="J99" t="s">
        <v>4026</v>
      </c>
      <c r="P99" t="s">
        <v>4307</v>
      </c>
      <c r="Q99" s="15">
        <v>9450000</v>
      </c>
      <c r="R99" s="8" t="e">
        <f>SUMIFS([1]REPORTADOS!$D$2:$D$3379,[1]REPORTADOS!$C$2:$C$3379,E99)</f>
        <v>#VALUE!</v>
      </c>
    </row>
    <row r="100" spans="1:18" x14ac:dyDescent="0.25">
      <c r="A100">
        <v>900091143</v>
      </c>
      <c r="B100" t="s">
        <v>3965</v>
      </c>
      <c r="C100" t="s">
        <v>3353</v>
      </c>
      <c r="E100" t="s">
        <v>3353</v>
      </c>
      <c r="H100" t="s">
        <v>22</v>
      </c>
      <c r="I100">
        <v>1081052779</v>
      </c>
      <c r="J100" t="s">
        <v>4027</v>
      </c>
      <c r="P100" t="s">
        <v>4298</v>
      </c>
      <c r="Q100" s="15">
        <v>9450000</v>
      </c>
      <c r="R100" s="8" t="e">
        <f>SUMIFS([1]REPORTADOS!$D$2:$D$3379,[1]REPORTADOS!$C$2:$C$3379,E100)</f>
        <v>#VALUE!</v>
      </c>
    </row>
    <row r="101" spans="1:18" x14ac:dyDescent="0.25">
      <c r="A101">
        <v>900091143</v>
      </c>
      <c r="B101" t="s">
        <v>3965</v>
      </c>
      <c r="C101" t="s">
        <v>3354</v>
      </c>
      <c r="E101" t="s">
        <v>3354</v>
      </c>
      <c r="H101" t="s">
        <v>22</v>
      </c>
      <c r="I101">
        <v>1004592366</v>
      </c>
      <c r="J101" t="s">
        <v>2405</v>
      </c>
      <c r="P101" t="s">
        <v>4317</v>
      </c>
      <c r="Q101" s="15">
        <v>9450000</v>
      </c>
      <c r="R101" s="8" t="e">
        <f>SUMIFS([1]REPORTADOS!$D$2:$D$3379,[1]REPORTADOS!$C$2:$C$3379,E101)</f>
        <v>#VALUE!</v>
      </c>
    </row>
    <row r="102" spans="1:18" x14ac:dyDescent="0.25">
      <c r="A102">
        <v>900091143</v>
      </c>
      <c r="B102" t="s">
        <v>3965</v>
      </c>
      <c r="C102" t="s">
        <v>3355</v>
      </c>
      <c r="E102" t="s">
        <v>3355</v>
      </c>
      <c r="H102" t="s">
        <v>22</v>
      </c>
      <c r="I102">
        <v>1085304308</v>
      </c>
      <c r="J102" t="s">
        <v>1959</v>
      </c>
      <c r="P102" t="s">
        <v>4300</v>
      </c>
      <c r="Q102" s="15">
        <v>9450000</v>
      </c>
      <c r="R102" s="8" t="e">
        <f>SUMIFS([1]REPORTADOS!$D$2:$D$3379,[1]REPORTADOS!$C$2:$C$3379,E102)</f>
        <v>#VALUE!</v>
      </c>
    </row>
    <row r="103" spans="1:18" x14ac:dyDescent="0.25">
      <c r="A103">
        <v>900091143</v>
      </c>
      <c r="B103" t="s">
        <v>3965</v>
      </c>
      <c r="C103" t="s">
        <v>3356</v>
      </c>
      <c r="E103" t="s">
        <v>3356</v>
      </c>
      <c r="H103" t="s">
        <v>22</v>
      </c>
      <c r="I103">
        <v>1085275400</v>
      </c>
      <c r="J103" t="s">
        <v>4028</v>
      </c>
      <c r="P103" t="s">
        <v>4297</v>
      </c>
      <c r="Q103" s="15">
        <v>9450000</v>
      </c>
      <c r="R103" s="8" t="e">
        <f>SUMIFS([1]REPORTADOS!$D$2:$D$3379,[1]REPORTADOS!$C$2:$C$3379,E103)</f>
        <v>#VALUE!</v>
      </c>
    </row>
    <row r="104" spans="1:18" x14ac:dyDescent="0.25">
      <c r="A104">
        <v>900091143</v>
      </c>
      <c r="B104" t="s">
        <v>3965</v>
      </c>
      <c r="C104" t="s">
        <v>3357</v>
      </c>
      <c r="E104" t="s">
        <v>3357</v>
      </c>
      <c r="H104" t="s">
        <v>22</v>
      </c>
      <c r="I104">
        <v>36861874</v>
      </c>
      <c r="J104" t="s">
        <v>1899</v>
      </c>
      <c r="P104" t="s">
        <v>4298</v>
      </c>
      <c r="Q104" s="15">
        <v>9450000</v>
      </c>
      <c r="R104" s="8" t="e">
        <f>SUMIFS([1]REPORTADOS!$D$2:$D$3379,[1]REPORTADOS!$C$2:$C$3379,E104)</f>
        <v>#VALUE!</v>
      </c>
    </row>
    <row r="105" spans="1:18" x14ac:dyDescent="0.25">
      <c r="A105">
        <v>900091143</v>
      </c>
      <c r="B105" t="s">
        <v>3965</v>
      </c>
      <c r="C105" t="s">
        <v>3358</v>
      </c>
      <c r="E105" t="s">
        <v>3358</v>
      </c>
      <c r="H105" t="s">
        <v>22</v>
      </c>
      <c r="I105">
        <v>1086361622</v>
      </c>
      <c r="J105" t="s">
        <v>4029</v>
      </c>
      <c r="P105" t="s">
        <v>4293</v>
      </c>
      <c r="Q105" s="15">
        <v>9450000</v>
      </c>
      <c r="R105" s="8" t="e">
        <f>SUMIFS([1]REPORTADOS!$D$2:$D$3379,[1]REPORTADOS!$C$2:$C$3379,E105)</f>
        <v>#VALUE!</v>
      </c>
    </row>
    <row r="106" spans="1:18" x14ac:dyDescent="0.25">
      <c r="A106">
        <v>900091143</v>
      </c>
      <c r="B106" t="s">
        <v>3965</v>
      </c>
      <c r="C106" t="s">
        <v>3359</v>
      </c>
      <c r="E106" t="s">
        <v>3359</v>
      </c>
      <c r="H106" t="s">
        <v>22</v>
      </c>
      <c r="I106">
        <v>1081572042</v>
      </c>
      <c r="J106" t="s">
        <v>4030</v>
      </c>
      <c r="P106" t="s">
        <v>4318</v>
      </c>
      <c r="Q106" s="15">
        <v>9450000</v>
      </c>
      <c r="R106" s="8" t="e">
        <f>SUMIFS([1]REPORTADOS!$D$2:$D$3379,[1]REPORTADOS!$C$2:$C$3379,E106)</f>
        <v>#VALUE!</v>
      </c>
    </row>
    <row r="107" spans="1:18" x14ac:dyDescent="0.25">
      <c r="A107">
        <v>900091143</v>
      </c>
      <c r="B107" t="s">
        <v>3965</v>
      </c>
      <c r="C107" t="s">
        <v>3360</v>
      </c>
      <c r="E107" t="s">
        <v>3360</v>
      </c>
      <c r="H107" t="s">
        <v>22</v>
      </c>
      <c r="I107">
        <v>1082748032</v>
      </c>
      <c r="J107" t="s">
        <v>4031</v>
      </c>
      <c r="P107" t="s">
        <v>4319</v>
      </c>
      <c r="Q107" s="15">
        <v>9450000</v>
      </c>
      <c r="R107" s="8" t="e">
        <f>SUMIFS([1]REPORTADOS!$D$2:$D$3379,[1]REPORTADOS!$C$2:$C$3379,E107)</f>
        <v>#VALUE!</v>
      </c>
    </row>
    <row r="108" spans="1:18" x14ac:dyDescent="0.25">
      <c r="A108">
        <v>900091143</v>
      </c>
      <c r="B108" t="s">
        <v>3965</v>
      </c>
      <c r="C108" t="s">
        <v>3361</v>
      </c>
      <c r="E108" t="s">
        <v>3361</v>
      </c>
      <c r="H108" t="s">
        <v>22</v>
      </c>
      <c r="I108">
        <v>1085346528</v>
      </c>
      <c r="J108" t="s">
        <v>2621</v>
      </c>
      <c r="P108" t="s">
        <v>4297</v>
      </c>
      <c r="Q108" s="15">
        <v>9450000</v>
      </c>
      <c r="R108" s="8" t="e">
        <f>SUMIFS([1]REPORTADOS!$D$2:$D$3379,[1]REPORTADOS!$C$2:$C$3379,E108)</f>
        <v>#VALUE!</v>
      </c>
    </row>
    <row r="109" spans="1:18" x14ac:dyDescent="0.25">
      <c r="A109">
        <v>900091143</v>
      </c>
      <c r="B109" t="s">
        <v>3965</v>
      </c>
      <c r="C109" t="s">
        <v>3362</v>
      </c>
      <c r="E109" t="s">
        <v>3362</v>
      </c>
      <c r="H109" t="s">
        <v>22</v>
      </c>
      <c r="I109">
        <v>1085246134</v>
      </c>
      <c r="J109" t="s">
        <v>4032</v>
      </c>
      <c r="P109" t="s">
        <v>4275</v>
      </c>
      <c r="Q109" s="15">
        <v>9450000</v>
      </c>
      <c r="R109" s="8" t="e">
        <f>SUMIFS([1]REPORTADOS!$D$2:$D$3379,[1]REPORTADOS!$C$2:$C$3379,E109)</f>
        <v>#VALUE!</v>
      </c>
    </row>
    <row r="110" spans="1:18" x14ac:dyDescent="0.25">
      <c r="A110">
        <v>900091143</v>
      </c>
      <c r="B110" t="s">
        <v>3965</v>
      </c>
      <c r="C110" t="s">
        <v>3363</v>
      </c>
      <c r="E110" t="s">
        <v>3363</v>
      </c>
      <c r="H110" t="s">
        <v>22</v>
      </c>
      <c r="I110">
        <v>1193474724</v>
      </c>
      <c r="J110" t="s">
        <v>4033</v>
      </c>
      <c r="P110" t="s">
        <v>4320</v>
      </c>
      <c r="Q110" s="15">
        <v>9450000</v>
      </c>
      <c r="R110" s="8" t="e">
        <f>SUMIFS([1]REPORTADOS!$D$2:$D$3379,[1]REPORTADOS!$C$2:$C$3379,E110)</f>
        <v>#VALUE!</v>
      </c>
    </row>
    <row r="111" spans="1:18" x14ac:dyDescent="0.25">
      <c r="A111">
        <v>900091143</v>
      </c>
      <c r="B111" t="s">
        <v>3965</v>
      </c>
      <c r="C111" t="s">
        <v>3364</v>
      </c>
      <c r="E111" t="s">
        <v>3364</v>
      </c>
      <c r="H111" t="s">
        <v>22</v>
      </c>
      <c r="I111">
        <v>1233191675</v>
      </c>
      <c r="J111" t="s">
        <v>1720</v>
      </c>
      <c r="P111" t="s">
        <v>4321</v>
      </c>
      <c r="Q111" s="15">
        <v>9450000</v>
      </c>
      <c r="R111" s="8" t="e">
        <f>SUMIFS([1]REPORTADOS!$D$2:$D$3379,[1]REPORTADOS!$C$2:$C$3379,E111)</f>
        <v>#VALUE!</v>
      </c>
    </row>
    <row r="112" spans="1:18" x14ac:dyDescent="0.25">
      <c r="A112">
        <v>900091143</v>
      </c>
      <c r="B112" t="s">
        <v>3965</v>
      </c>
      <c r="C112" t="s">
        <v>3365</v>
      </c>
      <c r="E112" t="s">
        <v>3365</v>
      </c>
      <c r="H112" t="s">
        <v>22</v>
      </c>
      <c r="I112">
        <v>13070247</v>
      </c>
      <c r="J112" t="s">
        <v>4034</v>
      </c>
      <c r="P112" t="s">
        <v>4322</v>
      </c>
      <c r="Q112" s="15">
        <v>9460000</v>
      </c>
      <c r="R112" s="8" t="e">
        <f>SUMIFS([1]REPORTADOS!$D$2:$D$3379,[1]REPORTADOS!$C$2:$C$3379,E112)</f>
        <v>#VALUE!</v>
      </c>
    </row>
    <row r="113" spans="1:18" x14ac:dyDescent="0.25">
      <c r="A113">
        <v>900091143</v>
      </c>
      <c r="B113" t="s">
        <v>3965</v>
      </c>
      <c r="C113" t="s">
        <v>3366</v>
      </c>
      <c r="E113" t="s">
        <v>3366</v>
      </c>
      <c r="H113" t="s">
        <v>22</v>
      </c>
      <c r="I113">
        <v>1005977438</v>
      </c>
      <c r="J113" t="s">
        <v>4035</v>
      </c>
      <c r="P113" t="s">
        <v>4296</v>
      </c>
      <c r="Q113" s="15">
        <v>11025000</v>
      </c>
      <c r="R113" s="8" t="e">
        <f>SUMIFS([1]REPORTADOS!$D$2:$D$3379,[1]REPORTADOS!$C$2:$C$3379,E113)</f>
        <v>#VALUE!</v>
      </c>
    </row>
    <row r="114" spans="1:18" x14ac:dyDescent="0.25">
      <c r="A114">
        <v>900091143</v>
      </c>
      <c r="B114" t="s">
        <v>3965</v>
      </c>
      <c r="C114" t="s">
        <v>3367</v>
      </c>
      <c r="E114" t="s">
        <v>3367</v>
      </c>
      <c r="H114" t="s">
        <v>22</v>
      </c>
      <c r="I114">
        <v>37083086</v>
      </c>
      <c r="J114" t="s">
        <v>2513</v>
      </c>
      <c r="P114" t="s">
        <v>4293</v>
      </c>
      <c r="Q114" s="15">
        <v>11025000</v>
      </c>
      <c r="R114" s="8" t="e">
        <f>SUMIFS([1]REPORTADOS!$D$2:$D$3379,[1]REPORTADOS!$C$2:$C$3379,E114)</f>
        <v>#VALUE!</v>
      </c>
    </row>
    <row r="115" spans="1:18" x14ac:dyDescent="0.25">
      <c r="A115">
        <v>900091143</v>
      </c>
      <c r="B115" t="s">
        <v>3965</v>
      </c>
      <c r="C115" t="s">
        <v>3368</v>
      </c>
      <c r="E115" t="s">
        <v>3368</v>
      </c>
      <c r="H115" t="s">
        <v>22</v>
      </c>
      <c r="I115">
        <v>1086330124</v>
      </c>
      <c r="J115" t="s">
        <v>4036</v>
      </c>
      <c r="P115" t="s">
        <v>4323</v>
      </c>
      <c r="Q115" s="15">
        <v>11025000</v>
      </c>
      <c r="R115" s="8" t="e">
        <f>SUMIFS([1]REPORTADOS!$D$2:$D$3379,[1]REPORTADOS!$C$2:$C$3379,E115)</f>
        <v>#VALUE!</v>
      </c>
    </row>
    <row r="116" spans="1:18" x14ac:dyDescent="0.25">
      <c r="A116">
        <v>900091143</v>
      </c>
      <c r="B116" t="s">
        <v>3965</v>
      </c>
      <c r="C116" t="s">
        <v>3369</v>
      </c>
      <c r="E116" t="s">
        <v>3369</v>
      </c>
      <c r="H116" t="s">
        <v>22</v>
      </c>
      <c r="I116">
        <v>1004437571</v>
      </c>
      <c r="J116" t="s">
        <v>2775</v>
      </c>
      <c r="P116" t="s">
        <v>4293</v>
      </c>
      <c r="Q116" s="15">
        <v>11025000</v>
      </c>
      <c r="R116" s="8" t="e">
        <f>SUMIFS([1]REPORTADOS!$D$2:$D$3379,[1]REPORTADOS!$C$2:$C$3379,E116)</f>
        <v>#VALUE!</v>
      </c>
    </row>
    <row r="117" spans="1:18" x14ac:dyDescent="0.25">
      <c r="A117">
        <v>900091143</v>
      </c>
      <c r="B117" t="s">
        <v>3965</v>
      </c>
      <c r="C117" t="s">
        <v>3370</v>
      </c>
      <c r="E117" t="s">
        <v>3370</v>
      </c>
      <c r="H117" t="s">
        <v>22</v>
      </c>
      <c r="I117">
        <v>1004134014</v>
      </c>
      <c r="J117" t="s">
        <v>4037</v>
      </c>
      <c r="P117" t="s">
        <v>4324</v>
      </c>
      <c r="Q117" s="15">
        <v>11025000</v>
      </c>
      <c r="R117" s="8" t="e">
        <f>SUMIFS([1]REPORTADOS!$D$2:$D$3379,[1]REPORTADOS!$C$2:$C$3379,E117)</f>
        <v>#VALUE!</v>
      </c>
    </row>
    <row r="118" spans="1:18" x14ac:dyDescent="0.25">
      <c r="A118">
        <v>900091143</v>
      </c>
      <c r="B118" t="s">
        <v>3965</v>
      </c>
      <c r="C118" t="s">
        <v>3371</v>
      </c>
      <c r="E118" t="s">
        <v>3371</v>
      </c>
      <c r="H118" t="s">
        <v>22</v>
      </c>
      <c r="I118">
        <v>1004726621</v>
      </c>
      <c r="J118" t="s">
        <v>4038</v>
      </c>
      <c r="P118" t="s">
        <v>4296</v>
      </c>
      <c r="Q118" s="15">
        <v>11025000</v>
      </c>
      <c r="R118" s="8" t="e">
        <f>SUMIFS([1]REPORTADOS!$D$2:$D$3379,[1]REPORTADOS!$C$2:$C$3379,E118)</f>
        <v>#VALUE!</v>
      </c>
    </row>
    <row r="119" spans="1:18" x14ac:dyDescent="0.25">
      <c r="A119">
        <v>900091143</v>
      </c>
      <c r="B119" t="s">
        <v>3965</v>
      </c>
      <c r="C119" t="s">
        <v>3372</v>
      </c>
      <c r="E119" t="s">
        <v>3372</v>
      </c>
      <c r="H119" t="s">
        <v>22</v>
      </c>
      <c r="I119">
        <v>37082272</v>
      </c>
      <c r="J119" t="s">
        <v>4039</v>
      </c>
      <c r="P119" t="s">
        <v>4294</v>
      </c>
      <c r="Q119" s="15">
        <v>11025000</v>
      </c>
      <c r="R119" s="8" t="e">
        <f>SUMIFS([1]REPORTADOS!$D$2:$D$3379,[1]REPORTADOS!$C$2:$C$3379,E119)</f>
        <v>#VALUE!</v>
      </c>
    </row>
    <row r="120" spans="1:18" x14ac:dyDescent="0.25">
      <c r="A120">
        <v>900091143</v>
      </c>
      <c r="B120" t="s">
        <v>3965</v>
      </c>
      <c r="C120" t="s">
        <v>3373</v>
      </c>
      <c r="E120" t="s">
        <v>3373</v>
      </c>
      <c r="H120" t="s">
        <v>22</v>
      </c>
      <c r="I120">
        <v>1085323163</v>
      </c>
      <c r="J120" t="s">
        <v>4040</v>
      </c>
      <c r="P120" t="s">
        <v>4293</v>
      </c>
      <c r="Q120" s="15">
        <v>11025000</v>
      </c>
      <c r="R120" s="8" t="e">
        <f>SUMIFS([1]REPORTADOS!$D$2:$D$3379,[1]REPORTADOS!$C$2:$C$3379,E120)</f>
        <v>#VALUE!</v>
      </c>
    </row>
    <row r="121" spans="1:18" x14ac:dyDescent="0.25">
      <c r="A121">
        <v>900091143</v>
      </c>
      <c r="B121" t="s">
        <v>3965</v>
      </c>
      <c r="C121" t="s">
        <v>3374</v>
      </c>
      <c r="E121" t="s">
        <v>3374</v>
      </c>
      <c r="H121" t="s">
        <v>22</v>
      </c>
      <c r="I121">
        <v>1081592303</v>
      </c>
      <c r="J121" t="s">
        <v>1739</v>
      </c>
      <c r="P121" t="s">
        <v>4296</v>
      </c>
      <c r="Q121" s="15">
        <v>11025000</v>
      </c>
      <c r="R121" s="8" t="e">
        <f>SUMIFS([1]REPORTADOS!$D$2:$D$3379,[1]REPORTADOS!$C$2:$C$3379,E121)</f>
        <v>#VALUE!</v>
      </c>
    </row>
    <row r="122" spans="1:18" x14ac:dyDescent="0.25">
      <c r="A122">
        <v>900091143</v>
      </c>
      <c r="B122" t="s">
        <v>3965</v>
      </c>
      <c r="C122" t="s">
        <v>3375</v>
      </c>
      <c r="E122" t="s">
        <v>3375</v>
      </c>
      <c r="H122" t="s">
        <v>22</v>
      </c>
      <c r="I122">
        <v>1081594639</v>
      </c>
      <c r="J122" t="s">
        <v>1783</v>
      </c>
      <c r="P122" t="s">
        <v>4304</v>
      </c>
      <c r="Q122" s="15">
        <v>11025000</v>
      </c>
      <c r="R122" s="8" t="e">
        <f>SUMIFS([1]REPORTADOS!$D$2:$D$3379,[1]REPORTADOS!$C$2:$C$3379,E122)</f>
        <v>#VALUE!</v>
      </c>
    </row>
    <row r="123" spans="1:18" x14ac:dyDescent="0.25">
      <c r="A123">
        <v>900091143</v>
      </c>
      <c r="B123" t="s">
        <v>3965</v>
      </c>
      <c r="C123" t="s">
        <v>3376</v>
      </c>
      <c r="E123" t="s">
        <v>3376</v>
      </c>
      <c r="H123" t="s">
        <v>22</v>
      </c>
      <c r="I123">
        <v>36752202</v>
      </c>
      <c r="J123" t="s">
        <v>2283</v>
      </c>
      <c r="P123" t="s">
        <v>4273</v>
      </c>
      <c r="Q123" s="8">
        <v>9450000</v>
      </c>
      <c r="R123" s="8" t="e">
        <f>SUMIFS([1]REPORTADOS!$D$2:$D$3379,[1]REPORTADOS!$C$2:$C$3379,E123)</f>
        <v>#VALUE!</v>
      </c>
    </row>
    <row r="124" spans="1:18" x14ac:dyDescent="0.25">
      <c r="A124">
        <v>900091143</v>
      </c>
      <c r="B124" t="s">
        <v>3965</v>
      </c>
      <c r="C124" t="s">
        <v>3377</v>
      </c>
      <c r="E124" t="s">
        <v>3377</v>
      </c>
      <c r="H124" t="s">
        <v>22</v>
      </c>
      <c r="I124">
        <v>1085315209</v>
      </c>
      <c r="J124" t="s">
        <v>2644</v>
      </c>
      <c r="P124" t="s">
        <v>4296</v>
      </c>
      <c r="Q124" s="15">
        <v>11025000</v>
      </c>
      <c r="R124" s="8" t="e">
        <f>SUMIFS([1]REPORTADOS!$D$2:$D$3379,[1]REPORTADOS!$C$2:$C$3379,E124)</f>
        <v>#VALUE!</v>
      </c>
    </row>
    <row r="125" spans="1:18" x14ac:dyDescent="0.25">
      <c r="A125">
        <v>900091143</v>
      </c>
      <c r="B125" t="s">
        <v>3965</v>
      </c>
      <c r="C125" t="s">
        <v>3378</v>
      </c>
      <c r="E125" t="s">
        <v>3378</v>
      </c>
      <c r="H125" t="s">
        <v>22</v>
      </c>
      <c r="I125">
        <v>1085295583</v>
      </c>
      <c r="J125" t="s">
        <v>4041</v>
      </c>
      <c r="P125" t="s">
        <v>4296</v>
      </c>
      <c r="Q125" s="15">
        <v>11025000</v>
      </c>
      <c r="R125" s="8" t="e">
        <f>SUMIFS([1]REPORTADOS!$D$2:$D$3379,[1]REPORTADOS!$C$2:$C$3379,E125)</f>
        <v>#VALUE!</v>
      </c>
    </row>
    <row r="126" spans="1:18" x14ac:dyDescent="0.25">
      <c r="A126">
        <v>900091143</v>
      </c>
      <c r="B126" t="s">
        <v>3965</v>
      </c>
      <c r="C126" t="s">
        <v>3379</v>
      </c>
      <c r="E126" t="s">
        <v>3379</v>
      </c>
      <c r="H126" t="s">
        <v>22</v>
      </c>
      <c r="I126">
        <v>27444591</v>
      </c>
      <c r="J126" t="s">
        <v>4042</v>
      </c>
      <c r="P126" t="s">
        <v>4296</v>
      </c>
      <c r="Q126" s="15">
        <v>11025000</v>
      </c>
      <c r="R126" s="8" t="e">
        <f>SUMIFS([1]REPORTADOS!$D$2:$D$3379,[1]REPORTADOS!$C$2:$C$3379,E126)</f>
        <v>#VALUE!</v>
      </c>
    </row>
    <row r="127" spans="1:18" x14ac:dyDescent="0.25">
      <c r="A127">
        <v>900091143</v>
      </c>
      <c r="B127" t="s">
        <v>3965</v>
      </c>
      <c r="C127" t="s">
        <v>3380</v>
      </c>
      <c r="E127" t="s">
        <v>3380</v>
      </c>
      <c r="H127" t="s">
        <v>22</v>
      </c>
      <c r="I127">
        <v>1086224204</v>
      </c>
      <c r="J127" t="s">
        <v>4043</v>
      </c>
      <c r="P127" t="s">
        <v>4325</v>
      </c>
      <c r="Q127" s="15">
        <v>11025000</v>
      </c>
      <c r="R127" s="8" t="e">
        <f>SUMIFS([1]REPORTADOS!$D$2:$D$3379,[1]REPORTADOS!$C$2:$C$3379,E127)</f>
        <v>#VALUE!</v>
      </c>
    </row>
    <row r="128" spans="1:18" x14ac:dyDescent="0.25">
      <c r="A128">
        <v>900091143</v>
      </c>
      <c r="B128" t="s">
        <v>3965</v>
      </c>
      <c r="C128" t="s">
        <v>3381</v>
      </c>
      <c r="E128" t="s">
        <v>3381</v>
      </c>
      <c r="H128" t="s">
        <v>22</v>
      </c>
      <c r="I128">
        <v>1084552048</v>
      </c>
      <c r="J128" t="s">
        <v>1951</v>
      </c>
      <c r="P128" t="s">
        <v>4296</v>
      </c>
      <c r="Q128" s="15">
        <v>11025000</v>
      </c>
      <c r="R128" s="8" t="e">
        <f>SUMIFS([1]REPORTADOS!$D$2:$D$3379,[1]REPORTADOS!$C$2:$C$3379,E128)</f>
        <v>#VALUE!</v>
      </c>
    </row>
    <row r="129" spans="1:18" x14ac:dyDescent="0.25">
      <c r="A129">
        <v>900091143</v>
      </c>
      <c r="B129" t="s">
        <v>3965</v>
      </c>
      <c r="C129" t="s">
        <v>3382</v>
      </c>
      <c r="E129" t="s">
        <v>3382</v>
      </c>
      <c r="H129" t="s">
        <v>22</v>
      </c>
      <c r="I129">
        <v>5930737</v>
      </c>
      <c r="J129" t="s">
        <v>2536</v>
      </c>
      <c r="P129" t="s">
        <v>4296</v>
      </c>
      <c r="Q129" s="15">
        <v>11025000</v>
      </c>
      <c r="R129" s="8" t="e">
        <f>SUMIFS([1]REPORTADOS!$D$2:$D$3379,[1]REPORTADOS!$C$2:$C$3379,E129)</f>
        <v>#VALUE!</v>
      </c>
    </row>
    <row r="130" spans="1:18" x14ac:dyDescent="0.25">
      <c r="A130">
        <v>900091143</v>
      </c>
      <c r="B130" t="s">
        <v>3965</v>
      </c>
      <c r="C130" t="s">
        <v>3383</v>
      </c>
      <c r="E130" t="s">
        <v>3383</v>
      </c>
      <c r="H130" t="s">
        <v>22</v>
      </c>
      <c r="I130">
        <v>1085317226</v>
      </c>
      <c r="J130" t="s">
        <v>4044</v>
      </c>
      <c r="P130" t="s">
        <v>4304</v>
      </c>
      <c r="Q130" s="15">
        <v>11025000</v>
      </c>
      <c r="R130" s="8" t="e">
        <f>SUMIFS([1]REPORTADOS!$D$2:$D$3379,[1]REPORTADOS!$C$2:$C$3379,E130)</f>
        <v>#VALUE!</v>
      </c>
    </row>
    <row r="131" spans="1:18" x14ac:dyDescent="0.25">
      <c r="A131">
        <v>900091143</v>
      </c>
      <c r="B131" t="s">
        <v>3965</v>
      </c>
      <c r="C131" t="s">
        <v>3384</v>
      </c>
      <c r="E131" t="s">
        <v>3384</v>
      </c>
      <c r="H131" t="s">
        <v>22</v>
      </c>
      <c r="I131">
        <v>1082749295</v>
      </c>
      <c r="J131" t="s">
        <v>4045</v>
      </c>
      <c r="P131" t="s">
        <v>4304</v>
      </c>
      <c r="Q131" s="15">
        <v>11025000</v>
      </c>
      <c r="R131" s="8" t="e">
        <f>SUMIFS([1]REPORTADOS!$D$2:$D$3379,[1]REPORTADOS!$C$2:$C$3379,E131)</f>
        <v>#VALUE!</v>
      </c>
    </row>
    <row r="132" spans="1:18" x14ac:dyDescent="0.25">
      <c r="A132">
        <v>900091143</v>
      </c>
      <c r="B132" t="s">
        <v>3965</v>
      </c>
      <c r="C132" t="s">
        <v>3385</v>
      </c>
      <c r="E132" t="s">
        <v>3385</v>
      </c>
      <c r="H132" t="s">
        <v>22</v>
      </c>
      <c r="I132">
        <v>1086328063</v>
      </c>
      <c r="J132" t="s">
        <v>4046</v>
      </c>
      <c r="P132" t="s">
        <v>4304</v>
      </c>
      <c r="Q132" s="15">
        <v>11025000</v>
      </c>
      <c r="R132" s="8" t="e">
        <f>SUMIFS([1]REPORTADOS!$D$2:$D$3379,[1]REPORTADOS!$C$2:$C$3379,E132)</f>
        <v>#VALUE!</v>
      </c>
    </row>
    <row r="133" spans="1:18" x14ac:dyDescent="0.25">
      <c r="A133">
        <v>900091143</v>
      </c>
      <c r="B133" t="s">
        <v>3965</v>
      </c>
      <c r="C133" t="s">
        <v>3386</v>
      </c>
      <c r="E133" t="s">
        <v>3386</v>
      </c>
      <c r="H133" t="s">
        <v>22</v>
      </c>
      <c r="I133">
        <v>1085335069</v>
      </c>
      <c r="J133" t="s">
        <v>2633</v>
      </c>
      <c r="P133" t="s">
        <v>4326</v>
      </c>
      <c r="Q133" s="15">
        <v>11825000</v>
      </c>
      <c r="R133" s="8" t="e">
        <f>SUMIFS([1]REPORTADOS!$D$2:$D$3379,[1]REPORTADOS!$C$2:$C$3379,E133)</f>
        <v>#VALUE!</v>
      </c>
    </row>
    <row r="134" spans="1:18" x14ac:dyDescent="0.25">
      <c r="A134">
        <v>900091143</v>
      </c>
      <c r="B134" t="s">
        <v>3965</v>
      </c>
      <c r="C134" t="s">
        <v>3387</v>
      </c>
      <c r="E134" t="s">
        <v>3387</v>
      </c>
      <c r="H134" t="s">
        <v>22</v>
      </c>
      <c r="I134">
        <v>1004547484</v>
      </c>
      <c r="J134" t="s">
        <v>4047</v>
      </c>
      <c r="P134" t="s">
        <v>4304</v>
      </c>
      <c r="Q134" s="15">
        <v>12600000</v>
      </c>
      <c r="R134" s="8" t="e">
        <f>SUMIFS([1]REPORTADOS!$D$2:$D$3379,[1]REPORTADOS!$C$2:$C$3379,E134)</f>
        <v>#VALUE!</v>
      </c>
    </row>
    <row r="135" spans="1:18" x14ac:dyDescent="0.25">
      <c r="A135">
        <v>900091143</v>
      </c>
      <c r="B135" t="s">
        <v>3965</v>
      </c>
      <c r="C135" t="s">
        <v>3388</v>
      </c>
      <c r="E135" t="s">
        <v>3388</v>
      </c>
      <c r="H135" t="s">
        <v>22</v>
      </c>
      <c r="I135">
        <v>1085265947</v>
      </c>
      <c r="J135" t="s">
        <v>2701</v>
      </c>
      <c r="P135" t="s">
        <v>4304</v>
      </c>
      <c r="Q135" s="15">
        <v>12600000</v>
      </c>
      <c r="R135" s="8" t="e">
        <f>SUMIFS([1]REPORTADOS!$D$2:$D$3379,[1]REPORTADOS!$C$2:$C$3379,E135)</f>
        <v>#VALUE!</v>
      </c>
    </row>
    <row r="136" spans="1:18" x14ac:dyDescent="0.25">
      <c r="A136">
        <v>900091143</v>
      </c>
      <c r="B136" t="s">
        <v>3965</v>
      </c>
      <c r="C136" t="s">
        <v>3389</v>
      </c>
      <c r="E136" t="s">
        <v>3389</v>
      </c>
      <c r="H136" t="s">
        <v>22</v>
      </c>
      <c r="I136">
        <v>59311295</v>
      </c>
      <c r="J136" t="s">
        <v>2550</v>
      </c>
      <c r="P136" t="s">
        <v>4304</v>
      </c>
      <c r="Q136" s="15">
        <v>12600000</v>
      </c>
      <c r="R136" s="8" t="e">
        <f>SUMIFS([1]REPORTADOS!$D$2:$D$3379,[1]REPORTADOS!$C$2:$C$3379,E136)</f>
        <v>#VALUE!</v>
      </c>
    </row>
    <row r="137" spans="1:18" x14ac:dyDescent="0.25">
      <c r="A137">
        <v>900091143</v>
      </c>
      <c r="B137" t="s">
        <v>3965</v>
      </c>
      <c r="C137" t="s">
        <v>3390</v>
      </c>
      <c r="E137" t="s">
        <v>3390</v>
      </c>
      <c r="H137" t="s">
        <v>22</v>
      </c>
      <c r="I137">
        <v>1085247449</v>
      </c>
      <c r="J137" t="s">
        <v>4048</v>
      </c>
      <c r="P137" t="s">
        <v>4304</v>
      </c>
      <c r="Q137" s="15">
        <v>12600000</v>
      </c>
      <c r="R137" s="8" t="e">
        <f>SUMIFS([1]REPORTADOS!$D$2:$D$3379,[1]REPORTADOS!$C$2:$C$3379,E137)</f>
        <v>#VALUE!</v>
      </c>
    </row>
    <row r="138" spans="1:18" x14ac:dyDescent="0.25">
      <c r="A138">
        <v>900091143</v>
      </c>
      <c r="B138" t="s">
        <v>3965</v>
      </c>
      <c r="C138" t="s">
        <v>3391</v>
      </c>
      <c r="E138" t="s">
        <v>3391</v>
      </c>
      <c r="H138" t="s">
        <v>22</v>
      </c>
      <c r="I138">
        <v>59122805</v>
      </c>
      <c r="J138" t="s">
        <v>4049</v>
      </c>
      <c r="P138" t="s">
        <v>4304</v>
      </c>
      <c r="Q138" s="15">
        <v>12600000</v>
      </c>
      <c r="R138" s="8" t="e">
        <f>SUMIFS([1]REPORTADOS!$D$2:$D$3379,[1]REPORTADOS!$C$2:$C$3379,E138)</f>
        <v>#VALUE!</v>
      </c>
    </row>
    <row r="139" spans="1:18" x14ac:dyDescent="0.25">
      <c r="A139">
        <v>900091143</v>
      </c>
      <c r="B139" t="s">
        <v>3965</v>
      </c>
      <c r="C139" t="s">
        <v>3392</v>
      </c>
      <c r="E139" t="s">
        <v>3392</v>
      </c>
      <c r="H139" t="s">
        <v>22</v>
      </c>
      <c r="I139">
        <v>1085252263</v>
      </c>
      <c r="J139" t="s">
        <v>2574</v>
      </c>
      <c r="P139" t="s">
        <v>4304</v>
      </c>
      <c r="Q139" s="15">
        <v>12600000</v>
      </c>
      <c r="R139" s="8" t="e">
        <f>SUMIFS([1]REPORTADOS!$D$2:$D$3379,[1]REPORTADOS!$C$2:$C$3379,E139)</f>
        <v>#VALUE!</v>
      </c>
    </row>
    <row r="140" spans="1:18" x14ac:dyDescent="0.25">
      <c r="A140">
        <v>900091143</v>
      </c>
      <c r="B140" t="s">
        <v>3965</v>
      </c>
      <c r="C140" t="s">
        <v>3393</v>
      </c>
      <c r="E140" t="s">
        <v>3393</v>
      </c>
      <c r="H140" t="s">
        <v>22</v>
      </c>
      <c r="I140">
        <v>1085267332</v>
      </c>
      <c r="J140" t="s">
        <v>4050</v>
      </c>
      <c r="P140" t="s">
        <v>4304</v>
      </c>
      <c r="Q140" s="15">
        <v>12600000</v>
      </c>
      <c r="R140" s="8" t="e">
        <f>SUMIFS([1]REPORTADOS!$D$2:$D$3379,[1]REPORTADOS!$C$2:$C$3379,E140)</f>
        <v>#VALUE!</v>
      </c>
    </row>
    <row r="141" spans="1:18" x14ac:dyDescent="0.25">
      <c r="A141">
        <v>900091143</v>
      </c>
      <c r="B141" t="s">
        <v>3965</v>
      </c>
      <c r="C141" t="s">
        <v>3394</v>
      </c>
      <c r="E141" t="s">
        <v>3394</v>
      </c>
      <c r="H141" t="s">
        <v>22</v>
      </c>
      <c r="I141">
        <v>1089458776</v>
      </c>
      <c r="J141" t="s">
        <v>3966</v>
      </c>
      <c r="P141" t="s">
        <v>4304</v>
      </c>
      <c r="Q141" s="15">
        <v>12600000</v>
      </c>
      <c r="R141" s="8" t="e">
        <f>SUMIFS([1]REPORTADOS!$D$2:$D$3379,[1]REPORTADOS!$C$2:$C$3379,E141)</f>
        <v>#VALUE!</v>
      </c>
    </row>
    <row r="142" spans="1:18" x14ac:dyDescent="0.25">
      <c r="A142">
        <v>900091143</v>
      </c>
      <c r="B142" t="s">
        <v>3965</v>
      </c>
      <c r="C142" t="s">
        <v>3395</v>
      </c>
      <c r="E142" t="s">
        <v>3395</v>
      </c>
      <c r="H142" t="s">
        <v>22</v>
      </c>
      <c r="I142">
        <v>1081052746</v>
      </c>
      <c r="J142" t="s">
        <v>2349</v>
      </c>
      <c r="P142" t="s">
        <v>4304</v>
      </c>
      <c r="Q142" s="15">
        <v>12600000</v>
      </c>
      <c r="R142" s="8" t="e">
        <f>SUMIFS([1]REPORTADOS!$D$2:$D$3379,[1]REPORTADOS!$C$2:$C$3379,E142)</f>
        <v>#VALUE!</v>
      </c>
    </row>
    <row r="143" spans="1:18" x14ac:dyDescent="0.25">
      <c r="A143">
        <v>900091143</v>
      </c>
      <c r="B143" t="s">
        <v>3965</v>
      </c>
      <c r="C143" t="s">
        <v>3396</v>
      </c>
      <c r="E143" t="s">
        <v>3396</v>
      </c>
      <c r="H143" t="s">
        <v>22</v>
      </c>
      <c r="I143">
        <v>1082747438</v>
      </c>
      <c r="J143" t="s">
        <v>1919</v>
      </c>
      <c r="P143" t="s">
        <v>4304</v>
      </c>
      <c r="Q143" s="15">
        <v>12600000</v>
      </c>
      <c r="R143" s="8" t="e">
        <f>SUMIFS([1]REPORTADOS!$D$2:$D$3379,[1]REPORTADOS!$C$2:$C$3379,E143)</f>
        <v>#VALUE!</v>
      </c>
    </row>
    <row r="144" spans="1:18" x14ac:dyDescent="0.25">
      <c r="A144">
        <v>900091143</v>
      </c>
      <c r="B144" t="s">
        <v>3965</v>
      </c>
      <c r="C144" t="s">
        <v>3397</v>
      </c>
      <c r="E144" t="s">
        <v>3397</v>
      </c>
      <c r="H144" t="s">
        <v>22</v>
      </c>
      <c r="I144">
        <v>1004543161</v>
      </c>
      <c r="J144" t="s">
        <v>4051</v>
      </c>
      <c r="P144" t="s">
        <v>4304</v>
      </c>
      <c r="Q144" s="15">
        <v>12600000</v>
      </c>
      <c r="R144" s="8" t="e">
        <f>SUMIFS([1]REPORTADOS!$D$2:$D$3379,[1]REPORTADOS!$C$2:$C$3379,E144)</f>
        <v>#VALUE!</v>
      </c>
    </row>
    <row r="145" spans="1:18" x14ac:dyDescent="0.25">
      <c r="A145">
        <v>900091143</v>
      </c>
      <c r="B145" t="s">
        <v>3965</v>
      </c>
      <c r="C145" t="s">
        <v>3398</v>
      </c>
      <c r="E145" t="s">
        <v>3398</v>
      </c>
      <c r="H145" t="s">
        <v>22</v>
      </c>
      <c r="I145">
        <v>1081572043</v>
      </c>
      <c r="J145" t="s">
        <v>1874</v>
      </c>
      <c r="P145" t="s">
        <v>4304</v>
      </c>
      <c r="Q145" s="15">
        <v>12600000</v>
      </c>
      <c r="R145" s="8" t="e">
        <f>SUMIFS([1]REPORTADOS!$D$2:$D$3379,[1]REPORTADOS!$C$2:$C$3379,E145)</f>
        <v>#VALUE!</v>
      </c>
    </row>
    <row r="146" spans="1:18" x14ac:dyDescent="0.25">
      <c r="A146">
        <v>900091143</v>
      </c>
      <c r="B146" t="s">
        <v>3965</v>
      </c>
      <c r="C146" t="s">
        <v>3399</v>
      </c>
      <c r="E146" t="s">
        <v>3399</v>
      </c>
      <c r="H146" t="s">
        <v>22</v>
      </c>
      <c r="I146">
        <v>1080690337</v>
      </c>
      <c r="J146" t="s">
        <v>2781</v>
      </c>
      <c r="P146" t="s">
        <v>4304</v>
      </c>
      <c r="Q146" s="15">
        <v>12600000</v>
      </c>
      <c r="R146" s="8" t="e">
        <f>SUMIFS([1]REPORTADOS!$D$2:$D$3379,[1]REPORTADOS!$C$2:$C$3379,E146)</f>
        <v>#VALUE!</v>
      </c>
    </row>
    <row r="147" spans="1:18" x14ac:dyDescent="0.25">
      <c r="A147">
        <v>900091143</v>
      </c>
      <c r="B147" t="s">
        <v>3965</v>
      </c>
      <c r="C147" t="s">
        <v>3400</v>
      </c>
      <c r="E147" t="s">
        <v>3400</v>
      </c>
      <c r="H147" t="s">
        <v>22</v>
      </c>
      <c r="I147">
        <v>1233193191</v>
      </c>
      <c r="J147" t="s">
        <v>3981</v>
      </c>
      <c r="P147" t="s">
        <v>4304</v>
      </c>
      <c r="Q147" s="15">
        <v>12600000</v>
      </c>
      <c r="R147" s="8" t="e">
        <f>SUMIFS([1]REPORTADOS!$D$2:$D$3379,[1]REPORTADOS!$C$2:$C$3379,E147)</f>
        <v>#VALUE!</v>
      </c>
    </row>
    <row r="148" spans="1:18" x14ac:dyDescent="0.25">
      <c r="A148">
        <v>900091143</v>
      </c>
      <c r="B148" t="s">
        <v>3965</v>
      </c>
      <c r="C148" t="s">
        <v>3401</v>
      </c>
      <c r="E148" t="s">
        <v>3401</v>
      </c>
      <c r="H148" t="s">
        <v>22</v>
      </c>
      <c r="I148">
        <v>59313711</v>
      </c>
      <c r="J148" t="s">
        <v>4052</v>
      </c>
      <c r="P148" t="s">
        <v>4304</v>
      </c>
      <c r="Q148" s="15">
        <v>12600000</v>
      </c>
      <c r="R148" s="8" t="e">
        <f>SUMIFS([1]REPORTADOS!$D$2:$D$3379,[1]REPORTADOS!$C$2:$C$3379,E148)</f>
        <v>#VALUE!</v>
      </c>
    </row>
    <row r="149" spans="1:18" x14ac:dyDescent="0.25">
      <c r="A149">
        <v>900091143</v>
      </c>
      <c r="B149" t="s">
        <v>3965</v>
      </c>
      <c r="C149" t="s">
        <v>3402</v>
      </c>
      <c r="E149" t="s">
        <v>3402</v>
      </c>
      <c r="H149" t="s">
        <v>22</v>
      </c>
      <c r="I149">
        <v>1085302942</v>
      </c>
      <c r="J149" t="s">
        <v>2402</v>
      </c>
      <c r="P149" t="s">
        <v>4304</v>
      </c>
      <c r="Q149" s="15">
        <v>12600000</v>
      </c>
      <c r="R149" s="8" t="e">
        <f>SUMIFS([1]REPORTADOS!$D$2:$D$3379,[1]REPORTADOS!$C$2:$C$3379,E149)</f>
        <v>#VALUE!</v>
      </c>
    </row>
    <row r="150" spans="1:18" x14ac:dyDescent="0.25">
      <c r="A150">
        <v>900091143</v>
      </c>
      <c r="B150" t="s">
        <v>3965</v>
      </c>
      <c r="C150" t="s">
        <v>3403</v>
      </c>
      <c r="E150" t="s">
        <v>3403</v>
      </c>
      <c r="H150" t="s">
        <v>22</v>
      </c>
      <c r="I150">
        <v>1085275473</v>
      </c>
      <c r="J150" t="s">
        <v>2539</v>
      </c>
      <c r="P150" t="s">
        <v>4304</v>
      </c>
      <c r="Q150" s="15">
        <v>12600000</v>
      </c>
      <c r="R150" s="8" t="e">
        <f>SUMIFS([1]REPORTADOS!$D$2:$D$3379,[1]REPORTADOS!$C$2:$C$3379,E150)</f>
        <v>#VALUE!</v>
      </c>
    </row>
    <row r="151" spans="1:18" x14ac:dyDescent="0.25">
      <c r="A151">
        <v>900091143</v>
      </c>
      <c r="B151" t="s">
        <v>3965</v>
      </c>
      <c r="C151" t="s">
        <v>3404</v>
      </c>
      <c r="E151" t="s">
        <v>3404</v>
      </c>
      <c r="H151" t="s">
        <v>22</v>
      </c>
      <c r="I151">
        <v>59310853</v>
      </c>
      <c r="J151" t="s">
        <v>1891</v>
      </c>
      <c r="P151" t="s">
        <v>4304</v>
      </c>
      <c r="Q151" s="15">
        <v>12600000</v>
      </c>
      <c r="R151" s="8" t="e">
        <f>SUMIFS([1]REPORTADOS!$D$2:$D$3379,[1]REPORTADOS!$C$2:$C$3379,E151)</f>
        <v>#VALUE!</v>
      </c>
    </row>
    <row r="152" spans="1:18" x14ac:dyDescent="0.25">
      <c r="A152">
        <v>900091143</v>
      </c>
      <c r="B152" t="s">
        <v>3965</v>
      </c>
      <c r="C152" t="s">
        <v>3405</v>
      </c>
      <c r="E152" t="s">
        <v>3405</v>
      </c>
      <c r="H152" t="s">
        <v>22</v>
      </c>
      <c r="I152">
        <v>37087117</v>
      </c>
      <c r="J152" t="s">
        <v>4053</v>
      </c>
      <c r="P152" t="s">
        <v>4304</v>
      </c>
      <c r="Q152" s="15">
        <v>12600000</v>
      </c>
      <c r="R152" s="8" t="e">
        <f>SUMIFS([1]REPORTADOS!$D$2:$D$3379,[1]REPORTADOS!$C$2:$C$3379,E152)</f>
        <v>#VALUE!</v>
      </c>
    </row>
    <row r="153" spans="1:18" x14ac:dyDescent="0.25">
      <c r="A153">
        <v>900091143</v>
      </c>
      <c r="B153" t="s">
        <v>3965</v>
      </c>
      <c r="C153" t="s">
        <v>3406</v>
      </c>
      <c r="E153" t="s">
        <v>3406</v>
      </c>
      <c r="H153" t="s">
        <v>22</v>
      </c>
      <c r="I153">
        <v>1085335033</v>
      </c>
      <c r="J153" t="s">
        <v>4054</v>
      </c>
      <c r="P153" t="s">
        <v>4304</v>
      </c>
      <c r="Q153" s="15">
        <v>12600000</v>
      </c>
      <c r="R153" s="8" t="e">
        <f>SUMIFS([1]REPORTADOS!$D$2:$D$3379,[1]REPORTADOS!$C$2:$C$3379,E153)</f>
        <v>#VALUE!</v>
      </c>
    </row>
    <row r="154" spans="1:18" x14ac:dyDescent="0.25">
      <c r="A154">
        <v>900091143</v>
      </c>
      <c r="B154" t="s">
        <v>3965</v>
      </c>
      <c r="C154" t="s">
        <v>3407</v>
      </c>
      <c r="E154" t="s">
        <v>3407</v>
      </c>
      <c r="H154" t="s">
        <v>22</v>
      </c>
      <c r="I154">
        <v>1086329609</v>
      </c>
      <c r="J154" t="s">
        <v>1932</v>
      </c>
      <c r="P154" t="s">
        <v>4304</v>
      </c>
      <c r="Q154" s="15">
        <v>12600000</v>
      </c>
      <c r="R154" s="8" t="e">
        <f>SUMIFS([1]REPORTADOS!$D$2:$D$3379,[1]REPORTADOS!$C$2:$C$3379,E154)</f>
        <v>#VALUE!</v>
      </c>
    </row>
    <row r="155" spans="1:18" x14ac:dyDescent="0.25">
      <c r="A155">
        <v>900091143</v>
      </c>
      <c r="B155" t="s">
        <v>3965</v>
      </c>
      <c r="C155" t="s">
        <v>3408</v>
      </c>
      <c r="E155" t="s">
        <v>3408</v>
      </c>
      <c r="H155" t="s">
        <v>22</v>
      </c>
      <c r="I155">
        <v>59310056</v>
      </c>
      <c r="J155" t="s">
        <v>4055</v>
      </c>
      <c r="P155" t="s">
        <v>4304</v>
      </c>
      <c r="Q155" s="15">
        <v>12600000</v>
      </c>
      <c r="R155" s="8" t="e">
        <f>SUMIFS([1]REPORTADOS!$D$2:$D$3379,[1]REPORTADOS!$C$2:$C$3379,E155)</f>
        <v>#VALUE!</v>
      </c>
    </row>
    <row r="156" spans="1:18" x14ac:dyDescent="0.25">
      <c r="A156">
        <v>900091143</v>
      </c>
      <c r="B156" t="s">
        <v>3965</v>
      </c>
      <c r="C156" t="s">
        <v>3409</v>
      </c>
      <c r="E156" t="s">
        <v>3409</v>
      </c>
      <c r="H156" t="s">
        <v>22</v>
      </c>
      <c r="I156">
        <v>27088197</v>
      </c>
      <c r="J156" t="s">
        <v>1921</v>
      </c>
      <c r="P156" t="s">
        <v>4304</v>
      </c>
      <c r="Q156" s="15">
        <v>12600000</v>
      </c>
      <c r="R156" s="8" t="e">
        <f>SUMIFS([1]REPORTADOS!$D$2:$D$3379,[1]REPORTADOS!$C$2:$C$3379,E156)</f>
        <v>#VALUE!</v>
      </c>
    </row>
    <row r="157" spans="1:18" x14ac:dyDescent="0.25">
      <c r="A157">
        <v>900091143</v>
      </c>
      <c r="B157" t="s">
        <v>3965</v>
      </c>
      <c r="C157" t="s">
        <v>3410</v>
      </c>
      <c r="E157" t="s">
        <v>3410</v>
      </c>
      <c r="H157" t="s">
        <v>22</v>
      </c>
      <c r="I157">
        <v>1085286725</v>
      </c>
      <c r="J157" t="s">
        <v>1786</v>
      </c>
      <c r="P157" t="s">
        <v>4304</v>
      </c>
      <c r="Q157" s="15">
        <v>12600000</v>
      </c>
      <c r="R157" s="8" t="e">
        <f>SUMIFS([1]REPORTADOS!$D$2:$D$3379,[1]REPORTADOS!$C$2:$C$3379,E157)</f>
        <v>#VALUE!</v>
      </c>
    </row>
    <row r="158" spans="1:18" x14ac:dyDescent="0.25">
      <c r="A158">
        <v>900091143</v>
      </c>
      <c r="B158" t="s">
        <v>3965</v>
      </c>
      <c r="C158" t="s">
        <v>3411</v>
      </c>
      <c r="E158" t="s">
        <v>3411</v>
      </c>
      <c r="H158" t="s">
        <v>22</v>
      </c>
      <c r="I158">
        <v>59310524</v>
      </c>
      <c r="J158" t="s">
        <v>1672</v>
      </c>
      <c r="P158" t="s">
        <v>4304</v>
      </c>
      <c r="Q158" s="15">
        <v>12600000</v>
      </c>
      <c r="R158" s="8" t="e">
        <f>SUMIFS([1]REPORTADOS!$D$2:$D$3379,[1]REPORTADOS!$C$2:$C$3379,E158)</f>
        <v>#VALUE!</v>
      </c>
    </row>
    <row r="159" spans="1:18" x14ac:dyDescent="0.25">
      <c r="A159">
        <v>900091143</v>
      </c>
      <c r="B159" t="s">
        <v>3965</v>
      </c>
      <c r="C159" t="s">
        <v>3412</v>
      </c>
      <c r="E159" t="s">
        <v>3412</v>
      </c>
      <c r="H159" t="s">
        <v>22</v>
      </c>
      <c r="I159">
        <v>27082649</v>
      </c>
      <c r="J159" t="s">
        <v>2454</v>
      </c>
      <c r="P159" t="s">
        <v>4304</v>
      </c>
      <c r="Q159" s="15">
        <v>12600000</v>
      </c>
      <c r="R159" s="8" t="e">
        <f>SUMIFS([1]REPORTADOS!$D$2:$D$3379,[1]REPORTADOS!$C$2:$C$3379,E159)</f>
        <v>#VALUE!</v>
      </c>
    </row>
    <row r="160" spans="1:18" x14ac:dyDescent="0.25">
      <c r="A160">
        <v>900091143</v>
      </c>
      <c r="B160" t="s">
        <v>3965</v>
      </c>
      <c r="C160" t="s">
        <v>3413</v>
      </c>
      <c r="E160" t="s">
        <v>3413</v>
      </c>
      <c r="H160" t="s">
        <v>22</v>
      </c>
      <c r="I160">
        <v>1087960258</v>
      </c>
      <c r="J160" t="s">
        <v>4056</v>
      </c>
      <c r="P160" t="s">
        <v>4304</v>
      </c>
      <c r="Q160" s="15">
        <v>12600000</v>
      </c>
      <c r="R160" s="8" t="e">
        <f>SUMIFS([1]REPORTADOS!$D$2:$D$3379,[1]REPORTADOS!$C$2:$C$3379,E160)</f>
        <v>#VALUE!</v>
      </c>
    </row>
    <row r="161" spans="1:18" x14ac:dyDescent="0.25">
      <c r="A161">
        <v>900091143</v>
      </c>
      <c r="B161" t="s">
        <v>3965</v>
      </c>
      <c r="C161" t="s">
        <v>3414</v>
      </c>
      <c r="E161" t="s">
        <v>3414</v>
      </c>
      <c r="H161" t="s">
        <v>22</v>
      </c>
      <c r="I161">
        <v>1085339190</v>
      </c>
      <c r="J161" t="s">
        <v>4057</v>
      </c>
      <c r="P161" t="s">
        <v>4304</v>
      </c>
      <c r="Q161" s="15">
        <v>12600000</v>
      </c>
      <c r="R161" s="8" t="e">
        <f>SUMIFS([1]REPORTADOS!$D$2:$D$3379,[1]REPORTADOS!$C$2:$C$3379,E161)</f>
        <v>#VALUE!</v>
      </c>
    </row>
    <row r="162" spans="1:18" x14ac:dyDescent="0.25">
      <c r="A162">
        <v>900091143</v>
      </c>
      <c r="B162" t="s">
        <v>3965</v>
      </c>
      <c r="C162" t="s">
        <v>3415</v>
      </c>
      <c r="E162" t="s">
        <v>3415</v>
      </c>
      <c r="H162" t="s">
        <v>22</v>
      </c>
      <c r="I162">
        <v>1004131976</v>
      </c>
      <c r="J162" t="s">
        <v>2339</v>
      </c>
      <c r="P162" t="s">
        <v>4304</v>
      </c>
      <c r="Q162" s="15">
        <v>12600000</v>
      </c>
      <c r="R162" s="8" t="e">
        <f>SUMIFS([1]REPORTADOS!$D$2:$D$3379,[1]REPORTADOS!$C$2:$C$3379,E162)</f>
        <v>#VALUE!</v>
      </c>
    </row>
    <row r="163" spans="1:18" x14ac:dyDescent="0.25">
      <c r="A163">
        <v>900091143</v>
      </c>
      <c r="B163" t="s">
        <v>3965</v>
      </c>
      <c r="C163" t="s">
        <v>3416</v>
      </c>
      <c r="E163" t="s">
        <v>3416</v>
      </c>
      <c r="H163" t="s">
        <v>22</v>
      </c>
      <c r="I163">
        <v>1089458048</v>
      </c>
      <c r="J163" t="s">
        <v>4025</v>
      </c>
      <c r="P163" t="s">
        <v>4304</v>
      </c>
      <c r="Q163" s="15">
        <v>12600000</v>
      </c>
      <c r="R163" s="8" t="e">
        <f>SUMIFS([1]REPORTADOS!$D$2:$D$3379,[1]REPORTADOS!$C$2:$C$3379,E163)</f>
        <v>#VALUE!</v>
      </c>
    </row>
    <row r="164" spans="1:18" x14ac:dyDescent="0.25">
      <c r="A164">
        <v>900091143</v>
      </c>
      <c r="B164" t="s">
        <v>3965</v>
      </c>
      <c r="C164" t="s">
        <v>3417</v>
      </c>
      <c r="E164" t="s">
        <v>3417</v>
      </c>
      <c r="H164" t="s">
        <v>22</v>
      </c>
      <c r="I164">
        <v>1192717330</v>
      </c>
      <c r="J164" t="s">
        <v>1901</v>
      </c>
      <c r="P164" t="s">
        <v>4304</v>
      </c>
      <c r="Q164" s="15">
        <v>12600000</v>
      </c>
      <c r="R164" s="8" t="e">
        <f>SUMIFS([1]REPORTADOS!$D$2:$D$3379,[1]REPORTADOS!$C$2:$C$3379,E164)</f>
        <v>#VALUE!</v>
      </c>
    </row>
    <row r="165" spans="1:18" x14ac:dyDescent="0.25">
      <c r="A165">
        <v>900091143</v>
      </c>
      <c r="B165" t="s">
        <v>3965</v>
      </c>
      <c r="C165" t="s">
        <v>3418</v>
      </c>
      <c r="E165" t="s">
        <v>3418</v>
      </c>
      <c r="H165" t="s">
        <v>22</v>
      </c>
      <c r="I165">
        <v>1004235479</v>
      </c>
      <c r="J165" t="s">
        <v>1923</v>
      </c>
      <c r="P165" t="s">
        <v>4304</v>
      </c>
      <c r="Q165" s="15">
        <v>12600000</v>
      </c>
      <c r="R165" s="8" t="e">
        <f>SUMIFS([1]REPORTADOS!$D$2:$D$3379,[1]REPORTADOS!$C$2:$C$3379,E165)</f>
        <v>#VALUE!</v>
      </c>
    </row>
    <row r="166" spans="1:18" x14ac:dyDescent="0.25">
      <c r="A166">
        <v>900091143</v>
      </c>
      <c r="B166" t="s">
        <v>3965</v>
      </c>
      <c r="C166" t="s">
        <v>3419</v>
      </c>
      <c r="E166" t="s">
        <v>3419</v>
      </c>
      <c r="H166" t="s">
        <v>22</v>
      </c>
      <c r="I166">
        <v>37084285</v>
      </c>
      <c r="J166" t="s">
        <v>1724</v>
      </c>
      <c r="P166" t="s">
        <v>4304</v>
      </c>
      <c r="Q166" s="15">
        <v>12600000</v>
      </c>
      <c r="R166" s="8" t="e">
        <f>SUMIFS([1]REPORTADOS!$D$2:$D$3379,[1]REPORTADOS!$C$2:$C$3379,E166)</f>
        <v>#VALUE!</v>
      </c>
    </row>
    <row r="167" spans="1:18" x14ac:dyDescent="0.25">
      <c r="A167">
        <v>900091143</v>
      </c>
      <c r="B167" t="s">
        <v>3965</v>
      </c>
      <c r="C167" t="s">
        <v>3420</v>
      </c>
      <c r="E167" t="s">
        <v>3420</v>
      </c>
      <c r="H167" t="s">
        <v>22</v>
      </c>
      <c r="I167">
        <v>1004236159</v>
      </c>
      <c r="J167" t="s">
        <v>4058</v>
      </c>
      <c r="P167" t="s">
        <v>4304</v>
      </c>
      <c r="Q167" s="15">
        <v>12600000</v>
      </c>
      <c r="R167" s="8" t="e">
        <f>SUMIFS([1]REPORTADOS!$D$2:$D$3379,[1]REPORTADOS!$C$2:$C$3379,E167)</f>
        <v>#VALUE!</v>
      </c>
    </row>
    <row r="168" spans="1:18" x14ac:dyDescent="0.25">
      <c r="A168">
        <v>900091143</v>
      </c>
      <c r="B168" t="s">
        <v>3965</v>
      </c>
      <c r="C168" t="s">
        <v>3421</v>
      </c>
      <c r="E168" t="s">
        <v>3421</v>
      </c>
      <c r="H168" t="s">
        <v>22</v>
      </c>
      <c r="I168">
        <v>1081053045</v>
      </c>
      <c r="J168" t="s">
        <v>4059</v>
      </c>
      <c r="P168" t="s">
        <v>4327</v>
      </c>
      <c r="Q168" s="15">
        <v>12600000</v>
      </c>
      <c r="R168" s="8" t="e">
        <f>SUMIFS([1]REPORTADOS!$D$2:$D$3379,[1]REPORTADOS!$C$2:$C$3379,E168)</f>
        <v>#VALUE!</v>
      </c>
    </row>
    <row r="169" spans="1:18" x14ac:dyDescent="0.25">
      <c r="A169">
        <v>900091143</v>
      </c>
      <c r="B169" t="s">
        <v>3965</v>
      </c>
      <c r="C169" t="s">
        <v>3422</v>
      </c>
      <c r="E169" t="s">
        <v>3422</v>
      </c>
      <c r="H169" t="s">
        <v>22</v>
      </c>
      <c r="I169">
        <v>1081272656</v>
      </c>
      <c r="J169" t="s">
        <v>2659</v>
      </c>
      <c r="P169" t="s">
        <v>4304</v>
      </c>
      <c r="Q169" s="15">
        <v>12600000</v>
      </c>
      <c r="R169" s="8" t="e">
        <f>SUMIFS([1]REPORTADOS!$D$2:$D$3379,[1]REPORTADOS!$C$2:$C$3379,E169)</f>
        <v>#VALUE!</v>
      </c>
    </row>
    <row r="170" spans="1:18" x14ac:dyDescent="0.25">
      <c r="A170">
        <v>900091143</v>
      </c>
      <c r="B170" t="s">
        <v>3965</v>
      </c>
      <c r="C170" t="s">
        <v>3423</v>
      </c>
      <c r="E170" t="s">
        <v>3423</v>
      </c>
      <c r="H170" t="s">
        <v>22</v>
      </c>
      <c r="I170">
        <v>1086358836</v>
      </c>
      <c r="J170" t="s">
        <v>4060</v>
      </c>
      <c r="P170" t="s">
        <v>4304</v>
      </c>
      <c r="Q170" s="15">
        <v>12600000</v>
      </c>
      <c r="R170" s="8" t="e">
        <f>SUMIFS([1]REPORTADOS!$D$2:$D$3379,[1]REPORTADOS!$C$2:$C$3379,E170)</f>
        <v>#VALUE!</v>
      </c>
    </row>
    <row r="171" spans="1:18" x14ac:dyDescent="0.25">
      <c r="A171">
        <v>900091143</v>
      </c>
      <c r="B171" t="s">
        <v>3965</v>
      </c>
      <c r="C171" t="s">
        <v>3424</v>
      </c>
      <c r="E171" t="s">
        <v>3424</v>
      </c>
      <c r="H171" t="s">
        <v>22</v>
      </c>
      <c r="I171">
        <v>1085271641</v>
      </c>
      <c r="J171" t="s">
        <v>1727</v>
      </c>
      <c r="P171" t="s">
        <v>4304</v>
      </c>
      <c r="Q171" s="15">
        <v>12600000</v>
      </c>
      <c r="R171" s="8" t="e">
        <f>SUMIFS([1]REPORTADOS!$D$2:$D$3379,[1]REPORTADOS!$C$2:$C$3379,E171)</f>
        <v>#VALUE!</v>
      </c>
    </row>
    <row r="172" spans="1:18" x14ac:dyDescent="0.25">
      <c r="A172">
        <v>900091143</v>
      </c>
      <c r="B172" t="s">
        <v>3965</v>
      </c>
      <c r="C172" t="s">
        <v>3425</v>
      </c>
      <c r="E172" t="s">
        <v>3425</v>
      </c>
      <c r="H172" t="s">
        <v>22</v>
      </c>
      <c r="I172">
        <v>1085343154</v>
      </c>
      <c r="J172" t="s">
        <v>4061</v>
      </c>
      <c r="P172" t="s">
        <v>4304</v>
      </c>
      <c r="Q172" s="15">
        <v>12600000</v>
      </c>
      <c r="R172" s="8" t="e">
        <f>SUMIFS([1]REPORTADOS!$D$2:$D$3379,[1]REPORTADOS!$C$2:$C$3379,E172)</f>
        <v>#VALUE!</v>
      </c>
    </row>
    <row r="173" spans="1:18" x14ac:dyDescent="0.25">
      <c r="A173">
        <v>900091143</v>
      </c>
      <c r="B173" t="s">
        <v>3965</v>
      </c>
      <c r="C173" t="s">
        <v>3426</v>
      </c>
      <c r="E173" t="s">
        <v>3426</v>
      </c>
      <c r="H173" t="s">
        <v>22</v>
      </c>
      <c r="I173">
        <v>36758143</v>
      </c>
      <c r="J173" t="s">
        <v>4062</v>
      </c>
      <c r="P173" t="s">
        <v>4304</v>
      </c>
      <c r="Q173" s="15">
        <v>12600000</v>
      </c>
      <c r="R173" s="8" t="e">
        <f>SUMIFS([1]REPORTADOS!$D$2:$D$3379,[1]REPORTADOS!$C$2:$C$3379,E173)</f>
        <v>#VALUE!</v>
      </c>
    </row>
    <row r="174" spans="1:18" x14ac:dyDescent="0.25">
      <c r="A174">
        <v>900091143</v>
      </c>
      <c r="B174" t="s">
        <v>3965</v>
      </c>
      <c r="C174" t="s">
        <v>3427</v>
      </c>
      <c r="E174" t="s">
        <v>3427</v>
      </c>
      <c r="H174" t="s">
        <v>22</v>
      </c>
      <c r="I174">
        <v>1085300095</v>
      </c>
      <c r="J174" t="s">
        <v>1717</v>
      </c>
      <c r="P174" t="s">
        <v>4304</v>
      </c>
      <c r="Q174" s="15">
        <v>12600000</v>
      </c>
      <c r="R174" s="8" t="e">
        <f>SUMIFS([1]REPORTADOS!$D$2:$D$3379,[1]REPORTADOS!$C$2:$C$3379,E174)</f>
        <v>#VALUE!</v>
      </c>
    </row>
    <row r="175" spans="1:18" x14ac:dyDescent="0.25">
      <c r="A175">
        <v>900091143</v>
      </c>
      <c r="B175" t="s">
        <v>3965</v>
      </c>
      <c r="C175" t="s">
        <v>3428</v>
      </c>
      <c r="E175" t="s">
        <v>3428</v>
      </c>
      <c r="H175" t="s">
        <v>22</v>
      </c>
      <c r="I175">
        <v>1137624011</v>
      </c>
      <c r="J175" t="s">
        <v>2424</v>
      </c>
      <c r="P175" t="s">
        <v>4304</v>
      </c>
      <c r="Q175" s="15">
        <v>12600000</v>
      </c>
      <c r="R175" s="8" t="e">
        <f>SUMIFS([1]REPORTADOS!$D$2:$D$3379,[1]REPORTADOS!$C$2:$C$3379,E175)</f>
        <v>#VALUE!</v>
      </c>
    </row>
    <row r="176" spans="1:18" x14ac:dyDescent="0.25">
      <c r="A176">
        <v>900091143</v>
      </c>
      <c r="B176" t="s">
        <v>3965</v>
      </c>
      <c r="C176" t="s">
        <v>3429</v>
      </c>
      <c r="E176" t="s">
        <v>3429</v>
      </c>
      <c r="H176" t="s">
        <v>22</v>
      </c>
      <c r="I176">
        <v>1085288636</v>
      </c>
      <c r="J176" t="s">
        <v>2384</v>
      </c>
      <c r="P176" t="s">
        <v>4296</v>
      </c>
      <c r="Q176" s="15">
        <v>12600000</v>
      </c>
      <c r="R176" s="8" t="e">
        <f>SUMIFS([1]REPORTADOS!$D$2:$D$3379,[1]REPORTADOS!$C$2:$C$3379,E176)</f>
        <v>#VALUE!</v>
      </c>
    </row>
    <row r="177" spans="1:18" x14ac:dyDescent="0.25">
      <c r="A177">
        <v>900091143</v>
      </c>
      <c r="B177" t="s">
        <v>3965</v>
      </c>
      <c r="C177" t="s">
        <v>3430</v>
      </c>
      <c r="E177" t="s">
        <v>3430</v>
      </c>
      <c r="H177" t="s">
        <v>22</v>
      </c>
      <c r="I177">
        <v>1089291166</v>
      </c>
      <c r="J177" t="s">
        <v>4063</v>
      </c>
      <c r="P177" t="s">
        <v>4297</v>
      </c>
      <c r="Q177" s="15">
        <v>12600000</v>
      </c>
      <c r="R177" s="8" t="e">
        <f>SUMIFS([1]REPORTADOS!$D$2:$D$3379,[1]REPORTADOS!$C$2:$C$3379,E177)</f>
        <v>#VALUE!</v>
      </c>
    </row>
    <row r="178" spans="1:18" x14ac:dyDescent="0.25">
      <c r="A178">
        <v>900091143</v>
      </c>
      <c r="B178" t="s">
        <v>3965</v>
      </c>
      <c r="C178" t="s">
        <v>3431</v>
      </c>
      <c r="E178" t="s">
        <v>3431</v>
      </c>
      <c r="H178" t="s">
        <v>22</v>
      </c>
      <c r="I178">
        <v>30743783</v>
      </c>
      <c r="J178" t="s">
        <v>2440</v>
      </c>
      <c r="P178" t="s">
        <v>4328</v>
      </c>
      <c r="Q178" s="15">
        <v>12600000</v>
      </c>
      <c r="R178" s="8" t="e">
        <f>SUMIFS([1]REPORTADOS!$D$2:$D$3379,[1]REPORTADOS!$C$2:$C$3379,E178)</f>
        <v>#VALUE!</v>
      </c>
    </row>
    <row r="179" spans="1:18" x14ac:dyDescent="0.25">
      <c r="A179">
        <v>900091143</v>
      </c>
      <c r="B179" t="s">
        <v>3965</v>
      </c>
      <c r="C179" t="s">
        <v>3432</v>
      </c>
      <c r="E179" t="s">
        <v>3432</v>
      </c>
      <c r="H179" t="s">
        <v>22</v>
      </c>
      <c r="I179">
        <v>1081272025</v>
      </c>
      <c r="J179" t="s">
        <v>4064</v>
      </c>
      <c r="P179" t="s">
        <v>4329</v>
      </c>
      <c r="Q179" s="15">
        <v>12600000</v>
      </c>
      <c r="R179" s="8" t="e">
        <f>SUMIFS([1]REPORTADOS!$D$2:$D$3379,[1]REPORTADOS!$C$2:$C$3379,E179)</f>
        <v>#VALUE!</v>
      </c>
    </row>
    <row r="180" spans="1:18" x14ac:dyDescent="0.25">
      <c r="A180">
        <v>900091143</v>
      </c>
      <c r="B180" t="s">
        <v>3965</v>
      </c>
      <c r="C180" t="s">
        <v>3433</v>
      </c>
      <c r="E180" t="s">
        <v>3433</v>
      </c>
      <c r="H180" t="s">
        <v>22</v>
      </c>
      <c r="I180">
        <v>1193224810</v>
      </c>
      <c r="J180" t="s">
        <v>1736</v>
      </c>
      <c r="P180" t="s">
        <v>4296</v>
      </c>
      <c r="Q180" s="15">
        <v>12600000</v>
      </c>
      <c r="R180" s="8" t="e">
        <f>SUMIFS([1]REPORTADOS!$D$2:$D$3379,[1]REPORTADOS!$C$2:$C$3379,E180)</f>
        <v>#VALUE!</v>
      </c>
    </row>
    <row r="181" spans="1:18" x14ac:dyDescent="0.25">
      <c r="A181">
        <v>900091143</v>
      </c>
      <c r="B181" t="s">
        <v>3965</v>
      </c>
      <c r="C181" t="s">
        <v>3434</v>
      </c>
      <c r="E181" t="s">
        <v>3434</v>
      </c>
      <c r="H181" t="s">
        <v>22</v>
      </c>
      <c r="I181">
        <v>1087644986</v>
      </c>
      <c r="J181" t="s">
        <v>4065</v>
      </c>
      <c r="P181" t="s">
        <v>4330</v>
      </c>
      <c r="Q181" s="15">
        <v>12600000</v>
      </c>
      <c r="R181" s="8" t="e">
        <f>SUMIFS([1]REPORTADOS!$D$2:$D$3379,[1]REPORTADOS!$C$2:$C$3379,E181)</f>
        <v>#VALUE!</v>
      </c>
    </row>
    <row r="182" spans="1:18" x14ac:dyDescent="0.25">
      <c r="A182">
        <v>900091143</v>
      </c>
      <c r="B182" t="s">
        <v>3965</v>
      </c>
      <c r="C182" t="s">
        <v>3435</v>
      </c>
      <c r="E182" t="s">
        <v>3435</v>
      </c>
      <c r="H182" t="s">
        <v>22</v>
      </c>
      <c r="I182">
        <v>69028150</v>
      </c>
      <c r="J182" t="s">
        <v>1666</v>
      </c>
      <c r="P182" t="s">
        <v>4293</v>
      </c>
      <c r="Q182" s="15">
        <v>12600000</v>
      </c>
      <c r="R182" s="8" t="e">
        <f>SUMIFS([1]REPORTADOS!$D$2:$D$3379,[1]REPORTADOS!$C$2:$C$3379,E182)</f>
        <v>#VALUE!</v>
      </c>
    </row>
    <row r="183" spans="1:18" x14ac:dyDescent="0.25">
      <c r="A183">
        <v>900091143</v>
      </c>
      <c r="B183" t="s">
        <v>3965</v>
      </c>
      <c r="C183" t="s">
        <v>3436</v>
      </c>
      <c r="E183" t="s">
        <v>3436</v>
      </c>
      <c r="H183" t="s">
        <v>22</v>
      </c>
      <c r="I183">
        <v>1085315013</v>
      </c>
      <c r="J183" t="s">
        <v>1913</v>
      </c>
      <c r="P183" t="s">
        <v>4296</v>
      </c>
      <c r="Q183" s="15">
        <v>12600000</v>
      </c>
      <c r="R183" s="8" t="e">
        <f>SUMIFS([1]REPORTADOS!$D$2:$D$3379,[1]REPORTADOS!$C$2:$C$3379,E183)</f>
        <v>#VALUE!</v>
      </c>
    </row>
    <row r="184" spans="1:18" x14ac:dyDescent="0.25">
      <c r="A184">
        <v>900091143</v>
      </c>
      <c r="B184" t="s">
        <v>3965</v>
      </c>
      <c r="C184" t="s">
        <v>3437</v>
      </c>
      <c r="E184" t="s">
        <v>3437</v>
      </c>
      <c r="H184" t="s">
        <v>22</v>
      </c>
      <c r="I184">
        <v>1085269090</v>
      </c>
      <c r="J184" t="s">
        <v>1860</v>
      </c>
      <c r="P184" t="s">
        <v>4331</v>
      </c>
      <c r="Q184" s="15">
        <v>12600000</v>
      </c>
      <c r="R184" s="8" t="e">
        <f>SUMIFS([1]REPORTADOS!$D$2:$D$3379,[1]REPORTADOS!$C$2:$C$3379,E184)</f>
        <v>#VALUE!</v>
      </c>
    </row>
    <row r="185" spans="1:18" x14ac:dyDescent="0.25">
      <c r="A185">
        <v>900091143</v>
      </c>
      <c r="B185" t="s">
        <v>3965</v>
      </c>
      <c r="C185" t="s">
        <v>3438</v>
      </c>
      <c r="E185" t="s">
        <v>3438</v>
      </c>
      <c r="H185" t="s">
        <v>22</v>
      </c>
      <c r="I185">
        <v>1085255829</v>
      </c>
      <c r="J185" t="s">
        <v>1678</v>
      </c>
      <c r="P185" t="s">
        <v>4331</v>
      </c>
      <c r="Q185" s="15">
        <v>12600000</v>
      </c>
      <c r="R185" s="8" t="e">
        <f>SUMIFS([1]REPORTADOS!$D$2:$D$3379,[1]REPORTADOS!$C$2:$C$3379,E185)</f>
        <v>#VALUE!</v>
      </c>
    </row>
    <row r="186" spans="1:18" x14ac:dyDescent="0.25">
      <c r="A186">
        <v>900091143</v>
      </c>
      <c r="B186" t="s">
        <v>3965</v>
      </c>
      <c r="C186" t="s">
        <v>3439</v>
      </c>
      <c r="E186" t="s">
        <v>3439</v>
      </c>
      <c r="H186" t="s">
        <v>22</v>
      </c>
      <c r="I186">
        <v>1233189234</v>
      </c>
      <c r="J186" t="s">
        <v>1869</v>
      </c>
      <c r="P186" t="s">
        <v>4331</v>
      </c>
      <c r="Q186" s="15">
        <v>12600000</v>
      </c>
      <c r="R186" s="8" t="e">
        <f>SUMIFS([1]REPORTADOS!$D$2:$D$3379,[1]REPORTADOS!$C$2:$C$3379,E186)</f>
        <v>#VALUE!</v>
      </c>
    </row>
    <row r="187" spans="1:18" x14ac:dyDescent="0.25">
      <c r="A187">
        <v>900091143</v>
      </c>
      <c r="B187" t="s">
        <v>3965</v>
      </c>
      <c r="C187" t="s">
        <v>3440</v>
      </c>
      <c r="E187" t="s">
        <v>3440</v>
      </c>
      <c r="H187" t="s">
        <v>22</v>
      </c>
      <c r="I187">
        <v>1010082397</v>
      </c>
      <c r="J187" t="s">
        <v>1799</v>
      </c>
      <c r="P187" t="s">
        <v>4331</v>
      </c>
      <c r="Q187" s="15">
        <v>12600000</v>
      </c>
      <c r="R187" s="8" t="e">
        <f>SUMIFS([1]REPORTADOS!$D$2:$D$3379,[1]REPORTADOS!$C$2:$C$3379,E187)</f>
        <v>#VALUE!</v>
      </c>
    </row>
    <row r="188" spans="1:18" x14ac:dyDescent="0.25">
      <c r="A188">
        <v>900091143</v>
      </c>
      <c r="B188" t="s">
        <v>3965</v>
      </c>
      <c r="C188" t="s">
        <v>3441</v>
      </c>
      <c r="E188" t="s">
        <v>3441</v>
      </c>
      <c r="H188" t="s">
        <v>22</v>
      </c>
      <c r="I188">
        <v>1087006717</v>
      </c>
      <c r="J188" t="s">
        <v>1793</v>
      </c>
      <c r="P188" t="s">
        <v>4331</v>
      </c>
      <c r="Q188" s="15">
        <v>12600000</v>
      </c>
      <c r="R188" s="8" t="e">
        <f>SUMIFS([1]REPORTADOS!$D$2:$D$3379,[1]REPORTADOS!$C$2:$C$3379,E188)</f>
        <v>#VALUE!</v>
      </c>
    </row>
    <row r="189" spans="1:18" x14ac:dyDescent="0.25">
      <c r="A189">
        <v>900091143</v>
      </c>
      <c r="B189" t="s">
        <v>3965</v>
      </c>
      <c r="C189" t="s">
        <v>3442</v>
      </c>
      <c r="E189" t="s">
        <v>3442</v>
      </c>
      <c r="H189" t="s">
        <v>22</v>
      </c>
      <c r="I189">
        <v>36752202</v>
      </c>
      <c r="J189" t="s">
        <v>2283</v>
      </c>
      <c r="P189" t="s">
        <v>4332</v>
      </c>
      <c r="Q189" s="15">
        <v>12600000</v>
      </c>
      <c r="R189" s="8" t="e">
        <f>SUMIFS([1]REPORTADOS!$D$2:$D$3379,[1]REPORTADOS!$C$2:$C$3379,E189)</f>
        <v>#VALUE!</v>
      </c>
    </row>
    <row r="190" spans="1:18" x14ac:dyDescent="0.25">
      <c r="A190">
        <v>900091143</v>
      </c>
      <c r="B190" t="s">
        <v>3965</v>
      </c>
      <c r="C190" t="s">
        <v>3443</v>
      </c>
      <c r="E190" t="s">
        <v>3443</v>
      </c>
      <c r="H190" t="s">
        <v>22</v>
      </c>
      <c r="I190">
        <v>1193223736</v>
      </c>
      <c r="J190" t="s">
        <v>2021</v>
      </c>
      <c r="P190" t="s">
        <v>4275</v>
      </c>
      <c r="Q190" s="15">
        <v>12600000</v>
      </c>
      <c r="R190" s="8" t="e">
        <f>SUMIFS([1]REPORTADOS!$D$2:$D$3379,[1]REPORTADOS!$C$2:$C$3379,E190)</f>
        <v>#VALUE!</v>
      </c>
    </row>
    <row r="191" spans="1:18" x14ac:dyDescent="0.25">
      <c r="A191">
        <v>900091143</v>
      </c>
      <c r="B191" t="s">
        <v>3965</v>
      </c>
      <c r="C191" t="s">
        <v>3444</v>
      </c>
      <c r="E191" t="s">
        <v>3444</v>
      </c>
      <c r="H191" t="s">
        <v>22</v>
      </c>
      <c r="I191">
        <v>1085254153</v>
      </c>
      <c r="J191" t="s">
        <v>2555</v>
      </c>
      <c r="P191" t="s">
        <v>4333</v>
      </c>
      <c r="Q191" s="15">
        <v>12600000</v>
      </c>
      <c r="R191" s="8" t="e">
        <f>SUMIFS([1]REPORTADOS!$D$2:$D$3379,[1]REPORTADOS!$C$2:$C$3379,E191)</f>
        <v>#VALUE!</v>
      </c>
    </row>
    <row r="192" spans="1:18" x14ac:dyDescent="0.25">
      <c r="A192">
        <v>900091143</v>
      </c>
      <c r="B192" t="s">
        <v>3965</v>
      </c>
      <c r="C192" t="s">
        <v>3445</v>
      </c>
      <c r="E192" t="s">
        <v>3445</v>
      </c>
      <c r="H192" t="s">
        <v>22</v>
      </c>
      <c r="I192">
        <v>1233190311</v>
      </c>
      <c r="J192" t="s">
        <v>4066</v>
      </c>
      <c r="P192" t="s">
        <v>4334</v>
      </c>
      <c r="Q192" s="15">
        <v>14190000</v>
      </c>
      <c r="R192" s="8" t="e">
        <f>SUMIFS([1]REPORTADOS!$D$2:$D$3379,[1]REPORTADOS!$C$2:$C$3379,E192)</f>
        <v>#VALUE!</v>
      </c>
    </row>
    <row r="193" spans="1:18" x14ac:dyDescent="0.25">
      <c r="A193">
        <v>900091143</v>
      </c>
      <c r="B193" t="s">
        <v>3965</v>
      </c>
      <c r="C193" t="s">
        <v>3446</v>
      </c>
      <c r="E193" t="s">
        <v>3446</v>
      </c>
      <c r="H193" t="s">
        <v>22</v>
      </c>
      <c r="I193">
        <v>1085293619</v>
      </c>
      <c r="J193" t="s">
        <v>2115</v>
      </c>
      <c r="P193" t="s">
        <v>4334</v>
      </c>
      <c r="Q193" s="15">
        <v>14190000</v>
      </c>
      <c r="R193" s="8" t="e">
        <f>SUMIFS([1]REPORTADOS!$D$2:$D$3379,[1]REPORTADOS!$C$2:$C$3379,E193)</f>
        <v>#VALUE!</v>
      </c>
    </row>
    <row r="194" spans="1:18" x14ac:dyDescent="0.25">
      <c r="A194">
        <v>900091143</v>
      </c>
      <c r="B194" t="s">
        <v>3965</v>
      </c>
      <c r="C194" t="s">
        <v>3447</v>
      </c>
      <c r="E194" t="s">
        <v>3447</v>
      </c>
      <c r="H194" t="s">
        <v>22</v>
      </c>
      <c r="I194">
        <v>37084258</v>
      </c>
      <c r="J194" t="s">
        <v>4067</v>
      </c>
      <c r="P194" t="s">
        <v>4335</v>
      </c>
      <c r="Q194" s="15">
        <v>14190000</v>
      </c>
      <c r="R194" s="8" t="e">
        <f>SUMIFS([1]REPORTADOS!$D$2:$D$3379,[1]REPORTADOS!$C$2:$C$3379,E194)</f>
        <v>#VALUE!</v>
      </c>
    </row>
    <row r="195" spans="1:18" x14ac:dyDescent="0.25">
      <c r="A195">
        <v>900091143</v>
      </c>
      <c r="B195" t="s">
        <v>3965</v>
      </c>
      <c r="C195" t="s">
        <v>3448</v>
      </c>
      <c r="E195" t="s">
        <v>3448</v>
      </c>
      <c r="H195" t="s">
        <v>22</v>
      </c>
      <c r="I195">
        <v>1085331301</v>
      </c>
      <c r="J195" t="s">
        <v>4068</v>
      </c>
      <c r="P195" t="s">
        <v>4322</v>
      </c>
      <c r="Q195" s="15">
        <v>14190000</v>
      </c>
      <c r="R195" s="8" t="e">
        <f>SUMIFS([1]REPORTADOS!$D$2:$D$3379,[1]REPORTADOS!$C$2:$C$3379,E195)</f>
        <v>#VALUE!</v>
      </c>
    </row>
    <row r="196" spans="1:18" x14ac:dyDescent="0.25">
      <c r="A196">
        <v>900091143</v>
      </c>
      <c r="B196" t="s">
        <v>3965</v>
      </c>
      <c r="C196" t="s">
        <v>3449</v>
      </c>
      <c r="E196" t="s">
        <v>3449</v>
      </c>
      <c r="H196" t="s">
        <v>22</v>
      </c>
      <c r="I196">
        <v>1233188033</v>
      </c>
      <c r="J196" t="s">
        <v>4069</v>
      </c>
      <c r="P196" t="s">
        <v>4336</v>
      </c>
      <c r="Q196" s="15">
        <v>14190000</v>
      </c>
      <c r="R196" s="8" t="e">
        <f>SUMIFS([1]REPORTADOS!$D$2:$D$3379,[1]REPORTADOS!$C$2:$C$3379,E196)</f>
        <v>#VALUE!</v>
      </c>
    </row>
    <row r="197" spans="1:18" x14ac:dyDescent="0.25">
      <c r="A197">
        <v>900091143</v>
      </c>
      <c r="B197" t="s">
        <v>3965</v>
      </c>
      <c r="C197" t="s">
        <v>3450</v>
      </c>
      <c r="E197" t="s">
        <v>3450</v>
      </c>
      <c r="H197" t="s">
        <v>22</v>
      </c>
      <c r="I197">
        <v>27105277</v>
      </c>
      <c r="J197" t="s">
        <v>4070</v>
      </c>
      <c r="P197" t="s">
        <v>4322</v>
      </c>
      <c r="Q197" s="15">
        <v>14190000</v>
      </c>
      <c r="R197" s="8" t="e">
        <f>SUMIFS([1]REPORTADOS!$D$2:$D$3379,[1]REPORTADOS!$C$2:$C$3379,E197)</f>
        <v>#VALUE!</v>
      </c>
    </row>
    <row r="198" spans="1:18" x14ac:dyDescent="0.25">
      <c r="A198">
        <v>900091143</v>
      </c>
      <c r="B198" t="s">
        <v>3965</v>
      </c>
      <c r="C198" t="s">
        <v>3451</v>
      </c>
      <c r="E198" t="s">
        <v>3451</v>
      </c>
      <c r="H198" t="s">
        <v>22</v>
      </c>
      <c r="I198">
        <v>1085313870</v>
      </c>
      <c r="J198" t="s">
        <v>2086</v>
      </c>
      <c r="P198" t="s">
        <v>4322</v>
      </c>
      <c r="Q198" s="15">
        <v>14190000</v>
      </c>
      <c r="R198" s="8" t="e">
        <f>SUMIFS([1]REPORTADOS!$D$2:$D$3379,[1]REPORTADOS!$C$2:$C$3379,E198)</f>
        <v>#VALUE!</v>
      </c>
    </row>
    <row r="199" spans="1:18" x14ac:dyDescent="0.25">
      <c r="A199">
        <v>900091143</v>
      </c>
      <c r="B199" t="s">
        <v>3965</v>
      </c>
      <c r="C199" t="s">
        <v>3452</v>
      </c>
      <c r="E199" t="s">
        <v>3452</v>
      </c>
      <c r="H199" t="s">
        <v>22</v>
      </c>
      <c r="I199">
        <v>59816986</v>
      </c>
      <c r="J199" t="s">
        <v>2257</v>
      </c>
      <c r="P199" t="s">
        <v>4326</v>
      </c>
      <c r="Q199" s="15">
        <v>14190000</v>
      </c>
      <c r="R199" s="8" t="e">
        <f>SUMIFS([1]REPORTADOS!$D$2:$D$3379,[1]REPORTADOS!$C$2:$C$3379,E199)</f>
        <v>#VALUE!</v>
      </c>
    </row>
    <row r="200" spans="1:18" x14ac:dyDescent="0.25">
      <c r="A200">
        <v>900091143</v>
      </c>
      <c r="B200" t="s">
        <v>3965</v>
      </c>
      <c r="C200" t="s">
        <v>3453</v>
      </c>
      <c r="E200" t="s">
        <v>3453</v>
      </c>
      <c r="H200" t="s">
        <v>22</v>
      </c>
      <c r="I200">
        <v>1085323338</v>
      </c>
      <c r="J200" t="s">
        <v>4071</v>
      </c>
      <c r="P200" t="s">
        <v>4337</v>
      </c>
      <c r="Q200" s="15">
        <v>14190000</v>
      </c>
      <c r="R200" s="8" t="e">
        <f>SUMIFS([1]REPORTADOS!$D$2:$D$3379,[1]REPORTADOS!$C$2:$C$3379,E200)</f>
        <v>#VALUE!</v>
      </c>
    </row>
    <row r="201" spans="1:18" x14ac:dyDescent="0.25">
      <c r="A201">
        <v>900091143</v>
      </c>
      <c r="B201" t="s">
        <v>3965</v>
      </c>
      <c r="C201" t="s">
        <v>3454</v>
      </c>
      <c r="E201" t="s">
        <v>3454</v>
      </c>
      <c r="H201" t="s">
        <v>22</v>
      </c>
      <c r="I201">
        <v>52381227</v>
      </c>
      <c r="J201" t="s">
        <v>4072</v>
      </c>
      <c r="P201" t="s">
        <v>4338</v>
      </c>
      <c r="Q201" s="15">
        <v>14190000</v>
      </c>
      <c r="R201" s="8" t="e">
        <f>SUMIFS([1]REPORTADOS!$D$2:$D$3379,[1]REPORTADOS!$C$2:$C$3379,E201)</f>
        <v>#VALUE!</v>
      </c>
    </row>
    <row r="202" spans="1:18" x14ac:dyDescent="0.25">
      <c r="A202">
        <v>900091143</v>
      </c>
      <c r="B202" t="s">
        <v>3965</v>
      </c>
      <c r="C202" t="s">
        <v>3455</v>
      </c>
      <c r="E202" t="s">
        <v>3455</v>
      </c>
      <c r="H202" t="s">
        <v>22</v>
      </c>
      <c r="I202">
        <v>1086018206</v>
      </c>
      <c r="J202" t="s">
        <v>4073</v>
      </c>
      <c r="P202" t="s">
        <v>4339</v>
      </c>
      <c r="Q202" s="15">
        <v>15600000</v>
      </c>
      <c r="R202" s="8" t="e">
        <f>SUMIFS([1]REPORTADOS!$D$2:$D$3379,[1]REPORTADOS!$C$2:$C$3379,E202)</f>
        <v>#VALUE!</v>
      </c>
    </row>
    <row r="203" spans="1:18" x14ac:dyDescent="0.25">
      <c r="A203">
        <v>900091143</v>
      </c>
      <c r="B203" t="s">
        <v>3965</v>
      </c>
      <c r="C203" t="s">
        <v>3456</v>
      </c>
      <c r="E203" t="s">
        <v>3456</v>
      </c>
      <c r="H203" t="s">
        <v>22</v>
      </c>
      <c r="I203">
        <v>1010141840</v>
      </c>
      <c r="J203" t="s">
        <v>4074</v>
      </c>
      <c r="P203" t="s">
        <v>4340</v>
      </c>
      <c r="Q203" s="15">
        <v>15600000</v>
      </c>
      <c r="R203" s="8" t="e">
        <f>SUMIFS([1]REPORTADOS!$D$2:$D$3379,[1]REPORTADOS!$C$2:$C$3379,E203)</f>
        <v>#VALUE!</v>
      </c>
    </row>
    <row r="204" spans="1:18" x14ac:dyDescent="0.25">
      <c r="A204">
        <v>900091143</v>
      </c>
      <c r="B204" t="s">
        <v>3965</v>
      </c>
      <c r="C204" t="s">
        <v>3457</v>
      </c>
      <c r="E204" t="s">
        <v>3457</v>
      </c>
      <c r="H204" t="s">
        <v>22</v>
      </c>
      <c r="I204">
        <v>1086331521</v>
      </c>
      <c r="J204" t="s">
        <v>4075</v>
      </c>
      <c r="P204" t="s">
        <v>4341</v>
      </c>
      <c r="Q204" s="15">
        <v>15600000</v>
      </c>
      <c r="R204" s="8" t="e">
        <f>SUMIFS([1]REPORTADOS!$D$2:$D$3379,[1]REPORTADOS!$C$2:$C$3379,E204)</f>
        <v>#VALUE!</v>
      </c>
    </row>
    <row r="205" spans="1:18" x14ac:dyDescent="0.25">
      <c r="A205">
        <v>900091143</v>
      </c>
      <c r="B205" t="s">
        <v>3965</v>
      </c>
      <c r="C205" t="s">
        <v>3458</v>
      </c>
      <c r="E205" t="s">
        <v>3458</v>
      </c>
      <c r="H205" t="s">
        <v>22</v>
      </c>
      <c r="I205">
        <v>1085307962</v>
      </c>
      <c r="J205" t="s">
        <v>4076</v>
      </c>
      <c r="P205" t="s">
        <v>4342</v>
      </c>
      <c r="Q205" s="15">
        <v>15600000</v>
      </c>
      <c r="R205" s="8" t="e">
        <f>SUMIFS([1]REPORTADOS!$D$2:$D$3379,[1]REPORTADOS!$C$2:$C$3379,E205)</f>
        <v>#VALUE!</v>
      </c>
    </row>
    <row r="206" spans="1:18" x14ac:dyDescent="0.25">
      <c r="A206">
        <v>900091143</v>
      </c>
      <c r="B206" t="s">
        <v>3965</v>
      </c>
      <c r="C206" t="s">
        <v>3459</v>
      </c>
      <c r="E206" t="s">
        <v>3459</v>
      </c>
      <c r="H206" t="s">
        <v>22</v>
      </c>
      <c r="I206">
        <v>12969231</v>
      </c>
      <c r="J206" t="s">
        <v>4077</v>
      </c>
      <c r="P206" t="s">
        <v>4339</v>
      </c>
      <c r="Q206" s="15">
        <v>15600000</v>
      </c>
      <c r="R206" s="8" t="e">
        <f>SUMIFS([1]REPORTADOS!$D$2:$D$3379,[1]REPORTADOS!$C$2:$C$3379,E206)</f>
        <v>#VALUE!</v>
      </c>
    </row>
    <row r="207" spans="1:18" x14ac:dyDescent="0.25">
      <c r="A207">
        <v>900091143</v>
      </c>
      <c r="B207" t="s">
        <v>3965</v>
      </c>
      <c r="C207" t="s">
        <v>3460</v>
      </c>
      <c r="E207" t="s">
        <v>3460</v>
      </c>
      <c r="H207" t="s">
        <v>22</v>
      </c>
      <c r="I207">
        <v>1233193848</v>
      </c>
      <c r="J207" t="s">
        <v>4078</v>
      </c>
      <c r="P207" t="s">
        <v>4339</v>
      </c>
      <c r="Q207" s="15">
        <v>15600000</v>
      </c>
      <c r="R207" s="8" t="e">
        <f>SUMIFS([1]REPORTADOS!$D$2:$D$3379,[1]REPORTADOS!$C$2:$C$3379,E207)</f>
        <v>#VALUE!</v>
      </c>
    </row>
    <row r="208" spans="1:18" x14ac:dyDescent="0.25">
      <c r="A208">
        <v>900091143</v>
      </c>
      <c r="B208" t="s">
        <v>3965</v>
      </c>
      <c r="C208" t="s">
        <v>3461</v>
      </c>
      <c r="E208" t="s">
        <v>3461</v>
      </c>
      <c r="H208" t="s">
        <v>22</v>
      </c>
      <c r="I208">
        <v>27252200</v>
      </c>
      <c r="J208" t="s">
        <v>4079</v>
      </c>
      <c r="P208" t="s">
        <v>4343</v>
      </c>
      <c r="Q208" s="15">
        <v>15750000</v>
      </c>
      <c r="R208" s="8" t="e">
        <f>SUMIFS([1]REPORTADOS!$D$2:$D$3379,[1]REPORTADOS!$C$2:$C$3379,E208)</f>
        <v>#VALUE!</v>
      </c>
    </row>
    <row r="209" spans="1:18" x14ac:dyDescent="0.25">
      <c r="A209">
        <v>900091143</v>
      </c>
      <c r="B209" t="s">
        <v>3965</v>
      </c>
      <c r="C209" t="s">
        <v>3462</v>
      </c>
      <c r="E209" t="s">
        <v>3462</v>
      </c>
      <c r="H209" t="s">
        <v>22</v>
      </c>
      <c r="I209">
        <v>1233189234</v>
      </c>
      <c r="J209" t="s">
        <v>4080</v>
      </c>
      <c r="P209" t="s">
        <v>4273</v>
      </c>
      <c r="Q209" s="8">
        <v>9450000</v>
      </c>
      <c r="R209" s="8" t="e">
        <f>SUMIFS([1]REPORTADOS!$D$2:$D$3379,[1]REPORTADOS!$C$2:$C$3379,E209)</f>
        <v>#VALUE!</v>
      </c>
    </row>
    <row r="210" spans="1:18" x14ac:dyDescent="0.25">
      <c r="A210">
        <v>900091143</v>
      </c>
      <c r="B210" t="s">
        <v>3965</v>
      </c>
      <c r="C210" t="s">
        <v>3463</v>
      </c>
      <c r="E210" t="s">
        <v>3463</v>
      </c>
      <c r="H210" t="s">
        <v>22</v>
      </c>
      <c r="I210">
        <v>1085278004</v>
      </c>
      <c r="J210" t="s">
        <v>4081</v>
      </c>
      <c r="P210" t="s">
        <v>4344</v>
      </c>
      <c r="Q210" s="15">
        <v>15750000</v>
      </c>
      <c r="R210" s="8" t="e">
        <f>SUMIFS([1]REPORTADOS!$D$2:$D$3379,[1]REPORTADOS!$C$2:$C$3379,E210)</f>
        <v>#VALUE!</v>
      </c>
    </row>
    <row r="211" spans="1:18" x14ac:dyDescent="0.25">
      <c r="A211">
        <v>900091143</v>
      </c>
      <c r="B211" t="s">
        <v>3965</v>
      </c>
      <c r="C211" t="s">
        <v>3464</v>
      </c>
      <c r="E211" t="s">
        <v>3464</v>
      </c>
      <c r="H211" t="s">
        <v>22</v>
      </c>
      <c r="I211">
        <v>1004213964</v>
      </c>
      <c r="J211" t="s">
        <v>1990</v>
      </c>
      <c r="P211" t="s">
        <v>4345</v>
      </c>
      <c r="Q211" s="15">
        <v>18900000</v>
      </c>
      <c r="R211" s="8" t="e">
        <f>SUMIFS([1]REPORTADOS!$D$2:$D$3379,[1]REPORTADOS!$C$2:$C$3379,E211)</f>
        <v>#VALUE!</v>
      </c>
    </row>
    <row r="212" spans="1:18" x14ac:dyDescent="0.25">
      <c r="A212">
        <v>900091143</v>
      </c>
      <c r="B212" t="s">
        <v>3965</v>
      </c>
      <c r="C212" t="s">
        <v>3465</v>
      </c>
      <c r="E212" t="s">
        <v>3465</v>
      </c>
      <c r="H212" t="s">
        <v>22</v>
      </c>
      <c r="I212">
        <v>37085864</v>
      </c>
      <c r="J212" t="s">
        <v>4082</v>
      </c>
      <c r="P212" t="s">
        <v>4346</v>
      </c>
      <c r="Q212" s="15">
        <v>18900000</v>
      </c>
      <c r="R212" s="8" t="e">
        <f>SUMIFS([1]REPORTADOS!$D$2:$D$3379,[1]REPORTADOS!$C$2:$C$3379,E212)</f>
        <v>#VALUE!</v>
      </c>
    </row>
    <row r="213" spans="1:18" x14ac:dyDescent="0.25">
      <c r="A213">
        <v>900091143</v>
      </c>
      <c r="B213" t="s">
        <v>3965</v>
      </c>
      <c r="C213" t="s">
        <v>3466</v>
      </c>
      <c r="E213" t="s">
        <v>3466</v>
      </c>
      <c r="H213" t="s">
        <v>22</v>
      </c>
      <c r="I213">
        <v>1085253062</v>
      </c>
      <c r="J213" t="s">
        <v>2836</v>
      </c>
      <c r="P213" t="s">
        <v>4333</v>
      </c>
      <c r="Q213" s="15">
        <v>18900000</v>
      </c>
      <c r="R213" s="8" t="e">
        <f>SUMIFS([1]REPORTADOS!$D$2:$D$3379,[1]REPORTADOS!$C$2:$C$3379,E213)</f>
        <v>#VALUE!</v>
      </c>
    </row>
    <row r="214" spans="1:18" x14ac:dyDescent="0.25">
      <c r="A214">
        <v>900091143</v>
      </c>
      <c r="B214" t="s">
        <v>3965</v>
      </c>
      <c r="C214" t="s">
        <v>3467</v>
      </c>
      <c r="E214" t="s">
        <v>3467</v>
      </c>
      <c r="H214" t="s">
        <v>22</v>
      </c>
      <c r="I214">
        <v>1193271485</v>
      </c>
      <c r="J214" t="s">
        <v>4083</v>
      </c>
      <c r="P214" t="s">
        <v>4347</v>
      </c>
      <c r="Q214" s="15">
        <v>18900000</v>
      </c>
      <c r="R214" s="8" t="e">
        <f>SUMIFS([1]REPORTADOS!$D$2:$D$3379,[1]REPORTADOS!$C$2:$C$3379,E214)</f>
        <v>#VALUE!</v>
      </c>
    </row>
    <row r="215" spans="1:18" x14ac:dyDescent="0.25">
      <c r="A215">
        <v>900091143</v>
      </c>
      <c r="B215" t="s">
        <v>3965</v>
      </c>
      <c r="C215" t="s">
        <v>3468</v>
      </c>
      <c r="E215" t="s">
        <v>3468</v>
      </c>
      <c r="H215" t="s">
        <v>22</v>
      </c>
      <c r="I215">
        <v>1086360087</v>
      </c>
      <c r="J215" t="s">
        <v>4084</v>
      </c>
      <c r="P215" t="s">
        <v>4348</v>
      </c>
      <c r="Q215" s="15">
        <v>18900000</v>
      </c>
      <c r="R215" s="8" t="e">
        <f>SUMIFS([1]REPORTADOS!$D$2:$D$3379,[1]REPORTADOS!$C$2:$C$3379,E215)</f>
        <v>#VALUE!</v>
      </c>
    </row>
    <row r="216" spans="1:18" x14ac:dyDescent="0.25">
      <c r="A216">
        <v>900091143</v>
      </c>
      <c r="B216" t="s">
        <v>3965</v>
      </c>
      <c r="C216" t="s">
        <v>3469</v>
      </c>
      <c r="E216" t="s">
        <v>3469</v>
      </c>
      <c r="H216" t="s">
        <v>22</v>
      </c>
      <c r="I216">
        <v>1085248939</v>
      </c>
      <c r="J216" t="s">
        <v>2609</v>
      </c>
      <c r="P216" t="s">
        <v>4349</v>
      </c>
      <c r="Q216" s="15">
        <v>18900000</v>
      </c>
      <c r="R216" s="8" t="e">
        <f>SUMIFS([1]REPORTADOS!$D$2:$D$3379,[1]REPORTADOS!$C$2:$C$3379,E216)</f>
        <v>#VALUE!</v>
      </c>
    </row>
    <row r="217" spans="1:18" x14ac:dyDescent="0.25">
      <c r="A217">
        <v>900091143</v>
      </c>
      <c r="B217" t="s">
        <v>3965</v>
      </c>
      <c r="C217" t="s">
        <v>3470</v>
      </c>
      <c r="E217" t="s">
        <v>3470</v>
      </c>
      <c r="H217" t="s">
        <v>22</v>
      </c>
      <c r="I217">
        <v>1005829176</v>
      </c>
      <c r="J217" t="s">
        <v>4085</v>
      </c>
      <c r="P217" t="s">
        <v>4350</v>
      </c>
      <c r="Q217" s="15">
        <v>18920000</v>
      </c>
      <c r="R217" s="8" t="e">
        <f>SUMIFS([1]REPORTADOS!$D$2:$D$3379,[1]REPORTADOS!$C$2:$C$3379,E217)</f>
        <v>#VALUE!</v>
      </c>
    </row>
    <row r="218" spans="1:18" x14ac:dyDescent="0.25">
      <c r="A218">
        <v>900091143</v>
      </c>
      <c r="B218" t="s">
        <v>3965</v>
      </c>
      <c r="C218" t="s">
        <v>3471</v>
      </c>
      <c r="E218" t="s">
        <v>3471</v>
      </c>
      <c r="H218" t="s">
        <v>22</v>
      </c>
      <c r="I218">
        <v>1086137686</v>
      </c>
      <c r="J218" t="s">
        <v>4086</v>
      </c>
      <c r="P218" t="s">
        <v>4350</v>
      </c>
      <c r="Q218" s="15">
        <v>18920000</v>
      </c>
      <c r="R218" s="8" t="e">
        <f>SUMIFS([1]REPORTADOS!$D$2:$D$3379,[1]REPORTADOS!$C$2:$C$3379,E218)</f>
        <v>#VALUE!</v>
      </c>
    </row>
    <row r="219" spans="1:18" x14ac:dyDescent="0.25">
      <c r="A219">
        <v>900091143</v>
      </c>
      <c r="B219" t="s">
        <v>3965</v>
      </c>
      <c r="C219" t="s">
        <v>3472</v>
      </c>
      <c r="E219" t="s">
        <v>3472</v>
      </c>
      <c r="H219" t="s">
        <v>22</v>
      </c>
      <c r="I219">
        <v>1086360022</v>
      </c>
      <c r="J219" t="s">
        <v>4087</v>
      </c>
      <c r="P219" t="s">
        <v>4350</v>
      </c>
      <c r="Q219" s="15">
        <v>18920000</v>
      </c>
      <c r="R219" s="8" t="e">
        <f>SUMIFS([1]REPORTADOS!$D$2:$D$3379,[1]REPORTADOS!$C$2:$C$3379,E219)</f>
        <v>#VALUE!</v>
      </c>
    </row>
    <row r="220" spans="1:18" x14ac:dyDescent="0.25">
      <c r="A220">
        <v>900091143</v>
      </c>
      <c r="B220" t="s">
        <v>3965</v>
      </c>
      <c r="C220" t="s">
        <v>3473</v>
      </c>
      <c r="E220" t="s">
        <v>3473</v>
      </c>
      <c r="H220" t="s">
        <v>22</v>
      </c>
      <c r="I220">
        <v>1087960287</v>
      </c>
      <c r="J220" t="s">
        <v>4088</v>
      </c>
      <c r="P220" t="s">
        <v>4350</v>
      </c>
      <c r="Q220" s="15">
        <v>18920000</v>
      </c>
      <c r="R220" s="8" t="e">
        <f>SUMIFS([1]REPORTADOS!$D$2:$D$3379,[1]REPORTADOS!$C$2:$C$3379,E220)</f>
        <v>#VALUE!</v>
      </c>
    </row>
    <row r="221" spans="1:18" x14ac:dyDescent="0.25">
      <c r="A221">
        <v>900091143</v>
      </c>
      <c r="B221" t="s">
        <v>3965</v>
      </c>
      <c r="C221" t="s">
        <v>3474</v>
      </c>
      <c r="E221" t="s">
        <v>3474</v>
      </c>
      <c r="H221" t="s">
        <v>22</v>
      </c>
      <c r="I221">
        <v>36756149</v>
      </c>
      <c r="J221" t="s">
        <v>4089</v>
      </c>
      <c r="P221" t="s">
        <v>4350</v>
      </c>
      <c r="Q221" s="15">
        <v>18920000</v>
      </c>
      <c r="R221" s="8" t="e">
        <f>SUMIFS([1]REPORTADOS!$D$2:$D$3379,[1]REPORTADOS!$C$2:$C$3379,E221)</f>
        <v>#VALUE!</v>
      </c>
    </row>
    <row r="222" spans="1:18" x14ac:dyDescent="0.25">
      <c r="A222">
        <v>900091143</v>
      </c>
      <c r="B222" t="s">
        <v>3965</v>
      </c>
      <c r="C222" t="s">
        <v>3475</v>
      </c>
      <c r="E222" t="s">
        <v>3475</v>
      </c>
      <c r="H222" t="s">
        <v>22</v>
      </c>
      <c r="I222">
        <v>36950073</v>
      </c>
      <c r="J222" t="s">
        <v>2482</v>
      </c>
      <c r="P222" t="s">
        <v>4350</v>
      </c>
      <c r="Q222" s="15">
        <v>18920000</v>
      </c>
      <c r="R222" s="8" t="e">
        <f>SUMIFS([1]REPORTADOS!$D$2:$D$3379,[1]REPORTADOS!$C$2:$C$3379,E222)</f>
        <v>#VALUE!</v>
      </c>
    </row>
    <row r="223" spans="1:18" x14ac:dyDescent="0.25">
      <c r="A223">
        <v>900091143</v>
      </c>
      <c r="B223" t="s">
        <v>3965</v>
      </c>
      <c r="C223" t="s">
        <v>3476</v>
      </c>
      <c r="E223" t="s">
        <v>3476</v>
      </c>
      <c r="H223" t="s">
        <v>22</v>
      </c>
      <c r="I223">
        <v>1085343783</v>
      </c>
      <c r="J223" t="s">
        <v>1648</v>
      </c>
      <c r="P223" t="s">
        <v>4351</v>
      </c>
      <c r="Q223" s="15">
        <v>18920000</v>
      </c>
      <c r="R223" s="8" t="e">
        <f>SUMIFS([1]REPORTADOS!$D$2:$D$3379,[1]REPORTADOS!$C$2:$C$3379,E223)</f>
        <v>#VALUE!</v>
      </c>
    </row>
    <row r="224" spans="1:18" x14ac:dyDescent="0.25">
      <c r="A224">
        <v>900091143</v>
      </c>
      <c r="B224" t="s">
        <v>3965</v>
      </c>
      <c r="C224" t="s">
        <v>3477</v>
      </c>
      <c r="E224" t="s">
        <v>3477</v>
      </c>
      <c r="H224" t="s">
        <v>22</v>
      </c>
      <c r="I224">
        <v>1085318201</v>
      </c>
      <c r="J224" t="s">
        <v>2189</v>
      </c>
      <c r="P224" t="s">
        <v>4322</v>
      </c>
      <c r="Q224" s="15">
        <v>18920000</v>
      </c>
      <c r="R224" s="8" t="e">
        <f>SUMIFS([1]REPORTADOS!$D$2:$D$3379,[1]REPORTADOS!$C$2:$C$3379,E224)</f>
        <v>#VALUE!</v>
      </c>
    </row>
    <row r="225" spans="1:18" x14ac:dyDescent="0.25">
      <c r="A225">
        <v>900091143</v>
      </c>
      <c r="B225" t="s">
        <v>3965</v>
      </c>
      <c r="C225" t="s">
        <v>3478</v>
      </c>
      <c r="E225" t="s">
        <v>3478</v>
      </c>
      <c r="H225" t="s">
        <v>22</v>
      </c>
      <c r="I225">
        <v>1085318684</v>
      </c>
      <c r="J225" t="s">
        <v>2138</v>
      </c>
      <c r="P225" t="s">
        <v>4322</v>
      </c>
      <c r="Q225" s="15">
        <v>18920000</v>
      </c>
      <c r="R225" s="8" t="e">
        <f>SUMIFS([1]REPORTADOS!$D$2:$D$3379,[1]REPORTADOS!$C$2:$C$3379,E225)</f>
        <v>#VALUE!</v>
      </c>
    </row>
    <row r="226" spans="1:18" x14ac:dyDescent="0.25">
      <c r="A226">
        <v>900091143</v>
      </c>
      <c r="B226" t="s">
        <v>3965</v>
      </c>
      <c r="C226" t="s">
        <v>3479</v>
      </c>
      <c r="E226" t="s">
        <v>3479</v>
      </c>
      <c r="H226" t="s">
        <v>22</v>
      </c>
      <c r="I226">
        <v>27087475</v>
      </c>
      <c r="J226" t="s">
        <v>1813</v>
      </c>
      <c r="P226" t="s">
        <v>4352</v>
      </c>
      <c r="Q226" s="15">
        <v>18920000</v>
      </c>
      <c r="R226" s="8" t="e">
        <f>SUMIFS([1]REPORTADOS!$D$2:$D$3379,[1]REPORTADOS!$C$2:$C$3379,E226)</f>
        <v>#VALUE!</v>
      </c>
    </row>
    <row r="227" spans="1:18" x14ac:dyDescent="0.25">
      <c r="A227">
        <v>900091143</v>
      </c>
      <c r="B227" t="s">
        <v>3965</v>
      </c>
      <c r="C227" t="s">
        <v>3480</v>
      </c>
      <c r="E227" t="s">
        <v>3480</v>
      </c>
      <c r="H227" t="s">
        <v>22</v>
      </c>
      <c r="I227">
        <v>1085264667</v>
      </c>
      <c r="J227" t="s">
        <v>4090</v>
      </c>
      <c r="P227" t="s">
        <v>4334</v>
      </c>
      <c r="Q227" s="15">
        <v>18920000</v>
      </c>
      <c r="R227" s="8" t="e">
        <f>SUMIFS([1]REPORTADOS!$D$2:$D$3379,[1]REPORTADOS!$C$2:$C$3379,E227)</f>
        <v>#VALUE!</v>
      </c>
    </row>
    <row r="228" spans="1:18" x14ac:dyDescent="0.25">
      <c r="A228">
        <v>900091143</v>
      </c>
      <c r="B228" t="s">
        <v>3965</v>
      </c>
      <c r="C228" t="s">
        <v>3481</v>
      </c>
      <c r="E228" t="s">
        <v>3481</v>
      </c>
      <c r="H228" t="s">
        <v>22</v>
      </c>
      <c r="I228">
        <v>1193424771</v>
      </c>
      <c r="J228" t="s">
        <v>4091</v>
      </c>
      <c r="P228" t="s">
        <v>4353</v>
      </c>
      <c r="Q228" s="15">
        <v>18920000</v>
      </c>
      <c r="R228" s="8" t="e">
        <f>SUMIFS([1]REPORTADOS!$D$2:$D$3379,[1]REPORTADOS!$C$2:$C$3379,E228)</f>
        <v>#VALUE!</v>
      </c>
    </row>
    <row r="229" spans="1:18" x14ac:dyDescent="0.25">
      <c r="A229">
        <v>900091143</v>
      </c>
      <c r="B229" t="s">
        <v>3965</v>
      </c>
      <c r="C229" t="s">
        <v>3482</v>
      </c>
      <c r="E229" t="s">
        <v>3482</v>
      </c>
      <c r="H229" t="s">
        <v>22</v>
      </c>
      <c r="I229">
        <v>59651018</v>
      </c>
      <c r="J229" t="s">
        <v>4092</v>
      </c>
      <c r="P229" t="s">
        <v>4338</v>
      </c>
      <c r="Q229" s="15">
        <v>18920000</v>
      </c>
      <c r="R229" s="8" t="e">
        <f>SUMIFS([1]REPORTADOS!$D$2:$D$3379,[1]REPORTADOS!$C$2:$C$3379,E229)</f>
        <v>#VALUE!</v>
      </c>
    </row>
    <row r="230" spans="1:18" x14ac:dyDescent="0.25">
      <c r="A230">
        <v>900091143</v>
      </c>
      <c r="B230" t="s">
        <v>3965</v>
      </c>
      <c r="C230" t="s">
        <v>3483</v>
      </c>
      <c r="E230" t="s">
        <v>3483</v>
      </c>
      <c r="H230" t="s">
        <v>22</v>
      </c>
      <c r="I230">
        <v>1087414586</v>
      </c>
      <c r="J230" t="s">
        <v>4093</v>
      </c>
      <c r="P230" t="s">
        <v>4354</v>
      </c>
      <c r="Q230" s="15">
        <v>18920000</v>
      </c>
      <c r="R230" s="8" t="e">
        <f>SUMIFS([1]REPORTADOS!$D$2:$D$3379,[1]REPORTADOS!$C$2:$C$3379,E230)</f>
        <v>#VALUE!</v>
      </c>
    </row>
    <row r="231" spans="1:18" x14ac:dyDescent="0.25">
      <c r="A231">
        <v>900091143</v>
      </c>
      <c r="B231" t="s">
        <v>3965</v>
      </c>
      <c r="C231" t="s">
        <v>3484</v>
      </c>
      <c r="E231" t="s">
        <v>3484</v>
      </c>
      <c r="H231" t="s">
        <v>22</v>
      </c>
      <c r="I231">
        <v>1085263018</v>
      </c>
      <c r="J231" t="s">
        <v>2128</v>
      </c>
      <c r="P231" t="s">
        <v>4354</v>
      </c>
      <c r="Q231" s="15">
        <v>18920000</v>
      </c>
      <c r="R231" s="8" t="e">
        <f>SUMIFS([1]REPORTADOS!$D$2:$D$3379,[1]REPORTADOS!$C$2:$C$3379,E231)</f>
        <v>#VALUE!</v>
      </c>
    </row>
    <row r="232" spans="1:18" x14ac:dyDescent="0.25">
      <c r="A232">
        <v>900091143</v>
      </c>
      <c r="B232" t="s">
        <v>3965</v>
      </c>
      <c r="C232" t="s">
        <v>3485</v>
      </c>
      <c r="E232" t="s">
        <v>3485</v>
      </c>
      <c r="H232" t="s">
        <v>22</v>
      </c>
      <c r="I232">
        <v>36757491</v>
      </c>
      <c r="J232" t="s">
        <v>4094</v>
      </c>
      <c r="P232" t="s">
        <v>4354</v>
      </c>
      <c r="Q232" s="15">
        <v>18920000</v>
      </c>
      <c r="R232" s="8" t="e">
        <f>SUMIFS([1]REPORTADOS!$D$2:$D$3379,[1]REPORTADOS!$C$2:$C$3379,E232)</f>
        <v>#VALUE!</v>
      </c>
    </row>
    <row r="233" spans="1:18" x14ac:dyDescent="0.25">
      <c r="A233">
        <v>900091143</v>
      </c>
      <c r="B233" t="s">
        <v>3965</v>
      </c>
      <c r="C233" t="s">
        <v>3486</v>
      </c>
      <c r="E233" t="s">
        <v>3486</v>
      </c>
      <c r="H233" t="s">
        <v>22</v>
      </c>
      <c r="I233">
        <v>1085260497</v>
      </c>
      <c r="J233" t="s">
        <v>2121</v>
      </c>
      <c r="P233" t="s">
        <v>4354</v>
      </c>
      <c r="Q233" s="15">
        <v>18920000</v>
      </c>
      <c r="R233" s="8" t="e">
        <f>SUMIFS([1]REPORTADOS!$D$2:$D$3379,[1]REPORTADOS!$C$2:$C$3379,E233)</f>
        <v>#VALUE!</v>
      </c>
    </row>
    <row r="234" spans="1:18" x14ac:dyDescent="0.25">
      <c r="A234">
        <v>900091143</v>
      </c>
      <c r="B234" t="s">
        <v>3965</v>
      </c>
      <c r="C234" t="s">
        <v>3487</v>
      </c>
      <c r="E234" t="s">
        <v>3487</v>
      </c>
      <c r="H234" t="s">
        <v>22</v>
      </c>
      <c r="I234">
        <v>1082749648</v>
      </c>
      <c r="J234" t="s">
        <v>4095</v>
      </c>
      <c r="P234" t="s">
        <v>4354</v>
      </c>
      <c r="Q234" s="15">
        <v>18920000</v>
      </c>
      <c r="R234" s="8" t="e">
        <f>SUMIFS([1]REPORTADOS!$D$2:$D$3379,[1]REPORTADOS!$C$2:$C$3379,E234)</f>
        <v>#VALUE!</v>
      </c>
    </row>
    <row r="235" spans="1:18" x14ac:dyDescent="0.25">
      <c r="A235">
        <v>900091143</v>
      </c>
      <c r="B235" t="s">
        <v>3965</v>
      </c>
      <c r="C235" t="s">
        <v>3488</v>
      </c>
      <c r="E235" t="s">
        <v>3488</v>
      </c>
      <c r="H235" t="s">
        <v>22</v>
      </c>
      <c r="I235">
        <v>36759759</v>
      </c>
      <c r="J235" t="s">
        <v>1708</v>
      </c>
      <c r="P235" t="s">
        <v>4354</v>
      </c>
      <c r="Q235" s="15">
        <v>18920000</v>
      </c>
      <c r="R235" s="8" t="e">
        <f>SUMIFS([1]REPORTADOS!$D$2:$D$3379,[1]REPORTADOS!$C$2:$C$3379,E235)</f>
        <v>#VALUE!</v>
      </c>
    </row>
    <row r="236" spans="1:18" x14ac:dyDescent="0.25">
      <c r="A236">
        <v>900091143</v>
      </c>
      <c r="B236" t="s">
        <v>3965</v>
      </c>
      <c r="C236" t="s">
        <v>3489</v>
      </c>
      <c r="E236" t="s">
        <v>3489</v>
      </c>
      <c r="H236" t="s">
        <v>22</v>
      </c>
      <c r="I236">
        <v>1084227101</v>
      </c>
      <c r="J236" t="s">
        <v>4096</v>
      </c>
      <c r="P236" t="s">
        <v>4355</v>
      </c>
      <c r="Q236" s="15">
        <v>18920000</v>
      </c>
      <c r="R236" s="8" t="e">
        <f>SUMIFS([1]REPORTADOS!$D$2:$D$3379,[1]REPORTADOS!$C$2:$C$3379,E236)</f>
        <v>#VALUE!</v>
      </c>
    </row>
    <row r="237" spans="1:18" x14ac:dyDescent="0.25">
      <c r="A237">
        <v>900091143</v>
      </c>
      <c r="B237" t="s">
        <v>3965</v>
      </c>
      <c r="C237" t="s">
        <v>3490</v>
      </c>
      <c r="E237" t="s">
        <v>3490</v>
      </c>
      <c r="H237" t="s">
        <v>22</v>
      </c>
      <c r="I237">
        <v>59824313</v>
      </c>
      <c r="J237" t="s">
        <v>2096</v>
      </c>
      <c r="P237" t="s">
        <v>4356</v>
      </c>
      <c r="Q237" s="15">
        <v>18920000</v>
      </c>
      <c r="R237" s="8" t="e">
        <f>SUMIFS([1]REPORTADOS!$D$2:$D$3379,[1]REPORTADOS!$C$2:$C$3379,E237)</f>
        <v>#VALUE!</v>
      </c>
    </row>
    <row r="238" spans="1:18" x14ac:dyDescent="0.25">
      <c r="A238">
        <v>900091143</v>
      </c>
      <c r="B238" t="s">
        <v>3965</v>
      </c>
      <c r="C238" t="s">
        <v>3491</v>
      </c>
      <c r="E238" t="s">
        <v>3491</v>
      </c>
      <c r="H238" t="s">
        <v>22</v>
      </c>
      <c r="I238">
        <v>5930737</v>
      </c>
      <c r="J238" t="s">
        <v>2536</v>
      </c>
      <c r="P238" t="s">
        <v>4273</v>
      </c>
      <c r="Q238" s="8">
        <v>9450000</v>
      </c>
      <c r="R238" s="8" t="e">
        <f>SUMIFS([1]REPORTADOS!$D$2:$D$3379,[1]REPORTADOS!$C$2:$C$3379,E238)</f>
        <v>#VALUE!</v>
      </c>
    </row>
    <row r="239" spans="1:18" x14ac:dyDescent="0.25">
      <c r="A239">
        <v>900091143</v>
      </c>
      <c r="B239" t="s">
        <v>3965</v>
      </c>
      <c r="C239" t="s">
        <v>3492</v>
      </c>
      <c r="E239" t="s">
        <v>3492</v>
      </c>
      <c r="H239" t="s">
        <v>22</v>
      </c>
      <c r="I239">
        <v>1085330309</v>
      </c>
      <c r="J239" t="s">
        <v>1636</v>
      </c>
      <c r="P239" t="s">
        <v>4357</v>
      </c>
      <c r="Q239" s="15">
        <v>18920000</v>
      </c>
      <c r="R239" s="8" t="e">
        <f>SUMIFS([1]REPORTADOS!$D$2:$D$3379,[1]REPORTADOS!$C$2:$C$3379,E239)</f>
        <v>#VALUE!</v>
      </c>
    </row>
    <row r="240" spans="1:18" x14ac:dyDescent="0.25">
      <c r="A240">
        <v>900091143</v>
      </c>
      <c r="B240" t="s">
        <v>3965</v>
      </c>
      <c r="C240" t="s">
        <v>3493</v>
      </c>
      <c r="E240" t="s">
        <v>3493</v>
      </c>
      <c r="H240" t="s">
        <v>22</v>
      </c>
      <c r="I240">
        <v>1087413951</v>
      </c>
      <c r="J240" t="s">
        <v>2123</v>
      </c>
      <c r="P240" t="s">
        <v>4358</v>
      </c>
      <c r="Q240" s="15">
        <v>18920000</v>
      </c>
      <c r="R240" s="8" t="e">
        <f>SUMIFS([1]REPORTADOS!$D$2:$D$3379,[1]REPORTADOS!$C$2:$C$3379,E240)</f>
        <v>#VALUE!</v>
      </c>
    </row>
    <row r="241" spans="1:18" x14ac:dyDescent="0.25">
      <c r="A241">
        <v>900091143</v>
      </c>
      <c r="B241" t="s">
        <v>3965</v>
      </c>
      <c r="C241" t="s">
        <v>3494</v>
      </c>
      <c r="E241" t="s">
        <v>3494</v>
      </c>
      <c r="H241" t="s">
        <v>22</v>
      </c>
      <c r="I241">
        <v>1085340885</v>
      </c>
      <c r="J241" t="s">
        <v>4097</v>
      </c>
      <c r="P241" t="s">
        <v>4359</v>
      </c>
      <c r="Q241" s="15">
        <v>18920000</v>
      </c>
      <c r="R241" s="8" t="e">
        <f>SUMIFS([1]REPORTADOS!$D$2:$D$3379,[1]REPORTADOS!$C$2:$C$3379,E241)</f>
        <v>#VALUE!</v>
      </c>
    </row>
    <row r="242" spans="1:18" x14ac:dyDescent="0.25">
      <c r="A242">
        <v>900091143</v>
      </c>
      <c r="B242" t="s">
        <v>3965</v>
      </c>
      <c r="C242" t="s">
        <v>3495</v>
      </c>
      <c r="E242" t="s">
        <v>3495</v>
      </c>
      <c r="H242" t="s">
        <v>22</v>
      </c>
      <c r="I242">
        <v>1193383306</v>
      </c>
      <c r="J242" t="s">
        <v>2230</v>
      </c>
      <c r="P242" t="s">
        <v>4360</v>
      </c>
      <c r="Q242" s="15">
        <v>18920000</v>
      </c>
      <c r="R242" s="8" t="e">
        <f>SUMIFS([1]REPORTADOS!$D$2:$D$3379,[1]REPORTADOS!$C$2:$C$3379,E242)</f>
        <v>#VALUE!</v>
      </c>
    </row>
    <row r="243" spans="1:18" x14ac:dyDescent="0.25">
      <c r="A243">
        <v>900091143</v>
      </c>
      <c r="B243" t="s">
        <v>3965</v>
      </c>
      <c r="C243" t="s">
        <v>3496</v>
      </c>
      <c r="E243" t="s">
        <v>3496</v>
      </c>
      <c r="H243" t="s">
        <v>22</v>
      </c>
      <c r="I243">
        <v>1061794455</v>
      </c>
      <c r="J243" t="s">
        <v>4098</v>
      </c>
      <c r="P243" t="s">
        <v>4361</v>
      </c>
      <c r="Q243" s="15">
        <v>19500000</v>
      </c>
      <c r="R243" s="8" t="e">
        <f>SUMIFS([1]REPORTADOS!$D$2:$D$3379,[1]REPORTADOS!$C$2:$C$3379,E243)</f>
        <v>#VALUE!</v>
      </c>
    </row>
    <row r="244" spans="1:18" x14ac:dyDescent="0.25">
      <c r="A244">
        <v>900091143</v>
      </c>
      <c r="B244" t="s">
        <v>3965</v>
      </c>
      <c r="C244" t="s">
        <v>3497</v>
      </c>
      <c r="E244" t="s">
        <v>3497</v>
      </c>
      <c r="H244" t="s">
        <v>22</v>
      </c>
      <c r="I244">
        <v>98398376</v>
      </c>
      <c r="J244" t="s">
        <v>4099</v>
      </c>
      <c r="P244" t="s">
        <v>4362</v>
      </c>
      <c r="Q244" s="15">
        <v>19500000</v>
      </c>
      <c r="R244" s="8" t="e">
        <f>SUMIFS([1]REPORTADOS!$D$2:$D$3379,[1]REPORTADOS!$C$2:$C$3379,E244)</f>
        <v>#VALUE!</v>
      </c>
    </row>
    <row r="245" spans="1:18" x14ac:dyDescent="0.25">
      <c r="A245">
        <v>900091143</v>
      </c>
      <c r="B245" t="s">
        <v>3965</v>
      </c>
      <c r="C245" t="s">
        <v>3498</v>
      </c>
      <c r="E245" t="s">
        <v>3498</v>
      </c>
      <c r="H245" t="s">
        <v>22</v>
      </c>
      <c r="I245">
        <v>87065647</v>
      </c>
      <c r="J245" t="s">
        <v>2134</v>
      </c>
      <c r="P245" t="s">
        <v>4363</v>
      </c>
      <c r="Q245" s="15">
        <v>19500000</v>
      </c>
      <c r="R245" s="8" t="e">
        <f>SUMIFS([1]REPORTADOS!$D$2:$D$3379,[1]REPORTADOS!$C$2:$C$3379,E245)</f>
        <v>#VALUE!</v>
      </c>
    </row>
    <row r="246" spans="1:18" x14ac:dyDescent="0.25">
      <c r="A246">
        <v>900091143</v>
      </c>
      <c r="B246" t="s">
        <v>3965</v>
      </c>
      <c r="C246" t="s">
        <v>3499</v>
      </c>
      <c r="E246" t="s">
        <v>3499</v>
      </c>
      <c r="H246" t="s">
        <v>22</v>
      </c>
      <c r="I246">
        <v>27456421</v>
      </c>
      <c r="J246" t="s">
        <v>4100</v>
      </c>
      <c r="P246" t="s">
        <v>4344</v>
      </c>
      <c r="Q246" s="15">
        <v>22050000</v>
      </c>
      <c r="R246" s="8" t="e">
        <f>SUMIFS([1]REPORTADOS!$D$2:$D$3379,[1]REPORTADOS!$C$2:$C$3379,E246)</f>
        <v>#VALUE!</v>
      </c>
    </row>
    <row r="247" spans="1:18" x14ac:dyDescent="0.25">
      <c r="A247">
        <v>900091143</v>
      </c>
      <c r="B247" t="s">
        <v>3965</v>
      </c>
      <c r="C247" t="s">
        <v>3500</v>
      </c>
      <c r="E247" t="s">
        <v>3500</v>
      </c>
      <c r="H247" t="s">
        <v>22</v>
      </c>
      <c r="I247">
        <v>59314458</v>
      </c>
      <c r="J247" t="s">
        <v>1705</v>
      </c>
      <c r="P247" t="s">
        <v>4364</v>
      </c>
      <c r="Q247" s="15">
        <v>22050000</v>
      </c>
      <c r="R247" s="8" t="e">
        <f>SUMIFS([1]REPORTADOS!$D$2:$D$3379,[1]REPORTADOS!$C$2:$C$3379,E247)</f>
        <v>#VALUE!</v>
      </c>
    </row>
    <row r="248" spans="1:18" x14ac:dyDescent="0.25">
      <c r="A248">
        <v>900091143</v>
      </c>
      <c r="B248" t="s">
        <v>3965</v>
      </c>
      <c r="C248" t="s">
        <v>3501</v>
      </c>
      <c r="E248" t="s">
        <v>3501</v>
      </c>
      <c r="H248" t="s">
        <v>22</v>
      </c>
      <c r="I248">
        <v>1193383314</v>
      </c>
      <c r="J248" t="s">
        <v>4101</v>
      </c>
      <c r="P248" t="s">
        <v>4365</v>
      </c>
      <c r="Q248" s="15">
        <v>22050000</v>
      </c>
      <c r="R248" s="8" t="e">
        <f>SUMIFS([1]REPORTADOS!$D$2:$D$3379,[1]REPORTADOS!$C$2:$C$3379,E248)</f>
        <v>#VALUE!</v>
      </c>
    </row>
    <row r="249" spans="1:18" x14ac:dyDescent="0.25">
      <c r="A249">
        <v>900091143</v>
      </c>
      <c r="B249" t="s">
        <v>3965</v>
      </c>
      <c r="C249" t="s">
        <v>3502</v>
      </c>
      <c r="E249" t="s">
        <v>3502</v>
      </c>
      <c r="H249" t="s">
        <v>22</v>
      </c>
      <c r="I249">
        <v>59837608</v>
      </c>
      <c r="J249" t="s">
        <v>1810</v>
      </c>
      <c r="P249" t="s">
        <v>4366</v>
      </c>
      <c r="Q249" s="15">
        <v>22050000</v>
      </c>
      <c r="R249" s="8" t="e">
        <f>SUMIFS([1]REPORTADOS!$D$2:$D$3379,[1]REPORTADOS!$C$2:$C$3379,E249)</f>
        <v>#VALUE!</v>
      </c>
    </row>
    <row r="250" spans="1:18" x14ac:dyDescent="0.25">
      <c r="A250">
        <v>900091143</v>
      </c>
      <c r="B250" t="s">
        <v>3965</v>
      </c>
      <c r="C250" t="s">
        <v>3503</v>
      </c>
      <c r="E250" t="s">
        <v>3503</v>
      </c>
      <c r="H250" t="s">
        <v>22</v>
      </c>
      <c r="I250">
        <v>1004564013</v>
      </c>
      <c r="J250" t="s">
        <v>4102</v>
      </c>
      <c r="P250" t="s">
        <v>4367</v>
      </c>
      <c r="Q250" s="15">
        <v>22050000</v>
      </c>
      <c r="R250" s="8" t="e">
        <f>SUMIFS([1]REPORTADOS!$D$2:$D$3379,[1]REPORTADOS!$C$2:$C$3379,E250)</f>
        <v>#VALUE!</v>
      </c>
    </row>
    <row r="251" spans="1:18" x14ac:dyDescent="0.25">
      <c r="A251">
        <v>900091143</v>
      </c>
      <c r="B251" t="s">
        <v>3965</v>
      </c>
      <c r="C251" t="s">
        <v>3504</v>
      </c>
      <c r="E251" t="s">
        <v>3504</v>
      </c>
      <c r="H251" t="s">
        <v>22</v>
      </c>
      <c r="I251">
        <v>1085275879</v>
      </c>
      <c r="J251" t="s">
        <v>1906</v>
      </c>
      <c r="P251" t="s">
        <v>4368</v>
      </c>
      <c r="Q251" s="15">
        <v>22050000</v>
      </c>
      <c r="R251" s="8" t="e">
        <f>SUMIFS([1]REPORTADOS!$D$2:$D$3379,[1]REPORTADOS!$C$2:$C$3379,E251)</f>
        <v>#VALUE!</v>
      </c>
    </row>
    <row r="252" spans="1:18" x14ac:dyDescent="0.25">
      <c r="A252">
        <v>900091143</v>
      </c>
      <c r="B252" t="s">
        <v>3965</v>
      </c>
      <c r="C252" t="s">
        <v>3505</v>
      </c>
      <c r="E252" t="s">
        <v>3505</v>
      </c>
      <c r="H252" t="s">
        <v>22</v>
      </c>
      <c r="I252">
        <v>1123327071</v>
      </c>
      <c r="J252" t="s">
        <v>4103</v>
      </c>
      <c r="P252" t="s">
        <v>4340</v>
      </c>
      <c r="Q252" s="15">
        <v>23400000</v>
      </c>
      <c r="R252" s="8" t="e">
        <f>SUMIFS([1]REPORTADOS!$D$2:$D$3379,[1]REPORTADOS!$C$2:$C$3379,E252)</f>
        <v>#VALUE!</v>
      </c>
    </row>
    <row r="253" spans="1:18" x14ac:dyDescent="0.25">
      <c r="A253">
        <v>900091143</v>
      </c>
      <c r="B253" t="s">
        <v>3965</v>
      </c>
      <c r="C253" t="s">
        <v>3506</v>
      </c>
      <c r="E253" t="s">
        <v>3506</v>
      </c>
      <c r="H253" t="s">
        <v>22</v>
      </c>
      <c r="I253">
        <v>12961407</v>
      </c>
      <c r="J253" t="s">
        <v>2110</v>
      </c>
      <c r="P253" t="s">
        <v>4369</v>
      </c>
      <c r="Q253" s="15">
        <v>23400000</v>
      </c>
      <c r="R253" s="8" t="e">
        <f>SUMIFS([1]REPORTADOS!$D$2:$D$3379,[1]REPORTADOS!$C$2:$C$3379,E253)</f>
        <v>#VALUE!</v>
      </c>
    </row>
    <row r="254" spans="1:18" x14ac:dyDescent="0.25">
      <c r="A254">
        <v>900091143</v>
      </c>
      <c r="B254" t="s">
        <v>3965</v>
      </c>
      <c r="C254" t="s">
        <v>3507</v>
      </c>
      <c r="E254" t="s">
        <v>3507</v>
      </c>
      <c r="H254" t="s">
        <v>22</v>
      </c>
      <c r="I254">
        <v>59313415</v>
      </c>
      <c r="J254" t="s">
        <v>4104</v>
      </c>
      <c r="P254" t="s">
        <v>4370</v>
      </c>
      <c r="Q254" s="15">
        <v>23400000</v>
      </c>
      <c r="R254" s="8" t="e">
        <f>SUMIFS([1]REPORTADOS!$D$2:$D$3379,[1]REPORTADOS!$C$2:$C$3379,E254)</f>
        <v>#VALUE!</v>
      </c>
    </row>
    <row r="255" spans="1:18" x14ac:dyDescent="0.25">
      <c r="A255">
        <v>900091143</v>
      </c>
      <c r="B255" t="s">
        <v>3965</v>
      </c>
      <c r="C255" t="s">
        <v>3508</v>
      </c>
      <c r="E255" t="s">
        <v>3508</v>
      </c>
      <c r="H255" t="s">
        <v>22</v>
      </c>
      <c r="I255">
        <v>59825948</v>
      </c>
      <c r="J255" t="s">
        <v>1756</v>
      </c>
      <c r="P255" t="s">
        <v>4327</v>
      </c>
      <c r="Q255" s="15">
        <v>25200000</v>
      </c>
      <c r="R255" s="8" t="e">
        <f>SUMIFS([1]REPORTADOS!$D$2:$D$3379,[1]REPORTADOS!$C$2:$C$3379,E255)</f>
        <v>#VALUE!</v>
      </c>
    </row>
    <row r="256" spans="1:18" x14ac:dyDescent="0.25">
      <c r="A256">
        <v>900091143</v>
      </c>
      <c r="B256" t="s">
        <v>3965</v>
      </c>
      <c r="C256" t="s">
        <v>3509</v>
      </c>
      <c r="E256" t="s">
        <v>3509</v>
      </c>
      <c r="H256" t="s">
        <v>22</v>
      </c>
      <c r="I256">
        <v>1085347312</v>
      </c>
      <c r="J256" t="s">
        <v>4105</v>
      </c>
      <c r="P256" t="s">
        <v>4327</v>
      </c>
      <c r="Q256" s="15">
        <v>25200000</v>
      </c>
      <c r="R256" s="8" t="e">
        <f>SUMIFS([1]REPORTADOS!$D$2:$D$3379,[1]REPORTADOS!$C$2:$C$3379,E256)</f>
        <v>#VALUE!</v>
      </c>
    </row>
    <row r="257" spans="1:18" x14ac:dyDescent="0.25">
      <c r="A257">
        <v>900091143</v>
      </c>
      <c r="B257" t="s">
        <v>3965</v>
      </c>
      <c r="C257" t="s">
        <v>3510</v>
      </c>
      <c r="E257" t="s">
        <v>3510</v>
      </c>
      <c r="H257" t="s">
        <v>22</v>
      </c>
      <c r="I257">
        <v>1084551863</v>
      </c>
      <c r="J257" t="s">
        <v>4106</v>
      </c>
      <c r="P257" t="s">
        <v>4327</v>
      </c>
      <c r="Q257" s="15">
        <v>25200000</v>
      </c>
      <c r="R257" s="8" t="e">
        <f>SUMIFS([1]REPORTADOS!$D$2:$D$3379,[1]REPORTADOS!$C$2:$C$3379,E257)</f>
        <v>#VALUE!</v>
      </c>
    </row>
    <row r="258" spans="1:18" x14ac:dyDescent="0.25">
      <c r="A258">
        <v>900091143</v>
      </c>
      <c r="B258" t="s">
        <v>3965</v>
      </c>
      <c r="C258" t="s">
        <v>3511</v>
      </c>
      <c r="E258" t="s">
        <v>3511</v>
      </c>
      <c r="H258" t="s">
        <v>22</v>
      </c>
      <c r="I258">
        <v>97470681</v>
      </c>
      <c r="J258" t="s">
        <v>1883</v>
      </c>
      <c r="P258" t="s">
        <v>4327</v>
      </c>
      <c r="Q258" s="15">
        <v>25200000</v>
      </c>
      <c r="R258" s="8" t="e">
        <f>SUMIFS([1]REPORTADOS!$D$2:$D$3379,[1]REPORTADOS!$C$2:$C$3379,E258)</f>
        <v>#VALUE!</v>
      </c>
    </row>
    <row r="259" spans="1:18" x14ac:dyDescent="0.25">
      <c r="A259">
        <v>900091143</v>
      </c>
      <c r="B259" t="s">
        <v>3965</v>
      </c>
      <c r="C259" t="s">
        <v>3512</v>
      </c>
      <c r="E259" t="s">
        <v>3512</v>
      </c>
      <c r="H259" t="s">
        <v>22</v>
      </c>
      <c r="I259">
        <v>1082748420</v>
      </c>
      <c r="J259" t="s">
        <v>1948</v>
      </c>
      <c r="P259" t="s">
        <v>4327</v>
      </c>
      <c r="Q259" s="15">
        <v>25200000</v>
      </c>
      <c r="R259" s="8" t="e">
        <f>SUMIFS([1]REPORTADOS!$D$2:$D$3379,[1]REPORTADOS!$C$2:$C$3379,E259)</f>
        <v>#VALUE!</v>
      </c>
    </row>
    <row r="260" spans="1:18" x14ac:dyDescent="0.25">
      <c r="A260">
        <v>900091143</v>
      </c>
      <c r="B260" t="s">
        <v>3965</v>
      </c>
      <c r="C260" t="s">
        <v>3513</v>
      </c>
      <c r="E260" t="s">
        <v>3513</v>
      </c>
      <c r="H260" t="s">
        <v>22</v>
      </c>
      <c r="I260">
        <v>59310291</v>
      </c>
      <c r="J260" t="s">
        <v>4107</v>
      </c>
      <c r="P260" t="s">
        <v>4327</v>
      </c>
      <c r="Q260" s="15">
        <v>25200000</v>
      </c>
      <c r="R260" s="8" t="e">
        <f>SUMIFS([1]REPORTADOS!$D$2:$D$3379,[1]REPORTADOS!$C$2:$C$3379,E260)</f>
        <v>#VALUE!</v>
      </c>
    </row>
    <row r="261" spans="1:18" x14ac:dyDescent="0.25">
      <c r="A261">
        <v>900091143</v>
      </c>
      <c r="B261" t="s">
        <v>3965</v>
      </c>
      <c r="C261" t="s">
        <v>3514</v>
      </c>
      <c r="E261" t="s">
        <v>3514</v>
      </c>
      <c r="H261" t="s">
        <v>22</v>
      </c>
      <c r="I261">
        <v>1085272491</v>
      </c>
      <c r="J261" t="s">
        <v>2484</v>
      </c>
      <c r="P261" t="s">
        <v>4327</v>
      </c>
      <c r="Q261" s="15">
        <v>25200000</v>
      </c>
      <c r="R261" s="8" t="e">
        <f>SUMIFS([1]REPORTADOS!$D$2:$D$3379,[1]REPORTADOS!$C$2:$C$3379,E261)</f>
        <v>#VALUE!</v>
      </c>
    </row>
    <row r="262" spans="1:18" x14ac:dyDescent="0.25">
      <c r="A262">
        <v>900091143</v>
      </c>
      <c r="B262" t="s">
        <v>3965</v>
      </c>
      <c r="C262" t="s">
        <v>3515</v>
      </c>
      <c r="E262" t="s">
        <v>3515</v>
      </c>
      <c r="H262" t="s">
        <v>22</v>
      </c>
      <c r="I262">
        <v>1053793750</v>
      </c>
      <c r="J262" t="s">
        <v>4108</v>
      </c>
      <c r="P262" t="s">
        <v>4327</v>
      </c>
      <c r="Q262" s="15">
        <v>25200000</v>
      </c>
      <c r="R262" s="8" t="e">
        <f>SUMIFS([1]REPORTADOS!$D$2:$D$3379,[1]REPORTADOS!$C$2:$C$3379,E262)</f>
        <v>#VALUE!</v>
      </c>
    </row>
    <row r="263" spans="1:18" x14ac:dyDescent="0.25">
      <c r="A263">
        <v>900091143</v>
      </c>
      <c r="B263" t="s">
        <v>3965</v>
      </c>
      <c r="C263" t="s">
        <v>3516</v>
      </c>
      <c r="E263" t="s">
        <v>3516</v>
      </c>
      <c r="H263" t="s">
        <v>22</v>
      </c>
      <c r="I263">
        <v>27146489</v>
      </c>
      <c r="J263" t="s">
        <v>4109</v>
      </c>
      <c r="P263" t="s">
        <v>4327</v>
      </c>
      <c r="Q263" s="15">
        <v>25200000</v>
      </c>
      <c r="R263" s="8" t="e">
        <f>SUMIFS([1]REPORTADOS!$D$2:$D$3379,[1]REPORTADOS!$C$2:$C$3379,E263)</f>
        <v>#VALUE!</v>
      </c>
    </row>
    <row r="264" spans="1:18" x14ac:dyDescent="0.25">
      <c r="A264">
        <v>900091143</v>
      </c>
      <c r="B264" t="s">
        <v>3965</v>
      </c>
      <c r="C264" t="s">
        <v>3517</v>
      </c>
      <c r="E264" t="s">
        <v>3517</v>
      </c>
      <c r="H264" t="s">
        <v>22</v>
      </c>
      <c r="I264">
        <v>59836480</v>
      </c>
      <c r="J264" t="s">
        <v>4110</v>
      </c>
      <c r="P264" t="s">
        <v>4327</v>
      </c>
      <c r="Q264" s="15">
        <v>25200000</v>
      </c>
      <c r="R264" s="8" t="e">
        <f>SUMIFS([1]REPORTADOS!$D$2:$D$3379,[1]REPORTADOS!$C$2:$C$3379,E264)</f>
        <v>#VALUE!</v>
      </c>
    </row>
    <row r="265" spans="1:18" x14ac:dyDescent="0.25">
      <c r="A265">
        <v>900091143</v>
      </c>
      <c r="B265" t="s">
        <v>3965</v>
      </c>
      <c r="C265" t="s">
        <v>3518</v>
      </c>
      <c r="E265" t="s">
        <v>3518</v>
      </c>
      <c r="H265" t="s">
        <v>22</v>
      </c>
      <c r="I265">
        <v>1010010954</v>
      </c>
      <c r="J265" t="s">
        <v>2140</v>
      </c>
      <c r="P265" t="s">
        <v>4371</v>
      </c>
      <c r="Q265" s="15">
        <v>25200000</v>
      </c>
      <c r="R265" s="8" t="e">
        <f>SUMIFS([1]REPORTADOS!$D$2:$D$3379,[1]REPORTADOS!$C$2:$C$3379,E265)</f>
        <v>#VALUE!</v>
      </c>
    </row>
    <row r="266" spans="1:18" x14ac:dyDescent="0.25">
      <c r="A266">
        <v>900091143</v>
      </c>
      <c r="B266" t="s">
        <v>3965</v>
      </c>
      <c r="C266" t="s">
        <v>3519</v>
      </c>
      <c r="E266" t="s">
        <v>3519</v>
      </c>
      <c r="H266" t="s">
        <v>22</v>
      </c>
      <c r="I266">
        <v>1085299577</v>
      </c>
      <c r="J266" t="s">
        <v>4111</v>
      </c>
      <c r="P266" t="s">
        <v>4333</v>
      </c>
      <c r="Q266" s="15">
        <v>25200000</v>
      </c>
      <c r="R266" s="8" t="e">
        <f>SUMIFS([1]REPORTADOS!$D$2:$D$3379,[1]REPORTADOS!$C$2:$C$3379,E266)</f>
        <v>#VALUE!</v>
      </c>
    </row>
    <row r="267" spans="1:18" x14ac:dyDescent="0.25">
      <c r="A267">
        <v>900091143</v>
      </c>
      <c r="B267" t="s">
        <v>3965</v>
      </c>
      <c r="C267" t="s">
        <v>3520</v>
      </c>
      <c r="E267" t="s">
        <v>3520</v>
      </c>
      <c r="H267" t="s">
        <v>22</v>
      </c>
      <c r="I267">
        <v>1084228089</v>
      </c>
      <c r="J267" t="s">
        <v>2773</v>
      </c>
      <c r="P267" t="s">
        <v>4333</v>
      </c>
      <c r="Q267" s="15">
        <v>25200000</v>
      </c>
      <c r="R267" s="8" t="e">
        <f>SUMIFS([1]REPORTADOS!$D$2:$D$3379,[1]REPORTADOS!$C$2:$C$3379,E267)</f>
        <v>#VALUE!</v>
      </c>
    </row>
    <row r="268" spans="1:18" x14ac:dyDescent="0.25">
      <c r="A268">
        <v>900091143</v>
      </c>
      <c r="B268" t="s">
        <v>3965</v>
      </c>
      <c r="C268" t="s">
        <v>3521</v>
      </c>
      <c r="E268" t="s">
        <v>3521</v>
      </c>
      <c r="H268" t="s">
        <v>22</v>
      </c>
      <c r="I268">
        <v>1085286476</v>
      </c>
      <c r="J268" t="s">
        <v>4112</v>
      </c>
      <c r="P268" t="s">
        <v>4344</v>
      </c>
      <c r="Q268" s="15">
        <v>25200000</v>
      </c>
      <c r="R268" s="8" t="e">
        <f>SUMIFS([1]REPORTADOS!$D$2:$D$3379,[1]REPORTADOS!$C$2:$C$3379,E268)</f>
        <v>#VALUE!</v>
      </c>
    </row>
    <row r="269" spans="1:18" x14ac:dyDescent="0.25">
      <c r="A269">
        <v>900091143</v>
      </c>
      <c r="B269" t="s">
        <v>3965</v>
      </c>
      <c r="C269" t="s">
        <v>3522</v>
      </c>
      <c r="E269" t="s">
        <v>3522</v>
      </c>
      <c r="H269" t="s">
        <v>22</v>
      </c>
      <c r="I269">
        <v>1085277976</v>
      </c>
      <c r="J269" t="s">
        <v>2787</v>
      </c>
      <c r="P269" t="s">
        <v>4372</v>
      </c>
      <c r="Q269" s="15">
        <v>25200000</v>
      </c>
      <c r="R269" s="8" t="e">
        <f>SUMIFS([1]REPORTADOS!$D$2:$D$3379,[1]REPORTADOS!$C$2:$C$3379,E269)</f>
        <v>#VALUE!</v>
      </c>
    </row>
    <row r="270" spans="1:18" x14ac:dyDescent="0.25">
      <c r="A270">
        <v>900091143</v>
      </c>
      <c r="B270" t="s">
        <v>3965</v>
      </c>
      <c r="C270" t="s">
        <v>3523</v>
      </c>
      <c r="E270" t="s">
        <v>3523</v>
      </c>
      <c r="H270" t="s">
        <v>22</v>
      </c>
      <c r="I270">
        <v>1085283868</v>
      </c>
      <c r="J270" t="s">
        <v>4113</v>
      </c>
      <c r="P270" t="s">
        <v>4345</v>
      </c>
      <c r="Q270" s="15">
        <v>25200000</v>
      </c>
      <c r="R270" s="8" t="e">
        <f>SUMIFS([1]REPORTADOS!$D$2:$D$3379,[1]REPORTADOS!$C$2:$C$3379,E270)</f>
        <v>#VALUE!</v>
      </c>
    </row>
    <row r="271" spans="1:18" x14ac:dyDescent="0.25">
      <c r="A271">
        <v>900091143</v>
      </c>
      <c r="B271" t="s">
        <v>3965</v>
      </c>
      <c r="C271" t="s">
        <v>3524</v>
      </c>
      <c r="E271" t="s">
        <v>3524</v>
      </c>
      <c r="H271" t="s">
        <v>22</v>
      </c>
      <c r="I271">
        <v>1085296068</v>
      </c>
      <c r="J271" t="s">
        <v>4114</v>
      </c>
      <c r="P271" t="s">
        <v>4345</v>
      </c>
      <c r="Q271" s="15">
        <v>25200000</v>
      </c>
      <c r="R271" s="8" t="e">
        <f>SUMIFS([1]REPORTADOS!$D$2:$D$3379,[1]REPORTADOS!$C$2:$C$3379,E271)</f>
        <v>#VALUE!</v>
      </c>
    </row>
    <row r="272" spans="1:18" x14ac:dyDescent="0.25">
      <c r="A272">
        <v>900091143</v>
      </c>
      <c r="B272" t="s">
        <v>3965</v>
      </c>
      <c r="C272" t="s">
        <v>3525</v>
      </c>
      <c r="E272" t="s">
        <v>3525</v>
      </c>
      <c r="H272" t="s">
        <v>22</v>
      </c>
      <c r="I272">
        <v>59820414</v>
      </c>
      <c r="J272" t="s">
        <v>4115</v>
      </c>
      <c r="P272" t="s">
        <v>4345</v>
      </c>
      <c r="Q272" s="15">
        <v>25200000</v>
      </c>
      <c r="R272" s="8" t="e">
        <f>SUMIFS([1]REPORTADOS!$D$2:$D$3379,[1]REPORTADOS!$C$2:$C$3379,E272)</f>
        <v>#VALUE!</v>
      </c>
    </row>
    <row r="273" spans="1:18" x14ac:dyDescent="0.25">
      <c r="A273">
        <v>900091143</v>
      </c>
      <c r="B273" t="s">
        <v>3965</v>
      </c>
      <c r="C273" t="s">
        <v>3526</v>
      </c>
      <c r="E273" t="s">
        <v>3526</v>
      </c>
      <c r="H273" t="s">
        <v>22</v>
      </c>
      <c r="I273">
        <v>1233188295</v>
      </c>
      <c r="J273" t="s">
        <v>4116</v>
      </c>
      <c r="P273" t="s">
        <v>4340</v>
      </c>
      <c r="Q273" s="15">
        <v>27300000</v>
      </c>
      <c r="R273" s="8" t="e">
        <f>SUMIFS([1]REPORTADOS!$D$2:$D$3379,[1]REPORTADOS!$C$2:$C$3379,E273)</f>
        <v>#VALUE!</v>
      </c>
    </row>
    <row r="274" spans="1:18" x14ac:dyDescent="0.25">
      <c r="A274">
        <v>900091143</v>
      </c>
      <c r="B274" t="s">
        <v>3965</v>
      </c>
      <c r="C274" t="s">
        <v>3527</v>
      </c>
      <c r="E274" t="s">
        <v>3527</v>
      </c>
      <c r="H274" t="s">
        <v>22</v>
      </c>
      <c r="I274">
        <v>1144172704</v>
      </c>
      <c r="J274" t="s">
        <v>4117</v>
      </c>
      <c r="P274" t="s">
        <v>4340</v>
      </c>
      <c r="Q274" s="15">
        <v>27300000</v>
      </c>
      <c r="R274" s="8" t="e">
        <f>SUMIFS([1]REPORTADOS!$D$2:$D$3379,[1]REPORTADOS!$C$2:$C$3379,E274)</f>
        <v>#VALUE!</v>
      </c>
    </row>
    <row r="275" spans="1:18" x14ac:dyDescent="0.25">
      <c r="A275">
        <v>900091143</v>
      </c>
      <c r="B275" t="s">
        <v>3965</v>
      </c>
      <c r="C275" t="s">
        <v>3528</v>
      </c>
      <c r="E275" t="s">
        <v>3528</v>
      </c>
      <c r="H275" t="s">
        <v>22</v>
      </c>
      <c r="I275">
        <v>1089846684</v>
      </c>
      <c r="J275" t="s">
        <v>4118</v>
      </c>
      <c r="P275" t="s">
        <v>4373</v>
      </c>
      <c r="Q275" s="15">
        <v>27300000</v>
      </c>
      <c r="R275" s="8" t="e">
        <f>SUMIFS([1]REPORTADOS!$D$2:$D$3379,[1]REPORTADOS!$C$2:$C$3379,E275)</f>
        <v>#VALUE!</v>
      </c>
    </row>
    <row r="276" spans="1:18" x14ac:dyDescent="0.25">
      <c r="A276">
        <v>900091143</v>
      </c>
      <c r="B276" t="s">
        <v>3965</v>
      </c>
      <c r="C276" t="s">
        <v>3529</v>
      </c>
      <c r="E276" t="s">
        <v>3529</v>
      </c>
      <c r="H276" t="s">
        <v>22</v>
      </c>
      <c r="I276">
        <v>1085274300</v>
      </c>
      <c r="J276" t="s">
        <v>4119</v>
      </c>
      <c r="P276" t="s">
        <v>4339</v>
      </c>
      <c r="Q276" s="15">
        <v>27300000</v>
      </c>
      <c r="R276" s="8" t="e">
        <f>SUMIFS([1]REPORTADOS!$D$2:$D$3379,[1]REPORTADOS!$C$2:$C$3379,E276)</f>
        <v>#VALUE!</v>
      </c>
    </row>
    <row r="277" spans="1:18" x14ac:dyDescent="0.25">
      <c r="A277">
        <v>900091143</v>
      </c>
      <c r="B277" t="s">
        <v>3965</v>
      </c>
      <c r="C277" t="s">
        <v>3530</v>
      </c>
      <c r="E277" t="s">
        <v>3530</v>
      </c>
      <c r="H277" t="s">
        <v>22</v>
      </c>
      <c r="I277">
        <v>1087645723</v>
      </c>
      <c r="J277" t="s">
        <v>4120</v>
      </c>
      <c r="P277" t="s">
        <v>4340</v>
      </c>
      <c r="Q277" s="15">
        <v>27300000</v>
      </c>
      <c r="R277" s="8" t="e">
        <f>SUMIFS([1]REPORTADOS!$D$2:$D$3379,[1]REPORTADOS!$C$2:$C$3379,E277)</f>
        <v>#VALUE!</v>
      </c>
    </row>
    <row r="278" spans="1:18" x14ac:dyDescent="0.25">
      <c r="A278">
        <v>900091143</v>
      </c>
      <c r="B278" t="s">
        <v>3965</v>
      </c>
      <c r="C278" t="s">
        <v>3531</v>
      </c>
      <c r="E278" t="s">
        <v>3531</v>
      </c>
      <c r="H278" t="s">
        <v>22</v>
      </c>
      <c r="I278">
        <v>1110594073</v>
      </c>
      <c r="J278" t="s">
        <v>4121</v>
      </c>
      <c r="P278" t="s">
        <v>4339</v>
      </c>
      <c r="Q278" s="15">
        <v>27300000</v>
      </c>
      <c r="R278" s="8" t="e">
        <f>SUMIFS([1]REPORTADOS!$D$2:$D$3379,[1]REPORTADOS!$C$2:$C$3379,E278)</f>
        <v>#VALUE!</v>
      </c>
    </row>
    <row r="279" spans="1:18" x14ac:dyDescent="0.25">
      <c r="A279">
        <v>900091143</v>
      </c>
      <c r="B279" t="s">
        <v>3965</v>
      </c>
      <c r="C279" t="s">
        <v>3532</v>
      </c>
      <c r="E279" t="s">
        <v>3532</v>
      </c>
      <c r="H279" t="s">
        <v>22</v>
      </c>
      <c r="I279">
        <v>1233193769</v>
      </c>
      <c r="J279" t="s">
        <v>4122</v>
      </c>
      <c r="P279" t="s">
        <v>4339</v>
      </c>
      <c r="Q279" s="15">
        <v>27300000</v>
      </c>
      <c r="R279" s="8" t="e">
        <f>SUMIFS([1]REPORTADOS!$D$2:$D$3379,[1]REPORTADOS!$C$2:$C$3379,E279)</f>
        <v>#VALUE!</v>
      </c>
    </row>
    <row r="280" spans="1:18" x14ac:dyDescent="0.25">
      <c r="A280">
        <v>900091143</v>
      </c>
      <c r="B280" t="s">
        <v>3965</v>
      </c>
      <c r="C280" t="s">
        <v>3533</v>
      </c>
      <c r="E280" t="s">
        <v>3533</v>
      </c>
      <c r="H280" t="s">
        <v>22</v>
      </c>
      <c r="I280">
        <v>1086361969</v>
      </c>
      <c r="J280" t="s">
        <v>4123</v>
      </c>
      <c r="P280" t="s">
        <v>4374</v>
      </c>
      <c r="Q280" s="15">
        <v>31200000</v>
      </c>
      <c r="R280" s="8" t="e">
        <f>SUMIFS([1]REPORTADOS!$D$2:$D$3379,[1]REPORTADOS!$C$2:$C$3379,E280)</f>
        <v>#VALUE!</v>
      </c>
    </row>
    <row r="281" spans="1:18" x14ac:dyDescent="0.25">
      <c r="A281">
        <v>900091143</v>
      </c>
      <c r="B281" t="s">
        <v>3965</v>
      </c>
      <c r="C281" t="s">
        <v>3534</v>
      </c>
      <c r="E281" t="s">
        <v>3534</v>
      </c>
      <c r="H281" t="s">
        <v>22</v>
      </c>
      <c r="I281">
        <v>1089483067</v>
      </c>
      <c r="J281" t="s">
        <v>4124</v>
      </c>
      <c r="P281" t="s">
        <v>4374</v>
      </c>
      <c r="Q281" s="15">
        <v>31200000</v>
      </c>
      <c r="R281" s="8" t="e">
        <f>SUMIFS([1]REPORTADOS!$D$2:$D$3379,[1]REPORTADOS!$C$2:$C$3379,E281)</f>
        <v>#VALUE!</v>
      </c>
    </row>
    <row r="282" spans="1:18" x14ac:dyDescent="0.25">
      <c r="A282">
        <v>900091143</v>
      </c>
      <c r="B282" t="s">
        <v>3965</v>
      </c>
      <c r="C282" t="s">
        <v>3535</v>
      </c>
      <c r="E282" t="s">
        <v>3535</v>
      </c>
      <c r="H282" t="s">
        <v>22</v>
      </c>
      <c r="I282">
        <v>1233189066</v>
      </c>
      <c r="J282" t="s">
        <v>2171</v>
      </c>
      <c r="P282" t="s">
        <v>4374</v>
      </c>
      <c r="Q282" s="15">
        <v>31200000</v>
      </c>
      <c r="R282" s="8" t="e">
        <f>SUMIFS([1]REPORTADOS!$D$2:$D$3379,[1]REPORTADOS!$C$2:$C$3379,E282)</f>
        <v>#VALUE!</v>
      </c>
    </row>
    <row r="283" spans="1:18" x14ac:dyDescent="0.25">
      <c r="A283">
        <v>900091143</v>
      </c>
      <c r="B283" t="s">
        <v>3965</v>
      </c>
      <c r="C283" t="s">
        <v>3536</v>
      </c>
      <c r="E283" t="s">
        <v>3536</v>
      </c>
      <c r="H283" t="s">
        <v>22</v>
      </c>
      <c r="I283">
        <v>1084552063</v>
      </c>
      <c r="J283" t="s">
        <v>4125</v>
      </c>
      <c r="P283" t="s">
        <v>4374</v>
      </c>
      <c r="Q283" s="15">
        <v>31200000</v>
      </c>
      <c r="R283" s="8" t="e">
        <f>SUMIFS([1]REPORTADOS!$D$2:$D$3379,[1]REPORTADOS!$C$2:$C$3379,E283)</f>
        <v>#VALUE!</v>
      </c>
    </row>
    <row r="284" spans="1:18" x14ac:dyDescent="0.25">
      <c r="A284">
        <v>900091143</v>
      </c>
      <c r="B284" t="s">
        <v>3965</v>
      </c>
      <c r="C284" t="s">
        <v>3537</v>
      </c>
      <c r="E284" t="s">
        <v>3537</v>
      </c>
      <c r="H284" t="s">
        <v>22</v>
      </c>
      <c r="I284">
        <v>37087120</v>
      </c>
      <c r="J284" t="s">
        <v>1851</v>
      </c>
      <c r="P284" t="s">
        <v>4374</v>
      </c>
      <c r="Q284" s="15">
        <v>31200000</v>
      </c>
      <c r="R284" s="8" t="e">
        <f>SUMIFS([1]REPORTADOS!$D$2:$D$3379,[1]REPORTADOS!$C$2:$C$3379,E284)</f>
        <v>#VALUE!</v>
      </c>
    </row>
    <row r="285" spans="1:18" x14ac:dyDescent="0.25">
      <c r="A285">
        <v>900091143</v>
      </c>
      <c r="B285" t="s">
        <v>3965</v>
      </c>
      <c r="C285" t="s">
        <v>3538</v>
      </c>
      <c r="E285" t="s">
        <v>3538</v>
      </c>
      <c r="H285" t="s">
        <v>22</v>
      </c>
      <c r="I285">
        <v>1233192708</v>
      </c>
      <c r="J285" t="s">
        <v>2583</v>
      </c>
      <c r="P285" t="s">
        <v>4374</v>
      </c>
      <c r="Q285" s="15">
        <v>31200000</v>
      </c>
      <c r="R285" s="8" t="e">
        <f>SUMIFS([1]REPORTADOS!$D$2:$D$3379,[1]REPORTADOS!$C$2:$C$3379,E285)</f>
        <v>#VALUE!</v>
      </c>
    </row>
    <row r="286" spans="1:18" x14ac:dyDescent="0.25">
      <c r="A286">
        <v>900091143</v>
      </c>
      <c r="B286" t="s">
        <v>3965</v>
      </c>
      <c r="C286" t="s">
        <v>3539</v>
      </c>
      <c r="E286" t="s">
        <v>3539</v>
      </c>
      <c r="H286" t="s">
        <v>22</v>
      </c>
      <c r="I286">
        <v>80765093</v>
      </c>
      <c r="J286" t="s">
        <v>1651</v>
      </c>
      <c r="P286" t="s">
        <v>4374</v>
      </c>
      <c r="Q286" s="15">
        <v>31200000</v>
      </c>
      <c r="R286" s="8" t="e">
        <f>SUMIFS([1]REPORTADOS!$D$2:$D$3379,[1]REPORTADOS!$C$2:$C$3379,E286)</f>
        <v>#VALUE!</v>
      </c>
    </row>
    <row r="287" spans="1:18" x14ac:dyDescent="0.25">
      <c r="A287">
        <v>900091143</v>
      </c>
      <c r="B287" t="s">
        <v>3965</v>
      </c>
      <c r="C287" t="s">
        <v>3540</v>
      </c>
      <c r="E287" t="s">
        <v>3540</v>
      </c>
      <c r="H287" t="s">
        <v>22</v>
      </c>
      <c r="I287">
        <v>1083814276</v>
      </c>
      <c r="J287" t="s">
        <v>4126</v>
      </c>
      <c r="P287" t="s">
        <v>4374</v>
      </c>
      <c r="Q287" s="15">
        <v>31200000</v>
      </c>
      <c r="R287" s="8" t="e">
        <f>SUMIFS([1]REPORTADOS!$D$2:$D$3379,[1]REPORTADOS!$C$2:$C$3379,E287)</f>
        <v>#VALUE!</v>
      </c>
    </row>
    <row r="288" spans="1:18" x14ac:dyDescent="0.25">
      <c r="A288">
        <v>900091143</v>
      </c>
      <c r="B288" t="s">
        <v>3965</v>
      </c>
      <c r="C288" t="s">
        <v>3541</v>
      </c>
      <c r="E288" t="s">
        <v>3541</v>
      </c>
      <c r="H288" t="s">
        <v>22</v>
      </c>
      <c r="I288">
        <v>1022426162</v>
      </c>
      <c r="J288" t="s">
        <v>4127</v>
      </c>
      <c r="P288" t="s">
        <v>4340</v>
      </c>
      <c r="Q288" s="15">
        <v>31200000</v>
      </c>
      <c r="R288" s="8" t="e">
        <f>SUMIFS([1]REPORTADOS!$D$2:$D$3379,[1]REPORTADOS!$C$2:$C$3379,E288)</f>
        <v>#VALUE!</v>
      </c>
    </row>
    <row r="289" spans="1:18" x14ac:dyDescent="0.25">
      <c r="A289">
        <v>900091143</v>
      </c>
      <c r="B289" t="s">
        <v>3965</v>
      </c>
      <c r="C289" t="s">
        <v>3542</v>
      </c>
      <c r="E289" t="s">
        <v>3542</v>
      </c>
      <c r="H289" t="s">
        <v>22</v>
      </c>
      <c r="I289">
        <v>1088734182</v>
      </c>
      <c r="J289" t="s">
        <v>4128</v>
      </c>
      <c r="P289" t="s">
        <v>4339</v>
      </c>
      <c r="Q289" s="15">
        <v>31200000</v>
      </c>
      <c r="R289" s="8" t="e">
        <f>SUMIFS([1]REPORTADOS!$D$2:$D$3379,[1]REPORTADOS!$C$2:$C$3379,E289)</f>
        <v>#VALUE!</v>
      </c>
    </row>
    <row r="290" spans="1:18" x14ac:dyDescent="0.25">
      <c r="A290">
        <v>900091143</v>
      </c>
      <c r="B290" t="s">
        <v>3965</v>
      </c>
      <c r="C290" t="s">
        <v>3543</v>
      </c>
      <c r="E290" t="s">
        <v>3543</v>
      </c>
      <c r="H290" t="s">
        <v>22</v>
      </c>
      <c r="I290">
        <v>1193292339</v>
      </c>
      <c r="J290" t="s">
        <v>4129</v>
      </c>
      <c r="P290" t="s">
        <v>4340</v>
      </c>
      <c r="Q290" s="15">
        <v>31200000</v>
      </c>
      <c r="R290" s="8" t="e">
        <f>SUMIFS([1]REPORTADOS!$D$2:$D$3379,[1]REPORTADOS!$C$2:$C$3379,E290)</f>
        <v>#VALUE!</v>
      </c>
    </row>
    <row r="291" spans="1:18" x14ac:dyDescent="0.25">
      <c r="A291">
        <v>900091143</v>
      </c>
      <c r="B291" t="s">
        <v>3965</v>
      </c>
      <c r="C291" t="s">
        <v>3544</v>
      </c>
      <c r="E291" t="s">
        <v>3544</v>
      </c>
      <c r="H291" t="s">
        <v>22</v>
      </c>
      <c r="I291">
        <v>1085293105</v>
      </c>
      <c r="J291" t="s">
        <v>1747</v>
      </c>
      <c r="P291" t="s">
        <v>4340</v>
      </c>
      <c r="Q291" s="15">
        <v>31200000</v>
      </c>
      <c r="R291" s="8" t="e">
        <f>SUMIFS([1]REPORTADOS!$D$2:$D$3379,[1]REPORTADOS!$C$2:$C$3379,E291)</f>
        <v>#VALUE!</v>
      </c>
    </row>
    <row r="292" spans="1:18" x14ac:dyDescent="0.25">
      <c r="A292">
        <v>900091143</v>
      </c>
      <c r="B292" t="s">
        <v>3965</v>
      </c>
      <c r="C292" t="s">
        <v>3545</v>
      </c>
      <c r="E292" t="s">
        <v>3545</v>
      </c>
      <c r="H292" t="s">
        <v>22</v>
      </c>
      <c r="I292">
        <v>1085329980</v>
      </c>
      <c r="J292" t="s">
        <v>2617</v>
      </c>
      <c r="P292" t="s">
        <v>4340</v>
      </c>
      <c r="Q292" s="15">
        <v>31200000</v>
      </c>
      <c r="R292" s="8" t="e">
        <f>SUMIFS([1]REPORTADOS!$D$2:$D$3379,[1]REPORTADOS!$C$2:$C$3379,E292)</f>
        <v>#VALUE!</v>
      </c>
    </row>
    <row r="293" spans="1:18" x14ac:dyDescent="0.25">
      <c r="A293">
        <v>900091143</v>
      </c>
      <c r="B293" t="s">
        <v>3965</v>
      </c>
      <c r="C293" t="s">
        <v>3546</v>
      </c>
      <c r="E293" t="s">
        <v>3546</v>
      </c>
      <c r="H293" t="s">
        <v>22</v>
      </c>
      <c r="I293">
        <v>1087006619</v>
      </c>
      <c r="J293" t="s">
        <v>4130</v>
      </c>
      <c r="P293" t="s">
        <v>4374</v>
      </c>
      <c r="Q293" s="15">
        <v>31200000</v>
      </c>
      <c r="R293" s="8" t="e">
        <f>SUMIFS([1]REPORTADOS!$D$2:$D$3379,[1]REPORTADOS!$C$2:$C$3379,E293)</f>
        <v>#VALUE!</v>
      </c>
    </row>
    <row r="294" spans="1:18" x14ac:dyDescent="0.25">
      <c r="A294">
        <v>900091143</v>
      </c>
      <c r="B294" t="s">
        <v>3965</v>
      </c>
      <c r="C294" t="s">
        <v>3547</v>
      </c>
      <c r="E294" t="s">
        <v>3547</v>
      </c>
      <c r="H294" t="s">
        <v>22</v>
      </c>
      <c r="I294">
        <v>1233193882</v>
      </c>
      <c r="J294" t="s">
        <v>2611</v>
      </c>
      <c r="P294" t="s">
        <v>4374</v>
      </c>
      <c r="Q294" s="15">
        <v>31200000</v>
      </c>
      <c r="R294" s="8" t="e">
        <f>SUMIFS([1]REPORTADOS!$D$2:$D$3379,[1]REPORTADOS!$C$2:$C$3379,E294)</f>
        <v>#VALUE!</v>
      </c>
    </row>
    <row r="295" spans="1:18" x14ac:dyDescent="0.25">
      <c r="A295">
        <v>900091143</v>
      </c>
      <c r="B295" t="s">
        <v>3965</v>
      </c>
      <c r="C295" t="s">
        <v>3548</v>
      </c>
      <c r="E295" t="s">
        <v>3548</v>
      </c>
      <c r="H295" t="s">
        <v>22</v>
      </c>
      <c r="I295">
        <v>1085334279</v>
      </c>
      <c r="J295" t="s">
        <v>4131</v>
      </c>
      <c r="P295" t="s">
        <v>4374</v>
      </c>
      <c r="Q295" s="15">
        <v>31200000</v>
      </c>
      <c r="R295" s="8" t="e">
        <f>SUMIFS([1]REPORTADOS!$D$2:$D$3379,[1]REPORTADOS!$C$2:$C$3379,E295)</f>
        <v>#VALUE!</v>
      </c>
    </row>
    <row r="296" spans="1:18" x14ac:dyDescent="0.25">
      <c r="A296">
        <v>900091143</v>
      </c>
      <c r="B296" t="s">
        <v>3965</v>
      </c>
      <c r="C296" t="s">
        <v>3549</v>
      </c>
      <c r="E296" t="s">
        <v>3549</v>
      </c>
      <c r="H296" t="s">
        <v>22</v>
      </c>
      <c r="I296">
        <v>1006946167</v>
      </c>
      <c r="J296" t="s">
        <v>2168</v>
      </c>
      <c r="P296" t="s">
        <v>4374</v>
      </c>
      <c r="Q296" s="15">
        <v>31200000</v>
      </c>
      <c r="R296" s="8" t="e">
        <f>SUMIFS([1]REPORTADOS!$D$2:$D$3379,[1]REPORTADOS!$C$2:$C$3379,E296)</f>
        <v>#VALUE!</v>
      </c>
    </row>
    <row r="297" spans="1:18" x14ac:dyDescent="0.25">
      <c r="A297">
        <v>900091143</v>
      </c>
      <c r="B297" t="s">
        <v>3965</v>
      </c>
      <c r="C297" t="s">
        <v>3550</v>
      </c>
      <c r="E297" t="s">
        <v>3550</v>
      </c>
      <c r="H297" t="s">
        <v>22</v>
      </c>
      <c r="I297">
        <v>1085336362</v>
      </c>
      <c r="J297" t="s">
        <v>1819</v>
      </c>
      <c r="P297" t="s">
        <v>4340</v>
      </c>
      <c r="Q297" s="15">
        <v>31200000</v>
      </c>
      <c r="R297" s="8" t="e">
        <f>SUMIFS([1]REPORTADOS!$D$2:$D$3379,[1]REPORTADOS!$C$2:$C$3379,E297)</f>
        <v>#VALUE!</v>
      </c>
    </row>
    <row r="298" spans="1:18" x14ac:dyDescent="0.25">
      <c r="A298">
        <v>900091143</v>
      </c>
      <c r="B298" t="s">
        <v>3965</v>
      </c>
      <c r="C298" t="s">
        <v>3551</v>
      </c>
      <c r="E298" t="s">
        <v>3551</v>
      </c>
      <c r="H298" t="s">
        <v>22</v>
      </c>
      <c r="I298">
        <v>1193202097</v>
      </c>
      <c r="J298" t="s">
        <v>1796</v>
      </c>
      <c r="P298" t="s">
        <v>4361</v>
      </c>
      <c r="Q298" s="15">
        <v>31200000</v>
      </c>
      <c r="R298" s="8" t="e">
        <f>SUMIFS([1]REPORTADOS!$D$2:$D$3379,[1]REPORTADOS!$C$2:$C$3379,E298)</f>
        <v>#VALUE!</v>
      </c>
    </row>
    <row r="299" spans="1:18" x14ac:dyDescent="0.25">
      <c r="A299">
        <v>900091143</v>
      </c>
      <c r="B299" t="s">
        <v>3965</v>
      </c>
      <c r="C299" t="s">
        <v>3552</v>
      </c>
      <c r="E299" t="s">
        <v>3552</v>
      </c>
      <c r="H299" t="s">
        <v>38</v>
      </c>
      <c r="I299">
        <v>900752343</v>
      </c>
      <c r="J299" t="s">
        <v>4132</v>
      </c>
      <c r="P299" t="s">
        <v>4375</v>
      </c>
      <c r="Q299" s="15">
        <v>283000000</v>
      </c>
      <c r="R299" s="8" t="e">
        <f>SUMIFS([1]REPORTADOS!$D$2:$D$3379,[1]REPORTADOS!$C$2:$C$3379,E299)</f>
        <v>#VALUE!</v>
      </c>
    </row>
    <row r="300" spans="1:18" x14ac:dyDescent="0.25">
      <c r="A300">
        <v>900091143</v>
      </c>
      <c r="B300" t="s">
        <v>3965</v>
      </c>
      <c r="C300" t="s">
        <v>3553</v>
      </c>
      <c r="E300" t="s">
        <v>3553</v>
      </c>
      <c r="H300" t="s">
        <v>22</v>
      </c>
      <c r="I300">
        <v>87070742</v>
      </c>
      <c r="J300" t="s">
        <v>4133</v>
      </c>
      <c r="P300" t="s">
        <v>4279</v>
      </c>
      <c r="Q300" s="15">
        <v>6000000</v>
      </c>
      <c r="R300" s="8" t="e">
        <f>SUMIFS([1]REPORTADOS!$D$2:$D$3379,[1]REPORTADOS!$C$2:$C$3379,E300)</f>
        <v>#VALUE!</v>
      </c>
    </row>
    <row r="301" spans="1:18" x14ac:dyDescent="0.25">
      <c r="A301">
        <v>900091143</v>
      </c>
      <c r="B301" t="s">
        <v>3965</v>
      </c>
      <c r="C301" t="s">
        <v>3554</v>
      </c>
      <c r="E301" t="s">
        <v>3554</v>
      </c>
      <c r="H301" t="s">
        <v>22</v>
      </c>
      <c r="I301">
        <v>1233191359</v>
      </c>
      <c r="J301" t="s">
        <v>4134</v>
      </c>
      <c r="P301" t="s">
        <v>4293</v>
      </c>
      <c r="Q301" s="15">
        <v>6300000</v>
      </c>
      <c r="R301" s="8" t="e">
        <f>SUMIFS([1]REPORTADOS!$D$2:$D$3379,[1]REPORTADOS!$C$2:$C$3379,E301)</f>
        <v>#VALUE!</v>
      </c>
    </row>
    <row r="302" spans="1:18" x14ac:dyDescent="0.25">
      <c r="A302">
        <v>900091143</v>
      </c>
      <c r="B302" t="s">
        <v>3965</v>
      </c>
      <c r="C302" t="s">
        <v>3555</v>
      </c>
      <c r="E302" t="s">
        <v>3555</v>
      </c>
      <c r="H302" t="s">
        <v>22</v>
      </c>
      <c r="I302">
        <v>1193271854</v>
      </c>
      <c r="J302" t="s">
        <v>1695</v>
      </c>
      <c r="P302" t="s">
        <v>4293</v>
      </c>
      <c r="Q302" s="15">
        <v>6720000</v>
      </c>
      <c r="R302" s="8" t="e">
        <f>SUMIFS([1]REPORTADOS!$D$2:$D$3379,[1]REPORTADOS!$C$2:$C$3379,E302)</f>
        <v>#VALUE!</v>
      </c>
    </row>
    <row r="303" spans="1:18" x14ac:dyDescent="0.25">
      <c r="A303">
        <v>900091143</v>
      </c>
      <c r="B303" t="s">
        <v>3965</v>
      </c>
      <c r="C303" t="s">
        <v>3556</v>
      </c>
      <c r="E303" t="s">
        <v>3556</v>
      </c>
      <c r="H303" t="s">
        <v>22</v>
      </c>
      <c r="I303">
        <v>1030606749</v>
      </c>
      <c r="J303" t="s">
        <v>2066</v>
      </c>
      <c r="P303" t="s">
        <v>4376</v>
      </c>
      <c r="Q303" s="15">
        <v>7875000</v>
      </c>
      <c r="R303" s="8" t="e">
        <f>SUMIFS([1]REPORTADOS!$D$2:$D$3379,[1]REPORTADOS!$C$2:$C$3379,E303)</f>
        <v>#VALUE!</v>
      </c>
    </row>
    <row r="304" spans="1:18" x14ac:dyDescent="0.25">
      <c r="A304">
        <v>900091143</v>
      </c>
      <c r="B304" t="s">
        <v>3965</v>
      </c>
      <c r="C304" t="s">
        <v>3557</v>
      </c>
      <c r="E304" t="s">
        <v>3557</v>
      </c>
      <c r="H304" t="s">
        <v>22</v>
      </c>
      <c r="I304">
        <v>1193035720</v>
      </c>
      <c r="J304" t="s">
        <v>2655</v>
      </c>
      <c r="P304" t="s">
        <v>4377</v>
      </c>
      <c r="Q304" s="15">
        <v>9450000</v>
      </c>
      <c r="R304" s="8" t="e">
        <f>SUMIFS([1]REPORTADOS!$D$2:$D$3379,[1]REPORTADOS!$C$2:$C$3379,E304)</f>
        <v>#VALUE!</v>
      </c>
    </row>
    <row r="305" spans="1:18" x14ac:dyDescent="0.25">
      <c r="A305">
        <v>900091143</v>
      </c>
      <c r="B305" t="s">
        <v>3965</v>
      </c>
      <c r="C305" t="s">
        <v>3558</v>
      </c>
      <c r="E305" t="s">
        <v>3558</v>
      </c>
      <c r="H305" t="s">
        <v>22</v>
      </c>
      <c r="I305">
        <v>1081053820</v>
      </c>
      <c r="J305" t="s">
        <v>2368</v>
      </c>
      <c r="P305" t="s">
        <v>4378</v>
      </c>
      <c r="Q305" s="15">
        <v>11025000</v>
      </c>
      <c r="R305" s="8" t="e">
        <f>SUMIFS([1]REPORTADOS!$D$2:$D$3379,[1]REPORTADOS!$C$2:$C$3379,E305)</f>
        <v>#VALUE!</v>
      </c>
    </row>
    <row r="306" spans="1:18" x14ac:dyDescent="0.25">
      <c r="A306">
        <v>900091143</v>
      </c>
      <c r="B306" t="s">
        <v>3965</v>
      </c>
      <c r="C306" t="s">
        <v>3559</v>
      </c>
      <c r="E306" t="s">
        <v>3559</v>
      </c>
      <c r="H306" t="s">
        <v>22</v>
      </c>
      <c r="I306">
        <v>1080041553</v>
      </c>
      <c r="J306" t="s">
        <v>4135</v>
      </c>
      <c r="P306" t="s">
        <v>4379</v>
      </c>
      <c r="Q306" s="15">
        <v>11025000</v>
      </c>
      <c r="R306" s="8" t="e">
        <f>SUMIFS([1]REPORTADOS!$D$2:$D$3379,[1]REPORTADOS!$C$2:$C$3379,E306)</f>
        <v>#VALUE!</v>
      </c>
    </row>
    <row r="307" spans="1:18" x14ac:dyDescent="0.25">
      <c r="A307">
        <v>900091143</v>
      </c>
      <c r="B307" t="s">
        <v>3965</v>
      </c>
      <c r="C307" t="s">
        <v>3560</v>
      </c>
      <c r="E307" t="s">
        <v>3560</v>
      </c>
      <c r="H307" t="s">
        <v>22</v>
      </c>
      <c r="I307">
        <v>1004508406</v>
      </c>
      <c r="J307" t="s">
        <v>4136</v>
      </c>
      <c r="P307" t="s">
        <v>4380</v>
      </c>
      <c r="Q307" s="15">
        <v>11025000</v>
      </c>
      <c r="R307" s="8" t="e">
        <f>SUMIFS([1]REPORTADOS!$D$2:$D$3379,[1]REPORTADOS!$C$2:$C$3379,E307)</f>
        <v>#VALUE!</v>
      </c>
    </row>
    <row r="308" spans="1:18" x14ac:dyDescent="0.25">
      <c r="A308">
        <v>900091143</v>
      </c>
      <c r="B308" t="s">
        <v>3965</v>
      </c>
      <c r="C308" t="s">
        <v>3561</v>
      </c>
      <c r="E308" t="s">
        <v>3561</v>
      </c>
      <c r="H308" t="s">
        <v>22</v>
      </c>
      <c r="I308">
        <v>1004709928</v>
      </c>
      <c r="J308" t="s">
        <v>2228</v>
      </c>
      <c r="P308" t="s">
        <v>4381</v>
      </c>
      <c r="Q308" s="15">
        <v>11025000</v>
      </c>
      <c r="R308" s="8" t="e">
        <f>SUMIFS([1]REPORTADOS!$D$2:$D$3379,[1]REPORTADOS!$C$2:$C$3379,E308)</f>
        <v>#VALUE!</v>
      </c>
    </row>
    <row r="309" spans="1:18" x14ac:dyDescent="0.25">
      <c r="A309">
        <v>900091143</v>
      </c>
      <c r="B309" t="s">
        <v>3965</v>
      </c>
      <c r="C309" t="s">
        <v>3562</v>
      </c>
      <c r="E309" t="s">
        <v>3562</v>
      </c>
      <c r="H309" t="s">
        <v>22</v>
      </c>
      <c r="I309">
        <v>27087122</v>
      </c>
      <c r="J309" t="s">
        <v>1961</v>
      </c>
      <c r="P309" t="s">
        <v>4304</v>
      </c>
      <c r="Q309" s="15">
        <v>11025000</v>
      </c>
      <c r="R309" s="8" t="e">
        <f>SUMIFS([1]REPORTADOS!$D$2:$D$3379,[1]REPORTADOS!$C$2:$C$3379,E309)</f>
        <v>#VALUE!</v>
      </c>
    </row>
    <row r="310" spans="1:18" x14ac:dyDescent="0.25">
      <c r="A310">
        <v>900091143</v>
      </c>
      <c r="B310" t="s">
        <v>3965</v>
      </c>
      <c r="C310" t="s">
        <v>3563</v>
      </c>
      <c r="E310" t="s">
        <v>3563</v>
      </c>
      <c r="H310" t="s">
        <v>22</v>
      </c>
      <c r="I310">
        <v>1087645341</v>
      </c>
      <c r="J310" t="s">
        <v>4137</v>
      </c>
      <c r="P310" t="s">
        <v>4304</v>
      </c>
      <c r="Q310" s="15">
        <v>12600000</v>
      </c>
      <c r="R310" s="8" t="e">
        <f>SUMIFS([1]REPORTADOS!$D$2:$D$3379,[1]REPORTADOS!$C$2:$C$3379,E310)</f>
        <v>#VALUE!</v>
      </c>
    </row>
    <row r="311" spans="1:18" x14ac:dyDescent="0.25">
      <c r="A311">
        <v>900091143</v>
      </c>
      <c r="B311" t="s">
        <v>3965</v>
      </c>
      <c r="C311" t="s">
        <v>3564</v>
      </c>
      <c r="E311" t="s">
        <v>3564</v>
      </c>
      <c r="H311" t="s">
        <v>22</v>
      </c>
      <c r="I311">
        <v>27549931</v>
      </c>
      <c r="J311" t="s">
        <v>4138</v>
      </c>
      <c r="P311" t="s">
        <v>4304</v>
      </c>
      <c r="Q311" s="15">
        <v>12600000</v>
      </c>
      <c r="R311" s="8" t="e">
        <f>SUMIFS([1]REPORTADOS!$D$2:$D$3379,[1]REPORTADOS!$C$2:$C$3379,E311)</f>
        <v>#VALUE!</v>
      </c>
    </row>
    <row r="312" spans="1:18" x14ac:dyDescent="0.25">
      <c r="A312">
        <v>900091143</v>
      </c>
      <c r="B312" t="s">
        <v>3965</v>
      </c>
      <c r="C312" t="s">
        <v>3565</v>
      </c>
      <c r="E312" t="s">
        <v>3565</v>
      </c>
      <c r="H312" t="s">
        <v>22</v>
      </c>
      <c r="I312">
        <v>1085325325</v>
      </c>
      <c r="J312" t="s">
        <v>2375</v>
      </c>
      <c r="P312" t="s">
        <v>4273</v>
      </c>
      <c r="Q312" s="8">
        <v>9450000</v>
      </c>
      <c r="R312" s="8" t="e">
        <f>SUMIFS([1]REPORTADOS!$D$2:$D$3379,[1]REPORTADOS!$C$2:$C$3379,E312)</f>
        <v>#VALUE!</v>
      </c>
    </row>
    <row r="313" spans="1:18" x14ac:dyDescent="0.25">
      <c r="A313">
        <v>900091143</v>
      </c>
      <c r="B313" t="s">
        <v>3965</v>
      </c>
      <c r="C313" t="s">
        <v>3566</v>
      </c>
      <c r="E313" t="s">
        <v>3566</v>
      </c>
      <c r="H313" t="s">
        <v>22</v>
      </c>
      <c r="I313">
        <v>27276869</v>
      </c>
      <c r="J313" t="s">
        <v>4139</v>
      </c>
      <c r="P313" t="s">
        <v>4304</v>
      </c>
      <c r="Q313" s="15">
        <v>12600000</v>
      </c>
      <c r="R313" s="8" t="e">
        <f>SUMIFS([1]REPORTADOS!$D$2:$D$3379,[1]REPORTADOS!$C$2:$C$3379,E313)</f>
        <v>#VALUE!</v>
      </c>
    </row>
    <row r="314" spans="1:18" x14ac:dyDescent="0.25">
      <c r="A314">
        <v>900091143</v>
      </c>
      <c r="B314" t="s">
        <v>3965</v>
      </c>
      <c r="C314" t="s">
        <v>3567</v>
      </c>
      <c r="E314" t="s">
        <v>3567</v>
      </c>
      <c r="H314" t="s">
        <v>22</v>
      </c>
      <c r="I314">
        <v>1086016304</v>
      </c>
      <c r="J314" t="s">
        <v>4140</v>
      </c>
      <c r="P314" t="s">
        <v>4304</v>
      </c>
      <c r="Q314" s="15">
        <v>12600000</v>
      </c>
      <c r="R314" s="8" t="e">
        <f>SUMIFS([1]REPORTADOS!$D$2:$D$3379,[1]REPORTADOS!$C$2:$C$3379,E314)</f>
        <v>#VALUE!</v>
      </c>
    </row>
    <row r="315" spans="1:18" x14ac:dyDescent="0.25">
      <c r="A315">
        <v>900091143</v>
      </c>
      <c r="B315" t="s">
        <v>3965</v>
      </c>
      <c r="C315" t="s">
        <v>3568</v>
      </c>
      <c r="E315" t="s">
        <v>3568</v>
      </c>
      <c r="H315" t="s">
        <v>22</v>
      </c>
      <c r="I315">
        <v>36953590</v>
      </c>
      <c r="J315" t="s">
        <v>4141</v>
      </c>
      <c r="P315" t="s">
        <v>4304</v>
      </c>
      <c r="Q315" s="15">
        <v>12600000</v>
      </c>
      <c r="R315" s="8" t="e">
        <f>SUMIFS([1]REPORTADOS!$D$2:$D$3379,[1]REPORTADOS!$C$2:$C$3379,E315)</f>
        <v>#VALUE!</v>
      </c>
    </row>
    <row r="316" spans="1:18" x14ac:dyDescent="0.25">
      <c r="A316">
        <v>900091143</v>
      </c>
      <c r="B316" t="s">
        <v>3965</v>
      </c>
      <c r="C316" t="s">
        <v>3569</v>
      </c>
      <c r="E316" t="s">
        <v>3569</v>
      </c>
      <c r="H316" t="s">
        <v>22</v>
      </c>
      <c r="I316">
        <v>98382500</v>
      </c>
      <c r="J316" t="s">
        <v>1802</v>
      </c>
      <c r="P316" t="s">
        <v>4382</v>
      </c>
      <c r="Q316" s="15">
        <v>12600000</v>
      </c>
      <c r="R316" s="8" t="e">
        <f>SUMIFS([1]REPORTADOS!$D$2:$D$3379,[1]REPORTADOS!$C$2:$C$3379,E316)</f>
        <v>#VALUE!</v>
      </c>
    </row>
    <row r="317" spans="1:18" x14ac:dyDescent="0.25">
      <c r="A317">
        <v>900091143</v>
      </c>
      <c r="B317" t="s">
        <v>3965</v>
      </c>
      <c r="C317" t="s">
        <v>3570</v>
      </c>
      <c r="E317" t="s">
        <v>3570</v>
      </c>
      <c r="H317" t="s">
        <v>22</v>
      </c>
      <c r="I317">
        <v>12754447</v>
      </c>
      <c r="J317" t="s">
        <v>4142</v>
      </c>
      <c r="P317" t="s">
        <v>4383</v>
      </c>
      <c r="Q317" s="15">
        <v>14190000</v>
      </c>
      <c r="R317" s="8" t="e">
        <f>SUMIFS([1]REPORTADOS!$D$2:$D$3379,[1]REPORTADOS!$C$2:$C$3379,E317)</f>
        <v>#VALUE!</v>
      </c>
    </row>
    <row r="318" spans="1:18" x14ac:dyDescent="0.25">
      <c r="A318">
        <v>900091143</v>
      </c>
      <c r="B318" t="s">
        <v>3965</v>
      </c>
      <c r="C318" t="s">
        <v>3571</v>
      </c>
      <c r="E318" t="s">
        <v>3571</v>
      </c>
      <c r="H318" t="s">
        <v>22</v>
      </c>
      <c r="I318">
        <v>1088730615</v>
      </c>
      <c r="J318" t="s">
        <v>4143</v>
      </c>
      <c r="P318" t="s">
        <v>4350</v>
      </c>
      <c r="Q318" s="15">
        <v>18920000</v>
      </c>
      <c r="R318" s="8" t="e">
        <f>SUMIFS([1]REPORTADOS!$D$2:$D$3379,[1]REPORTADOS!$C$2:$C$3379,E318)</f>
        <v>#VALUE!</v>
      </c>
    </row>
    <row r="319" spans="1:18" x14ac:dyDescent="0.25">
      <c r="A319">
        <v>900091143</v>
      </c>
      <c r="B319" t="s">
        <v>3965</v>
      </c>
      <c r="C319" t="s">
        <v>3572</v>
      </c>
      <c r="E319" t="s">
        <v>3572</v>
      </c>
      <c r="H319" t="s">
        <v>22</v>
      </c>
      <c r="I319">
        <v>1085333467</v>
      </c>
      <c r="J319" t="s">
        <v>4144</v>
      </c>
      <c r="P319" t="s">
        <v>4350</v>
      </c>
      <c r="Q319" s="15">
        <v>18920000</v>
      </c>
      <c r="R319" s="8" t="e">
        <f>SUMIFS([1]REPORTADOS!$D$2:$D$3379,[1]REPORTADOS!$C$2:$C$3379,E319)</f>
        <v>#VALUE!</v>
      </c>
    </row>
    <row r="320" spans="1:18" x14ac:dyDescent="0.25">
      <c r="A320">
        <v>900091143</v>
      </c>
      <c r="B320" t="s">
        <v>3965</v>
      </c>
      <c r="C320" t="s">
        <v>3573</v>
      </c>
      <c r="E320" t="s">
        <v>3573</v>
      </c>
      <c r="H320" t="s">
        <v>22</v>
      </c>
      <c r="I320">
        <v>36953206</v>
      </c>
      <c r="J320" t="s">
        <v>1807</v>
      </c>
      <c r="P320" t="s">
        <v>4384</v>
      </c>
      <c r="Q320" s="15">
        <v>18920000</v>
      </c>
      <c r="R320" s="8" t="e">
        <f>SUMIFS([1]REPORTADOS!$D$2:$D$3379,[1]REPORTADOS!$C$2:$C$3379,E320)</f>
        <v>#VALUE!</v>
      </c>
    </row>
    <row r="321" spans="1:18" x14ac:dyDescent="0.25">
      <c r="A321">
        <v>900091143</v>
      </c>
      <c r="B321" t="s">
        <v>3965</v>
      </c>
      <c r="C321" t="s">
        <v>3574</v>
      </c>
      <c r="E321" t="s">
        <v>3574</v>
      </c>
      <c r="H321" t="s">
        <v>22</v>
      </c>
      <c r="I321">
        <v>59312865</v>
      </c>
      <c r="J321" t="s">
        <v>2197</v>
      </c>
      <c r="P321" t="s">
        <v>4385</v>
      </c>
      <c r="Q321" s="15">
        <v>18920000</v>
      </c>
      <c r="R321" s="8" t="e">
        <f>SUMIFS([1]REPORTADOS!$D$2:$D$3379,[1]REPORTADOS!$C$2:$C$3379,E321)</f>
        <v>#VALUE!</v>
      </c>
    </row>
    <row r="322" spans="1:18" x14ac:dyDescent="0.25">
      <c r="A322">
        <v>900091143</v>
      </c>
      <c r="B322" t="s">
        <v>3965</v>
      </c>
      <c r="C322" t="s">
        <v>3575</v>
      </c>
      <c r="E322" t="s">
        <v>3575</v>
      </c>
      <c r="H322" t="s">
        <v>22</v>
      </c>
      <c r="I322">
        <v>27097745</v>
      </c>
      <c r="J322" t="s">
        <v>1978</v>
      </c>
      <c r="P322" t="s">
        <v>4386</v>
      </c>
      <c r="Q322" s="15">
        <v>22050000</v>
      </c>
      <c r="R322" s="8" t="e">
        <f>SUMIFS([1]REPORTADOS!$D$2:$D$3379,[1]REPORTADOS!$C$2:$C$3379,E322)</f>
        <v>#VALUE!</v>
      </c>
    </row>
    <row r="323" spans="1:18" x14ac:dyDescent="0.25">
      <c r="A323">
        <v>900091143</v>
      </c>
      <c r="B323" t="s">
        <v>3965</v>
      </c>
      <c r="C323" t="s">
        <v>3576</v>
      </c>
      <c r="E323" t="s">
        <v>3576</v>
      </c>
      <c r="H323" t="s">
        <v>22</v>
      </c>
      <c r="I323">
        <v>36952916</v>
      </c>
      <c r="J323" t="s">
        <v>4145</v>
      </c>
      <c r="P323" t="s">
        <v>4387</v>
      </c>
      <c r="Q323" s="15">
        <v>22050000</v>
      </c>
      <c r="R323" s="8" t="e">
        <f>SUMIFS([1]REPORTADOS!$D$2:$D$3379,[1]REPORTADOS!$C$2:$C$3379,E323)</f>
        <v>#VALUE!</v>
      </c>
    </row>
    <row r="324" spans="1:18" x14ac:dyDescent="0.25">
      <c r="A324">
        <v>900091143</v>
      </c>
      <c r="B324" t="s">
        <v>3965</v>
      </c>
      <c r="C324" t="s">
        <v>3577</v>
      </c>
      <c r="E324" t="s">
        <v>3577</v>
      </c>
      <c r="H324" t="s">
        <v>22</v>
      </c>
      <c r="I324">
        <v>1085298800</v>
      </c>
      <c r="J324" t="s">
        <v>4146</v>
      </c>
      <c r="P324" t="s">
        <v>4388</v>
      </c>
      <c r="Q324" s="15">
        <v>23400000</v>
      </c>
      <c r="R324" s="8" t="e">
        <f>SUMIFS([1]REPORTADOS!$D$2:$D$3379,[1]REPORTADOS!$C$2:$C$3379,E324)</f>
        <v>#VALUE!</v>
      </c>
    </row>
    <row r="325" spans="1:18" x14ac:dyDescent="0.25">
      <c r="A325">
        <v>900091143</v>
      </c>
      <c r="B325" t="s">
        <v>3965</v>
      </c>
      <c r="C325" t="s">
        <v>3578</v>
      </c>
      <c r="E325" t="s">
        <v>3578</v>
      </c>
      <c r="H325" t="s">
        <v>22</v>
      </c>
      <c r="I325">
        <v>1084224761</v>
      </c>
      <c r="J325" t="s">
        <v>4147</v>
      </c>
      <c r="P325" t="s">
        <v>4327</v>
      </c>
      <c r="Q325" s="15">
        <v>25200000</v>
      </c>
      <c r="R325" s="8" t="e">
        <f>SUMIFS([1]REPORTADOS!$D$2:$D$3379,[1]REPORTADOS!$C$2:$C$3379,E325)</f>
        <v>#VALUE!</v>
      </c>
    </row>
    <row r="326" spans="1:18" x14ac:dyDescent="0.25">
      <c r="A326">
        <v>900091143</v>
      </c>
      <c r="B326" t="s">
        <v>3965</v>
      </c>
      <c r="C326" t="s">
        <v>3579</v>
      </c>
      <c r="E326" t="s">
        <v>3579</v>
      </c>
      <c r="H326" t="s">
        <v>22</v>
      </c>
      <c r="I326">
        <v>27090399</v>
      </c>
      <c r="J326" t="s">
        <v>4148</v>
      </c>
      <c r="P326" t="s">
        <v>4327</v>
      </c>
      <c r="Q326" s="15">
        <v>25200000</v>
      </c>
      <c r="R326" s="8" t="e">
        <f>SUMIFS([1]REPORTADOS!$D$2:$D$3379,[1]REPORTADOS!$C$2:$C$3379,E326)</f>
        <v>#VALUE!</v>
      </c>
    </row>
    <row r="327" spans="1:18" x14ac:dyDescent="0.25">
      <c r="A327">
        <v>900091143</v>
      </c>
      <c r="B327" t="s">
        <v>3965</v>
      </c>
      <c r="C327" t="s">
        <v>3580</v>
      </c>
      <c r="E327" t="s">
        <v>3580</v>
      </c>
      <c r="H327" t="s">
        <v>22</v>
      </c>
      <c r="I327">
        <v>1014212900</v>
      </c>
      <c r="J327" t="s">
        <v>4149</v>
      </c>
      <c r="P327" t="s">
        <v>4327</v>
      </c>
      <c r="Q327" s="15">
        <v>25200000</v>
      </c>
      <c r="R327" s="8" t="e">
        <f>SUMIFS([1]REPORTADOS!$D$2:$D$3379,[1]REPORTADOS!$C$2:$C$3379,E327)</f>
        <v>#VALUE!</v>
      </c>
    </row>
    <row r="328" spans="1:18" x14ac:dyDescent="0.25">
      <c r="A328">
        <v>900091143</v>
      </c>
      <c r="B328" t="s">
        <v>3965</v>
      </c>
      <c r="C328" t="s">
        <v>3581</v>
      </c>
      <c r="E328" t="s">
        <v>3581</v>
      </c>
      <c r="H328" t="s">
        <v>22</v>
      </c>
      <c r="I328">
        <v>37086513</v>
      </c>
      <c r="J328" t="s">
        <v>4150</v>
      </c>
      <c r="P328" t="s">
        <v>4386</v>
      </c>
      <c r="Q328" s="15">
        <v>25200000</v>
      </c>
      <c r="R328" s="8" t="e">
        <f>SUMIFS([1]REPORTADOS!$D$2:$D$3379,[1]REPORTADOS!$C$2:$C$3379,E328)</f>
        <v>#VALUE!</v>
      </c>
    </row>
    <row r="329" spans="1:18" x14ac:dyDescent="0.25">
      <c r="A329">
        <v>900091143</v>
      </c>
      <c r="B329" t="s">
        <v>3965</v>
      </c>
      <c r="C329" t="s">
        <v>3582</v>
      </c>
      <c r="E329" t="s">
        <v>3582</v>
      </c>
      <c r="H329" t="s">
        <v>22</v>
      </c>
      <c r="I329">
        <v>1085284997</v>
      </c>
      <c r="J329" t="s">
        <v>4151</v>
      </c>
      <c r="P329" t="s">
        <v>4389</v>
      </c>
      <c r="Q329" s="15">
        <v>25200000</v>
      </c>
      <c r="R329" s="8" t="e">
        <f>SUMIFS([1]REPORTADOS!$D$2:$D$3379,[1]REPORTADOS!$C$2:$C$3379,E329)</f>
        <v>#VALUE!</v>
      </c>
    </row>
    <row r="330" spans="1:18" x14ac:dyDescent="0.25">
      <c r="A330">
        <v>900091143</v>
      </c>
      <c r="B330" t="s">
        <v>3965</v>
      </c>
      <c r="C330" t="s">
        <v>3583</v>
      </c>
      <c r="E330" t="s">
        <v>3583</v>
      </c>
      <c r="H330" t="s">
        <v>22</v>
      </c>
      <c r="I330">
        <v>36757221</v>
      </c>
      <c r="J330" t="s">
        <v>2497</v>
      </c>
      <c r="P330" t="s">
        <v>4345</v>
      </c>
      <c r="Q330" s="15">
        <v>25200000</v>
      </c>
      <c r="R330" s="8" t="e">
        <f>SUMIFS([1]REPORTADOS!$D$2:$D$3379,[1]REPORTADOS!$C$2:$C$3379,E330)</f>
        <v>#VALUE!</v>
      </c>
    </row>
    <row r="331" spans="1:18" x14ac:dyDescent="0.25">
      <c r="A331">
        <v>900091143</v>
      </c>
      <c r="B331" t="s">
        <v>3965</v>
      </c>
      <c r="C331" t="s">
        <v>3584</v>
      </c>
      <c r="E331" t="s">
        <v>3584</v>
      </c>
      <c r="H331" t="s">
        <v>22</v>
      </c>
      <c r="I331">
        <v>1085246871</v>
      </c>
      <c r="J331" t="s">
        <v>4152</v>
      </c>
      <c r="P331" t="s">
        <v>4374</v>
      </c>
      <c r="Q331" s="15">
        <v>31200000</v>
      </c>
      <c r="R331" s="8" t="e">
        <f>SUMIFS([1]REPORTADOS!$D$2:$D$3379,[1]REPORTADOS!$C$2:$C$3379,E331)</f>
        <v>#VALUE!</v>
      </c>
    </row>
    <row r="332" spans="1:18" x14ac:dyDescent="0.25">
      <c r="A332">
        <v>900091143</v>
      </c>
      <c r="B332" t="s">
        <v>3965</v>
      </c>
      <c r="C332" t="s">
        <v>3585</v>
      </c>
      <c r="E332" t="s">
        <v>3585</v>
      </c>
      <c r="H332" t="s">
        <v>22</v>
      </c>
      <c r="I332">
        <v>1085275879</v>
      </c>
      <c r="J332" t="s">
        <v>1906</v>
      </c>
      <c r="P332" t="s">
        <v>4273</v>
      </c>
      <c r="Q332" s="8">
        <v>18900000</v>
      </c>
      <c r="R332" s="8" t="e">
        <f>SUMIFS([1]REPORTADOS!$D$2:$D$3379,[1]REPORTADOS!$C$2:$C$3379,E332)</f>
        <v>#VALUE!</v>
      </c>
    </row>
    <row r="333" spans="1:18" x14ac:dyDescent="0.25">
      <c r="A333">
        <v>900091143</v>
      </c>
      <c r="B333" t="s">
        <v>3965</v>
      </c>
      <c r="C333" t="s">
        <v>3586</v>
      </c>
      <c r="E333" t="s">
        <v>3586</v>
      </c>
      <c r="H333" t="s">
        <v>22</v>
      </c>
      <c r="I333">
        <v>1081594639</v>
      </c>
      <c r="J333" t="s">
        <v>4153</v>
      </c>
      <c r="P333" t="s">
        <v>4273</v>
      </c>
      <c r="Q333" s="8">
        <v>9450000</v>
      </c>
      <c r="R333" s="8" t="e">
        <f>SUMIFS([1]REPORTADOS!$D$2:$D$3379,[1]REPORTADOS!$C$2:$C$3379,E333)</f>
        <v>#VALUE!</v>
      </c>
    </row>
    <row r="334" spans="1:18" x14ac:dyDescent="0.25">
      <c r="A334">
        <v>900091143</v>
      </c>
      <c r="B334" t="s">
        <v>3965</v>
      </c>
      <c r="C334" t="s">
        <v>3587</v>
      </c>
      <c r="E334" t="s">
        <v>3587</v>
      </c>
      <c r="H334" t="s">
        <v>22</v>
      </c>
      <c r="I334">
        <v>1086328142</v>
      </c>
      <c r="J334" t="s">
        <v>2432</v>
      </c>
      <c r="P334" t="s">
        <v>4273</v>
      </c>
      <c r="Q334" s="8">
        <v>9450000</v>
      </c>
      <c r="R334" s="8" t="e">
        <f>SUMIFS([1]REPORTADOS!$D$2:$D$3379,[1]REPORTADOS!$C$2:$C$3379,E334)</f>
        <v>#VALUE!</v>
      </c>
    </row>
    <row r="335" spans="1:18" x14ac:dyDescent="0.25">
      <c r="A335">
        <v>900091143</v>
      </c>
      <c r="B335" t="s">
        <v>3965</v>
      </c>
      <c r="C335" t="s">
        <v>3588</v>
      </c>
      <c r="E335" t="s">
        <v>3588</v>
      </c>
      <c r="H335" t="s">
        <v>22</v>
      </c>
      <c r="I335">
        <v>37084285</v>
      </c>
      <c r="J335" t="s">
        <v>1724</v>
      </c>
      <c r="P335" t="s">
        <v>4273</v>
      </c>
      <c r="Q335" s="8">
        <v>9450000</v>
      </c>
      <c r="R335" s="8" t="e">
        <f>SUMIFS([1]REPORTADOS!$D$2:$D$3379,[1]REPORTADOS!$C$2:$C$3379,E335)</f>
        <v>#VALUE!</v>
      </c>
    </row>
    <row r="336" spans="1:18" x14ac:dyDescent="0.25">
      <c r="A336">
        <v>900091143</v>
      </c>
      <c r="B336" t="s">
        <v>3965</v>
      </c>
      <c r="C336" t="s">
        <v>3589</v>
      </c>
      <c r="E336" t="s">
        <v>3589</v>
      </c>
      <c r="H336" t="s">
        <v>22</v>
      </c>
      <c r="I336">
        <v>1085244624</v>
      </c>
      <c r="J336" t="s">
        <v>4154</v>
      </c>
      <c r="P336" t="s">
        <v>4374</v>
      </c>
      <c r="Q336" s="15">
        <v>31200000</v>
      </c>
      <c r="R336" s="8" t="e">
        <f>SUMIFS([1]REPORTADOS!$D$2:$D$3379,[1]REPORTADOS!$C$2:$C$3379,E336)</f>
        <v>#VALUE!</v>
      </c>
    </row>
    <row r="337" spans="1:18" x14ac:dyDescent="0.25">
      <c r="A337">
        <v>900091143</v>
      </c>
      <c r="B337" t="s">
        <v>3965</v>
      </c>
      <c r="C337" t="s">
        <v>3590</v>
      </c>
      <c r="E337" t="s">
        <v>3590</v>
      </c>
      <c r="H337" t="s">
        <v>22</v>
      </c>
      <c r="I337">
        <v>1086361622</v>
      </c>
      <c r="J337" t="s">
        <v>4029</v>
      </c>
      <c r="P337" t="s">
        <v>4273</v>
      </c>
      <c r="Q337" s="8">
        <v>9450000</v>
      </c>
      <c r="R337" s="8" t="e">
        <f>SUMIFS([1]REPORTADOS!$D$2:$D$3379,[1]REPORTADOS!$C$2:$C$3379,E337)</f>
        <v>#VALUE!</v>
      </c>
    </row>
    <row r="338" spans="1:18" x14ac:dyDescent="0.25">
      <c r="A338">
        <v>900091143</v>
      </c>
      <c r="B338" t="s">
        <v>3965</v>
      </c>
      <c r="C338" t="s">
        <v>3591</v>
      </c>
      <c r="E338" t="s">
        <v>3591</v>
      </c>
      <c r="H338" t="s">
        <v>22</v>
      </c>
      <c r="I338">
        <v>1005977438</v>
      </c>
      <c r="J338" t="s">
        <v>4035</v>
      </c>
      <c r="P338" t="s">
        <v>4273</v>
      </c>
      <c r="Q338" s="8">
        <v>9450000</v>
      </c>
      <c r="R338" s="8" t="e">
        <f>SUMIFS([1]REPORTADOS!$D$2:$D$3379,[1]REPORTADOS!$C$2:$C$3379,E338)</f>
        <v>#VALUE!</v>
      </c>
    </row>
    <row r="339" spans="1:18" x14ac:dyDescent="0.25">
      <c r="A339">
        <v>900091143</v>
      </c>
      <c r="B339" t="s">
        <v>3965</v>
      </c>
      <c r="C339" t="s">
        <v>3592</v>
      </c>
      <c r="E339" t="s">
        <v>3592</v>
      </c>
      <c r="H339" t="s">
        <v>22</v>
      </c>
      <c r="I339">
        <v>1086755989</v>
      </c>
      <c r="J339" t="s">
        <v>4155</v>
      </c>
      <c r="P339" t="s">
        <v>4273</v>
      </c>
      <c r="Q339" s="8">
        <v>18900000</v>
      </c>
      <c r="R339" s="8" t="e">
        <f>SUMIFS([1]REPORTADOS!$D$2:$D$3379,[1]REPORTADOS!$C$2:$C$3379,E339)</f>
        <v>#VALUE!</v>
      </c>
    </row>
    <row r="340" spans="1:18" x14ac:dyDescent="0.25">
      <c r="A340">
        <v>900091143</v>
      </c>
      <c r="B340" t="s">
        <v>3965</v>
      </c>
      <c r="C340" t="s">
        <v>3593</v>
      </c>
      <c r="E340" t="s">
        <v>3593</v>
      </c>
      <c r="H340" t="s">
        <v>22</v>
      </c>
      <c r="I340">
        <v>1233189066</v>
      </c>
      <c r="J340" t="s">
        <v>4156</v>
      </c>
      <c r="P340" t="s">
        <v>4322</v>
      </c>
      <c r="Q340" s="8">
        <v>7800000</v>
      </c>
      <c r="R340" s="8" t="e">
        <f>SUMIFS([1]REPORTADOS!$D$2:$D$3379,[1]REPORTADOS!$C$2:$C$3379,E340)</f>
        <v>#VALUE!</v>
      </c>
    </row>
    <row r="341" spans="1:18" x14ac:dyDescent="0.25">
      <c r="A341">
        <v>900091143</v>
      </c>
      <c r="B341" t="s">
        <v>3965</v>
      </c>
      <c r="C341" t="s">
        <v>3594</v>
      </c>
      <c r="E341" t="s">
        <v>3594</v>
      </c>
      <c r="H341" t="s">
        <v>22</v>
      </c>
      <c r="I341">
        <v>80765093</v>
      </c>
      <c r="J341" t="s">
        <v>1651</v>
      </c>
      <c r="P341" t="s">
        <v>4322</v>
      </c>
      <c r="Q341" s="8">
        <v>23400000</v>
      </c>
      <c r="R341" s="8" t="e">
        <f>SUMIFS([1]REPORTADOS!$D$2:$D$3379,[1]REPORTADOS!$C$2:$C$3379,E341)</f>
        <v>#VALUE!</v>
      </c>
    </row>
    <row r="342" spans="1:18" x14ac:dyDescent="0.25">
      <c r="A342">
        <v>900091143</v>
      </c>
      <c r="B342" t="s">
        <v>3965</v>
      </c>
      <c r="C342" t="s">
        <v>3595</v>
      </c>
      <c r="E342" t="s">
        <v>3595</v>
      </c>
      <c r="H342" t="s">
        <v>22</v>
      </c>
      <c r="I342">
        <v>1085283868</v>
      </c>
      <c r="J342" t="s">
        <v>4113</v>
      </c>
      <c r="P342" t="s">
        <v>4273</v>
      </c>
      <c r="Q342" s="8">
        <v>18900000</v>
      </c>
      <c r="R342" s="8" t="e">
        <f>SUMIFS([1]REPORTADOS!$D$2:$D$3379,[1]REPORTADOS!$C$2:$C$3379,E342)</f>
        <v>#VALUE!</v>
      </c>
    </row>
    <row r="343" spans="1:18" x14ac:dyDescent="0.25">
      <c r="A343">
        <v>900091143</v>
      </c>
      <c r="B343" t="s">
        <v>3965</v>
      </c>
      <c r="C343" t="s">
        <v>3596</v>
      </c>
      <c r="E343" t="s">
        <v>3596</v>
      </c>
      <c r="H343" t="s">
        <v>22</v>
      </c>
      <c r="I343">
        <v>59816986</v>
      </c>
      <c r="J343" t="s">
        <v>2257</v>
      </c>
      <c r="P343" t="s">
        <v>4322</v>
      </c>
      <c r="Q343" s="8">
        <v>14190000</v>
      </c>
      <c r="R343" s="8" t="e">
        <f>SUMIFS([1]REPORTADOS!$D$2:$D$3379,[1]REPORTADOS!$C$2:$C$3379,E343)</f>
        <v>#VALUE!</v>
      </c>
    </row>
    <row r="344" spans="1:18" x14ac:dyDescent="0.25">
      <c r="A344">
        <v>900091143</v>
      </c>
      <c r="B344" t="s">
        <v>3965</v>
      </c>
      <c r="C344" t="s">
        <v>3597</v>
      </c>
      <c r="E344" t="s">
        <v>3597</v>
      </c>
      <c r="H344" t="s">
        <v>22</v>
      </c>
      <c r="I344">
        <v>36756149</v>
      </c>
      <c r="J344" t="s">
        <v>4089</v>
      </c>
      <c r="P344" t="s">
        <v>4322</v>
      </c>
      <c r="Q344" s="8">
        <v>14190000</v>
      </c>
      <c r="R344" s="8" t="e">
        <f>SUMIFS([1]REPORTADOS!$D$2:$D$3379,[1]REPORTADOS!$C$2:$C$3379,E344)</f>
        <v>#VALUE!</v>
      </c>
    </row>
    <row r="345" spans="1:18" x14ac:dyDescent="0.25">
      <c r="A345">
        <v>900091143</v>
      </c>
      <c r="B345" t="s">
        <v>3965</v>
      </c>
      <c r="C345" t="s">
        <v>3598</v>
      </c>
      <c r="E345" t="s">
        <v>3598</v>
      </c>
      <c r="H345" t="s">
        <v>22</v>
      </c>
      <c r="I345">
        <v>1082749648</v>
      </c>
      <c r="J345" t="s">
        <v>4095</v>
      </c>
      <c r="P345" t="s">
        <v>4322</v>
      </c>
      <c r="Q345" s="8">
        <v>14190000</v>
      </c>
      <c r="R345" s="8" t="e">
        <f>SUMIFS([1]REPORTADOS!$D$2:$D$3379,[1]REPORTADOS!$C$2:$C$3379,E345)</f>
        <v>#VALUE!</v>
      </c>
    </row>
    <row r="346" spans="1:18" x14ac:dyDescent="0.25">
      <c r="A346">
        <v>900091143</v>
      </c>
      <c r="B346" t="s">
        <v>3965</v>
      </c>
      <c r="C346" t="s">
        <v>3599</v>
      </c>
      <c r="E346" t="s">
        <v>3599</v>
      </c>
      <c r="H346" t="s">
        <v>22</v>
      </c>
      <c r="I346">
        <v>59825948</v>
      </c>
      <c r="J346" t="s">
        <v>1756</v>
      </c>
      <c r="P346" t="s">
        <v>4273</v>
      </c>
      <c r="Q346" s="8">
        <v>18900000</v>
      </c>
      <c r="R346" s="8" t="e">
        <f>SUMIFS([1]REPORTADOS!$D$2:$D$3379,[1]REPORTADOS!$C$2:$C$3379,E346)</f>
        <v>#VALUE!</v>
      </c>
    </row>
    <row r="347" spans="1:18" x14ac:dyDescent="0.25">
      <c r="A347">
        <v>900091143</v>
      </c>
      <c r="B347" t="s">
        <v>3965</v>
      </c>
      <c r="C347" t="s">
        <v>3600</v>
      </c>
      <c r="E347" t="s">
        <v>3600</v>
      </c>
      <c r="H347" t="s">
        <v>22</v>
      </c>
      <c r="I347">
        <v>1085336362</v>
      </c>
      <c r="J347" t="s">
        <v>1819</v>
      </c>
      <c r="P347" t="s">
        <v>4322</v>
      </c>
      <c r="Q347" s="8">
        <v>23400000</v>
      </c>
      <c r="R347" s="8" t="e">
        <f>SUMIFS([1]REPORTADOS!$D$2:$D$3379,[1]REPORTADOS!$C$2:$C$3379,E347)</f>
        <v>#VALUE!</v>
      </c>
    </row>
    <row r="348" spans="1:18" x14ac:dyDescent="0.25">
      <c r="A348">
        <v>900091143</v>
      </c>
      <c r="B348" t="s">
        <v>3965</v>
      </c>
      <c r="C348" t="s">
        <v>3601</v>
      </c>
      <c r="E348" t="s">
        <v>3601</v>
      </c>
      <c r="H348" t="s">
        <v>22</v>
      </c>
      <c r="I348">
        <v>1006946167</v>
      </c>
      <c r="J348" t="s">
        <v>2168</v>
      </c>
      <c r="P348" t="s">
        <v>4322</v>
      </c>
      <c r="Q348" s="8">
        <v>23400000</v>
      </c>
      <c r="R348" s="8" t="e">
        <f>SUMIFS([1]REPORTADOS!$D$2:$D$3379,[1]REPORTADOS!$C$2:$C$3379,E348)</f>
        <v>#VALUE!</v>
      </c>
    </row>
    <row r="349" spans="1:18" x14ac:dyDescent="0.25">
      <c r="A349">
        <v>900091143</v>
      </c>
      <c r="B349" t="s">
        <v>3965</v>
      </c>
      <c r="C349" t="s">
        <v>3602</v>
      </c>
      <c r="E349" t="s">
        <v>3602</v>
      </c>
      <c r="H349" t="s">
        <v>22</v>
      </c>
      <c r="I349">
        <v>1085275473</v>
      </c>
      <c r="J349" t="s">
        <v>4157</v>
      </c>
      <c r="P349" t="s">
        <v>4273</v>
      </c>
      <c r="Q349" s="8">
        <v>9450000</v>
      </c>
      <c r="R349" s="8" t="e">
        <f>SUMIFS([1]REPORTADOS!$D$2:$D$3379,[1]REPORTADOS!$C$2:$C$3379,E349)</f>
        <v>#VALUE!</v>
      </c>
    </row>
    <row r="350" spans="1:18" x14ac:dyDescent="0.25">
      <c r="A350">
        <v>900091143</v>
      </c>
      <c r="B350" t="s">
        <v>3965</v>
      </c>
      <c r="C350" t="s">
        <v>3603</v>
      </c>
      <c r="E350" t="s">
        <v>3603</v>
      </c>
      <c r="H350" t="s">
        <v>22</v>
      </c>
      <c r="I350">
        <v>59833899</v>
      </c>
      <c r="J350" t="s">
        <v>2035</v>
      </c>
      <c r="P350" t="s">
        <v>4273</v>
      </c>
      <c r="Q350" s="8">
        <v>9450000</v>
      </c>
      <c r="R350" s="8" t="e">
        <f>SUMIFS([1]REPORTADOS!$D$2:$D$3379,[1]REPORTADOS!$C$2:$C$3379,E350)</f>
        <v>#VALUE!</v>
      </c>
    </row>
    <row r="351" spans="1:18" x14ac:dyDescent="0.25">
      <c r="A351">
        <v>900091143</v>
      </c>
      <c r="B351" t="s">
        <v>3965</v>
      </c>
      <c r="C351" t="s">
        <v>3604</v>
      </c>
      <c r="E351" t="s">
        <v>3604</v>
      </c>
      <c r="H351" t="s">
        <v>22</v>
      </c>
      <c r="I351">
        <v>36759759</v>
      </c>
      <c r="J351" t="s">
        <v>1708</v>
      </c>
      <c r="P351" t="s">
        <v>4322</v>
      </c>
      <c r="Q351" s="8">
        <v>14190000</v>
      </c>
      <c r="R351" s="8" t="e">
        <f>SUMIFS([1]REPORTADOS!$D$2:$D$3379,[1]REPORTADOS!$C$2:$C$3379,E351)</f>
        <v>#VALUE!</v>
      </c>
    </row>
    <row r="352" spans="1:18" x14ac:dyDescent="0.25">
      <c r="A352">
        <v>900091143</v>
      </c>
      <c r="B352" t="s">
        <v>3965</v>
      </c>
      <c r="C352" t="s">
        <v>3605</v>
      </c>
      <c r="E352" t="s">
        <v>3605</v>
      </c>
      <c r="H352" t="s">
        <v>22</v>
      </c>
      <c r="I352">
        <v>1085248939</v>
      </c>
      <c r="J352" t="s">
        <v>2609</v>
      </c>
      <c r="P352" t="s">
        <v>4273</v>
      </c>
      <c r="Q352" s="8">
        <v>18900000</v>
      </c>
      <c r="R352" s="8" t="e">
        <f>SUMIFS([1]REPORTADOS!$D$2:$D$3379,[1]REPORTADOS!$C$2:$C$3379,E352)</f>
        <v>#VALUE!</v>
      </c>
    </row>
    <row r="353" spans="1:18" x14ac:dyDescent="0.25">
      <c r="A353">
        <v>900091143</v>
      </c>
      <c r="B353" t="s">
        <v>3965</v>
      </c>
      <c r="C353" t="s">
        <v>3606</v>
      </c>
      <c r="E353" t="s">
        <v>3606</v>
      </c>
      <c r="H353" t="s">
        <v>22</v>
      </c>
      <c r="I353">
        <v>1085339190</v>
      </c>
      <c r="J353" t="s">
        <v>1762</v>
      </c>
      <c r="P353" t="s">
        <v>4273</v>
      </c>
      <c r="Q353" s="8">
        <v>9450000</v>
      </c>
      <c r="R353" s="8" t="e">
        <f>SUMIFS([1]REPORTADOS!$D$2:$D$3379,[1]REPORTADOS!$C$2:$C$3379,E353)</f>
        <v>#VALUE!</v>
      </c>
    </row>
    <row r="354" spans="1:18" x14ac:dyDescent="0.25">
      <c r="A354">
        <v>900091143</v>
      </c>
      <c r="B354" t="s">
        <v>3965</v>
      </c>
      <c r="C354" t="s">
        <v>3607</v>
      </c>
      <c r="E354" t="s">
        <v>3607</v>
      </c>
      <c r="H354" t="s">
        <v>22</v>
      </c>
      <c r="I354">
        <v>1085300095</v>
      </c>
      <c r="J354" t="s">
        <v>1717</v>
      </c>
      <c r="P354" t="s">
        <v>4273</v>
      </c>
      <c r="Q354" s="8">
        <v>9450000</v>
      </c>
      <c r="R354" s="8" t="e">
        <f>SUMIFS([1]REPORTADOS!$D$2:$D$3379,[1]REPORTADOS!$C$2:$C$3379,E354)</f>
        <v>#VALUE!</v>
      </c>
    </row>
    <row r="355" spans="1:18" x14ac:dyDescent="0.25">
      <c r="A355">
        <v>900091143</v>
      </c>
      <c r="B355" t="s">
        <v>3965</v>
      </c>
      <c r="C355" t="s">
        <v>3608</v>
      </c>
      <c r="E355" t="s">
        <v>3608</v>
      </c>
      <c r="H355" t="s">
        <v>22</v>
      </c>
      <c r="I355">
        <v>59820414</v>
      </c>
      <c r="J355" t="s">
        <v>1846</v>
      </c>
      <c r="P355" t="s">
        <v>4273</v>
      </c>
      <c r="Q355" s="8">
        <v>18900000</v>
      </c>
      <c r="R355" s="8" t="e">
        <f>SUMIFS([1]REPORTADOS!$D$2:$D$3379,[1]REPORTADOS!$C$2:$C$3379,E355)</f>
        <v>#VALUE!</v>
      </c>
    </row>
    <row r="356" spans="1:18" x14ac:dyDescent="0.25">
      <c r="A356">
        <v>900091143</v>
      </c>
      <c r="B356" t="s">
        <v>3965</v>
      </c>
      <c r="C356" t="s">
        <v>3609</v>
      </c>
      <c r="E356" t="s">
        <v>3609</v>
      </c>
      <c r="H356" t="s">
        <v>22</v>
      </c>
      <c r="I356">
        <v>1085338921</v>
      </c>
      <c r="J356" t="s">
        <v>4008</v>
      </c>
      <c r="P356" t="s">
        <v>4273</v>
      </c>
      <c r="Q356" s="8">
        <v>9450000</v>
      </c>
      <c r="R356" s="8" t="e">
        <f>SUMIFS([1]REPORTADOS!$D$2:$D$3379,[1]REPORTADOS!$C$2:$C$3379,E356)</f>
        <v>#VALUE!</v>
      </c>
    </row>
    <row r="357" spans="1:18" x14ac:dyDescent="0.25">
      <c r="A357">
        <v>900091143</v>
      </c>
      <c r="B357" t="s">
        <v>3965</v>
      </c>
      <c r="C357" t="s">
        <v>3610</v>
      </c>
      <c r="E357" t="s">
        <v>3610</v>
      </c>
      <c r="H357" t="s">
        <v>22</v>
      </c>
      <c r="I357">
        <v>1137624011</v>
      </c>
      <c r="J357" t="s">
        <v>2424</v>
      </c>
      <c r="P357" t="s">
        <v>4273</v>
      </c>
      <c r="Q357" s="8">
        <v>9450000</v>
      </c>
      <c r="R357" s="8" t="e">
        <f>SUMIFS([1]REPORTADOS!$D$2:$D$3379,[1]REPORTADOS!$C$2:$C$3379,E357)</f>
        <v>#VALUE!</v>
      </c>
    </row>
    <row r="358" spans="1:18" x14ac:dyDescent="0.25">
      <c r="A358">
        <v>900091143</v>
      </c>
      <c r="B358" t="s">
        <v>3965</v>
      </c>
      <c r="C358" t="s">
        <v>3611</v>
      </c>
      <c r="E358" t="s">
        <v>3611</v>
      </c>
      <c r="H358" t="s">
        <v>22</v>
      </c>
      <c r="I358">
        <v>1086331521</v>
      </c>
      <c r="J358" t="s">
        <v>4158</v>
      </c>
      <c r="P358" t="s">
        <v>4322</v>
      </c>
      <c r="Q358" s="8">
        <v>23400000</v>
      </c>
      <c r="R358" s="8" t="e">
        <f>SUMIFS([1]REPORTADOS!$D$2:$D$3379,[1]REPORTADOS!$C$2:$C$3379,E358)</f>
        <v>#VALUE!</v>
      </c>
    </row>
    <row r="359" spans="1:18" x14ac:dyDescent="0.25">
      <c r="A359">
        <v>900091143</v>
      </c>
      <c r="B359" t="s">
        <v>3965</v>
      </c>
      <c r="C359" t="s">
        <v>3612</v>
      </c>
      <c r="E359" t="s">
        <v>3612</v>
      </c>
      <c r="H359" t="s">
        <v>22</v>
      </c>
      <c r="I359">
        <v>1233193882</v>
      </c>
      <c r="J359" t="s">
        <v>2611</v>
      </c>
      <c r="P359" t="s">
        <v>4322</v>
      </c>
      <c r="Q359" s="8">
        <v>23400000</v>
      </c>
      <c r="R359" s="8" t="e">
        <f>SUMIFS([1]REPORTADOS!$D$2:$D$3379,[1]REPORTADOS!$C$2:$C$3379,E359)</f>
        <v>#VALUE!</v>
      </c>
    </row>
    <row r="360" spans="1:18" x14ac:dyDescent="0.25">
      <c r="A360">
        <v>900091143</v>
      </c>
      <c r="B360" t="s">
        <v>3965</v>
      </c>
      <c r="C360" t="s">
        <v>3613</v>
      </c>
      <c r="E360" t="s">
        <v>3613</v>
      </c>
      <c r="H360" t="s">
        <v>22</v>
      </c>
      <c r="I360">
        <v>1193383306</v>
      </c>
      <c r="J360" t="s">
        <v>2230</v>
      </c>
      <c r="P360" t="s">
        <v>4322</v>
      </c>
      <c r="Q360" s="8">
        <v>14190000</v>
      </c>
      <c r="R360" s="8" t="e">
        <f>SUMIFS([1]REPORTADOS!$D$2:$D$3379,[1]REPORTADOS!$C$2:$C$3379,E360)</f>
        <v>#VALUE!</v>
      </c>
    </row>
    <row r="361" spans="1:18" x14ac:dyDescent="0.25">
      <c r="A361">
        <v>900091143</v>
      </c>
      <c r="B361" t="s">
        <v>3965</v>
      </c>
      <c r="C361" t="s">
        <v>3614</v>
      </c>
      <c r="E361" t="s">
        <v>3614</v>
      </c>
      <c r="H361" t="s">
        <v>22</v>
      </c>
      <c r="I361">
        <v>1010082397</v>
      </c>
      <c r="J361" t="s">
        <v>1799</v>
      </c>
      <c r="P361" t="s">
        <v>4273</v>
      </c>
      <c r="Q361" s="8">
        <v>9450000</v>
      </c>
      <c r="R361" s="8" t="e">
        <f>SUMIFS([1]REPORTADOS!$D$2:$D$3379,[1]REPORTADOS!$C$2:$C$3379,E361)</f>
        <v>#VALUE!</v>
      </c>
    </row>
    <row r="362" spans="1:18" x14ac:dyDescent="0.25">
      <c r="A362">
        <v>900091143</v>
      </c>
      <c r="B362" t="s">
        <v>3965</v>
      </c>
      <c r="C362" t="s">
        <v>3615</v>
      </c>
      <c r="E362" t="s">
        <v>3615</v>
      </c>
      <c r="H362" t="s">
        <v>22</v>
      </c>
      <c r="I362">
        <v>30743783</v>
      </c>
      <c r="J362" t="s">
        <v>2440</v>
      </c>
      <c r="P362" t="s">
        <v>4273</v>
      </c>
      <c r="Q362" s="8">
        <v>9450000</v>
      </c>
      <c r="R362" s="8" t="e">
        <f>SUMIFS([1]REPORTADOS!$D$2:$D$3379,[1]REPORTADOS!$C$2:$C$3379,E362)</f>
        <v>#VALUE!</v>
      </c>
    </row>
    <row r="363" spans="1:18" x14ac:dyDescent="0.25">
      <c r="A363">
        <v>900091143</v>
      </c>
      <c r="B363" t="s">
        <v>3965</v>
      </c>
      <c r="C363" t="s">
        <v>3616</v>
      </c>
      <c r="E363" t="s">
        <v>3616</v>
      </c>
      <c r="H363" t="s">
        <v>22</v>
      </c>
      <c r="I363">
        <v>1087006619</v>
      </c>
      <c r="J363" t="s">
        <v>4130</v>
      </c>
      <c r="P363" t="s">
        <v>4322</v>
      </c>
      <c r="Q363" s="8">
        <v>23400000</v>
      </c>
      <c r="R363" s="8" t="e">
        <f>SUMIFS([1]REPORTADOS!$D$2:$D$3379,[1]REPORTADOS!$C$2:$C$3379,E363)</f>
        <v>#VALUE!</v>
      </c>
    </row>
    <row r="364" spans="1:18" x14ac:dyDescent="0.25">
      <c r="A364">
        <v>900091143</v>
      </c>
      <c r="B364" t="s">
        <v>3965</v>
      </c>
      <c r="C364" t="s">
        <v>3617</v>
      </c>
      <c r="E364" t="s">
        <v>3617</v>
      </c>
      <c r="H364" t="s">
        <v>22</v>
      </c>
      <c r="I364">
        <v>1085343783</v>
      </c>
      <c r="J364" t="s">
        <v>1648</v>
      </c>
      <c r="P364" t="s">
        <v>4322</v>
      </c>
      <c r="Q364" s="8">
        <v>14190000</v>
      </c>
      <c r="R364" s="8" t="e">
        <f>SUMIFS([1]REPORTADOS!$D$2:$D$3379,[1]REPORTADOS!$C$2:$C$3379,E364)</f>
        <v>#VALUE!</v>
      </c>
    </row>
    <row r="365" spans="1:18" x14ac:dyDescent="0.25">
      <c r="A365">
        <v>900091143</v>
      </c>
      <c r="B365" t="s">
        <v>3965</v>
      </c>
      <c r="C365" t="s">
        <v>3618</v>
      </c>
      <c r="E365" t="s">
        <v>3618</v>
      </c>
      <c r="H365" t="s">
        <v>22</v>
      </c>
      <c r="I365">
        <v>1004235479</v>
      </c>
      <c r="J365" t="s">
        <v>1923</v>
      </c>
      <c r="P365" t="s">
        <v>4273</v>
      </c>
      <c r="Q365" s="8">
        <v>9450000</v>
      </c>
      <c r="R365" s="8" t="e">
        <f>SUMIFS([1]REPORTADOS!$D$2:$D$3379,[1]REPORTADOS!$C$2:$C$3379,E365)</f>
        <v>#VALUE!</v>
      </c>
    </row>
    <row r="366" spans="1:18" x14ac:dyDescent="0.25">
      <c r="A366">
        <v>900091143</v>
      </c>
      <c r="B366" t="s">
        <v>3965</v>
      </c>
      <c r="C366" t="s">
        <v>3619</v>
      </c>
      <c r="E366" t="s">
        <v>3619</v>
      </c>
      <c r="H366" t="s">
        <v>22</v>
      </c>
      <c r="I366">
        <v>1085344795</v>
      </c>
      <c r="J366" t="s">
        <v>2038</v>
      </c>
      <c r="P366" t="s">
        <v>4273</v>
      </c>
      <c r="Q366" s="8">
        <v>9450000</v>
      </c>
      <c r="R366" s="8" t="e">
        <f>SUMIFS([1]REPORTADOS!$D$2:$D$3379,[1]REPORTADOS!$C$2:$C$3379,E366)</f>
        <v>#VALUE!</v>
      </c>
    </row>
    <row r="367" spans="1:18" x14ac:dyDescent="0.25">
      <c r="A367">
        <v>900091143</v>
      </c>
      <c r="B367" t="s">
        <v>3965</v>
      </c>
      <c r="C367" t="s">
        <v>3620</v>
      </c>
      <c r="E367" t="s">
        <v>3620</v>
      </c>
      <c r="H367" t="s">
        <v>22</v>
      </c>
      <c r="I367">
        <v>1085334279</v>
      </c>
      <c r="J367" t="s">
        <v>4131</v>
      </c>
      <c r="P367" t="s">
        <v>4322</v>
      </c>
      <c r="Q367" s="8">
        <v>23400000</v>
      </c>
      <c r="R367" s="8" t="e">
        <f>SUMIFS([1]REPORTADOS!$D$2:$D$3379,[1]REPORTADOS!$C$2:$C$3379,E367)</f>
        <v>#VALUE!</v>
      </c>
    </row>
    <row r="368" spans="1:18" x14ac:dyDescent="0.25">
      <c r="A368">
        <v>900091143</v>
      </c>
      <c r="B368" t="s">
        <v>3965</v>
      </c>
      <c r="C368" t="s">
        <v>3621</v>
      </c>
      <c r="E368" t="s">
        <v>3621</v>
      </c>
      <c r="H368" t="s">
        <v>22</v>
      </c>
      <c r="I368">
        <v>1085331508</v>
      </c>
      <c r="J368" t="s">
        <v>2377</v>
      </c>
      <c r="P368" t="s">
        <v>4273</v>
      </c>
      <c r="Q368" s="8">
        <v>9450000</v>
      </c>
      <c r="R368" s="8" t="e">
        <f>SUMIFS([1]REPORTADOS!$D$2:$D$3379,[1]REPORTADOS!$C$2:$C$3379,E368)</f>
        <v>#VALUE!</v>
      </c>
    </row>
    <row r="369" spans="1:18" x14ac:dyDescent="0.25">
      <c r="A369">
        <v>900091143</v>
      </c>
      <c r="B369" t="s">
        <v>3965</v>
      </c>
      <c r="C369" t="s">
        <v>3622</v>
      </c>
      <c r="E369" t="s">
        <v>3622</v>
      </c>
      <c r="H369" t="s">
        <v>22</v>
      </c>
      <c r="I369">
        <v>1085269090</v>
      </c>
      <c r="J369" t="s">
        <v>1860</v>
      </c>
      <c r="P369" t="s">
        <v>4273</v>
      </c>
      <c r="Q369" s="8">
        <v>9450000</v>
      </c>
      <c r="R369" s="8" t="e">
        <f>SUMIFS([1]REPORTADOS!$D$2:$D$3379,[1]REPORTADOS!$C$2:$C$3379,E369)</f>
        <v>#VALUE!</v>
      </c>
    </row>
    <row r="370" spans="1:18" x14ac:dyDescent="0.25">
      <c r="A370">
        <v>900091143</v>
      </c>
      <c r="B370" t="s">
        <v>3965</v>
      </c>
      <c r="C370" t="s">
        <v>3623</v>
      </c>
      <c r="E370" t="s">
        <v>3623</v>
      </c>
      <c r="H370" t="s">
        <v>22</v>
      </c>
      <c r="I370">
        <v>1086329609</v>
      </c>
      <c r="J370" t="s">
        <v>1932</v>
      </c>
      <c r="P370" t="s">
        <v>4273</v>
      </c>
      <c r="Q370" s="8">
        <v>9450000</v>
      </c>
      <c r="R370" s="8" t="e">
        <f>SUMIFS([1]REPORTADOS!$D$2:$D$3379,[1]REPORTADOS!$C$2:$C$3379,E370)</f>
        <v>#VALUE!</v>
      </c>
    </row>
    <row r="371" spans="1:18" x14ac:dyDescent="0.25">
      <c r="A371">
        <v>900091143</v>
      </c>
      <c r="B371" t="s">
        <v>3965</v>
      </c>
      <c r="C371" t="s">
        <v>3624</v>
      </c>
      <c r="E371" t="s">
        <v>3624</v>
      </c>
      <c r="H371" t="s">
        <v>22</v>
      </c>
      <c r="I371">
        <v>1085264667</v>
      </c>
      <c r="J371" t="s">
        <v>2679</v>
      </c>
      <c r="P371" t="s">
        <v>4322</v>
      </c>
      <c r="Q371" s="8">
        <v>14190000</v>
      </c>
      <c r="R371" s="8" t="e">
        <f>SUMIFS([1]REPORTADOS!$D$2:$D$3379,[1]REPORTADOS!$C$2:$C$3379,E371)</f>
        <v>#VALUE!</v>
      </c>
    </row>
    <row r="372" spans="1:18" x14ac:dyDescent="0.25">
      <c r="A372">
        <v>900091143</v>
      </c>
      <c r="B372" t="s">
        <v>3965</v>
      </c>
      <c r="C372" t="s">
        <v>3625</v>
      </c>
      <c r="E372" t="s">
        <v>3625</v>
      </c>
      <c r="H372" t="s">
        <v>22</v>
      </c>
      <c r="I372">
        <v>97470681</v>
      </c>
      <c r="J372" t="s">
        <v>1883</v>
      </c>
      <c r="P372" t="s">
        <v>4273</v>
      </c>
      <c r="Q372" s="8">
        <v>18900000</v>
      </c>
      <c r="R372" s="8" t="e">
        <f>SUMIFS([1]REPORTADOS!$D$2:$D$3379,[1]REPORTADOS!$C$2:$C$3379,E372)</f>
        <v>#VALUE!</v>
      </c>
    </row>
    <row r="373" spans="1:18" x14ac:dyDescent="0.25">
      <c r="A373">
        <v>900091143</v>
      </c>
      <c r="B373" t="s">
        <v>3965</v>
      </c>
      <c r="C373" t="s">
        <v>3626</v>
      </c>
      <c r="E373" t="s">
        <v>3626</v>
      </c>
      <c r="H373" t="s">
        <v>22</v>
      </c>
      <c r="I373">
        <v>1004213964</v>
      </c>
      <c r="J373" t="s">
        <v>4159</v>
      </c>
      <c r="P373" t="s">
        <v>4273</v>
      </c>
      <c r="Q373" s="8">
        <v>18900000</v>
      </c>
      <c r="R373" s="8" t="e">
        <f>SUMIFS([1]REPORTADOS!$D$2:$D$3379,[1]REPORTADOS!$C$2:$C$3379,E373)</f>
        <v>#VALUE!</v>
      </c>
    </row>
    <row r="374" spans="1:18" x14ac:dyDescent="0.25">
      <c r="A374">
        <v>900091143</v>
      </c>
      <c r="B374" t="s">
        <v>3965</v>
      </c>
      <c r="C374" t="s">
        <v>3627</v>
      </c>
      <c r="E374" t="s">
        <v>3627</v>
      </c>
      <c r="H374" t="s">
        <v>22</v>
      </c>
      <c r="I374">
        <v>1087413951</v>
      </c>
      <c r="J374" t="s">
        <v>2123</v>
      </c>
      <c r="P374" t="s">
        <v>4322</v>
      </c>
      <c r="Q374" s="8">
        <v>14190000</v>
      </c>
      <c r="R374" s="8" t="e">
        <f>SUMIFS([1]REPORTADOS!$D$2:$D$3379,[1]REPORTADOS!$C$2:$C$3379,E374)</f>
        <v>#VALUE!</v>
      </c>
    </row>
    <row r="375" spans="1:18" x14ac:dyDescent="0.25">
      <c r="A375">
        <v>900091143</v>
      </c>
      <c r="B375" t="s">
        <v>3965</v>
      </c>
      <c r="C375" t="s">
        <v>3628</v>
      </c>
      <c r="E375" t="s">
        <v>3628</v>
      </c>
      <c r="H375" t="s">
        <v>22</v>
      </c>
      <c r="I375">
        <v>27087475</v>
      </c>
      <c r="J375" t="s">
        <v>1813</v>
      </c>
      <c r="P375" t="s">
        <v>4322</v>
      </c>
      <c r="Q375" s="8">
        <v>14190000</v>
      </c>
      <c r="R375" s="8" t="e">
        <f>SUMIFS([1]REPORTADOS!$D$2:$D$3379,[1]REPORTADOS!$C$2:$C$3379,E375)</f>
        <v>#VALUE!</v>
      </c>
    </row>
    <row r="376" spans="1:18" x14ac:dyDescent="0.25">
      <c r="A376">
        <v>900091143</v>
      </c>
      <c r="B376" t="s">
        <v>3965</v>
      </c>
      <c r="C376" t="s">
        <v>3629</v>
      </c>
      <c r="E376" t="s">
        <v>3629</v>
      </c>
      <c r="H376" t="s">
        <v>22</v>
      </c>
      <c r="I376">
        <v>1085318684</v>
      </c>
      <c r="J376" t="s">
        <v>2138</v>
      </c>
      <c r="P376" t="s">
        <v>4322</v>
      </c>
      <c r="Q376" s="8">
        <v>14190000</v>
      </c>
      <c r="R376" s="8" t="e">
        <f>SUMIFS([1]REPORTADOS!$D$2:$D$3379,[1]REPORTADOS!$C$2:$C$3379,E376)</f>
        <v>#VALUE!</v>
      </c>
    </row>
    <row r="377" spans="1:18" x14ac:dyDescent="0.25">
      <c r="A377">
        <v>900091143</v>
      </c>
      <c r="B377" t="s">
        <v>3965</v>
      </c>
      <c r="C377" t="s">
        <v>3630</v>
      </c>
      <c r="E377" t="s">
        <v>3630</v>
      </c>
      <c r="H377" t="s">
        <v>22</v>
      </c>
      <c r="I377">
        <v>1087414586</v>
      </c>
      <c r="J377" t="s">
        <v>4093</v>
      </c>
      <c r="P377" t="s">
        <v>4322</v>
      </c>
      <c r="Q377" s="8">
        <v>14190000</v>
      </c>
      <c r="R377" s="8" t="e">
        <f>SUMIFS([1]REPORTADOS!$D$2:$D$3379,[1]REPORTADOS!$C$2:$C$3379,E377)</f>
        <v>#VALUE!</v>
      </c>
    </row>
    <row r="378" spans="1:18" x14ac:dyDescent="0.25">
      <c r="A378">
        <v>900091143</v>
      </c>
      <c r="B378" t="s">
        <v>3965</v>
      </c>
      <c r="C378" t="s">
        <v>3631</v>
      </c>
      <c r="E378" t="s">
        <v>3631</v>
      </c>
      <c r="H378" t="s">
        <v>22</v>
      </c>
      <c r="I378">
        <v>98391531</v>
      </c>
      <c r="J378" t="s">
        <v>2442</v>
      </c>
      <c r="P378" t="s">
        <v>4273</v>
      </c>
      <c r="Q378" s="8">
        <v>9450000</v>
      </c>
      <c r="R378" s="8" t="e">
        <f>SUMIFS([1]REPORTADOS!$D$2:$D$3379,[1]REPORTADOS!$C$2:$C$3379,E378)</f>
        <v>#VALUE!</v>
      </c>
    </row>
    <row r="379" spans="1:18" x14ac:dyDescent="0.25">
      <c r="A379">
        <v>900091143</v>
      </c>
      <c r="B379" t="s">
        <v>3965</v>
      </c>
      <c r="C379" t="s">
        <v>3632</v>
      </c>
      <c r="E379" t="s">
        <v>3632</v>
      </c>
      <c r="H379" t="s">
        <v>22</v>
      </c>
      <c r="I379">
        <v>37082272</v>
      </c>
      <c r="J379" t="s">
        <v>4039</v>
      </c>
      <c r="P379" t="s">
        <v>4273</v>
      </c>
      <c r="Q379" s="8">
        <v>9450000</v>
      </c>
      <c r="R379" s="8" t="e">
        <f>SUMIFS([1]REPORTADOS!$D$2:$D$3379,[1]REPORTADOS!$C$2:$C$3379,E379)</f>
        <v>#VALUE!</v>
      </c>
    </row>
    <row r="380" spans="1:18" x14ac:dyDescent="0.25">
      <c r="A380">
        <v>900091143</v>
      </c>
      <c r="B380" t="s">
        <v>3965</v>
      </c>
      <c r="C380" t="s">
        <v>3633</v>
      </c>
      <c r="E380" t="s">
        <v>3633</v>
      </c>
      <c r="H380" t="s">
        <v>22</v>
      </c>
      <c r="I380">
        <v>1082748783</v>
      </c>
      <c r="J380" t="s">
        <v>2009</v>
      </c>
      <c r="P380" t="s">
        <v>4273</v>
      </c>
      <c r="Q380" s="8">
        <v>9450000</v>
      </c>
      <c r="R380" s="8" t="e">
        <f>SUMIFS([1]REPORTADOS!$D$2:$D$3379,[1]REPORTADOS!$C$2:$C$3379,E380)</f>
        <v>#VALUE!</v>
      </c>
    </row>
    <row r="381" spans="1:18" x14ac:dyDescent="0.25">
      <c r="A381">
        <v>900091143</v>
      </c>
      <c r="B381" t="s">
        <v>3965</v>
      </c>
      <c r="C381" t="s">
        <v>3634</v>
      </c>
      <c r="E381" t="s">
        <v>3634</v>
      </c>
      <c r="H381" t="s">
        <v>22</v>
      </c>
      <c r="I381">
        <v>1193223736</v>
      </c>
      <c r="J381" t="s">
        <v>2021</v>
      </c>
      <c r="P381" t="s">
        <v>4273</v>
      </c>
      <c r="Q381" s="8">
        <v>18900000</v>
      </c>
      <c r="R381" s="8" t="e">
        <f>SUMIFS([1]REPORTADOS!$D$2:$D$3379,[1]REPORTADOS!$C$2:$C$3379,E381)</f>
        <v>#VALUE!</v>
      </c>
    </row>
    <row r="382" spans="1:18" x14ac:dyDescent="0.25">
      <c r="A382">
        <v>900091143</v>
      </c>
      <c r="B382" t="s">
        <v>3965</v>
      </c>
      <c r="C382" t="s">
        <v>3635</v>
      </c>
      <c r="E382" t="s">
        <v>3635</v>
      </c>
      <c r="H382" t="s">
        <v>22</v>
      </c>
      <c r="I382">
        <v>1004190751</v>
      </c>
      <c r="J382" t="s">
        <v>4005</v>
      </c>
      <c r="P382" t="s">
        <v>4273</v>
      </c>
      <c r="Q382" s="8">
        <v>9450000</v>
      </c>
      <c r="R382" s="8" t="e">
        <f>SUMIFS([1]REPORTADOS!$D$2:$D$3379,[1]REPORTADOS!$C$2:$C$3379,E382)</f>
        <v>#VALUE!</v>
      </c>
    </row>
    <row r="383" spans="1:18" x14ac:dyDescent="0.25">
      <c r="A383">
        <v>900091143</v>
      </c>
      <c r="B383" t="s">
        <v>3965</v>
      </c>
      <c r="C383" t="s">
        <v>3636</v>
      </c>
      <c r="E383" t="s">
        <v>3636</v>
      </c>
      <c r="H383" t="s">
        <v>22</v>
      </c>
      <c r="I383">
        <v>1085317833</v>
      </c>
      <c r="J383" t="s">
        <v>1791</v>
      </c>
      <c r="P383" t="s">
        <v>4273</v>
      </c>
      <c r="Q383" s="8">
        <v>9450000</v>
      </c>
      <c r="R383" s="8" t="e">
        <f>SUMIFS([1]REPORTADOS!$D$2:$D$3379,[1]REPORTADOS!$C$2:$C$3379,E383)</f>
        <v>#VALUE!</v>
      </c>
    </row>
    <row r="384" spans="1:18" x14ac:dyDescent="0.25">
      <c r="A384">
        <v>900091143</v>
      </c>
      <c r="B384" t="s">
        <v>3965</v>
      </c>
      <c r="C384" t="s">
        <v>3637</v>
      </c>
      <c r="E384" t="s">
        <v>3637</v>
      </c>
      <c r="H384" t="s">
        <v>22</v>
      </c>
      <c r="I384">
        <v>1085286725</v>
      </c>
      <c r="J384" t="s">
        <v>1786</v>
      </c>
      <c r="P384" t="s">
        <v>4273</v>
      </c>
      <c r="Q384" s="8">
        <v>9450000</v>
      </c>
      <c r="R384" s="8" t="e">
        <f>SUMIFS([1]REPORTADOS!$D$2:$D$3379,[1]REPORTADOS!$C$2:$C$3379,E384)</f>
        <v>#VALUE!</v>
      </c>
    </row>
    <row r="385" spans="1:18" x14ac:dyDescent="0.25">
      <c r="A385">
        <v>900091143</v>
      </c>
      <c r="B385" t="s">
        <v>3965</v>
      </c>
      <c r="C385" t="s">
        <v>3638</v>
      </c>
      <c r="E385" t="s">
        <v>3638</v>
      </c>
      <c r="H385" t="s">
        <v>22</v>
      </c>
      <c r="I385">
        <v>1089846684</v>
      </c>
      <c r="J385" t="s">
        <v>4118</v>
      </c>
      <c r="P385" t="s">
        <v>4322</v>
      </c>
      <c r="Q385" s="8">
        <v>23400000</v>
      </c>
      <c r="R385" s="8" t="e">
        <f>SUMIFS([1]REPORTADOS!$D$2:$D$3379,[1]REPORTADOS!$C$2:$C$3379,E385)</f>
        <v>#VALUE!</v>
      </c>
    </row>
    <row r="386" spans="1:18" x14ac:dyDescent="0.25">
      <c r="A386">
        <v>900091143</v>
      </c>
      <c r="B386" t="s">
        <v>3965</v>
      </c>
      <c r="C386" t="s">
        <v>3639</v>
      </c>
      <c r="E386" t="s">
        <v>3639</v>
      </c>
      <c r="H386" t="s">
        <v>22</v>
      </c>
      <c r="I386">
        <v>1010141840</v>
      </c>
      <c r="J386" t="s">
        <v>4074</v>
      </c>
      <c r="P386" t="s">
        <v>4322</v>
      </c>
      <c r="Q386" s="8">
        <v>23400000</v>
      </c>
      <c r="R386" s="8" t="e">
        <f>SUMIFS([1]REPORTADOS!$D$2:$D$3379,[1]REPORTADOS!$C$2:$C$3379,E386)</f>
        <v>#VALUE!</v>
      </c>
    </row>
    <row r="387" spans="1:18" x14ac:dyDescent="0.25">
      <c r="A387">
        <v>900091143</v>
      </c>
      <c r="B387" t="s">
        <v>3965</v>
      </c>
      <c r="C387" t="s">
        <v>3640</v>
      </c>
      <c r="E387" t="s">
        <v>3640</v>
      </c>
      <c r="H387" t="s">
        <v>22</v>
      </c>
      <c r="I387">
        <v>1085340885</v>
      </c>
      <c r="J387" t="s">
        <v>1684</v>
      </c>
      <c r="P387" t="s">
        <v>4390</v>
      </c>
      <c r="Q387" s="8">
        <v>14190000</v>
      </c>
      <c r="R387" s="8" t="e">
        <f>SUMIFS([1]REPORTADOS!$D$2:$D$3379,[1]REPORTADOS!$C$2:$C$3379,E387)</f>
        <v>#VALUE!</v>
      </c>
    </row>
    <row r="388" spans="1:18" x14ac:dyDescent="0.25">
      <c r="A388">
        <v>900091143</v>
      </c>
      <c r="B388" t="s">
        <v>3965</v>
      </c>
      <c r="C388" t="s">
        <v>3641</v>
      </c>
      <c r="E388" t="s">
        <v>3641</v>
      </c>
      <c r="H388" t="s">
        <v>22</v>
      </c>
      <c r="I388">
        <v>1085260497</v>
      </c>
      <c r="J388" t="s">
        <v>2121</v>
      </c>
      <c r="P388" t="s">
        <v>4322</v>
      </c>
      <c r="Q388" s="8">
        <v>14190000</v>
      </c>
      <c r="R388" s="8" t="e">
        <f>SUMIFS([1]REPORTADOS!$D$2:$D$3379,[1]REPORTADOS!$C$2:$C$3379,E388)</f>
        <v>#VALUE!</v>
      </c>
    </row>
    <row r="389" spans="1:18" x14ac:dyDescent="0.25">
      <c r="A389">
        <v>900091143</v>
      </c>
      <c r="B389" t="s">
        <v>3965</v>
      </c>
      <c r="C389" t="s">
        <v>3642</v>
      </c>
      <c r="E389" t="s">
        <v>3642</v>
      </c>
      <c r="H389" t="s">
        <v>22</v>
      </c>
      <c r="I389">
        <v>27091114</v>
      </c>
      <c r="J389" t="s">
        <v>2041</v>
      </c>
      <c r="P389" t="s">
        <v>4273</v>
      </c>
      <c r="Q389" s="8">
        <v>9450000</v>
      </c>
      <c r="R389" s="8" t="e">
        <f>SUMIFS([1]REPORTADOS!$D$2:$D$3379,[1]REPORTADOS!$C$2:$C$3379,E389)</f>
        <v>#VALUE!</v>
      </c>
    </row>
    <row r="390" spans="1:18" x14ac:dyDescent="0.25">
      <c r="A390">
        <v>900091143</v>
      </c>
      <c r="B390" t="s">
        <v>3965</v>
      </c>
      <c r="C390" t="s">
        <v>3643</v>
      </c>
      <c r="E390" t="s">
        <v>3643</v>
      </c>
      <c r="H390" t="s">
        <v>22</v>
      </c>
      <c r="I390">
        <v>1233192104</v>
      </c>
      <c r="J390" t="s">
        <v>4000</v>
      </c>
      <c r="P390" t="s">
        <v>4273</v>
      </c>
      <c r="Q390" s="8">
        <v>3150000</v>
      </c>
      <c r="R390" s="8" t="e">
        <f>SUMIFS([1]REPORTADOS!$D$2:$D$3379,[1]REPORTADOS!$C$2:$C$3379,E390)</f>
        <v>#VALUE!</v>
      </c>
    </row>
    <row r="391" spans="1:18" x14ac:dyDescent="0.25">
      <c r="A391">
        <v>900091143</v>
      </c>
      <c r="B391" t="s">
        <v>3965</v>
      </c>
      <c r="C391" t="s">
        <v>3644</v>
      </c>
      <c r="E391" t="s">
        <v>3644</v>
      </c>
      <c r="H391" t="s">
        <v>22</v>
      </c>
      <c r="I391">
        <v>27088197</v>
      </c>
      <c r="J391" t="s">
        <v>1921</v>
      </c>
      <c r="P391" t="s">
        <v>4273</v>
      </c>
      <c r="Q391" s="8">
        <v>9450000</v>
      </c>
      <c r="R391" s="8" t="e">
        <f>SUMIFS([1]REPORTADOS!$D$2:$D$3379,[1]REPORTADOS!$C$2:$C$3379,E391)</f>
        <v>#VALUE!</v>
      </c>
    </row>
    <row r="392" spans="1:18" x14ac:dyDescent="0.25">
      <c r="A392">
        <v>900091143</v>
      </c>
      <c r="B392" t="s">
        <v>3965</v>
      </c>
      <c r="C392" t="s">
        <v>3645</v>
      </c>
      <c r="E392" t="s">
        <v>3645</v>
      </c>
      <c r="H392" t="s">
        <v>22</v>
      </c>
      <c r="I392">
        <v>1081272318</v>
      </c>
      <c r="J392" t="s">
        <v>2653</v>
      </c>
      <c r="P392" t="s">
        <v>4273</v>
      </c>
      <c r="Q392" s="8">
        <v>3150000</v>
      </c>
      <c r="R392" s="8" t="e">
        <f>SUMIFS([1]REPORTADOS!$D$2:$D$3379,[1]REPORTADOS!$C$2:$C$3379,E392)</f>
        <v>#VALUE!</v>
      </c>
    </row>
    <row r="393" spans="1:18" x14ac:dyDescent="0.25">
      <c r="A393">
        <v>900091143</v>
      </c>
      <c r="B393" t="s">
        <v>3965</v>
      </c>
      <c r="C393" t="s">
        <v>3646</v>
      </c>
      <c r="E393" t="s">
        <v>3646</v>
      </c>
      <c r="H393" t="s">
        <v>22</v>
      </c>
      <c r="I393">
        <v>1233191675</v>
      </c>
      <c r="J393" t="s">
        <v>1720</v>
      </c>
      <c r="P393" t="s">
        <v>4273</v>
      </c>
      <c r="Q393" s="8">
        <v>15750000</v>
      </c>
      <c r="R393" s="8" t="e">
        <f>SUMIFS([1]REPORTADOS!$D$2:$D$3379,[1]REPORTADOS!$C$2:$C$3379,E393)</f>
        <v>#VALUE!</v>
      </c>
    </row>
    <row r="394" spans="1:18" x14ac:dyDescent="0.25">
      <c r="A394">
        <v>900091143</v>
      </c>
      <c r="B394" t="s">
        <v>3965</v>
      </c>
      <c r="C394" t="s">
        <v>3647</v>
      </c>
      <c r="E394" t="s">
        <v>3647</v>
      </c>
      <c r="H394" t="s">
        <v>22</v>
      </c>
      <c r="I394">
        <v>1193224810</v>
      </c>
      <c r="J394" t="s">
        <v>1736</v>
      </c>
      <c r="P394" t="s">
        <v>4273</v>
      </c>
      <c r="Q394" s="8">
        <v>9450000</v>
      </c>
      <c r="R394" s="8" t="e">
        <f>SUMIFS([1]REPORTADOS!$D$2:$D$3379,[1]REPORTADOS!$C$2:$C$3379,E394)</f>
        <v>#VALUE!</v>
      </c>
    </row>
    <row r="395" spans="1:18" x14ac:dyDescent="0.25">
      <c r="A395">
        <v>900091143</v>
      </c>
      <c r="B395" t="s">
        <v>3965</v>
      </c>
      <c r="C395" t="s">
        <v>3648</v>
      </c>
      <c r="E395" t="s">
        <v>3648</v>
      </c>
      <c r="H395" t="s">
        <v>22</v>
      </c>
      <c r="I395">
        <v>1004543161</v>
      </c>
      <c r="J395" t="s">
        <v>4160</v>
      </c>
      <c r="P395" t="s">
        <v>4273</v>
      </c>
      <c r="Q395" s="8">
        <v>9450000</v>
      </c>
      <c r="R395" s="8" t="e">
        <f>SUMIFS([1]REPORTADOS!$D$2:$D$3379,[1]REPORTADOS!$C$2:$C$3379,E395)</f>
        <v>#VALUE!</v>
      </c>
    </row>
    <row r="396" spans="1:18" x14ac:dyDescent="0.25">
      <c r="A396">
        <v>900091143</v>
      </c>
      <c r="B396" t="s">
        <v>3965</v>
      </c>
      <c r="C396" t="s">
        <v>3649</v>
      </c>
      <c r="E396" t="s">
        <v>3649</v>
      </c>
      <c r="H396" t="s">
        <v>22</v>
      </c>
      <c r="I396">
        <v>1085315013</v>
      </c>
      <c r="J396" t="s">
        <v>1913</v>
      </c>
      <c r="P396" t="s">
        <v>4273</v>
      </c>
      <c r="Q396" s="8">
        <v>15750000</v>
      </c>
      <c r="R396" s="8" t="e">
        <f>SUMIFS([1]REPORTADOS!$D$2:$D$3379,[1]REPORTADOS!$C$2:$C$3379,E396)</f>
        <v>#VALUE!</v>
      </c>
    </row>
    <row r="397" spans="1:18" x14ac:dyDescent="0.25">
      <c r="A397">
        <v>900091143</v>
      </c>
      <c r="B397" t="s">
        <v>3965</v>
      </c>
      <c r="C397" t="s">
        <v>3650</v>
      </c>
      <c r="E397" t="s">
        <v>3650</v>
      </c>
      <c r="H397" t="s">
        <v>22</v>
      </c>
      <c r="I397">
        <v>1193271485</v>
      </c>
      <c r="J397" t="s">
        <v>4083</v>
      </c>
      <c r="P397" t="s">
        <v>4273</v>
      </c>
      <c r="Q397" s="8">
        <v>31500000</v>
      </c>
      <c r="R397" s="8" t="e">
        <f>SUMIFS([1]REPORTADOS!$D$2:$D$3379,[1]REPORTADOS!$C$2:$C$3379,E397)</f>
        <v>#VALUE!</v>
      </c>
    </row>
    <row r="398" spans="1:18" x14ac:dyDescent="0.25">
      <c r="A398">
        <v>900091143</v>
      </c>
      <c r="B398" t="s">
        <v>3965</v>
      </c>
      <c r="C398" t="s">
        <v>3651</v>
      </c>
      <c r="E398" t="s">
        <v>3651</v>
      </c>
      <c r="H398" t="s">
        <v>22</v>
      </c>
      <c r="I398">
        <v>1081053045</v>
      </c>
      <c r="J398" t="s">
        <v>4059</v>
      </c>
      <c r="P398" t="s">
        <v>4273</v>
      </c>
      <c r="Q398" s="8">
        <v>9450000</v>
      </c>
      <c r="R398" s="8" t="e">
        <f>SUMIFS([1]REPORTADOS!$D$2:$D$3379,[1]REPORTADOS!$C$2:$C$3379,E398)</f>
        <v>#VALUE!</v>
      </c>
    </row>
    <row r="399" spans="1:18" x14ac:dyDescent="0.25">
      <c r="A399">
        <v>900091143</v>
      </c>
      <c r="B399" t="s">
        <v>3965</v>
      </c>
      <c r="C399" t="s">
        <v>3652</v>
      </c>
      <c r="E399" t="s">
        <v>3652</v>
      </c>
      <c r="H399" t="s">
        <v>22</v>
      </c>
      <c r="I399">
        <v>1085275400</v>
      </c>
      <c r="J399" t="s">
        <v>4028</v>
      </c>
      <c r="P399" t="s">
        <v>4273</v>
      </c>
      <c r="Q399" s="8">
        <v>9450000</v>
      </c>
      <c r="R399" s="8" t="e">
        <f>SUMIFS([1]REPORTADOS!$D$2:$D$3379,[1]REPORTADOS!$C$2:$C$3379,E399)</f>
        <v>#VALUE!</v>
      </c>
    </row>
    <row r="400" spans="1:18" x14ac:dyDescent="0.25">
      <c r="A400">
        <v>900091143</v>
      </c>
      <c r="B400" t="s">
        <v>3965</v>
      </c>
      <c r="C400" t="s">
        <v>3653</v>
      </c>
      <c r="E400" t="s">
        <v>3653</v>
      </c>
      <c r="H400" t="s">
        <v>22</v>
      </c>
      <c r="I400">
        <v>1193035720</v>
      </c>
      <c r="J400" t="s">
        <v>4161</v>
      </c>
      <c r="P400" t="s">
        <v>4273</v>
      </c>
      <c r="Q400" s="8">
        <v>3150000</v>
      </c>
      <c r="R400" s="8" t="e">
        <f>SUMIFS([1]REPORTADOS!$D$2:$D$3379,[1]REPORTADOS!$C$2:$C$3379,E400)</f>
        <v>#VALUE!</v>
      </c>
    </row>
    <row r="401" spans="1:18" x14ac:dyDescent="0.25">
      <c r="A401">
        <v>900091143</v>
      </c>
      <c r="B401" t="s">
        <v>3965</v>
      </c>
      <c r="C401" t="s">
        <v>3654</v>
      </c>
      <c r="E401" t="s">
        <v>3654</v>
      </c>
      <c r="H401" t="s">
        <v>22</v>
      </c>
      <c r="I401">
        <v>59813323</v>
      </c>
      <c r="J401" t="s">
        <v>1995</v>
      </c>
      <c r="P401" t="s">
        <v>4273</v>
      </c>
      <c r="Q401" s="8">
        <v>3150000</v>
      </c>
      <c r="R401" s="8" t="e">
        <f>SUMIFS([1]REPORTADOS!$D$2:$D$3379,[1]REPORTADOS!$C$2:$C$3379,E401)</f>
        <v>#VALUE!</v>
      </c>
    </row>
    <row r="402" spans="1:18" x14ac:dyDescent="0.25">
      <c r="A402">
        <v>900091143</v>
      </c>
      <c r="B402" t="s">
        <v>3965</v>
      </c>
      <c r="C402" t="s">
        <v>3655</v>
      </c>
      <c r="E402" t="s">
        <v>3655</v>
      </c>
      <c r="H402" t="s">
        <v>22</v>
      </c>
      <c r="I402">
        <v>1004592366</v>
      </c>
      <c r="J402" t="s">
        <v>2405</v>
      </c>
      <c r="P402" t="s">
        <v>4273</v>
      </c>
      <c r="Q402" s="8">
        <v>9450000</v>
      </c>
      <c r="R402" s="8" t="e">
        <f>SUMIFS([1]REPORTADOS!$D$2:$D$3379,[1]REPORTADOS!$C$2:$C$3379,E402)</f>
        <v>#VALUE!</v>
      </c>
    </row>
    <row r="403" spans="1:18" x14ac:dyDescent="0.25">
      <c r="A403">
        <v>900091143</v>
      </c>
      <c r="B403" t="s">
        <v>3965</v>
      </c>
      <c r="C403" t="s">
        <v>3656</v>
      </c>
      <c r="E403" t="s">
        <v>3656</v>
      </c>
      <c r="H403" t="s">
        <v>22</v>
      </c>
      <c r="I403">
        <v>1085253062</v>
      </c>
      <c r="J403" t="s">
        <v>2836</v>
      </c>
      <c r="P403" t="s">
        <v>4273</v>
      </c>
      <c r="Q403" s="8">
        <v>18900000</v>
      </c>
      <c r="R403" s="8" t="e">
        <f>SUMIFS([1]REPORTADOS!$D$2:$D$3379,[1]REPORTADOS!$C$2:$C$3379,E403)</f>
        <v>#VALUE!</v>
      </c>
    </row>
    <row r="404" spans="1:18" x14ac:dyDescent="0.25">
      <c r="A404">
        <v>900091143</v>
      </c>
      <c r="B404" t="s">
        <v>3965</v>
      </c>
      <c r="C404" t="s">
        <v>3657</v>
      </c>
      <c r="E404" t="s">
        <v>3657</v>
      </c>
      <c r="H404" t="s">
        <v>22</v>
      </c>
      <c r="I404">
        <v>87030128</v>
      </c>
      <c r="J404" t="s">
        <v>2779</v>
      </c>
      <c r="P404" t="s">
        <v>4273</v>
      </c>
      <c r="Q404" s="8">
        <v>3150000</v>
      </c>
      <c r="R404" s="8" t="e">
        <f>SUMIFS([1]REPORTADOS!$D$2:$D$3379,[1]REPORTADOS!$C$2:$C$3379,E404)</f>
        <v>#VALUE!</v>
      </c>
    </row>
    <row r="405" spans="1:18" x14ac:dyDescent="0.25">
      <c r="A405">
        <v>900091143</v>
      </c>
      <c r="B405" t="s">
        <v>3965</v>
      </c>
      <c r="C405" t="s">
        <v>3658</v>
      </c>
      <c r="E405" t="s">
        <v>3658</v>
      </c>
      <c r="H405" t="s">
        <v>22</v>
      </c>
      <c r="I405">
        <v>59310524</v>
      </c>
      <c r="J405" t="s">
        <v>1672</v>
      </c>
      <c r="P405" t="s">
        <v>4273</v>
      </c>
      <c r="Q405" s="8">
        <v>15750000</v>
      </c>
      <c r="R405" s="8" t="e">
        <f>SUMIFS([1]REPORTADOS!$D$2:$D$3379,[1]REPORTADOS!$C$2:$C$3379,E405)</f>
        <v>#VALUE!</v>
      </c>
    </row>
    <row r="406" spans="1:18" x14ac:dyDescent="0.25">
      <c r="A406">
        <v>900091143</v>
      </c>
      <c r="B406" t="s">
        <v>3965</v>
      </c>
      <c r="C406" t="s">
        <v>3659</v>
      </c>
      <c r="E406" t="s">
        <v>3659</v>
      </c>
      <c r="H406" t="s">
        <v>22</v>
      </c>
      <c r="I406">
        <v>1086360087</v>
      </c>
      <c r="J406" t="s">
        <v>4084</v>
      </c>
      <c r="P406" t="s">
        <v>4273</v>
      </c>
      <c r="Q406" s="8">
        <v>6300000</v>
      </c>
      <c r="R406" s="8" t="e">
        <f>SUMIFS([1]REPORTADOS!$D$2:$D$3379,[1]REPORTADOS!$C$2:$C$3379,E406)</f>
        <v>#VALUE!</v>
      </c>
    </row>
    <row r="407" spans="1:18" x14ac:dyDescent="0.25">
      <c r="A407">
        <v>900091143</v>
      </c>
      <c r="B407" t="s">
        <v>3965</v>
      </c>
      <c r="C407" t="s">
        <v>3660</v>
      </c>
      <c r="E407" t="s">
        <v>3660</v>
      </c>
      <c r="H407" t="s">
        <v>22</v>
      </c>
      <c r="I407">
        <v>1081572042</v>
      </c>
      <c r="J407" t="s">
        <v>4030</v>
      </c>
      <c r="P407" t="s">
        <v>4273</v>
      </c>
      <c r="Q407" s="8">
        <v>9450000</v>
      </c>
      <c r="R407" s="8" t="e">
        <f>SUMIFS([1]REPORTADOS!$D$2:$D$3379,[1]REPORTADOS!$C$2:$C$3379,E407)</f>
        <v>#VALUE!</v>
      </c>
    </row>
    <row r="408" spans="1:18" x14ac:dyDescent="0.25">
      <c r="A408">
        <v>900091143</v>
      </c>
      <c r="B408" t="s">
        <v>3965</v>
      </c>
      <c r="C408" t="s">
        <v>3661</v>
      </c>
      <c r="E408" t="s">
        <v>3661</v>
      </c>
      <c r="H408" t="s">
        <v>22</v>
      </c>
      <c r="I408">
        <v>1233193848</v>
      </c>
      <c r="J408" t="s">
        <v>4078</v>
      </c>
      <c r="P408" t="s">
        <v>4322</v>
      </c>
      <c r="Q408" s="8">
        <v>23400000</v>
      </c>
      <c r="R408" s="8" t="e">
        <f>SUMIFS([1]REPORTADOS!$D$2:$D$3379,[1]REPORTADOS!$C$2:$C$3379,E408)</f>
        <v>#VALUE!</v>
      </c>
    </row>
    <row r="409" spans="1:18" x14ac:dyDescent="0.25">
      <c r="A409">
        <v>900091143</v>
      </c>
      <c r="B409" t="s">
        <v>3965</v>
      </c>
      <c r="C409" t="s">
        <v>3662</v>
      </c>
      <c r="E409" t="s">
        <v>3662</v>
      </c>
      <c r="H409" t="s">
        <v>22</v>
      </c>
      <c r="I409">
        <v>1085254153</v>
      </c>
      <c r="J409" t="s">
        <v>2555</v>
      </c>
      <c r="P409" t="s">
        <v>4273</v>
      </c>
      <c r="Q409" s="8">
        <v>6300000</v>
      </c>
      <c r="R409" s="8" t="e">
        <f>SUMIFS([1]REPORTADOS!$D$2:$D$3379,[1]REPORTADOS!$C$2:$C$3379,E409)</f>
        <v>#VALUE!</v>
      </c>
    </row>
    <row r="410" spans="1:18" x14ac:dyDescent="0.25">
      <c r="A410">
        <v>900091143</v>
      </c>
      <c r="B410" t="s">
        <v>3965</v>
      </c>
      <c r="C410" t="s">
        <v>3663</v>
      </c>
      <c r="E410" t="s">
        <v>3663</v>
      </c>
      <c r="H410" t="s">
        <v>22</v>
      </c>
      <c r="I410">
        <v>1085265947</v>
      </c>
      <c r="J410" t="s">
        <v>2701</v>
      </c>
      <c r="P410" t="s">
        <v>4273</v>
      </c>
      <c r="Q410" s="8">
        <v>3150000</v>
      </c>
      <c r="R410" s="8" t="e">
        <f>SUMIFS([1]REPORTADOS!$D$2:$D$3379,[1]REPORTADOS!$C$2:$C$3379,E410)</f>
        <v>#VALUE!</v>
      </c>
    </row>
    <row r="411" spans="1:18" x14ac:dyDescent="0.25">
      <c r="A411">
        <v>900091143</v>
      </c>
      <c r="B411" t="s">
        <v>3965</v>
      </c>
      <c r="C411" t="s">
        <v>3664</v>
      </c>
      <c r="E411" t="s">
        <v>3664</v>
      </c>
      <c r="H411" t="s">
        <v>22</v>
      </c>
      <c r="I411">
        <v>1085286476</v>
      </c>
      <c r="J411" t="s">
        <v>1681</v>
      </c>
      <c r="P411" t="s">
        <v>4273</v>
      </c>
      <c r="Q411" s="8">
        <v>31500000</v>
      </c>
      <c r="R411" s="8" t="e">
        <f>SUMIFS([1]REPORTADOS!$D$2:$D$3379,[1]REPORTADOS!$C$2:$C$3379,E411)</f>
        <v>#VALUE!</v>
      </c>
    </row>
    <row r="412" spans="1:18" x14ac:dyDescent="0.25">
      <c r="A412">
        <v>900091143</v>
      </c>
      <c r="B412" t="s">
        <v>3965</v>
      </c>
      <c r="C412" t="s">
        <v>3665</v>
      </c>
      <c r="E412" t="s">
        <v>3665</v>
      </c>
      <c r="H412" t="s">
        <v>22</v>
      </c>
      <c r="I412">
        <v>1010010954</v>
      </c>
      <c r="J412" t="s">
        <v>2140</v>
      </c>
      <c r="P412" t="s">
        <v>4273</v>
      </c>
      <c r="Q412" s="8">
        <v>18900000</v>
      </c>
      <c r="R412" s="8" t="e">
        <f>SUMIFS([1]REPORTADOS!$D$2:$D$3379,[1]REPORTADOS!$C$2:$C$3379,E412)</f>
        <v>#VALUE!</v>
      </c>
    </row>
    <row r="413" spans="1:18" x14ac:dyDescent="0.25">
      <c r="A413">
        <v>900091143</v>
      </c>
      <c r="B413" t="s">
        <v>3965</v>
      </c>
      <c r="C413" t="s">
        <v>3666</v>
      </c>
      <c r="E413" t="s">
        <v>3666</v>
      </c>
      <c r="H413" t="s">
        <v>22</v>
      </c>
      <c r="I413">
        <v>36757221</v>
      </c>
      <c r="J413" t="s">
        <v>2497</v>
      </c>
      <c r="P413" t="s">
        <v>4273</v>
      </c>
      <c r="Q413" s="8">
        <v>6300000</v>
      </c>
      <c r="R413" s="8" t="e">
        <f>SUMIFS([1]REPORTADOS!$D$2:$D$3379,[1]REPORTADOS!$C$2:$C$3379,E413)</f>
        <v>#VALUE!</v>
      </c>
    </row>
    <row r="414" spans="1:18" x14ac:dyDescent="0.25">
      <c r="A414">
        <v>900091143</v>
      </c>
      <c r="B414" t="s">
        <v>3965</v>
      </c>
      <c r="C414" t="s">
        <v>3667</v>
      </c>
      <c r="E414" t="s">
        <v>3667</v>
      </c>
      <c r="H414" t="s">
        <v>22</v>
      </c>
      <c r="I414">
        <v>1084224761</v>
      </c>
      <c r="J414" t="s">
        <v>4147</v>
      </c>
      <c r="P414" t="s">
        <v>4273</v>
      </c>
      <c r="Q414" s="8">
        <v>31500000</v>
      </c>
      <c r="R414" s="8" t="e">
        <f>SUMIFS([1]REPORTADOS!$D$2:$D$3379,[1]REPORTADOS!$C$2:$C$3379,E414)</f>
        <v>#VALUE!</v>
      </c>
    </row>
    <row r="415" spans="1:18" x14ac:dyDescent="0.25">
      <c r="A415">
        <v>900091143</v>
      </c>
      <c r="B415" t="s">
        <v>3965</v>
      </c>
      <c r="C415" t="s">
        <v>3668</v>
      </c>
      <c r="E415" t="s">
        <v>3668</v>
      </c>
      <c r="H415" t="s">
        <v>22</v>
      </c>
      <c r="I415">
        <v>59836480</v>
      </c>
      <c r="J415" t="s">
        <v>4110</v>
      </c>
      <c r="P415" t="s">
        <v>4273</v>
      </c>
      <c r="Q415" s="8">
        <v>31500000</v>
      </c>
      <c r="R415" s="8" t="e">
        <f>SUMIFS([1]REPORTADOS!$D$2:$D$3379,[1]REPORTADOS!$C$2:$C$3379,E415)</f>
        <v>#VALUE!</v>
      </c>
    </row>
    <row r="416" spans="1:18" x14ac:dyDescent="0.25">
      <c r="A416">
        <v>900091143</v>
      </c>
      <c r="B416" t="s">
        <v>3965</v>
      </c>
      <c r="C416" t="s">
        <v>3669</v>
      </c>
      <c r="E416" t="s">
        <v>3669</v>
      </c>
      <c r="H416" t="s">
        <v>22</v>
      </c>
      <c r="I416">
        <v>1085299577</v>
      </c>
      <c r="J416" t="s">
        <v>4111</v>
      </c>
      <c r="P416" t="s">
        <v>4273</v>
      </c>
      <c r="Q416" s="8">
        <v>31500000</v>
      </c>
      <c r="R416" s="8" t="e">
        <f>SUMIFS([1]REPORTADOS!$D$2:$D$3379,[1]REPORTADOS!$C$2:$C$3379,E416)</f>
        <v>#VALUE!</v>
      </c>
    </row>
    <row r="417" spans="1:18" x14ac:dyDescent="0.25">
      <c r="A417">
        <v>900091143</v>
      </c>
      <c r="B417" t="s">
        <v>3965</v>
      </c>
      <c r="C417" t="s">
        <v>3670</v>
      </c>
      <c r="E417" t="s">
        <v>3670</v>
      </c>
      <c r="H417" t="s">
        <v>22</v>
      </c>
      <c r="I417">
        <v>59824313</v>
      </c>
      <c r="J417" t="s">
        <v>2096</v>
      </c>
      <c r="P417" t="s">
        <v>4322</v>
      </c>
      <c r="Q417" s="8">
        <v>4730000</v>
      </c>
      <c r="R417" s="8" t="e">
        <f>SUMIFS([1]REPORTADOS!$D$2:$D$3379,[1]REPORTADOS!$C$2:$C$3379,E417)</f>
        <v>#VALUE!</v>
      </c>
    </row>
    <row r="418" spans="1:18" x14ac:dyDescent="0.25">
      <c r="A418">
        <v>900091143</v>
      </c>
      <c r="B418" t="s">
        <v>3965</v>
      </c>
      <c r="C418" t="s">
        <v>3671</v>
      </c>
      <c r="E418" t="s">
        <v>3671</v>
      </c>
      <c r="H418" t="s">
        <v>22</v>
      </c>
      <c r="I418">
        <v>69028150</v>
      </c>
      <c r="J418" t="s">
        <v>1666</v>
      </c>
      <c r="P418" t="s">
        <v>4273</v>
      </c>
      <c r="Q418" s="8">
        <v>9450000</v>
      </c>
      <c r="R418" s="8" t="e">
        <f>SUMIFS([1]REPORTADOS!$D$2:$D$3379,[1]REPORTADOS!$C$2:$C$3379,E418)</f>
        <v>#VALUE!</v>
      </c>
    </row>
    <row r="419" spans="1:18" x14ac:dyDescent="0.25">
      <c r="A419">
        <v>900091143</v>
      </c>
      <c r="B419" t="s">
        <v>3965</v>
      </c>
      <c r="C419" t="s">
        <v>3672</v>
      </c>
      <c r="E419" t="s">
        <v>3672</v>
      </c>
      <c r="H419" t="s">
        <v>22</v>
      </c>
      <c r="I419">
        <v>1085277976</v>
      </c>
      <c r="J419" t="s">
        <v>2787</v>
      </c>
      <c r="P419" t="s">
        <v>4273</v>
      </c>
      <c r="Q419" s="8">
        <v>6300000</v>
      </c>
      <c r="R419" s="8" t="e">
        <f>SUMIFS([1]REPORTADOS!$D$2:$D$3379,[1]REPORTADOS!$C$2:$C$3379,E419)</f>
        <v>#VALUE!</v>
      </c>
    </row>
    <row r="420" spans="1:18" x14ac:dyDescent="0.25">
      <c r="A420">
        <v>900091143</v>
      </c>
      <c r="B420" t="s">
        <v>3965</v>
      </c>
      <c r="C420" t="s">
        <v>3673</v>
      </c>
      <c r="E420" t="s">
        <v>3673</v>
      </c>
      <c r="H420" t="s">
        <v>22</v>
      </c>
      <c r="I420">
        <v>27285974</v>
      </c>
      <c r="J420" t="s">
        <v>4017</v>
      </c>
      <c r="P420" t="s">
        <v>4273</v>
      </c>
      <c r="Q420" s="8">
        <v>9450000</v>
      </c>
      <c r="R420" s="8" t="e">
        <f>SUMIFS([1]REPORTADOS!$D$2:$D$3379,[1]REPORTADOS!$C$2:$C$3379,E420)</f>
        <v>#VALUE!</v>
      </c>
    </row>
    <row r="421" spans="1:18" x14ac:dyDescent="0.25">
      <c r="A421">
        <v>900091143</v>
      </c>
      <c r="B421" t="s">
        <v>3965</v>
      </c>
      <c r="C421" t="s">
        <v>3674</v>
      </c>
      <c r="E421" t="s">
        <v>3674</v>
      </c>
      <c r="H421" t="s">
        <v>22</v>
      </c>
      <c r="I421">
        <v>37083086</v>
      </c>
      <c r="J421" t="s">
        <v>2513</v>
      </c>
      <c r="P421" t="s">
        <v>4273</v>
      </c>
      <c r="Q421" s="8">
        <v>9450000</v>
      </c>
      <c r="R421" s="8" t="e">
        <f>SUMIFS([1]REPORTADOS!$D$2:$D$3379,[1]REPORTADOS!$C$2:$C$3379,E421)</f>
        <v>#VALUE!</v>
      </c>
    </row>
    <row r="422" spans="1:18" x14ac:dyDescent="0.25">
      <c r="A422">
        <v>900091143</v>
      </c>
      <c r="B422" t="s">
        <v>3965</v>
      </c>
      <c r="C422" t="s">
        <v>3675</v>
      </c>
      <c r="E422" t="s">
        <v>3675</v>
      </c>
      <c r="H422" t="s">
        <v>22</v>
      </c>
      <c r="I422">
        <v>59311295</v>
      </c>
      <c r="J422" t="s">
        <v>2550</v>
      </c>
      <c r="P422" t="s">
        <v>4273</v>
      </c>
      <c r="Q422" s="8">
        <v>9450000</v>
      </c>
      <c r="R422" s="8" t="e">
        <f>SUMIFS([1]REPORTADOS!$D$2:$D$3379,[1]REPORTADOS!$C$2:$C$3379,E422)</f>
        <v>#VALUE!</v>
      </c>
    </row>
    <row r="423" spans="1:18" x14ac:dyDescent="0.25">
      <c r="A423">
        <v>900091143</v>
      </c>
      <c r="B423" t="s">
        <v>3965</v>
      </c>
      <c r="C423" t="s">
        <v>3676</v>
      </c>
      <c r="E423" t="s">
        <v>3676</v>
      </c>
      <c r="H423" t="s">
        <v>22</v>
      </c>
      <c r="I423">
        <v>1087960258</v>
      </c>
      <c r="J423" t="s">
        <v>4162</v>
      </c>
      <c r="P423" t="s">
        <v>4273</v>
      </c>
      <c r="Q423" s="8">
        <v>9450000</v>
      </c>
      <c r="R423" s="8" t="e">
        <f>SUMIFS([1]REPORTADOS!$D$2:$D$3379,[1]REPORTADOS!$C$2:$C$3379,E423)</f>
        <v>#VALUE!</v>
      </c>
    </row>
    <row r="424" spans="1:18" x14ac:dyDescent="0.25">
      <c r="A424">
        <v>900091143</v>
      </c>
      <c r="B424" t="s">
        <v>3965</v>
      </c>
      <c r="C424" t="s">
        <v>3677</v>
      </c>
      <c r="E424" t="s">
        <v>3677</v>
      </c>
      <c r="H424" t="s">
        <v>22</v>
      </c>
      <c r="I424">
        <v>59312865</v>
      </c>
      <c r="J424" t="s">
        <v>2197</v>
      </c>
      <c r="P424" t="s">
        <v>4322</v>
      </c>
      <c r="Q424" s="8">
        <v>14190000</v>
      </c>
      <c r="R424" s="8" t="e">
        <f>SUMIFS([1]REPORTADOS!$D$2:$D$3379,[1]REPORTADOS!$C$2:$C$3379,E424)</f>
        <v>#VALUE!</v>
      </c>
    </row>
    <row r="425" spans="1:18" x14ac:dyDescent="0.25">
      <c r="A425">
        <v>900091143</v>
      </c>
      <c r="B425" t="s">
        <v>3965</v>
      </c>
      <c r="C425" t="s">
        <v>3678</v>
      </c>
      <c r="E425" t="s">
        <v>3678</v>
      </c>
      <c r="H425" t="s">
        <v>22</v>
      </c>
      <c r="I425">
        <v>59651018</v>
      </c>
      <c r="J425" t="s">
        <v>2569</v>
      </c>
      <c r="P425" t="s">
        <v>4322</v>
      </c>
      <c r="Q425" s="8">
        <v>4730000</v>
      </c>
      <c r="R425" s="8" t="e">
        <f>SUMIFS([1]REPORTADOS!$D$2:$D$3379,[1]REPORTADOS!$C$2:$C$3379,E425)</f>
        <v>#VALUE!</v>
      </c>
    </row>
    <row r="426" spans="1:18" x14ac:dyDescent="0.25">
      <c r="A426">
        <v>900091143</v>
      </c>
      <c r="B426" t="s">
        <v>3965</v>
      </c>
      <c r="C426" t="s">
        <v>3679</v>
      </c>
      <c r="E426" t="s">
        <v>3679</v>
      </c>
      <c r="H426" t="s">
        <v>22</v>
      </c>
      <c r="I426">
        <v>1004134014</v>
      </c>
      <c r="J426" t="s">
        <v>4037</v>
      </c>
      <c r="P426" t="s">
        <v>4273</v>
      </c>
      <c r="Q426" s="8">
        <v>3150000</v>
      </c>
      <c r="R426" s="8" t="e">
        <f>SUMIFS([1]REPORTADOS!$D$2:$D$3379,[1]REPORTADOS!$C$2:$C$3379,E426)</f>
        <v>#VALUE!</v>
      </c>
    </row>
    <row r="427" spans="1:18" x14ac:dyDescent="0.25">
      <c r="A427">
        <v>900091143</v>
      </c>
      <c r="B427" t="s">
        <v>3965</v>
      </c>
      <c r="C427" t="s">
        <v>3680</v>
      </c>
      <c r="E427" t="s">
        <v>3680</v>
      </c>
      <c r="H427" t="s">
        <v>22</v>
      </c>
      <c r="I427">
        <v>37084258</v>
      </c>
      <c r="J427" t="s">
        <v>4163</v>
      </c>
      <c r="P427" t="s">
        <v>4322</v>
      </c>
      <c r="Q427" s="8">
        <v>23650000</v>
      </c>
      <c r="R427" s="8" t="e">
        <f>SUMIFS([1]REPORTADOS!$D$2:$D$3379,[1]REPORTADOS!$C$2:$C$3379,E427)</f>
        <v>#VALUE!</v>
      </c>
    </row>
    <row r="428" spans="1:18" x14ac:dyDescent="0.25">
      <c r="A428">
        <v>900091143</v>
      </c>
      <c r="B428" t="s">
        <v>3965</v>
      </c>
      <c r="C428" t="s">
        <v>3681</v>
      </c>
      <c r="E428" t="s">
        <v>3681</v>
      </c>
      <c r="H428" t="s">
        <v>22</v>
      </c>
      <c r="I428">
        <v>1005829176</v>
      </c>
      <c r="J428" t="s">
        <v>4085</v>
      </c>
      <c r="P428" t="s">
        <v>4322</v>
      </c>
      <c r="Q428" s="8">
        <v>14190000</v>
      </c>
      <c r="R428" s="8" t="e">
        <f>SUMIFS([1]REPORTADOS!$D$2:$D$3379,[1]REPORTADOS!$C$2:$C$3379,E428)</f>
        <v>#VALUE!</v>
      </c>
    </row>
    <row r="429" spans="1:18" x14ac:dyDescent="0.25">
      <c r="A429">
        <v>900091143</v>
      </c>
      <c r="B429" t="s">
        <v>3965</v>
      </c>
      <c r="C429" t="s">
        <v>3682</v>
      </c>
      <c r="E429" t="s">
        <v>3682</v>
      </c>
      <c r="H429" t="s">
        <v>22</v>
      </c>
      <c r="I429">
        <v>27105277</v>
      </c>
      <c r="J429" t="s">
        <v>4070</v>
      </c>
      <c r="P429" t="s">
        <v>4322</v>
      </c>
      <c r="Q429" s="8">
        <v>23650000</v>
      </c>
      <c r="R429" s="8" t="e">
        <f>SUMIFS([1]REPORTADOS!$D$2:$D$3379,[1]REPORTADOS!$C$2:$C$3379,E429)</f>
        <v>#VALUE!</v>
      </c>
    </row>
    <row r="430" spans="1:18" x14ac:dyDescent="0.25">
      <c r="A430">
        <v>900091143</v>
      </c>
      <c r="B430" t="s">
        <v>3965</v>
      </c>
      <c r="C430" t="s">
        <v>3683</v>
      </c>
      <c r="E430" t="s">
        <v>3683</v>
      </c>
      <c r="H430" t="s">
        <v>22</v>
      </c>
      <c r="I430">
        <v>27146489</v>
      </c>
      <c r="J430" t="s">
        <v>4109</v>
      </c>
      <c r="P430" t="s">
        <v>4273</v>
      </c>
      <c r="Q430" s="8">
        <v>31500000</v>
      </c>
      <c r="R430" s="8" t="e">
        <f>SUMIFS([1]REPORTADOS!$D$2:$D$3379,[1]REPORTADOS!$C$2:$C$3379,E430)</f>
        <v>#VALUE!</v>
      </c>
    </row>
    <row r="431" spans="1:18" x14ac:dyDescent="0.25">
      <c r="A431">
        <v>900091143</v>
      </c>
      <c r="B431" t="s">
        <v>3965</v>
      </c>
      <c r="C431" t="s">
        <v>3684</v>
      </c>
      <c r="E431" t="s">
        <v>3684</v>
      </c>
      <c r="H431" t="s">
        <v>22</v>
      </c>
      <c r="I431">
        <v>52381227</v>
      </c>
      <c r="J431" t="s">
        <v>4072</v>
      </c>
      <c r="P431" t="s">
        <v>4322</v>
      </c>
      <c r="Q431" s="8">
        <v>23650000</v>
      </c>
      <c r="R431" s="8" t="e">
        <f>SUMIFS([1]REPORTADOS!$D$2:$D$3379,[1]REPORTADOS!$C$2:$C$3379,E431)</f>
        <v>#VALUE!</v>
      </c>
    </row>
    <row r="432" spans="1:18" x14ac:dyDescent="0.25">
      <c r="A432">
        <v>900091143</v>
      </c>
      <c r="B432" t="s">
        <v>3965</v>
      </c>
      <c r="C432" t="s">
        <v>3685</v>
      </c>
      <c r="E432" t="s">
        <v>3685</v>
      </c>
      <c r="H432" t="s">
        <v>22</v>
      </c>
      <c r="I432">
        <v>1083814276</v>
      </c>
      <c r="J432" t="s">
        <v>4126</v>
      </c>
      <c r="P432" t="s">
        <v>4322</v>
      </c>
      <c r="Q432" s="8">
        <v>23400000</v>
      </c>
      <c r="R432" s="8" t="e">
        <f>SUMIFS([1]REPORTADOS!$D$2:$D$3379,[1]REPORTADOS!$C$2:$C$3379,E432)</f>
        <v>#VALUE!</v>
      </c>
    </row>
    <row r="433" spans="1:18" x14ac:dyDescent="0.25">
      <c r="A433">
        <v>900091143</v>
      </c>
      <c r="B433" t="s">
        <v>3965</v>
      </c>
      <c r="C433" t="s">
        <v>3686</v>
      </c>
      <c r="E433" t="s">
        <v>3686</v>
      </c>
      <c r="H433" t="s">
        <v>22</v>
      </c>
      <c r="I433">
        <v>1084227101</v>
      </c>
      <c r="J433" t="s">
        <v>4096</v>
      </c>
      <c r="P433" t="s">
        <v>4322</v>
      </c>
      <c r="Q433" s="8">
        <v>14190000</v>
      </c>
      <c r="R433" s="8" t="e">
        <f>SUMIFS([1]REPORTADOS!$D$2:$D$3379,[1]REPORTADOS!$C$2:$C$3379,E433)</f>
        <v>#VALUE!</v>
      </c>
    </row>
    <row r="434" spans="1:18" x14ac:dyDescent="0.25">
      <c r="A434">
        <v>900091143</v>
      </c>
      <c r="B434" t="s">
        <v>3965</v>
      </c>
      <c r="C434" t="s">
        <v>3687</v>
      </c>
      <c r="E434" t="s">
        <v>3687</v>
      </c>
      <c r="H434" t="s">
        <v>22</v>
      </c>
      <c r="I434">
        <v>1233193769</v>
      </c>
      <c r="J434" t="s">
        <v>4164</v>
      </c>
      <c r="P434" t="s">
        <v>4322</v>
      </c>
      <c r="Q434" s="8">
        <v>39000000</v>
      </c>
      <c r="R434" s="8" t="e">
        <f>SUMIFS([1]REPORTADOS!$D$2:$D$3379,[1]REPORTADOS!$C$2:$C$3379,E434)</f>
        <v>#VALUE!</v>
      </c>
    </row>
    <row r="435" spans="1:18" x14ac:dyDescent="0.25">
      <c r="A435">
        <v>900091143</v>
      </c>
      <c r="B435" t="s">
        <v>3965</v>
      </c>
      <c r="C435" t="s">
        <v>3688</v>
      </c>
      <c r="E435" t="s">
        <v>3688</v>
      </c>
      <c r="H435" t="s">
        <v>22</v>
      </c>
      <c r="I435">
        <v>1086137686</v>
      </c>
      <c r="J435" t="s">
        <v>4086</v>
      </c>
      <c r="P435" t="s">
        <v>4322</v>
      </c>
      <c r="Q435" s="8">
        <v>14190000</v>
      </c>
      <c r="R435" s="8" t="e">
        <f>SUMIFS([1]REPORTADOS!$D$2:$D$3379,[1]REPORTADOS!$C$2:$C$3379,E435)</f>
        <v>#VALUE!</v>
      </c>
    </row>
    <row r="436" spans="1:18" x14ac:dyDescent="0.25">
      <c r="A436">
        <v>900091143</v>
      </c>
      <c r="B436" t="s">
        <v>3965</v>
      </c>
      <c r="C436" t="s">
        <v>3689</v>
      </c>
      <c r="E436" t="s">
        <v>3689</v>
      </c>
      <c r="H436" t="s">
        <v>22</v>
      </c>
      <c r="I436">
        <v>1086360022</v>
      </c>
      <c r="J436" t="s">
        <v>4087</v>
      </c>
      <c r="P436" t="s">
        <v>4322</v>
      </c>
      <c r="Q436" s="8">
        <v>23650000</v>
      </c>
      <c r="R436" s="8" t="e">
        <f>SUMIFS([1]REPORTADOS!$D$2:$D$3379,[1]REPORTADOS!$C$2:$C$3379,E436)</f>
        <v>#VALUE!</v>
      </c>
    </row>
    <row r="437" spans="1:18" x14ac:dyDescent="0.25">
      <c r="A437">
        <v>900091143</v>
      </c>
      <c r="B437" t="s">
        <v>3965</v>
      </c>
      <c r="C437" t="s">
        <v>3690</v>
      </c>
      <c r="E437" t="s">
        <v>3690</v>
      </c>
      <c r="H437" t="s">
        <v>22</v>
      </c>
      <c r="I437">
        <v>1087645723</v>
      </c>
      <c r="J437" t="s">
        <v>4120</v>
      </c>
      <c r="P437" t="s">
        <v>4322</v>
      </c>
      <c r="Q437" s="8">
        <v>39000000</v>
      </c>
      <c r="R437" s="8" t="e">
        <f>SUMIFS([1]REPORTADOS!$D$2:$D$3379,[1]REPORTADOS!$C$2:$C$3379,E437)</f>
        <v>#VALUE!</v>
      </c>
    </row>
    <row r="438" spans="1:18" x14ac:dyDescent="0.25">
      <c r="A438">
        <v>900091143</v>
      </c>
      <c r="B438" t="s">
        <v>3965</v>
      </c>
      <c r="C438" t="s">
        <v>3691</v>
      </c>
      <c r="E438" t="s">
        <v>3691</v>
      </c>
      <c r="H438" t="s">
        <v>22</v>
      </c>
      <c r="I438">
        <v>1233188033</v>
      </c>
      <c r="J438" t="s">
        <v>4165</v>
      </c>
      <c r="P438" t="s">
        <v>4322</v>
      </c>
      <c r="Q438" s="8">
        <v>14190000</v>
      </c>
      <c r="R438" s="8" t="e">
        <f>SUMIFS([1]REPORTADOS!$D$2:$D$3379,[1]REPORTADOS!$C$2:$C$3379,E438)</f>
        <v>#VALUE!</v>
      </c>
    </row>
    <row r="439" spans="1:18" x14ac:dyDescent="0.25">
      <c r="A439">
        <v>900091143</v>
      </c>
      <c r="B439" t="s">
        <v>3965</v>
      </c>
      <c r="C439" t="s">
        <v>3692</v>
      </c>
      <c r="E439" t="s">
        <v>3692</v>
      </c>
      <c r="H439" t="s">
        <v>22</v>
      </c>
      <c r="I439">
        <v>1085343154</v>
      </c>
      <c r="J439" t="s">
        <v>4061</v>
      </c>
      <c r="P439" t="s">
        <v>4273</v>
      </c>
      <c r="Q439" s="8">
        <v>3150000</v>
      </c>
      <c r="R439" s="8" t="e">
        <f>SUMIFS([1]REPORTADOS!$D$2:$D$3379,[1]REPORTADOS!$C$2:$C$3379,E439)</f>
        <v>#VALUE!</v>
      </c>
    </row>
    <row r="440" spans="1:18" x14ac:dyDescent="0.25">
      <c r="A440">
        <v>900091143</v>
      </c>
      <c r="B440" t="s">
        <v>3965</v>
      </c>
      <c r="C440" t="s">
        <v>3693</v>
      </c>
      <c r="E440" t="s">
        <v>3693</v>
      </c>
      <c r="H440" t="s">
        <v>22</v>
      </c>
      <c r="I440">
        <v>1127080390</v>
      </c>
      <c r="J440" t="s">
        <v>4166</v>
      </c>
      <c r="P440" t="s">
        <v>4322</v>
      </c>
      <c r="Q440" s="8">
        <v>23650000</v>
      </c>
      <c r="R440" s="8" t="e">
        <f>SUMIFS([1]REPORTADOS!$D$2:$D$3379,[1]REPORTADOS!$C$2:$C$3379,E440)</f>
        <v>#VALUE!</v>
      </c>
    </row>
    <row r="441" spans="1:18" x14ac:dyDescent="0.25">
      <c r="A441">
        <v>900091143</v>
      </c>
      <c r="B441" t="s">
        <v>3965</v>
      </c>
      <c r="C441" t="s">
        <v>3694</v>
      </c>
      <c r="E441" t="s">
        <v>3694</v>
      </c>
      <c r="H441" t="s">
        <v>22</v>
      </c>
      <c r="I441">
        <v>1233190311</v>
      </c>
      <c r="J441" t="s">
        <v>4167</v>
      </c>
      <c r="P441" t="s">
        <v>4322</v>
      </c>
      <c r="Q441" s="8">
        <v>14190000</v>
      </c>
      <c r="R441" s="8" t="e">
        <f>SUMIFS([1]REPORTADOS!$D$2:$D$3379,[1]REPORTADOS!$C$2:$C$3379,E441)</f>
        <v>#VALUE!</v>
      </c>
    </row>
    <row r="442" spans="1:18" x14ac:dyDescent="0.25">
      <c r="A442">
        <v>900091143</v>
      </c>
      <c r="B442" t="s">
        <v>3965</v>
      </c>
      <c r="C442" t="s">
        <v>3695</v>
      </c>
      <c r="E442" t="s">
        <v>3695</v>
      </c>
      <c r="H442" t="s">
        <v>22</v>
      </c>
      <c r="I442">
        <v>37085864</v>
      </c>
      <c r="J442" t="s">
        <v>4082</v>
      </c>
      <c r="P442" t="s">
        <v>4273</v>
      </c>
      <c r="Q442" s="8">
        <v>18900000</v>
      </c>
      <c r="R442" s="8" t="e">
        <f>SUMIFS([1]REPORTADOS!$D$2:$D$3379,[1]REPORTADOS!$C$2:$C$3379,E442)</f>
        <v>#VALUE!</v>
      </c>
    </row>
    <row r="443" spans="1:18" x14ac:dyDescent="0.25">
      <c r="A443">
        <v>900091143</v>
      </c>
      <c r="B443" t="s">
        <v>3965</v>
      </c>
      <c r="C443" t="s">
        <v>3696</v>
      </c>
      <c r="E443" t="s">
        <v>3696</v>
      </c>
      <c r="H443" t="s">
        <v>22</v>
      </c>
      <c r="I443">
        <v>36757491</v>
      </c>
      <c r="J443" t="s">
        <v>4094</v>
      </c>
      <c r="P443" t="s">
        <v>4322</v>
      </c>
      <c r="Q443" s="8">
        <v>14190000</v>
      </c>
      <c r="R443" s="8" t="e">
        <f>SUMIFS([1]REPORTADOS!$D$2:$D$3379,[1]REPORTADOS!$C$2:$C$3379,E443)</f>
        <v>#VALUE!</v>
      </c>
    </row>
    <row r="444" spans="1:18" x14ac:dyDescent="0.25">
      <c r="A444">
        <v>900091143</v>
      </c>
      <c r="B444" t="s">
        <v>3965</v>
      </c>
      <c r="C444" t="s">
        <v>3697</v>
      </c>
      <c r="E444" t="s">
        <v>3697</v>
      </c>
      <c r="H444" t="s">
        <v>22</v>
      </c>
      <c r="I444">
        <v>1144172704</v>
      </c>
      <c r="J444" t="s">
        <v>4117</v>
      </c>
      <c r="P444" t="s">
        <v>4322</v>
      </c>
      <c r="Q444" s="8">
        <v>39000000</v>
      </c>
      <c r="R444" s="8" t="e">
        <f>SUMIFS([1]REPORTADOS!$D$2:$D$3379,[1]REPORTADOS!$C$2:$C$3379,E444)</f>
        <v>#VALUE!</v>
      </c>
    </row>
    <row r="445" spans="1:18" x14ac:dyDescent="0.25">
      <c r="A445">
        <v>900091143</v>
      </c>
      <c r="B445" t="s">
        <v>3965</v>
      </c>
      <c r="C445" t="s">
        <v>3698</v>
      </c>
      <c r="E445" t="s">
        <v>3698</v>
      </c>
      <c r="H445" t="s">
        <v>22</v>
      </c>
      <c r="I445">
        <v>1085255829</v>
      </c>
      <c r="J445" t="s">
        <v>1678</v>
      </c>
      <c r="P445" t="s">
        <v>4273</v>
      </c>
      <c r="Q445" s="8">
        <v>9450000</v>
      </c>
      <c r="R445" s="8" t="e">
        <f>SUMIFS([1]REPORTADOS!$D$2:$D$3379,[1]REPORTADOS!$C$2:$C$3379,E445)</f>
        <v>#VALUE!</v>
      </c>
    </row>
    <row r="446" spans="1:18" x14ac:dyDescent="0.25">
      <c r="A446">
        <v>900091143</v>
      </c>
      <c r="B446" t="s">
        <v>3965</v>
      </c>
      <c r="C446" t="s">
        <v>3699</v>
      </c>
      <c r="E446" t="s">
        <v>3699</v>
      </c>
      <c r="H446" t="s">
        <v>22</v>
      </c>
      <c r="I446">
        <v>1085281002</v>
      </c>
      <c r="J446" t="s">
        <v>4002</v>
      </c>
      <c r="P446" t="s">
        <v>4273</v>
      </c>
      <c r="Q446" s="8">
        <v>9450000</v>
      </c>
      <c r="R446" s="8" t="e">
        <f>SUMIFS([1]REPORTADOS!$D$2:$D$3379,[1]REPORTADOS!$C$2:$C$3379,E446)</f>
        <v>#VALUE!</v>
      </c>
    </row>
    <row r="447" spans="1:18" x14ac:dyDescent="0.25">
      <c r="A447">
        <v>900091143</v>
      </c>
      <c r="B447" t="s">
        <v>3965</v>
      </c>
      <c r="C447" t="s">
        <v>3700</v>
      </c>
      <c r="E447" t="s">
        <v>3700</v>
      </c>
      <c r="H447" t="s">
        <v>22</v>
      </c>
      <c r="I447">
        <v>1087960287</v>
      </c>
      <c r="J447" t="s">
        <v>4088</v>
      </c>
      <c r="P447" t="s">
        <v>4322</v>
      </c>
      <c r="Q447" s="8">
        <v>14190000</v>
      </c>
      <c r="R447" s="8" t="e">
        <f>SUMIFS([1]REPORTADOS!$D$2:$D$3379,[1]REPORTADOS!$C$2:$C$3379,E447)</f>
        <v>#VALUE!</v>
      </c>
    </row>
    <row r="448" spans="1:18" x14ac:dyDescent="0.25">
      <c r="A448">
        <v>900091143</v>
      </c>
      <c r="B448" t="s">
        <v>3965</v>
      </c>
      <c r="C448" t="s">
        <v>3701</v>
      </c>
      <c r="E448" t="s">
        <v>3701</v>
      </c>
      <c r="H448" t="s">
        <v>22</v>
      </c>
      <c r="I448">
        <v>27082649</v>
      </c>
      <c r="J448" t="s">
        <v>2454</v>
      </c>
      <c r="P448" t="s">
        <v>4273</v>
      </c>
      <c r="Q448" s="8">
        <v>3150000</v>
      </c>
      <c r="R448" s="8" t="e">
        <f>SUMIFS([1]REPORTADOS!$D$2:$D$3379,[1]REPORTADOS!$C$2:$C$3379,E448)</f>
        <v>#VALUE!</v>
      </c>
    </row>
    <row r="449" spans="1:18" x14ac:dyDescent="0.25">
      <c r="A449">
        <v>900091143</v>
      </c>
      <c r="B449" t="s">
        <v>3965</v>
      </c>
      <c r="C449" t="s">
        <v>3702</v>
      </c>
      <c r="E449" t="s">
        <v>3702</v>
      </c>
      <c r="H449" t="s">
        <v>22</v>
      </c>
      <c r="I449">
        <v>1085274300</v>
      </c>
      <c r="J449" t="s">
        <v>4168</v>
      </c>
      <c r="P449" t="s">
        <v>4322</v>
      </c>
      <c r="Q449" s="8">
        <v>39000000</v>
      </c>
      <c r="R449" s="8" t="e">
        <f>SUMIFS([1]REPORTADOS!$D$2:$D$3379,[1]REPORTADOS!$C$2:$C$3379,E449)</f>
        <v>#VALUE!</v>
      </c>
    </row>
    <row r="450" spans="1:18" x14ac:dyDescent="0.25">
      <c r="A450">
        <v>900091143</v>
      </c>
      <c r="B450" t="s">
        <v>3965</v>
      </c>
      <c r="C450" t="s">
        <v>3703</v>
      </c>
      <c r="E450" t="s">
        <v>3703</v>
      </c>
      <c r="H450" t="s">
        <v>22</v>
      </c>
      <c r="I450">
        <v>1085296068</v>
      </c>
      <c r="J450" t="s">
        <v>4169</v>
      </c>
      <c r="P450" t="s">
        <v>4273</v>
      </c>
      <c r="Q450" s="8">
        <v>18900000</v>
      </c>
      <c r="R450" s="8" t="e">
        <f>SUMIFS([1]REPORTADOS!$D$2:$D$3379,[1]REPORTADOS!$C$2:$C$3379,E450)</f>
        <v>#VALUE!</v>
      </c>
    </row>
    <row r="451" spans="1:18" x14ac:dyDescent="0.25">
      <c r="A451">
        <v>900091143</v>
      </c>
      <c r="B451" t="s">
        <v>3965</v>
      </c>
      <c r="C451" t="s">
        <v>3704</v>
      </c>
      <c r="E451" t="s">
        <v>3704</v>
      </c>
      <c r="H451" t="s">
        <v>22</v>
      </c>
      <c r="I451">
        <v>1085302942</v>
      </c>
      <c r="J451" t="s">
        <v>2402</v>
      </c>
      <c r="P451" t="s">
        <v>4273</v>
      </c>
      <c r="Q451" s="8">
        <v>15750000</v>
      </c>
      <c r="R451" s="8" t="e">
        <f>SUMIFS([1]REPORTADOS!$D$2:$D$3379,[1]REPORTADOS!$C$2:$C$3379,E451)</f>
        <v>#VALUE!</v>
      </c>
    </row>
    <row r="452" spans="1:18" x14ac:dyDescent="0.25">
      <c r="A452">
        <v>900091143</v>
      </c>
      <c r="B452" t="s">
        <v>3965</v>
      </c>
      <c r="C452" t="s">
        <v>3705</v>
      </c>
      <c r="E452" t="s">
        <v>3705</v>
      </c>
      <c r="H452" t="s">
        <v>22</v>
      </c>
      <c r="I452">
        <v>1085263018</v>
      </c>
      <c r="J452" t="s">
        <v>4170</v>
      </c>
      <c r="P452" t="s">
        <v>4322</v>
      </c>
      <c r="Q452" s="8">
        <v>4730000</v>
      </c>
      <c r="R452" s="8" t="e">
        <f>SUMIFS([1]REPORTADOS!$D$2:$D$3379,[1]REPORTADOS!$C$2:$C$3379,E452)</f>
        <v>#VALUE!</v>
      </c>
    </row>
    <row r="453" spans="1:18" x14ac:dyDescent="0.25">
      <c r="A453">
        <v>900091143</v>
      </c>
      <c r="B453" t="s">
        <v>3965</v>
      </c>
      <c r="C453" t="s">
        <v>3706</v>
      </c>
      <c r="E453" t="s">
        <v>3706</v>
      </c>
      <c r="H453" t="s">
        <v>22</v>
      </c>
      <c r="I453">
        <v>1085330309</v>
      </c>
      <c r="J453" t="s">
        <v>1636</v>
      </c>
      <c r="P453" t="s">
        <v>4322</v>
      </c>
      <c r="Q453" s="8">
        <v>14190000</v>
      </c>
      <c r="R453" s="8" t="e">
        <f>SUMIFS([1]REPORTADOS!$D$2:$D$3379,[1]REPORTADOS!$C$2:$C$3379,E453)</f>
        <v>#VALUE!</v>
      </c>
    </row>
    <row r="454" spans="1:18" x14ac:dyDescent="0.25">
      <c r="A454">
        <v>900091143</v>
      </c>
      <c r="B454" t="s">
        <v>3965</v>
      </c>
      <c r="C454" t="s">
        <v>3707</v>
      </c>
      <c r="E454" t="s">
        <v>3707</v>
      </c>
      <c r="H454" t="s">
        <v>22</v>
      </c>
      <c r="I454">
        <v>1004726621</v>
      </c>
      <c r="J454" t="s">
        <v>4038</v>
      </c>
      <c r="P454" t="s">
        <v>4273</v>
      </c>
      <c r="Q454" s="8">
        <v>3150000</v>
      </c>
      <c r="R454" s="8" t="e">
        <f>SUMIFS([1]REPORTADOS!$D$2:$D$3379,[1]REPORTADOS!$C$2:$C$3379,E454)</f>
        <v>#VALUE!</v>
      </c>
    </row>
    <row r="455" spans="1:18" x14ac:dyDescent="0.25">
      <c r="A455">
        <v>900091143</v>
      </c>
      <c r="B455" t="s">
        <v>3965</v>
      </c>
      <c r="C455" t="s">
        <v>3708</v>
      </c>
      <c r="E455" t="s">
        <v>3708</v>
      </c>
      <c r="H455" t="s">
        <v>22</v>
      </c>
      <c r="I455">
        <v>1061794455</v>
      </c>
      <c r="J455" t="s">
        <v>4098</v>
      </c>
      <c r="P455" t="s">
        <v>4322</v>
      </c>
      <c r="Q455" s="8">
        <v>23400000</v>
      </c>
      <c r="R455" s="8" t="e">
        <f>SUMIFS([1]REPORTADOS!$D$2:$D$3379,[1]REPORTADOS!$C$2:$C$3379,E455)</f>
        <v>#VALUE!</v>
      </c>
    </row>
    <row r="456" spans="1:18" x14ac:dyDescent="0.25">
      <c r="A456">
        <v>900091143</v>
      </c>
      <c r="B456" t="s">
        <v>3965</v>
      </c>
      <c r="C456" t="s">
        <v>3709</v>
      </c>
      <c r="E456" t="s">
        <v>3709</v>
      </c>
      <c r="H456" t="s">
        <v>22</v>
      </c>
      <c r="I456">
        <v>59828916</v>
      </c>
      <c r="J456" t="s">
        <v>2018</v>
      </c>
      <c r="P456" t="s">
        <v>4273</v>
      </c>
      <c r="Q456" s="8">
        <v>9450000</v>
      </c>
      <c r="R456" s="8" t="e">
        <f>SUMIFS([1]REPORTADOS!$D$2:$D$3379,[1]REPORTADOS!$C$2:$C$3379,E456)</f>
        <v>#VALUE!</v>
      </c>
    </row>
    <row r="457" spans="1:18" x14ac:dyDescent="0.25">
      <c r="A457">
        <v>900091143</v>
      </c>
      <c r="B457" t="s">
        <v>3965</v>
      </c>
      <c r="C457" t="s">
        <v>3710</v>
      </c>
      <c r="E457" t="s">
        <v>3710</v>
      </c>
      <c r="H457" t="s">
        <v>22</v>
      </c>
      <c r="I457">
        <v>1085286742</v>
      </c>
      <c r="J457" t="s">
        <v>1774</v>
      </c>
      <c r="P457" t="s">
        <v>4273</v>
      </c>
      <c r="Q457" s="8">
        <v>9450000</v>
      </c>
      <c r="R457" s="8" t="e">
        <f>SUMIFS([1]REPORTADOS!$D$2:$D$3379,[1]REPORTADOS!$C$2:$C$3379,E457)</f>
        <v>#VALUE!</v>
      </c>
    </row>
    <row r="458" spans="1:18" x14ac:dyDescent="0.25">
      <c r="A458">
        <v>900091143</v>
      </c>
      <c r="B458" t="s">
        <v>3965</v>
      </c>
      <c r="C458" t="s">
        <v>3711</v>
      </c>
      <c r="E458" t="s">
        <v>3711</v>
      </c>
      <c r="H458" t="s">
        <v>22</v>
      </c>
      <c r="I458">
        <v>1085278004</v>
      </c>
      <c r="J458" t="s">
        <v>4081</v>
      </c>
      <c r="P458" t="s">
        <v>4273</v>
      </c>
      <c r="Q458" s="8">
        <v>18900000</v>
      </c>
      <c r="R458" s="8" t="e">
        <f>SUMIFS([1]REPORTADOS!$D$2:$D$3379,[1]REPORTADOS!$C$2:$C$3379,E458)</f>
        <v>#VALUE!</v>
      </c>
    </row>
    <row r="459" spans="1:18" x14ac:dyDescent="0.25">
      <c r="A459">
        <v>900091143</v>
      </c>
      <c r="B459" t="s">
        <v>3965</v>
      </c>
      <c r="C459" t="s">
        <v>3712</v>
      </c>
      <c r="E459" t="s">
        <v>3712</v>
      </c>
      <c r="H459" t="s">
        <v>22</v>
      </c>
      <c r="I459">
        <v>1085270448</v>
      </c>
      <c r="J459" t="s">
        <v>4012</v>
      </c>
      <c r="P459" t="s">
        <v>4273</v>
      </c>
      <c r="Q459" s="8">
        <v>9450000</v>
      </c>
      <c r="R459" s="8" t="e">
        <f>SUMIFS([1]REPORTADOS!$D$2:$D$3379,[1]REPORTADOS!$C$2:$C$3379,E459)</f>
        <v>#VALUE!</v>
      </c>
    </row>
    <row r="460" spans="1:18" x14ac:dyDescent="0.25">
      <c r="A460">
        <v>900091143</v>
      </c>
      <c r="B460" t="s">
        <v>3965</v>
      </c>
      <c r="C460" t="s">
        <v>3713</v>
      </c>
      <c r="E460" t="s">
        <v>3713</v>
      </c>
      <c r="H460" t="s">
        <v>22</v>
      </c>
      <c r="I460">
        <v>1085266584</v>
      </c>
      <c r="J460" t="s">
        <v>1981</v>
      </c>
      <c r="P460" t="s">
        <v>4273</v>
      </c>
      <c r="Q460" s="8">
        <v>15750000</v>
      </c>
      <c r="R460" s="8" t="e">
        <f>SUMIFS([1]REPORTADOS!$D$2:$D$3379,[1]REPORTADOS!$C$2:$C$3379,E460)</f>
        <v>#VALUE!</v>
      </c>
    </row>
    <row r="461" spans="1:18" x14ac:dyDescent="0.25">
      <c r="A461">
        <v>900091143</v>
      </c>
      <c r="B461" t="s">
        <v>3965</v>
      </c>
      <c r="C461" t="s">
        <v>3714</v>
      </c>
      <c r="E461" t="s">
        <v>3714</v>
      </c>
      <c r="H461" t="s">
        <v>22</v>
      </c>
      <c r="I461">
        <v>59310291</v>
      </c>
      <c r="J461" t="s">
        <v>4107</v>
      </c>
      <c r="P461" t="s">
        <v>4273</v>
      </c>
      <c r="Q461" s="8">
        <v>31500000</v>
      </c>
      <c r="R461" s="8" t="e">
        <f>SUMIFS([1]REPORTADOS!$D$2:$D$3379,[1]REPORTADOS!$C$2:$C$3379,E461)</f>
        <v>#VALUE!</v>
      </c>
    </row>
    <row r="462" spans="1:18" x14ac:dyDescent="0.25">
      <c r="A462">
        <v>900091143</v>
      </c>
      <c r="B462" t="s">
        <v>3965</v>
      </c>
      <c r="C462" t="s">
        <v>3715</v>
      </c>
      <c r="E462" t="s">
        <v>3715</v>
      </c>
      <c r="H462" t="s">
        <v>22</v>
      </c>
      <c r="I462">
        <v>1089483067</v>
      </c>
      <c r="J462" t="s">
        <v>4124</v>
      </c>
      <c r="P462" t="s">
        <v>4322</v>
      </c>
      <c r="Q462" s="8">
        <v>23400000</v>
      </c>
      <c r="R462" s="8" t="e">
        <f>SUMIFS([1]REPORTADOS!$D$2:$D$3379,[1]REPORTADOS!$C$2:$C$3379,E462)</f>
        <v>#VALUE!</v>
      </c>
    </row>
    <row r="463" spans="1:18" x14ac:dyDescent="0.25">
      <c r="A463">
        <v>900091143</v>
      </c>
      <c r="B463" t="s">
        <v>3965</v>
      </c>
      <c r="C463" t="s">
        <v>3716</v>
      </c>
      <c r="E463" t="s">
        <v>3716</v>
      </c>
      <c r="H463" t="s">
        <v>22</v>
      </c>
      <c r="I463">
        <v>27456421</v>
      </c>
      <c r="J463" t="s">
        <v>4100</v>
      </c>
      <c r="P463" t="s">
        <v>4273</v>
      </c>
      <c r="Q463" s="8">
        <v>6300000</v>
      </c>
      <c r="R463" s="8" t="e">
        <f>SUMIFS([1]REPORTADOS!$D$2:$D$3379,[1]REPORTADOS!$C$2:$C$3379,E463)</f>
        <v>#VALUE!</v>
      </c>
    </row>
    <row r="464" spans="1:18" x14ac:dyDescent="0.25">
      <c r="A464">
        <v>900091143</v>
      </c>
      <c r="B464" t="s">
        <v>3965</v>
      </c>
      <c r="C464" t="s">
        <v>3717</v>
      </c>
      <c r="E464" t="s">
        <v>3717</v>
      </c>
      <c r="H464" t="s">
        <v>22</v>
      </c>
      <c r="I464">
        <v>1193292339</v>
      </c>
      <c r="J464" t="s">
        <v>4129</v>
      </c>
      <c r="P464" t="s">
        <v>4322</v>
      </c>
      <c r="Q464" s="8">
        <v>23400000</v>
      </c>
      <c r="R464" s="8" t="e">
        <f>SUMIFS([1]REPORTADOS!$D$2:$D$3379,[1]REPORTADOS!$C$2:$C$3379,E464)</f>
        <v>#VALUE!</v>
      </c>
    </row>
    <row r="465" spans="1:18" x14ac:dyDescent="0.25">
      <c r="A465">
        <v>900091143</v>
      </c>
      <c r="B465" t="s">
        <v>3965</v>
      </c>
      <c r="C465" t="s">
        <v>3718</v>
      </c>
      <c r="E465" t="s">
        <v>3718</v>
      </c>
      <c r="H465" t="s">
        <v>22</v>
      </c>
      <c r="I465">
        <v>1084228089</v>
      </c>
      <c r="J465" t="s">
        <v>2773</v>
      </c>
      <c r="P465" t="s">
        <v>4273</v>
      </c>
      <c r="Q465" s="8">
        <v>18900000</v>
      </c>
      <c r="R465" s="8" t="e">
        <f>SUMIFS([1]REPORTADOS!$D$2:$D$3379,[1]REPORTADOS!$C$2:$C$3379,E465)</f>
        <v>#VALUE!</v>
      </c>
    </row>
    <row r="466" spans="1:18" x14ac:dyDescent="0.25">
      <c r="A466">
        <v>900091143</v>
      </c>
      <c r="B466" t="s">
        <v>3965</v>
      </c>
      <c r="C466" t="s">
        <v>3719</v>
      </c>
      <c r="E466" t="s">
        <v>3719</v>
      </c>
      <c r="H466" t="s">
        <v>22</v>
      </c>
      <c r="I466">
        <v>1086018206</v>
      </c>
      <c r="J466" t="s">
        <v>4171</v>
      </c>
      <c r="P466" t="s">
        <v>4322</v>
      </c>
      <c r="Q466" s="8">
        <v>23400000</v>
      </c>
      <c r="R466" s="8" t="e">
        <f>SUMIFS([1]REPORTADOS!$D$2:$D$3379,[1]REPORTADOS!$C$2:$C$3379,E466)</f>
        <v>#VALUE!</v>
      </c>
    </row>
    <row r="467" spans="1:18" x14ac:dyDescent="0.25">
      <c r="A467">
        <v>900091143</v>
      </c>
      <c r="B467" t="s">
        <v>3965</v>
      </c>
      <c r="C467" t="s">
        <v>3720</v>
      </c>
      <c r="E467" t="s">
        <v>3720</v>
      </c>
      <c r="H467" t="s">
        <v>22</v>
      </c>
      <c r="I467">
        <v>36950073</v>
      </c>
      <c r="J467" t="s">
        <v>2482</v>
      </c>
      <c r="P467" t="s">
        <v>4322</v>
      </c>
      <c r="Q467" s="8">
        <v>23650000</v>
      </c>
      <c r="R467" s="8" t="e">
        <f>SUMIFS([1]REPORTADOS!$D$2:$D$3379,[1]REPORTADOS!$C$2:$C$3379,E467)</f>
        <v>#VALUE!</v>
      </c>
    </row>
    <row r="468" spans="1:18" x14ac:dyDescent="0.25">
      <c r="A468">
        <v>900091143</v>
      </c>
      <c r="B468" t="s">
        <v>3965</v>
      </c>
      <c r="C468" t="s">
        <v>3721</v>
      </c>
      <c r="E468" t="s">
        <v>3721</v>
      </c>
      <c r="H468" t="s">
        <v>22</v>
      </c>
      <c r="I468">
        <v>1193383314</v>
      </c>
      <c r="J468" t="s">
        <v>4101</v>
      </c>
      <c r="P468" t="s">
        <v>4273</v>
      </c>
      <c r="Q468" s="8">
        <v>31500000</v>
      </c>
      <c r="R468" s="8" t="e">
        <f>SUMIFS([1]REPORTADOS!$D$2:$D$3379,[1]REPORTADOS!$C$2:$C$3379,E468)</f>
        <v>#VALUE!</v>
      </c>
    </row>
    <row r="469" spans="1:18" x14ac:dyDescent="0.25">
      <c r="A469">
        <v>900091143</v>
      </c>
      <c r="B469" t="s">
        <v>3965</v>
      </c>
      <c r="C469" t="s">
        <v>3722</v>
      </c>
      <c r="E469" t="s">
        <v>3722</v>
      </c>
      <c r="H469" t="s">
        <v>22</v>
      </c>
      <c r="I469">
        <v>1085246134</v>
      </c>
      <c r="J469" t="s">
        <v>4032</v>
      </c>
      <c r="P469" t="s">
        <v>4273</v>
      </c>
      <c r="Q469" s="8">
        <v>6300000</v>
      </c>
      <c r="R469" s="8" t="e">
        <f>SUMIFS([1]REPORTADOS!$D$2:$D$3379,[1]REPORTADOS!$C$2:$C$3379,E469)</f>
        <v>#VALUE!</v>
      </c>
    </row>
    <row r="470" spans="1:18" x14ac:dyDescent="0.25">
      <c r="A470">
        <v>900091143</v>
      </c>
      <c r="B470" t="s">
        <v>3965</v>
      </c>
      <c r="C470" t="s">
        <v>3723</v>
      </c>
      <c r="E470" t="s">
        <v>3723</v>
      </c>
      <c r="H470" t="s">
        <v>22</v>
      </c>
      <c r="I470">
        <v>1022426162</v>
      </c>
      <c r="J470" t="s">
        <v>4127</v>
      </c>
      <c r="P470" t="s">
        <v>4322</v>
      </c>
      <c r="Q470" s="8">
        <v>7800000</v>
      </c>
      <c r="R470" s="8" t="e">
        <f>SUMIFS([1]REPORTADOS!$D$2:$D$3379,[1]REPORTADOS!$C$2:$C$3379,E470)</f>
        <v>#VALUE!</v>
      </c>
    </row>
    <row r="471" spans="1:18" x14ac:dyDescent="0.25">
      <c r="A471">
        <v>900091143</v>
      </c>
      <c r="B471" t="s">
        <v>3965</v>
      </c>
      <c r="C471" t="s">
        <v>3724</v>
      </c>
      <c r="E471" t="s">
        <v>3724</v>
      </c>
      <c r="H471" t="s">
        <v>22</v>
      </c>
      <c r="I471">
        <v>1086224204</v>
      </c>
      <c r="J471" t="s">
        <v>4043</v>
      </c>
      <c r="P471" t="s">
        <v>4273</v>
      </c>
      <c r="Q471" s="8">
        <v>9450000</v>
      </c>
      <c r="R471" s="8" t="e">
        <f>SUMIFS([1]REPORTADOS!$D$2:$D$3379,[1]REPORTADOS!$C$2:$C$3379,E471)</f>
        <v>#VALUE!</v>
      </c>
    </row>
    <row r="472" spans="1:18" x14ac:dyDescent="0.25">
      <c r="A472">
        <v>900091143</v>
      </c>
      <c r="B472" t="s">
        <v>3965</v>
      </c>
      <c r="C472" t="s">
        <v>3725</v>
      </c>
      <c r="E472" t="s">
        <v>3725</v>
      </c>
      <c r="H472" t="s">
        <v>22</v>
      </c>
      <c r="I472">
        <v>1082748032</v>
      </c>
      <c r="J472" t="s">
        <v>4031</v>
      </c>
      <c r="P472" t="s">
        <v>4273</v>
      </c>
      <c r="Q472" s="8">
        <v>15750000</v>
      </c>
      <c r="R472" s="8" t="e">
        <f>SUMIFS([1]REPORTADOS!$D$2:$D$3379,[1]REPORTADOS!$C$2:$C$3379,E472)</f>
        <v>#VALUE!</v>
      </c>
    </row>
    <row r="473" spans="1:18" x14ac:dyDescent="0.25">
      <c r="A473">
        <v>900091143</v>
      </c>
      <c r="B473" t="s">
        <v>3965</v>
      </c>
      <c r="C473" t="s">
        <v>3726</v>
      </c>
      <c r="E473" t="s">
        <v>3726</v>
      </c>
      <c r="H473" t="s">
        <v>22</v>
      </c>
      <c r="I473">
        <v>59122805</v>
      </c>
      <c r="J473" t="s">
        <v>4049</v>
      </c>
      <c r="P473" t="s">
        <v>4273</v>
      </c>
      <c r="Q473" s="8">
        <v>3150000</v>
      </c>
      <c r="R473" s="8" t="e">
        <f>SUMIFS([1]REPORTADOS!$D$2:$D$3379,[1]REPORTADOS!$C$2:$C$3379,E473)</f>
        <v>#VALUE!</v>
      </c>
    </row>
    <row r="474" spans="1:18" x14ac:dyDescent="0.25">
      <c r="A474">
        <v>900091143</v>
      </c>
      <c r="B474" t="s">
        <v>3965</v>
      </c>
      <c r="C474" t="s">
        <v>3727</v>
      </c>
      <c r="E474" t="s">
        <v>3727</v>
      </c>
      <c r="H474" t="s">
        <v>22</v>
      </c>
      <c r="I474">
        <v>12961407</v>
      </c>
      <c r="J474" t="s">
        <v>2110</v>
      </c>
      <c r="P474" t="s">
        <v>4322</v>
      </c>
      <c r="Q474" s="8">
        <v>23400000</v>
      </c>
      <c r="R474" s="8" t="e">
        <f>SUMIFS([1]REPORTADOS!$D$2:$D$3379,[1]REPORTADOS!$C$2:$C$3379,E474)</f>
        <v>#VALUE!</v>
      </c>
    </row>
    <row r="475" spans="1:18" x14ac:dyDescent="0.25">
      <c r="A475">
        <v>900091143</v>
      </c>
      <c r="B475" t="s">
        <v>3965</v>
      </c>
      <c r="C475" t="s">
        <v>3728</v>
      </c>
      <c r="E475" t="s">
        <v>3728</v>
      </c>
      <c r="H475" t="s">
        <v>22</v>
      </c>
      <c r="I475">
        <v>1081052779</v>
      </c>
      <c r="J475" t="s">
        <v>4027</v>
      </c>
      <c r="P475" t="s">
        <v>4273</v>
      </c>
      <c r="Q475" s="8">
        <v>9450000</v>
      </c>
      <c r="R475" s="8" t="e">
        <f>SUMIFS([1]REPORTADOS!$D$2:$D$3379,[1]REPORTADOS!$C$2:$C$3379,E475)</f>
        <v>#VALUE!</v>
      </c>
    </row>
    <row r="476" spans="1:18" x14ac:dyDescent="0.25">
      <c r="A476">
        <v>900091143</v>
      </c>
      <c r="B476" t="s">
        <v>3965</v>
      </c>
      <c r="C476" t="s">
        <v>3729</v>
      </c>
      <c r="E476" t="s">
        <v>3729</v>
      </c>
      <c r="H476" t="s">
        <v>22</v>
      </c>
      <c r="I476">
        <v>1085331301</v>
      </c>
      <c r="J476" t="s">
        <v>4068</v>
      </c>
      <c r="P476" t="s">
        <v>4322</v>
      </c>
      <c r="Q476" s="8">
        <v>4730000</v>
      </c>
      <c r="R476" s="8" t="e">
        <f>SUMIFS([1]REPORTADOS!$D$2:$D$3379,[1]REPORTADOS!$C$2:$C$3379,E476)</f>
        <v>#VALUE!</v>
      </c>
    </row>
    <row r="477" spans="1:18" x14ac:dyDescent="0.25">
      <c r="A477">
        <v>900091143</v>
      </c>
      <c r="B477" t="s">
        <v>3965</v>
      </c>
      <c r="C477" t="s">
        <v>3730</v>
      </c>
      <c r="E477" t="s">
        <v>3730</v>
      </c>
      <c r="H477" t="s">
        <v>22</v>
      </c>
      <c r="I477">
        <v>1085347312</v>
      </c>
      <c r="J477" t="s">
        <v>4105</v>
      </c>
      <c r="P477" t="s">
        <v>4273</v>
      </c>
      <c r="Q477" s="8">
        <v>18900000</v>
      </c>
      <c r="R477" s="8" t="e">
        <f>SUMIFS([1]REPORTADOS!$D$2:$D$3379,[1]REPORTADOS!$C$2:$C$3379,E477)</f>
        <v>#VALUE!</v>
      </c>
    </row>
    <row r="478" spans="1:18" x14ac:dyDescent="0.25">
      <c r="A478">
        <v>900091143</v>
      </c>
      <c r="B478" t="s">
        <v>3965</v>
      </c>
      <c r="C478" t="s">
        <v>3731</v>
      </c>
      <c r="E478" t="s">
        <v>3731</v>
      </c>
      <c r="H478" t="s">
        <v>22</v>
      </c>
      <c r="I478">
        <v>1053793750</v>
      </c>
      <c r="J478" t="s">
        <v>4108</v>
      </c>
      <c r="P478" t="s">
        <v>4273</v>
      </c>
      <c r="Q478" s="8">
        <v>6300000</v>
      </c>
      <c r="R478" s="8" t="e">
        <f>SUMIFS([1]REPORTADOS!$D$2:$D$3379,[1]REPORTADOS!$C$2:$C$3379,E478)</f>
        <v>#VALUE!</v>
      </c>
    </row>
    <row r="479" spans="1:18" x14ac:dyDescent="0.25">
      <c r="A479">
        <v>900091143</v>
      </c>
      <c r="B479" t="s">
        <v>3965</v>
      </c>
      <c r="C479" t="s">
        <v>3732</v>
      </c>
      <c r="E479" t="s">
        <v>3732</v>
      </c>
      <c r="H479" t="s">
        <v>22</v>
      </c>
      <c r="I479">
        <v>1193202097</v>
      </c>
      <c r="J479" t="s">
        <v>1796</v>
      </c>
      <c r="P479" t="s">
        <v>4322</v>
      </c>
      <c r="Q479" s="8">
        <v>23400000</v>
      </c>
      <c r="R479" s="8" t="e">
        <f>SUMIFS([1]REPORTADOS!$D$2:$D$3379,[1]REPORTADOS!$C$2:$C$3379,E479)</f>
        <v>#VALUE!</v>
      </c>
    </row>
    <row r="480" spans="1:18" x14ac:dyDescent="0.25">
      <c r="A480">
        <v>900091143</v>
      </c>
      <c r="B480" t="s">
        <v>3965</v>
      </c>
      <c r="C480" t="s">
        <v>3733</v>
      </c>
      <c r="E480" t="s">
        <v>3733</v>
      </c>
      <c r="H480" t="s">
        <v>22</v>
      </c>
      <c r="I480">
        <v>59837608</v>
      </c>
      <c r="J480" t="s">
        <v>1810</v>
      </c>
      <c r="P480" t="s">
        <v>4273</v>
      </c>
      <c r="Q480" s="8">
        <v>18900000</v>
      </c>
      <c r="R480" s="8" t="e">
        <f>SUMIFS([1]REPORTADOS!$D$2:$D$3379,[1]REPORTADOS!$C$2:$C$3379,E480)</f>
        <v>#VALUE!</v>
      </c>
    </row>
    <row r="481" spans="1:18" x14ac:dyDescent="0.25">
      <c r="A481">
        <v>900091143</v>
      </c>
      <c r="B481" t="s">
        <v>3965</v>
      </c>
      <c r="C481" t="s">
        <v>3734</v>
      </c>
      <c r="E481" t="s">
        <v>3734</v>
      </c>
      <c r="H481" t="s">
        <v>22</v>
      </c>
      <c r="I481">
        <v>1193405962</v>
      </c>
      <c r="J481" t="s">
        <v>4013</v>
      </c>
      <c r="P481" t="s">
        <v>4273</v>
      </c>
      <c r="Q481" s="8">
        <v>15750000</v>
      </c>
      <c r="R481" s="8" t="e">
        <f>SUMIFS([1]REPORTADOS!$D$2:$D$3379,[1]REPORTADOS!$C$2:$C$3379,E481)</f>
        <v>#VALUE!</v>
      </c>
    </row>
    <row r="482" spans="1:18" x14ac:dyDescent="0.25">
      <c r="A482">
        <v>900091143</v>
      </c>
      <c r="B482" t="s">
        <v>3965</v>
      </c>
      <c r="C482" t="s">
        <v>3735</v>
      </c>
      <c r="E482" t="s">
        <v>3735</v>
      </c>
      <c r="H482" t="s">
        <v>22</v>
      </c>
      <c r="I482">
        <v>1081053820</v>
      </c>
      <c r="J482" t="s">
        <v>2368</v>
      </c>
      <c r="P482" t="s">
        <v>4273</v>
      </c>
      <c r="Q482" s="8">
        <v>15750000</v>
      </c>
      <c r="R482" s="8" t="e">
        <f>SUMIFS([1]REPORTADOS!$D$2:$D$3379,[1]REPORTADOS!$C$2:$C$3379,E482)</f>
        <v>#VALUE!</v>
      </c>
    </row>
    <row r="483" spans="1:18" x14ac:dyDescent="0.25">
      <c r="A483">
        <v>900091143</v>
      </c>
      <c r="B483" t="s">
        <v>3965</v>
      </c>
      <c r="C483" t="s">
        <v>3736</v>
      </c>
      <c r="E483" t="s">
        <v>3736</v>
      </c>
      <c r="H483" t="s">
        <v>22</v>
      </c>
      <c r="I483">
        <v>1085246674</v>
      </c>
      <c r="J483" t="s">
        <v>4003</v>
      </c>
      <c r="P483" t="s">
        <v>4273</v>
      </c>
      <c r="Q483" s="8">
        <v>3150000</v>
      </c>
      <c r="R483" s="8" t="e">
        <f>SUMIFS([1]REPORTADOS!$D$2:$D$3379,[1]REPORTADOS!$C$2:$C$3379,E483)</f>
        <v>#VALUE!</v>
      </c>
    </row>
    <row r="484" spans="1:18" x14ac:dyDescent="0.25">
      <c r="A484">
        <v>900091143</v>
      </c>
      <c r="B484" t="s">
        <v>3965</v>
      </c>
      <c r="C484" t="s">
        <v>3737</v>
      </c>
      <c r="E484" t="s">
        <v>3737</v>
      </c>
      <c r="H484" t="s">
        <v>22</v>
      </c>
      <c r="I484">
        <v>1085315209</v>
      </c>
      <c r="J484" t="s">
        <v>2644</v>
      </c>
      <c r="P484" t="s">
        <v>4273</v>
      </c>
      <c r="Q484" s="8">
        <v>3150000</v>
      </c>
      <c r="R484" s="8" t="e">
        <f>SUMIFS([1]REPORTADOS!$D$2:$D$3379,[1]REPORTADOS!$C$2:$C$3379,E484)</f>
        <v>#VALUE!</v>
      </c>
    </row>
    <row r="485" spans="1:18" x14ac:dyDescent="0.25">
      <c r="A485">
        <v>900091143</v>
      </c>
      <c r="B485" t="s">
        <v>3965</v>
      </c>
      <c r="C485" t="s">
        <v>3738</v>
      </c>
      <c r="E485" t="s">
        <v>3738</v>
      </c>
      <c r="H485" t="s">
        <v>22</v>
      </c>
      <c r="I485">
        <v>1004437571</v>
      </c>
      <c r="J485" t="s">
        <v>2775</v>
      </c>
      <c r="P485" t="s">
        <v>4273</v>
      </c>
      <c r="Q485" s="8">
        <v>3150000</v>
      </c>
      <c r="R485" s="8" t="e">
        <f>SUMIFS([1]REPORTADOS!$D$2:$D$3379,[1]REPORTADOS!$C$2:$C$3379,E485)</f>
        <v>#VALUE!</v>
      </c>
    </row>
    <row r="486" spans="1:18" x14ac:dyDescent="0.25">
      <c r="A486">
        <v>900091143</v>
      </c>
      <c r="B486" t="s">
        <v>3965</v>
      </c>
      <c r="C486" t="s">
        <v>3739</v>
      </c>
      <c r="E486" t="s">
        <v>3739</v>
      </c>
      <c r="H486" t="s">
        <v>22</v>
      </c>
      <c r="I486">
        <v>36950892</v>
      </c>
      <c r="J486" t="s">
        <v>4014</v>
      </c>
      <c r="P486" t="s">
        <v>4273</v>
      </c>
      <c r="Q486" s="8">
        <v>9450000</v>
      </c>
      <c r="R486" s="8" t="e">
        <f>SUMIFS([1]REPORTADOS!$D$2:$D$3379,[1]REPORTADOS!$C$2:$C$3379,E486)</f>
        <v>#VALUE!</v>
      </c>
    </row>
    <row r="487" spans="1:18" x14ac:dyDescent="0.25">
      <c r="A487">
        <v>900091143</v>
      </c>
      <c r="B487" t="s">
        <v>3965</v>
      </c>
      <c r="C487" t="s">
        <v>3740</v>
      </c>
      <c r="E487" t="s">
        <v>3740</v>
      </c>
      <c r="H487" t="s">
        <v>22</v>
      </c>
      <c r="I487">
        <v>1088734182</v>
      </c>
      <c r="J487" t="s">
        <v>4128</v>
      </c>
      <c r="P487" t="s">
        <v>4322</v>
      </c>
      <c r="Q487" s="8">
        <v>7800000</v>
      </c>
      <c r="R487" s="8" t="e">
        <f>SUMIFS([1]REPORTADOS!$D$2:$D$3379,[1]REPORTADOS!$C$2:$C$3379,E487)</f>
        <v>#VALUE!</v>
      </c>
    </row>
    <row r="488" spans="1:18" x14ac:dyDescent="0.25">
      <c r="A488">
        <v>900091143</v>
      </c>
      <c r="B488" t="s">
        <v>3965</v>
      </c>
      <c r="C488" t="s">
        <v>3741</v>
      </c>
      <c r="E488" t="s">
        <v>3741</v>
      </c>
      <c r="H488" t="s">
        <v>22</v>
      </c>
      <c r="I488">
        <v>1087006717</v>
      </c>
      <c r="J488" t="s">
        <v>1793</v>
      </c>
      <c r="P488" t="s">
        <v>4273</v>
      </c>
      <c r="Q488" s="8">
        <v>15750000</v>
      </c>
      <c r="R488" s="8" t="e">
        <f>SUMIFS([1]REPORTADOS!$D$2:$D$3379,[1]REPORTADOS!$C$2:$C$3379,E488)</f>
        <v>#VALUE!</v>
      </c>
    </row>
    <row r="489" spans="1:18" x14ac:dyDescent="0.25">
      <c r="A489">
        <v>900091143</v>
      </c>
      <c r="B489" t="s">
        <v>3965</v>
      </c>
      <c r="C489" t="s">
        <v>3742</v>
      </c>
      <c r="E489" t="s">
        <v>3742</v>
      </c>
      <c r="H489" t="s">
        <v>22</v>
      </c>
      <c r="I489">
        <v>1086018841</v>
      </c>
      <c r="J489" t="s">
        <v>4011</v>
      </c>
      <c r="P489" t="s">
        <v>4273</v>
      </c>
      <c r="Q489" s="8">
        <v>9450000</v>
      </c>
      <c r="R489" s="8" t="e">
        <f>SUMIFS([1]REPORTADOS!$D$2:$D$3379,[1]REPORTADOS!$C$2:$C$3379,E489)</f>
        <v>#VALUE!</v>
      </c>
    </row>
    <row r="490" spans="1:18" x14ac:dyDescent="0.25">
      <c r="A490">
        <v>900091143</v>
      </c>
      <c r="B490" t="s">
        <v>3965</v>
      </c>
      <c r="C490" t="s">
        <v>3743</v>
      </c>
      <c r="E490" t="s">
        <v>3743</v>
      </c>
      <c r="H490" t="s">
        <v>22</v>
      </c>
      <c r="I490">
        <v>1084552063</v>
      </c>
      <c r="J490" t="s">
        <v>4125</v>
      </c>
      <c r="P490" t="s">
        <v>4322</v>
      </c>
      <c r="Q490" s="8">
        <v>39000000</v>
      </c>
      <c r="R490" s="8" t="e">
        <f>SUMIFS([1]REPORTADOS!$D$2:$D$3379,[1]REPORTADOS!$C$2:$C$3379,E490)</f>
        <v>#VALUE!</v>
      </c>
    </row>
    <row r="491" spans="1:18" x14ac:dyDescent="0.25">
      <c r="A491">
        <v>900091143</v>
      </c>
      <c r="B491" t="s">
        <v>3965</v>
      </c>
      <c r="C491" t="s">
        <v>3744</v>
      </c>
      <c r="E491" t="s">
        <v>3744</v>
      </c>
      <c r="H491" t="s">
        <v>22</v>
      </c>
      <c r="J491" t="s">
        <v>2270</v>
      </c>
      <c r="P491" t="s">
        <v>4273</v>
      </c>
      <c r="Q491" s="8">
        <v>9450000</v>
      </c>
      <c r="R491" s="8" t="e">
        <f>SUMIFS([1]REPORTADOS!$D$2:$D$3379,[1]REPORTADOS!$C$2:$C$3379,E491)</f>
        <v>#VALUE!</v>
      </c>
    </row>
    <row r="492" spans="1:18" x14ac:dyDescent="0.25">
      <c r="A492">
        <v>900091143</v>
      </c>
      <c r="B492" t="s">
        <v>3965</v>
      </c>
      <c r="C492" t="s">
        <v>3745</v>
      </c>
      <c r="E492" t="s">
        <v>3745</v>
      </c>
      <c r="H492" t="s">
        <v>22</v>
      </c>
      <c r="I492">
        <v>1085324685</v>
      </c>
      <c r="J492" t="s">
        <v>2511</v>
      </c>
      <c r="P492" t="s">
        <v>4273</v>
      </c>
      <c r="Q492" s="8">
        <v>9450000</v>
      </c>
      <c r="R492" s="8" t="e">
        <f>SUMIFS([1]REPORTADOS!$D$2:$D$3379,[1]REPORTADOS!$C$2:$C$3379,E492)</f>
        <v>#VALUE!</v>
      </c>
    </row>
    <row r="493" spans="1:18" x14ac:dyDescent="0.25">
      <c r="A493">
        <v>900091143</v>
      </c>
      <c r="B493" t="s">
        <v>3965</v>
      </c>
      <c r="C493" t="s">
        <v>3746</v>
      </c>
      <c r="E493" t="s">
        <v>3746</v>
      </c>
      <c r="H493" t="s">
        <v>22</v>
      </c>
      <c r="I493">
        <v>1080041553</v>
      </c>
      <c r="J493" t="s">
        <v>4135</v>
      </c>
      <c r="P493" t="s">
        <v>4273</v>
      </c>
      <c r="Q493" s="8">
        <v>9450000</v>
      </c>
      <c r="R493" s="8" t="e">
        <f>SUMIFS([1]REPORTADOS!$D$2:$D$3379,[1]REPORTADOS!$C$2:$C$3379,E493)</f>
        <v>#VALUE!</v>
      </c>
    </row>
    <row r="494" spans="1:18" x14ac:dyDescent="0.25">
      <c r="A494">
        <v>900091143</v>
      </c>
      <c r="B494" t="s">
        <v>3965</v>
      </c>
      <c r="C494" t="s">
        <v>3747</v>
      </c>
      <c r="E494" t="s">
        <v>3747</v>
      </c>
      <c r="H494" t="s">
        <v>22</v>
      </c>
      <c r="I494">
        <v>1086328063</v>
      </c>
      <c r="J494" t="s">
        <v>4172</v>
      </c>
      <c r="P494" t="s">
        <v>4273</v>
      </c>
      <c r="Q494" s="8">
        <v>15750000</v>
      </c>
      <c r="R494" s="8" t="e">
        <f>SUMIFS([1]REPORTADOS!$D$2:$D$3379,[1]REPORTADOS!$C$2:$C$3379,E494)</f>
        <v>#VALUE!</v>
      </c>
    </row>
    <row r="495" spans="1:18" x14ac:dyDescent="0.25">
      <c r="A495">
        <v>900091143</v>
      </c>
      <c r="B495" t="s">
        <v>3965</v>
      </c>
      <c r="C495" t="s">
        <v>3748</v>
      </c>
      <c r="E495" t="s">
        <v>3748</v>
      </c>
      <c r="H495" t="s">
        <v>22</v>
      </c>
      <c r="I495">
        <v>59310853</v>
      </c>
      <c r="J495" t="s">
        <v>1891</v>
      </c>
      <c r="P495" t="s">
        <v>4273</v>
      </c>
      <c r="Q495" s="8">
        <v>9450000</v>
      </c>
      <c r="R495" s="8" t="e">
        <f>SUMIFS([1]REPORTADOS!$D$2:$D$3379,[1]REPORTADOS!$C$2:$C$3379,E495)</f>
        <v>#VALUE!</v>
      </c>
    </row>
    <row r="496" spans="1:18" x14ac:dyDescent="0.25">
      <c r="A496">
        <v>900091143</v>
      </c>
      <c r="B496" t="s">
        <v>3965</v>
      </c>
      <c r="C496" t="s">
        <v>3749</v>
      </c>
      <c r="E496" t="s">
        <v>3749</v>
      </c>
      <c r="H496" t="s">
        <v>22</v>
      </c>
      <c r="I496">
        <v>1086330124</v>
      </c>
      <c r="J496" t="s">
        <v>4036</v>
      </c>
      <c r="P496" t="s">
        <v>4273</v>
      </c>
      <c r="Q496" s="8">
        <v>9450000</v>
      </c>
      <c r="R496" s="8" t="e">
        <f>SUMIFS([1]REPORTADOS!$D$2:$D$3379,[1]REPORTADOS!$C$2:$C$3379,E496)</f>
        <v>#VALUE!</v>
      </c>
    </row>
    <row r="497" spans="1:18" x14ac:dyDescent="0.25">
      <c r="A497">
        <v>900091143</v>
      </c>
      <c r="B497" t="s">
        <v>3965</v>
      </c>
      <c r="C497" t="s">
        <v>3750</v>
      </c>
      <c r="E497" t="s">
        <v>3750</v>
      </c>
      <c r="H497" t="s">
        <v>22</v>
      </c>
      <c r="I497">
        <v>1081272656</v>
      </c>
      <c r="J497" t="s">
        <v>2659</v>
      </c>
      <c r="P497" t="s">
        <v>4273</v>
      </c>
      <c r="Q497" s="8">
        <v>9450000</v>
      </c>
      <c r="R497" s="8" t="e">
        <f>SUMIFS([1]REPORTADOS!$D$2:$D$3379,[1]REPORTADOS!$C$2:$C$3379,E497)</f>
        <v>#VALUE!</v>
      </c>
    </row>
    <row r="498" spans="1:18" x14ac:dyDescent="0.25">
      <c r="A498">
        <v>900091143</v>
      </c>
      <c r="B498" t="s">
        <v>3965</v>
      </c>
      <c r="C498" t="s">
        <v>3751</v>
      </c>
      <c r="E498" t="s">
        <v>3751</v>
      </c>
      <c r="H498" t="s">
        <v>22</v>
      </c>
      <c r="I498">
        <v>27388522</v>
      </c>
      <c r="J498" t="s">
        <v>1777</v>
      </c>
      <c r="P498" t="s">
        <v>4273</v>
      </c>
      <c r="Q498" s="8">
        <v>15750000</v>
      </c>
      <c r="R498" s="8" t="e">
        <f>SUMIFS([1]REPORTADOS!$D$2:$D$3379,[1]REPORTADOS!$C$2:$C$3379,E498)</f>
        <v>#VALUE!</v>
      </c>
    </row>
    <row r="499" spans="1:18" x14ac:dyDescent="0.25">
      <c r="A499">
        <v>900091143</v>
      </c>
      <c r="B499" t="s">
        <v>3965</v>
      </c>
      <c r="C499" t="s">
        <v>3752</v>
      </c>
      <c r="E499" t="s">
        <v>3752</v>
      </c>
      <c r="H499" t="s">
        <v>22</v>
      </c>
      <c r="I499">
        <v>59834953</v>
      </c>
      <c r="J499" t="s">
        <v>1759</v>
      </c>
      <c r="P499" t="s">
        <v>4273</v>
      </c>
      <c r="Q499" s="8">
        <v>3150000</v>
      </c>
      <c r="R499" s="8" t="e">
        <f>SUMIFS([1]REPORTADOS!$D$2:$D$3379,[1]REPORTADOS!$C$2:$C$3379,E499)</f>
        <v>#VALUE!</v>
      </c>
    </row>
    <row r="500" spans="1:18" x14ac:dyDescent="0.25">
      <c r="A500">
        <v>900091143</v>
      </c>
      <c r="B500" t="s">
        <v>3965</v>
      </c>
      <c r="C500" t="s">
        <v>3753</v>
      </c>
      <c r="E500" t="s">
        <v>3753</v>
      </c>
      <c r="H500" t="s">
        <v>22</v>
      </c>
      <c r="I500">
        <v>1233188295</v>
      </c>
      <c r="J500" t="s">
        <v>4116</v>
      </c>
      <c r="P500" t="s">
        <v>4322</v>
      </c>
      <c r="Q500" s="8">
        <v>7800000</v>
      </c>
      <c r="R500" s="8" t="e">
        <f>SUMIFS([1]REPORTADOS!$D$2:$D$3379,[1]REPORTADOS!$C$2:$C$3379,E500)</f>
        <v>#VALUE!</v>
      </c>
    </row>
    <row r="501" spans="1:18" x14ac:dyDescent="0.25">
      <c r="A501">
        <v>900091143</v>
      </c>
      <c r="B501" t="s">
        <v>3965</v>
      </c>
      <c r="C501" t="s">
        <v>3754</v>
      </c>
      <c r="E501" t="s">
        <v>3754</v>
      </c>
      <c r="H501" t="s">
        <v>22</v>
      </c>
      <c r="I501">
        <v>59830040</v>
      </c>
      <c r="J501" t="s">
        <v>2026</v>
      </c>
      <c r="P501" t="s">
        <v>4273</v>
      </c>
      <c r="Q501" s="8">
        <v>3150000</v>
      </c>
      <c r="R501" s="8" t="e">
        <f>SUMIFS([1]REPORTADOS!$D$2:$D$3379,[1]REPORTADOS!$C$2:$C$3379,E501)</f>
        <v>#VALUE!</v>
      </c>
    </row>
    <row r="502" spans="1:18" x14ac:dyDescent="0.25">
      <c r="A502">
        <v>900091143</v>
      </c>
      <c r="B502" t="s">
        <v>3965</v>
      </c>
      <c r="C502" t="s">
        <v>3755</v>
      </c>
      <c r="E502" t="s">
        <v>3755</v>
      </c>
      <c r="H502" t="s">
        <v>22</v>
      </c>
      <c r="I502">
        <v>1082749295</v>
      </c>
      <c r="J502" t="s">
        <v>4045</v>
      </c>
      <c r="P502" t="s">
        <v>4273</v>
      </c>
      <c r="Q502" s="8">
        <v>15750000</v>
      </c>
      <c r="R502" s="8" t="e">
        <f>SUMIFS([1]REPORTADOS!$D$2:$D$3379,[1]REPORTADOS!$C$2:$C$3379,E502)</f>
        <v>#VALUE!</v>
      </c>
    </row>
    <row r="503" spans="1:18" x14ac:dyDescent="0.25">
      <c r="A503">
        <v>900091143</v>
      </c>
      <c r="B503" t="s">
        <v>3965</v>
      </c>
      <c r="C503" t="s">
        <v>3756</v>
      </c>
      <c r="E503" t="s">
        <v>3756</v>
      </c>
      <c r="H503" t="s">
        <v>22</v>
      </c>
      <c r="I503">
        <v>59313711</v>
      </c>
      <c r="J503" t="s">
        <v>4052</v>
      </c>
      <c r="P503" t="s">
        <v>4273</v>
      </c>
      <c r="Q503" s="8">
        <v>9450000</v>
      </c>
      <c r="R503" s="8" t="e">
        <f>SUMIFS([1]REPORTADOS!$D$2:$D$3379,[1]REPORTADOS!$C$2:$C$3379,E503)</f>
        <v>#VALUE!</v>
      </c>
    </row>
    <row r="504" spans="1:18" x14ac:dyDescent="0.25">
      <c r="A504">
        <v>900091143</v>
      </c>
      <c r="B504" t="s">
        <v>3965</v>
      </c>
      <c r="C504" t="s">
        <v>3757</v>
      </c>
      <c r="E504" t="s">
        <v>3757</v>
      </c>
      <c r="H504" t="s">
        <v>22</v>
      </c>
      <c r="I504">
        <v>1081572043</v>
      </c>
      <c r="J504" t="s">
        <v>1874</v>
      </c>
      <c r="P504" t="s">
        <v>4273</v>
      </c>
      <c r="Q504" s="8">
        <v>3150000</v>
      </c>
      <c r="R504" s="8" t="e">
        <f>SUMIFS([1]REPORTADOS!$D$2:$D$3379,[1]REPORTADOS!$C$2:$C$3379,E504)</f>
        <v>#VALUE!</v>
      </c>
    </row>
    <row r="505" spans="1:18" x14ac:dyDescent="0.25">
      <c r="A505">
        <v>900091143</v>
      </c>
      <c r="B505" t="s">
        <v>3965</v>
      </c>
      <c r="C505" t="s">
        <v>3758</v>
      </c>
      <c r="E505" t="s">
        <v>3758</v>
      </c>
      <c r="H505" t="s">
        <v>22</v>
      </c>
      <c r="I505">
        <v>1084552048</v>
      </c>
      <c r="J505" t="s">
        <v>1951</v>
      </c>
      <c r="P505" t="s">
        <v>4273</v>
      </c>
      <c r="Q505" s="8">
        <v>15750000</v>
      </c>
      <c r="R505" s="8" t="e">
        <f>SUMIFS([1]REPORTADOS!$D$2:$D$3379,[1]REPORTADOS!$C$2:$C$3379,E505)</f>
        <v>#VALUE!</v>
      </c>
    </row>
    <row r="506" spans="1:18" x14ac:dyDescent="0.25">
      <c r="A506">
        <v>900091143</v>
      </c>
      <c r="B506" t="s">
        <v>3965</v>
      </c>
      <c r="C506" t="s">
        <v>3759</v>
      </c>
      <c r="E506" t="s">
        <v>3759</v>
      </c>
      <c r="H506" t="s">
        <v>22</v>
      </c>
      <c r="I506">
        <v>1085335069</v>
      </c>
      <c r="J506" t="s">
        <v>2633</v>
      </c>
      <c r="P506" t="s">
        <v>4322</v>
      </c>
      <c r="Q506" s="8">
        <v>14190000</v>
      </c>
      <c r="R506" s="8" t="e">
        <f>SUMIFS([1]REPORTADOS!$D$2:$D$3379,[1]REPORTADOS!$C$2:$C$3379,E506)</f>
        <v>#VALUE!</v>
      </c>
    </row>
    <row r="507" spans="1:18" x14ac:dyDescent="0.25">
      <c r="A507">
        <v>900091143</v>
      </c>
      <c r="B507" t="s">
        <v>3965</v>
      </c>
      <c r="C507" t="s">
        <v>3760</v>
      </c>
      <c r="E507" t="s">
        <v>3760</v>
      </c>
      <c r="H507" t="s">
        <v>22</v>
      </c>
      <c r="I507">
        <v>1086222689</v>
      </c>
      <c r="J507" t="s">
        <v>1768</v>
      </c>
      <c r="P507" t="s">
        <v>4273</v>
      </c>
      <c r="Q507" s="8">
        <v>9450000</v>
      </c>
      <c r="R507" s="8" t="e">
        <f>SUMIFS([1]REPORTADOS!$D$2:$D$3379,[1]REPORTADOS!$C$2:$C$3379,E507)</f>
        <v>#VALUE!</v>
      </c>
    </row>
    <row r="508" spans="1:18" x14ac:dyDescent="0.25">
      <c r="A508">
        <v>900091143</v>
      </c>
      <c r="B508" t="s">
        <v>3965</v>
      </c>
      <c r="C508" t="s">
        <v>3761</v>
      </c>
      <c r="E508" t="s">
        <v>3761</v>
      </c>
      <c r="H508" t="s">
        <v>22</v>
      </c>
      <c r="I508">
        <v>1085293619</v>
      </c>
      <c r="J508" t="s">
        <v>2115</v>
      </c>
      <c r="P508" t="s">
        <v>4322</v>
      </c>
      <c r="Q508" s="8">
        <v>14190000</v>
      </c>
      <c r="R508" s="8" t="e">
        <f>SUMIFS([1]REPORTADOS!$D$2:$D$3379,[1]REPORTADOS!$C$2:$C$3379,E508)</f>
        <v>#VALUE!</v>
      </c>
    </row>
    <row r="509" spans="1:18" x14ac:dyDescent="0.25">
      <c r="A509">
        <v>900091143</v>
      </c>
      <c r="B509" t="s">
        <v>3965</v>
      </c>
      <c r="C509" t="s">
        <v>3762</v>
      </c>
      <c r="E509" t="s">
        <v>3762</v>
      </c>
      <c r="H509" t="s">
        <v>22</v>
      </c>
      <c r="I509">
        <v>1004131976</v>
      </c>
      <c r="J509" t="s">
        <v>2339</v>
      </c>
      <c r="P509" t="s">
        <v>4273</v>
      </c>
      <c r="Q509" s="8">
        <v>3150000</v>
      </c>
      <c r="R509" s="8" t="e">
        <f>SUMIFS([1]REPORTADOS!$D$2:$D$3379,[1]REPORTADOS!$C$2:$C$3379,E509)</f>
        <v>#VALUE!</v>
      </c>
    </row>
    <row r="510" spans="1:18" x14ac:dyDescent="0.25">
      <c r="A510">
        <v>900091143</v>
      </c>
      <c r="B510" t="s">
        <v>3965</v>
      </c>
      <c r="C510" t="s">
        <v>3763</v>
      </c>
      <c r="E510" t="s">
        <v>3763</v>
      </c>
      <c r="H510" t="s">
        <v>22</v>
      </c>
      <c r="I510">
        <v>1085267332</v>
      </c>
      <c r="J510" t="s">
        <v>4173</v>
      </c>
      <c r="P510" t="s">
        <v>4273</v>
      </c>
      <c r="Q510" s="8">
        <v>9450000</v>
      </c>
      <c r="R510" s="8" t="e">
        <f>SUMIFS([1]REPORTADOS!$D$2:$D$3379,[1]REPORTADOS!$C$2:$C$3379,E510)</f>
        <v>#VALUE!</v>
      </c>
    </row>
    <row r="511" spans="1:18" x14ac:dyDescent="0.25">
      <c r="A511">
        <v>900091143</v>
      </c>
      <c r="B511" t="s">
        <v>3965</v>
      </c>
      <c r="C511" t="s">
        <v>3764</v>
      </c>
      <c r="E511" t="s">
        <v>3764</v>
      </c>
      <c r="H511" t="s">
        <v>22</v>
      </c>
      <c r="I511">
        <v>36751255</v>
      </c>
      <c r="J511" t="s">
        <v>3980</v>
      </c>
      <c r="P511" t="s">
        <v>4273</v>
      </c>
      <c r="Q511" s="8">
        <v>15750000</v>
      </c>
      <c r="R511" s="8" t="e">
        <f>SUMIFS([1]REPORTADOS!$D$2:$D$3379,[1]REPORTADOS!$C$2:$C$3379,E511)</f>
        <v>#VALUE!</v>
      </c>
    </row>
    <row r="512" spans="1:18" x14ac:dyDescent="0.25">
      <c r="A512">
        <v>900091143</v>
      </c>
      <c r="B512" t="s">
        <v>3965</v>
      </c>
      <c r="C512" t="s">
        <v>3765</v>
      </c>
      <c r="E512" t="s">
        <v>3765</v>
      </c>
      <c r="H512" t="s">
        <v>22</v>
      </c>
      <c r="I512">
        <v>27436186</v>
      </c>
      <c r="J512" t="s">
        <v>1954</v>
      </c>
      <c r="P512" t="s">
        <v>4273</v>
      </c>
      <c r="Q512" s="8">
        <v>3150000</v>
      </c>
      <c r="R512" s="8" t="e">
        <f>SUMIFS([1]REPORTADOS!$D$2:$D$3379,[1]REPORTADOS!$C$2:$C$3379,E512)</f>
        <v>#VALUE!</v>
      </c>
    </row>
    <row r="513" spans="1:18" x14ac:dyDescent="0.25">
      <c r="A513">
        <v>900091143</v>
      </c>
      <c r="B513" t="s">
        <v>3965</v>
      </c>
      <c r="C513" t="s">
        <v>3766</v>
      </c>
      <c r="E513" t="s">
        <v>3766</v>
      </c>
      <c r="H513" t="s">
        <v>22</v>
      </c>
      <c r="I513">
        <v>1087644986</v>
      </c>
      <c r="J513" t="s">
        <v>4065</v>
      </c>
      <c r="P513" t="s">
        <v>4273</v>
      </c>
      <c r="Q513" s="8">
        <v>9450000</v>
      </c>
      <c r="R513" s="8" t="e">
        <f>SUMIFS([1]REPORTADOS!$D$2:$D$3379,[1]REPORTADOS!$C$2:$C$3379,E513)</f>
        <v>#VALUE!</v>
      </c>
    </row>
    <row r="514" spans="1:18" x14ac:dyDescent="0.25">
      <c r="A514">
        <v>900091143</v>
      </c>
      <c r="B514" t="s">
        <v>3965</v>
      </c>
      <c r="C514" t="s">
        <v>3767</v>
      </c>
      <c r="E514" t="s">
        <v>3767</v>
      </c>
      <c r="H514" t="s">
        <v>22</v>
      </c>
      <c r="I514">
        <v>1084224968</v>
      </c>
      <c r="J514" t="s">
        <v>2493</v>
      </c>
      <c r="P514" t="s">
        <v>4273</v>
      </c>
      <c r="Q514" s="8">
        <v>9450000</v>
      </c>
      <c r="R514" s="8" t="e">
        <f>SUMIFS([1]REPORTADOS!$D$2:$D$3379,[1]REPORTADOS!$C$2:$C$3379,E514)</f>
        <v>#VALUE!</v>
      </c>
    </row>
    <row r="515" spans="1:18" x14ac:dyDescent="0.25">
      <c r="A515">
        <v>900091143</v>
      </c>
      <c r="B515" t="s">
        <v>3965</v>
      </c>
      <c r="C515" t="s">
        <v>3768</v>
      </c>
      <c r="E515" t="s">
        <v>3768</v>
      </c>
      <c r="H515" t="s">
        <v>22</v>
      </c>
      <c r="I515">
        <v>1085288636</v>
      </c>
      <c r="J515" t="s">
        <v>2384</v>
      </c>
      <c r="P515" t="s">
        <v>4273</v>
      </c>
      <c r="Q515" s="8">
        <v>15750000</v>
      </c>
      <c r="R515" s="8" t="e">
        <f>SUMIFS([1]REPORTADOS!$D$2:$D$3379,[1]REPORTADOS!$C$2:$C$3379,E515)</f>
        <v>#VALUE!</v>
      </c>
    </row>
    <row r="516" spans="1:18" x14ac:dyDescent="0.25">
      <c r="A516">
        <v>900091143</v>
      </c>
      <c r="B516" t="s">
        <v>3965</v>
      </c>
      <c r="C516" t="s">
        <v>3769</v>
      </c>
      <c r="E516" t="s">
        <v>3769</v>
      </c>
      <c r="H516" t="s">
        <v>22</v>
      </c>
      <c r="I516">
        <v>1085317226</v>
      </c>
      <c r="J516" t="s">
        <v>4044</v>
      </c>
      <c r="P516" t="s">
        <v>4273</v>
      </c>
      <c r="Q516" s="8">
        <v>15750000</v>
      </c>
      <c r="R516" s="8" t="e">
        <f>SUMIFS([1]REPORTADOS!$D$2:$D$3379,[1]REPORTADOS!$C$2:$C$3379,E516)</f>
        <v>#VALUE!</v>
      </c>
    </row>
    <row r="517" spans="1:18" x14ac:dyDescent="0.25">
      <c r="A517">
        <v>900091143</v>
      </c>
      <c r="B517" t="s">
        <v>3965</v>
      </c>
      <c r="C517" t="s">
        <v>3770</v>
      </c>
      <c r="E517" t="s">
        <v>3770</v>
      </c>
      <c r="H517" t="s">
        <v>22</v>
      </c>
      <c r="I517">
        <v>27549932</v>
      </c>
      <c r="J517" t="s">
        <v>4174</v>
      </c>
      <c r="P517" t="s">
        <v>4273</v>
      </c>
      <c r="Q517" s="8">
        <v>15750000</v>
      </c>
      <c r="R517" s="8" t="e">
        <f>SUMIFS([1]REPORTADOS!$D$2:$D$3379,[1]REPORTADOS!$C$2:$C$3379,E517)</f>
        <v>#VALUE!</v>
      </c>
    </row>
    <row r="518" spans="1:18" x14ac:dyDescent="0.25">
      <c r="A518">
        <v>900091143</v>
      </c>
      <c r="B518" t="s">
        <v>3965</v>
      </c>
      <c r="C518" t="s">
        <v>3771</v>
      </c>
      <c r="E518" t="s">
        <v>3771</v>
      </c>
      <c r="H518" t="s">
        <v>22</v>
      </c>
      <c r="I518">
        <v>1085346528</v>
      </c>
      <c r="J518" t="s">
        <v>2621</v>
      </c>
      <c r="P518" t="s">
        <v>4273</v>
      </c>
      <c r="Q518" s="8">
        <v>3150000</v>
      </c>
      <c r="R518" s="8" t="e">
        <f>SUMIFS([1]REPORTADOS!$D$2:$D$3379,[1]REPORTADOS!$C$2:$C$3379,E518)</f>
        <v>#VALUE!</v>
      </c>
    </row>
    <row r="519" spans="1:18" x14ac:dyDescent="0.25">
      <c r="A519">
        <v>900091143</v>
      </c>
      <c r="B519" t="s">
        <v>3965</v>
      </c>
      <c r="C519" t="s">
        <v>3772</v>
      </c>
      <c r="E519" t="s">
        <v>3772</v>
      </c>
      <c r="H519" t="s">
        <v>22</v>
      </c>
      <c r="I519">
        <v>1010099104</v>
      </c>
      <c r="J519" t="s">
        <v>4006</v>
      </c>
      <c r="P519" t="s">
        <v>4273</v>
      </c>
      <c r="Q519" s="8">
        <v>15750000</v>
      </c>
      <c r="R519" s="8" t="e">
        <f>SUMIFS([1]REPORTADOS!$D$2:$D$3379,[1]REPORTADOS!$C$2:$C$3379,E519)</f>
        <v>#VALUE!</v>
      </c>
    </row>
    <row r="520" spans="1:18" x14ac:dyDescent="0.25">
      <c r="A520">
        <v>900091143</v>
      </c>
      <c r="B520" t="s">
        <v>3965</v>
      </c>
      <c r="C520" t="s">
        <v>3773</v>
      </c>
      <c r="E520" t="s">
        <v>3773</v>
      </c>
      <c r="H520" t="s">
        <v>22</v>
      </c>
      <c r="I520">
        <v>27253636</v>
      </c>
      <c r="J520" t="s">
        <v>4016</v>
      </c>
      <c r="P520" t="s">
        <v>4273</v>
      </c>
      <c r="Q520" s="8">
        <v>15750000</v>
      </c>
      <c r="R520" s="8" t="e">
        <f>SUMIFS([1]REPORTADOS!$D$2:$D$3379,[1]REPORTADOS!$C$2:$C$3379,E520)</f>
        <v>#VALUE!</v>
      </c>
    </row>
    <row r="521" spans="1:18" x14ac:dyDescent="0.25">
      <c r="A521">
        <v>900091143</v>
      </c>
      <c r="B521" t="s">
        <v>3965</v>
      </c>
      <c r="C521" t="s">
        <v>3774</v>
      </c>
      <c r="E521" t="s">
        <v>3774</v>
      </c>
      <c r="H521" t="s">
        <v>22</v>
      </c>
      <c r="I521">
        <v>1089291166</v>
      </c>
      <c r="J521" t="s">
        <v>4063</v>
      </c>
      <c r="P521" t="s">
        <v>4273</v>
      </c>
      <c r="Q521" s="8">
        <v>15750000</v>
      </c>
      <c r="R521" s="8" t="e">
        <f>SUMIFS([1]REPORTADOS!$D$2:$D$3379,[1]REPORTADOS!$C$2:$C$3379,E521)</f>
        <v>#VALUE!</v>
      </c>
    </row>
    <row r="522" spans="1:18" x14ac:dyDescent="0.25">
      <c r="A522">
        <v>900091143</v>
      </c>
      <c r="B522" t="s">
        <v>3965</v>
      </c>
      <c r="C522" t="s">
        <v>3775</v>
      </c>
      <c r="E522" t="s">
        <v>3775</v>
      </c>
      <c r="H522" t="s">
        <v>22</v>
      </c>
      <c r="I522">
        <v>87065647</v>
      </c>
      <c r="J522" t="s">
        <v>2134</v>
      </c>
      <c r="P522" t="s">
        <v>4322</v>
      </c>
      <c r="Q522" s="8">
        <v>23400000</v>
      </c>
      <c r="R522" s="8" t="e">
        <f>SUMIFS([1]REPORTADOS!$D$2:$D$3379,[1]REPORTADOS!$C$2:$C$3379,E522)</f>
        <v>#VALUE!</v>
      </c>
    </row>
    <row r="523" spans="1:18" x14ac:dyDescent="0.25">
      <c r="A523">
        <v>900091143</v>
      </c>
      <c r="B523" t="s">
        <v>3965</v>
      </c>
      <c r="C523" t="s">
        <v>3776</v>
      </c>
      <c r="E523" t="s">
        <v>3776</v>
      </c>
      <c r="H523" t="s">
        <v>22</v>
      </c>
      <c r="I523">
        <v>1004236159</v>
      </c>
      <c r="J523" t="s">
        <v>4058</v>
      </c>
      <c r="P523" t="s">
        <v>4273</v>
      </c>
      <c r="Q523" s="8">
        <v>15750000</v>
      </c>
      <c r="R523" s="8" t="e">
        <f>SUMIFS([1]REPORTADOS!$D$2:$D$3379,[1]REPORTADOS!$C$2:$C$3379,E523)</f>
        <v>#VALUE!</v>
      </c>
    </row>
    <row r="524" spans="1:18" x14ac:dyDescent="0.25">
      <c r="A524">
        <v>900091143</v>
      </c>
      <c r="B524" t="s">
        <v>3965</v>
      </c>
      <c r="C524" t="s">
        <v>3777</v>
      </c>
      <c r="E524" t="s">
        <v>3777</v>
      </c>
      <c r="H524" t="s">
        <v>22</v>
      </c>
      <c r="I524">
        <v>1085331558</v>
      </c>
      <c r="J524" t="s">
        <v>4010</v>
      </c>
      <c r="P524" t="s">
        <v>4273</v>
      </c>
      <c r="Q524" s="8">
        <v>15750000</v>
      </c>
      <c r="R524" s="8" t="e">
        <f>SUMIFS([1]REPORTADOS!$D$2:$D$3379,[1]REPORTADOS!$C$2:$C$3379,E524)</f>
        <v>#VALUE!</v>
      </c>
    </row>
    <row r="525" spans="1:18" x14ac:dyDescent="0.25">
      <c r="A525">
        <v>900091143</v>
      </c>
      <c r="B525" t="s">
        <v>3965</v>
      </c>
      <c r="C525" t="s">
        <v>3778</v>
      </c>
      <c r="E525" t="s">
        <v>3778</v>
      </c>
      <c r="H525" t="s">
        <v>22</v>
      </c>
      <c r="I525">
        <v>1081592742</v>
      </c>
      <c r="J525" t="s">
        <v>4022</v>
      </c>
      <c r="P525" t="s">
        <v>4273</v>
      </c>
      <c r="Q525" s="8">
        <v>15750000</v>
      </c>
      <c r="R525" s="8" t="e">
        <f>SUMIFS([1]REPORTADOS!$D$2:$D$3379,[1]REPORTADOS!$C$2:$C$3379,E525)</f>
        <v>#VALUE!</v>
      </c>
    </row>
    <row r="526" spans="1:18" x14ac:dyDescent="0.25">
      <c r="A526">
        <v>900091143</v>
      </c>
      <c r="B526" t="s">
        <v>3965</v>
      </c>
      <c r="C526" t="s">
        <v>3779</v>
      </c>
      <c r="E526" t="s">
        <v>3779</v>
      </c>
      <c r="H526" t="s">
        <v>22</v>
      </c>
      <c r="I526">
        <v>1137089268</v>
      </c>
      <c r="J526" t="s">
        <v>4020</v>
      </c>
      <c r="P526" t="s">
        <v>4273</v>
      </c>
      <c r="Q526" s="8">
        <v>9450000</v>
      </c>
      <c r="R526" s="8" t="e">
        <f>SUMIFS([1]REPORTADOS!$D$2:$D$3379,[1]REPORTADOS!$C$2:$C$3379,E526)</f>
        <v>#VALUE!</v>
      </c>
    </row>
    <row r="527" spans="1:18" x14ac:dyDescent="0.25">
      <c r="A527">
        <v>900091143</v>
      </c>
      <c r="B527" t="s">
        <v>3965</v>
      </c>
      <c r="C527" t="s">
        <v>3780</v>
      </c>
      <c r="E527" t="s">
        <v>3780</v>
      </c>
      <c r="H527" t="s">
        <v>22</v>
      </c>
      <c r="I527">
        <v>1088216350</v>
      </c>
      <c r="J527" t="s">
        <v>4007</v>
      </c>
      <c r="P527" t="s">
        <v>4273</v>
      </c>
      <c r="Q527" s="8">
        <v>9450000</v>
      </c>
      <c r="R527" s="8" t="e">
        <f>SUMIFS([1]REPORTADOS!$D$2:$D$3379,[1]REPORTADOS!$C$2:$C$3379,E527)</f>
        <v>#VALUE!</v>
      </c>
    </row>
    <row r="528" spans="1:18" x14ac:dyDescent="0.25">
      <c r="A528">
        <v>900091143</v>
      </c>
      <c r="B528" t="s">
        <v>3965</v>
      </c>
      <c r="C528" t="s">
        <v>3781</v>
      </c>
      <c r="E528" t="s">
        <v>3781</v>
      </c>
      <c r="H528" t="s">
        <v>22</v>
      </c>
      <c r="I528">
        <v>1086222977</v>
      </c>
      <c r="J528" t="s">
        <v>2015</v>
      </c>
      <c r="P528" t="s">
        <v>4273</v>
      </c>
      <c r="Q528" s="8">
        <v>9450000</v>
      </c>
      <c r="R528" s="8" t="e">
        <f>SUMIFS([1]REPORTADOS!$D$2:$D$3379,[1]REPORTADOS!$C$2:$C$3379,E528)</f>
        <v>#VALUE!</v>
      </c>
    </row>
    <row r="529" spans="1:18" x14ac:dyDescent="0.25">
      <c r="A529">
        <v>900091143</v>
      </c>
      <c r="B529" t="s">
        <v>3965</v>
      </c>
      <c r="C529" t="s">
        <v>3782</v>
      </c>
      <c r="E529" t="s">
        <v>3782</v>
      </c>
      <c r="H529" t="s">
        <v>22</v>
      </c>
      <c r="I529">
        <v>1192717330</v>
      </c>
      <c r="J529" t="s">
        <v>1901</v>
      </c>
      <c r="P529" t="s">
        <v>4273</v>
      </c>
      <c r="Q529" s="8">
        <v>9450000</v>
      </c>
      <c r="R529" s="8" t="e">
        <f>SUMIFS([1]REPORTADOS!$D$2:$D$3379,[1]REPORTADOS!$C$2:$C$3379,E529)</f>
        <v>#VALUE!</v>
      </c>
    </row>
    <row r="530" spans="1:18" x14ac:dyDescent="0.25">
      <c r="A530">
        <v>900091143</v>
      </c>
      <c r="B530" t="s">
        <v>3965</v>
      </c>
      <c r="C530" t="s">
        <v>3783</v>
      </c>
      <c r="E530" t="s">
        <v>3783</v>
      </c>
      <c r="H530" t="s">
        <v>22</v>
      </c>
      <c r="I530">
        <v>1085247449</v>
      </c>
      <c r="J530" t="s">
        <v>4048</v>
      </c>
      <c r="P530" t="s">
        <v>4273</v>
      </c>
      <c r="Q530" s="8">
        <v>15750000</v>
      </c>
      <c r="R530" s="8" t="e">
        <f>SUMIFS([1]REPORTADOS!$D$2:$D$3379,[1]REPORTADOS!$C$2:$C$3379,E530)</f>
        <v>#VALUE!</v>
      </c>
    </row>
    <row r="531" spans="1:18" x14ac:dyDescent="0.25">
      <c r="A531">
        <v>900091143</v>
      </c>
      <c r="B531" t="s">
        <v>3965</v>
      </c>
      <c r="C531" t="s">
        <v>3784</v>
      </c>
      <c r="E531" t="s">
        <v>3784</v>
      </c>
      <c r="H531" t="s">
        <v>22</v>
      </c>
      <c r="I531">
        <v>1085335033</v>
      </c>
      <c r="J531" t="s">
        <v>4054</v>
      </c>
      <c r="P531" t="s">
        <v>4273</v>
      </c>
      <c r="Q531" s="8">
        <v>9450000</v>
      </c>
      <c r="R531" s="8" t="e">
        <f>SUMIFS([1]REPORTADOS!$D$2:$D$3379,[1]REPORTADOS!$C$2:$C$3379,E531)</f>
        <v>#VALUE!</v>
      </c>
    </row>
    <row r="532" spans="1:18" x14ac:dyDescent="0.25">
      <c r="A532">
        <v>900091143</v>
      </c>
      <c r="B532" t="s">
        <v>3965</v>
      </c>
      <c r="C532" t="s">
        <v>3785</v>
      </c>
      <c r="E532" t="s">
        <v>3785</v>
      </c>
      <c r="H532" t="s">
        <v>22</v>
      </c>
      <c r="I532">
        <v>1088799080</v>
      </c>
      <c r="J532" t="s">
        <v>4004</v>
      </c>
      <c r="P532" t="s">
        <v>4273</v>
      </c>
      <c r="Q532" s="8">
        <v>3150000</v>
      </c>
      <c r="R532" s="8" t="e">
        <f>SUMIFS([1]REPORTADOS!$D$2:$D$3379,[1]REPORTADOS!$C$2:$C$3379,E532)</f>
        <v>#VALUE!</v>
      </c>
    </row>
    <row r="533" spans="1:18" x14ac:dyDescent="0.25">
      <c r="A533">
        <v>900091143</v>
      </c>
      <c r="B533" t="s">
        <v>3965</v>
      </c>
      <c r="C533" t="s">
        <v>3786</v>
      </c>
      <c r="E533" t="s">
        <v>3786</v>
      </c>
      <c r="H533" t="s">
        <v>22</v>
      </c>
      <c r="I533">
        <v>1004547484</v>
      </c>
      <c r="J533" t="s">
        <v>4175</v>
      </c>
      <c r="P533" t="s">
        <v>4273</v>
      </c>
      <c r="Q533" s="8">
        <v>9450000</v>
      </c>
      <c r="R533" s="8" t="e">
        <f>SUMIFS([1]REPORTADOS!$D$2:$D$3379,[1]REPORTADOS!$C$2:$C$3379,E533)</f>
        <v>#VALUE!</v>
      </c>
    </row>
    <row r="534" spans="1:18" x14ac:dyDescent="0.25">
      <c r="A534">
        <v>900091143</v>
      </c>
      <c r="B534" t="s">
        <v>3965</v>
      </c>
      <c r="C534" t="s">
        <v>3787</v>
      </c>
      <c r="E534" t="s">
        <v>3787</v>
      </c>
      <c r="H534" t="s">
        <v>22</v>
      </c>
      <c r="I534">
        <v>1080693240</v>
      </c>
      <c r="J534" t="s">
        <v>4019</v>
      </c>
      <c r="P534" t="s">
        <v>4273</v>
      </c>
      <c r="Q534" s="8">
        <v>9450000</v>
      </c>
      <c r="R534" s="8" t="e">
        <f>SUMIFS([1]REPORTADOS!$D$2:$D$3379,[1]REPORTADOS!$C$2:$C$3379,E534)</f>
        <v>#VALUE!</v>
      </c>
    </row>
    <row r="535" spans="1:18" x14ac:dyDescent="0.25">
      <c r="A535">
        <v>900091143</v>
      </c>
      <c r="B535" t="s">
        <v>3965</v>
      </c>
      <c r="C535" t="s">
        <v>3788</v>
      </c>
      <c r="E535" t="s">
        <v>3788</v>
      </c>
      <c r="H535" t="s">
        <v>22</v>
      </c>
      <c r="I535">
        <v>36861874</v>
      </c>
      <c r="J535" t="s">
        <v>1899</v>
      </c>
      <c r="P535" t="s">
        <v>4273</v>
      </c>
      <c r="Q535" s="8">
        <v>3150000</v>
      </c>
      <c r="R535" s="8" t="e">
        <f>SUMIFS([1]REPORTADOS!$D$2:$D$3379,[1]REPORTADOS!$C$2:$C$3379,E535)</f>
        <v>#VALUE!</v>
      </c>
    </row>
    <row r="536" spans="1:18" x14ac:dyDescent="0.25">
      <c r="A536">
        <v>900091143</v>
      </c>
      <c r="B536" t="s">
        <v>3965</v>
      </c>
      <c r="C536" t="s">
        <v>3789</v>
      </c>
      <c r="E536" t="s">
        <v>3789</v>
      </c>
      <c r="H536" t="s">
        <v>22</v>
      </c>
      <c r="I536">
        <v>1086358836</v>
      </c>
      <c r="J536" t="s">
        <v>4060</v>
      </c>
      <c r="P536" t="s">
        <v>4273</v>
      </c>
      <c r="Q536" s="8">
        <v>9450000</v>
      </c>
      <c r="R536" s="8" t="e">
        <f>SUMIFS([1]REPORTADOS!$D$2:$D$3379,[1]REPORTADOS!$C$2:$C$3379,E536)</f>
        <v>#VALUE!</v>
      </c>
    </row>
    <row r="537" spans="1:18" x14ac:dyDescent="0.25">
      <c r="A537">
        <v>900091143</v>
      </c>
      <c r="B537" t="s">
        <v>3965</v>
      </c>
      <c r="C537" t="s">
        <v>3790</v>
      </c>
      <c r="E537" t="s">
        <v>3790</v>
      </c>
      <c r="H537" t="s">
        <v>22</v>
      </c>
      <c r="I537">
        <v>1010113730</v>
      </c>
      <c r="J537" t="s">
        <v>2325</v>
      </c>
      <c r="P537" t="s">
        <v>4274</v>
      </c>
      <c r="Q537" s="8">
        <v>6000000</v>
      </c>
      <c r="R537" s="8" t="e">
        <f>SUMIFS([1]REPORTADOS!$D$2:$D$3379,[1]REPORTADOS!$C$2:$C$3379,E537)</f>
        <v>#VALUE!</v>
      </c>
    </row>
    <row r="538" spans="1:18" x14ac:dyDescent="0.25">
      <c r="A538">
        <v>900091143</v>
      </c>
      <c r="B538" t="s">
        <v>3965</v>
      </c>
      <c r="C538" t="s">
        <v>3791</v>
      </c>
      <c r="E538" t="s">
        <v>3791</v>
      </c>
      <c r="H538" t="s">
        <v>22</v>
      </c>
      <c r="I538">
        <v>1081052746</v>
      </c>
      <c r="J538" t="s">
        <v>2349</v>
      </c>
      <c r="P538" t="s">
        <v>4273</v>
      </c>
      <c r="Q538" s="8">
        <v>9450000</v>
      </c>
      <c r="R538" s="8" t="e">
        <f>SUMIFS([1]REPORTADOS!$D$2:$D$3379,[1]REPORTADOS!$C$2:$C$3379,E538)</f>
        <v>#VALUE!</v>
      </c>
    </row>
    <row r="539" spans="1:18" x14ac:dyDescent="0.25">
      <c r="A539">
        <v>900091143</v>
      </c>
      <c r="B539" t="s">
        <v>3965</v>
      </c>
      <c r="C539" t="s">
        <v>3792</v>
      </c>
      <c r="E539" t="s">
        <v>3792</v>
      </c>
      <c r="H539" t="s">
        <v>22</v>
      </c>
      <c r="I539">
        <v>37083933</v>
      </c>
      <c r="J539" t="s">
        <v>3972</v>
      </c>
      <c r="P539" t="s">
        <v>4274</v>
      </c>
      <c r="Q539" s="8">
        <v>6000000</v>
      </c>
      <c r="R539" s="8" t="e">
        <f>SUMIFS([1]REPORTADOS!$D$2:$D$3379,[1]REPORTADOS!$C$2:$C$3379,E539)</f>
        <v>#VALUE!</v>
      </c>
    </row>
    <row r="540" spans="1:18" x14ac:dyDescent="0.25">
      <c r="A540">
        <v>900091143</v>
      </c>
      <c r="B540" t="s">
        <v>3965</v>
      </c>
      <c r="C540" t="s">
        <v>3793</v>
      </c>
      <c r="E540" t="s">
        <v>3793</v>
      </c>
      <c r="H540" t="s">
        <v>22</v>
      </c>
      <c r="I540">
        <v>59310056</v>
      </c>
      <c r="J540" t="s">
        <v>4055</v>
      </c>
      <c r="P540" t="s">
        <v>4273</v>
      </c>
      <c r="Q540" s="8">
        <v>15750000</v>
      </c>
      <c r="R540" s="8" t="e">
        <f>SUMIFS([1]REPORTADOS!$D$2:$D$3379,[1]REPORTADOS!$C$2:$C$3379,E540)</f>
        <v>#VALUE!</v>
      </c>
    </row>
    <row r="541" spans="1:18" x14ac:dyDescent="0.25">
      <c r="A541">
        <v>900091143</v>
      </c>
      <c r="B541" t="s">
        <v>3965</v>
      </c>
      <c r="C541" t="s">
        <v>3794</v>
      </c>
      <c r="E541" t="s">
        <v>3794</v>
      </c>
      <c r="H541" t="s">
        <v>22</v>
      </c>
      <c r="I541">
        <v>1089975658</v>
      </c>
      <c r="J541" t="s">
        <v>4018</v>
      </c>
      <c r="P541" t="s">
        <v>4273</v>
      </c>
      <c r="Q541" s="8">
        <v>9450000</v>
      </c>
      <c r="R541" s="8" t="e">
        <f>SUMIFS([1]REPORTADOS!$D$2:$D$3379,[1]REPORTADOS!$C$2:$C$3379,E541)</f>
        <v>#VALUE!</v>
      </c>
    </row>
    <row r="542" spans="1:18" x14ac:dyDescent="0.25">
      <c r="A542">
        <v>900091143</v>
      </c>
      <c r="B542" t="s">
        <v>3965</v>
      </c>
      <c r="C542" t="s">
        <v>3795</v>
      </c>
      <c r="E542" t="s">
        <v>3795</v>
      </c>
      <c r="H542" t="s">
        <v>22</v>
      </c>
      <c r="I542">
        <v>1085327836</v>
      </c>
      <c r="J542" t="s">
        <v>2023</v>
      </c>
      <c r="P542" t="s">
        <v>4274</v>
      </c>
      <c r="Q542" s="8">
        <v>6000000</v>
      </c>
      <c r="R542" s="8" t="e">
        <f>SUMIFS([1]REPORTADOS!$D$2:$D$3379,[1]REPORTADOS!$C$2:$C$3379,E542)</f>
        <v>#VALUE!</v>
      </c>
    </row>
    <row r="543" spans="1:18" x14ac:dyDescent="0.25">
      <c r="A543">
        <v>900091143</v>
      </c>
      <c r="B543" t="s">
        <v>3965</v>
      </c>
      <c r="C543" t="s">
        <v>3796</v>
      </c>
      <c r="E543" t="s">
        <v>3796</v>
      </c>
      <c r="H543" t="s">
        <v>22</v>
      </c>
      <c r="I543">
        <v>1085323163</v>
      </c>
      <c r="J543" t="s">
        <v>4040</v>
      </c>
      <c r="P543" t="s">
        <v>4273</v>
      </c>
      <c r="Q543" s="8">
        <v>15750000</v>
      </c>
      <c r="R543" s="8" t="e">
        <f>SUMIFS([1]REPORTADOS!$D$2:$D$3379,[1]REPORTADOS!$C$2:$C$3379,E543)</f>
        <v>#VALUE!</v>
      </c>
    </row>
    <row r="544" spans="1:18" x14ac:dyDescent="0.25">
      <c r="A544">
        <v>900091143</v>
      </c>
      <c r="B544" t="s">
        <v>3965</v>
      </c>
      <c r="C544" t="s">
        <v>3797</v>
      </c>
      <c r="E544" t="s">
        <v>3797</v>
      </c>
      <c r="H544" t="s">
        <v>22</v>
      </c>
      <c r="I544">
        <v>59312779</v>
      </c>
      <c r="J544" t="s">
        <v>4176</v>
      </c>
      <c r="P544" t="s">
        <v>4274</v>
      </c>
      <c r="Q544" s="8">
        <v>6000000</v>
      </c>
      <c r="R544" s="8" t="e">
        <f>SUMIFS([1]REPORTADOS!$D$2:$D$3379,[1]REPORTADOS!$C$2:$C$3379,E544)</f>
        <v>#VALUE!</v>
      </c>
    </row>
    <row r="545" spans="1:18" x14ac:dyDescent="0.25">
      <c r="A545">
        <v>900091143</v>
      </c>
      <c r="B545" t="s">
        <v>3965</v>
      </c>
      <c r="C545" t="s">
        <v>3798</v>
      </c>
      <c r="E545" t="s">
        <v>3798</v>
      </c>
      <c r="H545" t="s">
        <v>22</v>
      </c>
      <c r="I545">
        <v>1085334752</v>
      </c>
      <c r="J545" t="s">
        <v>3985</v>
      </c>
      <c r="P545" t="s">
        <v>4274</v>
      </c>
      <c r="Q545" s="8">
        <v>6000000</v>
      </c>
      <c r="R545" s="8" t="e">
        <f>SUMIFS([1]REPORTADOS!$D$2:$D$3379,[1]REPORTADOS!$C$2:$C$3379,E545)</f>
        <v>#VALUE!</v>
      </c>
    </row>
    <row r="546" spans="1:18" x14ac:dyDescent="0.25">
      <c r="A546">
        <v>900091143</v>
      </c>
      <c r="B546" t="s">
        <v>3965</v>
      </c>
      <c r="C546" t="s">
        <v>3799</v>
      </c>
      <c r="E546" t="s">
        <v>3799</v>
      </c>
      <c r="H546" t="s">
        <v>22</v>
      </c>
      <c r="I546">
        <v>59313273</v>
      </c>
      <c r="J546" t="s">
        <v>3983</v>
      </c>
      <c r="P546" t="s">
        <v>4274</v>
      </c>
      <c r="Q546" s="8">
        <v>6000000</v>
      </c>
      <c r="R546" s="8" t="e">
        <f>SUMIFS([1]REPORTADOS!$D$2:$D$3379,[1]REPORTADOS!$C$2:$C$3379,E546)</f>
        <v>#VALUE!</v>
      </c>
    </row>
    <row r="547" spans="1:18" x14ac:dyDescent="0.25">
      <c r="A547">
        <v>900091143</v>
      </c>
      <c r="B547" t="s">
        <v>3965</v>
      </c>
      <c r="C547" t="s">
        <v>3800</v>
      </c>
      <c r="E547" t="s">
        <v>3800</v>
      </c>
      <c r="H547" t="s">
        <v>22</v>
      </c>
      <c r="I547">
        <v>1233192708</v>
      </c>
      <c r="J547" t="s">
        <v>2583</v>
      </c>
      <c r="P547" t="s">
        <v>4322</v>
      </c>
      <c r="Q547" s="8">
        <v>23400000</v>
      </c>
      <c r="R547" s="8" t="e">
        <f>SUMIFS([1]REPORTADOS!$D$2:$D$3379,[1]REPORTADOS!$C$2:$C$3379,E547)</f>
        <v>#VALUE!</v>
      </c>
    </row>
    <row r="548" spans="1:18" x14ac:dyDescent="0.25">
      <c r="A548">
        <v>900091143</v>
      </c>
      <c r="B548" t="s">
        <v>3965</v>
      </c>
      <c r="C548" t="s">
        <v>3801</v>
      </c>
      <c r="E548" t="s">
        <v>3801</v>
      </c>
      <c r="H548" t="s">
        <v>22</v>
      </c>
      <c r="I548">
        <v>37087120</v>
      </c>
      <c r="J548" t="s">
        <v>1851</v>
      </c>
      <c r="P548" t="s">
        <v>4322</v>
      </c>
      <c r="Q548" s="8">
        <v>39000000</v>
      </c>
      <c r="R548" s="8" t="e">
        <f>SUMIFS([1]REPORTADOS!$D$2:$D$3379,[1]REPORTADOS!$C$2:$C$3379,E548)</f>
        <v>#VALUE!</v>
      </c>
    </row>
    <row r="549" spans="1:18" x14ac:dyDescent="0.25">
      <c r="A549">
        <v>900091143</v>
      </c>
      <c r="B549" t="s">
        <v>3965</v>
      </c>
      <c r="C549" t="s">
        <v>3802</v>
      </c>
      <c r="E549" t="s">
        <v>3802</v>
      </c>
      <c r="H549" t="s">
        <v>22</v>
      </c>
      <c r="I549">
        <v>1193474724</v>
      </c>
      <c r="J549" t="s">
        <v>4033</v>
      </c>
      <c r="P549" t="s">
        <v>4273</v>
      </c>
      <c r="Q549" s="8">
        <v>18900000</v>
      </c>
      <c r="R549" s="8" t="e">
        <f>SUMIFS([1]REPORTADOS!$D$2:$D$3379,[1]REPORTADOS!$C$2:$C$3379,E549)</f>
        <v>#VALUE!</v>
      </c>
    </row>
    <row r="550" spans="1:18" x14ac:dyDescent="0.25">
      <c r="A550">
        <v>900091143</v>
      </c>
      <c r="B550" t="s">
        <v>3965</v>
      </c>
      <c r="C550" t="s">
        <v>3803</v>
      </c>
      <c r="E550" t="s">
        <v>3803</v>
      </c>
      <c r="H550" t="s">
        <v>22</v>
      </c>
      <c r="I550">
        <v>12990231</v>
      </c>
      <c r="J550" t="s">
        <v>2748</v>
      </c>
      <c r="P550" t="s">
        <v>4274</v>
      </c>
      <c r="Q550" s="8">
        <v>6000000</v>
      </c>
      <c r="R550" s="8" t="e">
        <f>SUMIFS([1]REPORTADOS!$D$2:$D$3379,[1]REPORTADOS!$C$2:$C$3379,E550)</f>
        <v>#VALUE!</v>
      </c>
    </row>
    <row r="551" spans="1:18" x14ac:dyDescent="0.25">
      <c r="A551">
        <v>900091143</v>
      </c>
      <c r="B551" t="s">
        <v>3965</v>
      </c>
      <c r="C551" t="s">
        <v>3804</v>
      </c>
      <c r="E551" t="s">
        <v>3804</v>
      </c>
      <c r="H551" t="s">
        <v>22</v>
      </c>
      <c r="I551">
        <v>36933095</v>
      </c>
      <c r="J551" t="s">
        <v>3998</v>
      </c>
      <c r="P551" t="s">
        <v>4274</v>
      </c>
      <c r="Q551" s="8">
        <v>6000000</v>
      </c>
      <c r="R551" s="8" t="e">
        <f>SUMIFS([1]REPORTADOS!$D$2:$D$3379,[1]REPORTADOS!$C$2:$C$3379,E551)</f>
        <v>#VALUE!</v>
      </c>
    </row>
    <row r="552" spans="1:18" x14ac:dyDescent="0.25">
      <c r="A552">
        <v>900091143</v>
      </c>
      <c r="B552" t="s">
        <v>3965</v>
      </c>
      <c r="C552" t="s">
        <v>3805</v>
      </c>
      <c r="E552" t="s">
        <v>3805</v>
      </c>
      <c r="H552" t="s">
        <v>22</v>
      </c>
      <c r="I552">
        <v>59833702</v>
      </c>
      <c r="J552" t="s">
        <v>2391</v>
      </c>
      <c r="P552" t="s">
        <v>4273</v>
      </c>
      <c r="Q552" s="8">
        <v>15750000</v>
      </c>
      <c r="R552" s="8" t="e">
        <f>SUMIFS([1]REPORTADOS!$D$2:$D$3379,[1]REPORTADOS!$C$2:$C$3379,E552)</f>
        <v>#VALUE!</v>
      </c>
    </row>
    <row r="553" spans="1:18" x14ac:dyDescent="0.25">
      <c r="A553">
        <v>900091143</v>
      </c>
      <c r="B553" t="s">
        <v>3965</v>
      </c>
      <c r="C553" t="s">
        <v>3806</v>
      </c>
      <c r="E553" t="s">
        <v>3806</v>
      </c>
      <c r="H553" t="s">
        <v>22</v>
      </c>
      <c r="I553">
        <v>59314458</v>
      </c>
      <c r="J553" t="s">
        <v>1705</v>
      </c>
      <c r="P553" t="s">
        <v>4273</v>
      </c>
      <c r="Q553" s="8">
        <v>31500000</v>
      </c>
      <c r="R553" s="8" t="e">
        <f>SUMIFS([1]REPORTADOS!$D$2:$D$3379,[1]REPORTADOS!$C$2:$C$3379,E553)</f>
        <v>#VALUE!</v>
      </c>
    </row>
    <row r="554" spans="1:18" x14ac:dyDescent="0.25">
      <c r="A554">
        <v>900091143</v>
      </c>
      <c r="B554" t="s">
        <v>3965</v>
      </c>
      <c r="C554" t="s">
        <v>3807</v>
      </c>
      <c r="E554" t="s">
        <v>3807</v>
      </c>
      <c r="H554" t="s">
        <v>22</v>
      </c>
      <c r="I554">
        <v>1085287296</v>
      </c>
      <c r="J554" t="s">
        <v>4177</v>
      </c>
      <c r="P554" t="s">
        <v>4274</v>
      </c>
      <c r="Q554" s="8">
        <v>10000000</v>
      </c>
      <c r="R554" s="8" t="e">
        <f>SUMIFS([1]REPORTADOS!$D$2:$D$3379,[1]REPORTADOS!$C$2:$C$3379,E554)</f>
        <v>#VALUE!</v>
      </c>
    </row>
    <row r="555" spans="1:18" x14ac:dyDescent="0.25">
      <c r="A555">
        <v>900091143</v>
      </c>
      <c r="B555" t="s">
        <v>3965</v>
      </c>
      <c r="C555" t="s">
        <v>3808</v>
      </c>
      <c r="E555" t="s">
        <v>3808</v>
      </c>
      <c r="H555" t="s">
        <v>22</v>
      </c>
      <c r="I555">
        <v>1085313195</v>
      </c>
      <c r="J555" t="s">
        <v>3984</v>
      </c>
      <c r="P555" t="s">
        <v>4274</v>
      </c>
      <c r="Q555" s="8">
        <v>2000000</v>
      </c>
      <c r="R555" s="8" t="e">
        <f>SUMIFS([1]REPORTADOS!$D$2:$D$3379,[1]REPORTADOS!$C$2:$C$3379,E555)</f>
        <v>#VALUE!</v>
      </c>
    </row>
    <row r="556" spans="1:18" x14ac:dyDescent="0.25">
      <c r="A556">
        <v>900091143</v>
      </c>
      <c r="B556" t="s">
        <v>3965</v>
      </c>
      <c r="C556" t="s">
        <v>3809</v>
      </c>
      <c r="E556" t="s">
        <v>3809</v>
      </c>
      <c r="H556" t="s">
        <v>22</v>
      </c>
      <c r="I556">
        <v>1085268450</v>
      </c>
      <c r="J556" t="s">
        <v>3975</v>
      </c>
      <c r="P556" t="s">
        <v>4274</v>
      </c>
      <c r="Q556" s="8">
        <v>2000000</v>
      </c>
      <c r="R556" s="8" t="e">
        <f>SUMIFS([1]REPORTADOS!$D$2:$D$3379,[1]REPORTADOS!$C$2:$C$3379,E556)</f>
        <v>#VALUE!</v>
      </c>
    </row>
    <row r="557" spans="1:18" x14ac:dyDescent="0.25">
      <c r="A557">
        <v>900091143</v>
      </c>
      <c r="B557" t="s">
        <v>3965</v>
      </c>
      <c r="C557" t="s">
        <v>3810</v>
      </c>
      <c r="E557" t="s">
        <v>3810</v>
      </c>
      <c r="H557" t="s">
        <v>22</v>
      </c>
      <c r="I557">
        <v>36757715</v>
      </c>
      <c r="J557" t="s">
        <v>2347</v>
      </c>
      <c r="P557" t="s">
        <v>4274</v>
      </c>
      <c r="Q557" s="8">
        <v>6000000</v>
      </c>
      <c r="R557" s="8" t="e">
        <f>SUMIFS([1]REPORTADOS!$D$2:$D$3379,[1]REPORTADOS!$C$2:$C$3379,E557)</f>
        <v>#VALUE!</v>
      </c>
    </row>
    <row r="558" spans="1:18" x14ac:dyDescent="0.25">
      <c r="A558">
        <v>900091143</v>
      </c>
      <c r="B558" t="s">
        <v>3965</v>
      </c>
      <c r="C558" t="s">
        <v>3811</v>
      </c>
      <c r="E558" t="s">
        <v>3811</v>
      </c>
      <c r="H558" t="s">
        <v>22</v>
      </c>
      <c r="I558">
        <v>1085334831</v>
      </c>
      <c r="J558" t="s">
        <v>3997</v>
      </c>
      <c r="P558" t="s">
        <v>4274</v>
      </c>
      <c r="Q558" s="8">
        <v>6000000</v>
      </c>
      <c r="R558" s="8" t="e">
        <f>SUMIFS([1]REPORTADOS!$D$2:$D$3379,[1]REPORTADOS!$C$2:$C$3379,E558)</f>
        <v>#VALUE!</v>
      </c>
    </row>
    <row r="559" spans="1:18" x14ac:dyDescent="0.25">
      <c r="A559">
        <v>900091143</v>
      </c>
      <c r="B559" t="s">
        <v>3965</v>
      </c>
      <c r="C559" t="s">
        <v>3812</v>
      </c>
      <c r="E559" t="s">
        <v>3812</v>
      </c>
      <c r="H559" t="s">
        <v>22</v>
      </c>
      <c r="I559">
        <v>1085310465</v>
      </c>
      <c r="J559" t="s">
        <v>2587</v>
      </c>
      <c r="P559" t="s">
        <v>4274</v>
      </c>
      <c r="Q559" s="8">
        <v>6000000</v>
      </c>
      <c r="R559" s="8" t="e">
        <f>SUMIFS([1]REPORTADOS!$D$2:$D$3379,[1]REPORTADOS!$C$2:$C$3379,E559)</f>
        <v>#VALUE!</v>
      </c>
    </row>
    <row r="560" spans="1:18" x14ac:dyDescent="0.25">
      <c r="A560">
        <v>900091143</v>
      </c>
      <c r="B560" t="s">
        <v>3965</v>
      </c>
      <c r="C560" t="s">
        <v>3813</v>
      </c>
      <c r="E560" t="s">
        <v>3813</v>
      </c>
      <c r="H560" t="s">
        <v>22</v>
      </c>
      <c r="I560">
        <v>1193424771</v>
      </c>
      <c r="J560" t="s">
        <v>4091</v>
      </c>
      <c r="P560" t="s">
        <v>4322</v>
      </c>
      <c r="Q560" s="8">
        <v>4730000</v>
      </c>
      <c r="R560" s="8" t="e">
        <f>SUMIFS([1]REPORTADOS!$D$2:$D$3379,[1]REPORTADOS!$C$2:$C$3379,E560)</f>
        <v>#VALUE!</v>
      </c>
    </row>
    <row r="561" spans="1:18" x14ac:dyDescent="0.25">
      <c r="A561">
        <v>900091143</v>
      </c>
      <c r="B561" t="s">
        <v>3965</v>
      </c>
      <c r="C561" t="s">
        <v>3814</v>
      </c>
      <c r="E561" t="s">
        <v>3814</v>
      </c>
      <c r="H561" t="s">
        <v>22</v>
      </c>
      <c r="I561">
        <v>1085244624</v>
      </c>
      <c r="J561" t="s">
        <v>4178</v>
      </c>
      <c r="P561" t="s">
        <v>4322</v>
      </c>
      <c r="Q561" s="8">
        <v>23400000</v>
      </c>
      <c r="R561" s="8" t="e">
        <f>SUMIFS([1]REPORTADOS!$D$2:$D$3379,[1]REPORTADOS!$C$2:$C$3379,E561)</f>
        <v>#VALUE!</v>
      </c>
    </row>
    <row r="562" spans="1:18" x14ac:dyDescent="0.25">
      <c r="A562">
        <v>900091143</v>
      </c>
      <c r="B562" t="s">
        <v>3965</v>
      </c>
      <c r="C562" t="s">
        <v>3815</v>
      </c>
      <c r="E562" t="s">
        <v>3815</v>
      </c>
      <c r="H562" t="s">
        <v>22</v>
      </c>
      <c r="I562">
        <v>98398376</v>
      </c>
      <c r="J562" t="s">
        <v>4179</v>
      </c>
      <c r="P562" t="s">
        <v>4322</v>
      </c>
      <c r="Q562" s="8">
        <v>39000000</v>
      </c>
      <c r="R562" s="8" t="e">
        <f>SUMIFS([1]REPORTADOS!$D$2:$D$3379,[1]REPORTADOS!$C$2:$C$3379,E562)</f>
        <v>#VALUE!</v>
      </c>
    </row>
    <row r="563" spans="1:18" x14ac:dyDescent="0.25">
      <c r="A563">
        <v>900091143</v>
      </c>
      <c r="B563" t="s">
        <v>3965</v>
      </c>
      <c r="C563" t="s">
        <v>3816</v>
      </c>
      <c r="E563" t="s">
        <v>3816</v>
      </c>
      <c r="H563" t="s">
        <v>22</v>
      </c>
      <c r="I563">
        <v>59815593</v>
      </c>
      <c r="J563" t="s">
        <v>3976</v>
      </c>
      <c r="P563" t="s">
        <v>4274</v>
      </c>
      <c r="Q563" s="8">
        <v>6000000</v>
      </c>
      <c r="R563" s="8" t="e">
        <f>SUMIFS([1]REPORTADOS!$D$2:$D$3379,[1]REPORTADOS!$C$2:$C$3379,E563)</f>
        <v>#VALUE!</v>
      </c>
    </row>
    <row r="564" spans="1:18" x14ac:dyDescent="0.25">
      <c r="A564">
        <v>900091143</v>
      </c>
      <c r="B564" t="s">
        <v>3965</v>
      </c>
      <c r="C564" t="s">
        <v>3817</v>
      </c>
      <c r="E564" t="s">
        <v>3817</v>
      </c>
      <c r="H564" t="s">
        <v>22</v>
      </c>
      <c r="I564">
        <v>1085317094</v>
      </c>
      <c r="J564" t="s">
        <v>4024</v>
      </c>
      <c r="P564" t="s">
        <v>4274</v>
      </c>
      <c r="Q564" s="8">
        <v>9450000</v>
      </c>
      <c r="R564" s="8" t="e">
        <f>SUMIFS([1]REPORTADOS!$D$2:$D$3379,[1]REPORTADOS!$C$2:$C$3379,E564)</f>
        <v>#VALUE!</v>
      </c>
    </row>
    <row r="565" spans="1:18" x14ac:dyDescent="0.25">
      <c r="A565">
        <v>900091143</v>
      </c>
      <c r="B565" t="s">
        <v>3965</v>
      </c>
      <c r="C565" t="s">
        <v>3818</v>
      </c>
      <c r="E565" t="s">
        <v>3818</v>
      </c>
      <c r="H565" t="s">
        <v>22</v>
      </c>
      <c r="I565">
        <v>1085312669</v>
      </c>
      <c r="J565" t="s">
        <v>3971</v>
      </c>
      <c r="P565" t="s">
        <v>4274</v>
      </c>
      <c r="Q565" s="8">
        <v>2000000</v>
      </c>
      <c r="R565" s="8" t="e">
        <f>SUMIFS([1]REPORTADOS!$D$2:$D$3379,[1]REPORTADOS!$C$2:$C$3379,E565)</f>
        <v>#VALUE!</v>
      </c>
    </row>
    <row r="566" spans="1:18" x14ac:dyDescent="0.25">
      <c r="A566">
        <v>900091143</v>
      </c>
      <c r="B566" t="s">
        <v>3965</v>
      </c>
      <c r="C566" t="s">
        <v>3819</v>
      </c>
      <c r="E566" t="s">
        <v>3819</v>
      </c>
      <c r="H566" t="s">
        <v>22</v>
      </c>
      <c r="I566">
        <v>87069979</v>
      </c>
      <c r="J566" t="s">
        <v>4180</v>
      </c>
      <c r="P566" t="s">
        <v>4273</v>
      </c>
      <c r="Q566" s="8">
        <v>9450000</v>
      </c>
      <c r="R566" s="8" t="e">
        <f>SUMIFS([1]REPORTADOS!$D$2:$D$3379,[1]REPORTADOS!$C$2:$C$3379,E566)</f>
        <v>#VALUE!</v>
      </c>
    </row>
    <row r="567" spans="1:18" x14ac:dyDescent="0.25">
      <c r="A567">
        <v>900091143</v>
      </c>
      <c r="B567" t="s">
        <v>3965</v>
      </c>
      <c r="C567" t="s">
        <v>3820</v>
      </c>
      <c r="E567" t="s">
        <v>3820</v>
      </c>
      <c r="H567" t="s">
        <v>22</v>
      </c>
      <c r="I567">
        <v>1085275445</v>
      </c>
      <c r="J567" t="s">
        <v>3974</v>
      </c>
      <c r="P567" t="s">
        <v>4274</v>
      </c>
      <c r="Q567" s="8">
        <v>6000000</v>
      </c>
      <c r="R567" s="8" t="e">
        <f>SUMIFS([1]REPORTADOS!$D$2:$D$3379,[1]REPORTADOS!$C$2:$C$3379,E567)</f>
        <v>#VALUE!</v>
      </c>
    </row>
    <row r="568" spans="1:18" x14ac:dyDescent="0.25">
      <c r="A568">
        <v>900091143</v>
      </c>
      <c r="B568" t="s">
        <v>3965</v>
      </c>
      <c r="C568" t="s">
        <v>3821</v>
      </c>
      <c r="E568" t="s">
        <v>3821</v>
      </c>
      <c r="H568" t="s">
        <v>22</v>
      </c>
      <c r="I568">
        <v>27082650</v>
      </c>
      <c r="J568" t="s">
        <v>3989</v>
      </c>
      <c r="P568" t="s">
        <v>4274</v>
      </c>
      <c r="Q568" s="8">
        <v>6000000</v>
      </c>
      <c r="R568" s="8" t="e">
        <f>SUMIFS([1]REPORTADOS!$D$2:$D$3379,[1]REPORTADOS!$C$2:$C$3379,E568)</f>
        <v>#VALUE!</v>
      </c>
    </row>
    <row r="569" spans="1:18" x14ac:dyDescent="0.25">
      <c r="A569">
        <v>900091143</v>
      </c>
      <c r="B569" t="s">
        <v>3965</v>
      </c>
      <c r="C569" t="s">
        <v>3822</v>
      </c>
      <c r="E569" t="s">
        <v>3822</v>
      </c>
      <c r="H569" t="s">
        <v>22</v>
      </c>
      <c r="I569">
        <v>1004343043</v>
      </c>
      <c r="J569" t="s">
        <v>4021</v>
      </c>
      <c r="P569" t="s">
        <v>4273</v>
      </c>
      <c r="Q569" s="8">
        <v>3150000</v>
      </c>
      <c r="R569" s="8" t="e">
        <f>SUMIFS([1]REPORTADOS!$D$2:$D$3379,[1]REPORTADOS!$C$2:$C$3379,E569)</f>
        <v>#VALUE!</v>
      </c>
    </row>
    <row r="570" spans="1:18" x14ac:dyDescent="0.25">
      <c r="A570">
        <v>900091143</v>
      </c>
      <c r="B570" t="s">
        <v>3965</v>
      </c>
      <c r="C570" t="s">
        <v>3823</v>
      </c>
      <c r="E570" t="s">
        <v>3823</v>
      </c>
      <c r="H570" t="s">
        <v>22</v>
      </c>
      <c r="I570">
        <v>1081274779</v>
      </c>
      <c r="J570" t="s">
        <v>3973</v>
      </c>
      <c r="P570" t="s">
        <v>4274</v>
      </c>
      <c r="Q570" s="8">
        <v>6000000</v>
      </c>
      <c r="R570" s="8" t="e">
        <f>SUMIFS([1]REPORTADOS!$D$2:$D$3379,[1]REPORTADOS!$C$2:$C$3379,E570)</f>
        <v>#VALUE!</v>
      </c>
    </row>
    <row r="571" spans="1:18" x14ac:dyDescent="0.25">
      <c r="A571">
        <v>900091143</v>
      </c>
      <c r="B571" t="s">
        <v>3965</v>
      </c>
      <c r="C571" t="s">
        <v>3824</v>
      </c>
      <c r="E571" t="s">
        <v>3824</v>
      </c>
      <c r="H571" t="s">
        <v>22</v>
      </c>
      <c r="I571">
        <v>1137089036</v>
      </c>
      <c r="J571" t="s">
        <v>3987</v>
      </c>
      <c r="P571" t="s">
        <v>4274</v>
      </c>
      <c r="Q571" s="8">
        <v>6000000</v>
      </c>
      <c r="R571" s="8" t="e">
        <f>SUMIFS([1]REPORTADOS!$D$2:$D$3379,[1]REPORTADOS!$C$2:$C$3379,E571)</f>
        <v>#VALUE!</v>
      </c>
    </row>
    <row r="572" spans="1:18" x14ac:dyDescent="0.25">
      <c r="A572">
        <v>900091143</v>
      </c>
      <c r="B572" t="s">
        <v>3965</v>
      </c>
      <c r="C572" t="s">
        <v>3825</v>
      </c>
      <c r="E572" t="s">
        <v>3825</v>
      </c>
      <c r="H572" t="s">
        <v>22</v>
      </c>
      <c r="I572">
        <v>12974849</v>
      </c>
      <c r="J572" t="s">
        <v>2290</v>
      </c>
      <c r="P572" t="s">
        <v>4274</v>
      </c>
      <c r="Q572" s="8">
        <v>6000000</v>
      </c>
      <c r="R572" s="8" t="e">
        <f>SUMIFS([1]REPORTADOS!$D$2:$D$3379,[1]REPORTADOS!$C$2:$C$3379,E572)</f>
        <v>#VALUE!</v>
      </c>
    </row>
    <row r="573" spans="1:18" x14ac:dyDescent="0.25">
      <c r="A573">
        <v>900091143</v>
      </c>
      <c r="B573" t="s">
        <v>3965</v>
      </c>
      <c r="C573" t="s">
        <v>3826</v>
      </c>
      <c r="E573" t="s">
        <v>3826</v>
      </c>
      <c r="H573" t="s">
        <v>22</v>
      </c>
      <c r="I573">
        <v>59314118</v>
      </c>
      <c r="J573" t="s">
        <v>3994</v>
      </c>
      <c r="P573" t="s">
        <v>4274</v>
      </c>
      <c r="Q573" s="8">
        <v>6000000</v>
      </c>
      <c r="R573" s="8" t="e">
        <f>SUMIFS([1]REPORTADOS!$D$2:$D$3379,[1]REPORTADOS!$C$2:$C$3379,E573)</f>
        <v>#VALUE!</v>
      </c>
    </row>
    <row r="574" spans="1:18" x14ac:dyDescent="0.25">
      <c r="A574">
        <v>900091143</v>
      </c>
      <c r="B574" t="s">
        <v>3965</v>
      </c>
      <c r="C574" t="s">
        <v>3827</v>
      </c>
      <c r="E574" t="s">
        <v>3827</v>
      </c>
      <c r="H574" t="s">
        <v>22</v>
      </c>
      <c r="I574">
        <v>1081052090</v>
      </c>
      <c r="J574" t="s">
        <v>2534</v>
      </c>
      <c r="P574" t="s">
        <v>4274</v>
      </c>
      <c r="Q574" s="8">
        <v>6000000</v>
      </c>
      <c r="R574" s="8" t="e">
        <f>SUMIFS([1]REPORTADOS!$D$2:$D$3379,[1]REPORTADOS!$C$2:$C$3379,E574)</f>
        <v>#VALUE!</v>
      </c>
    </row>
    <row r="575" spans="1:18" x14ac:dyDescent="0.25">
      <c r="A575">
        <v>900091143</v>
      </c>
      <c r="B575" t="s">
        <v>3965</v>
      </c>
      <c r="C575" t="s">
        <v>3828</v>
      </c>
      <c r="E575" t="s">
        <v>3828</v>
      </c>
      <c r="H575" t="s">
        <v>22</v>
      </c>
      <c r="I575">
        <v>1081282855</v>
      </c>
      <c r="J575" t="s">
        <v>3991</v>
      </c>
      <c r="P575" t="s">
        <v>4274</v>
      </c>
      <c r="Q575" s="8">
        <v>6000000</v>
      </c>
      <c r="R575" s="8" t="e">
        <f>SUMIFS([1]REPORTADOS!$D$2:$D$3379,[1]REPORTADOS!$C$2:$C$3379,E575)</f>
        <v>#VALUE!</v>
      </c>
    </row>
    <row r="576" spans="1:18" x14ac:dyDescent="0.25">
      <c r="A576">
        <v>900091143</v>
      </c>
      <c r="B576" t="s">
        <v>3965</v>
      </c>
      <c r="C576" t="s">
        <v>3829</v>
      </c>
      <c r="E576" t="s">
        <v>3829</v>
      </c>
      <c r="H576" t="s">
        <v>22</v>
      </c>
      <c r="I576">
        <v>1085344910</v>
      </c>
      <c r="J576" t="s">
        <v>4181</v>
      </c>
      <c r="P576" t="s">
        <v>4322</v>
      </c>
      <c r="Q576" s="8">
        <v>39000000</v>
      </c>
      <c r="R576" s="8" t="e">
        <f>SUMIFS([1]REPORTADOS!$D$2:$D$3379,[1]REPORTADOS!$C$2:$C$3379,E576)</f>
        <v>#VALUE!</v>
      </c>
    </row>
    <row r="577" spans="1:18" x14ac:dyDescent="0.25">
      <c r="A577">
        <v>900091143</v>
      </c>
      <c r="B577" t="s">
        <v>3965</v>
      </c>
      <c r="C577" t="s">
        <v>3830</v>
      </c>
      <c r="E577" t="s">
        <v>3830</v>
      </c>
      <c r="H577" t="s">
        <v>22</v>
      </c>
      <c r="I577">
        <v>1085313735</v>
      </c>
      <c r="J577" t="s">
        <v>4182</v>
      </c>
      <c r="P577" t="s">
        <v>4273</v>
      </c>
      <c r="Q577" s="8">
        <v>15750000</v>
      </c>
      <c r="R577" s="8" t="e">
        <f>SUMIFS([1]REPORTADOS!$D$2:$D$3379,[1]REPORTADOS!$C$2:$C$3379,E577)</f>
        <v>#VALUE!</v>
      </c>
    </row>
    <row r="578" spans="1:18" x14ac:dyDescent="0.25">
      <c r="A578">
        <v>900091143</v>
      </c>
      <c r="B578" t="s">
        <v>3965</v>
      </c>
      <c r="C578" t="s">
        <v>3831</v>
      </c>
      <c r="E578" t="s">
        <v>3831</v>
      </c>
      <c r="H578" t="s">
        <v>22</v>
      </c>
      <c r="I578">
        <v>37082781</v>
      </c>
      <c r="J578" t="s">
        <v>4183</v>
      </c>
      <c r="P578" t="s">
        <v>4274</v>
      </c>
      <c r="Q578" s="8">
        <v>6000000</v>
      </c>
      <c r="R578" s="8" t="e">
        <f>SUMIFS([1]REPORTADOS!$D$2:$D$3379,[1]REPORTADOS!$C$2:$C$3379,E578)</f>
        <v>#VALUE!</v>
      </c>
    </row>
    <row r="579" spans="1:18" x14ac:dyDescent="0.25">
      <c r="A579">
        <v>900091143</v>
      </c>
      <c r="B579" t="s">
        <v>3965</v>
      </c>
      <c r="C579" t="s">
        <v>3832</v>
      </c>
      <c r="E579" t="s">
        <v>3832</v>
      </c>
      <c r="H579" t="s">
        <v>22</v>
      </c>
      <c r="I579">
        <v>1004136704</v>
      </c>
      <c r="J579" t="s">
        <v>4184</v>
      </c>
      <c r="P579" t="s">
        <v>4273</v>
      </c>
      <c r="Q579" s="8">
        <v>15750000</v>
      </c>
      <c r="R579" s="8" t="e">
        <f>SUMIFS([1]REPORTADOS!$D$2:$D$3379,[1]REPORTADOS!$C$2:$C$3379,E579)</f>
        <v>#VALUE!</v>
      </c>
    </row>
    <row r="580" spans="1:18" x14ac:dyDescent="0.25">
      <c r="A580">
        <v>900091143</v>
      </c>
      <c r="B580" t="s">
        <v>3965</v>
      </c>
      <c r="C580" t="s">
        <v>3833</v>
      </c>
      <c r="E580" t="s">
        <v>3833</v>
      </c>
      <c r="H580" t="s">
        <v>22</v>
      </c>
      <c r="I580">
        <v>1085339060</v>
      </c>
      <c r="J580" t="s">
        <v>4185</v>
      </c>
      <c r="P580" t="s">
        <v>4273</v>
      </c>
      <c r="Q580" s="8">
        <v>15750000</v>
      </c>
      <c r="R580" s="8" t="e">
        <f>SUMIFS([1]REPORTADOS!$D$2:$D$3379,[1]REPORTADOS!$C$2:$C$3379,E580)</f>
        <v>#VALUE!</v>
      </c>
    </row>
    <row r="581" spans="1:18" x14ac:dyDescent="0.25">
      <c r="A581">
        <v>900091143</v>
      </c>
      <c r="B581" t="s">
        <v>3965</v>
      </c>
      <c r="C581" t="s">
        <v>3834</v>
      </c>
      <c r="E581" t="s">
        <v>3834</v>
      </c>
      <c r="H581" t="s">
        <v>22</v>
      </c>
      <c r="I581">
        <v>1010143140</v>
      </c>
      <c r="J581" t="s">
        <v>4186</v>
      </c>
      <c r="P581" t="s">
        <v>4322</v>
      </c>
      <c r="Q581" s="8">
        <v>39000000</v>
      </c>
      <c r="R581" s="8" t="e">
        <f>SUMIFS([1]REPORTADOS!$D$2:$D$3379,[1]REPORTADOS!$C$2:$C$3379,E581)</f>
        <v>#VALUE!</v>
      </c>
    </row>
    <row r="582" spans="1:18" x14ac:dyDescent="0.25">
      <c r="A582">
        <v>900091143</v>
      </c>
      <c r="B582" t="s">
        <v>3965</v>
      </c>
      <c r="C582" t="s">
        <v>3835</v>
      </c>
      <c r="E582" t="s">
        <v>3835</v>
      </c>
      <c r="H582" t="s">
        <v>22</v>
      </c>
      <c r="I582">
        <v>1087960681</v>
      </c>
      <c r="J582" t="s">
        <v>4187</v>
      </c>
      <c r="P582" t="s">
        <v>4273</v>
      </c>
      <c r="Q582" s="8">
        <v>15750000</v>
      </c>
      <c r="R582" s="8" t="e">
        <f>SUMIFS([1]REPORTADOS!$D$2:$D$3379,[1]REPORTADOS!$C$2:$C$3379,E582)</f>
        <v>#VALUE!</v>
      </c>
    </row>
    <row r="583" spans="1:18" x14ac:dyDescent="0.25">
      <c r="A583">
        <v>900091143</v>
      </c>
      <c r="B583" t="s">
        <v>3965</v>
      </c>
      <c r="C583" t="s">
        <v>3836</v>
      </c>
      <c r="E583" t="s">
        <v>3836</v>
      </c>
      <c r="H583" t="s">
        <v>22</v>
      </c>
      <c r="I583">
        <v>1080040910</v>
      </c>
      <c r="J583" t="s">
        <v>4188</v>
      </c>
      <c r="P583" t="s">
        <v>4273</v>
      </c>
      <c r="Q583" s="8">
        <v>15750000</v>
      </c>
      <c r="R583" s="8" t="e">
        <f>SUMIFS([1]REPORTADOS!$D$2:$D$3379,[1]REPORTADOS!$C$2:$C$3379,E583)</f>
        <v>#VALUE!</v>
      </c>
    </row>
    <row r="584" spans="1:18" x14ac:dyDescent="0.25">
      <c r="A584">
        <v>900091143</v>
      </c>
      <c r="B584" t="s">
        <v>3965</v>
      </c>
      <c r="C584" t="s">
        <v>3837</v>
      </c>
      <c r="E584" t="s">
        <v>3837</v>
      </c>
      <c r="H584" t="s">
        <v>22</v>
      </c>
      <c r="I584">
        <v>1004631427</v>
      </c>
      <c r="J584" t="s">
        <v>4189</v>
      </c>
      <c r="P584" t="s">
        <v>4273</v>
      </c>
      <c r="Q584" s="8">
        <v>31500000</v>
      </c>
      <c r="R584" s="8" t="e">
        <f>SUMIFS([1]REPORTADOS!$D$2:$D$3379,[1]REPORTADOS!$C$2:$C$3379,E584)</f>
        <v>#VALUE!</v>
      </c>
    </row>
    <row r="585" spans="1:18" x14ac:dyDescent="0.25">
      <c r="A585">
        <v>900091143</v>
      </c>
      <c r="B585" t="s">
        <v>3965</v>
      </c>
      <c r="C585" t="s">
        <v>3838</v>
      </c>
      <c r="E585" t="s">
        <v>3838</v>
      </c>
      <c r="H585" t="s">
        <v>22</v>
      </c>
      <c r="I585">
        <v>36950112</v>
      </c>
      <c r="J585" t="s">
        <v>4190</v>
      </c>
      <c r="P585" t="s">
        <v>4322</v>
      </c>
      <c r="Q585" s="8">
        <v>23400000</v>
      </c>
      <c r="R585" s="8" t="e">
        <f>SUMIFS([1]REPORTADOS!$D$2:$D$3379,[1]REPORTADOS!$C$2:$C$3379,E585)</f>
        <v>#VALUE!</v>
      </c>
    </row>
    <row r="586" spans="1:18" x14ac:dyDescent="0.25">
      <c r="A586">
        <v>900091143</v>
      </c>
      <c r="B586" t="s">
        <v>3965</v>
      </c>
      <c r="C586" t="s">
        <v>3839</v>
      </c>
      <c r="E586" t="s">
        <v>3839</v>
      </c>
      <c r="H586" t="s">
        <v>22</v>
      </c>
      <c r="I586">
        <v>37084101</v>
      </c>
      <c r="J586" t="s">
        <v>4191</v>
      </c>
      <c r="P586" t="s">
        <v>4322</v>
      </c>
      <c r="Q586" s="8">
        <v>23400000</v>
      </c>
      <c r="R586" s="8" t="e">
        <f>SUMIFS([1]REPORTADOS!$D$2:$D$3379,[1]REPORTADOS!$C$2:$C$3379,E586)</f>
        <v>#VALUE!</v>
      </c>
    </row>
    <row r="587" spans="1:18" x14ac:dyDescent="0.25">
      <c r="A587">
        <v>900091143</v>
      </c>
      <c r="B587" t="s">
        <v>3965</v>
      </c>
      <c r="C587" t="s">
        <v>3840</v>
      </c>
      <c r="E587" t="s">
        <v>3840</v>
      </c>
      <c r="H587" t="s">
        <v>22</v>
      </c>
      <c r="I587">
        <v>1010035235</v>
      </c>
      <c r="J587" t="s">
        <v>4192</v>
      </c>
      <c r="P587" t="s">
        <v>4273</v>
      </c>
      <c r="Q587" s="8">
        <v>9450000</v>
      </c>
      <c r="R587" s="8" t="e">
        <f>SUMIFS([1]REPORTADOS!$D$2:$D$3379,[1]REPORTADOS!$C$2:$C$3379,E587)</f>
        <v>#VALUE!</v>
      </c>
    </row>
    <row r="588" spans="1:18" x14ac:dyDescent="0.25">
      <c r="A588">
        <v>900091143</v>
      </c>
      <c r="B588" t="s">
        <v>3965</v>
      </c>
      <c r="C588" t="s">
        <v>3841</v>
      </c>
      <c r="E588" t="s">
        <v>3841</v>
      </c>
      <c r="H588" t="s">
        <v>22</v>
      </c>
      <c r="I588">
        <v>26453006</v>
      </c>
      <c r="J588" t="s">
        <v>4193</v>
      </c>
      <c r="P588" t="s">
        <v>4273</v>
      </c>
      <c r="Q588" s="8">
        <v>9450000</v>
      </c>
      <c r="R588" s="8" t="e">
        <f>SUMIFS([1]REPORTADOS!$D$2:$D$3379,[1]REPORTADOS!$C$2:$C$3379,E588)</f>
        <v>#VALUE!</v>
      </c>
    </row>
    <row r="589" spans="1:18" x14ac:dyDescent="0.25">
      <c r="A589">
        <v>900091143</v>
      </c>
      <c r="B589" t="s">
        <v>3965</v>
      </c>
      <c r="C589" t="s">
        <v>3842</v>
      </c>
      <c r="E589" t="s">
        <v>3842</v>
      </c>
      <c r="H589" t="s">
        <v>22</v>
      </c>
      <c r="I589">
        <v>1086363655</v>
      </c>
      <c r="J589" t="s">
        <v>4194</v>
      </c>
      <c r="P589" t="s">
        <v>4273</v>
      </c>
      <c r="Q589" s="8">
        <v>15750000</v>
      </c>
      <c r="R589" s="8" t="e">
        <f>SUMIFS([1]REPORTADOS!$D$2:$D$3379,[1]REPORTADOS!$C$2:$C$3379,E589)</f>
        <v>#VALUE!</v>
      </c>
    </row>
    <row r="590" spans="1:18" x14ac:dyDescent="0.25">
      <c r="A590">
        <v>900091143</v>
      </c>
      <c r="B590" t="s">
        <v>3965</v>
      </c>
      <c r="C590" t="s">
        <v>3843</v>
      </c>
      <c r="E590" t="s">
        <v>3843</v>
      </c>
      <c r="H590" t="s">
        <v>22</v>
      </c>
      <c r="I590">
        <v>98399200</v>
      </c>
      <c r="J590" t="s">
        <v>4195</v>
      </c>
      <c r="P590" t="s">
        <v>4273</v>
      </c>
      <c r="Q590" s="8">
        <v>18900000</v>
      </c>
      <c r="R590" s="8" t="e">
        <f>SUMIFS([1]REPORTADOS!$D$2:$D$3379,[1]REPORTADOS!$C$2:$C$3379,E590)</f>
        <v>#VALUE!</v>
      </c>
    </row>
    <row r="591" spans="1:18" x14ac:dyDescent="0.25">
      <c r="A591">
        <v>900091143</v>
      </c>
      <c r="B591" t="s">
        <v>3965</v>
      </c>
      <c r="C591" t="s">
        <v>3844</v>
      </c>
      <c r="E591" t="s">
        <v>3844</v>
      </c>
      <c r="H591" t="s">
        <v>22</v>
      </c>
      <c r="I591">
        <v>27487890</v>
      </c>
      <c r="J591" t="s">
        <v>4196</v>
      </c>
      <c r="P591" t="s">
        <v>4273</v>
      </c>
      <c r="Q591" s="8">
        <v>31500000</v>
      </c>
      <c r="R591" s="8" t="e">
        <f>SUMIFS([1]REPORTADOS!$D$2:$D$3379,[1]REPORTADOS!$C$2:$C$3379,E591)</f>
        <v>#VALUE!</v>
      </c>
    </row>
    <row r="592" spans="1:18" x14ac:dyDescent="0.25">
      <c r="A592">
        <v>900091143</v>
      </c>
      <c r="B592" t="s">
        <v>3965</v>
      </c>
      <c r="C592" t="s">
        <v>3845</v>
      </c>
      <c r="E592" t="s">
        <v>3845</v>
      </c>
      <c r="H592" t="s">
        <v>22</v>
      </c>
      <c r="I592">
        <v>59313585</v>
      </c>
      <c r="J592" t="s">
        <v>4197</v>
      </c>
      <c r="P592" t="s">
        <v>4273</v>
      </c>
      <c r="Q592" s="8">
        <v>15750000</v>
      </c>
      <c r="R592" s="8" t="e">
        <f>SUMIFS([1]REPORTADOS!$D$2:$D$3379,[1]REPORTADOS!$C$2:$C$3379,E592)</f>
        <v>#VALUE!</v>
      </c>
    </row>
    <row r="593" spans="1:18" x14ac:dyDescent="0.25">
      <c r="A593">
        <v>900091143</v>
      </c>
      <c r="B593" t="s">
        <v>3965</v>
      </c>
      <c r="C593" t="s">
        <v>3846</v>
      </c>
      <c r="E593" t="s">
        <v>3846</v>
      </c>
      <c r="H593" t="s">
        <v>22</v>
      </c>
      <c r="I593">
        <v>1080691508</v>
      </c>
      <c r="J593" t="s">
        <v>4198</v>
      </c>
      <c r="P593" t="s">
        <v>4273</v>
      </c>
      <c r="Q593" s="8">
        <v>15750000</v>
      </c>
      <c r="R593" s="8" t="e">
        <f>SUMIFS([1]REPORTADOS!$D$2:$D$3379,[1]REPORTADOS!$C$2:$C$3379,E593)</f>
        <v>#VALUE!</v>
      </c>
    </row>
    <row r="594" spans="1:18" x14ac:dyDescent="0.25">
      <c r="A594">
        <v>900091143</v>
      </c>
      <c r="B594" t="s">
        <v>3965</v>
      </c>
      <c r="C594" t="s">
        <v>3847</v>
      </c>
      <c r="E594" t="s">
        <v>3847</v>
      </c>
      <c r="H594" t="s">
        <v>22</v>
      </c>
      <c r="I594">
        <v>1004232029</v>
      </c>
      <c r="J594" t="s">
        <v>4199</v>
      </c>
      <c r="P594" t="s">
        <v>4273</v>
      </c>
      <c r="Q594" s="8">
        <v>31500000</v>
      </c>
      <c r="R594" s="8" t="e">
        <f>SUMIFS([1]REPORTADOS!$D$2:$D$3379,[1]REPORTADOS!$C$2:$C$3379,E594)</f>
        <v>#VALUE!</v>
      </c>
    </row>
    <row r="595" spans="1:18" x14ac:dyDescent="0.25">
      <c r="A595">
        <v>900091143</v>
      </c>
      <c r="B595" t="s">
        <v>3965</v>
      </c>
      <c r="C595" t="s">
        <v>3848</v>
      </c>
      <c r="E595" t="s">
        <v>3848</v>
      </c>
      <c r="H595" t="s">
        <v>22</v>
      </c>
      <c r="I595">
        <v>1082630032</v>
      </c>
      <c r="J595" t="s">
        <v>4200</v>
      </c>
      <c r="P595" t="s">
        <v>4273</v>
      </c>
      <c r="Q595" s="8">
        <v>15750000</v>
      </c>
      <c r="R595" s="8" t="e">
        <f>SUMIFS([1]REPORTADOS!$D$2:$D$3379,[1]REPORTADOS!$C$2:$C$3379,E595)</f>
        <v>#VALUE!</v>
      </c>
    </row>
    <row r="596" spans="1:18" x14ac:dyDescent="0.25">
      <c r="A596">
        <v>900091143</v>
      </c>
      <c r="B596" t="s">
        <v>3965</v>
      </c>
      <c r="C596" t="s">
        <v>3849</v>
      </c>
      <c r="E596" t="s">
        <v>3849</v>
      </c>
      <c r="H596" t="s">
        <v>22</v>
      </c>
      <c r="I596">
        <v>1085281034</v>
      </c>
      <c r="J596" t="s">
        <v>4201</v>
      </c>
      <c r="P596" t="s">
        <v>4273</v>
      </c>
      <c r="Q596" s="8">
        <v>31500000</v>
      </c>
      <c r="R596" s="8" t="e">
        <f>SUMIFS([1]REPORTADOS!$D$2:$D$3379,[1]REPORTADOS!$C$2:$C$3379,E596)</f>
        <v>#VALUE!</v>
      </c>
    </row>
    <row r="597" spans="1:18" x14ac:dyDescent="0.25">
      <c r="A597">
        <v>900091143</v>
      </c>
      <c r="B597" t="s">
        <v>3965</v>
      </c>
      <c r="C597" t="s">
        <v>3850</v>
      </c>
      <c r="E597" t="s">
        <v>3850</v>
      </c>
      <c r="H597" t="s">
        <v>22</v>
      </c>
      <c r="I597">
        <v>1085313206</v>
      </c>
      <c r="J597" t="s">
        <v>4202</v>
      </c>
      <c r="P597" t="s">
        <v>4273</v>
      </c>
      <c r="Q597" s="8">
        <v>31500000</v>
      </c>
      <c r="R597" s="8" t="e">
        <f>SUMIFS([1]REPORTADOS!$D$2:$D$3379,[1]REPORTADOS!$C$2:$C$3379,E597)</f>
        <v>#VALUE!</v>
      </c>
    </row>
    <row r="598" spans="1:18" x14ac:dyDescent="0.25">
      <c r="A598">
        <v>900091143</v>
      </c>
      <c r="B598" t="s">
        <v>3965</v>
      </c>
      <c r="C598" t="s">
        <v>3851</v>
      </c>
      <c r="E598" t="s">
        <v>3851</v>
      </c>
      <c r="H598" t="s">
        <v>22</v>
      </c>
      <c r="I598">
        <v>1085288297</v>
      </c>
      <c r="J598" t="s">
        <v>4203</v>
      </c>
      <c r="P598" t="s">
        <v>4273</v>
      </c>
      <c r="Q598" s="8">
        <v>15750000</v>
      </c>
      <c r="R598" s="8" t="e">
        <f>SUMIFS([1]REPORTADOS!$D$2:$D$3379,[1]REPORTADOS!$C$2:$C$3379,E598)</f>
        <v>#VALUE!</v>
      </c>
    </row>
    <row r="599" spans="1:18" x14ac:dyDescent="0.25">
      <c r="A599">
        <v>900091143</v>
      </c>
      <c r="B599" t="s">
        <v>3965</v>
      </c>
      <c r="C599" t="s">
        <v>3852</v>
      </c>
      <c r="E599" t="s">
        <v>3852</v>
      </c>
      <c r="H599" t="s">
        <v>22</v>
      </c>
      <c r="I599">
        <v>1089458129</v>
      </c>
      <c r="J599" t="s">
        <v>4204</v>
      </c>
      <c r="P599" t="s">
        <v>4273</v>
      </c>
      <c r="Q599" s="8">
        <v>15750000</v>
      </c>
      <c r="R599" s="8" t="e">
        <f>SUMIFS([1]REPORTADOS!$D$2:$D$3379,[1]REPORTADOS!$C$2:$C$3379,E599)</f>
        <v>#VALUE!</v>
      </c>
    </row>
    <row r="600" spans="1:18" x14ac:dyDescent="0.25">
      <c r="A600">
        <v>900091143</v>
      </c>
      <c r="B600" t="s">
        <v>3965</v>
      </c>
      <c r="C600" t="s">
        <v>3853</v>
      </c>
      <c r="E600" t="s">
        <v>3853</v>
      </c>
      <c r="H600" t="s">
        <v>22</v>
      </c>
      <c r="I600">
        <v>1085283202</v>
      </c>
      <c r="J600" t="s">
        <v>4205</v>
      </c>
      <c r="P600" t="s">
        <v>4273</v>
      </c>
      <c r="Q600" s="8">
        <v>31500000</v>
      </c>
      <c r="R600" s="8" t="e">
        <f>SUMIFS([1]REPORTADOS!$D$2:$D$3379,[1]REPORTADOS!$C$2:$C$3379,E600)</f>
        <v>#VALUE!</v>
      </c>
    </row>
    <row r="601" spans="1:18" x14ac:dyDescent="0.25">
      <c r="A601">
        <v>900091143</v>
      </c>
      <c r="B601" t="s">
        <v>3965</v>
      </c>
      <c r="C601" t="s">
        <v>3854</v>
      </c>
      <c r="E601" t="s">
        <v>3854</v>
      </c>
      <c r="H601" t="s">
        <v>22</v>
      </c>
      <c r="I601">
        <v>27224982</v>
      </c>
      <c r="J601" t="s">
        <v>4206</v>
      </c>
      <c r="P601" t="s">
        <v>4273</v>
      </c>
      <c r="Q601" s="8">
        <v>31500000</v>
      </c>
      <c r="R601" s="8" t="e">
        <f>SUMIFS([1]REPORTADOS!$D$2:$D$3379,[1]REPORTADOS!$C$2:$C$3379,E601)</f>
        <v>#VALUE!</v>
      </c>
    </row>
    <row r="602" spans="1:18" x14ac:dyDescent="0.25">
      <c r="A602">
        <v>900091143</v>
      </c>
      <c r="B602" t="s">
        <v>3965</v>
      </c>
      <c r="C602" t="s">
        <v>3855</v>
      </c>
      <c r="E602" t="s">
        <v>3855</v>
      </c>
      <c r="H602" t="s">
        <v>22</v>
      </c>
      <c r="I602">
        <v>1004542606</v>
      </c>
      <c r="J602" t="s">
        <v>4207</v>
      </c>
      <c r="P602" t="s">
        <v>4273</v>
      </c>
      <c r="Q602" s="8">
        <v>15750000</v>
      </c>
      <c r="R602" s="8" t="e">
        <f>SUMIFS([1]REPORTADOS!$D$2:$D$3379,[1]REPORTADOS!$C$2:$C$3379,E602)</f>
        <v>#VALUE!</v>
      </c>
    </row>
    <row r="603" spans="1:18" x14ac:dyDescent="0.25">
      <c r="A603">
        <v>900091143</v>
      </c>
      <c r="B603" t="s">
        <v>3965</v>
      </c>
      <c r="C603" t="s">
        <v>3856</v>
      </c>
      <c r="E603" t="s">
        <v>3856</v>
      </c>
      <c r="H603" t="s">
        <v>22</v>
      </c>
      <c r="I603">
        <v>1085252484</v>
      </c>
      <c r="J603" t="s">
        <v>4208</v>
      </c>
      <c r="P603" t="s">
        <v>4273</v>
      </c>
      <c r="Q603" s="8">
        <v>31500000</v>
      </c>
      <c r="R603" s="8" t="e">
        <f>SUMIFS([1]REPORTADOS!$D$2:$D$3379,[1]REPORTADOS!$C$2:$C$3379,E603)</f>
        <v>#VALUE!</v>
      </c>
    </row>
    <row r="604" spans="1:18" x14ac:dyDescent="0.25">
      <c r="A604">
        <v>900091143</v>
      </c>
      <c r="B604" t="s">
        <v>3965</v>
      </c>
      <c r="C604" t="s">
        <v>3857</v>
      </c>
      <c r="E604" t="s">
        <v>3857</v>
      </c>
      <c r="H604" t="s">
        <v>22</v>
      </c>
      <c r="I604">
        <v>1085310394</v>
      </c>
      <c r="J604" t="s">
        <v>4209</v>
      </c>
      <c r="P604" t="s">
        <v>4322</v>
      </c>
      <c r="Q604" s="8">
        <v>23400000</v>
      </c>
      <c r="R604" s="8" t="e">
        <f>SUMIFS([1]REPORTADOS!$D$2:$D$3379,[1]REPORTADOS!$C$2:$C$3379,E604)</f>
        <v>#VALUE!</v>
      </c>
    </row>
    <row r="605" spans="1:18" x14ac:dyDescent="0.25">
      <c r="A605">
        <v>900091143</v>
      </c>
      <c r="B605" t="s">
        <v>3965</v>
      </c>
      <c r="C605" t="s">
        <v>3858</v>
      </c>
      <c r="E605" t="s">
        <v>3858</v>
      </c>
      <c r="H605" t="s">
        <v>22</v>
      </c>
      <c r="I605">
        <v>1086224323</v>
      </c>
      <c r="J605" t="s">
        <v>4210</v>
      </c>
      <c r="P605" t="s">
        <v>4273</v>
      </c>
      <c r="Q605" s="8">
        <v>15750000</v>
      </c>
      <c r="R605" s="8" t="e">
        <f>SUMIFS([1]REPORTADOS!$D$2:$D$3379,[1]REPORTADOS!$C$2:$C$3379,E605)</f>
        <v>#VALUE!</v>
      </c>
    </row>
    <row r="606" spans="1:18" x14ac:dyDescent="0.25">
      <c r="A606">
        <v>900091143</v>
      </c>
      <c r="B606" t="s">
        <v>3965</v>
      </c>
      <c r="C606" t="s">
        <v>3859</v>
      </c>
      <c r="E606" t="s">
        <v>3859</v>
      </c>
      <c r="H606" t="s">
        <v>22</v>
      </c>
      <c r="I606">
        <v>1086362994</v>
      </c>
      <c r="J606" t="s">
        <v>2211</v>
      </c>
      <c r="P606" t="s">
        <v>4273</v>
      </c>
      <c r="Q606" s="8">
        <v>15750000</v>
      </c>
      <c r="R606" s="8" t="e">
        <f>SUMIFS([1]REPORTADOS!$D$2:$D$3379,[1]REPORTADOS!$C$2:$C$3379,E606)</f>
        <v>#VALUE!</v>
      </c>
    </row>
    <row r="607" spans="1:18" x14ac:dyDescent="0.25">
      <c r="A607">
        <v>900091143</v>
      </c>
      <c r="B607" t="s">
        <v>3965</v>
      </c>
      <c r="C607" t="s">
        <v>3860</v>
      </c>
      <c r="E607" t="s">
        <v>3860</v>
      </c>
      <c r="H607" t="s">
        <v>22</v>
      </c>
      <c r="I607">
        <v>36951884</v>
      </c>
      <c r="J607" t="s">
        <v>4211</v>
      </c>
      <c r="P607" t="s">
        <v>4273</v>
      </c>
      <c r="Q607" s="8">
        <v>15750000</v>
      </c>
      <c r="R607" s="8" t="e">
        <f>SUMIFS([1]REPORTADOS!$D$2:$D$3379,[1]REPORTADOS!$C$2:$C$3379,E607)</f>
        <v>#VALUE!</v>
      </c>
    </row>
    <row r="608" spans="1:18" x14ac:dyDescent="0.25">
      <c r="A608">
        <v>900091143</v>
      </c>
      <c r="B608" t="s">
        <v>3965</v>
      </c>
      <c r="C608" t="s">
        <v>3861</v>
      </c>
      <c r="E608" t="s">
        <v>3861</v>
      </c>
      <c r="H608" t="s">
        <v>22</v>
      </c>
      <c r="I608">
        <v>1085311576</v>
      </c>
      <c r="J608" t="s">
        <v>4212</v>
      </c>
      <c r="P608" t="s">
        <v>4273</v>
      </c>
      <c r="Q608" s="8">
        <v>15750000</v>
      </c>
      <c r="R608" s="8" t="e">
        <f>SUMIFS([1]REPORTADOS!$D$2:$D$3379,[1]REPORTADOS!$C$2:$C$3379,E608)</f>
        <v>#VALUE!</v>
      </c>
    </row>
    <row r="609" spans="1:18" x14ac:dyDescent="0.25">
      <c r="A609">
        <v>900091143</v>
      </c>
      <c r="B609" t="s">
        <v>3965</v>
      </c>
      <c r="C609" t="s">
        <v>3862</v>
      </c>
      <c r="E609" t="s">
        <v>3862</v>
      </c>
      <c r="H609" t="s">
        <v>22</v>
      </c>
      <c r="I609">
        <v>27444591</v>
      </c>
      <c r="J609" t="s">
        <v>4042</v>
      </c>
      <c r="P609" t="s">
        <v>4273</v>
      </c>
      <c r="Q609" s="8">
        <v>15750000</v>
      </c>
      <c r="R609" s="8" t="e">
        <f>SUMIFS([1]REPORTADOS!$D$2:$D$3379,[1]REPORTADOS!$C$2:$C$3379,E609)</f>
        <v>#VALUE!</v>
      </c>
    </row>
    <row r="610" spans="1:18" x14ac:dyDescent="0.25">
      <c r="A610">
        <v>900091143</v>
      </c>
      <c r="B610" t="s">
        <v>3965</v>
      </c>
      <c r="C610" t="s">
        <v>3863</v>
      </c>
      <c r="E610" t="s">
        <v>3863</v>
      </c>
      <c r="H610" t="s">
        <v>22</v>
      </c>
      <c r="I610">
        <v>1081276122</v>
      </c>
      <c r="J610" t="s">
        <v>4213</v>
      </c>
      <c r="P610" t="s">
        <v>4273</v>
      </c>
      <c r="Q610" s="8">
        <v>15750000</v>
      </c>
      <c r="R610" s="8" t="e">
        <f>SUMIFS([1]REPORTADOS!$D$2:$D$3379,[1]REPORTADOS!$C$2:$C$3379,E610)</f>
        <v>#VALUE!</v>
      </c>
    </row>
    <row r="611" spans="1:18" x14ac:dyDescent="0.25">
      <c r="A611">
        <v>900091143</v>
      </c>
      <c r="B611" t="s">
        <v>3965</v>
      </c>
      <c r="C611" t="s">
        <v>3864</v>
      </c>
      <c r="E611" t="s">
        <v>3864</v>
      </c>
      <c r="H611" t="s">
        <v>22</v>
      </c>
      <c r="I611">
        <v>1084551863</v>
      </c>
      <c r="J611" t="s">
        <v>4106</v>
      </c>
      <c r="P611" t="s">
        <v>4273</v>
      </c>
      <c r="Q611" s="8">
        <v>6300000</v>
      </c>
      <c r="R611" s="8" t="e">
        <f>SUMIFS([1]REPORTADOS!$D$2:$D$3379,[1]REPORTADOS!$C$2:$C$3379,E611)</f>
        <v>#VALUE!</v>
      </c>
    </row>
    <row r="612" spans="1:18" x14ac:dyDescent="0.25">
      <c r="A612">
        <v>900091143</v>
      </c>
      <c r="B612" t="s">
        <v>3965</v>
      </c>
      <c r="C612" t="s">
        <v>3865</v>
      </c>
      <c r="E612" t="s">
        <v>3865</v>
      </c>
      <c r="H612" t="s">
        <v>22</v>
      </c>
      <c r="I612">
        <v>1004696654</v>
      </c>
      <c r="J612" t="s">
        <v>4214</v>
      </c>
      <c r="P612" t="s">
        <v>4273</v>
      </c>
      <c r="Q612" s="8">
        <v>31500000</v>
      </c>
      <c r="R612" s="8" t="e">
        <f>SUMIFS([1]REPORTADOS!$D$2:$D$3379,[1]REPORTADOS!$C$2:$C$3379,E612)</f>
        <v>#VALUE!</v>
      </c>
    </row>
    <row r="613" spans="1:18" x14ac:dyDescent="0.25">
      <c r="A613">
        <v>900091143</v>
      </c>
      <c r="B613" t="s">
        <v>3965</v>
      </c>
      <c r="C613" t="s">
        <v>3866</v>
      </c>
      <c r="E613" t="s">
        <v>3866</v>
      </c>
      <c r="H613" t="s">
        <v>22</v>
      </c>
      <c r="I613">
        <v>1085274738</v>
      </c>
      <c r="J613" t="s">
        <v>4215</v>
      </c>
      <c r="P613" t="s">
        <v>4322</v>
      </c>
      <c r="Q613" s="8">
        <v>14190000</v>
      </c>
      <c r="R613" s="8" t="e">
        <f>SUMIFS([1]REPORTADOS!$D$2:$D$3379,[1]REPORTADOS!$C$2:$C$3379,E613)</f>
        <v>#VALUE!</v>
      </c>
    </row>
    <row r="614" spans="1:18" x14ac:dyDescent="0.25">
      <c r="A614">
        <v>900091143</v>
      </c>
      <c r="B614" t="s">
        <v>3965</v>
      </c>
      <c r="C614" t="s">
        <v>3867</v>
      </c>
      <c r="E614" t="s">
        <v>3867</v>
      </c>
      <c r="H614" t="s">
        <v>22</v>
      </c>
      <c r="I614">
        <v>59123038</v>
      </c>
      <c r="J614" t="s">
        <v>4216</v>
      </c>
      <c r="P614" t="s">
        <v>4273</v>
      </c>
      <c r="Q614" s="8">
        <v>15750000</v>
      </c>
      <c r="R614" s="8" t="e">
        <f>SUMIFS([1]REPORTADOS!$D$2:$D$3379,[1]REPORTADOS!$C$2:$C$3379,E614)</f>
        <v>#VALUE!</v>
      </c>
    </row>
    <row r="615" spans="1:18" x14ac:dyDescent="0.25">
      <c r="A615">
        <v>900091143</v>
      </c>
      <c r="B615" t="s">
        <v>3965</v>
      </c>
      <c r="C615" t="s">
        <v>3868</v>
      </c>
      <c r="E615" t="s">
        <v>3868</v>
      </c>
      <c r="H615" t="s">
        <v>22</v>
      </c>
      <c r="I615">
        <v>1137089261</v>
      </c>
      <c r="J615" t="s">
        <v>4217</v>
      </c>
      <c r="P615" t="s">
        <v>4273</v>
      </c>
      <c r="Q615" s="8">
        <v>15750000</v>
      </c>
      <c r="R615" s="8" t="e">
        <f>SUMIFS([1]REPORTADOS!$D$2:$D$3379,[1]REPORTADOS!$C$2:$C$3379,E615)</f>
        <v>#VALUE!</v>
      </c>
    </row>
    <row r="616" spans="1:18" x14ac:dyDescent="0.25">
      <c r="A616">
        <v>900091143</v>
      </c>
      <c r="B616" t="s">
        <v>3965</v>
      </c>
      <c r="C616" t="s">
        <v>3869</v>
      </c>
      <c r="E616" t="s">
        <v>3869</v>
      </c>
      <c r="H616" t="s">
        <v>22</v>
      </c>
      <c r="I616">
        <v>1086222412</v>
      </c>
      <c r="J616" t="s">
        <v>4218</v>
      </c>
      <c r="P616" t="s">
        <v>4273</v>
      </c>
      <c r="Q616" s="8">
        <v>15750000</v>
      </c>
      <c r="R616" s="8" t="e">
        <f>SUMIFS([1]REPORTADOS!$D$2:$D$3379,[1]REPORTADOS!$C$2:$C$3379,E616)</f>
        <v>#VALUE!</v>
      </c>
    </row>
    <row r="617" spans="1:18" x14ac:dyDescent="0.25">
      <c r="A617">
        <v>900091143</v>
      </c>
      <c r="B617" t="s">
        <v>3965</v>
      </c>
      <c r="C617" t="s">
        <v>3870</v>
      </c>
      <c r="E617" t="s">
        <v>3870</v>
      </c>
      <c r="H617" t="s">
        <v>22</v>
      </c>
      <c r="I617">
        <v>1089197187</v>
      </c>
      <c r="J617" t="s">
        <v>4219</v>
      </c>
      <c r="P617" t="s">
        <v>4273</v>
      </c>
      <c r="Q617" s="8">
        <v>15750000</v>
      </c>
      <c r="R617" s="8" t="e">
        <f>SUMIFS([1]REPORTADOS!$D$2:$D$3379,[1]REPORTADOS!$C$2:$C$3379,E617)</f>
        <v>#VALUE!</v>
      </c>
    </row>
    <row r="618" spans="1:18" x14ac:dyDescent="0.25">
      <c r="A618">
        <v>900091143</v>
      </c>
      <c r="B618" t="s">
        <v>3965</v>
      </c>
      <c r="C618" t="s">
        <v>3871</v>
      </c>
      <c r="E618" t="s">
        <v>3871</v>
      </c>
      <c r="H618" t="s">
        <v>22</v>
      </c>
      <c r="I618">
        <v>1086223716</v>
      </c>
      <c r="J618" t="s">
        <v>4220</v>
      </c>
      <c r="P618" t="s">
        <v>4273</v>
      </c>
      <c r="Q618" s="8">
        <v>15750000</v>
      </c>
      <c r="R618" s="8" t="e">
        <f>SUMIFS([1]REPORTADOS!$D$2:$D$3379,[1]REPORTADOS!$C$2:$C$3379,E618)</f>
        <v>#VALUE!</v>
      </c>
    </row>
    <row r="619" spans="1:18" x14ac:dyDescent="0.25">
      <c r="A619">
        <v>900091143</v>
      </c>
      <c r="B619" t="s">
        <v>3965</v>
      </c>
      <c r="C619" t="s">
        <v>3872</v>
      </c>
      <c r="E619" t="s">
        <v>3872</v>
      </c>
      <c r="H619" t="s">
        <v>22</v>
      </c>
      <c r="I619">
        <v>1086225739</v>
      </c>
      <c r="J619" t="s">
        <v>4221</v>
      </c>
      <c r="P619" t="s">
        <v>4273</v>
      </c>
      <c r="Q619" s="8">
        <v>15750000</v>
      </c>
      <c r="R619" s="8" t="e">
        <f>SUMIFS([1]REPORTADOS!$D$2:$D$3379,[1]REPORTADOS!$C$2:$C$3379,E619)</f>
        <v>#VALUE!</v>
      </c>
    </row>
    <row r="620" spans="1:18" x14ac:dyDescent="0.25">
      <c r="A620">
        <v>900091143</v>
      </c>
      <c r="B620" t="s">
        <v>3965</v>
      </c>
      <c r="C620" t="s">
        <v>3873</v>
      </c>
      <c r="E620" t="s">
        <v>3873</v>
      </c>
      <c r="H620" t="s">
        <v>22</v>
      </c>
      <c r="I620">
        <v>1193265831</v>
      </c>
      <c r="J620" t="s">
        <v>2461</v>
      </c>
      <c r="P620" t="s">
        <v>4273</v>
      </c>
      <c r="Q620" s="8">
        <v>15750000</v>
      </c>
      <c r="R620" s="8" t="e">
        <f>SUMIFS([1]REPORTADOS!$D$2:$D$3379,[1]REPORTADOS!$C$2:$C$3379,E620)</f>
        <v>#VALUE!</v>
      </c>
    </row>
    <row r="621" spans="1:18" x14ac:dyDescent="0.25">
      <c r="A621">
        <v>900091143</v>
      </c>
      <c r="B621" t="s">
        <v>3965</v>
      </c>
      <c r="C621" t="s">
        <v>3874</v>
      </c>
      <c r="E621" t="s">
        <v>3874</v>
      </c>
      <c r="H621" t="s">
        <v>22</v>
      </c>
      <c r="I621">
        <v>1086223925</v>
      </c>
      <c r="J621" t="s">
        <v>4222</v>
      </c>
      <c r="P621" t="s">
        <v>4273</v>
      </c>
      <c r="Q621" s="8">
        <v>15750000</v>
      </c>
      <c r="R621" s="8" t="e">
        <f>SUMIFS([1]REPORTADOS!$D$2:$D$3379,[1]REPORTADOS!$C$2:$C$3379,E621)</f>
        <v>#VALUE!</v>
      </c>
    </row>
    <row r="622" spans="1:18" x14ac:dyDescent="0.25">
      <c r="A622">
        <v>900091143</v>
      </c>
      <c r="B622" t="s">
        <v>3965</v>
      </c>
      <c r="C622" t="s">
        <v>3875</v>
      </c>
      <c r="E622" t="s">
        <v>3875</v>
      </c>
      <c r="H622" t="s">
        <v>22</v>
      </c>
      <c r="I622">
        <v>1089844032</v>
      </c>
      <c r="J622" t="s">
        <v>4223</v>
      </c>
      <c r="P622" t="s">
        <v>4273</v>
      </c>
      <c r="Q622" s="8">
        <v>31500000</v>
      </c>
      <c r="R622" s="8" t="e">
        <f>SUMIFS([1]REPORTADOS!$D$2:$D$3379,[1]REPORTADOS!$C$2:$C$3379,E622)</f>
        <v>#VALUE!</v>
      </c>
    </row>
    <row r="623" spans="1:18" x14ac:dyDescent="0.25">
      <c r="A623">
        <v>900091143</v>
      </c>
      <c r="B623" t="s">
        <v>3965</v>
      </c>
      <c r="C623" t="s">
        <v>3876</v>
      </c>
      <c r="E623" t="s">
        <v>3876</v>
      </c>
      <c r="H623" t="s">
        <v>22</v>
      </c>
      <c r="I623">
        <v>1004595921</v>
      </c>
      <c r="J623" t="s">
        <v>4224</v>
      </c>
      <c r="P623" t="s">
        <v>4273</v>
      </c>
      <c r="Q623" s="8">
        <v>15750000</v>
      </c>
      <c r="R623" s="8" t="e">
        <f>SUMIFS([1]REPORTADOS!$D$2:$D$3379,[1]REPORTADOS!$C$2:$C$3379,E623)</f>
        <v>#VALUE!</v>
      </c>
    </row>
    <row r="624" spans="1:18" x14ac:dyDescent="0.25">
      <c r="A624">
        <v>900091143</v>
      </c>
      <c r="B624" t="s">
        <v>3965</v>
      </c>
      <c r="C624" t="s">
        <v>3877</v>
      </c>
      <c r="E624" t="s">
        <v>3877</v>
      </c>
      <c r="H624" t="s">
        <v>22</v>
      </c>
      <c r="I624">
        <v>1233192618</v>
      </c>
      <c r="J624" t="s">
        <v>2185</v>
      </c>
      <c r="P624" t="s">
        <v>4322</v>
      </c>
      <c r="Q624" s="8">
        <v>4730000</v>
      </c>
      <c r="R624" s="8" t="e">
        <f>SUMIFS([1]REPORTADOS!$D$2:$D$3379,[1]REPORTADOS!$C$2:$C$3379,E624)</f>
        <v>#VALUE!</v>
      </c>
    </row>
    <row r="625" spans="1:18" x14ac:dyDescent="0.25">
      <c r="A625">
        <v>900091143</v>
      </c>
      <c r="B625" t="s">
        <v>3965</v>
      </c>
      <c r="C625" t="s">
        <v>3878</v>
      </c>
      <c r="E625" t="s">
        <v>3878</v>
      </c>
      <c r="H625" t="s">
        <v>22</v>
      </c>
      <c r="I625">
        <v>1193458466</v>
      </c>
      <c r="J625" t="s">
        <v>4225</v>
      </c>
      <c r="P625" t="s">
        <v>4273</v>
      </c>
      <c r="Q625" s="8">
        <v>15750000</v>
      </c>
      <c r="R625" s="8" t="e">
        <f>SUMIFS([1]REPORTADOS!$D$2:$D$3379,[1]REPORTADOS!$C$2:$C$3379,E625)</f>
        <v>#VALUE!</v>
      </c>
    </row>
    <row r="626" spans="1:18" x14ac:dyDescent="0.25">
      <c r="A626">
        <v>900091143</v>
      </c>
      <c r="B626" t="s">
        <v>3965</v>
      </c>
      <c r="C626" t="s">
        <v>3879</v>
      </c>
      <c r="E626" t="s">
        <v>3879</v>
      </c>
      <c r="H626" t="s">
        <v>22</v>
      </c>
      <c r="I626">
        <v>27110237</v>
      </c>
      <c r="J626" t="s">
        <v>4226</v>
      </c>
      <c r="P626" t="s">
        <v>4273</v>
      </c>
      <c r="Q626" s="8">
        <v>15750000</v>
      </c>
      <c r="R626" s="8" t="e">
        <f>SUMIFS([1]REPORTADOS!$D$2:$D$3379,[1]REPORTADOS!$C$2:$C$3379,E626)</f>
        <v>#VALUE!</v>
      </c>
    </row>
    <row r="627" spans="1:18" x14ac:dyDescent="0.25">
      <c r="A627">
        <v>900091143</v>
      </c>
      <c r="B627" t="s">
        <v>3965</v>
      </c>
      <c r="C627" t="s">
        <v>3880</v>
      </c>
      <c r="E627" t="s">
        <v>3880</v>
      </c>
      <c r="H627" t="s">
        <v>22</v>
      </c>
      <c r="I627">
        <v>1004561553</v>
      </c>
      <c r="J627" t="s">
        <v>4227</v>
      </c>
      <c r="P627" t="s">
        <v>4322</v>
      </c>
      <c r="Q627" s="8">
        <v>23400000</v>
      </c>
      <c r="R627" s="8" t="e">
        <f>SUMIFS([1]REPORTADOS!$D$2:$D$3379,[1]REPORTADOS!$C$2:$C$3379,E627)</f>
        <v>#VALUE!</v>
      </c>
    </row>
    <row r="628" spans="1:18" x14ac:dyDescent="0.25">
      <c r="A628">
        <v>900091143</v>
      </c>
      <c r="B628" t="s">
        <v>3965</v>
      </c>
      <c r="C628" t="s">
        <v>3881</v>
      </c>
      <c r="E628" t="s">
        <v>3881</v>
      </c>
      <c r="H628" t="s">
        <v>22</v>
      </c>
      <c r="I628">
        <v>1087119615</v>
      </c>
      <c r="J628" t="s">
        <v>4228</v>
      </c>
      <c r="P628" t="s">
        <v>4322</v>
      </c>
      <c r="Q628" s="8">
        <v>14190000</v>
      </c>
      <c r="R628" s="8" t="e">
        <f>SUMIFS([1]REPORTADOS!$D$2:$D$3379,[1]REPORTADOS!$C$2:$C$3379,E628)</f>
        <v>#VALUE!</v>
      </c>
    </row>
    <row r="629" spans="1:18" x14ac:dyDescent="0.25">
      <c r="A629">
        <v>900091143</v>
      </c>
      <c r="B629" t="s">
        <v>3965</v>
      </c>
      <c r="C629" t="s">
        <v>3882</v>
      </c>
      <c r="E629" t="s">
        <v>3882</v>
      </c>
      <c r="H629" t="s">
        <v>22</v>
      </c>
      <c r="I629">
        <v>27090131</v>
      </c>
      <c r="J629" t="s">
        <v>4229</v>
      </c>
      <c r="P629" t="s">
        <v>4273</v>
      </c>
      <c r="Q629" s="8">
        <v>15750000</v>
      </c>
      <c r="R629" s="8" t="e">
        <f>SUMIFS([1]REPORTADOS!$D$2:$D$3379,[1]REPORTADOS!$C$2:$C$3379,E629)</f>
        <v>#VALUE!</v>
      </c>
    </row>
    <row r="630" spans="1:18" x14ac:dyDescent="0.25">
      <c r="A630">
        <v>900091143</v>
      </c>
      <c r="B630" t="s">
        <v>3965</v>
      </c>
      <c r="C630" t="s">
        <v>3883</v>
      </c>
      <c r="E630" t="s">
        <v>3883</v>
      </c>
      <c r="H630" t="s">
        <v>22</v>
      </c>
      <c r="I630">
        <v>1004216587</v>
      </c>
      <c r="J630" t="s">
        <v>4230</v>
      </c>
      <c r="P630" t="s">
        <v>4273</v>
      </c>
      <c r="Q630" s="8">
        <v>15750000</v>
      </c>
      <c r="R630" s="8" t="e">
        <f>SUMIFS([1]REPORTADOS!$D$2:$D$3379,[1]REPORTADOS!$C$2:$C$3379,E630)</f>
        <v>#VALUE!</v>
      </c>
    </row>
    <row r="631" spans="1:18" x14ac:dyDescent="0.25">
      <c r="A631">
        <v>900091143</v>
      </c>
      <c r="B631" t="s">
        <v>3965</v>
      </c>
      <c r="C631" t="s">
        <v>3884</v>
      </c>
      <c r="E631" t="s">
        <v>3884</v>
      </c>
      <c r="H631" t="s">
        <v>22</v>
      </c>
      <c r="I631">
        <v>1233190640</v>
      </c>
      <c r="J631" t="s">
        <v>3993</v>
      </c>
      <c r="P631" t="s">
        <v>4274</v>
      </c>
      <c r="Q631" s="8">
        <v>6000000</v>
      </c>
      <c r="R631" s="8" t="e">
        <f>SUMIFS([1]REPORTADOS!$D$2:$D$3379,[1]REPORTADOS!$C$2:$C$3379,E631)</f>
        <v>#VALUE!</v>
      </c>
    </row>
    <row r="632" spans="1:18" x14ac:dyDescent="0.25">
      <c r="A632">
        <v>900091143</v>
      </c>
      <c r="B632" t="s">
        <v>3965</v>
      </c>
      <c r="C632" t="s">
        <v>3885</v>
      </c>
      <c r="E632" t="s">
        <v>3885</v>
      </c>
      <c r="H632" t="s">
        <v>22</v>
      </c>
      <c r="I632">
        <v>1085329230</v>
      </c>
      <c r="J632" t="s">
        <v>4231</v>
      </c>
      <c r="P632" t="s">
        <v>4322</v>
      </c>
      <c r="Q632" s="8">
        <v>23400000</v>
      </c>
      <c r="R632" s="8" t="e">
        <f>SUMIFS([1]REPORTADOS!$D$2:$D$3379,[1]REPORTADOS!$C$2:$C$3379,E632)</f>
        <v>#VALUE!</v>
      </c>
    </row>
    <row r="633" spans="1:18" x14ac:dyDescent="0.25">
      <c r="A633">
        <v>900091143</v>
      </c>
      <c r="B633" t="s">
        <v>3965</v>
      </c>
      <c r="C633" t="s">
        <v>3886</v>
      </c>
      <c r="E633" t="s">
        <v>3886</v>
      </c>
      <c r="H633" t="s">
        <v>22</v>
      </c>
      <c r="I633">
        <v>1085344098</v>
      </c>
      <c r="J633" t="s">
        <v>4232</v>
      </c>
      <c r="P633" t="s">
        <v>4273</v>
      </c>
      <c r="Q633" s="8">
        <v>18900000</v>
      </c>
      <c r="R633" s="8" t="e">
        <f>SUMIFS([1]REPORTADOS!$D$2:$D$3379,[1]REPORTADOS!$C$2:$C$3379,E633)</f>
        <v>#VALUE!</v>
      </c>
    </row>
    <row r="634" spans="1:18" x14ac:dyDescent="0.25">
      <c r="A634">
        <v>900091143</v>
      </c>
      <c r="B634" t="s">
        <v>3965</v>
      </c>
      <c r="C634" t="s">
        <v>3887</v>
      </c>
      <c r="E634" t="s">
        <v>3887</v>
      </c>
      <c r="H634" t="s">
        <v>22</v>
      </c>
      <c r="I634">
        <v>59314800</v>
      </c>
      <c r="J634" t="s">
        <v>4233</v>
      </c>
      <c r="P634" t="s">
        <v>4273</v>
      </c>
      <c r="Q634" s="8">
        <v>15750000</v>
      </c>
      <c r="R634" s="8" t="e">
        <f>SUMIFS([1]REPORTADOS!$D$2:$D$3379,[1]REPORTADOS!$C$2:$C$3379,E634)</f>
        <v>#VALUE!</v>
      </c>
    </row>
    <row r="635" spans="1:18" x14ac:dyDescent="0.25">
      <c r="A635">
        <v>900091143</v>
      </c>
      <c r="B635" t="s">
        <v>3965</v>
      </c>
      <c r="C635" t="s">
        <v>3888</v>
      </c>
      <c r="E635" t="s">
        <v>3888</v>
      </c>
      <c r="H635" t="s">
        <v>22</v>
      </c>
      <c r="I635">
        <v>1087645520</v>
      </c>
      <c r="J635" t="s">
        <v>4234</v>
      </c>
      <c r="P635" t="s">
        <v>4273</v>
      </c>
      <c r="Q635" s="8">
        <v>6300000</v>
      </c>
      <c r="R635" s="8" t="e">
        <f>SUMIFS([1]REPORTADOS!$D$2:$D$3379,[1]REPORTADOS!$C$2:$C$3379,E635)</f>
        <v>#VALUE!</v>
      </c>
    </row>
    <row r="636" spans="1:18" x14ac:dyDescent="0.25">
      <c r="A636">
        <v>900091143</v>
      </c>
      <c r="B636" t="s">
        <v>3965</v>
      </c>
      <c r="C636" t="s">
        <v>3889</v>
      </c>
      <c r="E636" t="s">
        <v>3889</v>
      </c>
      <c r="H636" t="s">
        <v>22</v>
      </c>
      <c r="I636">
        <v>1233188221</v>
      </c>
      <c r="J636" t="s">
        <v>3988</v>
      </c>
      <c r="P636" t="s">
        <v>4274</v>
      </c>
      <c r="Q636" s="8">
        <v>6000000</v>
      </c>
      <c r="R636" s="8" t="e">
        <f>SUMIFS([1]REPORTADOS!$D$2:$D$3379,[1]REPORTADOS!$C$2:$C$3379,E636)</f>
        <v>#VALUE!</v>
      </c>
    </row>
    <row r="637" spans="1:18" x14ac:dyDescent="0.25">
      <c r="A637">
        <v>900091143</v>
      </c>
      <c r="B637" t="s">
        <v>3965</v>
      </c>
      <c r="C637" t="s">
        <v>3890</v>
      </c>
      <c r="E637" t="s">
        <v>3890</v>
      </c>
      <c r="H637" t="s">
        <v>22</v>
      </c>
      <c r="I637">
        <v>1085318696</v>
      </c>
      <c r="J637" t="s">
        <v>4235</v>
      </c>
      <c r="P637" t="s">
        <v>4273</v>
      </c>
      <c r="Q637" s="8">
        <v>31500000</v>
      </c>
      <c r="R637" s="8" t="e">
        <f>SUMIFS([1]REPORTADOS!$D$2:$D$3379,[1]REPORTADOS!$C$2:$C$3379,E637)</f>
        <v>#VALUE!</v>
      </c>
    </row>
    <row r="638" spans="1:18" x14ac:dyDescent="0.25">
      <c r="A638">
        <v>900091143</v>
      </c>
      <c r="B638" t="s">
        <v>3965</v>
      </c>
      <c r="C638" t="s">
        <v>3891</v>
      </c>
      <c r="E638" t="s">
        <v>3891</v>
      </c>
      <c r="H638" t="s">
        <v>22</v>
      </c>
      <c r="I638">
        <v>1085283127</v>
      </c>
      <c r="J638" t="s">
        <v>4236</v>
      </c>
      <c r="P638" t="s">
        <v>4273</v>
      </c>
      <c r="Q638" s="8">
        <v>9450000</v>
      </c>
      <c r="R638" s="8" t="e">
        <f>SUMIFS([1]REPORTADOS!$D$2:$D$3379,[1]REPORTADOS!$C$2:$C$3379,E638)</f>
        <v>#VALUE!</v>
      </c>
    </row>
    <row r="639" spans="1:18" x14ac:dyDescent="0.25">
      <c r="A639">
        <v>900091143</v>
      </c>
      <c r="B639" t="s">
        <v>3965</v>
      </c>
      <c r="C639" t="s">
        <v>3892</v>
      </c>
      <c r="E639" t="s">
        <v>3892</v>
      </c>
      <c r="H639" t="s">
        <v>22</v>
      </c>
      <c r="I639">
        <v>1123327071</v>
      </c>
      <c r="J639" t="s">
        <v>4103</v>
      </c>
      <c r="P639" t="s">
        <v>4322</v>
      </c>
      <c r="Q639" s="8">
        <v>7800000</v>
      </c>
      <c r="R639" s="8" t="e">
        <f>SUMIFS([1]REPORTADOS!$D$2:$D$3379,[1]REPORTADOS!$C$2:$C$3379,E639)</f>
        <v>#VALUE!</v>
      </c>
    </row>
    <row r="640" spans="1:18" x14ac:dyDescent="0.25">
      <c r="A640">
        <v>900091143</v>
      </c>
      <c r="B640" t="s">
        <v>3965</v>
      </c>
      <c r="C640" t="s">
        <v>3893</v>
      </c>
      <c r="E640" t="s">
        <v>3893</v>
      </c>
      <c r="H640" t="s">
        <v>22</v>
      </c>
      <c r="I640">
        <v>98394398</v>
      </c>
      <c r="J640" t="s">
        <v>4237</v>
      </c>
      <c r="P640" t="s">
        <v>4273</v>
      </c>
      <c r="Q640" s="8">
        <v>18900000</v>
      </c>
      <c r="R640" s="8" t="e">
        <f>SUMIFS([1]REPORTADOS!$D$2:$D$3379,[1]REPORTADOS!$C$2:$C$3379,E640)</f>
        <v>#VALUE!</v>
      </c>
    </row>
    <row r="641" spans="1:18" x14ac:dyDescent="0.25">
      <c r="A641">
        <v>900091143</v>
      </c>
      <c r="B641" t="s">
        <v>3965</v>
      </c>
      <c r="C641" t="s">
        <v>3894</v>
      </c>
      <c r="E641" t="s">
        <v>3894</v>
      </c>
      <c r="H641" t="s">
        <v>22</v>
      </c>
      <c r="I641">
        <v>66958357</v>
      </c>
      <c r="J641" t="s">
        <v>4238</v>
      </c>
      <c r="P641" t="s">
        <v>4274</v>
      </c>
      <c r="Q641" s="8">
        <v>6000000</v>
      </c>
      <c r="R641" s="8" t="e">
        <f>SUMIFS([1]REPORTADOS!$D$2:$D$3379,[1]REPORTADOS!$C$2:$C$3379,E641)</f>
        <v>#VALUE!</v>
      </c>
    </row>
    <row r="642" spans="1:18" x14ac:dyDescent="0.25">
      <c r="A642">
        <v>900091143</v>
      </c>
      <c r="B642" t="s">
        <v>3965</v>
      </c>
      <c r="C642" t="s">
        <v>3895</v>
      </c>
      <c r="E642" t="s">
        <v>3895</v>
      </c>
      <c r="H642" t="s">
        <v>22</v>
      </c>
      <c r="I642">
        <v>1085307978</v>
      </c>
      <c r="J642" t="s">
        <v>4239</v>
      </c>
      <c r="P642" t="s">
        <v>4322</v>
      </c>
      <c r="Q642" s="8">
        <v>14190000</v>
      </c>
      <c r="R642" s="8" t="e">
        <f>SUMIFS([1]REPORTADOS!$D$2:$D$3379,[1]REPORTADOS!$C$2:$C$3379,E642)</f>
        <v>#VALUE!</v>
      </c>
    </row>
    <row r="643" spans="1:18" x14ac:dyDescent="0.25">
      <c r="A643">
        <v>900091143</v>
      </c>
      <c r="B643" t="s">
        <v>3965</v>
      </c>
      <c r="C643" t="s">
        <v>3896</v>
      </c>
      <c r="E643" t="s">
        <v>3896</v>
      </c>
      <c r="H643" t="s">
        <v>22</v>
      </c>
      <c r="I643">
        <v>1085328217</v>
      </c>
      <c r="J643" t="s">
        <v>4240</v>
      </c>
      <c r="P643" t="s">
        <v>4322</v>
      </c>
      <c r="Q643" s="8">
        <v>39000000</v>
      </c>
      <c r="R643" s="8" t="e">
        <f>SUMIFS([1]REPORTADOS!$D$2:$D$3379,[1]REPORTADOS!$C$2:$C$3379,E643)</f>
        <v>#VALUE!</v>
      </c>
    </row>
    <row r="644" spans="1:18" x14ac:dyDescent="0.25">
      <c r="A644">
        <v>900091143</v>
      </c>
      <c r="B644" t="s">
        <v>3965</v>
      </c>
      <c r="C644" t="s">
        <v>3897</v>
      </c>
      <c r="E644" t="s">
        <v>3897</v>
      </c>
      <c r="H644" t="s">
        <v>22</v>
      </c>
      <c r="I644">
        <v>1088738533</v>
      </c>
      <c r="J644" t="s">
        <v>4241</v>
      </c>
      <c r="P644" t="s">
        <v>4322</v>
      </c>
      <c r="Q644" s="8">
        <v>23650000</v>
      </c>
      <c r="R644" s="8" t="e">
        <f>SUMIFS([1]REPORTADOS!$D$2:$D$3379,[1]REPORTADOS!$C$2:$C$3379,E644)</f>
        <v>#VALUE!</v>
      </c>
    </row>
    <row r="645" spans="1:18" x14ac:dyDescent="0.25">
      <c r="A645">
        <v>900091143</v>
      </c>
      <c r="B645" t="s">
        <v>3965</v>
      </c>
      <c r="C645" t="s">
        <v>3898</v>
      </c>
      <c r="E645" t="s">
        <v>3898</v>
      </c>
      <c r="H645" t="s">
        <v>22</v>
      </c>
      <c r="I645">
        <v>59313415</v>
      </c>
      <c r="J645" t="s">
        <v>4104</v>
      </c>
      <c r="P645" t="s">
        <v>4322</v>
      </c>
      <c r="Q645" s="8">
        <v>7800000</v>
      </c>
      <c r="R645" s="8" t="e">
        <f>SUMIFS([1]REPORTADOS!$D$2:$D$3379,[1]REPORTADOS!$C$2:$C$3379,E645)</f>
        <v>#VALUE!</v>
      </c>
    </row>
    <row r="646" spans="1:18" x14ac:dyDescent="0.25">
      <c r="A646">
        <v>900091143</v>
      </c>
      <c r="B646" t="s">
        <v>3965</v>
      </c>
      <c r="C646" t="s">
        <v>3899</v>
      </c>
      <c r="E646" t="s">
        <v>3899</v>
      </c>
      <c r="H646" t="s">
        <v>22</v>
      </c>
      <c r="I646">
        <v>1085343081</v>
      </c>
      <c r="J646" t="s">
        <v>4242</v>
      </c>
      <c r="P646" t="s">
        <v>4322</v>
      </c>
      <c r="Q646" s="8">
        <v>14190000</v>
      </c>
      <c r="R646" s="8" t="e">
        <f>SUMIFS([1]REPORTADOS!$D$2:$D$3379,[1]REPORTADOS!$C$2:$C$3379,E646)</f>
        <v>#VALUE!</v>
      </c>
    </row>
    <row r="647" spans="1:18" x14ac:dyDescent="0.25">
      <c r="A647">
        <v>900091143</v>
      </c>
      <c r="B647" t="s">
        <v>3965</v>
      </c>
      <c r="C647" t="s">
        <v>3900</v>
      </c>
      <c r="E647" t="s">
        <v>3900</v>
      </c>
      <c r="H647" t="s">
        <v>22</v>
      </c>
      <c r="I647">
        <v>1081273836</v>
      </c>
      <c r="J647" t="s">
        <v>4243</v>
      </c>
      <c r="P647" t="s">
        <v>4273</v>
      </c>
      <c r="Q647" s="8">
        <v>15750000</v>
      </c>
      <c r="R647" s="8" t="e">
        <f>SUMIFS([1]REPORTADOS!$D$2:$D$3379,[1]REPORTADOS!$C$2:$C$3379,E647)</f>
        <v>#VALUE!</v>
      </c>
    </row>
    <row r="648" spans="1:18" x14ac:dyDescent="0.25">
      <c r="A648">
        <v>900091143</v>
      </c>
      <c r="B648" t="s">
        <v>3965</v>
      </c>
      <c r="C648" t="s">
        <v>3901</v>
      </c>
      <c r="E648" t="s">
        <v>3901</v>
      </c>
      <c r="H648" t="s">
        <v>22</v>
      </c>
      <c r="I648">
        <v>30723627</v>
      </c>
      <c r="J648" t="s">
        <v>4244</v>
      </c>
      <c r="P648" t="s">
        <v>4273</v>
      </c>
      <c r="Q648" s="8">
        <v>6300000</v>
      </c>
      <c r="R648" s="8" t="e">
        <f>SUMIFS([1]REPORTADOS!$D$2:$D$3379,[1]REPORTADOS!$C$2:$C$3379,E648)</f>
        <v>#VALUE!</v>
      </c>
    </row>
    <row r="649" spans="1:18" x14ac:dyDescent="0.25">
      <c r="A649">
        <v>900091143</v>
      </c>
      <c r="B649" t="s">
        <v>3965</v>
      </c>
      <c r="C649" t="s">
        <v>3902</v>
      </c>
      <c r="E649" t="s">
        <v>3902</v>
      </c>
      <c r="H649" t="s">
        <v>22</v>
      </c>
      <c r="I649">
        <v>37084485</v>
      </c>
      <c r="J649" t="s">
        <v>4245</v>
      </c>
      <c r="P649" t="s">
        <v>4273</v>
      </c>
      <c r="Q649" s="8">
        <v>18900000</v>
      </c>
      <c r="R649" s="8" t="e">
        <f>SUMIFS([1]REPORTADOS!$D$2:$D$3379,[1]REPORTADOS!$C$2:$C$3379,E649)</f>
        <v>#VALUE!</v>
      </c>
    </row>
    <row r="650" spans="1:18" x14ac:dyDescent="0.25">
      <c r="A650">
        <v>900091143</v>
      </c>
      <c r="B650" t="s">
        <v>3965</v>
      </c>
      <c r="C650" t="s">
        <v>3903</v>
      </c>
      <c r="E650" t="s">
        <v>3903</v>
      </c>
      <c r="H650" t="s">
        <v>22</v>
      </c>
      <c r="I650">
        <v>1080040525</v>
      </c>
      <c r="J650" t="s">
        <v>3982</v>
      </c>
      <c r="P650" t="s">
        <v>4274</v>
      </c>
      <c r="Q650" s="8">
        <v>6000000</v>
      </c>
      <c r="R650" s="8" t="e">
        <f>SUMIFS([1]REPORTADOS!$D$2:$D$3379,[1]REPORTADOS!$C$2:$C$3379,E650)</f>
        <v>#VALUE!</v>
      </c>
    </row>
    <row r="651" spans="1:18" x14ac:dyDescent="0.25">
      <c r="A651">
        <v>900091143</v>
      </c>
      <c r="B651" t="s">
        <v>3965</v>
      </c>
      <c r="C651" t="s">
        <v>3904</v>
      </c>
      <c r="E651" t="s">
        <v>3904</v>
      </c>
      <c r="H651" t="s">
        <v>22</v>
      </c>
      <c r="I651">
        <v>1004697868</v>
      </c>
      <c r="J651" t="s">
        <v>4246</v>
      </c>
      <c r="P651" t="s">
        <v>4273</v>
      </c>
      <c r="Q651" s="8">
        <v>18900000</v>
      </c>
      <c r="R651" s="8" t="e">
        <f>SUMIFS([1]REPORTADOS!$D$2:$D$3379,[1]REPORTADOS!$C$2:$C$3379,E651)</f>
        <v>#VALUE!</v>
      </c>
    </row>
    <row r="652" spans="1:18" x14ac:dyDescent="0.25">
      <c r="A652">
        <v>900091143</v>
      </c>
      <c r="B652" t="s">
        <v>3965</v>
      </c>
      <c r="C652" t="s">
        <v>3905</v>
      </c>
      <c r="E652" t="s">
        <v>3905</v>
      </c>
      <c r="H652" t="s">
        <v>22</v>
      </c>
      <c r="I652">
        <v>87065491</v>
      </c>
      <c r="J652" t="s">
        <v>4247</v>
      </c>
      <c r="P652" t="s">
        <v>4322</v>
      </c>
      <c r="Q652" s="8">
        <v>14190000</v>
      </c>
      <c r="R652" s="8" t="e">
        <f>SUMIFS([1]REPORTADOS!$D$2:$D$3379,[1]REPORTADOS!$C$2:$C$3379,E652)</f>
        <v>#VALUE!</v>
      </c>
    </row>
    <row r="653" spans="1:18" x14ac:dyDescent="0.25">
      <c r="A653">
        <v>900091143</v>
      </c>
      <c r="B653" t="s">
        <v>3965</v>
      </c>
      <c r="C653" t="s">
        <v>3906</v>
      </c>
      <c r="E653" t="s">
        <v>3906</v>
      </c>
      <c r="H653" t="s">
        <v>22</v>
      </c>
      <c r="I653">
        <v>37087117</v>
      </c>
      <c r="J653" t="s">
        <v>4053</v>
      </c>
      <c r="P653" t="s">
        <v>4273</v>
      </c>
      <c r="Q653" s="8">
        <v>3150000</v>
      </c>
      <c r="R653" s="8" t="e">
        <f>SUMIFS([1]REPORTADOS!$D$2:$D$3379,[1]REPORTADOS!$C$2:$C$3379,E653)</f>
        <v>#VALUE!</v>
      </c>
    </row>
    <row r="654" spans="1:18" x14ac:dyDescent="0.25">
      <c r="A654">
        <v>900091143</v>
      </c>
      <c r="B654" t="s">
        <v>3965</v>
      </c>
      <c r="C654" t="s">
        <v>3907</v>
      </c>
      <c r="E654" t="s">
        <v>3907</v>
      </c>
      <c r="H654" t="s">
        <v>22</v>
      </c>
      <c r="I654">
        <v>1193406111</v>
      </c>
      <c r="J654" t="s">
        <v>4248</v>
      </c>
      <c r="P654" t="s">
        <v>4322</v>
      </c>
      <c r="Q654" s="8">
        <v>7800000</v>
      </c>
      <c r="R654" s="8" t="e">
        <f>SUMIFS([1]REPORTADOS!$D$2:$D$3379,[1]REPORTADOS!$C$2:$C$3379,E654)</f>
        <v>#VALUE!</v>
      </c>
    </row>
    <row r="655" spans="1:18" x14ac:dyDescent="0.25">
      <c r="A655">
        <v>900091143</v>
      </c>
      <c r="B655" t="s">
        <v>3965</v>
      </c>
      <c r="C655" t="s">
        <v>3908</v>
      </c>
      <c r="E655" t="s">
        <v>3908</v>
      </c>
      <c r="H655" t="s">
        <v>22</v>
      </c>
      <c r="I655">
        <v>1085271641</v>
      </c>
      <c r="J655" t="s">
        <v>1727</v>
      </c>
      <c r="P655" t="s">
        <v>4273</v>
      </c>
      <c r="Q655" s="8">
        <v>9450000</v>
      </c>
      <c r="R655" s="8" t="e">
        <f>SUMIFS([1]REPORTADOS!$D$2:$D$3379,[1]REPORTADOS!$C$2:$C$3379,E655)</f>
        <v>#VALUE!</v>
      </c>
    </row>
    <row r="656" spans="1:18" x14ac:dyDescent="0.25">
      <c r="A656">
        <v>900091143</v>
      </c>
      <c r="B656" t="s">
        <v>3965</v>
      </c>
      <c r="C656" t="s">
        <v>3909</v>
      </c>
      <c r="E656" t="s">
        <v>3909</v>
      </c>
      <c r="H656" t="s">
        <v>22</v>
      </c>
      <c r="I656">
        <v>1004543158</v>
      </c>
      <c r="J656" t="s">
        <v>4249</v>
      </c>
      <c r="P656" t="s">
        <v>4273</v>
      </c>
      <c r="Q656" s="8">
        <v>9450000</v>
      </c>
      <c r="R656" s="8" t="e">
        <f>SUMIFS([1]REPORTADOS!$D$2:$D$3379,[1]REPORTADOS!$C$2:$C$3379,E656)</f>
        <v>#VALUE!</v>
      </c>
    </row>
    <row r="657" spans="1:18" x14ac:dyDescent="0.25">
      <c r="A657">
        <v>900091143</v>
      </c>
      <c r="B657" t="s">
        <v>3965</v>
      </c>
      <c r="C657" t="s">
        <v>3910</v>
      </c>
      <c r="E657" t="s">
        <v>3910</v>
      </c>
      <c r="H657" t="s">
        <v>22</v>
      </c>
      <c r="I657">
        <v>1085262812</v>
      </c>
      <c r="J657" t="s">
        <v>4250</v>
      </c>
      <c r="P657" t="s">
        <v>4322</v>
      </c>
      <c r="Q657" s="8">
        <v>7800000</v>
      </c>
      <c r="R657" s="8" t="e">
        <f>SUMIFS([1]REPORTADOS!$D$2:$D$3379,[1]REPORTADOS!$C$2:$C$3379,E657)</f>
        <v>#VALUE!</v>
      </c>
    </row>
    <row r="658" spans="1:18" x14ac:dyDescent="0.25">
      <c r="A658">
        <v>900091143</v>
      </c>
      <c r="B658" t="s">
        <v>3965</v>
      </c>
      <c r="C658" t="s">
        <v>3911</v>
      </c>
      <c r="E658" t="s">
        <v>3911</v>
      </c>
      <c r="H658" t="s">
        <v>22</v>
      </c>
      <c r="I658">
        <v>1007736489</v>
      </c>
      <c r="J658" t="s">
        <v>4251</v>
      </c>
      <c r="P658" t="s">
        <v>4322</v>
      </c>
      <c r="Q658" s="8">
        <v>7800000</v>
      </c>
      <c r="R658" s="8" t="e">
        <f>SUMIFS([1]REPORTADOS!$D$2:$D$3379,[1]REPORTADOS!$C$2:$C$3379,E658)</f>
        <v>#VALUE!</v>
      </c>
    </row>
    <row r="659" spans="1:18" x14ac:dyDescent="0.25">
      <c r="A659">
        <v>900091143</v>
      </c>
      <c r="B659" t="s">
        <v>3965</v>
      </c>
      <c r="C659" t="s">
        <v>3912</v>
      </c>
      <c r="E659" t="s">
        <v>3912</v>
      </c>
      <c r="H659" t="s">
        <v>22</v>
      </c>
      <c r="I659">
        <v>1085251979</v>
      </c>
      <c r="J659" t="s">
        <v>4252</v>
      </c>
      <c r="P659" t="s">
        <v>4322</v>
      </c>
      <c r="Q659" s="8">
        <v>14190000</v>
      </c>
      <c r="R659" s="8" t="e">
        <f>SUMIFS([1]REPORTADOS!$D$2:$D$3379,[1]REPORTADOS!$C$2:$C$3379,E659)</f>
        <v>#VALUE!</v>
      </c>
    </row>
    <row r="660" spans="1:18" x14ac:dyDescent="0.25">
      <c r="A660">
        <v>900091143</v>
      </c>
      <c r="B660" t="s">
        <v>3965</v>
      </c>
      <c r="C660" t="s">
        <v>3913</v>
      </c>
      <c r="E660" t="s">
        <v>3913</v>
      </c>
      <c r="H660" t="s">
        <v>22</v>
      </c>
      <c r="I660">
        <v>36757522</v>
      </c>
      <c r="J660" t="s">
        <v>2298</v>
      </c>
      <c r="P660" t="s">
        <v>4273</v>
      </c>
      <c r="Q660" s="8">
        <v>3150000</v>
      </c>
      <c r="R660" s="8" t="e">
        <f>SUMIFS([1]REPORTADOS!$D$2:$D$3379,[1]REPORTADOS!$C$2:$C$3379,E660)</f>
        <v>#VALUE!</v>
      </c>
    </row>
    <row r="661" spans="1:18" x14ac:dyDescent="0.25">
      <c r="A661">
        <v>900091143</v>
      </c>
      <c r="B661" t="s">
        <v>3965</v>
      </c>
      <c r="C661" t="s">
        <v>3914</v>
      </c>
      <c r="E661" t="s">
        <v>3914</v>
      </c>
      <c r="H661" t="s">
        <v>22</v>
      </c>
      <c r="I661">
        <v>1086224177</v>
      </c>
      <c r="J661" t="s">
        <v>4253</v>
      </c>
      <c r="P661" t="s">
        <v>4273</v>
      </c>
      <c r="Q661" s="8">
        <v>9450000</v>
      </c>
      <c r="R661" s="8" t="e">
        <f>SUMIFS([1]REPORTADOS!$D$2:$D$3379,[1]REPORTADOS!$C$2:$C$3379,E661)</f>
        <v>#VALUE!</v>
      </c>
    </row>
    <row r="662" spans="1:18" x14ac:dyDescent="0.25">
      <c r="A662">
        <v>900091143</v>
      </c>
      <c r="B662" t="s">
        <v>3965</v>
      </c>
      <c r="C662" t="s">
        <v>3915</v>
      </c>
      <c r="E662" t="s">
        <v>3915</v>
      </c>
      <c r="H662" t="s">
        <v>22</v>
      </c>
      <c r="I662">
        <v>1004189754</v>
      </c>
      <c r="J662" t="s">
        <v>4254</v>
      </c>
      <c r="P662" t="s">
        <v>4273</v>
      </c>
      <c r="Q662" s="8">
        <v>9450000</v>
      </c>
      <c r="R662" s="8" t="e">
        <f>SUMIFS([1]REPORTADOS!$D$2:$D$3379,[1]REPORTADOS!$C$2:$C$3379,E662)</f>
        <v>#VALUE!</v>
      </c>
    </row>
    <row r="663" spans="1:18" x14ac:dyDescent="0.25">
      <c r="A663">
        <v>900091143</v>
      </c>
      <c r="B663" t="s">
        <v>3965</v>
      </c>
      <c r="C663" t="s">
        <v>3916</v>
      </c>
      <c r="E663" t="s">
        <v>3916</v>
      </c>
      <c r="H663" t="s">
        <v>22</v>
      </c>
      <c r="I663">
        <v>1085291729</v>
      </c>
      <c r="J663" t="s">
        <v>4255</v>
      </c>
      <c r="P663" t="s">
        <v>4273</v>
      </c>
      <c r="Q663" s="8">
        <v>9450000</v>
      </c>
      <c r="R663" s="8" t="e">
        <f>SUMIFS([1]REPORTADOS!$D$2:$D$3379,[1]REPORTADOS!$C$2:$C$3379,E663)</f>
        <v>#VALUE!</v>
      </c>
    </row>
    <row r="664" spans="1:18" x14ac:dyDescent="0.25">
      <c r="A664">
        <v>900091143</v>
      </c>
      <c r="B664" t="s">
        <v>3965</v>
      </c>
      <c r="C664" t="s">
        <v>3917</v>
      </c>
      <c r="E664" t="s">
        <v>3917</v>
      </c>
      <c r="H664" t="s">
        <v>22</v>
      </c>
      <c r="I664">
        <v>1085347123</v>
      </c>
      <c r="J664" t="s">
        <v>4256</v>
      </c>
      <c r="P664" t="s">
        <v>4322</v>
      </c>
      <c r="Q664" s="8">
        <v>31200000</v>
      </c>
      <c r="R664" s="8" t="e">
        <f>SUMIFS([1]REPORTADOS!$D$2:$D$3379,[1]REPORTADOS!$C$2:$C$3379,E664)</f>
        <v>#VALUE!</v>
      </c>
    </row>
    <row r="665" spans="1:18" x14ac:dyDescent="0.25">
      <c r="A665">
        <v>900091143</v>
      </c>
      <c r="B665" t="s">
        <v>3965</v>
      </c>
      <c r="C665" t="s">
        <v>3918</v>
      </c>
      <c r="E665" t="s">
        <v>3918</v>
      </c>
      <c r="H665" t="s">
        <v>22</v>
      </c>
      <c r="I665">
        <v>1086360087</v>
      </c>
      <c r="J665" t="s">
        <v>4084</v>
      </c>
      <c r="P665" t="s">
        <v>4273</v>
      </c>
      <c r="Q665" s="8">
        <v>12600000</v>
      </c>
      <c r="R665" s="8" t="e">
        <f>SUMIFS([1]REPORTADOS!$D$2:$D$3379,[1]REPORTADOS!$C$2:$C$3379,E665)</f>
        <v>#VALUE!</v>
      </c>
    </row>
    <row r="666" spans="1:18" x14ac:dyDescent="0.25">
      <c r="A666">
        <v>900091143</v>
      </c>
      <c r="B666" t="s">
        <v>3965</v>
      </c>
      <c r="C666" t="s">
        <v>3919</v>
      </c>
      <c r="E666" t="s">
        <v>3919</v>
      </c>
      <c r="H666" t="s">
        <v>22</v>
      </c>
      <c r="I666">
        <v>27436186</v>
      </c>
      <c r="J666" t="s">
        <v>1954</v>
      </c>
      <c r="P666" t="s">
        <v>4273</v>
      </c>
      <c r="Q666" s="8">
        <v>6300000</v>
      </c>
      <c r="R666" s="8" t="e">
        <f>SUMIFS([1]REPORTADOS!$D$2:$D$3379,[1]REPORTADOS!$C$2:$C$3379,E666)</f>
        <v>#VALUE!</v>
      </c>
    </row>
    <row r="667" spans="1:18" x14ac:dyDescent="0.25">
      <c r="A667">
        <v>900091143</v>
      </c>
      <c r="B667" t="s">
        <v>3965</v>
      </c>
      <c r="C667" t="s">
        <v>3920</v>
      </c>
      <c r="E667" t="s">
        <v>3920</v>
      </c>
      <c r="H667" t="s">
        <v>22</v>
      </c>
      <c r="I667">
        <v>1085343154</v>
      </c>
      <c r="J667" t="s">
        <v>4061</v>
      </c>
      <c r="P667" t="s">
        <v>4273</v>
      </c>
      <c r="Q667" s="8">
        <v>9450000</v>
      </c>
      <c r="R667" s="8" t="e">
        <f>SUMIFS([1]REPORTADOS!$D$2:$D$3379,[1]REPORTADOS!$C$2:$C$3379,E667)</f>
        <v>#VALUE!</v>
      </c>
    </row>
    <row r="668" spans="1:18" x14ac:dyDescent="0.25">
      <c r="A668">
        <v>900091143</v>
      </c>
      <c r="B668" t="s">
        <v>3965</v>
      </c>
      <c r="C668" t="s">
        <v>3921</v>
      </c>
      <c r="E668" t="s">
        <v>3921</v>
      </c>
      <c r="H668" t="s">
        <v>22</v>
      </c>
      <c r="I668">
        <v>1085346528</v>
      </c>
      <c r="J668" t="s">
        <v>2621</v>
      </c>
      <c r="P668" t="s">
        <v>4273</v>
      </c>
      <c r="Q668" s="8">
        <v>9450000</v>
      </c>
      <c r="R668" s="8" t="e">
        <f>SUMIFS([1]REPORTADOS!$D$2:$D$3379,[1]REPORTADOS!$C$2:$C$3379,E668)</f>
        <v>#VALUE!</v>
      </c>
    </row>
    <row r="669" spans="1:18" x14ac:dyDescent="0.25">
      <c r="A669">
        <v>900091143</v>
      </c>
      <c r="B669" t="s">
        <v>3965</v>
      </c>
      <c r="C669" t="s">
        <v>3922</v>
      </c>
      <c r="E669" t="s">
        <v>3922</v>
      </c>
      <c r="H669" t="s">
        <v>22</v>
      </c>
      <c r="I669">
        <v>1086223270</v>
      </c>
      <c r="J669" t="s">
        <v>4257</v>
      </c>
      <c r="P669" t="s">
        <v>4273</v>
      </c>
      <c r="Q669" s="8">
        <v>9450000</v>
      </c>
      <c r="R669" s="8" t="e">
        <f>SUMIFS([1]REPORTADOS!$D$2:$D$3379,[1]REPORTADOS!$C$2:$C$3379,E669)</f>
        <v>#VALUE!</v>
      </c>
    </row>
    <row r="670" spans="1:18" x14ac:dyDescent="0.25">
      <c r="A670">
        <v>900091143</v>
      </c>
      <c r="B670" t="s">
        <v>3965</v>
      </c>
      <c r="C670" t="s">
        <v>3923</v>
      </c>
      <c r="E670" t="s">
        <v>3923</v>
      </c>
      <c r="H670" t="s">
        <v>22</v>
      </c>
      <c r="I670">
        <v>1084550836</v>
      </c>
      <c r="J670" t="s">
        <v>4258</v>
      </c>
      <c r="P670" t="s">
        <v>4273</v>
      </c>
      <c r="Q670" s="8">
        <v>9450000</v>
      </c>
      <c r="R670" s="8" t="e">
        <f>SUMIFS([1]REPORTADOS!$D$2:$D$3379,[1]REPORTADOS!$C$2:$C$3379,E670)</f>
        <v>#VALUE!</v>
      </c>
    </row>
    <row r="671" spans="1:18" x14ac:dyDescent="0.25">
      <c r="A671">
        <v>900091143</v>
      </c>
      <c r="B671" t="s">
        <v>3965</v>
      </c>
      <c r="C671" t="s">
        <v>3924</v>
      </c>
      <c r="E671" t="s">
        <v>3924</v>
      </c>
      <c r="H671" t="s">
        <v>22</v>
      </c>
      <c r="I671">
        <v>36757221</v>
      </c>
      <c r="J671" t="s">
        <v>2497</v>
      </c>
      <c r="P671" t="s">
        <v>4273</v>
      </c>
      <c r="Q671" s="8">
        <v>18900000</v>
      </c>
      <c r="R671" s="8" t="e">
        <f>SUMIFS([1]REPORTADOS!$D$2:$D$3379,[1]REPORTADOS!$C$2:$C$3379,E671)</f>
        <v>#VALUE!</v>
      </c>
    </row>
    <row r="672" spans="1:18" x14ac:dyDescent="0.25">
      <c r="A672">
        <v>900091143</v>
      </c>
      <c r="B672" t="s">
        <v>3965</v>
      </c>
      <c r="C672" t="s">
        <v>3925</v>
      </c>
      <c r="E672" t="s">
        <v>3925</v>
      </c>
      <c r="H672" t="s">
        <v>22</v>
      </c>
      <c r="I672">
        <v>59123136</v>
      </c>
      <c r="J672" t="s">
        <v>4259</v>
      </c>
      <c r="P672" t="s">
        <v>4273</v>
      </c>
      <c r="Q672" s="8">
        <v>6300000</v>
      </c>
      <c r="R672" s="8" t="e">
        <f>SUMIFS([1]REPORTADOS!$D$2:$D$3379,[1]REPORTADOS!$C$2:$C$3379,E672)</f>
        <v>#VALUE!</v>
      </c>
    </row>
    <row r="673" spans="1:18" x14ac:dyDescent="0.25">
      <c r="A673">
        <v>900091143</v>
      </c>
      <c r="B673" t="s">
        <v>3965</v>
      </c>
      <c r="C673" t="s">
        <v>3926</v>
      </c>
      <c r="E673" t="s">
        <v>3926</v>
      </c>
      <c r="H673" t="s">
        <v>22</v>
      </c>
      <c r="I673">
        <v>27456421</v>
      </c>
      <c r="J673" t="s">
        <v>4100</v>
      </c>
      <c r="P673" t="s">
        <v>4273</v>
      </c>
      <c r="Q673" s="8">
        <v>12600000</v>
      </c>
      <c r="R673" s="8" t="e">
        <f>SUMIFS([1]REPORTADOS!$D$2:$D$3379,[1]REPORTADOS!$C$2:$C$3379,E673)</f>
        <v>#VALUE!</v>
      </c>
    </row>
    <row r="674" spans="1:18" x14ac:dyDescent="0.25">
      <c r="A674">
        <v>900091143</v>
      </c>
      <c r="B674" t="s">
        <v>3965</v>
      </c>
      <c r="C674" t="s">
        <v>3927</v>
      </c>
      <c r="E674" t="s">
        <v>3927</v>
      </c>
      <c r="H674" t="s">
        <v>22</v>
      </c>
      <c r="I674">
        <v>1085246134</v>
      </c>
      <c r="J674" t="s">
        <v>4032</v>
      </c>
      <c r="P674" t="s">
        <v>4273</v>
      </c>
      <c r="Q674" s="8">
        <v>25200000</v>
      </c>
      <c r="R674" s="8" t="e">
        <f>SUMIFS([1]REPORTADOS!$D$2:$D$3379,[1]REPORTADOS!$C$2:$C$3379,E674)</f>
        <v>#VALUE!</v>
      </c>
    </row>
    <row r="675" spans="1:18" x14ac:dyDescent="0.25">
      <c r="A675">
        <v>900091143</v>
      </c>
      <c r="B675" t="s">
        <v>3965</v>
      </c>
      <c r="C675" t="s">
        <v>3928</v>
      </c>
      <c r="E675" t="s">
        <v>3928</v>
      </c>
      <c r="H675" t="s">
        <v>22</v>
      </c>
      <c r="I675">
        <v>59651018</v>
      </c>
      <c r="J675" t="s">
        <v>2569</v>
      </c>
      <c r="P675" t="s">
        <v>4322</v>
      </c>
      <c r="Q675" s="8">
        <v>18920000</v>
      </c>
      <c r="R675" s="8" t="e">
        <f>SUMIFS([1]REPORTADOS!$D$2:$D$3379,[1]REPORTADOS!$C$2:$C$3379,E675)</f>
        <v>#VALUE!</v>
      </c>
    </row>
    <row r="676" spans="1:18" x14ac:dyDescent="0.25">
      <c r="A676">
        <v>900091143</v>
      </c>
      <c r="B676" t="s">
        <v>3965</v>
      </c>
      <c r="C676" t="s">
        <v>3929</v>
      </c>
      <c r="E676" t="s">
        <v>3929</v>
      </c>
      <c r="H676" t="s">
        <v>22</v>
      </c>
      <c r="I676">
        <v>59830040</v>
      </c>
      <c r="J676" t="s">
        <v>2026</v>
      </c>
      <c r="P676" t="s">
        <v>4273</v>
      </c>
      <c r="Q676" s="8">
        <v>6300000</v>
      </c>
      <c r="R676" s="8" t="e">
        <f>SUMIFS([1]REPORTADOS!$D$2:$D$3379,[1]REPORTADOS!$C$2:$C$3379,E676)</f>
        <v>#VALUE!</v>
      </c>
    </row>
    <row r="677" spans="1:18" x14ac:dyDescent="0.25">
      <c r="A677">
        <v>900091143</v>
      </c>
      <c r="B677" t="s">
        <v>3965</v>
      </c>
      <c r="C677" t="s">
        <v>3930</v>
      </c>
      <c r="E677" t="s">
        <v>3930</v>
      </c>
      <c r="H677" t="s">
        <v>22</v>
      </c>
      <c r="I677">
        <v>1085254153</v>
      </c>
      <c r="J677" t="s">
        <v>2555</v>
      </c>
      <c r="P677" t="s">
        <v>4273</v>
      </c>
      <c r="Q677" s="8">
        <v>12600000</v>
      </c>
      <c r="R677" s="8" t="e">
        <f>SUMIFS([1]REPORTADOS!$D$2:$D$3379,[1]REPORTADOS!$C$2:$C$3379,E677)</f>
        <v>#VALUE!</v>
      </c>
    </row>
    <row r="678" spans="1:18" x14ac:dyDescent="0.25">
      <c r="A678">
        <v>900091143</v>
      </c>
      <c r="B678" t="s">
        <v>3965</v>
      </c>
      <c r="C678" t="s">
        <v>3931</v>
      </c>
      <c r="E678" t="s">
        <v>3931</v>
      </c>
      <c r="H678" t="s">
        <v>22</v>
      </c>
      <c r="I678">
        <v>1004339825</v>
      </c>
      <c r="J678" t="s">
        <v>4260</v>
      </c>
      <c r="P678" t="s">
        <v>4273</v>
      </c>
      <c r="Q678" s="8">
        <v>12600000</v>
      </c>
      <c r="R678" s="8" t="e">
        <f>SUMIFS([1]REPORTADOS!$D$2:$D$3379,[1]REPORTADOS!$C$2:$C$3379,E678)</f>
        <v>#VALUE!</v>
      </c>
    </row>
    <row r="679" spans="1:18" x14ac:dyDescent="0.25">
      <c r="A679">
        <v>900091143</v>
      </c>
      <c r="B679" t="s">
        <v>3965</v>
      </c>
      <c r="C679" t="s">
        <v>3932</v>
      </c>
      <c r="E679" t="s">
        <v>3932</v>
      </c>
      <c r="H679" t="s">
        <v>22</v>
      </c>
      <c r="I679">
        <v>1085333467</v>
      </c>
      <c r="J679" t="s">
        <v>4144</v>
      </c>
      <c r="P679" t="s">
        <v>4322</v>
      </c>
      <c r="Q679" s="8">
        <v>14190000</v>
      </c>
      <c r="R679" s="8" t="e">
        <f>SUMIFS([1]REPORTADOS!$D$2:$D$3379,[1]REPORTADOS!$C$2:$C$3379,E679)</f>
        <v>#VALUE!</v>
      </c>
    </row>
    <row r="680" spans="1:18" x14ac:dyDescent="0.25">
      <c r="A680">
        <v>900091143</v>
      </c>
      <c r="B680" t="s">
        <v>3965</v>
      </c>
      <c r="C680" t="s">
        <v>3933</v>
      </c>
      <c r="E680" t="s">
        <v>3933</v>
      </c>
      <c r="H680" t="s">
        <v>22</v>
      </c>
      <c r="I680">
        <v>59313528</v>
      </c>
      <c r="J680" t="s">
        <v>4261</v>
      </c>
      <c r="P680" t="s">
        <v>4273</v>
      </c>
      <c r="Q680" s="8">
        <v>18900000</v>
      </c>
      <c r="R680" s="8" t="e">
        <f>SUMIFS([1]REPORTADOS!$D$2:$D$3379,[1]REPORTADOS!$C$2:$C$3379,E680)</f>
        <v>#VALUE!</v>
      </c>
    </row>
    <row r="681" spans="1:18" x14ac:dyDescent="0.25">
      <c r="A681">
        <v>900091143</v>
      </c>
      <c r="B681" t="s">
        <v>3965</v>
      </c>
      <c r="C681" t="s">
        <v>3934</v>
      </c>
      <c r="E681" t="s">
        <v>3934</v>
      </c>
      <c r="H681" t="s">
        <v>22</v>
      </c>
      <c r="I681">
        <v>1004726621</v>
      </c>
      <c r="J681" t="s">
        <v>4038</v>
      </c>
      <c r="P681" t="s">
        <v>4273</v>
      </c>
      <c r="Q681" s="8">
        <v>12600000</v>
      </c>
      <c r="R681" s="8" t="e">
        <f>SUMIFS([1]REPORTADOS!$D$2:$D$3379,[1]REPORTADOS!$C$2:$C$3379,E681)</f>
        <v>#VALUE!</v>
      </c>
    </row>
    <row r="682" spans="1:18" x14ac:dyDescent="0.25">
      <c r="A682">
        <v>900091143</v>
      </c>
      <c r="B682" t="s">
        <v>3965</v>
      </c>
      <c r="C682" t="s">
        <v>3935</v>
      </c>
      <c r="E682" t="s">
        <v>3935</v>
      </c>
      <c r="H682" t="s">
        <v>22</v>
      </c>
      <c r="I682">
        <v>1085315209</v>
      </c>
      <c r="J682" t="s">
        <v>2644</v>
      </c>
      <c r="P682" t="s">
        <v>4273</v>
      </c>
      <c r="Q682" s="8">
        <v>12600000</v>
      </c>
      <c r="R682" s="8" t="e">
        <f>SUMIFS([1]REPORTADOS!$D$2:$D$3379,[1]REPORTADOS!$C$2:$C$3379,E682)</f>
        <v>#VALUE!</v>
      </c>
    </row>
    <row r="683" spans="1:18" x14ac:dyDescent="0.25">
      <c r="A683">
        <v>900091143</v>
      </c>
      <c r="B683" t="s">
        <v>3965</v>
      </c>
      <c r="C683" t="s">
        <v>3936</v>
      </c>
      <c r="E683" t="s">
        <v>3936</v>
      </c>
      <c r="H683" t="s">
        <v>22</v>
      </c>
      <c r="I683">
        <v>59813323</v>
      </c>
      <c r="J683" t="s">
        <v>1995</v>
      </c>
      <c r="P683" t="s">
        <v>4273</v>
      </c>
      <c r="Q683" s="8">
        <v>12600000</v>
      </c>
      <c r="R683" s="8" t="e">
        <f>SUMIFS([1]REPORTADOS!$D$2:$D$3379,[1]REPORTADOS!$C$2:$C$3379,E683)</f>
        <v>#VALUE!</v>
      </c>
    </row>
    <row r="684" spans="1:18" x14ac:dyDescent="0.25">
      <c r="A684">
        <v>900091143</v>
      </c>
      <c r="B684" t="s">
        <v>3965</v>
      </c>
      <c r="C684" t="s">
        <v>3937</v>
      </c>
      <c r="E684" t="s">
        <v>3937</v>
      </c>
      <c r="H684" t="s">
        <v>22</v>
      </c>
      <c r="I684">
        <v>1193035720</v>
      </c>
      <c r="J684" t="s">
        <v>4161</v>
      </c>
      <c r="P684" t="s">
        <v>4273</v>
      </c>
      <c r="Q684" s="8">
        <v>9450000</v>
      </c>
      <c r="R684" s="8" t="e">
        <f>SUMIFS([1]REPORTADOS!$D$2:$D$3379,[1]REPORTADOS!$C$2:$C$3379,E684)</f>
        <v>#VALUE!</v>
      </c>
    </row>
    <row r="685" spans="1:18" x14ac:dyDescent="0.25">
      <c r="A685">
        <v>900091143</v>
      </c>
      <c r="B685" t="s">
        <v>3965</v>
      </c>
      <c r="C685" t="s">
        <v>3938</v>
      </c>
      <c r="E685" t="s">
        <v>3938</v>
      </c>
      <c r="H685" t="s">
        <v>22</v>
      </c>
      <c r="I685">
        <v>1085277976</v>
      </c>
      <c r="J685" t="s">
        <v>2787</v>
      </c>
      <c r="P685" t="s">
        <v>4273</v>
      </c>
      <c r="Q685" s="8">
        <v>18900000</v>
      </c>
      <c r="R685" s="8" t="e">
        <f>SUMIFS([1]REPORTADOS!$D$2:$D$3379,[1]REPORTADOS!$C$2:$C$3379,E685)</f>
        <v>#VALUE!</v>
      </c>
    </row>
    <row r="686" spans="1:18" x14ac:dyDescent="0.25">
      <c r="A686">
        <v>900091143</v>
      </c>
      <c r="B686" t="s">
        <v>3965</v>
      </c>
      <c r="C686" t="s">
        <v>3939</v>
      </c>
      <c r="E686" t="s">
        <v>3939</v>
      </c>
      <c r="H686" t="s">
        <v>22</v>
      </c>
      <c r="I686">
        <v>1004437571</v>
      </c>
      <c r="J686" t="s">
        <v>2775</v>
      </c>
      <c r="P686" t="s">
        <v>4273</v>
      </c>
      <c r="Q686" s="8">
        <v>12600000</v>
      </c>
      <c r="R686" s="8" t="e">
        <f>SUMIFS([1]REPORTADOS!$D$2:$D$3379,[1]REPORTADOS!$C$2:$C$3379,E686)</f>
        <v>#VALUE!</v>
      </c>
    </row>
    <row r="687" spans="1:18" x14ac:dyDescent="0.25">
      <c r="A687">
        <v>900091143</v>
      </c>
      <c r="B687" t="s">
        <v>3965</v>
      </c>
      <c r="C687" t="s">
        <v>3940</v>
      </c>
      <c r="E687" t="s">
        <v>3940</v>
      </c>
      <c r="H687" t="s">
        <v>22</v>
      </c>
      <c r="I687">
        <v>59122805</v>
      </c>
      <c r="J687" t="s">
        <v>4049</v>
      </c>
      <c r="P687" t="s">
        <v>4273</v>
      </c>
      <c r="Q687" s="8">
        <v>12600000</v>
      </c>
      <c r="R687" s="8" t="e">
        <f>SUMIFS([1]REPORTADOS!$D$2:$D$3379,[1]REPORTADOS!$C$2:$C$3379,E687)</f>
        <v>#VALUE!</v>
      </c>
    </row>
    <row r="688" spans="1:18" x14ac:dyDescent="0.25">
      <c r="A688">
        <v>900091143</v>
      </c>
      <c r="B688" t="s">
        <v>3965</v>
      </c>
      <c r="C688" t="s">
        <v>3941</v>
      </c>
      <c r="E688" t="s">
        <v>3941</v>
      </c>
      <c r="H688" t="s">
        <v>22</v>
      </c>
      <c r="I688">
        <v>87030128</v>
      </c>
      <c r="J688" t="s">
        <v>2779</v>
      </c>
      <c r="P688" t="s">
        <v>4273</v>
      </c>
      <c r="Q688" s="8">
        <v>9450000</v>
      </c>
      <c r="R688" s="8" t="e">
        <f>SUMIFS([1]REPORTADOS!$D$2:$D$3379,[1]REPORTADOS!$C$2:$C$3379,E688)</f>
        <v>#VALUE!</v>
      </c>
    </row>
    <row r="689" spans="1:18" x14ac:dyDescent="0.25">
      <c r="A689">
        <v>900091143</v>
      </c>
      <c r="B689" t="s">
        <v>3965</v>
      </c>
      <c r="C689" t="s">
        <v>3942</v>
      </c>
      <c r="E689" t="s">
        <v>3942</v>
      </c>
      <c r="H689" t="s">
        <v>22</v>
      </c>
      <c r="I689">
        <v>1004134014</v>
      </c>
      <c r="J689" t="s">
        <v>4037</v>
      </c>
      <c r="P689" t="s">
        <v>4273</v>
      </c>
      <c r="Q689" s="8">
        <v>9450000</v>
      </c>
      <c r="R689" s="8" t="e">
        <f>SUMIFS([1]REPORTADOS!$D$2:$D$3379,[1]REPORTADOS!$C$2:$C$3379,E689)</f>
        <v>#VALUE!</v>
      </c>
    </row>
    <row r="690" spans="1:18" x14ac:dyDescent="0.25">
      <c r="A690">
        <v>900091143</v>
      </c>
      <c r="B690" t="s">
        <v>3965</v>
      </c>
      <c r="C690" t="s">
        <v>3943</v>
      </c>
      <c r="E690" t="s">
        <v>3943</v>
      </c>
      <c r="H690" t="s">
        <v>22</v>
      </c>
      <c r="I690">
        <v>1081572043</v>
      </c>
      <c r="J690" t="s">
        <v>1874</v>
      </c>
      <c r="P690" t="s">
        <v>4273</v>
      </c>
      <c r="Q690" s="8">
        <v>12600000</v>
      </c>
      <c r="R690" s="8" t="e">
        <f>SUMIFS([1]REPORTADOS!$D$2:$D$3379,[1]REPORTADOS!$C$2:$C$3379,E690)</f>
        <v>#VALUE!</v>
      </c>
    </row>
    <row r="691" spans="1:18" x14ac:dyDescent="0.25">
      <c r="A691">
        <v>900091143</v>
      </c>
      <c r="B691" t="s">
        <v>3965</v>
      </c>
      <c r="C691" t="s">
        <v>3944</v>
      </c>
      <c r="E691" t="s">
        <v>3944</v>
      </c>
      <c r="H691" t="s">
        <v>22</v>
      </c>
      <c r="I691">
        <v>36758868</v>
      </c>
      <c r="J691" t="s">
        <v>4262</v>
      </c>
      <c r="P691" t="s">
        <v>4273</v>
      </c>
      <c r="Q691" s="8">
        <v>9450000</v>
      </c>
      <c r="R691" s="8" t="e">
        <f>SUMIFS([1]REPORTADOS!$D$2:$D$3379,[1]REPORTADOS!$C$2:$C$3379,E691)</f>
        <v>#VALUE!</v>
      </c>
    </row>
    <row r="692" spans="1:18" x14ac:dyDescent="0.25">
      <c r="A692">
        <v>900091143</v>
      </c>
      <c r="B692" t="s">
        <v>3965</v>
      </c>
      <c r="C692" t="s">
        <v>3945</v>
      </c>
      <c r="E692" t="s">
        <v>3945</v>
      </c>
      <c r="H692" t="s">
        <v>22</v>
      </c>
      <c r="I692">
        <v>1053793750</v>
      </c>
      <c r="J692" t="s">
        <v>4108</v>
      </c>
      <c r="P692" t="s">
        <v>4273</v>
      </c>
      <c r="Q692" s="8">
        <v>18900000</v>
      </c>
      <c r="R692" s="8" t="e">
        <f>SUMIFS([1]REPORTADOS!$D$2:$D$3379,[1]REPORTADOS!$C$2:$C$3379,E692)</f>
        <v>#VALUE!</v>
      </c>
    </row>
    <row r="693" spans="1:18" x14ac:dyDescent="0.25">
      <c r="A693">
        <v>900091143</v>
      </c>
      <c r="B693" t="s">
        <v>3965</v>
      </c>
      <c r="C693" t="s">
        <v>3946</v>
      </c>
      <c r="E693" t="s">
        <v>3946</v>
      </c>
      <c r="H693" t="s">
        <v>22</v>
      </c>
      <c r="I693">
        <v>1086298268</v>
      </c>
      <c r="J693" t="s">
        <v>4263</v>
      </c>
      <c r="P693" t="s">
        <v>4273</v>
      </c>
      <c r="Q693" s="8">
        <v>9450000</v>
      </c>
      <c r="R693" s="8" t="e">
        <f>SUMIFS([1]REPORTADOS!$D$2:$D$3379,[1]REPORTADOS!$C$2:$C$3379,E693)</f>
        <v>#VALUE!</v>
      </c>
    </row>
    <row r="694" spans="1:18" x14ac:dyDescent="0.25">
      <c r="A694">
        <v>900091143</v>
      </c>
      <c r="B694" t="s">
        <v>3965</v>
      </c>
      <c r="C694" t="s">
        <v>3947</v>
      </c>
      <c r="E694" t="s">
        <v>3947</v>
      </c>
      <c r="H694" t="s">
        <v>22</v>
      </c>
      <c r="I694">
        <v>1004131976</v>
      </c>
      <c r="J694" t="s">
        <v>2339</v>
      </c>
      <c r="P694" t="s">
        <v>4273</v>
      </c>
      <c r="Q694" s="8">
        <v>9450000</v>
      </c>
      <c r="R694" s="8" t="e">
        <f>SUMIFS([1]REPORTADOS!$D$2:$D$3379,[1]REPORTADOS!$C$2:$C$3379,E694)</f>
        <v>#VALUE!</v>
      </c>
    </row>
    <row r="695" spans="1:18" x14ac:dyDescent="0.25">
      <c r="A695">
        <v>900091143</v>
      </c>
      <c r="B695" t="s">
        <v>3965</v>
      </c>
      <c r="C695" t="s">
        <v>3948</v>
      </c>
      <c r="E695" t="s">
        <v>3948</v>
      </c>
      <c r="H695" t="s">
        <v>22</v>
      </c>
      <c r="I695">
        <v>42144372</v>
      </c>
      <c r="J695" t="s">
        <v>4264</v>
      </c>
      <c r="P695" t="s">
        <v>4322</v>
      </c>
      <c r="Q695" s="8">
        <v>15600000</v>
      </c>
      <c r="R695" s="8" t="e">
        <f>SUMIFS([1]REPORTADOS!$D$2:$D$3379,[1]REPORTADOS!$C$2:$C$3379,E695)</f>
        <v>#VALUE!</v>
      </c>
    </row>
    <row r="696" spans="1:18" x14ac:dyDescent="0.25">
      <c r="A696">
        <v>900091143</v>
      </c>
      <c r="B696" t="s">
        <v>3965</v>
      </c>
      <c r="C696" t="s">
        <v>3949</v>
      </c>
      <c r="E696" t="s">
        <v>3949</v>
      </c>
      <c r="H696" t="s">
        <v>22</v>
      </c>
      <c r="I696">
        <v>87070742</v>
      </c>
      <c r="J696" t="s">
        <v>4133</v>
      </c>
      <c r="P696" t="s">
        <v>4274</v>
      </c>
      <c r="Q696" s="8">
        <v>2000000</v>
      </c>
      <c r="R696" s="8" t="e">
        <f>SUMIFS([1]REPORTADOS!$D$2:$D$3379,[1]REPORTADOS!$C$2:$C$3379,E696)</f>
        <v>#VALUE!</v>
      </c>
    </row>
    <row r="697" spans="1:18" x14ac:dyDescent="0.25">
      <c r="A697">
        <v>900091143</v>
      </c>
      <c r="B697" t="s">
        <v>3965</v>
      </c>
      <c r="C697" t="s">
        <v>3950</v>
      </c>
      <c r="E697" t="s">
        <v>3950</v>
      </c>
      <c r="H697" t="s">
        <v>22</v>
      </c>
      <c r="I697">
        <v>1233192104</v>
      </c>
      <c r="J697" t="s">
        <v>4000</v>
      </c>
      <c r="P697" t="s">
        <v>4273</v>
      </c>
      <c r="Q697" s="8">
        <v>6300000</v>
      </c>
      <c r="R697" s="8" t="e">
        <f>SUMIFS([1]REPORTADOS!$D$2:$D$3379,[1]REPORTADOS!$C$2:$C$3379,E697)</f>
        <v>#VALUE!</v>
      </c>
    </row>
    <row r="698" spans="1:18" x14ac:dyDescent="0.25">
      <c r="A698">
        <v>900091143</v>
      </c>
      <c r="B698" t="s">
        <v>3965</v>
      </c>
      <c r="C698" t="s">
        <v>3951</v>
      </c>
      <c r="E698" t="s">
        <v>3951</v>
      </c>
      <c r="H698" t="s">
        <v>22</v>
      </c>
      <c r="I698">
        <v>1085317652</v>
      </c>
      <c r="J698" t="s">
        <v>4265</v>
      </c>
      <c r="P698" t="s">
        <v>4273</v>
      </c>
      <c r="Q698" s="8">
        <v>11550000</v>
      </c>
      <c r="R698" s="8" t="e">
        <f>SUMIFS([1]REPORTADOS!$D$2:$D$3379,[1]REPORTADOS!$C$2:$C$3379,E698)</f>
        <v>#VALUE!</v>
      </c>
    </row>
    <row r="699" spans="1:18" x14ac:dyDescent="0.25">
      <c r="A699">
        <v>900091143</v>
      </c>
      <c r="B699" t="s">
        <v>3965</v>
      </c>
      <c r="C699" s="6" t="s">
        <v>3952</v>
      </c>
      <c r="E699" s="6" t="s">
        <v>3952</v>
      </c>
      <c r="H699" t="s">
        <v>38</v>
      </c>
      <c r="I699">
        <v>900752343</v>
      </c>
      <c r="J699" t="s">
        <v>4132</v>
      </c>
      <c r="P699" t="s">
        <v>4391</v>
      </c>
      <c r="Q699" s="15">
        <v>352600000</v>
      </c>
      <c r="R699" s="8" t="e">
        <f>SUMIFS([1]REPORTADOS!$D$2:$D$3379,[1]REPORTADOS!$C$2:$C$3379,E699)</f>
        <v>#VALUE!</v>
      </c>
    </row>
    <row r="700" spans="1:18" x14ac:dyDescent="0.25">
      <c r="A700">
        <v>900091143</v>
      </c>
      <c r="B700" t="s">
        <v>3965</v>
      </c>
      <c r="C700" t="s">
        <v>3953</v>
      </c>
      <c r="E700" t="s">
        <v>3953</v>
      </c>
      <c r="H700" t="s">
        <v>38</v>
      </c>
      <c r="I700">
        <v>900752343</v>
      </c>
      <c r="J700" t="s">
        <v>4132</v>
      </c>
      <c r="P700" t="s">
        <v>4392</v>
      </c>
      <c r="Q700" s="15">
        <v>350950000</v>
      </c>
      <c r="R700" s="8" t="e">
        <f>SUMIFS([1]REPORTADOS!$D$2:$D$3379,[1]REPORTADOS!$C$2:$C$3379,E700)</f>
        <v>#VALUE!</v>
      </c>
    </row>
    <row r="701" spans="1:18" x14ac:dyDescent="0.25">
      <c r="A701">
        <v>900091143</v>
      </c>
      <c r="B701" t="s">
        <v>3965</v>
      </c>
      <c r="C701" t="s">
        <v>3954</v>
      </c>
      <c r="E701" t="s">
        <v>3954</v>
      </c>
      <c r="H701" t="s">
        <v>38</v>
      </c>
      <c r="I701">
        <v>805021222</v>
      </c>
      <c r="J701" t="s">
        <v>1885</v>
      </c>
      <c r="P701" t="s">
        <v>4393</v>
      </c>
      <c r="Q701" s="15">
        <v>280000000</v>
      </c>
      <c r="R701" s="8" t="e">
        <f>SUMIFS([1]REPORTADOS!$D$2:$D$3379,[1]REPORTADOS!$C$2:$C$3379,E701)</f>
        <v>#VALUE!</v>
      </c>
    </row>
    <row r="702" spans="1:18" x14ac:dyDescent="0.25">
      <c r="A702">
        <v>900091143</v>
      </c>
      <c r="B702" t="s">
        <v>3965</v>
      </c>
      <c r="C702" t="s">
        <v>3955</v>
      </c>
      <c r="E702" t="s">
        <v>3955</v>
      </c>
      <c r="H702" t="s">
        <v>38</v>
      </c>
      <c r="I702">
        <v>901329717</v>
      </c>
      <c r="J702" t="s">
        <v>4266</v>
      </c>
      <c r="P702" t="s">
        <v>4394</v>
      </c>
      <c r="Q702" s="15">
        <v>216656524.10000002</v>
      </c>
      <c r="R702" s="8" t="e">
        <f>SUMIFS([1]REPORTADOS!$D$2:$D$3379,[1]REPORTADOS!$C$2:$C$3379,E702)</f>
        <v>#VALUE!</v>
      </c>
    </row>
    <row r="703" spans="1:18" x14ac:dyDescent="0.25">
      <c r="A703">
        <v>900091143</v>
      </c>
      <c r="B703" t="s">
        <v>3965</v>
      </c>
      <c r="C703" t="s">
        <v>3956</v>
      </c>
      <c r="E703" t="s">
        <v>3956</v>
      </c>
      <c r="H703" t="s">
        <v>22</v>
      </c>
      <c r="I703">
        <v>1086755989</v>
      </c>
      <c r="J703" t="s">
        <v>4267</v>
      </c>
      <c r="P703" t="s">
        <v>4320</v>
      </c>
      <c r="Q703" s="15">
        <v>9450000</v>
      </c>
      <c r="R703" s="8" t="e">
        <f>SUMIFS([1]REPORTADOS!$D$2:$D$3379,[1]REPORTADOS!$C$2:$C$3379,E703)</f>
        <v>#VALUE!</v>
      </c>
    </row>
    <row r="704" spans="1:18" x14ac:dyDescent="0.25">
      <c r="A704">
        <v>900091143</v>
      </c>
      <c r="B704" t="s">
        <v>3965</v>
      </c>
      <c r="C704" t="s">
        <v>3957</v>
      </c>
      <c r="E704" t="s">
        <v>3957</v>
      </c>
      <c r="H704" t="s">
        <v>38</v>
      </c>
      <c r="I704">
        <v>900994364</v>
      </c>
      <c r="J704" t="s">
        <v>4268</v>
      </c>
      <c r="P704" t="s">
        <v>4395</v>
      </c>
      <c r="Q704" s="15">
        <v>605000000</v>
      </c>
      <c r="R704" s="8" t="e">
        <f>SUMIFS([1]REPORTADOS!$D$2:$D$3379,[1]REPORTADOS!$C$2:$C$3379,E704)</f>
        <v>#VALUE!</v>
      </c>
    </row>
    <row r="705" spans="1:18" x14ac:dyDescent="0.25">
      <c r="A705">
        <v>900091143</v>
      </c>
      <c r="B705" t="s">
        <v>3965</v>
      </c>
      <c r="C705" t="s">
        <v>3958</v>
      </c>
      <c r="E705" t="s">
        <v>3958</v>
      </c>
      <c r="H705" t="s">
        <v>38</v>
      </c>
      <c r="I705">
        <v>805021222</v>
      </c>
      <c r="J705" t="s">
        <v>4269</v>
      </c>
      <c r="P705" t="s">
        <v>4396</v>
      </c>
      <c r="Q705" s="15">
        <v>270000000</v>
      </c>
      <c r="R705" s="8" t="e">
        <f>SUMIFS([1]REPORTADOS!$D$2:$D$3379,[1]REPORTADOS!$C$2:$C$3379,E705)</f>
        <v>#VALUE!</v>
      </c>
    </row>
    <row r="706" spans="1:18" x14ac:dyDescent="0.25">
      <c r="A706">
        <v>900091143</v>
      </c>
      <c r="B706" t="s">
        <v>3965</v>
      </c>
      <c r="C706" s="13" t="s">
        <v>3959</v>
      </c>
      <c r="E706" s="13" t="s">
        <v>3959</v>
      </c>
      <c r="H706" s="13" t="s">
        <v>38</v>
      </c>
      <c r="I706" s="13">
        <v>900752343</v>
      </c>
      <c r="J706" s="13" t="s">
        <v>4132</v>
      </c>
      <c r="P706" s="13" t="s">
        <v>4397</v>
      </c>
      <c r="Q706" s="14">
        <v>280000000</v>
      </c>
      <c r="R706" s="8" t="e">
        <f>SUMIFS([1]REPORTADOS!$D$2:$D$3379,[1]REPORTADOS!$C$2:$C$3379,E706)</f>
        <v>#VALUE!</v>
      </c>
    </row>
    <row r="707" spans="1:18" x14ac:dyDescent="0.25">
      <c r="A707">
        <v>900091143</v>
      </c>
      <c r="B707" t="s">
        <v>3965</v>
      </c>
      <c r="C707" s="13" t="s">
        <v>3960</v>
      </c>
      <c r="E707" s="13" t="s">
        <v>3960</v>
      </c>
      <c r="H707" s="13" t="s">
        <v>38</v>
      </c>
      <c r="I707" s="13">
        <v>900752343</v>
      </c>
      <c r="J707" s="13" t="s">
        <v>4132</v>
      </c>
      <c r="P707" s="13" t="s">
        <v>4398</v>
      </c>
      <c r="Q707" s="14">
        <v>270000000</v>
      </c>
      <c r="R707" s="8" t="e">
        <f>SUMIFS([1]REPORTADOS!$D$2:$D$3379,[1]REPORTADOS!$C$2:$C$3379,E707)</f>
        <v>#VALUE!</v>
      </c>
    </row>
    <row r="708" spans="1:18" x14ac:dyDescent="0.25">
      <c r="A708">
        <v>900091143</v>
      </c>
      <c r="B708" t="s">
        <v>3965</v>
      </c>
      <c r="C708" s="13" t="s">
        <v>3961</v>
      </c>
      <c r="E708" s="13" t="s">
        <v>3961</v>
      </c>
      <c r="H708" s="13" t="s">
        <v>38</v>
      </c>
      <c r="I708" s="13">
        <v>900994364</v>
      </c>
      <c r="J708" s="13" t="s">
        <v>4270</v>
      </c>
      <c r="P708" s="13" t="s">
        <v>4399</v>
      </c>
      <c r="Q708" s="14">
        <v>297142800</v>
      </c>
      <c r="R708" s="8" t="e">
        <f>SUMIFS([1]REPORTADOS!$D$2:$D$3379,[1]REPORTADOS!$C$2:$C$3379,E708)</f>
        <v>#VALUE!</v>
      </c>
    </row>
    <row r="709" spans="1:18" x14ac:dyDescent="0.25">
      <c r="A709">
        <v>900091143</v>
      </c>
      <c r="B709" t="s">
        <v>3965</v>
      </c>
      <c r="C709" s="13" t="s">
        <v>3962</v>
      </c>
      <c r="E709" s="13" t="s">
        <v>3962</v>
      </c>
      <c r="H709" s="13" t="s">
        <v>22</v>
      </c>
      <c r="I709" s="13">
        <v>66958357</v>
      </c>
      <c r="J709" s="13" t="s">
        <v>4238</v>
      </c>
      <c r="P709" s="13" t="s">
        <v>4400</v>
      </c>
      <c r="Q709" s="14">
        <v>2000000</v>
      </c>
      <c r="R709" s="8" t="e">
        <f>SUMIFS([1]REPORTADOS!$D$2:$D$3379,[1]REPORTADOS!$C$2:$C$3379,E709)</f>
        <v>#VALUE!</v>
      </c>
    </row>
    <row r="710" spans="1:18" x14ac:dyDescent="0.25">
      <c r="A710">
        <v>900091143</v>
      </c>
      <c r="B710" t="s">
        <v>3965</v>
      </c>
      <c r="C710" s="13" t="s">
        <v>3963</v>
      </c>
      <c r="E710" s="13" t="s">
        <v>3963</v>
      </c>
      <c r="H710" s="13" t="s">
        <v>22</v>
      </c>
      <c r="I710" s="13">
        <v>1086132023</v>
      </c>
      <c r="J710" s="13" t="s">
        <v>4271</v>
      </c>
      <c r="P710" s="13" t="s">
        <v>4401</v>
      </c>
      <c r="Q710" s="14">
        <v>6300000</v>
      </c>
      <c r="R710" s="8" t="e">
        <f>SUMIFS([1]REPORTADOS!$D$2:$D$3379,[1]REPORTADOS!$C$2:$C$3379,E710)</f>
        <v>#VALUE!</v>
      </c>
    </row>
    <row r="711" spans="1:18" x14ac:dyDescent="0.25">
      <c r="A711">
        <v>900091143</v>
      </c>
      <c r="B711" t="s">
        <v>3965</v>
      </c>
      <c r="C711" s="13" t="s">
        <v>3964</v>
      </c>
      <c r="E711" s="13" t="s">
        <v>3964</v>
      </c>
      <c r="H711" s="13" t="s">
        <v>38</v>
      </c>
      <c r="I711" s="13">
        <v>900724450</v>
      </c>
      <c r="J711" s="13" t="s">
        <v>4272</v>
      </c>
      <c r="P711" s="13" t="s">
        <v>4402</v>
      </c>
      <c r="Q711" s="14">
        <v>10457200</v>
      </c>
      <c r="R711" s="8" t="e">
        <f>SUMIFS([1]REPORTADOS!$D$2:$D$3379,[1]REPORTADOS!$C$2:$C$3379,E711)</f>
        <v>#VALUE!</v>
      </c>
    </row>
    <row r="712" spans="1:18" x14ac:dyDescent="0.25">
      <c r="A712">
        <v>900091143</v>
      </c>
      <c r="B712" t="s">
        <v>3965</v>
      </c>
      <c r="C712" s="13" t="s">
        <v>30</v>
      </c>
      <c r="E712" s="13" t="s">
        <v>30</v>
      </c>
      <c r="H712" s="13" t="s">
        <v>22</v>
      </c>
      <c r="I712" s="13">
        <v>36751052</v>
      </c>
      <c r="J712" s="13" t="s">
        <v>31</v>
      </c>
      <c r="P712" s="13" t="s">
        <v>33</v>
      </c>
      <c r="Q712" s="14">
        <v>9650000</v>
      </c>
      <c r="R712" s="8" t="e">
        <f>SUMIFS([1]REPORTADOS!$D$2:$D$3379,[1]REPORTADOS!$C$2:$C$3379,E712)</f>
        <v>#VALUE!</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40633-9EBD-40A2-9B7A-35BA015F1C20}">
  <dimension ref="A1:S167"/>
  <sheetViews>
    <sheetView workbookViewId="0">
      <selection activeCell="A2" sqref="A2:S167"/>
    </sheetView>
  </sheetViews>
  <sheetFormatPr baseColWidth="10" defaultRowHeight="15" x14ac:dyDescent="0.25"/>
  <cols>
    <col min="16" max="16" width="16.42578125" customWidth="1"/>
    <col min="17" max="17" width="15.140625" bestFit="1" customWidth="1"/>
    <col min="18" max="18" width="14.7109375" style="8" bestFit="1" customWidth="1"/>
    <col min="19" max="19" width="14.425781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c r="S1" s="3"/>
    </row>
    <row r="2" spans="1:19" x14ac:dyDescent="0.25">
      <c r="A2">
        <v>900091143</v>
      </c>
      <c r="B2" t="s">
        <v>29</v>
      </c>
      <c r="C2" s="10" t="s">
        <v>1696</v>
      </c>
      <c r="E2" s="10" t="s">
        <v>1696</v>
      </c>
      <c r="H2" t="s">
        <v>22</v>
      </c>
      <c r="I2">
        <v>1080690337</v>
      </c>
      <c r="J2" t="s">
        <v>3253</v>
      </c>
      <c r="P2" t="s">
        <v>1697</v>
      </c>
      <c r="Q2" s="3">
        <v>6000000</v>
      </c>
      <c r="R2" s="8" t="e">
        <f>SUMIFS([1]REPORTADOS!$D$2:$D$3379,[1]REPORTADOS!$C$2:$C$3379,E2)</f>
        <v>#VALUE!</v>
      </c>
      <c r="S2" s="8" t="e">
        <f>Q2-R2</f>
        <v>#VALUE!</v>
      </c>
    </row>
    <row r="3" spans="1:19" x14ac:dyDescent="0.25">
      <c r="A3">
        <v>900091143</v>
      </c>
      <c r="B3" t="s">
        <v>29</v>
      </c>
      <c r="C3" s="10" t="s">
        <v>30</v>
      </c>
      <c r="E3" s="10" t="s">
        <v>30</v>
      </c>
      <c r="H3" t="s">
        <v>22</v>
      </c>
      <c r="I3" s="11">
        <v>36751052</v>
      </c>
      <c r="J3" t="s">
        <v>31</v>
      </c>
      <c r="P3" t="s">
        <v>33</v>
      </c>
      <c r="Q3" s="3">
        <v>9650000</v>
      </c>
      <c r="R3" s="8" t="e">
        <f>SUMIFS([1]REPORTADOS!$D$2:$D$3379,[1]REPORTADOS!$C$2:$C$3379,E3)</f>
        <v>#VALUE!</v>
      </c>
      <c r="S3" s="8" t="e">
        <f t="shared" ref="S3:S66" si="0">Q3-R3</f>
        <v>#VALUE!</v>
      </c>
    </row>
    <row r="4" spans="1:19" x14ac:dyDescent="0.25">
      <c r="A4">
        <v>900091143</v>
      </c>
      <c r="B4" t="s">
        <v>29</v>
      </c>
      <c r="C4" s="10" t="s">
        <v>2088</v>
      </c>
      <c r="E4" s="10" t="s">
        <v>2088</v>
      </c>
      <c r="H4" t="s">
        <v>22</v>
      </c>
      <c r="I4">
        <v>1085344794</v>
      </c>
      <c r="J4" t="s">
        <v>2089</v>
      </c>
      <c r="P4" t="s">
        <v>2090</v>
      </c>
      <c r="Q4" s="3">
        <v>15000000</v>
      </c>
      <c r="R4" s="8" t="e">
        <f>SUMIFS([1]REPORTADOS!$D$2:$D$3379,[1]REPORTADOS!$C$2:$C$3379,E4)</f>
        <v>#VALUE!</v>
      </c>
      <c r="S4" s="8" t="e">
        <f t="shared" si="0"/>
        <v>#VALUE!</v>
      </c>
    </row>
    <row r="5" spans="1:19" x14ac:dyDescent="0.25">
      <c r="A5">
        <v>900091143</v>
      </c>
      <c r="B5" t="s">
        <v>29</v>
      </c>
      <c r="C5" s="10" t="s">
        <v>2085</v>
      </c>
      <c r="E5" s="10" t="s">
        <v>2085</v>
      </c>
      <c r="H5" t="s">
        <v>22</v>
      </c>
      <c r="I5">
        <v>1085313870</v>
      </c>
      <c r="J5" t="s">
        <v>2086</v>
      </c>
      <c r="P5" t="s">
        <v>2087</v>
      </c>
      <c r="Q5" s="3">
        <v>9500000</v>
      </c>
      <c r="R5" s="8" t="e">
        <f>SUMIFS([1]REPORTADOS!$D$2:$D$3379,[1]REPORTADOS!$C$2:$C$3379,E5)</f>
        <v>#VALUE!</v>
      </c>
      <c r="S5" s="8" t="e">
        <f t="shared" si="0"/>
        <v>#VALUE!</v>
      </c>
    </row>
    <row r="6" spans="1:19" x14ac:dyDescent="0.25">
      <c r="A6">
        <v>900091143</v>
      </c>
      <c r="B6" t="s">
        <v>29</v>
      </c>
      <c r="C6" s="10" t="s">
        <v>2082</v>
      </c>
      <c r="E6" s="10" t="s">
        <v>2082</v>
      </c>
      <c r="H6" t="s">
        <v>22</v>
      </c>
      <c r="I6">
        <v>1087414586</v>
      </c>
      <c r="J6" t="s">
        <v>2083</v>
      </c>
      <c r="P6" t="s">
        <v>2084</v>
      </c>
      <c r="Q6" s="3">
        <v>9500000</v>
      </c>
      <c r="R6" s="8" t="e">
        <f>SUMIFS([1]REPORTADOS!$D$2:$D$3379,[1]REPORTADOS!$C$2:$C$3379,E6)</f>
        <v>#VALUE!</v>
      </c>
      <c r="S6" s="8" t="e">
        <f t="shared" si="0"/>
        <v>#VALUE!</v>
      </c>
    </row>
    <row r="7" spans="1:19" x14ac:dyDescent="0.25">
      <c r="A7">
        <v>900091143</v>
      </c>
      <c r="B7" t="s">
        <v>29</v>
      </c>
      <c r="C7" s="10" t="s">
        <v>2080</v>
      </c>
      <c r="E7" s="10" t="s">
        <v>2080</v>
      </c>
      <c r="H7" t="s">
        <v>22</v>
      </c>
      <c r="I7">
        <v>1085300619</v>
      </c>
      <c r="J7" t="s">
        <v>2081</v>
      </c>
      <c r="P7" t="s">
        <v>2073</v>
      </c>
      <c r="Q7" s="3">
        <v>15000000</v>
      </c>
      <c r="R7" s="8" t="e">
        <f>SUMIFS([1]REPORTADOS!$D$2:$D$3379,[1]REPORTADOS!$C$2:$C$3379,E7)</f>
        <v>#VALUE!</v>
      </c>
      <c r="S7" s="8" t="e">
        <f t="shared" si="0"/>
        <v>#VALUE!</v>
      </c>
    </row>
    <row r="8" spans="1:19" x14ac:dyDescent="0.25">
      <c r="A8">
        <v>900091143</v>
      </c>
      <c r="B8" t="s">
        <v>29</v>
      </c>
      <c r="C8" s="10" t="s">
        <v>2077</v>
      </c>
      <c r="E8" s="10" t="s">
        <v>2077</v>
      </c>
      <c r="H8" t="s">
        <v>22</v>
      </c>
      <c r="I8">
        <v>1085267505</v>
      </c>
      <c r="J8" t="s">
        <v>2078</v>
      </c>
      <c r="P8" t="s">
        <v>2079</v>
      </c>
      <c r="Q8" s="3">
        <v>6000000</v>
      </c>
      <c r="R8" s="8" t="e">
        <f>SUMIFS([1]REPORTADOS!$D$2:$D$3379,[1]REPORTADOS!$C$2:$C$3379,E8)</f>
        <v>#VALUE!</v>
      </c>
      <c r="S8" s="8" t="e">
        <f t="shared" si="0"/>
        <v>#VALUE!</v>
      </c>
    </row>
    <row r="9" spans="1:19" x14ac:dyDescent="0.25">
      <c r="A9">
        <v>900091143</v>
      </c>
      <c r="B9" t="s">
        <v>29</v>
      </c>
      <c r="C9" s="10" t="s">
        <v>2074</v>
      </c>
      <c r="E9" s="10" t="s">
        <v>2074</v>
      </c>
      <c r="H9" t="s">
        <v>22</v>
      </c>
      <c r="I9">
        <v>59835376</v>
      </c>
      <c r="J9" t="s">
        <v>2075</v>
      </c>
      <c r="P9" t="s">
        <v>2076</v>
      </c>
      <c r="Q9" s="3">
        <v>9650000</v>
      </c>
      <c r="R9" s="8" t="e">
        <f>SUMIFS([1]REPORTADOS!$D$2:$D$3379,[1]REPORTADOS!$C$2:$C$3379,E9)</f>
        <v>#VALUE!</v>
      </c>
      <c r="S9" s="8" t="e">
        <f t="shared" si="0"/>
        <v>#VALUE!</v>
      </c>
    </row>
    <row r="10" spans="1:19" x14ac:dyDescent="0.25">
      <c r="A10">
        <v>900091143</v>
      </c>
      <c r="B10" t="s">
        <v>29</v>
      </c>
      <c r="C10" s="10" t="s">
        <v>2071</v>
      </c>
      <c r="E10" s="10" t="s">
        <v>2071</v>
      </c>
      <c r="H10" t="s">
        <v>22</v>
      </c>
      <c r="I10">
        <v>1085937671</v>
      </c>
      <c r="J10" t="s">
        <v>2072</v>
      </c>
      <c r="P10" t="s">
        <v>2073</v>
      </c>
      <c r="Q10" s="3">
        <v>15000000</v>
      </c>
      <c r="R10" s="8" t="e">
        <f>SUMIFS([1]REPORTADOS!$D$2:$D$3379,[1]REPORTADOS!$C$2:$C$3379,E10)</f>
        <v>#VALUE!</v>
      </c>
      <c r="S10" s="8" t="e">
        <f t="shared" si="0"/>
        <v>#VALUE!</v>
      </c>
    </row>
    <row r="11" spans="1:19" x14ac:dyDescent="0.25">
      <c r="A11">
        <v>900091143</v>
      </c>
      <c r="B11" t="s">
        <v>29</v>
      </c>
      <c r="C11" s="10" t="s">
        <v>2068</v>
      </c>
      <c r="E11" s="10" t="s">
        <v>2068</v>
      </c>
      <c r="H11" t="s">
        <v>22</v>
      </c>
      <c r="I11">
        <v>59825382</v>
      </c>
      <c r="J11" t="s">
        <v>2069</v>
      </c>
      <c r="P11" t="s">
        <v>2070</v>
      </c>
      <c r="Q11" s="3">
        <v>6000000</v>
      </c>
      <c r="R11" s="8" t="e">
        <f>SUMIFS([1]REPORTADOS!$D$2:$D$3379,[1]REPORTADOS!$C$2:$C$3379,E11)</f>
        <v>#VALUE!</v>
      </c>
      <c r="S11" s="8" t="e">
        <f t="shared" si="0"/>
        <v>#VALUE!</v>
      </c>
    </row>
    <row r="12" spans="1:19" x14ac:dyDescent="0.25">
      <c r="A12">
        <v>900091143</v>
      </c>
      <c r="B12" t="s">
        <v>29</v>
      </c>
      <c r="C12" s="10" t="s">
        <v>2065</v>
      </c>
      <c r="E12" s="10" t="s">
        <v>2065</v>
      </c>
      <c r="H12" t="s">
        <v>22</v>
      </c>
      <c r="I12">
        <v>1030606749</v>
      </c>
      <c r="J12" t="s">
        <v>2066</v>
      </c>
      <c r="P12" t="s">
        <v>2067</v>
      </c>
      <c r="Q12" s="3">
        <v>6000000</v>
      </c>
      <c r="R12" s="8" t="e">
        <f>SUMIFS([1]REPORTADOS!$D$2:$D$3379,[1]REPORTADOS!$C$2:$C$3379,E12)</f>
        <v>#VALUE!</v>
      </c>
      <c r="S12" s="8" t="e">
        <f t="shared" si="0"/>
        <v>#VALUE!</v>
      </c>
    </row>
    <row r="13" spans="1:19" x14ac:dyDescent="0.25">
      <c r="A13">
        <v>900091143</v>
      </c>
      <c r="B13" t="s">
        <v>29</v>
      </c>
      <c r="C13" s="10" t="s">
        <v>2054</v>
      </c>
      <c r="E13" s="10" t="s">
        <v>2054</v>
      </c>
      <c r="H13" t="s">
        <v>22</v>
      </c>
      <c r="I13">
        <v>1080690249</v>
      </c>
      <c r="J13" t="s">
        <v>2055</v>
      </c>
      <c r="P13" t="s">
        <v>2056</v>
      </c>
      <c r="Q13" s="3">
        <v>6000000</v>
      </c>
      <c r="R13" s="8" t="e">
        <f>SUMIFS([1]REPORTADOS!$D$2:$D$3379,[1]REPORTADOS!$C$2:$C$3379,E13)</f>
        <v>#VALUE!</v>
      </c>
      <c r="S13" s="8" t="e">
        <f t="shared" si="0"/>
        <v>#VALUE!</v>
      </c>
    </row>
    <row r="14" spans="1:19" x14ac:dyDescent="0.25">
      <c r="A14">
        <v>900091143</v>
      </c>
      <c r="B14" t="s">
        <v>29</v>
      </c>
      <c r="C14" s="10" t="s">
        <v>2057</v>
      </c>
      <c r="E14" s="10" t="s">
        <v>2057</v>
      </c>
      <c r="H14" t="s">
        <v>22</v>
      </c>
      <c r="I14">
        <v>36754382</v>
      </c>
      <c r="J14" t="s">
        <v>2058</v>
      </c>
      <c r="P14" t="s">
        <v>2059</v>
      </c>
      <c r="Q14" s="3">
        <v>6000000</v>
      </c>
      <c r="R14" s="8" t="e">
        <f>SUMIFS([1]REPORTADOS!$D$2:$D$3379,[1]REPORTADOS!$C$2:$C$3379,E14)</f>
        <v>#VALUE!</v>
      </c>
      <c r="S14" s="8" t="e">
        <f t="shared" si="0"/>
        <v>#VALUE!</v>
      </c>
    </row>
    <row r="15" spans="1:19" x14ac:dyDescent="0.25">
      <c r="A15">
        <v>900091143</v>
      </c>
      <c r="B15" t="s">
        <v>29</v>
      </c>
      <c r="C15" s="10" t="s">
        <v>2063</v>
      </c>
      <c r="E15" s="10" t="s">
        <v>2063</v>
      </c>
      <c r="H15" t="s">
        <v>22</v>
      </c>
      <c r="I15">
        <v>5292370</v>
      </c>
      <c r="J15" t="s">
        <v>2064</v>
      </c>
      <c r="P15" t="s">
        <v>2059</v>
      </c>
      <c r="Q15" s="3">
        <v>4900000</v>
      </c>
      <c r="R15" s="8" t="e">
        <f>SUMIFS([1]REPORTADOS!$D$2:$D$3379,[1]REPORTADOS!$C$2:$C$3379,E15)</f>
        <v>#VALUE!</v>
      </c>
      <c r="S15" s="8" t="e">
        <f t="shared" si="0"/>
        <v>#VALUE!</v>
      </c>
    </row>
    <row r="16" spans="1:19" x14ac:dyDescent="0.25">
      <c r="A16">
        <v>900091143</v>
      </c>
      <c r="B16" t="s">
        <v>29</v>
      </c>
      <c r="C16" s="10" t="s">
        <v>2060</v>
      </c>
      <c r="E16" s="10" t="s">
        <v>2060</v>
      </c>
      <c r="H16" t="s">
        <v>22</v>
      </c>
      <c r="I16">
        <v>1085257949</v>
      </c>
      <c r="J16" t="s">
        <v>2061</v>
      </c>
      <c r="P16" t="s">
        <v>2062</v>
      </c>
      <c r="Q16" s="3">
        <v>6000000</v>
      </c>
      <c r="R16" s="8" t="e">
        <f>SUMIFS([1]REPORTADOS!$D$2:$D$3379,[1]REPORTADOS!$C$2:$C$3379,E16)</f>
        <v>#VALUE!</v>
      </c>
      <c r="S16" s="8" t="e">
        <f t="shared" si="0"/>
        <v>#VALUE!</v>
      </c>
    </row>
    <row r="17" spans="1:19" x14ac:dyDescent="0.25">
      <c r="A17">
        <v>900091143</v>
      </c>
      <c r="B17" t="s">
        <v>29</v>
      </c>
      <c r="C17" s="10" t="s">
        <v>2051</v>
      </c>
      <c r="E17" s="10" t="s">
        <v>2051</v>
      </c>
      <c r="H17" t="s">
        <v>22</v>
      </c>
      <c r="I17">
        <v>59835389</v>
      </c>
      <c r="J17" t="s">
        <v>2052</v>
      </c>
      <c r="P17" t="s">
        <v>2053</v>
      </c>
      <c r="Q17" s="3">
        <v>6000000</v>
      </c>
      <c r="R17" s="8" t="e">
        <f>SUMIFS([1]REPORTADOS!$D$2:$D$3379,[1]REPORTADOS!$C$2:$C$3379,E17)</f>
        <v>#VALUE!</v>
      </c>
      <c r="S17" s="8" t="e">
        <f t="shared" si="0"/>
        <v>#VALUE!</v>
      </c>
    </row>
    <row r="18" spans="1:19" x14ac:dyDescent="0.25">
      <c r="A18">
        <v>900091143</v>
      </c>
      <c r="B18" t="s">
        <v>29</v>
      </c>
      <c r="C18" t="s">
        <v>2043</v>
      </c>
      <c r="E18" t="s">
        <v>2043</v>
      </c>
      <c r="H18" t="s">
        <v>22</v>
      </c>
      <c r="I18">
        <v>1075242334</v>
      </c>
      <c r="J18" t="s">
        <v>1660</v>
      </c>
      <c r="P18" t="s">
        <v>2044</v>
      </c>
      <c r="Q18" s="3">
        <v>2500000</v>
      </c>
      <c r="R18" s="8" t="e">
        <f>SUMIFS([1]REPORTADOS!$D$2:$D$3379,[1]REPORTADOS!$C$2:$C$3379,E18)</f>
        <v>#VALUE!</v>
      </c>
      <c r="S18" s="8" t="e">
        <f t="shared" si="0"/>
        <v>#VALUE!</v>
      </c>
    </row>
    <row r="19" spans="1:19" x14ac:dyDescent="0.25">
      <c r="A19">
        <v>900091143</v>
      </c>
      <c r="B19" t="s">
        <v>29</v>
      </c>
      <c r="C19" t="s">
        <v>1986</v>
      </c>
      <c r="E19" t="s">
        <v>1986</v>
      </c>
      <c r="H19" t="s">
        <v>22</v>
      </c>
      <c r="I19">
        <v>12748383</v>
      </c>
      <c r="J19" t="s">
        <v>1987</v>
      </c>
      <c r="P19" t="s">
        <v>1988</v>
      </c>
      <c r="Q19" s="3">
        <v>4825000</v>
      </c>
      <c r="R19" s="8" t="e">
        <f>SUMIFS([1]REPORTADOS!$D$2:$D$3379,[1]REPORTADOS!$C$2:$C$3379,E19)</f>
        <v>#VALUE!</v>
      </c>
      <c r="S19" s="8" t="e">
        <f t="shared" si="0"/>
        <v>#VALUE!</v>
      </c>
    </row>
    <row r="20" spans="1:19" x14ac:dyDescent="0.25">
      <c r="A20">
        <v>900091143</v>
      </c>
      <c r="B20" t="s">
        <v>29</v>
      </c>
      <c r="C20" t="s">
        <v>2014</v>
      </c>
      <c r="E20" t="s">
        <v>2014</v>
      </c>
      <c r="H20" t="s">
        <v>22</v>
      </c>
      <c r="I20">
        <v>1086222977</v>
      </c>
      <c r="J20" t="s">
        <v>2015</v>
      </c>
      <c r="P20" t="s">
        <v>2016</v>
      </c>
      <c r="Q20" s="3">
        <v>6000000</v>
      </c>
      <c r="R20" s="8" t="e">
        <f>SUMIFS([1]REPORTADOS!$D$2:$D$3379,[1]REPORTADOS!$C$2:$C$3379,E20)</f>
        <v>#VALUE!</v>
      </c>
      <c r="S20" s="8" t="e">
        <f t="shared" si="0"/>
        <v>#VALUE!</v>
      </c>
    </row>
    <row r="21" spans="1:19" x14ac:dyDescent="0.25">
      <c r="A21">
        <v>900091143</v>
      </c>
      <c r="B21" t="s">
        <v>29</v>
      </c>
      <c r="C21" t="s">
        <v>2040</v>
      </c>
      <c r="E21" t="s">
        <v>2040</v>
      </c>
      <c r="H21" t="s">
        <v>22</v>
      </c>
      <c r="I21">
        <v>27091114</v>
      </c>
      <c r="J21" t="s">
        <v>2041</v>
      </c>
      <c r="P21" t="s">
        <v>2042</v>
      </c>
      <c r="Q21" s="3">
        <v>6000000</v>
      </c>
      <c r="R21" s="8" t="e">
        <f>SUMIFS([1]REPORTADOS!$D$2:$D$3379,[1]REPORTADOS!$C$2:$C$3379,E21)</f>
        <v>#VALUE!</v>
      </c>
      <c r="S21" s="8" t="e">
        <f t="shared" si="0"/>
        <v>#VALUE!</v>
      </c>
    </row>
    <row r="22" spans="1:19" x14ac:dyDescent="0.25">
      <c r="A22">
        <v>900091143</v>
      </c>
      <c r="B22" t="s">
        <v>29</v>
      </c>
      <c r="C22" t="s">
        <v>2037</v>
      </c>
      <c r="E22" t="s">
        <v>2037</v>
      </c>
      <c r="H22" t="s">
        <v>22</v>
      </c>
      <c r="I22">
        <v>1085344795</v>
      </c>
      <c r="J22" t="s">
        <v>2038</v>
      </c>
      <c r="P22" t="s">
        <v>2039</v>
      </c>
      <c r="Q22" s="3">
        <v>6000000</v>
      </c>
      <c r="R22" s="8" t="e">
        <f>SUMIFS([1]REPORTADOS!$D$2:$D$3379,[1]REPORTADOS!$C$2:$C$3379,E22)</f>
        <v>#VALUE!</v>
      </c>
      <c r="S22" s="8" t="e">
        <f t="shared" si="0"/>
        <v>#VALUE!</v>
      </c>
    </row>
    <row r="23" spans="1:19" x14ac:dyDescent="0.25">
      <c r="A23">
        <v>900091143</v>
      </c>
      <c r="B23" t="s">
        <v>29</v>
      </c>
      <c r="C23" t="s">
        <v>2034</v>
      </c>
      <c r="E23" t="s">
        <v>2034</v>
      </c>
      <c r="H23" t="s">
        <v>22</v>
      </c>
      <c r="I23">
        <v>59833899</v>
      </c>
      <c r="J23" t="s">
        <v>2035</v>
      </c>
      <c r="P23" t="s">
        <v>2036</v>
      </c>
      <c r="Q23" s="3">
        <v>6000000</v>
      </c>
      <c r="R23" s="8" t="e">
        <f>SUMIFS([1]REPORTADOS!$D$2:$D$3379,[1]REPORTADOS!$C$2:$C$3379,E23)</f>
        <v>#VALUE!</v>
      </c>
      <c r="S23" s="8" t="e">
        <f t="shared" si="0"/>
        <v>#VALUE!</v>
      </c>
    </row>
    <row r="24" spans="1:19" x14ac:dyDescent="0.25">
      <c r="A24">
        <v>900091143</v>
      </c>
      <c r="B24" t="s">
        <v>29</v>
      </c>
      <c r="C24" t="s">
        <v>2031</v>
      </c>
      <c r="E24" t="s">
        <v>2031</v>
      </c>
      <c r="H24" t="s">
        <v>22</v>
      </c>
      <c r="I24">
        <v>1085325325</v>
      </c>
      <c r="J24" t="s">
        <v>2032</v>
      </c>
      <c r="P24" t="s">
        <v>2033</v>
      </c>
      <c r="Q24" s="3">
        <v>6000000</v>
      </c>
      <c r="R24" s="8" t="e">
        <f>SUMIFS([1]REPORTADOS!$D$2:$D$3379,[1]REPORTADOS!$C$2:$C$3379,E24)</f>
        <v>#VALUE!</v>
      </c>
      <c r="S24" s="8" t="e">
        <f t="shared" si="0"/>
        <v>#VALUE!</v>
      </c>
    </row>
    <row r="25" spans="1:19" x14ac:dyDescent="0.25">
      <c r="A25">
        <v>900091143</v>
      </c>
      <c r="B25" t="s">
        <v>29</v>
      </c>
      <c r="C25" t="s">
        <v>2029</v>
      </c>
      <c r="E25" t="s">
        <v>2029</v>
      </c>
      <c r="H25" t="s">
        <v>22</v>
      </c>
      <c r="I25">
        <v>1193271854</v>
      </c>
      <c r="J25" t="s">
        <v>1695</v>
      </c>
      <c r="P25" t="s">
        <v>2030</v>
      </c>
      <c r="Q25" s="3">
        <v>6000000</v>
      </c>
      <c r="R25" s="8" t="e">
        <f>SUMIFS([1]REPORTADOS!$D$2:$D$3379,[1]REPORTADOS!$C$2:$C$3379,E25)</f>
        <v>#VALUE!</v>
      </c>
      <c r="S25" s="8" t="e">
        <f t="shared" si="0"/>
        <v>#VALUE!</v>
      </c>
    </row>
    <row r="26" spans="1:19" x14ac:dyDescent="0.25">
      <c r="A26">
        <v>900091143</v>
      </c>
      <c r="B26" t="s">
        <v>29</v>
      </c>
      <c r="C26" t="s">
        <v>2027</v>
      </c>
      <c r="E26" t="s">
        <v>2027</v>
      </c>
      <c r="H26" t="s">
        <v>22</v>
      </c>
      <c r="I26">
        <v>1086328142</v>
      </c>
      <c r="J26" s="6" t="s">
        <v>2432</v>
      </c>
      <c r="P26" t="s">
        <v>2028</v>
      </c>
      <c r="Q26" s="3">
        <v>6000000</v>
      </c>
      <c r="R26" s="8" t="e">
        <f>SUMIFS([1]REPORTADOS!$D$2:$D$3379,[1]REPORTADOS!$C$2:$C$3379,E26)</f>
        <v>#VALUE!</v>
      </c>
      <c r="S26" s="8" t="e">
        <f t="shared" si="0"/>
        <v>#VALUE!</v>
      </c>
    </row>
    <row r="27" spans="1:19" x14ac:dyDescent="0.25">
      <c r="A27">
        <v>900091143</v>
      </c>
      <c r="B27" t="s">
        <v>29</v>
      </c>
      <c r="C27" t="s">
        <v>2025</v>
      </c>
      <c r="E27" t="s">
        <v>2025</v>
      </c>
      <c r="H27" t="s">
        <v>22</v>
      </c>
      <c r="I27">
        <v>59830040</v>
      </c>
      <c r="J27" t="s">
        <v>2026</v>
      </c>
      <c r="P27" t="s">
        <v>1763</v>
      </c>
      <c r="Q27" s="3">
        <v>6000000</v>
      </c>
      <c r="R27" s="8" t="e">
        <f>SUMIFS([1]REPORTADOS!$D$2:$D$3379,[1]REPORTADOS!$C$2:$C$3379,E27)</f>
        <v>#VALUE!</v>
      </c>
      <c r="S27" s="8" t="e">
        <f t="shared" si="0"/>
        <v>#VALUE!</v>
      </c>
    </row>
    <row r="28" spans="1:19" x14ac:dyDescent="0.25">
      <c r="A28">
        <v>900091143</v>
      </c>
      <c r="B28" t="s">
        <v>29</v>
      </c>
      <c r="C28" t="s">
        <v>2022</v>
      </c>
      <c r="E28" t="s">
        <v>2022</v>
      </c>
      <c r="H28" t="s">
        <v>22</v>
      </c>
      <c r="I28">
        <v>1085327836</v>
      </c>
      <c r="J28" t="s">
        <v>2023</v>
      </c>
      <c r="P28" t="s">
        <v>2024</v>
      </c>
      <c r="Q28" s="3">
        <v>5000000</v>
      </c>
      <c r="R28" s="8" t="e">
        <f>SUMIFS([1]REPORTADOS!$D$2:$D$3379,[1]REPORTADOS!$C$2:$C$3379,E28)</f>
        <v>#VALUE!</v>
      </c>
      <c r="S28" s="8" t="e">
        <f t="shared" si="0"/>
        <v>#VALUE!</v>
      </c>
    </row>
    <row r="29" spans="1:19" x14ac:dyDescent="0.25">
      <c r="A29">
        <v>900091143</v>
      </c>
      <c r="B29" t="s">
        <v>29</v>
      </c>
      <c r="C29" t="s">
        <v>2020</v>
      </c>
      <c r="E29" t="s">
        <v>2020</v>
      </c>
      <c r="H29" t="s">
        <v>22</v>
      </c>
      <c r="I29">
        <v>1193223736</v>
      </c>
      <c r="J29" t="s">
        <v>2021</v>
      </c>
      <c r="P29" t="s">
        <v>1811</v>
      </c>
      <c r="Q29" s="3">
        <v>12000000</v>
      </c>
      <c r="R29" s="8" t="e">
        <f>SUMIFS([1]REPORTADOS!$D$2:$D$3379,[1]REPORTADOS!$C$2:$C$3379,E29)</f>
        <v>#VALUE!</v>
      </c>
      <c r="S29" s="8" t="e">
        <f t="shared" si="0"/>
        <v>#VALUE!</v>
      </c>
    </row>
    <row r="30" spans="1:19" x14ac:dyDescent="0.25">
      <c r="A30">
        <v>900091143</v>
      </c>
      <c r="B30" t="s">
        <v>29</v>
      </c>
      <c r="C30" t="s">
        <v>2003</v>
      </c>
      <c r="E30" t="s">
        <v>2003</v>
      </c>
      <c r="H30" t="s">
        <v>22</v>
      </c>
      <c r="I30">
        <v>1030606749</v>
      </c>
      <c r="J30" t="s">
        <v>2004</v>
      </c>
      <c r="P30" t="s">
        <v>2005</v>
      </c>
      <c r="Q30" s="3">
        <v>6000000</v>
      </c>
      <c r="R30" s="8" t="e">
        <f>SUMIFS([1]REPORTADOS!$D$2:$D$3379,[1]REPORTADOS!$C$2:$C$3379,E30)</f>
        <v>#VALUE!</v>
      </c>
      <c r="S30" s="8" t="e">
        <f t="shared" si="0"/>
        <v>#VALUE!</v>
      </c>
    </row>
    <row r="31" spans="1:19" x14ac:dyDescent="0.25">
      <c r="A31">
        <v>900091143</v>
      </c>
      <c r="B31" t="s">
        <v>29</v>
      </c>
      <c r="C31" t="s">
        <v>2000</v>
      </c>
      <c r="E31" t="s">
        <v>2000</v>
      </c>
      <c r="H31" t="s">
        <v>22</v>
      </c>
      <c r="I31">
        <v>36954410</v>
      </c>
      <c r="J31" t="s">
        <v>2001</v>
      </c>
      <c r="P31" t="s">
        <v>2002</v>
      </c>
      <c r="Q31" s="3">
        <v>12000000</v>
      </c>
      <c r="R31" s="8" t="e">
        <f>SUMIFS([1]REPORTADOS!$D$2:$D$3379,[1]REPORTADOS!$C$2:$C$3379,E31)</f>
        <v>#VALUE!</v>
      </c>
      <c r="S31" s="8" t="e">
        <f t="shared" si="0"/>
        <v>#VALUE!</v>
      </c>
    </row>
    <row r="32" spans="1:19" x14ac:dyDescent="0.25">
      <c r="A32">
        <v>900091143</v>
      </c>
      <c r="B32" t="s">
        <v>29</v>
      </c>
      <c r="C32" t="s">
        <v>1997</v>
      </c>
      <c r="E32" t="s">
        <v>1997</v>
      </c>
      <c r="H32" t="s">
        <v>22</v>
      </c>
      <c r="I32">
        <v>1085248939</v>
      </c>
      <c r="J32" t="s">
        <v>1998</v>
      </c>
      <c r="P32" t="s">
        <v>1999</v>
      </c>
      <c r="Q32" s="3">
        <v>12000000</v>
      </c>
      <c r="R32" s="8" t="e">
        <f>SUMIFS([1]REPORTADOS!$D$2:$D$3379,[1]REPORTADOS!$C$2:$C$3379,E32)</f>
        <v>#VALUE!</v>
      </c>
      <c r="S32" s="8" t="e">
        <f t="shared" si="0"/>
        <v>#VALUE!</v>
      </c>
    </row>
    <row r="33" spans="1:19" x14ac:dyDescent="0.25">
      <c r="A33">
        <v>900091143</v>
      </c>
      <c r="B33" t="s">
        <v>29</v>
      </c>
      <c r="C33" t="s">
        <v>2017</v>
      </c>
      <c r="E33" t="s">
        <v>2017</v>
      </c>
      <c r="H33" t="s">
        <v>22</v>
      </c>
      <c r="I33">
        <v>59828916</v>
      </c>
      <c r="J33" t="s">
        <v>2018</v>
      </c>
      <c r="P33" t="s">
        <v>2019</v>
      </c>
      <c r="Q33" s="3">
        <v>6000000</v>
      </c>
      <c r="R33" s="8" t="e">
        <f>SUMIFS([1]REPORTADOS!$D$2:$D$3379,[1]REPORTADOS!$C$2:$C$3379,E33)</f>
        <v>#VALUE!</v>
      </c>
      <c r="S33" s="8" t="e">
        <f t="shared" si="0"/>
        <v>#VALUE!</v>
      </c>
    </row>
    <row r="34" spans="1:19" x14ac:dyDescent="0.25">
      <c r="A34">
        <v>900091143</v>
      </c>
      <c r="B34" t="s">
        <v>29</v>
      </c>
      <c r="C34" t="s">
        <v>1989</v>
      </c>
      <c r="E34" t="s">
        <v>1989</v>
      </c>
      <c r="H34" t="s">
        <v>22</v>
      </c>
      <c r="I34">
        <v>1004213964</v>
      </c>
      <c r="J34" t="s">
        <v>1990</v>
      </c>
      <c r="P34" t="s">
        <v>1706</v>
      </c>
      <c r="Q34" s="3">
        <v>12000000</v>
      </c>
      <c r="R34" s="8" t="e">
        <f>SUMIFS([1]REPORTADOS!$D$2:$D$3379,[1]REPORTADOS!$C$2:$C$3379,E34)</f>
        <v>#VALUE!</v>
      </c>
      <c r="S34" s="8" t="e">
        <f t="shared" si="0"/>
        <v>#VALUE!</v>
      </c>
    </row>
    <row r="35" spans="1:19" x14ac:dyDescent="0.25">
      <c r="A35">
        <v>900091143</v>
      </c>
      <c r="B35" t="s">
        <v>29</v>
      </c>
      <c r="C35" t="s">
        <v>1925</v>
      </c>
      <c r="E35" t="s">
        <v>1925</v>
      </c>
      <c r="H35" t="s">
        <v>22</v>
      </c>
      <c r="I35">
        <v>36951301</v>
      </c>
      <c r="J35" t="s">
        <v>1926</v>
      </c>
      <c r="P35" t="s">
        <v>1927</v>
      </c>
      <c r="Q35" s="3">
        <v>9650000</v>
      </c>
      <c r="R35" s="8" t="e">
        <f>SUMIFS([1]REPORTADOS!$D$2:$D$3379,[1]REPORTADOS!$C$2:$C$3379,E35)</f>
        <v>#VALUE!</v>
      </c>
      <c r="S35" s="8" t="e">
        <f t="shared" si="0"/>
        <v>#VALUE!</v>
      </c>
    </row>
    <row r="36" spans="1:19" x14ac:dyDescent="0.25">
      <c r="A36">
        <v>900091143</v>
      </c>
      <c r="B36" t="s">
        <v>29</v>
      </c>
      <c r="C36" t="s">
        <v>1994</v>
      </c>
      <c r="E36" t="s">
        <v>1994</v>
      </c>
      <c r="H36" t="s">
        <v>22</v>
      </c>
      <c r="I36">
        <v>59813323</v>
      </c>
      <c r="J36" t="s">
        <v>1995</v>
      </c>
      <c r="P36" t="s">
        <v>1996</v>
      </c>
      <c r="Q36" s="3">
        <v>6000000</v>
      </c>
      <c r="R36" s="8" t="e">
        <f>SUMIFS([1]REPORTADOS!$D$2:$D$3379,[1]REPORTADOS!$C$2:$C$3379,E36)</f>
        <v>#VALUE!</v>
      </c>
      <c r="S36" s="8" t="e">
        <f t="shared" si="0"/>
        <v>#VALUE!</v>
      </c>
    </row>
    <row r="37" spans="1:19" x14ac:dyDescent="0.25">
      <c r="A37">
        <v>900091143</v>
      </c>
      <c r="B37" t="s">
        <v>29</v>
      </c>
      <c r="C37" t="s">
        <v>1983</v>
      </c>
      <c r="E37" t="s">
        <v>1983</v>
      </c>
      <c r="H37" t="s">
        <v>22</v>
      </c>
      <c r="I37">
        <v>1085261053</v>
      </c>
      <c r="J37" t="s">
        <v>1984</v>
      </c>
      <c r="P37" t="s">
        <v>1985</v>
      </c>
      <c r="Q37" s="3">
        <v>6000000</v>
      </c>
      <c r="R37" s="8" t="e">
        <f>SUMIFS([1]REPORTADOS!$D$2:$D$3379,[1]REPORTADOS!$C$2:$C$3379,E37)</f>
        <v>#VALUE!</v>
      </c>
      <c r="S37" s="8" t="e">
        <f t="shared" si="0"/>
        <v>#VALUE!</v>
      </c>
    </row>
    <row r="38" spans="1:19" x14ac:dyDescent="0.25">
      <c r="A38">
        <v>900091143</v>
      </c>
      <c r="B38" t="s">
        <v>29</v>
      </c>
      <c r="C38" s="6" t="s">
        <v>1980</v>
      </c>
      <c r="E38" s="6" t="s">
        <v>1980</v>
      </c>
      <c r="H38" t="s">
        <v>22</v>
      </c>
      <c r="I38">
        <v>1085266584</v>
      </c>
      <c r="J38" t="s">
        <v>1981</v>
      </c>
      <c r="P38" t="s">
        <v>1982</v>
      </c>
      <c r="Q38" s="3">
        <v>6000000</v>
      </c>
      <c r="R38" s="8" t="e">
        <f>SUMIFS([1]REPORTADOS!$D$2:$D$3379,[1]REPORTADOS!$C$2:$C$3379,E38)</f>
        <v>#VALUE!</v>
      </c>
      <c r="S38" s="8" t="e">
        <f t="shared" si="0"/>
        <v>#VALUE!</v>
      </c>
    </row>
    <row r="39" spans="1:19" x14ac:dyDescent="0.25">
      <c r="A39">
        <v>900091143</v>
      </c>
      <c r="B39" t="s">
        <v>29</v>
      </c>
      <c r="C39" t="s">
        <v>1977</v>
      </c>
      <c r="E39" t="s">
        <v>1977</v>
      </c>
      <c r="H39" t="s">
        <v>22</v>
      </c>
      <c r="I39">
        <v>27097745</v>
      </c>
      <c r="J39" t="s">
        <v>1978</v>
      </c>
      <c r="P39" t="s">
        <v>1979</v>
      </c>
      <c r="Q39" s="3">
        <v>12000000</v>
      </c>
      <c r="R39" s="8" t="e">
        <f>SUMIFS([1]REPORTADOS!$D$2:$D$3379,[1]REPORTADOS!$C$2:$C$3379,E39)</f>
        <v>#VALUE!</v>
      </c>
      <c r="S39" s="8" t="e">
        <f t="shared" si="0"/>
        <v>#VALUE!</v>
      </c>
    </row>
    <row r="40" spans="1:19" x14ac:dyDescent="0.25">
      <c r="A40">
        <v>900091143</v>
      </c>
      <c r="B40" t="s">
        <v>29</v>
      </c>
      <c r="C40" t="s">
        <v>1974</v>
      </c>
      <c r="E40" t="s">
        <v>1974</v>
      </c>
      <c r="H40" t="s">
        <v>22</v>
      </c>
      <c r="I40">
        <v>1084224968</v>
      </c>
      <c r="J40" t="s">
        <v>1975</v>
      </c>
      <c r="P40" t="s">
        <v>1976</v>
      </c>
      <c r="Q40" s="3">
        <v>6000000</v>
      </c>
      <c r="R40" s="8" t="e">
        <f>SUMIFS([1]REPORTADOS!$D$2:$D$3379,[1]REPORTADOS!$C$2:$C$3379,E40)</f>
        <v>#VALUE!</v>
      </c>
      <c r="S40" s="8" t="e">
        <f t="shared" si="0"/>
        <v>#VALUE!</v>
      </c>
    </row>
    <row r="41" spans="1:19" x14ac:dyDescent="0.25">
      <c r="A41">
        <v>900091143</v>
      </c>
      <c r="B41" t="s">
        <v>29</v>
      </c>
      <c r="C41" t="s">
        <v>1972</v>
      </c>
      <c r="E41" t="s">
        <v>1972</v>
      </c>
      <c r="H41" t="s">
        <v>22</v>
      </c>
      <c r="I41">
        <v>1085310465</v>
      </c>
      <c r="J41" t="s">
        <v>1973</v>
      </c>
      <c r="P41" t="s">
        <v>1864</v>
      </c>
      <c r="Q41" s="3">
        <v>5000000</v>
      </c>
      <c r="R41" s="8" t="e">
        <f>SUMIFS([1]REPORTADOS!$D$2:$D$3379,[1]REPORTADOS!$C$2:$C$3379,E41)</f>
        <v>#VALUE!</v>
      </c>
      <c r="S41" s="8" t="e">
        <f t="shared" si="0"/>
        <v>#VALUE!</v>
      </c>
    </row>
    <row r="42" spans="1:19" x14ac:dyDescent="0.25">
      <c r="A42">
        <v>900091143</v>
      </c>
      <c r="B42" t="s">
        <v>29</v>
      </c>
      <c r="C42" t="s">
        <v>1862</v>
      </c>
      <c r="E42" t="s">
        <v>1862</v>
      </c>
      <c r="H42" t="s">
        <v>22</v>
      </c>
      <c r="I42">
        <v>30722194</v>
      </c>
      <c r="J42" t="s">
        <v>1863</v>
      </c>
      <c r="P42" t="s">
        <v>1864</v>
      </c>
      <c r="Q42" s="3">
        <v>5000000</v>
      </c>
      <c r="R42" s="8" t="e">
        <f>SUMIFS([1]REPORTADOS!$D$2:$D$3379,[1]REPORTADOS!$C$2:$C$3379,E42)</f>
        <v>#VALUE!</v>
      </c>
      <c r="S42" s="8" t="e">
        <f t="shared" si="0"/>
        <v>#VALUE!</v>
      </c>
    </row>
    <row r="43" spans="1:19" x14ac:dyDescent="0.25">
      <c r="A43">
        <v>900091143</v>
      </c>
      <c r="B43" t="s">
        <v>29</v>
      </c>
      <c r="C43" t="s">
        <v>2011</v>
      </c>
      <c r="E43" t="s">
        <v>2011</v>
      </c>
      <c r="H43" t="s">
        <v>3254</v>
      </c>
      <c r="I43">
        <v>901340412</v>
      </c>
      <c r="J43" t="s">
        <v>2012</v>
      </c>
      <c r="P43" t="s">
        <v>2013</v>
      </c>
      <c r="Q43" s="3">
        <v>173682694</v>
      </c>
      <c r="R43" s="8" t="e">
        <f>SUMIFS([1]REPORTADOS!$D$2:$D$3379,[1]REPORTADOS!$C$2:$C$3379,E43)</f>
        <v>#VALUE!</v>
      </c>
      <c r="S43" s="8" t="e">
        <f t="shared" si="0"/>
        <v>#VALUE!</v>
      </c>
    </row>
    <row r="44" spans="1:19" x14ac:dyDescent="0.25">
      <c r="A44">
        <v>900091143</v>
      </c>
      <c r="B44" t="s">
        <v>29</v>
      </c>
      <c r="C44" t="s">
        <v>1966</v>
      </c>
      <c r="E44" t="s">
        <v>1966</v>
      </c>
      <c r="H44" t="s">
        <v>22</v>
      </c>
      <c r="I44">
        <v>1004592366</v>
      </c>
      <c r="J44" t="s">
        <v>1967</v>
      </c>
      <c r="P44" t="s">
        <v>1968</v>
      </c>
      <c r="Q44" s="3">
        <v>6000000</v>
      </c>
      <c r="R44" s="8" t="e">
        <f>SUMIFS([1]REPORTADOS!$D$2:$D$3379,[1]REPORTADOS!$C$2:$C$3379,E44)</f>
        <v>#VALUE!</v>
      </c>
      <c r="S44" s="8" t="e">
        <f t="shared" si="0"/>
        <v>#VALUE!</v>
      </c>
    </row>
    <row r="45" spans="1:19" x14ac:dyDescent="0.25">
      <c r="A45">
        <v>900091143</v>
      </c>
      <c r="B45" t="s">
        <v>29</v>
      </c>
      <c r="C45" t="s">
        <v>1963</v>
      </c>
      <c r="E45" t="s">
        <v>1963</v>
      </c>
      <c r="H45" t="s">
        <v>22</v>
      </c>
      <c r="I45">
        <v>1085253062</v>
      </c>
      <c r="J45" t="s">
        <v>1964</v>
      </c>
      <c r="P45" t="s">
        <v>1965</v>
      </c>
      <c r="Q45" s="3">
        <v>12000000</v>
      </c>
      <c r="R45" s="8" t="e">
        <f>SUMIFS([1]REPORTADOS!$D$2:$D$3379,[1]REPORTADOS!$C$2:$C$3379,E45)</f>
        <v>#VALUE!</v>
      </c>
      <c r="S45" s="8" t="e">
        <f t="shared" si="0"/>
        <v>#VALUE!</v>
      </c>
    </row>
    <row r="46" spans="1:19" x14ac:dyDescent="0.25">
      <c r="A46">
        <v>900091143</v>
      </c>
      <c r="B46" t="s">
        <v>29</v>
      </c>
      <c r="C46" t="s">
        <v>1960</v>
      </c>
      <c r="E46" t="s">
        <v>1960</v>
      </c>
      <c r="H46" t="s">
        <v>22</v>
      </c>
      <c r="I46">
        <v>27087122</v>
      </c>
      <c r="J46" t="s">
        <v>1961</v>
      </c>
      <c r="P46" t="s">
        <v>1962</v>
      </c>
      <c r="Q46" s="3">
        <v>6000000</v>
      </c>
      <c r="R46" s="8" t="e">
        <f>SUMIFS([1]REPORTADOS!$D$2:$D$3379,[1]REPORTADOS!$C$2:$C$3379,E46)</f>
        <v>#VALUE!</v>
      </c>
      <c r="S46" s="8" t="e">
        <f t="shared" si="0"/>
        <v>#VALUE!</v>
      </c>
    </row>
    <row r="47" spans="1:19" x14ac:dyDescent="0.25">
      <c r="A47">
        <v>900091143</v>
      </c>
      <c r="B47" t="s">
        <v>29</v>
      </c>
      <c r="C47" t="s">
        <v>1956</v>
      </c>
      <c r="E47" t="s">
        <v>1956</v>
      </c>
      <c r="H47" t="s">
        <v>22</v>
      </c>
      <c r="I47">
        <v>1085314608</v>
      </c>
      <c r="J47" t="s">
        <v>1957</v>
      </c>
      <c r="P47" t="s">
        <v>1679</v>
      </c>
      <c r="Q47" s="3">
        <v>6000000</v>
      </c>
      <c r="R47" s="8" t="e">
        <f>SUMIFS([1]REPORTADOS!$D$2:$D$3379,[1]REPORTADOS!$C$2:$C$3379,E47)</f>
        <v>#VALUE!</v>
      </c>
      <c r="S47" s="8" t="e">
        <f t="shared" si="0"/>
        <v>#VALUE!</v>
      </c>
    </row>
    <row r="48" spans="1:19" x14ac:dyDescent="0.25">
      <c r="A48">
        <v>900091143</v>
      </c>
      <c r="B48" t="s">
        <v>29</v>
      </c>
      <c r="C48" t="s">
        <v>1958</v>
      </c>
      <c r="E48" t="s">
        <v>1958</v>
      </c>
      <c r="H48" t="s">
        <v>22</v>
      </c>
      <c r="I48">
        <v>1085304308</v>
      </c>
      <c r="J48" t="s">
        <v>1959</v>
      </c>
      <c r="P48" t="s">
        <v>1760</v>
      </c>
      <c r="Q48" s="3">
        <v>6000000</v>
      </c>
      <c r="R48" s="8" t="e">
        <f>SUMIFS([1]REPORTADOS!$D$2:$D$3379,[1]REPORTADOS!$C$2:$C$3379,E48)</f>
        <v>#VALUE!</v>
      </c>
      <c r="S48" s="8" t="e">
        <f t="shared" si="0"/>
        <v>#VALUE!</v>
      </c>
    </row>
    <row r="49" spans="1:19" x14ac:dyDescent="0.25">
      <c r="A49">
        <v>900091143</v>
      </c>
      <c r="B49" t="s">
        <v>29</v>
      </c>
      <c r="C49" t="s">
        <v>2008</v>
      </c>
      <c r="E49" t="s">
        <v>2008</v>
      </c>
      <c r="H49" t="s">
        <v>22</v>
      </c>
      <c r="I49">
        <v>1082748783</v>
      </c>
      <c r="J49" t="s">
        <v>2009</v>
      </c>
      <c r="P49" t="s">
        <v>2010</v>
      </c>
      <c r="Q49" s="3">
        <v>6000000</v>
      </c>
      <c r="R49" s="8" t="e">
        <f>SUMIFS([1]REPORTADOS!$D$2:$D$3379,[1]REPORTADOS!$C$2:$C$3379,E49)</f>
        <v>#VALUE!</v>
      </c>
      <c r="S49" s="8" t="e">
        <f t="shared" si="0"/>
        <v>#VALUE!</v>
      </c>
    </row>
    <row r="50" spans="1:19" x14ac:dyDescent="0.25">
      <c r="A50">
        <v>900091143</v>
      </c>
      <c r="B50" t="s">
        <v>29</v>
      </c>
      <c r="C50" t="s">
        <v>1950</v>
      </c>
      <c r="E50" t="s">
        <v>1950</v>
      </c>
      <c r="H50" t="s">
        <v>22</v>
      </c>
      <c r="I50">
        <v>1084552048</v>
      </c>
      <c r="J50" t="s">
        <v>1951</v>
      </c>
      <c r="P50" t="s">
        <v>1952</v>
      </c>
      <c r="Q50" s="3">
        <v>5000000</v>
      </c>
      <c r="R50" s="8" t="e">
        <f>SUMIFS([1]REPORTADOS!$D$2:$D$3379,[1]REPORTADOS!$C$2:$C$3379,E50)</f>
        <v>#VALUE!</v>
      </c>
      <c r="S50" s="8" t="e">
        <f t="shared" si="0"/>
        <v>#VALUE!</v>
      </c>
    </row>
    <row r="51" spans="1:19" x14ac:dyDescent="0.25">
      <c r="A51">
        <v>900091143</v>
      </c>
      <c r="B51" t="s">
        <v>29</v>
      </c>
      <c r="C51" t="s">
        <v>1944</v>
      </c>
      <c r="E51" t="s">
        <v>1944</v>
      </c>
      <c r="H51" t="s">
        <v>22</v>
      </c>
      <c r="I51">
        <v>1085274630</v>
      </c>
      <c r="J51" t="s">
        <v>1945</v>
      </c>
      <c r="P51" t="s">
        <v>1946</v>
      </c>
      <c r="Q51" s="3">
        <v>6000000</v>
      </c>
      <c r="R51" s="8" t="e">
        <f>SUMIFS([1]REPORTADOS!$D$2:$D$3379,[1]REPORTADOS!$C$2:$C$3379,E51)</f>
        <v>#VALUE!</v>
      </c>
      <c r="S51" s="8" t="e">
        <f t="shared" si="0"/>
        <v>#VALUE!</v>
      </c>
    </row>
    <row r="52" spans="1:19" x14ac:dyDescent="0.25">
      <c r="A52">
        <v>900091143</v>
      </c>
      <c r="B52" t="s">
        <v>29</v>
      </c>
      <c r="C52" t="s">
        <v>1941</v>
      </c>
      <c r="E52" t="s">
        <v>1941</v>
      </c>
      <c r="H52" t="s">
        <v>22</v>
      </c>
      <c r="I52">
        <v>1086363186</v>
      </c>
      <c r="J52" t="s">
        <v>1942</v>
      </c>
      <c r="P52" t="s">
        <v>1943</v>
      </c>
      <c r="Q52" s="3">
        <v>6000000</v>
      </c>
      <c r="R52" s="8" t="e">
        <f>SUMIFS([1]REPORTADOS!$D$2:$D$3379,[1]REPORTADOS!$C$2:$C$3379,E52)</f>
        <v>#VALUE!</v>
      </c>
      <c r="S52" s="8" t="e">
        <f t="shared" si="0"/>
        <v>#VALUE!</v>
      </c>
    </row>
    <row r="53" spans="1:19" x14ac:dyDescent="0.25">
      <c r="A53">
        <v>900091143</v>
      </c>
      <c r="B53" t="s">
        <v>29</v>
      </c>
      <c r="C53" t="s">
        <v>1939</v>
      </c>
      <c r="E53" t="s">
        <v>1939</v>
      </c>
      <c r="H53" t="s">
        <v>22</v>
      </c>
      <c r="I53">
        <v>1004743217</v>
      </c>
      <c r="J53" t="s">
        <v>1940</v>
      </c>
      <c r="P53" t="s">
        <v>1760</v>
      </c>
      <c r="Q53" s="3">
        <v>6000000</v>
      </c>
      <c r="R53" s="8" t="e">
        <f>SUMIFS([1]REPORTADOS!$D$2:$D$3379,[1]REPORTADOS!$C$2:$C$3379,E53)</f>
        <v>#VALUE!</v>
      </c>
      <c r="S53" s="8" t="e">
        <f t="shared" si="0"/>
        <v>#VALUE!</v>
      </c>
    </row>
    <row r="54" spans="1:19" x14ac:dyDescent="0.25">
      <c r="A54">
        <v>900091143</v>
      </c>
      <c r="B54" t="s">
        <v>29</v>
      </c>
      <c r="C54" t="s">
        <v>1936</v>
      </c>
      <c r="E54" t="s">
        <v>1936</v>
      </c>
      <c r="H54" t="s">
        <v>22</v>
      </c>
      <c r="I54">
        <v>59706564</v>
      </c>
      <c r="J54" t="s">
        <v>1937</v>
      </c>
      <c r="P54" t="s">
        <v>1938</v>
      </c>
      <c r="Q54" s="3">
        <v>6000000</v>
      </c>
      <c r="R54" s="8" t="e">
        <f>SUMIFS([1]REPORTADOS!$D$2:$D$3379,[1]REPORTADOS!$C$2:$C$3379,E54)</f>
        <v>#VALUE!</v>
      </c>
      <c r="S54" s="8" t="e">
        <f t="shared" si="0"/>
        <v>#VALUE!</v>
      </c>
    </row>
    <row r="55" spans="1:19" x14ac:dyDescent="0.25">
      <c r="A55">
        <v>900091143</v>
      </c>
      <c r="B55" t="s">
        <v>29</v>
      </c>
      <c r="C55" t="s">
        <v>1933</v>
      </c>
      <c r="E55" t="s">
        <v>1933</v>
      </c>
      <c r="H55" t="s">
        <v>22</v>
      </c>
      <c r="I55">
        <v>1087958982</v>
      </c>
      <c r="J55" t="s">
        <v>1934</v>
      </c>
      <c r="P55" t="s">
        <v>1935</v>
      </c>
      <c r="Q55" s="3">
        <v>5000000</v>
      </c>
      <c r="R55" s="8" t="e">
        <f>SUMIFS([1]REPORTADOS!$D$2:$D$3379,[1]REPORTADOS!$C$2:$C$3379,E55)</f>
        <v>#VALUE!</v>
      </c>
      <c r="S55" s="8" t="e">
        <f t="shared" si="0"/>
        <v>#VALUE!</v>
      </c>
    </row>
    <row r="56" spans="1:19" x14ac:dyDescent="0.25">
      <c r="A56">
        <v>900091143</v>
      </c>
      <c r="B56" t="s">
        <v>29</v>
      </c>
      <c r="C56" t="s">
        <v>1947</v>
      </c>
      <c r="E56" t="s">
        <v>1947</v>
      </c>
      <c r="H56" t="s">
        <v>22</v>
      </c>
      <c r="I56">
        <v>1082748420</v>
      </c>
      <c r="J56" t="s">
        <v>1948</v>
      </c>
      <c r="P56" t="s">
        <v>1949</v>
      </c>
      <c r="Q56" s="3">
        <v>12000000</v>
      </c>
      <c r="R56" s="8" t="e">
        <f>SUMIFS([1]REPORTADOS!$D$2:$D$3379,[1]REPORTADOS!$C$2:$C$3379,E56)</f>
        <v>#VALUE!</v>
      </c>
      <c r="S56" s="8" t="e">
        <f t="shared" si="0"/>
        <v>#VALUE!</v>
      </c>
    </row>
    <row r="57" spans="1:19" x14ac:dyDescent="0.25">
      <c r="A57">
        <v>900091143</v>
      </c>
      <c r="B57" t="s">
        <v>29</v>
      </c>
      <c r="C57" t="s">
        <v>1931</v>
      </c>
      <c r="E57" t="s">
        <v>1931</v>
      </c>
      <c r="H57" t="s">
        <v>22</v>
      </c>
      <c r="I57">
        <v>1086329609</v>
      </c>
      <c r="J57" t="s">
        <v>1932</v>
      </c>
      <c r="P57" t="s">
        <v>1679</v>
      </c>
      <c r="Q57" s="3">
        <v>6000000</v>
      </c>
      <c r="R57" s="8" t="e">
        <f>SUMIFS([1]REPORTADOS!$D$2:$D$3379,[1]REPORTADOS!$C$2:$C$3379,E57)</f>
        <v>#VALUE!</v>
      </c>
      <c r="S57" s="8" t="e">
        <f t="shared" si="0"/>
        <v>#VALUE!</v>
      </c>
    </row>
    <row r="58" spans="1:19" x14ac:dyDescent="0.25">
      <c r="A58">
        <v>900091143</v>
      </c>
      <c r="B58" t="s">
        <v>29</v>
      </c>
      <c r="C58" t="s">
        <v>1928</v>
      </c>
      <c r="E58" t="s">
        <v>1928</v>
      </c>
      <c r="H58" t="s">
        <v>22</v>
      </c>
      <c r="I58">
        <v>37082232</v>
      </c>
      <c r="J58" t="s">
        <v>1929</v>
      </c>
      <c r="P58" t="s">
        <v>1930</v>
      </c>
      <c r="Q58" s="3">
        <v>6000000</v>
      </c>
      <c r="R58" s="8" t="e">
        <f>SUMIFS([1]REPORTADOS!$D$2:$D$3379,[1]REPORTADOS!$C$2:$C$3379,E58)</f>
        <v>#VALUE!</v>
      </c>
      <c r="S58" s="8" t="e">
        <f t="shared" si="0"/>
        <v>#VALUE!</v>
      </c>
    </row>
    <row r="59" spans="1:19" x14ac:dyDescent="0.25">
      <c r="A59">
        <v>900091143</v>
      </c>
      <c r="B59" t="s">
        <v>29</v>
      </c>
      <c r="C59" t="s">
        <v>1873</v>
      </c>
      <c r="E59" t="s">
        <v>1873</v>
      </c>
      <c r="H59" t="s">
        <v>22</v>
      </c>
      <c r="I59">
        <v>1081572043</v>
      </c>
      <c r="J59" t="s">
        <v>1874</v>
      </c>
      <c r="P59" t="s">
        <v>1875</v>
      </c>
      <c r="Q59" s="3">
        <v>6000000</v>
      </c>
      <c r="R59" s="8" t="e">
        <f>SUMIFS([1]REPORTADOS!$D$2:$D$3379,[1]REPORTADOS!$C$2:$C$3379,E59)</f>
        <v>#VALUE!</v>
      </c>
      <c r="S59" s="8" t="e">
        <f t="shared" si="0"/>
        <v>#VALUE!</v>
      </c>
    </row>
    <row r="60" spans="1:19" x14ac:dyDescent="0.25">
      <c r="A60">
        <v>900091143</v>
      </c>
      <c r="B60" t="s">
        <v>29</v>
      </c>
      <c r="C60" t="s">
        <v>2006</v>
      </c>
      <c r="E60" t="s">
        <v>2006</v>
      </c>
      <c r="H60" t="s">
        <v>22</v>
      </c>
      <c r="I60">
        <v>1085310466</v>
      </c>
      <c r="J60" t="s">
        <v>2007</v>
      </c>
      <c r="P60" t="s">
        <v>1760</v>
      </c>
      <c r="Q60" s="3">
        <v>6000000</v>
      </c>
      <c r="R60" s="8" t="e">
        <f>SUMIFS([1]REPORTADOS!$D$2:$D$3379,[1]REPORTADOS!$C$2:$C$3379,E60)</f>
        <v>#VALUE!</v>
      </c>
      <c r="S60" s="8" t="e">
        <f t="shared" si="0"/>
        <v>#VALUE!</v>
      </c>
    </row>
    <row r="61" spans="1:19" x14ac:dyDescent="0.25">
      <c r="A61">
        <v>900091143</v>
      </c>
      <c r="B61" t="s">
        <v>29</v>
      </c>
      <c r="C61" t="s">
        <v>1920</v>
      </c>
      <c r="E61" t="s">
        <v>1920</v>
      </c>
      <c r="H61" t="s">
        <v>22</v>
      </c>
      <c r="I61">
        <v>27088197</v>
      </c>
      <c r="J61" t="s">
        <v>1921</v>
      </c>
      <c r="P61" t="s">
        <v>1763</v>
      </c>
      <c r="Q61" s="3">
        <v>6000000</v>
      </c>
      <c r="R61" s="8" t="e">
        <f>SUMIFS([1]REPORTADOS!$D$2:$D$3379,[1]REPORTADOS!$C$2:$C$3379,E61)</f>
        <v>#VALUE!</v>
      </c>
      <c r="S61" s="8" t="e">
        <f t="shared" si="0"/>
        <v>#VALUE!</v>
      </c>
    </row>
    <row r="62" spans="1:19" x14ac:dyDescent="0.25">
      <c r="A62">
        <v>900091143</v>
      </c>
      <c r="B62" t="s">
        <v>29</v>
      </c>
      <c r="C62" t="s">
        <v>1918</v>
      </c>
      <c r="E62" t="s">
        <v>1918</v>
      </c>
      <c r="H62" t="s">
        <v>22</v>
      </c>
      <c r="I62">
        <v>1082747438</v>
      </c>
      <c r="J62" t="s">
        <v>1919</v>
      </c>
      <c r="P62" t="s">
        <v>1769</v>
      </c>
      <c r="Q62" s="3">
        <v>6000000</v>
      </c>
      <c r="R62" s="8" t="e">
        <f>SUMIFS([1]REPORTADOS!$D$2:$D$3379,[1]REPORTADOS!$C$2:$C$3379,E62)</f>
        <v>#VALUE!</v>
      </c>
      <c r="S62" s="8" t="e">
        <f t="shared" si="0"/>
        <v>#VALUE!</v>
      </c>
    </row>
    <row r="63" spans="1:19" x14ac:dyDescent="0.25">
      <c r="A63">
        <v>900091143</v>
      </c>
      <c r="B63" t="s">
        <v>29</v>
      </c>
      <c r="C63" t="s">
        <v>1915</v>
      </c>
      <c r="E63" t="s">
        <v>1915</v>
      </c>
      <c r="H63" t="s">
        <v>22</v>
      </c>
      <c r="I63">
        <v>1233188479</v>
      </c>
      <c r="J63" t="s">
        <v>1916</v>
      </c>
      <c r="P63" t="s">
        <v>1917</v>
      </c>
      <c r="Q63" s="3">
        <v>5000000</v>
      </c>
      <c r="R63" s="8" t="e">
        <f>SUMIFS([1]REPORTADOS!$D$2:$D$3379,[1]REPORTADOS!$C$2:$C$3379,E63)</f>
        <v>#VALUE!</v>
      </c>
      <c r="S63" s="8" t="e">
        <f t="shared" si="0"/>
        <v>#VALUE!</v>
      </c>
    </row>
    <row r="64" spans="1:19" x14ac:dyDescent="0.25">
      <c r="A64">
        <v>900091143</v>
      </c>
      <c r="B64" t="s">
        <v>29</v>
      </c>
      <c r="C64" t="s">
        <v>1912</v>
      </c>
      <c r="E64" t="s">
        <v>1912</v>
      </c>
      <c r="H64" t="s">
        <v>22</v>
      </c>
      <c r="I64">
        <v>1085315013</v>
      </c>
      <c r="J64" t="s">
        <v>1913</v>
      </c>
      <c r="P64" t="s">
        <v>1914</v>
      </c>
      <c r="Q64" s="3">
        <v>6000000</v>
      </c>
      <c r="R64" s="8" t="e">
        <f>SUMIFS([1]REPORTADOS!$D$2:$D$3379,[1]REPORTADOS!$C$2:$C$3379,E64)</f>
        <v>#VALUE!</v>
      </c>
      <c r="S64" s="8" t="e">
        <f t="shared" si="0"/>
        <v>#VALUE!</v>
      </c>
    </row>
    <row r="65" spans="1:19" x14ac:dyDescent="0.25">
      <c r="A65">
        <v>900091143</v>
      </c>
      <c r="B65" t="s">
        <v>29</v>
      </c>
      <c r="C65" t="s">
        <v>1907</v>
      </c>
      <c r="E65" t="s">
        <v>1907</v>
      </c>
      <c r="H65" t="s">
        <v>22</v>
      </c>
      <c r="I65">
        <v>30734666</v>
      </c>
      <c r="J65" t="s">
        <v>1908</v>
      </c>
      <c r="P65" t="s">
        <v>1817</v>
      </c>
      <c r="Q65" s="3">
        <v>5000000</v>
      </c>
      <c r="R65" s="8" t="e">
        <f>SUMIFS([1]REPORTADOS!$D$2:$D$3379,[1]REPORTADOS!$C$2:$C$3379,E65)</f>
        <v>#VALUE!</v>
      </c>
      <c r="S65" s="8" t="e">
        <f t="shared" si="0"/>
        <v>#VALUE!</v>
      </c>
    </row>
    <row r="66" spans="1:19" x14ac:dyDescent="0.25">
      <c r="A66">
        <v>900091143</v>
      </c>
      <c r="B66" t="s">
        <v>29</v>
      </c>
      <c r="C66" t="s">
        <v>1909</v>
      </c>
      <c r="E66" t="s">
        <v>1909</v>
      </c>
      <c r="H66" t="s">
        <v>22</v>
      </c>
      <c r="I66">
        <v>1004535234</v>
      </c>
      <c r="J66" t="s">
        <v>1910</v>
      </c>
      <c r="P66" t="s">
        <v>1911</v>
      </c>
      <c r="Q66" s="3">
        <v>6000000</v>
      </c>
      <c r="R66" s="8" t="e">
        <f>SUMIFS([1]REPORTADOS!$D$2:$D$3379,[1]REPORTADOS!$C$2:$C$3379,E66)</f>
        <v>#VALUE!</v>
      </c>
      <c r="S66" s="8" t="e">
        <f t="shared" si="0"/>
        <v>#VALUE!</v>
      </c>
    </row>
    <row r="67" spans="1:19" x14ac:dyDescent="0.25">
      <c r="A67">
        <v>900091143</v>
      </c>
      <c r="B67" t="s">
        <v>29</v>
      </c>
      <c r="C67" t="s">
        <v>1905</v>
      </c>
      <c r="E67" t="s">
        <v>1905</v>
      </c>
      <c r="H67" t="s">
        <v>22</v>
      </c>
      <c r="I67">
        <v>1085275879</v>
      </c>
      <c r="J67" t="s">
        <v>1906</v>
      </c>
      <c r="P67" t="s">
        <v>1811</v>
      </c>
      <c r="Q67" s="3">
        <v>12000000</v>
      </c>
      <c r="R67" s="8" t="e">
        <f>SUMIFS([1]REPORTADOS!$D$2:$D$3379,[1]REPORTADOS!$C$2:$C$3379,E67)</f>
        <v>#VALUE!</v>
      </c>
      <c r="S67" s="8" t="e">
        <f t="shared" ref="S67:S130" si="1">Q67-R67</f>
        <v>#VALUE!</v>
      </c>
    </row>
    <row r="68" spans="1:19" x14ac:dyDescent="0.25">
      <c r="A68">
        <v>900091143</v>
      </c>
      <c r="B68" t="s">
        <v>29</v>
      </c>
      <c r="C68" t="s">
        <v>1991</v>
      </c>
      <c r="E68" t="s">
        <v>1991</v>
      </c>
      <c r="H68" t="s">
        <v>22</v>
      </c>
      <c r="I68">
        <v>1087408320</v>
      </c>
      <c r="J68" t="s">
        <v>1992</v>
      </c>
      <c r="P68" t="s">
        <v>1993</v>
      </c>
      <c r="Q68" s="3">
        <v>5000000</v>
      </c>
      <c r="R68" s="8" t="e">
        <f>SUMIFS([1]REPORTADOS!$D$2:$D$3379,[1]REPORTADOS!$C$2:$C$3379,E68)</f>
        <v>#VALUE!</v>
      </c>
      <c r="S68" s="8" t="e">
        <f t="shared" si="1"/>
        <v>#VALUE!</v>
      </c>
    </row>
    <row r="69" spans="1:19" x14ac:dyDescent="0.25">
      <c r="A69">
        <v>900091143</v>
      </c>
      <c r="B69" t="s">
        <v>29</v>
      </c>
      <c r="C69" t="s">
        <v>1900</v>
      </c>
      <c r="E69" t="s">
        <v>1900</v>
      </c>
      <c r="H69" t="s">
        <v>22</v>
      </c>
      <c r="I69">
        <v>1192717330</v>
      </c>
      <c r="J69" t="s">
        <v>1901</v>
      </c>
      <c r="P69" t="s">
        <v>1902</v>
      </c>
      <c r="Q69" s="3">
        <v>6000000</v>
      </c>
      <c r="R69" s="8" t="e">
        <f>SUMIFS([1]REPORTADOS!$D$2:$D$3379,[1]REPORTADOS!$C$2:$C$3379,E69)</f>
        <v>#VALUE!</v>
      </c>
      <c r="S69" s="8" t="e">
        <f t="shared" si="1"/>
        <v>#VALUE!</v>
      </c>
    </row>
    <row r="70" spans="1:19" x14ac:dyDescent="0.25">
      <c r="A70">
        <v>900091143</v>
      </c>
      <c r="B70" t="s">
        <v>29</v>
      </c>
      <c r="C70" t="s">
        <v>1969</v>
      </c>
      <c r="E70" t="s">
        <v>1969</v>
      </c>
      <c r="H70" t="s">
        <v>22</v>
      </c>
      <c r="I70">
        <v>1085254626</v>
      </c>
      <c r="J70" t="s">
        <v>1970</v>
      </c>
      <c r="P70" t="s">
        <v>1971</v>
      </c>
      <c r="Q70" s="3">
        <v>12000000</v>
      </c>
      <c r="R70" s="8" t="e">
        <f>SUMIFS([1]REPORTADOS!$D$2:$D$3379,[1]REPORTADOS!$C$2:$C$3379,E70)</f>
        <v>#VALUE!</v>
      </c>
      <c r="S70" s="8" t="e">
        <f t="shared" si="1"/>
        <v>#VALUE!</v>
      </c>
    </row>
    <row r="71" spans="1:19" x14ac:dyDescent="0.25">
      <c r="A71">
        <v>900091143</v>
      </c>
      <c r="B71" t="s">
        <v>29</v>
      </c>
      <c r="C71" t="s">
        <v>1953</v>
      </c>
      <c r="E71" t="s">
        <v>1953</v>
      </c>
      <c r="H71" t="s">
        <v>22</v>
      </c>
      <c r="I71">
        <v>27436186</v>
      </c>
      <c r="J71" t="s">
        <v>1954</v>
      </c>
      <c r="P71" t="s">
        <v>1955</v>
      </c>
      <c r="Q71" s="3">
        <v>6000000</v>
      </c>
      <c r="R71" s="8" t="e">
        <f>SUMIFS([1]REPORTADOS!$D$2:$D$3379,[1]REPORTADOS!$C$2:$C$3379,E71)</f>
        <v>#VALUE!</v>
      </c>
      <c r="S71" s="8" t="e">
        <f t="shared" si="1"/>
        <v>#VALUE!</v>
      </c>
    </row>
    <row r="72" spans="1:19" x14ac:dyDescent="0.25">
      <c r="A72">
        <v>900091143</v>
      </c>
      <c r="B72" t="s">
        <v>29</v>
      </c>
      <c r="C72" t="s">
        <v>1893</v>
      </c>
      <c r="E72" t="s">
        <v>1893</v>
      </c>
      <c r="H72" t="s">
        <v>22</v>
      </c>
      <c r="I72">
        <v>1085326791</v>
      </c>
      <c r="J72" t="s">
        <v>1894</v>
      </c>
      <c r="P72" t="s">
        <v>1895</v>
      </c>
      <c r="Q72" s="3">
        <v>6000000</v>
      </c>
      <c r="R72" s="8" t="e">
        <f>SUMIFS([1]REPORTADOS!$D$2:$D$3379,[1]REPORTADOS!$C$2:$C$3379,E72)</f>
        <v>#VALUE!</v>
      </c>
      <c r="S72" s="8" t="e">
        <f t="shared" si="1"/>
        <v>#VALUE!</v>
      </c>
    </row>
    <row r="73" spans="1:19" x14ac:dyDescent="0.25">
      <c r="A73">
        <v>900091143</v>
      </c>
      <c r="B73" t="s">
        <v>29</v>
      </c>
      <c r="C73" t="s">
        <v>1890</v>
      </c>
      <c r="E73" t="s">
        <v>1890</v>
      </c>
      <c r="H73" t="s">
        <v>22</v>
      </c>
      <c r="I73">
        <v>59310853</v>
      </c>
      <c r="J73" t="s">
        <v>1891</v>
      </c>
      <c r="P73" t="s">
        <v>1892</v>
      </c>
      <c r="Q73" s="3">
        <v>6000000</v>
      </c>
      <c r="R73" s="8" t="e">
        <f>SUMIFS([1]REPORTADOS!$D$2:$D$3379,[1]REPORTADOS!$C$2:$C$3379,E73)</f>
        <v>#VALUE!</v>
      </c>
      <c r="S73" s="8" t="e">
        <f t="shared" si="1"/>
        <v>#VALUE!</v>
      </c>
    </row>
    <row r="74" spans="1:19" x14ac:dyDescent="0.25">
      <c r="A74">
        <v>900091143</v>
      </c>
      <c r="B74" t="s">
        <v>29</v>
      </c>
      <c r="C74" t="s">
        <v>1887</v>
      </c>
      <c r="E74" t="s">
        <v>1887</v>
      </c>
      <c r="H74" t="s">
        <v>22</v>
      </c>
      <c r="I74">
        <v>1085299577</v>
      </c>
      <c r="J74" t="s">
        <v>1888</v>
      </c>
      <c r="P74" t="s">
        <v>1889</v>
      </c>
      <c r="Q74" s="3">
        <v>12000000</v>
      </c>
      <c r="R74" s="8" t="e">
        <f>SUMIFS([1]REPORTADOS!$D$2:$D$3379,[1]REPORTADOS!$C$2:$C$3379,E74)</f>
        <v>#VALUE!</v>
      </c>
      <c r="S74" s="8" t="e">
        <f t="shared" si="1"/>
        <v>#VALUE!</v>
      </c>
    </row>
    <row r="75" spans="1:19" x14ac:dyDescent="0.25">
      <c r="A75">
        <v>900091143</v>
      </c>
      <c r="B75" t="s">
        <v>29</v>
      </c>
      <c r="C75" t="s">
        <v>1922</v>
      </c>
      <c r="E75" t="s">
        <v>1922</v>
      </c>
      <c r="H75" t="s">
        <v>22</v>
      </c>
      <c r="I75">
        <v>1004235479</v>
      </c>
      <c r="J75" t="s">
        <v>1923</v>
      </c>
      <c r="P75" t="s">
        <v>1924</v>
      </c>
      <c r="Q75" s="3">
        <v>2600000</v>
      </c>
      <c r="R75" s="8" t="e">
        <f>SUMIFS([1]REPORTADOS!$D$2:$D$3379,[1]REPORTADOS!$C$2:$C$3379,E75)</f>
        <v>#VALUE!</v>
      </c>
      <c r="S75" s="8" t="e">
        <f t="shared" si="1"/>
        <v>#VALUE!</v>
      </c>
    </row>
    <row r="76" spans="1:19" x14ac:dyDescent="0.25">
      <c r="A76">
        <v>900091143</v>
      </c>
      <c r="B76" t="s">
        <v>29</v>
      </c>
      <c r="C76" t="s">
        <v>1903</v>
      </c>
      <c r="E76" t="s">
        <v>1903</v>
      </c>
      <c r="H76" t="s">
        <v>22</v>
      </c>
      <c r="I76">
        <v>98398650</v>
      </c>
      <c r="J76" t="s">
        <v>1904</v>
      </c>
      <c r="P76" t="s">
        <v>1814</v>
      </c>
      <c r="Q76" s="3">
        <v>9500000</v>
      </c>
      <c r="R76" s="8" t="e">
        <f>SUMIFS([1]REPORTADOS!$D$2:$D$3379,[1]REPORTADOS!$C$2:$C$3379,E76)</f>
        <v>#VALUE!</v>
      </c>
      <c r="S76" s="8" t="e">
        <f t="shared" si="1"/>
        <v>#VALUE!</v>
      </c>
    </row>
    <row r="77" spans="1:19" x14ac:dyDescent="0.25">
      <c r="A77">
        <v>900091143</v>
      </c>
      <c r="B77" t="s">
        <v>29</v>
      </c>
      <c r="C77" t="s">
        <v>1876</v>
      </c>
      <c r="E77" t="s">
        <v>1876</v>
      </c>
      <c r="H77" t="s">
        <v>22</v>
      </c>
      <c r="I77">
        <v>1085347173</v>
      </c>
      <c r="J77" t="s">
        <v>1877</v>
      </c>
      <c r="P77" t="s">
        <v>1878</v>
      </c>
      <c r="Q77" s="3">
        <v>5000000</v>
      </c>
      <c r="R77" s="8" t="e">
        <f>SUMIFS([1]REPORTADOS!$D$2:$D$3379,[1]REPORTADOS!$C$2:$C$3379,E77)</f>
        <v>#VALUE!</v>
      </c>
      <c r="S77" s="8" t="e">
        <f t="shared" si="1"/>
        <v>#VALUE!</v>
      </c>
    </row>
    <row r="78" spans="1:19" x14ac:dyDescent="0.25">
      <c r="A78">
        <v>900091143</v>
      </c>
      <c r="B78" t="s">
        <v>29</v>
      </c>
      <c r="C78" t="s">
        <v>1856</v>
      </c>
      <c r="E78" t="s">
        <v>1856</v>
      </c>
      <c r="H78" t="s">
        <v>22</v>
      </c>
      <c r="I78">
        <v>1087959088</v>
      </c>
      <c r="J78" t="s">
        <v>1857</v>
      </c>
      <c r="P78" t="s">
        <v>1858</v>
      </c>
      <c r="Q78" s="3">
        <v>6000000</v>
      </c>
      <c r="R78" s="8" t="e">
        <f>SUMIFS([1]REPORTADOS!$D$2:$D$3379,[1]REPORTADOS!$C$2:$C$3379,E78)</f>
        <v>#VALUE!</v>
      </c>
      <c r="S78" s="8" t="e">
        <f t="shared" si="1"/>
        <v>#VALUE!</v>
      </c>
    </row>
    <row r="79" spans="1:19" x14ac:dyDescent="0.25">
      <c r="A79">
        <v>900091143</v>
      </c>
      <c r="B79" t="s">
        <v>29</v>
      </c>
      <c r="C79" t="s">
        <v>1859</v>
      </c>
      <c r="E79" t="s">
        <v>1859</v>
      </c>
      <c r="H79" t="s">
        <v>22</v>
      </c>
      <c r="I79">
        <v>1085269090</v>
      </c>
      <c r="J79" t="s">
        <v>1860</v>
      </c>
      <c r="P79" t="s">
        <v>1861</v>
      </c>
      <c r="Q79" s="3">
        <v>6000000</v>
      </c>
      <c r="R79" s="8" t="e">
        <f>SUMIFS([1]REPORTADOS!$D$2:$D$3379,[1]REPORTADOS!$C$2:$C$3379,E79)</f>
        <v>#VALUE!</v>
      </c>
      <c r="S79" s="8" t="e">
        <f t="shared" si="1"/>
        <v>#VALUE!</v>
      </c>
    </row>
    <row r="80" spans="1:19" x14ac:dyDescent="0.25">
      <c r="A80">
        <v>900091143</v>
      </c>
      <c r="B80" t="s">
        <v>29</v>
      </c>
      <c r="C80" t="s">
        <v>1868</v>
      </c>
      <c r="E80" t="s">
        <v>1868</v>
      </c>
      <c r="H80" t="s">
        <v>22</v>
      </c>
      <c r="I80">
        <v>1233189234</v>
      </c>
      <c r="J80" t="s">
        <v>1869</v>
      </c>
      <c r="P80" t="s">
        <v>1870</v>
      </c>
      <c r="Q80" s="3">
        <v>6000000</v>
      </c>
      <c r="R80" s="8" t="e">
        <f>SUMIFS([1]REPORTADOS!$D$2:$D$3379,[1]REPORTADOS!$C$2:$C$3379,E80)</f>
        <v>#VALUE!</v>
      </c>
      <c r="S80" s="8" t="e">
        <f t="shared" si="1"/>
        <v>#VALUE!</v>
      </c>
    </row>
    <row r="81" spans="1:19" x14ac:dyDescent="0.25">
      <c r="A81">
        <v>900091143</v>
      </c>
      <c r="B81" t="s">
        <v>29</v>
      </c>
      <c r="C81" t="s">
        <v>1882</v>
      </c>
      <c r="E81" t="s">
        <v>1882</v>
      </c>
      <c r="H81" t="s">
        <v>22</v>
      </c>
      <c r="I81">
        <v>97470681</v>
      </c>
      <c r="J81" t="s">
        <v>1883</v>
      </c>
      <c r="P81" t="s">
        <v>1811</v>
      </c>
      <c r="Q81" s="3">
        <v>12000000</v>
      </c>
      <c r="R81" s="8" t="e">
        <f>SUMIFS([1]REPORTADOS!$D$2:$D$3379,[1]REPORTADOS!$C$2:$C$3379,E81)</f>
        <v>#VALUE!</v>
      </c>
      <c r="S81" s="8" t="e">
        <f t="shared" si="1"/>
        <v>#VALUE!</v>
      </c>
    </row>
    <row r="82" spans="1:19" x14ac:dyDescent="0.25">
      <c r="A82">
        <v>900091143</v>
      </c>
      <c r="B82" t="s">
        <v>29</v>
      </c>
      <c r="C82" t="s">
        <v>1853</v>
      </c>
      <c r="E82" t="s">
        <v>1853</v>
      </c>
      <c r="H82" t="s">
        <v>22</v>
      </c>
      <c r="I82">
        <v>1085252263</v>
      </c>
      <c r="J82" t="s">
        <v>1854</v>
      </c>
      <c r="P82" t="s">
        <v>1855</v>
      </c>
      <c r="Q82" s="3">
        <v>6000000</v>
      </c>
      <c r="R82" s="8" t="e">
        <f>SUMIFS([1]REPORTADOS!$D$2:$D$3379,[1]REPORTADOS!$C$2:$C$3379,E82)</f>
        <v>#VALUE!</v>
      </c>
      <c r="S82" s="8" t="e">
        <f t="shared" si="1"/>
        <v>#VALUE!</v>
      </c>
    </row>
    <row r="83" spans="1:19" x14ac:dyDescent="0.25">
      <c r="A83">
        <v>900091143</v>
      </c>
      <c r="B83" t="s">
        <v>29</v>
      </c>
      <c r="C83" t="s">
        <v>1850</v>
      </c>
      <c r="E83" t="s">
        <v>1850</v>
      </c>
      <c r="H83" t="s">
        <v>22</v>
      </c>
      <c r="I83">
        <v>37087120</v>
      </c>
      <c r="J83" t="s">
        <v>1851</v>
      </c>
      <c r="P83" t="s">
        <v>1852</v>
      </c>
      <c r="Q83" s="3">
        <v>15000000</v>
      </c>
      <c r="R83" s="8" t="e">
        <f>SUMIFS([1]REPORTADOS!$D$2:$D$3379,[1]REPORTADOS!$C$2:$C$3379,E83)</f>
        <v>#VALUE!</v>
      </c>
      <c r="S83" s="8" t="e">
        <f t="shared" si="1"/>
        <v>#VALUE!</v>
      </c>
    </row>
    <row r="84" spans="1:19" x14ac:dyDescent="0.25">
      <c r="A84">
        <v>900091143</v>
      </c>
      <c r="B84" t="s">
        <v>29</v>
      </c>
      <c r="C84" t="s">
        <v>1898</v>
      </c>
      <c r="E84" t="s">
        <v>1898</v>
      </c>
      <c r="H84" t="s">
        <v>22</v>
      </c>
      <c r="I84">
        <v>36861874</v>
      </c>
      <c r="J84" t="s">
        <v>1899</v>
      </c>
      <c r="P84" t="s">
        <v>1794</v>
      </c>
      <c r="Q84" s="3">
        <v>6000000</v>
      </c>
      <c r="R84" s="8" t="e">
        <f>SUMIFS([1]REPORTADOS!$D$2:$D$3379,[1]REPORTADOS!$C$2:$C$3379,E84)</f>
        <v>#VALUE!</v>
      </c>
      <c r="S84" s="8" t="e">
        <f t="shared" si="1"/>
        <v>#VALUE!</v>
      </c>
    </row>
    <row r="85" spans="1:19" x14ac:dyDescent="0.25">
      <c r="A85">
        <v>900091143</v>
      </c>
      <c r="B85" t="s">
        <v>29</v>
      </c>
      <c r="C85" t="s">
        <v>1845</v>
      </c>
      <c r="E85" t="s">
        <v>1845</v>
      </c>
      <c r="H85" t="s">
        <v>22</v>
      </c>
      <c r="I85">
        <v>59820414</v>
      </c>
      <c r="J85" t="s">
        <v>1846</v>
      </c>
      <c r="P85" t="s">
        <v>1706</v>
      </c>
      <c r="Q85" s="3">
        <v>12000000</v>
      </c>
      <c r="R85" s="8" t="e">
        <f>SUMIFS([1]REPORTADOS!$D$2:$D$3379,[1]REPORTADOS!$C$2:$C$3379,E85)</f>
        <v>#VALUE!</v>
      </c>
      <c r="S85" s="8" t="e">
        <f t="shared" si="1"/>
        <v>#VALUE!</v>
      </c>
    </row>
    <row r="86" spans="1:19" x14ac:dyDescent="0.25">
      <c r="A86">
        <v>900091143</v>
      </c>
      <c r="B86" t="s">
        <v>29</v>
      </c>
      <c r="C86" t="s">
        <v>1871</v>
      </c>
      <c r="E86" t="s">
        <v>1871</v>
      </c>
      <c r="H86" t="s">
        <v>22</v>
      </c>
      <c r="I86">
        <v>59830219</v>
      </c>
      <c r="J86" t="s">
        <v>1872</v>
      </c>
      <c r="P86" t="s">
        <v>1831</v>
      </c>
      <c r="Q86" s="3">
        <v>5000000</v>
      </c>
      <c r="R86" s="8" t="e">
        <f>SUMIFS([1]REPORTADOS!$D$2:$D$3379,[1]REPORTADOS!$C$2:$C$3379,E86)</f>
        <v>#VALUE!</v>
      </c>
      <c r="S86" s="8" t="e">
        <f t="shared" si="1"/>
        <v>#VALUE!</v>
      </c>
    </row>
    <row r="87" spans="1:19" x14ac:dyDescent="0.25">
      <c r="A87">
        <v>900091143</v>
      </c>
      <c r="B87" t="s">
        <v>29</v>
      </c>
      <c r="C87" t="s">
        <v>1824</v>
      </c>
      <c r="E87" t="s">
        <v>1824</v>
      </c>
      <c r="H87" t="s">
        <v>22</v>
      </c>
      <c r="I87">
        <v>1085321578</v>
      </c>
      <c r="J87" t="s">
        <v>1825</v>
      </c>
      <c r="P87" t="s">
        <v>1826</v>
      </c>
      <c r="Q87" s="3">
        <v>9650000</v>
      </c>
      <c r="R87" s="8" t="e">
        <f>SUMIFS([1]REPORTADOS!$D$2:$D$3379,[1]REPORTADOS!$C$2:$C$3379,E87)</f>
        <v>#VALUE!</v>
      </c>
      <c r="S87" s="8" t="e">
        <f t="shared" si="1"/>
        <v>#VALUE!</v>
      </c>
    </row>
    <row r="88" spans="1:19" x14ac:dyDescent="0.25">
      <c r="A88">
        <v>900091143</v>
      </c>
      <c r="B88" t="s">
        <v>29</v>
      </c>
      <c r="C88" t="s">
        <v>1865</v>
      </c>
      <c r="E88" t="s">
        <v>1865</v>
      </c>
      <c r="H88" t="s">
        <v>22</v>
      </c>
      <c r="I88">
        <v>1089483067</v>
      </c>
      <c r="J88" t="s">
        <v>1866</v>
      </c>
      <c r="P88" t="s">
        <v>1867</v>
      </c>
      <c r="Q88" s="3">
        <v>15000000</v>
      </c>
      <c r="R88" s="8" t="e">
        <f>SUMIFS([1]REPORTADOS!$D$2:$D$3379,[1]REPORTADOS!$C$2:$C$3379,E88)</f>
        <v>#VALUE!</v>
      </c>
      <c r="S88" s="8" t="e">
        <f t="shared" si="1"/>
        <v>#VALUE!</v>
      </c>
    </row>
    <row r="89" spans="1:19" x14ac:dyDescent="0.25">
      <c r="A89">
        <v>900091143</v>
      </c>
      <c r="B89" t="s">
        <v>29</v>
      </c>
      <c r="C89" t="s">
        <v>1821</v>
      </c>
      <c r="E89" t="s">
        <v>1821</v>
      </c>
      <c r="H89" t="s">
        <v>22</v>
      </c>
      <c r="I89">
        <v>12990231</v>
      </c>
      <c r="J89" t="s">
        <v>1822</v>
      </c>
      <c r="P89" t="s">
        <v>1823</v>
      </c>
      <c r="Q89" s="3">
        <v>5000000</v>
      </c>
      <c r="R89" s="8" t="e">
        <f>SUMIFS([1]REPORTADOS!$D$2:$D$3379,[1]REPORTADOS!$C$2:$C$3379,E89)</f>
        <v>#VALUE!</v>
      </c>
      <c r="S89" s="8" t="e">
        <f t="shared" si="1"/>
        <v>#VALUE!</v>
      </c>
    </row>
    <row r="90" spans="1:19" x14ac:dyDescent="0.25">
      <c r="A90">
        <v>900091143</v>
      </c>
      <c r="B90" t="s">
        <v>29</v>
      </c>
      <c r="C90" t="s">
        <v>1842</v>
      </c>
      <c r="E90" t="s">
        <v>1842</v>
      </c>
      <c r="H90" t="s">
        <v>22</v>
      </c>
      <c r="I90">
        <v>1018492767</v>
      </c>
      <c r="J90" t="s">
        <v>1843</v>
      </c>
      <c r="P90" t="s">
        <v>1844</v>
      </c>
      <c r="Q90" s="3">
        <v>9500000</v>
      </c>
      <c r="R90" s="8" t="e">
        <f>SUMIFS([1]REPORTADOS!$D$2:$D$3379,[1]REPORTADOS!$C$2:$C$3379,E90)</f>
        <v>#VALUE!</v>
      </c>
      <c r="S90" s="8" t="e">
        <f t="shared" si="1"/>
        <v>#VALUE!</v>
      </c>
    </row>
    <row r="91" spans="1:19" x14ac:dyDescent="0.25">
      <c r="A91">
        <v>900091143</v>
      </c>
      <c r="B91" t="s">
        <v>29</v>
      </c>
      <c r="C91" t="s">
        <v>1803</v>
      </c>
      <c r="E91" t="s">
        <v>1803</v>
      </c>
      <c r="H91" t="s">
        <v>22</v>
      </c>
      <c r="I91">
        <v>1137624011</v>
      </c>
      <c r="J91" t="s">
        <v>1804</v>
      </c>
      <c r="P91" t="s">
        <v>1805</v>
      </c>
      <c r="Q91" s="3">
        <v>6000000</v>
      </c>
      <c r="R91" s="8" t="e">
        <f>SUMIFS([1]REPORTADOS!$D$2:$D$3379,[1]REPORTADOS!$C$2:$C$3379,E91)</f>
        <v>#VALUE!</v>
      </c>
      <c r="S91" s="8" t="e">
        <f t="shared" si="1"/>
        <v>#VALUE!</v>
      </c>
    </row>
    <row r="92" spans="1:19" x14ac:dyDescent="0.25">
      <c r="A92">
        <v>900091143</v>
      </c>
      <c r="B92" t="s">
        <v>29</v>
      </c>
      <c r="C92" t="s">
        <v>1839</v>
      </c>
      <c r="E92" t="s">
        <v>1839</v>
      </c>
      <c r="H92" t="s">
        <v>22</v>
      </c>
      <c r="I92">
        <v>1085283868</v>
      </c>
      <c r="J92" t="s">
        <v>1840</v>
      </c>
      <c r="P92" t="s">
        <v>1841</v>
      </c>
      <c r="Q92" s="3">
        <v>12000000</v>
      </c>
      <c r="R92" s="8" t="e">
        <f>SUMIFS([1]REPORTADOS!$D$2:$D$3379,[1]REPORTADOS!$C$2:$C$3379,E92)</f>
        <v>#VALUE!</v>
      </c>
      <c r="S92" s="8" t="e">
        <f t="shared" si="1"/>
        <v>#VALUE!</v>
      </c>
    </row>
    <row r="93" spans="1:19" x14ac:dyDescent="0.25">
      <c r="A93">
        <v>900091143</v>
      </c>
      <c r="B93" t="s">
        <v>29</v>
      </c>
      <c r="C93" t="s">
        <v>1836</v>
      </c>
      <c r="E93" t="s">
        <v>1836</v>
      </c>
      <c r="H93" t="s">
        <v>22</v>
      </c>
      <c r="I93">
        <v>1080900817</v>
      </c>
      <c r="J93" t="s">
        <v>1837</v>
      </c>
      <c r="P93" t="s">
        <v>1838</v>
      </c>
      <c r="Q93" s="3">
        <v>9650000</v>
      </c>
      <c r="R93" s="8" t="e">
        <f>SUMIFS([1]REPORTADOS!$D$2:$D$3379,[1]REPORTADOS!$C$2:$C$3379,E93)</f>
        <v>#VALUE!</v>
      </c>
      <c r="S93" s="8" t="e">
        <f t="shared" si="1"/>
        <v>#VALUE!</v>
      </c>
    </row>
    <row r="94" spans="1:19" x14ac:dyDescent="0.25">
      <c r="A94">
        <v>900091143</v>
      </c>
      <c r="B94" t="s">
        <v>29</v>
      </c>
      <c r="C94" t="s">
        <v>1834</v>
      </c>
      <c r="E94" t="s">
        <v>1834</v>
      </c>
      <c r="H94" t="s">
        <v>22</v>
      </c>
      <c r="I94">
        <v>59836480</v>
      </c>
      <c r="J94" t="s">
        <v>1835</v>
      </c>
      <c r="P94" t="s">
        <v>1706</v>
      </c>
      <c r="Q94" s="3">
        <v>12000000</v>
      </c>
      <c r="R94" s="8" t="e">
        <f>SUMIFS([1]REPORTADOS!$D$2:$D$3379,[1]REPORTADOS!$C$2:$C$3379,E94)</f>
        <v>#VALUE!</v>
      </c>
      <c r="S94" s="8" t="e">
        <f t="shared" si="1"/>
        <v>#VALUE!</v>
      </c>
    </row>
    <row r="95" spans="1:19" x14ac:dyDescent="0.25">
      <c r="A95">
        <v>900091143</v>
      </c>
      <c r="B95" t="s">
        <v>29</v>
      </c>
      <c r="C95" t="s">
        <v>1896</v>
      </c>
      <c r="E95" t="s">
        <v>1896</v>
      </c>
      <c r="H95" t="s">
        <v>22</v>
      </c>
      <c r="I95">
        <v>27198144</v>
      </c>
      <c r="J95" t="s">
        <v>1897</v>
      </c>
      <c r="P95" t="s">
        <v>1706</v>
      </c>
      <c r="Q95" s="3">
        <v>4200000</v>
      </c>
      <c r="R95" s="8" t="e">
        <f>SUMIFS([1]REPORTADOS!$D$2:$D$3379,[1]REPORTADOS!$C$2:$C$3379,E95)</f>
        <v>#VALUE!</v>
      </c>
      <c r="S95" s="8" t="e">
        <f t="shared" si="1"/>
        <v>#VALUE!</v>
      </c>
    </row>
    <row r="96" spans="1:19" x14ac:dyDescent="0.25">
      <c r="A96">
        <v>900091143</v>
      </c>
      <c r="B96" t="s">
        <v>29</v>
      </c>
      <c r="C96" t="s">
        <v>1829</v>
      </c>
      <c r="E96" t="s">
        <v>1829</v>
      </c>
      <c r="H96" t="s">
        <v>22</v>
      </c>
      <c r="I96">
        <v>1085304072</v>
      </c>
      <c r="J96" t="s">
        <v>1830</v>
      </c>
      <c r="P96" t="s">
        <v>1831</v>
      </c>
      <c r="Q96" s="3">
        <v>5000000</v>
      </c>
      <c r="R96" s="8" t="e">
        <f>SUMIFS([1]REPORTADOS!$D$2:$D$3379,[1]REPORTADOS!$C$2:$C$3379,E96)</f>
        <v>#VALUE!</v>
      </c>
      <c r="S96" s="8" t="e">
        <f t="shared" si="1"/>
        <v>#VALUE!</v>
      </c>
    </row>
    <row r="97" spans="1:19" x14ac:dyDescent="0.25">
      <c r="A97">
        <v>900091143</v>
      </c>
      <c r="B97" t="s">
        <v>29</v>
      </c>
      <c r="C97" t="s">
        <v>1827</v>
      </c>
      <c r="E97" t="s">
        <v>1827</v>
      </c>
      <c r="H97" t="s">
        <v>22</v>
      </c>
      <c r="I97">
        <v>27220499</v>
      </c>
      <c r="J97" t="s">
        <v>1828</v>
      </c>
      <c r="P97" t="s">
        <v>1823</v>
      </c>
      <c r="Q97" s="3">
        <v>5000000</v>
      </c>
      <c r="R97" s="8" t="e">
        <f>SUMIFS([1]REPORTADOS!$D$2:$D$3379,[1]REPORTADOS!$C$2:$C$3379,E97)</f>
        <v>#VALUE!</v>
      </c>
      <c r="S97" s="8" t="e">
        <f t="shared" si="1"/>
        <v>#VALUE!</v>
      </c>
    </row>
    <row r="98" spans="1:19" x14ac:dyDescent="0.25">
      <c r="A98">
        <v>900091143</v>
      </c>
      <c r="B98" t="s">
        <v>29</v>
      </c>
      <c r="C98" t="s">
        <v>1884</v>
      </c>
      <c r="E98" t="s">
        <v>1884</v>
      </c>
      <c r="H98" t="s">
        <v>38</v>
      </c>
      <c r="I98">
        <v>805021222</v>
      </c>
      <c r="J98" t="s">
        <v>1885</v>
      </c>
      <c r="P98" t="s">
        <v>1886</v>
      </c>
      <c r="Q98" s="3">
        <v>124999946</v>
      </c>
      <c r="R98" s="8" t="e">
        <f>SUMIFS([1]REPORTADOS!$D$2:$D$3379,[1]REPORTADOS!$C$2:$C$3379,E98)</f>
        <v>#VALUE!</v>
      </c>
      <c r="S98" s="8" t="e">
        <f t="shared" si="1"/>
        <v>#VALUE!</v>
      </c>
    </row>
    <row r="99" spans="1:19" x14ac:dyDescent="0.25">
      <c r="A99">
        <v>900091143</v>
      </c>
      <c r="B99" t="s">
        <v>29</v>
      </c>
      <c r="C99" t="s">
        <v>1812</v>
      </c>
      <c r="E99" t="s">
        <v>1812</v>
      </c>
      <c r="H99" t="s">
        <v>22</v>
      </c>
      <c r="I99">
        <v>27087475</v>
      </c>
      <c r="J99" t="s">
        <v>1813</v>
      </c>
      <c r="P99" t="s">
        <v>1814</v>
      </c>
      <c r="Q99" s="3">
        <v>9500000</v>
      </c>
      <c r="R99" s="8" t="e">
        <f>SUMIFS([1]REPORTADOS!$D$2:$D$3379,[1]REPORTADOS!$C$2:$C$3379,E99)</f>
        <v>#VALUE!</v>
      </c>
      <c r="S99" s="8" t="e">
        <f t="shared" si="1"/>
        <v>#VALUE!</v>
      </c>
    </row>
    <row r="100" spans="1:19" x14ac:dyDescent="0.25">
      <c r="A100">
        <v>900091143</v>
      </c>
      <c r="B100" t="s">
        <v>29</v>
      </c>
      <c r="C100" t="s">
        <v>1795</v>
      </c>
      <c r="E100" t="s">
        <v>1795</v>
      </c>
      <c r="H100" t="s">
        <v>22</v>
      </c>
      <c r="I100">
        <v>1193202097</v>
      </c>
      <c r="J100" t="s">
        <v>1796</v>
      </c>
      <c r="P100" t="s">
        <v>1797</v>
      </c>
      <c r="Q100" s="3">
        <v>15000000</v>
      </c>
      <c r="R100" s="8" t="e">
        <f>SUMIFS([1]REPORTADOS!$D$2:$D$3379,[1]REPORTADOS!$C$2:$C$3379,E100)</f>
        <v>#VALUE!</v>
      </c>
      <c r="S100" s="8" t="e">
        <f t="shared" si="1"/>
        <v>#VALUE!</v>
      </c>
    </row>
    <row r="101" spans="1:19" x14ac:dyDescent="0.25">
      <c r="A101">
        <v>900091143</v>
      </c>
      <c r="B101" t="s">
        <v>29</v>
      </c>
      <c r="C101" t="s">
        <v>1818</v>
      </c>
      <c r="E101" t="s">
        <v>1818</v>
      </c>
      <c r="H101" t="s">
        <v>22</v>
      </c>
      <c r="I101">
        <v>1085336362</v>
      </c>
      <c r="J101" t="s">
        <v>1819</v>
      </c>
      <c r="P101" t="s">
        <v>1820</v>
      </c>
      <c r="Q101" s="3">
        <v>15000000</v>
      </c>
      <c r="R101" s="8" t="e">
        <f>SUMIFS([1]REPORTADOS!$D$2:$D$3379,[1]REPORTADOS!$C$2:$C$3379,E101)</f>
        <v>#VALUE!</v>
      </c>
      <c r="S101" s="8" t="e">
        <f t="shared" si="1"/>
        <v>#VALUE!</v>
      </c>
    </row>
    <row r="102" spans="1:19" x14ac:dyDescent="0.25">
      <c r="A102">
        <v>900091143</v>
      </c>
      <c r="B102" t="s">
        <v>29</v>
      </c>
      <c r="C102" t="s">
        <v>1815</v>
      </c>
      <c r="E102" t="s">
        <v>1815</v>
      </c>
      <c r="H102" t="s">
        <v>22</v>
      </c>
      <c r="I102">
        <v>1088729401</v>
      </c>
      <c r="J102" t="s">
        <v>1816</v>
      </c>
      <c r="P102" t="s">
        <v>1817</v>
      </c>
      <c r="Q102" s="3">
        <v>5000000</v>
      </c>
      <c r="R102" s="8" t="e">
        <f>SUMIFS([1]REPORTADOS!$D$2:$D$3379,[1]REPORTADOS!$C$2:$C$3379,E102)</f>
        <v>#VALUE!</v>
      </c>
      <c r="S102" s="8" t="e">
        <f t="shared" si="1"/>
        <v>#VALUE!</v>
      </c>
    </row>
    <row r="103" spans="1:19" x14ac:dyDescent="0.25">
      <c r="A103">
        <v>900091143</v>
      </c>
      <c r="B103" t="s">
        <v>29</v>
      </c>
      <c r="C103" t="s">
        <v>1809</v>
      </c>
      <c r="E103" t="s">
        <v>1809</v>
      </c>
      <c r="H103" t="s">
        <v>22</v>
      </c>
      <c r="I103">
        <v>59837608</v>
      </c>
      <c r="J103" t="s">
        <v>1810</v>
      </c>
      <c r="P103" t="s">
        <v>1811</v>
      </c>
      <c r="Q103" s="3">
        <v>12000000</v>
      </c>
      <c r="R103" s="8" t="e">
        <f>SUMIFS([1]REPORTADOS!$D$2:$D$3379,[1]REPORTADOS!$C$2:$C$3379,E103)</f>
        <v>#VALUE!</v>
      </c>
      <c r="S103" s="8" t="e">
        <f t="shared" si="1"/>
        <v>#VALUE!</v>
      </c>
    </row>
    <row r="104" spans="1:19" x14ac:dyDescent="0.25">
      <c r="A104">
        <v>900091143</v>
      </c>
      <c r="B104" t="s">
        <v>29</v>
      </c>
      <c r="C104" t="s">
        <v>1806</v>
      </c>
      <c r="E104" t="s">
        <v>1806</v>
      </c>
      <c r="H104" t="s">
        <v>22</v>
      </c>
      <c r="I104">
        <v>36953206</v>
      </c>
      <c r="J104" t="s">
        <v>1807</v>
      </c>
      <c r="P104" t="s">
        <v>1808</v>
      </c>
      <c r="Q104" s="3">
        <v>9500000</v>
      </c>
      <c r="R104" s="8" t="e">
        <f>SUMIFS([1]REPORTADOS!$D$2:$D$3379,[1]REPORTADOS!$C$2:$C$3379,E104)</f>
        <v>#VALUE!</v>
      </c>
      <c r="S104" s="8" t="e">
        <f t="shared" si="1"/>
        <v>#VALUE!</v>
      </c>
    </row>
    <row r="105" spans="1:19" x14ac:dyDescent="0.25">
      <c r="A105">
        <v>900091143</v>
      </c>
      <c r="B105" t="s">
        <v>29</v>
      </c>
      <c r="C105" t="s">
        <v>1761</v>
      </c>
      <c r="E105" t="s">
        <v>1761</v>
      </c>
      <c r="H105" t="s">
        <v>22</v>
      </c>
      <c r="I105">
        <v>1085339190</v>
      </c>
      <c r="J105" t="s">
        <v>1762</v>
      </c>
      <c r="P105" t="s">
        <v>1763</v>
      </c>
      <c r="Q105" s="3">
        <v>6000000</v>
      </c>
      <c r="R105" s="8" t="e">
        <f>SUMIFS([1]REPORTADOS!$D$2:$D$3379,[1]REPORTADOS!$C$2:$C$3379,E105)</f>
        <v>#VALUE!</v>
      </c>
      <c r="S105" s="8" t="e">
        <f t="shared" si="1"/>
        <v>#VALUE!</v>
      </c>
    </row>
    <row r="106" spans="1:19" x14ac:dyDescent="0.25">
      <c r="A106">
        <v>900091143</v>
      </c>
      <c r="B106" t="s">
        <v>29</v>
      </c>
      <c r="C106" t="s">
        <v>1801</v>
      </c>
      <c r="E106" t="s">
        <v>1801</v>
      </c>
      <c r="H106" t="s">
        <v>22</v>
      </c>
      <c r="I106">
        <v>98382500</v>
      </c>
      <c r="J106" t="s">
        <v>1802</v>
      </c>
      <c r="P106" t="s">
        <v>1769</v>
      </c>
      <c r="Q106" s="3">
        <v>6000000</v>
      </c>
      <c r="R106" s="8" t="e">
        <f>SUMIFS([1]REPORTADOS!$D$2:$D$3379,[1]REPORTADOS!$C$2:$C$3379,E106)</f>
        <v>#VALUE!</v>
      </c>
      <c r="S106" s="8" t="e">
        <f t="shared" si="1"/>
        <v>#VALUE!</v>
      </c>
    </row>
    <row r="107" spans="1:19" x14ac:dyDescent="0.25">
      <c r="A107">
        <v>900091143</v>
      </c>
      <c r="B107" t="s">
        <v>29</v>
      </c>
      <c r="C107" t="s">
        <v>1798</v>
      </c>
      <c r="E107" t="s">
        <v>1798</v>
      </c>
      <c r="H107" t="s">
        <v>22</v>
      </c>
      <c r="I107">
        <v>1010082397</v>
      </c>
      <c r="J107" t="s">
        <v>1799</v>
      </c>
      <c r="P107" t="s">
        <v>1800</v>
      </c>
      <c r="Q107" s="3">
        <v>6000000</v>
      </c>
      <c r="R107" s="8" t="e">
        <f>SUMIFS([1]REPORTADOS!$D$2:$D$3379,[1]REPORTADOS!$C$2:$C$3379,E107)</f>
        <v>#VALUE!</v>
      </c>
      <c r="S107" s="8" t="e">
        <f t="shared" si="1"/>
        <v>#VALUE!</v>
      </c>
    </row>
    <row r="108" spans="1:19" x14ac:dyDescent="0.25">
      <c r="A108">
        <v>900091143</v>
      </c>
      <c r="B108" t="s">
        <v>29</v>
      </c>
      <c r="C108" t="s">
        <v>1792</v>
      </c>
      <c r="E108" t="s">
        <v>1792</v>
      </c>
      <c r="H108" t="s">
        <v>22</v>
      </c>
      <c r="I108">
        <v>1087006717</v>
      </c>
      <c r="J108" t="s">
        <v>1793</v>
      </c>
      <c r="P108" t="s">
        <v>1794</v>
      </c>
      <c r="Q108" s="3">
        <v>6000000</v>
      </c>
      <c r="R108" s="8" t="e">
        <f>SUMIFS([1]REPORTADOS!$D$2:$D$3379,[1]REPORTADOS!$C$2:$C$3379,E108)</f>
        <v>#VALUE!</v>
      </c>
      <c r="S108" s="8" t="e">
        <f t="shared" si="1"/>
        <v>#VALUE!</v>
      </c>
    </row>
    <row r="109" spans="1:19" x14ac:dyDescent="0.25">
      <c r="A109">
        <v>900091143</v>
      </c>
      <c r="B109" t="s">
        <v>29</v>
      </c>
      <c r="C109" t="s">
        <v>1790</v>
      </c>
      <c r="E109" t="s">
        <v>1790</v>
      </c>
      <c r="H109" t="s">
        <v>22</v>
      </c>
      <c r="I109">
        <v>1085317833</v>
      </c>
      <c r="J109" t="s">
        <v>1791</v>
      </c>
      <c r="P109" t="s">
        <v>1763</v>
      </c>
      <c r="Q109" s="3">
        <v>6000000</v>
      </c>
      <c r="R109" s="8" t="e">
        <f>SUMIFS([1]REPORTADOS!$D$2:$D$3379,[1]REPORTADOS!$C$2:$C$3379,E109)</f>
        <v>#VALUE!</v>
      </c>
      <c r="S109" s="8" t="e">
        <f t="shared" si="1"/>
        <v>#VALUE!</v>
      </c>
    </row>
    <row r="110" spans="1:19" x14ac:dyDescent="0.25">
      <c r="A110">
        <v>900091143</v>
      </c>
      <c r="B110" t="s">
        <v>29</v>
      </c>
      <c r="C110" t="s">
        <v>1758</v>
      </c>
      <c r="E110" t="s">
        <v>1758</v>
      </c>
      <c r="H110" t="s">
        <v>22</v>
      </c>
      <c r="I110">
        <v>59834953</v>
      </c>
      <c r="J110" t="s">
        <v>1759</v>
      </c>
      <c r="P110" t="s">
        <v>1760</v>
      </c>
      <c r="Q110" s="3">
        <v>6000000</v>
      </c>
      <c r="R110" s="8" t="e">
        <f>SUMIFS([1]REPORTADOS!$D$2:$D$3379,[1]REPORTADOS!$C$2:$C$3379,E110)</f>
        <v>#VALUE!</v>
      </c>
      <c r="S110" s="8" t="e">
        <f t="shared" si="1"/>
        <v>#VALUE!</v>
      </c>
    </row>
    <row r="111" spans="1:19" x14ac:dyDescent="0.25">
      <c r="A111">
        <v>900091143</v>
      </c>
      <c r="B111" t="s">
        <v>29</v>
      </c>
      <c r="C111" t="s">
        <v>1879</v>
      </c>
      <c r="E111" t="s">
        <v>1879</v>
      </c>
      <c r="H111" t="s">
        <v>22</v>
      </c>
      <c r="I111">
        <v>98386323</v>
      </c>
      <c r="J111" t="s">
        <v>1880</v>
      </c>
      <c r="P111" t="s">
        <v>1881</v>
      </c>
      <c r="Q111" s="3">
        <v>5000000</v>
      </c>
      <c r="R111" s="8" t="e">
        <f>SUMIFS([1]REPORTADOS!$D$2:$D$3379,[1]REPORTADOS!$C$2:$C$3379,E111)</f>
        <v>#VALUE!</v>
      </c>
      <c r="S111" s="8" t="e">
        <f t="shared" si="1"/>
        <v>#VALUE!</v>
      </c>
    </row>
    <row r="112" spans="1:19" x14ac:dyDescent="0.25">
      <c r="A112">
        <v>900091143</v>
      </c>
      <c r="B112" t="s">
        <v>29</v>
      </c>
      <c r="C112" t="s">
        <v>1767</v>
      </c>
      <c r="E112" t="s">
        <v>1767</v>
      </c>
      <c r="H112" t="s">
        <v>22</v>
      </c>
      <c r="I112">
        <v>1086222689</v>
      </c>
      <c r="J112" t="s">
        <v>1768</v>
      </c>
      <c r="P112" t="s">
        <v>1769</v>
      </c>
      <c r="Q112" s="3">
        <v>6000000</v>
      </c>
      <c r="R112" s="8" t="e">
        <f>SUMIFS([1]REPORTADOS!$D$2:$D$3379,[1]REPORTADOS!$C$2:$C$3379,E112)</f>
        <v>#VALUE!</v>
      </c>
      <c r="S112" s="8" t="e">
        <f t="shared" si="1"/>
        <v>#VALUE!</v>
      </c>
    </row>
    <row r="113" spans="1:19" x14ac:dyDescent="0.25">
      <c r="A113">
        <v>900091143</v>
      </c>
      <c r="B113" t="s">
        <v>29</v>
      </c>
      <c r="C113" t="s">
        <v>1764</v>
      </c>
      <c r="E113" t="s">
        <v>1764</v>
      </c>
      <c r="H113" t="s">
        <v>22</v>
      </c>
      <c r="I113">
        <v>1085269530</v>
      </c>
      <c r="J113" t="s">
        <v>1765</v>
      </c>
      <c r="P113" t="s">
        <v>1766</v>
      </c>
      <c r="Q113" s="3">
        <v>9650000</v>
      </c>
      <c r="R113" s="8" t="e">
        <f>SUMIFS([1]REPORTADOS!$D$2:$D$3379,[1]REPORTADOS!$C$2:$C$3379,E113)</f>
        <v>#VALUE!</v>
      </c>
      <c r="S113" s="8" t="e">
        <f t="shared" si="1"/>
        <v>#VALUE!</v>
      </c>
    </row>
    <row r="114" spans="1:19" x14ac:dyDescent="0.25">
      <c r="A114">
        <v>900091143</v>
      </c>
      <c r="B114" t="s">
        <v>29</v>
      </c>
      <c r="C114" t="s">
        <v>1782</v>
      </c>
      <c r="E114" t="s">
        <v>1782</v>
      </c>
      <c r="H114" t="s">
        <v>22</v>
      </c>
      <c r="I114">
        <v>1081594639</v>
      </c>
      <c r="J114" t="s">
        <v>1783</v>
      </c>
      <c r="P114" t="s">
        <v>1784</v>
      </c>
      <c r="Q114" s="3">
        <v>6000000</v>
      </c>
      <c r="R114" s="8" t="e">
        <f>SUMIFS([1]REPORTADOS!$D$2:$D$3379,[1]REPORTADOS!$C$2:$C$3379,E114)</f>
        <v>#VALUE!</v>
      </c>
      <c r="S114" s="8" t="e">
        <f t="shared" si="1"/>
        <v>#VALUE!</v>
      </c>
    </row>
    <row r="115" spans="1:19" x14ac:dyDescent="0.25">
      <c r="A115">
        <v>900091143</v>
      </c>
      <c r="B115" t="s">
        <v>29</v>
      </c>
      <c r="C115" t="s">
        <v>1779</v>
      </c>
      <c r="E115" t="s">
        <v>1779</v>
      </c>
      <c r="H115" t="s">
        <v>22</v>
      </c>
      <c r="I115">
        <v>1014212900</v>
      </c>
      <c r="J115" t="s">
        <v>1780</v>
      </c>
      <c r="P115" t="s">
        <v>1781</v>
      </c>
      <c r="Q115" s="3">
        <v>12000000</v>
      </c>
      <c r="R115" s="8" t="e">
        <f>SUMIFS([1]REPORTADOS!$D$2:$D$3379,[1]REPORTADOS!$C$2:$C$3379,E115)</f>
        <v>#VALUE!</v>
      </c>
      <c r="S115" s="8" t="e">
        <f t="shared" si="1"/>
        <v>#VALUE!</v>
      </c>
    </row>
    <row r="116" spans="1:19" x14ac:dyDescent="0.25">
      <c r="A116">
        <v>900091143</v>
      </c>
      <c r="B116" t="s">
        <v>29</v>
      </c>
      <c r="C116" t="s">
        <v>1776</v>
      </c>
      <c r="E116" t="s">
        <v>1776</v>
      </c>
      <c r="H116" t="s">
        <v>22</v>
      </c>
      <c r="I116">
        <v>27388522</v>
      </c>
      <c r="J116" t="s">
        <v>1777</v>
      </c>
      <c r="P116" t="s">
        <v>1778</v>
      </c>
      <c r="Q116" s="3">
        <v>6000000</v>
      </c>
      <c r="R116" s="8" t="e">
        <f>SUMIFS([1]REPORTADOS!$D$2:$D$3379,[1]REPORTADOS!$C$2:$C$3379,E116)</f>
        <v>#VALUE!</v>
      </c>
      <c r="S116" s="8" t="e">
        <f t="shared" si="1"/>
        <v>#VALUE!</v>
      </c>
    </row>
    <row r="117" spans="1:19" x14ac:dyDescent="0.25">
      <c r="A117">
        <v>900091143</v>
      </c>
      <c r="B117" t="s">
        <v>29</v>
      </c>
      <c r="C117" t="s">
        <v>1773</v>
      </c>
      <c r="E117" t="s">
        <v>1773</v>
      </c>
      <c r="H117" t="s">
        <v>22</v>
      </c>
      <c r="I117">
        <v>1085286742</v>
      </c>
      <c r="J117" t="s">
        <v>1774</v>
      </c>
      <c r="P117" t="s">
        <v>1775</v>
      </c>
      <c r="Q117" s="3">
        <v>6000000</v>
      </c>
      <c r="R117" s="8" t="e">
        <f>SUMIFS([1]REPORTADOS!$D$2:$D$3379,[1]REPORTADOS!$C$2:$C$3379,E117)</f>
        <v>#VALUE!</v>
      </c>
      <c r="S117" s="8" t="e">
        <f t="shared" si="1"/>
        <v>#VALUE!</v>
      </c>
    </row>
    <row r="118" spans="1:19" x14ac:dyDescent="0.25">
      <c r="A118">
        <v>900091143</v>
      </c>
      <c r="B118" t="s">
        <v>29</v>
      </c>
      <c r="C118" t="s">
        <v>1847</v>
      </c>
      <c r="E118" t="s">
        <v>1847</v>
      </c>
      <c r="H118" t="s">
        <v>3254</v>
      </c>
      <c r="I118">
        <v>900994364</v>
      </c>
      <c r="J118" t="s">
        <v>1848</v>
      </c>
      <c r="P118" t="s">
        <v>1849</v>
      </c>
      <c r="Q118" s="3">
        <v>72390000</v>
      </c>
      <c r="R118" s="8" t="e">
        <f>SUMIFS([1]REPORTADOS!$D$2:$D$3379,[1]REPORTADOS!$C$2:$C$3379,E118)</f>
        <v>#VALUE!</v>
      </c>
      <c r="S118" s="8" t="e">
        <f t="shared" si="1"/>
        <v>#VALUE!</v>
      </c>
    </row>
    <row r="119" spans="1:19" x14ac:dyDescent="0.25">
      <c r="A119">
        <v>900091143</v>
      </c>
      <c r="B119" t="s">
        <v>29</v>
      </c>
      <c r="C119" t="s">
        <v>1788</v>
      </c>
      <c r="E119" t="s">
        <v>1788</v>
      </c>
      <c r="H119" t="s">
        <v>22</v>
      </c>
      <c r="I119">
        <v>1081272025</v>
      </c>
      <c r="J119" t="s">
        <v>1789</v>
      </c>
      <c r="P119" t="s">
        <v>1763</v>
      </c>
      <c r="Q119" s="3">
        <v>6000000</v>
      </c>
      <c r="R119" s="8" t="e">
        <f>SUMIFS([1]REPORTADOS!$D$2:$D$3379,[1]REPORTADOS!$C$2:$C$3379,E119)</f>
        <v>#VALUE!</v>
      </c>
      <c r="S119" s="8" t="e">
        <f t="shared" si="1"/>
        <v>#VALUE!</v>
      </c>
    </row>
    <row r="120" spans="1:19" x14ac:dyDescent="0.25">
      <c r="A120">
        <v>900091143</v>
      </c>
      <c r="B120" t="s">
        <v>29</v>
      </c>
      <c r="C120" t="s">
        <v>1785</v>
      </c>
      <c r="E120" t="s">
        <v>1785</v>
      </c>
      <c r="H120" t="s">
        <v>22</v>
      </c>
      <c r="I120">
        <v>1085286725</v>
      </c>
      <c r="J120" t="s">
        <v>1786</v>
      </c>
      <c r="P120" t="s">
        <v>1787</v>
      </c>
      <c r="Q120" s="3">
        <v>6000000</v>
      </c>
      <c r="R120" s="8" t="e">
        <f>SUMIFS([1]REPORTADOS!$D$2:$D$3379,[1]REPORTADOS!$C$2:$C$3379,E120)</f>
        <v>#VALUE!</v>
      </c>
      <c r="S120" s="8" t="e">
        <f t="shared" si="1"/>
        <v>#VALUE!</v>
      </c>
    </row>
    <row r="121" spans="1:19" x14ac:dyDescent="0.25">
      <c r="A121">
        <v>900091143</v>
      </c>
      <c r="B121" t="s">
        <v>29</v>
      </c>
      <c r="C121" t="s">
        <v>1743</v>
      </c>
      <c r="E121" t="s">
        <v>1743</v>
      </c>
      <c r="H121" t="s">
        <v>22</v>
      </c>
      <c r="I121">
        <v>1086223299</v>
      </c>
      <c r="J121" t="s">
        <v>1744</v>
      </c>
      <c r="P121" t="s">
        <v>1745</v>
      </c>
      <c r="Q121" s="3">
        <v>6000000</v>
      </c>
      <c r="R121" s="8" t="e">
        <f>SUMIFS([1]REPORTADOS!$D$2:$D$3379,[1]REPORTADOS!$C$2:$C$3379,E121)</f>
        <v>#VALUE!</v>
      </c>
      <c r="S121" s="8" t="e">
        <f t="shared" si="1"/>
        <v>#VALUE!</v>
      </c>
    </row>
    <row r="122" spans="1:19" x14ac:dyDescent="0.25">
      <c r="A122">
        <v>900091143</v>
      </c>
      <c r="B122" t="s">
        <v>29</v>
      </c>
      <c r="C122" t="s">
        <v>1740</v>
      </c>
      <c r="E122" t="s">
        <v>1740</v>
      </c>
      <c r="H122" t="s">
        <v>22</v>
      </c>
      <c r="I122">
        <v>1085345772</v>
      </c>
      <c r="J122" t="s">
        <v>1741</v>
      </c>
      <c r="P122" t="s">
        <v>1742</v>
      </c>
      <c r="Q122" s="3">
        <v>9500000</v>
      </c>
      <c r="R122" s="8" t="e">
        <f>SUMIFS([1]REPORTADOS!$D$2:$D$3379,[1]REPORTADOS!$C$2:$C$3379,E122)</f>
        <v>#VALUE!</v>
      </c>
      <c r="S122" s="8" t="e">
        <f t="shared" si="1"/>
        <v>#VALUE!</v>
      </c>
    </row>
    <row r="123" spans="1:19" x14ac:dyDescent="0.25">
      <c r="A123">
        <v>900091143</v>
      </c>
      <c r="B123" t="s">
        <v>29</v>
      </c>
      <c r="C123" t="s">
        <v>1755</v>
      </c>
      <c r="E123" t="s">
        <v>1755</v>
      </c>
      <c r="H123" t="s">
        <v>22</v>
      </c>
      <c r="I123">
        <v>59825948</v>
      </c>
      <c r="J123" t="s">
        <v>1756</v>
      </c>
      <c r="P123" t="s">
        <v>1757</v>
      </c>
      <c r="Q123" s="3">
        <v>12000000</v>
      </c>
      <c r="R123" s="8" t="e">
        <f>SUMIFS([1]REPORTADOS!$D$2:$D$3379,[1]REPORTADOS!$C$2:$C$3379,E123)</f>
        <v>#VALUE!</v>
      </c>
      <c r="S123" s="8" t="e">
        <f t="shared" si="1"/>
        <v>#VALUE!</v>
      </c>
    </row>
    <row r="124" spans="1:19" x14ac:dyDescent="0.25">
      <c r="A124">
        <v>900091143</v>
      </c>
      <c r="B124" t="s">
        <v>29</v>
      </c>
      <c r="C124" t="s">
        <v>1752</v>
      </c>
      <c r="E124" t="s">
        <v>1752</v>
      </c>
      <c r="H124" t="s">
        <v>22</v>
      </c>
      <c r="I124">
        <v>36954407</v>
      </c>
      <c r="J124" t="s">
        <v>1753</v>
      </c>
      <c r="P124" t="s">
        <v>1754</v>
      </c>
      <c r="Q124" s="3">
        <v>6000000</v>
      </c>
      <c r="R124" s="8" t="e">
        <f>SUMIFS([1]REPORTADOS!$D$2:$D$3379,[1]REPORTADOS!$C$2:$C$3379,E124)</f>
        <v>#VALUE!</v>
      </c>
      <c r="S124" s="8" t="e">
        <f t="shared" si="1"/>
        <v>#VALUE!</v>
      </c>
    </row>
    <row r="125" spans="1:19" x14ac:dyDescent="0.25">
      <c r="A125">
        <v>900091143</v>
      </c>
      <c r="B125" t="s">
        <v>29</v>
      </c>
      <c r="C125" t="s">
        <v>1749</v>
      </c>
      <c r="E125" t="s">
        <v>1749</v>
      </c>
      <c r="H125" t="s">
        <v>22</v>
      </c>
      <c r="I125">
        <v>27146489</v>
      </c>
      <c r="J125" t="s">
        <v>1750</v>
      </c>
      <c r="P125" t="s">
        <v>1751</v>
      </c>
      <c r="Q125" s="3">
        <v>12000000</v>
      </c>
      <c r="R125" s="8" t="e">
        <f>SUMIFS([1]REPORTADOS!$D$2:$D$3379,[1]REPORTADOS!$C$2:$C$3379,E125)</f>
        <v>#VALUE!</v>
      </c>
      <c r="S125" s="8" t="e">
        <f t="shared" si="1"/>
        <v>#VALUE!</v>
      </c>
    </row>
    <row r="126" spans="1:19" x14ac:dyDescent="0.25">
      <c r="A126">
        <v>900091143</v>
      </c>
      <c r="B126" t="s">
        <v>29</v>
      </c>
      <c r="C126" t="s">
        <v>1746</v>
      </c>
      <c r="E126" t="s">
        <v>1746</v>
      </c>
      <c r="H126" t="s">
        <v>22</v>
      </c>
      <c r="I126">
        <v>1085293105</v>
      </c>
      <c r="J126" t="s">
        <v>1747</v>
      </c>
      <c r="P126" t="s">
        <v>1748</v>
      </c>
      <c r="Q126" s="3">
        <v>15000000</v>
      </c>
      <c r="R126" s="8" t="e">
        <f>SUMIFS([1]REPORTADOS!$D$2:$D$3379,[1]REPORTADOS!$C$2:$C$3379,E126)</f>
        <v>#VALUE!</v>
      </c>
      <c r="S126" s="8" t="e">
        <f t="shared" si="1"/>
        <v>#VALUE!</v>
      </c>
    </row>
    <row r="127" spans="1:19" x14ac:dyDescent="0.25">
      <c r="A127">
        <v>900091143</v>
      </c>
      <c r="B127" t="s">
        <v>29</v>
      </c>
      <c r="C127" t="s">
        <v>1707</v>
      </c>
      <c r="E127" t="s">
        <v>1707</v>
      </c>
      <c r="H127" t="s">
        <v>22</v>
      </c>
      <c r="I127">
        <v>36759759</v>
      </c>
      <c r="J127" t="s">
        <v>1708</v>
      </c>
      <c r="P127" t="s">
        <v>1709</v>
      </c>
      <c r="Q127" s="3">
        <v>9500000</v>
      </c>
      <c r="R127" s="8" t="e">
        <f>SUMIFS([1]REPORTADOS!$D$2:$D$3379,[1]REPORTADOS!$C$2:$C$3379,E127)</f>
        <v>#VALUE!</v>
      </c>
      <c r="S127" s="8" t="e">
        <f t="shared" si="1"/>
        <v>#VALUE!</v>
      </c>
    </row>
    <row r="128" spans="1:19" x14ac:dyDescent="0.25">
      <c r="A128">
        <v>900091143</v>
      </c>
      <c r="B128" t="s">
        <v>29</v>
      </c>
      <c r="C128" s="6" t="s">
        <v>1680</v>
      </c>
      <c r="E128" s="6" t="s">
        <v>1680</v>
      </c>
      <c r="H128" t="s">
        <v>22</v>
      </c>
      <c r="I128">
        <v>1085286476</v>
      </c>
      <c r="J128" t="s">
        <v>1681</v>
      </c>
      <c r="P128" t="s">
        <v>1682</v>
      </c>
      <c r="Q128" s="3">
        <v>12000000</v>
      </c>
      <c r="R128" s="8" t="e">
        <f>SUMIFS([1]REPORTADOS!$D$2:$D$3379,[1]REPORTADOS!$C$2:$C$3379,E128)</f>
        <v>#VALUE!</v>
      </c>
      <c r="S128" s="8" t="e">
        <f t="shared" si="1"/>
        <v>#VALUE!</v>
      </c>
    </row>
    <row r="129" spans="1:19" x14ac:dyDescent="0.25">
      <c r="A129">
        <v>900091143</v>
      </c>
      <c r="B129" t="s">
        <v>29</v>
      </c>
      <c r="C129" t="s">
        <v>1738</v>
      </c>
      <c r="E129" t="s">
        <v>1738</v>
      </c>
      <c r="H129" t="s">
        <v>22</v>
      </c>
      <c r="I129">
        <v>1081592303</v>
      </c>
      <c r="J129" t="s">
        <v>1739</v>
      </c>
      <c r="P129" t="s">
        <v>1737</v>
      </c>
      <c r="Q129" s="3">
        <v>6000000</v>
      </c>
      <c r="R129" s="8" t="e">
        <f>SUMIFS([1]REPORTADOS!$D$2:$D$3379,[1]REPORTADOS!$C$2:$C$3379,E129)</f>
        <v>#VALUE!</v>
      </c>
      <c r="S129" s="8" t="e">
        <f t="shared" si="1"/>
        <v>#VALUE!</v>
      </c>
    </row>
    <row r="130" spans="1:19" x14ac:dyDescent="0.25">
      <c r="A130">
        <v>900091143</v>
      </c>
      <c r="B130" t="s">
        <v>29</v>
      </c>
      <c r="C130" t="s">
        <v>1735</v>
      </c>
      <c r="E130" t="s">
        <v>1735</v>
      </c>
      <c r="H130" t="s">
        <v>22</v>
      </c>
      <c r="I130">
        <v>1193224810</v>
      </c>
      <c r="J130" t="s">
        <v>1736</v>
      </c>
      <c r="P130" t="s">
        <v>1737</v>
      </c>
      <c r="Q130" s="3">
        <v>6000000</v>
      </c>
      <c r="R130" s="8" t="e">
        <f>SUMIFS([1]REPORTADOS!$D$2:$D$3379,[1]REPORTADOS!$C$2:$C$3379,E130)</f>
        <v>#VALUE!</v>
      </c>
      <c r="S130" s="8" t="e">
        <f t="shared" si="1"/>
        <v>#VALUE!</v>
      </c>
    </row>
    <row r="131" spans="1:19" x14ac:dyDescent="0.25">
      <c r="A131">
        <v>900091143</v>
      </c>
      <c r="B131" t="s">
        <v>29</v>
      </c>
      <c r="C131" t="s">
        <v>1832</v>
      </c>
      <c r="E131" t="s">
        <v>1832</v>
      </c>
      <c r="H131" t="s">
        <v>22</v>
      </c>
      <c r="I131">
        <v>1085313872</v>
      </c>
      <c r="J131" t="s">
        <v>1833</v>
      </c>
      <c r="P131" t="s">
        <v>1706</v>
      </c>
      <c r="Q131" s="3">
        <v>5000000</v>
      </c>
      <c r="R131" s="8" t="e">
        <f>SUMIFS([1]REPORTADOS!$D$2:$D$3379,[1]REPORTADOS!$C$2:$C$3379,E131)</f>
        <v>#VALUE!</v>
      </c>
      <c r="S131" s="8" t="e">
        <f t="shared" ref="S131:S167" si="2">Q131-R131</f>
        <v>#VALUE!</v>
      </c>
    </row>
    <row r="132" spans="1:19" x14ac:dyDescent="0.25">
      <c r="A132">
        <v>900091143</v>
      </c>
      <c r="B132" t="s">
        <v>29</v>
      </c>
      <c r="C132" t="s">
        <v>1698</v>
      </c>
      <c r="E132" t="s">
        <v>1698</v>
      </c>
      <c r="H132" t="s">
        <v>22</v>
      </c>
      <c r="I132">
        <v>1087006619</v>
      </c>
      <c r="J132" t="s">
        <v>1699</v>
      </c>
      <c r="P132" t="s">
        <v>1700</v>
      </c>
      <c r="Q132" s="3">
        <v>15000000</v>
      </c>
      <c r="R132" s="8" t="e">
        <f>SUMIFS([1]REPORTADOS!$D$2:$D$3379,[1]REPORTADOS!$C$2:$C$3379,E132)</f>
        <v>#VALUE!</v>
      </c>
      <c r="S132" s="8" t="e">
        <f t="shared" si="2"/>
        <v>#VALUE!</v>
      </c>
    </row>
    <row r="133" spans="1:19" x14ac:dyDescent="0.25">
      <c r="A133">
        <v>900091143</v>
      </c>
      <c r="B133" t="s">
        <v>29</v>
      </c>
      <c r="C133" t="s">
        <v>1770</v>
      </c>
      <c r="E133" t="s">
        <v>1770</v>
      </c>
      <c r="H133" t="s">
        <v>22</v>
      </c>
      <c r="I133">
        <v>1086332188</v>
      </c>
      <c r="J133" t="s">
        <v>1771</v>
      </c>
      <c r="P133" t="s">
        <v>1772</v>
      </c>
      <c r="Q133" s="3">
        <v>9500000</v>
      </c>
      <c r="R133" s="8" t="e">
        <f>SUMIFS([1]REPORTADOS!$D$2:$D$3379,[1]REPORTADOS!$C$2:$C$3379,E133)</f>
        <v>#VALUE!</v>
      </c>
      <c r="S133" s="8" t="e">
        <f t="shared" si="2"/>
        <v>#VALUE!</v>
      </c>
    </row>
    <row r="134" spans="1:19" x14ac:dyDescent="0.25">
      <c r="A134">
        <v>900091143</v>
      </c>
      <c r="B134" t="s">
        <v>29</v>
      </c>
      <c r="C134" t="s">
        <v>1729</v>
      </c>
      <c r="E134" t="s">
        <v>1729</v>
      </c>
      <c r="H134" t="s">
        <v>22</v>
      </c>
      <c r="I134">
        <v>37087268</v>
      </c>
      <c r="J134" t="s">
        <v>1730</v>
      </c>
      <c r="P134" t="s">
        <v>1731</v>
      </c>
      <c r="Q134" s="3">
        <v>5000000</v>
      </c>
      <c r="R134" s="8" t="e">
        <f>SUMIFS([1]REPORTADOS!$D$2:$D$3379,[1]REPORTADOS!$C$2:$C$3379,E134)</f>
        <v>#VALUE!</v>
      </c>
      <c r="S134" s="8" t="e">
        <f t="shared" si="2"/>
        <v>#VALUE!</v>
      </c>
    </row>
    <row r="135" spans="1:19" x14ac:dyDescent="0.25">
      <c r="A135">
        <v>900091143</v>
      </c>
      <c r="B135" t="s">
        <v>29</v>
      </c>
      <c r="C135" t="s">
        <v>1726</v>
      </c>
      <c r="E135" t="s">
        <v>1726</v>
      </c>
      <c r="H135" t="s">
        <v>22</v>
      </c>
      <c r="I135">
        <v>1085271641</v>
      </c>
      <c r="J135" t="s">
        <v>1727</v>
      </c>
      <c r="P135" t="s">
        <v>1728</v>
      </c>
      <c r="Q135" s="3">
        <v>6000000</v>
      </c>
      <c r="R135" s="8" t="e">
        <f>SUMIFS([1]REPORTADOS!$D$2:$D$3379,[1]REPORTADOS!$C$2:$C$3379,E135)</f>
        <v>#VALUE!</v>
      </c>
      <c r="S135" s="8" t="e">
        <f t="shared" si="2"/>
        <v>#VALUE!</v>
      </c>
    </row>
    <row r="136" spans="1:19" x14ac:dyDescent="0.25">
      <c r="A136">
        <v>900091143</v>
      </c>
      <c r="B136" t="s">
        <v>29</v>
      </c>
      <c r="C136" t="s">
        <v>1723</v>
      </c>
      <c r="E136" t="s">
        <v>1723</v>
      </c>
      <c r="H136" t="s">
        <v>22</v>
      </c>
      <c r="I136">
        <v>37084285</v>
      </c>
      <c r="J136" t="s">
        <v>1724</v>
      </c>
      <c r="P136" t="s">
        <v>1725</v>
      </c>
      <c r="Q136" s="3">
        <v>6000000</v>
      </c>
      <c r="R136" s="8" t="e">
        <f>SUMIFS([1]REPORTADOS!$D$2:$D$3379,[1]REPORTADOS!$C$2:$C$3379,E136)</f>
        <v>#VALUE!</v>
      </c>
      <c r="S136" s="8" t="e">
        <f t="shared" si="2"/>
        <v>#VALUE!</v>
      </c>
    </row>
    <row r="137" spans="1:19" x14ac:dyDescent="0.25">
      <c r="A137">
        <v>900091143</v>
      </c>
      <c r="B137" t="s">
        <v>29</v>
      </c>
      <c r="C137" t="s">
        <v>1721</v>
      </c>
      <c r="E137" t="s">
        <v>1721</v>
      </c>
      <c r="H137" t="s">
        <v>22</v>
      </c>
      <c r="I137">
        <v>1088733625</v>
      </c>
      <c r="J137" t="s">
        <v>1722</v>
      </c>
      <c r="P137" t="s">
        <v>1679</v>
      </c>
      <c r="Q137" s="3">
        <v>6000000</v>
      </c>
      <c r="R137" s="8" t="e">
        <f>SUMIFS([1]REPORTADOS!$D$2:$D$3379,[1]REPORTADOS!$C$2:$C$3379,E137)</f>
        <v>#VALUE!</v>
      </c>
      <c r="S137" s="8" t="e">
        <f t="shared" si="2"/>
        <v>#VALUE!</v>
      </c>
    </row>
    <row r="138" spans="1:19" x14ac:dyDescent="0.25">
      <c r="A138">
        <v>900091143</v>
      </c>
      <c r="B138" t="s">
        <v>29</v>
      </c>
      <c r="C138" t="s">
        <v>1719</v>
      </c>
      <c r="E138" t="s">
        <v>1719</v>
      </c>
      <c r="H138" t="s">
        <v>22</v>
      </c>
      <c r="I138">
        <v>1233191675</v>
      </c>
      <c r="J138" t="s">
        <v>1720</v>
      </c>
      <c r="P138" t="s">
        <v>1679</v>
      </c>
      <c r="Q138" s="3">
        <v>6000000</v>
      </c>
      <c r="R138" s="8" t="e">
        <f>SUMIFS([1]REPORTADOS!$D$2:$D$3379,[1]REPORTADOS!$C$2:$C$3379,E138)</f>
        <v>#VALUE!</v>
      </c>
      <c r="S138" s="8" t="e">
        <f t="shared" si="2"/>
        <v>#VALUE!</v>
      </c>
    </row>
    <row r="139" spans="1:19" x14ac:dyDescent="0.25">
      <c r="A139">
        <v>900091143</v>
      </c>
      <c r="B139" t="s">
        <v>29</v>
      </c>
      <c r="C139" t="s">
        <v>1716</v>
      </c>
      <c r="E139" t="s">
        <v>1716</v>
      </c>
      <c r="H139" t="s">
        <v>22</v>
      </c>
      <c r="I139">
        <v>1085300095</v>
      </c>
      <c r="J139" t="s">
        <v>1717</v>
      </c>
      <c r="P139" t="s">
        <v>1718</v>
      </c>
      <c r="Q139" s="3">
        <v>6000000</v>
      </c>
      <c r="R139" s="8" t="e">
        <f>SUMIFS([1]REPORTADOS!$D$2:$D$3379,[1]REPORTADOS!$C$2:$C$3379,E139)</f>
        <v>#VALUE!</v>
      </c>
      <c r="S139" s="8" t="e">
        <f t="shared" si="2"/>
        <v>#VALUE!</v>
      </c>
    </row>
    <row r="140" spans="1:19" x14ac:dyDescent="0.25">
      <c r="A140">
        <v>900091143</v>
      </c>
      <c r="B140" t="s">
        <v>29</v>
      </c>
      <c r="C140" t="s">
        <v>1713</v>
      </c>
      <c r="E140" t="s">
        <v>1713</v>
      </c>
      <c r="H140" t="s">
        <v>22</v>
      </c>
      <c r="I140">
        <v>12974849</v>
      </c>
      <c r="J140" t="s">
        <v>1714</v>
      </c>
      <c r="P140" t="s">
        <v>1715</v>
      </c>
      <c r="Q140" s="3">
        <v>5000000</v>
      </c>
      <c r="R140" s="8" t="e">
        <f>SUMIFS([1]REPORTADOS!$D$2:$D$3379,[1]REPORTADOS!$C$2:$C$3379,E140)</f>
        <v>#VALUE!</v>
      </c>
      <c r="S140" s="8" t="e">
        <f t="shared" si="2"/>
        <v>#VALUE!</v>
      </c>
    </row>
    <row r="141" spans="1:19" x14ac:dyDescent="0.25">
      <c r="A141">
        <v>900091143</v>
      </c>
      <c r="B141" t="s">
        <v>29</v>
      </c>
      <c r="C141" t="s">
        <v>1710</v>
      </c>
      <c r="E141" t="s">
        <v>1710</v>
      </c>
      <c r="H141" t="s">
        <v>22</v>
      </c>
      <c r="I141">
        <v>1006946167</v>
      </c>
      <c r="J141" t="s">
        <v>1711</v>
      </c>
      <c r="P141" t="s">
        <v>1712</v>
      </c>
      <c r="Q141" s="3">
        <v>15000000</v>
      </c>
      <c r="R141" s="8" t="e">
        <f>SUMIFS([1]REPORTADOS!$D$2:$D$3379,[1]REPORTADOS!$C$2:$C$3379,E141)</f>
        <v>#VALUE!</v>
      </c>
      <c r="S141" s="8" t="e">
        <f t="shared" si="2"/>
        <v>#VALUE!</v>
      </c>
    </row>
    <row r="142" spans="1:19" x14ac:dyDescent="0.25">
      <c r="A142">
        <v>900091143</v>
      </c>
      <c r="B142" t="s">
        <v>29</v>
      </c>
      <c r="C142" t="s">
        <v>1659</v>
      </c>
      <c r="E142" t="s">
        <v>1659</v>
      </c>
      <c r="H142" t="s">
        <v>22</v>
      </c>
      <c r="I142">
        <v>1075242334</v>
      </c>
      <c r="J142" t="s">
        <v>1660</v>
      </c>
      <c r="P142" t="s">
        <v>1661</v>
      </c>
      <c r="Q142" s="3">
        <v>5000000</v>
      </c>
      <c r="R142" s="8" t="e">
        <f>SUMIFS([1]REPORTADOS!$D$2:$D$3379,[1]REPORTADOS!$C$2:$C$3379,E142)</f>
        <v>#VALUE!</v>
      </c>
      <c r="S142" s="8" t="e">
        <f t="shared" si="2"/>
        <v>#VALUE!</v>
      </c>
    </row>
    <row r="143" spans="1:19" x14ac:dyDescent="0.25">
      <c r="A143">
        <v>900091143</v>
      </c>
      <c r="B143" t="s">
        <v>29</v>
      </c>
      <c r="C143" t="s">
        <v>1704</v>
      </c>
      <c r="E143" t="s">
        <v>1704</v>
      </c>
      <c r="H143" t="s">
        <v>22</v>
      </c>
      <c r="I143">
        <v>59314458</v>
      </c>
      <c r="J143" t="s">
        <v>1705</v>
      </c>
      <c r="P143" t="s">
        <v>1706</v>
      </c>
      <c r="Q143" s="3">
        <v>12000000</v>
      </c>
      <c r="R143" s="8" t="e">
        <f>SUMIFS([1]REPORTADOS!$D$2:$D$3379,[1]REPORTADOS!$C$2:$C$3379,E143)</f>
        <v>#VALUE!</v>
      </c>
      <c r="S143" s="8" t="e">
        <f t="shared" si="2"/>
        <v>#VALUE!</v>
      </c>
    </row>
    <row r="144" spans="1:19" x14ac:dyDescent="0.25">
      <c r="A144">
        <v>900091143</v>
      </c>
      <c r="B144" t="s">
        <v>29</v>
      </c>
      <c r="C144" t="s">
        <v>1701</v>
      </c>
      <c r="E144" t="s">
        <v>1701</v>
      </c>
      <c r="H144" t="s">
        <v>22</v>
      </c>
      <c r="I144">
        <v>1233189896</v>
      </c>
      <c r="J144" t="s">
        <v>1702</v>
      </c>
      <c r="P144" t="s">
        <v>1703</v>
      </c>
      <c r="Q144" s="3">
        <v>5000000</v>
      </c>
      <c r="R144" s="8" t="e">
        <f>SUMIFS([1]REPORTADOS!$D$2:$D$3379,[1]REPORTADOS!$C$2:$C$3379,E144)</f>
        <v>#VALUE!</v>
      </c>
      <c r="S144" s="8" t="e">
        <f t="shared" si="2"/>
        <v>#VALUE!</v>
      </c>
    </row>
    <row r="145" spans="1:19" x14ac:dyDescent="0.25">
      <c r="A145">
        <v>900091143</v>
      </c>
      <c r="B145" t="s">
        <v>29</v>
      </c>
      <c r="C145" t="s">
        <v>1694</v>
      </c>
      <c r="E145" t="s">
        <v>1694</v>
      </c>
      <c r="H145" t="s">
        <v>22</v>
      </c>
      <c r="I145">
        <v>1193271854</v>
      </c>
      <c r="J145" t="s">
        <v>1695</v>
      </c>
      <c r="P145" t="s">
        <v>1679</v>
      </c>
      <c r="Q145" s="3">
        <v>6000000</v>
      </c>
      <c r="R145" s="8" t="e">
        <f>SUMIFS([1]REPORTADOS!$D$2:$D$3379,[1]REPORTADOS!$C$2:$C$3379,E145)</f>
        <v>#VALUE!</v>
      </c>
      <c r="S145" s="8" t="e">
        <f t="shared" si="2"/>
        <v>#VALUE!</v>
      </c>
    </row>
    <row r="146" spans="1:19" x14ac:dyDescent="0.25">
      <c r="A146">
        <v>900091143</v>
      </c>
      <c r="B146" t="s">
        <v>29</v>
      </c>
      <c r="C146" t="s">
        <v>1677</v>
      </c>
      <c r="E146" t="s">
        <v>1677</v>
      </c>
      <c r="H146" t="s">
        <v>22</v>
      </c>
      <c r="I146">
        <v>1085255829</v>
      </c>
      <c r="J146" t="s">
        <v>1678</v>
      </c>
      <c r="P146" t="s">
        <v>1679</v>
      </c>
      <c r="Q146" s="3">
        <v>6000000</v>
      </c>
      <c r="R146" s="8" t="e">
        <f>SUMIFS([1]REPORTADOS!$D$2:$D$3379,[1]REPORTADOS!$C$2:$C$3379,E146)</f>
        <v>#VALUE!</v>
      </c>
      <c r="S146" s="8" t="e">
        <f t="shared" si="2"/>
        <v>#VALUE!</v>
      </c>
    </row>
    <row r="147" spans="1:19" x14ac:dyDescent="0.25">
      <c r="A147">
        <v>900091143</v>
      </c>
      <c r="B147" t="s">
        <v>29</v>
      </c>
      <c r="C147" t="s">
        <v>1674</v>
      </c>
      <c r="E147" t="s">
        <v>1674</v>
      </c>
      <c r="H147" t="s">
        <v>22</v>
      </c>
      <c r="I147">
        <v>1085329980</v>
      </c>
      <c r="J147" t="s">
        <v>1675</v>
      </c>
      <c r="P147" t="s">
        <v>1676</v>
      </c>
      <c r="Q147" s="3">
        <v>15000000</v>
      </c>
      <c r="R147" s="8" t="e">
        <f>SUMIFS([1]REPORTADOS!$D$2:$D$3379,[1]REPORTADOS!$C$2:$C$3379,E147)</f>
        <v>#VALUE!</v>
      </c>
      <c r="S147" s="8" t="e">
        <f t="shared" si="2"/>
        <v>#VALUE!</v>
      </c>
    </row>
    <row r="148" spans="1:19" x14ac:dyDescent="0.25">
      <c r="A148">
        <v>900091143</v>
      </c>
      <c r="B148" t="s">
        <v>29</v>
      </c>
      <c r="C148" t="s">
        <v>1732</v>
      </c>
      <c r="E148" t="s">
        <v>1732</v>
      </c>
      <c r="H148" t="s">
        <v>22</v>
      </c>
      <c r="I148">
        <v>1085311814</v>
      </c>
      <c r="J148" t="s">
        <v>1733</v>
      </c>
      <c r="P148" t="s">
        <v>1734</v>
      </c>
      <c r="Q148" s="3">
        <v>9650000</v>
      </c>
      <c r="R148" s="8" t="e">
        <f>SUMIFS([1]REPORTADOS!$D$2:$D$3379,[1]REPORTADOS!$C$2:$C$3379,E148)</f>
        <v>#VALUE!</v>
      </c>
      <c r="S148" s="8" t="e">
        <f t="shared" si="2"/>
        <v>#VALUE!</v>
      </c>
    </row>
    <row r="149" spans="1:19" x14ac:dyDescent="0.25">
      <c r="A149">
        <v>900091143</v>
      </c>
      <c r="B149" t="s">
        <v>29</v>
      </c>
      <c r="C149" t="s">
        <v>1692</v>
      </c>
      <c r="E149" t="s">
        <v>1692</v>
      </c>
      <c r="H149" t="s">
        <v>22</v>
      </c>
      <c r="I149">
        <v>59651018</v>
      </c>
      <c r="J149" t="s">
        <v>1693</v>
      </c>
      <c r="P149" t="s">
        <v>1637</v>
      </c>
      <c r="Q149" s="3">
        <v>9500000</v>
      </c>
      <c r="R149" s="8" t="e">
        <f>SUMIFS([1]REPORTADOS!$D$2:$D$3379,[1]REPORTADOS!$C$2:$C$3379,E149)</f>
        <v>#VALUE!</v>
      </c>
      <c r="S149" s="8" t="e">
        <f t="shared" si="2"/>
        <v>#VALUE!</v>
      </c>
    </row>
    <row r="150" spans="1:19" x14ac:dyDescent="0.25">
      <c r="A150">
        <v>900091143</v>
      </c>
      <c r="B150" t="s">
        <v>29</v>
      </c>
      <c r="C150" t="s">
        <v>1689</v>
      </c>
      <c r="E150" t="s">
        <v>1689</v>
      </c>
      <c r="H150" t="s">
        <v>22</v>
      </c>
      <c r="I150" s="12">
        <v>36752202</v>
      </c>
      <c r="J150" t="s">
        <v>1690</v>
      </c>
      <c r="P150" t="s">
        <v>1691</v>
      </c>
      <c r="Q150" s="3">
        <v>6000000</v>
      </c>
      <c r="R150" s="8" t="e">
        <f>SUMIFS([1]REPORTADOS!$D$2:$D$3379,[1]REPORTADOS!$C$2:$C$3379,E150)</f>
        <v>#VALUE!</v>
      </c>
      <c r="S150" s="8" t="e">
        <f t="shared" si="2"/>
        <v>#VALUE!</v>
      </c>
    </row>
    <row r="151" spans="1:19" x14ac:dyDescent="0.25">
      <c r="A151">
        <v>900091143</v>
      </c>
      <c r="B151" t="s">
        <v>29</v>
      </c>
      <c r="C151" t="s">
        <v>1686</v>
      </c>
      <c r="E151" t="s">
        <v>1686</v>
      </c>
      <c r="H151" t="s">
        <v>22</v>
      </c>
      <c r="I151">
        <v>1085324891</v>
      </c>
      <c r="J151" t="s">
        <v>1687</v>
      </c>
      <c r="P151" t="s">
        <v>1688</v>
      </c>
      <c r="Q151" s="3">
        <v>9650000</v>
      </c>
      <c r="R151" s="8" t="e">
        <f>SUMIFS([1]REPORTADOS!$D$2:$D$3379,[1]REPORTADOS!$C$2:$C$3379,E151)</f>
        <v>#VALUE!</v>
      </c>
      <c r="S151" s="8" t="e">
        <f t="shared" si="2"/>
        <v>#VALUE!</v>
      </c>
    </row>
    <row r="152" spans="1:19" x14ac:dyDescent="0.25">
      <c r="A152">
        <v>900091143</v>
      </c>
      <c r="B152" t="s">
        <v>29</v>
      </c>
      <c r="C152" t="s">
        <v>1683</v>
      </c>
      <c r="E152" t="s">
        <v>1683</v>
      </c>
      <c r="H152" t="s">
        <v>22</v>
      </c>
      <c r="I152">
        <v>1085340885</v>
      </c>
      <c r="J152" t="s">
        <v>1684</v>
      </c>
      <c r="P152" t="s">
        <v>1685</v>
      </c>
      <c r="Q152" s="3">
        <v>9500000</v>
      </c>
      <c r="R152" s="8" t="e">
        <f>SUMIFS([1]REPORTADOS!$D$2:$D$3379,[1]REPORTADOS!$C$2:$C$3379,E152)</f>
        <v>#VALUE!</v>
      </c>
      <c r="S152" s="8" t="e">
        <f t="shared" si="2"/>
        <v>#VALUE!</v>
      </c>
    </row>
    <row r="153" spans="1:19" x14ac:dyDescent="0.25">
      <c r="A153">
        <v>900091143</v>
      </c>
      <c r="B153" t="s">
        <v>29</v>
      </c>
      <c r="C153" t="s">
        <v>1665</v>
      </c>
      <c r="E153" t="s">
        <v>1665</v>
      </c>
      <c r="H153" t="s">
        <v>22</v>
      </c>
      <c r="I153">
        <v>69028150</v>
      </c>
      <c r="J153" t="s">
        <v>1666</v>
      </c>
      <c r="P153" t="s">
        <v>1667</v>
      </c>
      <c r="Q153" s="3">
        <v>6000000</v>
      </c>
      <c r="R153" s="8" t="e">
        <f>SUMIFS([1]REPORTADOS!$D$2:$D$3379,[1]REPORTADOS!$C$2:$C$3379,E153)</f>
        <v>#VALUE!</v>
      </c>
      <c r="S153" s="8" t="e">
        <f t="shared" si="2"/>
        <v>#VALUE!</v>
      </c>
    </row>
    <row r="154" spans="1:19" x14ac:dyDescent="0.25">
      <c r="A154">
        <v>900091143</v>
      </c>
      <c r="B154" t="s">
        <v>29</v>
      </c>
      <c r="C154" t="s">
        <v>1662</v>
      </c>
      <c r="E154" t="s">
        <v>1662</v>
      </c>
      <c r="H154" t="s">
        <v>22</v>
      </c>
      <c r="I154">
        <v>36757221</v>
      </c>
      <c r="J154" t="s">
        <v>1663</v>
      </c>
      <c r="P154" t="s">
        <v>1664</v>
      </c>
      <c r="Q154" s="3">
        <v>12000000</v>
      </c>
      <c r="R154" s="8" t="e">
        <f>SUMIFS([1]REPORTADOS!$D$2:$D$3379,[1]REPORTADOS!$C$2:$C$3379,E154)</f>
        <v>#VALUE!</v>
      </c>
      <c r="S154" s="8" t="e">
        <f t="shared" si="2"/>
        <v>#VALUE!</v>
      </c>
    </row>
    <row r="155" spans="1:19" x14ac:dyDescent="0.25">
      <c r="A155">
        <v>900091143</v>
      </c>
      <c r="B155" t="s">
        <v>29</v>
      </c>
      <c r="C155" t="s">
        <v>1671</v>
      </c>
      <c r="E155" t="s">
        <v>1671</v>
      </c>
      <c r="H155" t="s">
        <v>22</v>
      </c>
      <c r="I155">
        <v>59310524</v>
      </c>
      <c r="J155" t="s">
        <v>1672</v>
      </c>
      <c r="P155" t="s">
        <v>1673</v>
      </c>
      <c r="Q155" s="3">
        <v>6000000</v>
      </c>
      <c r="R155" s="8" t="e">
        <f>SUMIFS([1]REPORTADOS!$D$2:$D$3379,[1]REPORTADOS!$C$2:$C$3379,E155)</f>
        <v>#VALUE!</v>
      </c>
      <c r="S155" s="8" t="e">
        <f t="shared" si="2"/>
        <v>#VALUE!</v>
      </c>
    </row>
    <row r="156" spans="1:19" x14ac:dyDescent="0.25">
      <c r="A156">
        <v>900091143</v>
      </c>
      <c r="B156" t="s">
        <v>29</v>
      </c>
      <c r="C156" t="s">
        <v>1656</v>
      </c>
      <c r="E156" t="s">
        <v>1656</v>
      </c>
      <c r="H156" t="s">
        <v>22</v>
      </c>
      <c r="I156">
        <v>1085338534</v>
      </c>
      <c r="J156" t="s">
        <v>1657</v>
      </c>
      <c r="P156" t="s">
        <v>1658</v>
      </c>
      <c r="Q156" s="3">
        <v>9650000</v>
      </c>
      <c r="R156" s="8" t="e">
        <f>SUMIFS([1]REPORTADOS!$D$2:$D$3379,[1]REPORTADOS!$C$2:$C$3379,E156)</f>
        <v>#VALUE!</v>
      </c>
      <c r="S156" s="8" t="e">
        <f t="shared" si="2"/>
        <v>#VALUE!</v>
      </c>
    </row>
    <row r="157" spans="1:19" x14ac:dyDescent="0.25">
      <c r="A157">
        <v>900091143</v>
      </c>
      <c r="B157" t="s">
        <v>29</v>
      </c>
      <c r="C157" t="s">
        <v>1650</v>
      </c>
      <c r="E157" t="s">
        <v>1650</v>
      </c>
      <c r="H157" t="s">
        <v>22</v>
      </c>
      <c r="I157">
        <v>80765093</v>
      </c>
      <c r="J157" t="s">
        <v>1651</v>
      </c>
      <c r="P157" t="s">
        <v>1652</v>
      </c>
      <c r="Q157" s="3">
        <v>15000000</v>
      </c>
      <c r="R157" s="8" t="e">
        <f>SUMIFS([1]REPORTADOS!$D$2:$D$3379,[1]REPORTADOS!$C$2:$C$3379,E157)</f>
        <v>#VALUE!</v>
      </c>
      <c r="S157" s="8" t="e">
        <f t="shared" si="2"/>
        <v>#VALUE!</v>
      </c>
    </row>
    <row r="158" spans="1:19" x14ac:dyDescent="0.25">
      <c r="A158">
        <v>900091143</v>
      </c>
      <c r="B158" t="s">
        <v>29</v>
      </c>
      <c r="C158" t="s">
        <v>1647</v>
      </c>
      <c r="E158" t="s">
        <v>1647</v>
      </c>
      <c r="H158" t="s">
        <v>22</v>
      </c>
      <c r="I158">
        <v>1085343783</v>
      </c>
      <c r="J158" t="s">
        <v>1648</v>
      </c>
      <c r="P158" t="s">
        <v>1649</v>
      </c>
      <c r="Q158" s="3">
        <v>9500000</v>
      </c>
      <c r="R158" s="8" t="e">
        <f>SUMIFS([1]REPORTADOS!$D$2:$D$3379,[1]REPORTADOS!$C$2:$C$3379,E158)</f>
        <v>#VALUE!</v>
      </c>
      <c r="S158" s="8" t="e">
        <f t="shared" si="2"/>
        <v>#VALUE!</v>
      </c>
    </row>
    <row r="159" spans="1:19" x14ac:dyDescent="0.25">
      <c r="A159">
        <v>900091143</v>
      </c>
      <c r="B159" t="s">
        <v>29</v>
      </c>
      <c r="C159" t="s">
        <v>1668</v>
      </c>
      <c r="E159" t="s">
        <v>1668</v>
      </c>
      <c r="H159" t="s">
        <v>22</v>
      </c>
      <c r="I159">
        <v>1085255753</v>
      </c>
      <c r="J159" t="s">
        <v>1669</v>
      </c>
      <c r="P159" t="s">
        <v>1670</v>
      </c>
      <c r="Q159" s="3">
        <v>5000000</v>
      </c>
      <c r="R159" s="8" t="e">
        <f>SUMIFS([1]REPORTADOS!$D$2:$D$3379,[1]REPORTADOS!$C$2:$C$3379,E159)</f>
        <v>#VALUE!</v>
      </c>
      <c r="S159" s="8" t="e">
        <f t="shared" si="2"/>
        <v>#VALUE!</v>
      </c>
    </row>
    <row r="160" spans="1:19" x14ac:dyDescent="0.25">
      <c r="A160">
        <v>900091143</v>
      </c>
      <c r="B160" t="s">
        <v>29</v>
      </c>
      <c r="C160" t="s">
        <v>1653</v>
      </c>
      <c r="E160" t="s">
        <v>1653</v>
      </c>
      <c r="H160" t="s">
        <v>22</v>
      </c>
      <c r="I160">
        <v>1006106084</v>
      </c>
      <c r="J160" t="s">
        <v>1654</v>
      </c>
      <c r="P160" t="s">
        <v>1655</v>
      </c>
      <c r="Q160" s="3">
        <v>15000000</v>
      </c>
      <c r="R160" s="8" t="e">
        <f>SUMIFS([1]REPORTADOS!$D$2:$D$3379,[1]REPORTADOS!$C$2:$C$3379,E160)</f>
        <v>#VALUE!</v>
      </c>
      <c r="S160" s="8" t="e">
        <f t="shared" si="2"/>
        <v>#VALUE!</v>
      </c>
    </row>
    <row r="161" spans="1:19" x14ac:dyDescent="0.25">
      <c r="A161">
        <v>900091143</v>
      </c>
      <c r="B161" t="s">
        <v>29</v>
      </c>
      <c r="C161" t="s">
        <v>1644</v>
      </c>
      <c r="E161" t="s">
        <v>1644</v>
      </c>
      <c r="H161" t="s">
        <v>22</v>
      </c>
      <c r="I161">
        <v>1004508471</v>
      </c>
      <c r="J161" t="s">
        <v>1645</v>
      </c>
      <c r="P161" t="s">
        <v>1646</v>
      </c>
      <c r="Q161" s="3">
        <v>9650000</v>
      </c>
      <c r="R161" s="8" t="e">
        <f>SUMIFS([1]REPORTADOS!$D$2:$D$3379,[1]REPORTADOS!$C$2:$C$3379,E161)</f>
        <v>#VALUE!</v>
      </c>
      <c r="S161" s="8" t="e">
        <f t="shared" si="2"/>
        <v>#VALUE!</v>
      </c>
    </row>
    <row r="162" spans="1:19" x14ac:dyDescent="0.25">
      <c r="A162">
        <v>900091143</v>
      </c>
      <c r="B162" t="s">
        <v>29</v>
      </c>
      <c r="C162" t="s">
        <v>1638</v>
      </c>
      <c r="E162" t="s">
        <v>1638</v>
      </c>
      <c r="H162" t="s">
        <v>22</v>
      </c>
      <c r="I162">
        <v>1085340697</v>
      </c>
      <c r="J162" t="s">
        <v>1639</v>
      </c>
      <c r="P162" t="s">
        <v>1640</v>
      </c>
      <c r="Q162" s="3">
        <v>12000000</v>
      </c>
      <c r="R162" s="8" t="e">
        <f>SUMIFS([1]REPORTADOS!$D$2:$D$3379,[1]REPORTADOS!$C$2:$C$3379,E162)</f>
        <v>#VALUE!</v>
      </c>
      <c r="S162" s="8" t="e">
        <f t="shared" si="2"/>
        <v>#VALUE!</v>
      </c>
    </row>
    <row r="163" spans="1:19" x14ac:dyDescent="0.25">
      <c r="A163">
        <v>900091143</v>
      </c>
      <c r="B163" t="s">
        <v>29</v>
      </c>
      <c r="C163" s="10" t="s">
        <v>2048</v>
      </c>
      <c r="E163" s="10" t="s">
        <v>2048</v>
      </c>
      <c r="H163" t="s">
        <v>22</v>
      </c>
      <c r="I163">
        <v>1085272774</v>
      </c>
      <c r="J163" t="s">
        <v>2049</v>
      </c>
      <c r="P163" t="s">
        <v>2050</v>
      </c>
      <c r="Q163" s="3">
        <v>6000000</v>
      </c>
      <c r="R163" s="8" t="e">
        <f>SUMIFS([1]REPORTADOS!$D$2:$D$3379,[1]REPORTADOS!$C$2:$C$3379,E163)</f>
        <v>#VALUE!</v>
      </c>
      <c r="S163" s="8" t="e">
        <f t="shared" si="2"/>
        <v>#VALUE!</v>
      </c>
    </row>
    <row r="164" spans="1:19" x14ac:dyDescent="0.25">
      <c r="A164">
        <v>900091143</v>
      </c>
      <c r="B164" t="s">
        <v>29</v>
      </c>
      <c r="C164" t="s">
        <v>1635</v>
      </c>
      <c r="E164" t="s">
        <v>1635</v>
      </c>
      <c r="H164" s="6" t="s">
        <v>22</v>
      </c>
      <c r="I164">
        <v>1085330309</v>
      </c>
      <c r="J164" t="s">
        <v>1636</v>
      </c>
      <c r="P164" t="s">
        <v>1637</v>
      </c>
      <c r="Q164" s="3">
        <v>9500000</v>
      </c>
      <c r="R164" s="8" t="e">
        <f>SUMIFS([1]REPORTADOS!$D$2:$D$3379,[1]REPORTADOS!$C$2:$C$3379,E164)</f>
        <v>#VALUE!</v>
      </c>
      <c r="S164" s="8" t="e">
        <f t="shared" si="2"/>
        <v>#VALUE!</v>
      </c>
    </row>
    <row r="165" spans="1:19" x14ac:dyDescent="0.25">
      <c r="A165">
        <v>900091143</v>
      </c>
      <c r="B165" t="s">
        <v>29</v>
      </c>
      <c r="C165" t="s">
        <v>1641</v>
      </c>
      <c r="E165" t="s">
        <v>1641</v>
      </c>
      <c r="H165" t="s">
        <v>22</v>
      </c>
      <c r="I165">
        <v>1085303585</v>
      </c>
      <c r="J165" t="s">
        <v>1642</v>
      </c>
      <c r="P165" t="s">
        <v>1643</v>
      </c>
      <c r="Q165" s="3">
        <v>12000000</v>
      </c>
      <c r="R165" s="8" t="e">
        <f>SUMIFS([1]REPORTADOS!$D$2:$D$3379,[1]REPORTADOS!$C$2:$C$3379,E165)</f>
        <v>#VALUE!</v>
      </c>
      <c r="S165" s="8" t="e">
        <f t="shared" si="2"/>
        <v>#VALUE!</v>
      </c>
    </row>
    <row r="166" spans="1:19" x14ac:dyDescent="0.25">
      <c r="A166">
        <v>900091143</v>
      </c>
      <c r="B166" t="s">
        <v>29</v>
      </c>
      <c r="C166" s="10" t="s">
        <v>2045</v>
      </c>
      <c r="E166" s="10" t="s">
        <v>2045</v>
      </c>
      <c r="H166" t="s">
        <v>22</v>
      </c>
      <c r="I166">
        <v>36950482</v>
      </c>
      <c r="J166" t="s">
        <v>2046</v>
      </c>
      <c r="P166" t="s">
        <v>2047</v>
      </c>
      <c r="Q166" s="3">
        <v>6000000</v>
      </c>
      <c r="R166" s="8" t="e">
        <f>SUMIFS([1]REPORTADOS!$D$2:$D$3379,[1]REPORTADOS!$C$2:$C$3379,E166)</f>
        <v>#VALUE!</v>
      </c>
      <c r="S166" s="8" t="e">
        <f t="shared" si="2"/>
        <v>#VALUE!</v>
      </c>
    </row>
    <row r="167" spans="1:19" x14ac:dyDescent="0.25">
      <c r="A167">
        <v>900091143</v>
      </c>
      <c r="B167" t="s">
        <v>29</v>
      </c>
      <c r="C167" t="s">
        <v>1632</v>
      </c>
      <c r="E167" t="s">
        <v>1632</v>
      </c>
      <c r="H167" t="s">
        <v>22</v>
      </c>
      <c r="I167">
        <v>36753698</v>
      </c>
      <c r="J167" t="s">
        <v>1633</v>
      </c>
      <c r="P167" t="s">
        <v>1634</v>
      </c>
      <c r="Q167" s="3">
        <v>3000000</v>
      </c>
      <c r="R167" s="8" t="e">
        <f>SUMIFS([1]REPORTADOS!$D$2:$D$3379,[1]REPORTADOS!$C$2:$C$3379,E167)</f>
        <v>#VALUE!</v>
      </c>
      <c r="S167" s="8" t="e">
        <f t="shared" si="2"/>
        <v>#VALUE!</v>
      </c>
    </row>
  </sheetData>
  <autoFilter ref="A1:T167" xr:uid="{59140633-9EBD-40A2-9B7A-35BA015F1C20}"/>
  <phoneticPr fontId="4" type="noConversion"/>
  <conditionalFormatting sqref="C2:C167">
    <cfRule type="duplicateValues" dxfId="4" priority="2"/>
  </conditionalFormatting>
  <conditionalFormatting sqref="E2:E167">
    <cfRule type="duplicateValues" dxfId="3"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56272-7A9F-4623-AEC2-C9A2E28FD690}">
  <dimension ref="A1:S387"/>
  <sheetViews>
    <sheetView topLeftCell="B353" workbookViewId="0">
      <selection activeCell="R367" sqref="R367"/>
    </sheetView>
  </sheetViews>
  <sheetFormatPr baseColWidth="10" defaultRowHeight="15" x14ac:dyDescent="0.25"/>
  <cols>
    <col min="10" max="10" width="42.42578125" customWidth="1"/>
    <col min="17" max="18" width="15.140625" style="8" bestFit="1" customWidth="1"/>
    <col min="19" max="19" width="13.140625" bestFit="1" customWidth="1"/>
  </cols>
  <sheetData>
    <row r="1" spans="1:1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7" t="s">
        <v>16</v>
      </c>
      <c r="R1" s="9" t="s">
        <v>2862</v>
      </c>
      <c r="S1" s="3"/>
    </row>
    <row r="2" spans="1:19" x14ac:dyDescent="0.25">
      <c r="A2">
        <v>900091143</v>
      </c>
      <c r="B2" t="s">
        <v>2091</v>
      </c>
      <c r="C2" t="s">
        <v>2622</v>
      </c>
      <c r="E2" t="s">
        <v>2622</v>
      </c>
      <c r="H2" t="s">
        <v>38</v>
      </c>
      <c r="I2">
        <v>900994364</v>
      </c>
      <c r="J2" t="s">
        <v>2623</v>
      </c>
      <c r="P2" t="s">
        <v>2624</v>
      </c>
      <c r="Q2" s="8">
        <v>303816500</v>
      </c>
      <c r="R2" s="8" t="e">
        <f>SUMIFS([1]REPORTADOS!$D$2:$D$3345,[1]REPORTADOS!$C$2:$C$3345,E2)</f>
        <v>#VALUE!</v>
      </c>
      <c r="S2" s="3" t="e">
        <f>Q2-R2</f>
        <v>#VALUE!</v>
      </c>
    </row>
    <row r="3" spans="1:19" x14ac:dyDescent="0.25">
      <c r="A3">
        <v>900091143</v>
      </c>
      <c r="B3" t="s">
        <v>2868</v>
      </c>
      <c r="C3" t="s">
        <v>2806</v>
      </c>
      <c r="E3" t="s">
        <v>2806</v>
      </c>
      <c r="H3" t="s">
        <v>38</v>
      </c>
      <c r="I3">
        <v>900633448</v>
      </c>
      <c r="J3" t="s">
        <v>2800</v>
      </c>
      <c r="P3" t="s">
        <v>2807</v>
      </c>
      <c r="Q3" s="8">
        <v>250950000</v>
      </c>
      <c r="R3" s="8" t="e">
        <f>SUMIFS([1]REPORTADOS!$D$2:$D$3345,[1]REPORTADOS!$C$2:$C$3345,E3)</f>
        <v>#VALUE!</v>
      </c>
      <c r="S3" s="3" t="e">
        <f t="shared" ref="S3:S66" si="0">Q3-R3</f>
        <v>#VALUE!</v>
      </c>
    </row>
    <row r="4" spans="1:19" x14ac:dyDescent="0.25">
      <c r="A4">
        <v>900091143</v>
      </c>
      <c r="B4" t="s">
        <v>2869</v>
      </c>
      <c r="C4" t="s">
        <v>2751</v>
      </c>
      <c r="E4" t="s">
        <v>2751</v>
      </c>
      <c r="H4" t="s">
        <v>38</v>
      </c>
      <c r="I4">
        <v>900994364</v>
      </c>
      <c r="J4" t="s">
        <v>2623</v>
      </c>
      <c r="P4" t="s">
        <v>2752</v>
      </c>
      <c r="Q4" s="8">
        <v>195005000</v>
      </c>
      <c r="R4" s="8" t="e">
        <f>SUMIFS([1]REPORTADOS!$D$2:$D$3345,[1]REPORTADOS!$C$2:$C$3345,E4)</f>
        <v>#VALUE!</v>
      </c>
      <c r="S4" s="3" t="e">
        <f t="shared" si="0"/>
        <v>#VALUE!</v>
      </c>
    </row>
    <row r="5" spans="1:19" x14ac:dyDescent="0.25">
      <c r="A5">
        <v>900091143</v>
      </c>
      <c r="B5" t="s">
        <v>2870</v>
      </c>
      <c r="C5" t="s">
        <v>2799</v>
      </c>
      <c r="E5" t="s">
        <v>2799</v>
      </c>
      <c r="H5" t="s">
        <v>38</v>
      </c>
      <c r="I5">
        <v>900633448</v>
      </c>
      <c r="J5" t="s">
        <v>2800</v>
      </c>
      <c r="P5" t="s">
        <v>2801</v>
      </c>
      <c r="Q5" s="8">
        <v>166950000</v>
      </c>
      <c r="R5" s="8" t="e">
        <f>SUMIFS([1]REPORTADOS!$D$2:$D$3345,[1]REPORTADOS!$C$2:$C$3345,E5)</f>
        <v>#VALUE!</v>
      </c>
      <c r="S5" s="3" t="e">
        <f t="shared" si="0"/>
        <v>#VALUE!</v>
      </c>
    </row>
    <row r="6" spans="1:19" x14ac:dyDescent="0.25">
      <c r="A6">
        <v>900091143</v>
      </c>
      <c r="B6" t="s">
        <v>2871</v>
      </c>
      <c r="C6" t="s">
        <v>2485</v>
      </c>
      <c r="E6" t="s">
        <v>2485</v>
      </c>
      <c r="H6" t="s">
        <v>38</v>
      </c>
      <c r="I6">
        <v>900633448</v>
      </c>
      <c r="J6" t="s">
        <v>2486</v>
      </c>
      <c r="P6" t="s">
        <v>2487</v>
      </c>
      <c r="Q6" s="8">
        <v>163200000</v>
      </c>
      <c r="R6" s="8" t="e">
        <f>SUMIFS([1]REPORTADOS!$D$2:$D$3345,[1]REPORTADOS!$C$2:$C$3345,E6)</f>
        <v>#VALUE!</v>
      </c>
      <c r="S6" s="3" t="e">
        <f t="shared" si="0"/>
        <v>#VALUE!</v>
      </c>
    </row>
    <row r="7" spans="1:19" x14ac:dyDescent="0.25">
      <c r="A7">
        <v>900091143</v>
      </c>
      <c r="B7" t="s">
        <v>2872</v>
      </c>
      <c r="C7" t="s">
        <v>2205</v>
      </c>
      <c r="E7" t="s">
        <v>2205</v>
      </c>
      <c r="H7" t="s">
        <v>38</v>
      </c>
      <c r="I7">
        <v>900994364</v>
      </c>
      <c r="J7" t="s">
        <v>2206</v>
      </c>
      <c r="P7" t="s">
        <v>2207</v>
      </c>
      <c r="Q7" s="8">
        <v>146000000</v>
      </c>
      <c r="R7" s="8" t="e">
        <f>SUMIFS([1]REPORTADOS!$D$2:$D$3345,[1]REPORTADOS!$C$2:$C$3345,E7)</f>
        <v>#VALUE!</v>
      </c>
      <c r="S7" s="3" t="e">
        <f t="shared" si="0"/>
        <v>#VALUE!</v>
      </c>
    </row>
    <row r="8" spans="1:19" x14ac:dyDescent="0.25">
      <c r="A8">
        <v>900091143</v>
      </c>
      <c r="B8" t="s">
        <v>2873</v>
      </c>
      <c r="C8" t="s">
        <v>2808</v>
      </c>
      <c r="E8" t="s">
        <v>2808</v>
      </c>
      <c r="H8" t="s">
        <v>38</v>
      </c>
      <c r="I8">
        <v>900633448</v>
      </c>
      <c r="J8" t="s">
        <v>2800</v>
      </c>
      <c r="P8" t="s">
        <v>2809</v>
      </c>
      <c r="Q8" s="8">
        <v>144900000</v>
      </c>
      <c r="R8" s="8" t="e">
        <f>SUMIFS([1]REPORTADOS!$D$2:$D$3345,[1]REPORTADOS!$C$2:$C$3345,E8)</f>
        <v>#VALUE!</v>
      </c>
      <c r="S8" s="3" t="e">
        <f t="shared" si="0"/>
        <v>#VALUE!</v>
      </c>
    </row>
    <row r="9" spans="1:19" x14ac:dyDescent="0.25">
      <c r="A9">
        <v>900091143</v>
      </c>
      <c r="B9" t="s">
        <v>2874</v>
      </c>
      <c r="C9" t="s">
        <v>2802</v>
      </c>
      <c r="E9" t="s">
        <v>2802</v>
      </c>
      <c r="H9" t="s">
        <v>38</v>
      </c>
      <c r="I9">
        <v>900633448</v>
      </c>
      <c r="J9" t="s">
        <v>2803</v>
      </c>
      <c r="P9" t="s">
        <v>2804</v>
      </c>
      <c r="Q9" s="8">
        <v>140700000</v>
      </c>
      <c r="R9" s="8" t="e">
        <f>SUMIFS([1]REPORTADOS!$D$2:$D$3345,[1]REPORTADOS!$C$2:$C$3345,E9)</f>
        <v>#VALUE!</v>
      </c>
      <c r="S9" s="3" t="e">
        <f t="shared" si="0"/>
        <v>#VALUE!</v>
      </c>
    </row>
    <row r="10" spans="1:19" x14ac:dyDescent="0.25">
      <c r="A10">
        <v>900091143</v>
      </c>
      <c r="B10" t="s">
        <v>2875</v>
      </c>
      <c r="C10" t="s">
        <v>2394</v>
      </c>
      <c r="E10" t="s">
        <v>2394</v>
      </c>
      <c r="H10" t="s">
        <v>38</v>
      </c>
      <c r="I10">
        <v>900994364</v>
      </c>
      <c r="J10" t="s">
        <v>2395</v>
      </c>
      <c r="P10" t="s">
        <v>2396</v>
      </c>
      <c r="Q10" s="8">
        <v>107005500</v>
      </c>
      <c r="R10" s="8" t="e">
        <f>SUMIFS([1]REPORTADOS!$D$2:$D$3345,[1]REPORTADOS!$C$2:$C$3345,E10)</f>
        <v>#VALUE!</v>
      </c>
      <c r="S10" s="3" t="e">
        <f t="shared" si="0"/>
        <v>#VALUE!</v>
      </c>
    </row>
    <row r="11" spans="1:19" x14ac:dyDescent="0.25">
      <c r="A11">
        <v>900091143</v>
      </c>
      <c r="B11" t="s">
        <v>2876</v>
      </c>
      <c r="C11" t="s">
        <v>2844</v>
      </c>
      <c r="E11" t="s">
        <v>2844</v>
      </c>
      <c r="H11" t="s">
        <v>38</v>
      </c>
      <c r="I11">
        <v>8903124524</v>
      </c>
      <c r="J11" t="s">
        <v>2845</v>
      </c>
      <c r="P11" t="s">
        <v>2106</v>
      </c>
      <c r="Q11" s="8">
        <v>36842400</v>
      </c>
      <c r="R11" s="8" t="e">
        <f>SUMIFS([1]REPORTADOS!$D$2:$D$3345,[1]REPORTADOS!$C$2:$C$3345,E11)</f>
        <v>#VALUE!</v>
      </c>
      <c r="S11" s="3" t="e">
        <f t="shared" si="0"/>
        <v>#VALUE!</v>
      </c>
    </row>
    <row r="12" spans="1:19" x14ac:dyDescent="0.25">
      <c r="A12">
        <v>900091143</v>
      </c>
      <c r="B12" t="s">
        <v>2877</v>
      </c>
      <c r="C12" t="s">
        <v>2812</v>
      </c>
      <c r="E12" t="s">
        <v>2812</v>
      </c>
      <c r="H12" t="s">
        <v>22</v>
      </c>
      <c r="I12">
        <v>12746875</v>
      </c>
      <c r="J12" t="s">
        <v>2813</v>
      </c>
      <c r="P12" t="s">
        <v>2814</v>
      </c>
      <c r="Q12" s="8">
        <v>33001556</v>
      </c>
      <c r="R12" s="8" t="e">
        <f>SUMIFS([1]REPORTADOS!$D$2:$D$3345,[1]REPORTADOS!$C$2:$C$3345,E12)</f>
        <v>#VALUE!</v>
      </c>
      <c r="S12" s="3" t="e">
        <f t="shared" si="0"/>
        <v>#VALUE!</v>
      </c>
    </row>
    <row r="13" spans="1:19" x14ac:dyDescent="0.25">
      <c r="A13">
        <v>900091143</v>
      </c>
      <c r="B13" t="s">
        <v>2878</v>
      </c>
      <c r="C13" t="s">
        <v>2848</v>
      </c>
      <c r="E13" t="s">
        <v>2848</v>
      </c>
      <c r="H13" t="s">
        <v>38</v>
      </c>
      <c r="I13">
        <v>901095545</v>
      </c>
      <c r="J13" t="s">
        <v>2849</v>
      </c>
      <c r="P13" t="s">
        <v>2850</v>
      </c>
      <c r="Q13" s="8">
        <v>31498000</v>
      </c>
      <c r="R13" s="8" t="e">
        <f>SUMIFS([1]REPORTADOS!$D$2:$D$3345,[1]REPORTADOS!$C$2:$C$3345,E13)</f>
        <v>#VALUE!</v>
      </c>
      <c r="S13" s="3" t="e">
        <f t="shared" si="0"/>
        <v>#VALUE!</v>
      </c>
    </row>
    <row r="14" spans="1:19" x14ac:dyDescent="0.25">
      <c r="A14">
        <v>900091143</v>
      </c>
      <c r="B14" t="s">
        <v>2879</v>
      </c>
      <c r="C14" t="s">
        <v>2104</v>
      </c>
      <c r="E14" t="s">
        <v>2104</v>
      </c>
      <c r="H14" t="s">
        <v>38</v>
      </c>
      <c r="I14">
        <v>830004892</v>
      </c>
      <c r="J14" t="s">
        <v>2105</v>
      </c>
      <c r="P14" t="s">
        <v>2106</v>
      </c>
      <c r="Q14" s="8">
        <v>25704000</v>
      </c>
      <c r="R14" s="8" t="e">
        <f>SUMIFS([1]REPORTADOS!$D$2:$D$3345,[1]REPORTADOS!$C$2:$C$3345,E14)</f>
        <v>#VALUE!</v>
      </c>
      <c r="S14" s="3" t="e">
        <f t="shared" si="0"/>
        <v>#VALUE!</v>
      </c>
    </row>
    <row r="15" spans="1:19" x14ac:dyDescent="0.25">
      <c r="A15">
        <v>900091143</v>
      </c>
      <c r="B15" t="s">
        <v>2880</v>
      </c>
      <c r="C15" t="s">
        <v>2133</v>
      </c>
      <c r="E15" t="s">
        <v>2133</v>
      </c>
      <c r="H15" t="s">
        <v>22</v>
      </c>
      <c r="I15">
        <v>87065647</v>
      </c>
      <c r="J15" t="s">
        <v>2134</v>
      </c>
      <c r="P15" t="s">
        <v>2113</v>
      </c>
      <c r="Q15" s="8">
        <v>22620000</v>
      </c>
      <c r="R15" s="8" t="e">
        <f>SUMIFS([1]REPORTADOS!$D$2:$D$3345,[1]REPORTADOS!$C$2:$C$3345,E15)</f>
        <v>#VALUE!</v>
      </c>
      <c r="S15" s="3" t="e">
        <f t="shared" si="0"/>
        <v>#VALUE!</v>
      </c>
    </row>
    <row r="16" spans="1:19" x14ac:dyDescent="0.25">
      <c r="A16">
        <v>900091143</v>
      </c>
      <c r="B16" t="s">
        <v>2881</v>
      </c>
      <c r="C16" t="s">
        <v>2101</v>
      </c>
      <c r="E16" t="s">
        <v>2101</v>
      </c>
      <c r="H16" t="s">
        <v>22</v>
      </c>
      <c r="I16">
        <v>1085332934</v>
      </c>
      <c r="J16" t="s">
        <v>2102</v>
      </c>
      <c r="P16" t="s">
        <v>2103</v>
      </c>
      <c r="Q16" s="8">
        <v>22620000</v>
      </c>
      <c r="R16" s="8" t="e">
        <f>SUMIFS([1]REPORTADOS!$D$2:$D$3345,[1]REPORTADOS!$C$2:$C$3345,E16)</f>
        <v>#VALUE!</v>
      </c>
      <c r="S16" s="3" t="e">
        <f t="shared" si="0"/>
        <v>#VALUE!</v>
      </c>
    </row>
    <row r="17" spans="1:19" x14ac:dyDescent="0.25">
      <c r="A17">
        <v>900091143</v>
      </c>
      <c r="B17" t="s">
        <v>2882</v>
      </c>
      <c r="C17" t="s">
        <v>2520</v>
      </c>
      <c r="E17" t="s">
        <v>2520</v>
      </c>
      <c r="H17" t="s">
        <v>22</v>
      </c>
      <c r="I17">
        <v>1085320661</v>
      </c>
      <c r="J17" t="s">
        <v>2521</v>
      </c>
      <c r="P17" t="s">
        <v>2103</v>
      </c>
      <c r="Q17" s="8">
        <v>22620000</v>
      </c>
      <c r="R17" s="8" t="e">
        <f>SUMIFS([1]REPORTADOS!$D$2:$D$3345,[1]REPORTADOS!$C$2:$C$3345,E17)</f>
        <v>#VALUE!</v>
      </c>
      <c r="S17" s="3" t="e">
        <f t="shared" si="0"/>
        <v>#VALUE!</v>
      </c>
    </row>
    <row r="18" spans="1:19" x14ac:dyDescent="0.25">
      <c r="A18">
        <v>900091143</v>
      </c>
      <c r="B18" t="s">
        <v>2883</v>
      </c>
      <c r="C18" t="s">
        <v>2109</v>
      </c>
      <c r="E18" t="s">
        <v>2109</v>
      </c>
      <c r="H18" t="s">
        <v>22</v>
      </c>
      <c r="I18">
        <v>12961407</v>
      </c>
      <c r="J18" t="s">
        <v>2110</v>
      </c>
      <c r="P18" t="s">
        <v>2103</v>
      </c>
      <c r="Q18" s="8">
        <v>22620000</v>
      </c>
      <c r="R18" s="8" t="e">
        <f>SUMIFS([1]REPORTADOS!$D$2:$D$3345,[1]REPORTADOS!$C$2:$C$3345,E18)</f>
        <v>#VALUE!</v>
      </c>
      <c r="S18" s="3" t="e">
        <f t="shared" si="0"/>
        <v>#VALUE!</v>
      </c>
    </row>
    <row r="19" spans="1:19" x14ac:dyDescent="0.25">
      <c r="A19">
        <v>900091143</v>
      </c>
      <c r="B19" t="s">
        <v>2884</v>
      </c>
      <c r="C19" t="s">
        <v>2112</v>
      </c>
      <c r="E19" t="s">
        <v>2112</v>
      </c>
      <c r="H19" t="s">
        <v>22</v>
      </c>
      <c r="I19">
        <v>37087120</v>
      </c>
      <c r="J19" t="s">
        <v>1851</v>
      </c>
      <c r="P19" t="s">
        <v>2113</v>
      </c>
      <c r="Q19" s="8">
        <v>22620000</v>
      </c>
      <c r="R19" s="8" t="e">
        <f>SUMIFS([1]REPORTADOS!$D$2:$D$3345,[1]REPORTADOS!$C$2:$C$3345,E19)</f>
        <v>#VALUE!</v>
      </c>
      <c r="S19" s="3" t="e">
        <f t="shared" si="0"/>
        <v>#VALUE!</v>
      </c>
    </row>
    <row r="20" spans="1:19" x14ac:dyDescent="0.25">
      <c r="A20">
        <v>900091143</v>
      </c>
      <c r="B20" t="s">
        <v>2885</v>
      </c>
      <c r="C20" t="s">
        <v>2141</v>
      </c>
      <c r="E20" t="s">
        <v>2141</v>
      </c>
      <c r="H20" t="s">
        <v>22</v>
      </c>
      <c r="I20">
        <v>1085321192</v>
      </c>
      <c r="J20" t="s">
        <v>2142</v>
      </c>
      <c r="P20" t="s">
        <v>2103</v>
      </c>
      <c r="Q20" s="8">
        <v>22620000</v>
      </c>
      <c r="R20" s="8" t="e">
        <f>SUMIFS([1]REPORTADOS!$D$2:$D$3345,[1]REPORTADOS!$C$2:$C$3345,E20)</f>
        <v>#VALUE!</v>
      </c>
      <c r="S20" s="3" t="e">
        <f t="shared" si="0"/>
        <v>#VALUE!</v>
      </c>
    </row>
    <row r="21" spans="1:19" x14ac:dyDescent="0.25">
      <c r="A21">
        <v>900091143</v>
      </c>
      <c r="B21" t="s">
        <v>2886</v>
      </c>
      <c r="C21" t="s">
        <v>2176</v>
      </c>
      <c r="E21" t="s">
        <v>2176</v>
      </c>
      <c r="H21" t="s">
        <v>22</v>
      </c>
      <c r="I21">
        <v>1151934571</v>
      </c>
      <c r="J21" t="s">
        <v>2177</v>
      </c>
      <c r="P21" t="s">
        <v>2103</v>
      </c>
      <c r="Q21" s="8">
        <v>22620000</v>
      </c>
      <c r="R21" s="8" t="e">
        <f>SUMIFS([1]REPORTADOS!$D$2:$D$3345,[1]REPORTADOS!$C$2:$C$3345,E21)</f>
        <v>#VALUE!</v>
      </c>
      <c r="S21" s="3" t="e">
        <f t="shared" si="0"/>
        <v>#VALUE!</v>
      </c>
    </row>
    <row r="22" spans="1:19" x14ac:dyDescent="0.25">
      <c r="A22">
        <v>900091143</v>
      </c>
      <c r="B22" t="s">
        <v>2887</v>
      </c>
      <c r="C22" t="s">
        <v>2178</v>
      </c>
      <c r="E22" t="s">
        <v>2178</v>
      </c>
      <c r="H22" t="s">
        <v>22</v>
      </c>
      <c r="I22">
        <v>1085335767</v>
      </c>
      <c r="J22" t="s">
        <v>2179</v>
      </c>
      <c r="P22" t="s">
        <v>2113</v>
      </c>
      <c r="Q22" s="8">
        <v>22620000</v>
      </c>
      <c r="R22" s="8" t="e">
        <f>SUMIFS([1]REPORTADOS!$D$2:$D$3345,[1]REPORTADOS!$C$2:$C$3345,E22)</f>
        <v>#VALUE!</v>
      </c>
      <c r="S22" s="3" t="e">
        <f t="shared" si="0"/>
        <v>#VALUE!</v>
      </c>
    </row>
    <row r="23" spans="1:19" x14ac:dyDescent="0.25">
      <c r="A23">
        <v>900091143</v>
      </c>
      <c r="B23" t="s">
        <v>2888</v>
      </c>
      <c r="C23" t="s">
        <v>2180</v>
      </c>
      <c r="E23" t="s">
        <v>2180</v>
      </c>
      <c r="H23" t="s">
        <v>22</v>
      </c>
      <c r="I23">
        <v>1085304670</v>
      </c>
      <c r="J23" t="s">
        <v>2181</v>
      </c>
      <c r="P23" t="s">
        <v>2103</v>
      </c>
      <c r="Q23" s="8">
        <v>22620000</v>
      </c>
      <c r="R23" s="8" t="e">
        <f>SUMIFS([1]REPORTADOS!$D$2:$D$3345,[1]REPORTADOS!$C$2:$C$3345,E23)</f>
        <v>#VALUE!</v>
      </c>
      <c r="S23" s="3" t="e">
        <f t="shared" si="0"/>
        <v>#VALUE!</v>
      </c>
    </row>
    <row r="24" spans="1:19" x14ac:dyDescent="0.25">
      <c r="A24">
        <v>900091143</v>
      </c>
      <c r="B24" t="s">
        <v>2889</v>
      </c>
      <c r="C24" t="s">
        <v>2155</v>
      </c>
      <c r="E24" t="s">
        <v>2155</v>
      </c>
      <c r="H24" t="s">
        <v>22</v>
      </c>
      <c r="I24">
        <v>1085345430</v>
      </c>
      <c r="J24" t="s">
        <v>2156</v>
      </c>
      <c r="P24" t="s">
        <v>2103</v>
      </c>
      <c r="Q24" s="8">
        <v>22620000</v>
      </c>
      <c r="R24" s="8" t="e">
        <f>SUMIFS([1]REPORTADOS!$D$2:$D$3345,[1]REPORTADOS!$C$2:$C$3345,E24)</f>
        <v>#VALUE!</v>
      </c>
      <c r="S24" s="3" t="e">
        <f t="shared" si="0"/>
        <v>#VALUE!</v>
      </c>
    </row>
    <row r="25" spans="1:19" x14ac:dyDescent="0.25">
      <c r="A25">
        <v>900091143</v>
      </c>
      <c r="B25" t="s">
        <v>2890</v>
      </c>
      <c r="C25" t="s">
        <v>2157</v>
      </c>
      <c r="E25" t="s">
        <v>2157</v>
      </c>
      <c r="H25" t="s">
        <v>22</v>
      </c>
      <c r="I25">
        <v>1193202097</v>
      </c>
      <c r="J25" t="s">
        <v>2158</v>
      </c>
      <c r="P25" t="s">
        <v>2103</v>
      </c>
      <c r="Q25" s="8">
        <v>22620000</v>
      </c>
      <c r="R25" s="8" t="e">
        <f>SUMIFS([1]REPORTADOS!$D$2:$D$3345,[1]REPORTADOS!$C$2:$C$3345,E25)</f>
        <v>#VALUE!</v>
      </c>
      <c r="S25" s="3" t="e">
        <f t="shared" si="0"/>
        <v>#VALUE!</v>
      </c>
    </row>
    <row r="26" spans="1:19" x14ac:dyDescent="0.25">
      <c r="A26">
        <v>900091143</v>
      </c>
      <c r="B26" t="s">
        <v>2891</v>
      </c>
      <c r="C26" t="s">
        <v>2159</v>
      </c>
      <c r="E26" t="s">
        <v>2159</v>
      </c>
      <c r="H26" t="s">
        <v>22</v>
      </c>
      <c r="I26">
        <v>1085336362</v>
      </c>
      <c r="J26" t="s">
        <v>1819</v>
      </c>
      <c r="P26" t="s">
        <v>2103</v>
      </c>
      <c r="Q26" s="8">
        <v>22620000</v>
      </c>
      <c r="R26" s="8" t="e">
        <f>SUMIFS([1]REPORTADOS!$D$2:$D$3345,[1]REPORTADOS!$C$2:$C$3345,E26)</f>
        <v>#VALUE!</v>
      </c>
      <c r="S26" s="3" t="e">
        <f t="shared" si="0"/>
        <v>#VALUE!</v>
      </c>
    </row>
    <row r="27" spans="1:19" x14ac:dyDescent="0.25">
      <c r="A27">
        <v>900091143</v>
      </c>
      <c r="B27" t="s">
        <v>2892</v>
      </c>
      <c r="C27" t="s">
        <v>2167</v>
      </c>
      <c r="E27" t="s">
        <v>2167</v>
      </c>
      <c r="H27" t="s">
        <v>22</v>
      </c>
      <c r="I27">
        <v>1006946167</v>
      </c>
      <c r="J27" t="s">
        <v>2168</v>
      </c>
      <c r="P27" t="s">
        <v>2113</v>
      </c>
      <c r="Q27" s="8">
        <v>22620000</v>
      </c>
      <c r="R27" s="8" t="e">
        <f>SUMIFS([1]REPORTADOS!$D$2:$D$3345,[1]REPORTADOS!$C$2:$C$3345,E27)</f>
        <v>#VALUE!</v>
      </c>
      <c r="S27" s="3" t="e">
        <f t="shared" si="0"/>
        <v>#VALUE!</v>
      </c>
    </row>
    <row r="28" spans="1:19" x14ac:dyDescent="0.25">
      <c r="A28">
        <v>900091143</v>
      </c>
      <c r="B28" t="s">
        <v>2893</v>
      </c>
      <c r="C28" t="s">
        <v>2170</v>
      </c>
      <c r="E28" t="s">
        <v>2170</v>
      </c>
      <c r="H28" t="s">
        <v>22</v>
      </c>
      <c r="I28">
        <v>1233189066</v>
      </c>
      <c r="J28" t="s">
        <v>2171</v>
      </c>
      <c r="P28" t="s">
        <v>2103</v>
      </c>
      <c r="Q28" s="8">
        <v>22620000</v>
      </c>
      <c r="R28" s="8" t="e">
        <f>SUMIFS([1]REPORTADOS!$D$2:$D$3345,[1]REPORTADOS!$C$2:$C$3345,E28)</f>
        <v>#VALUE!</v>
      </c>
      <c r="S28" s="3" t="e">
        <f t="shared" si="0"/>
        <v>#VALUE!</v>
      </c>
    </row>
    <row r="29" spans="1:19" x14ac:dyDescent="0.25">
      <c r="A29">
        <v>900091143</v>
      </c>
      <c r="B29" t="s">
        <v>2894</v>
      </c>
      <c r="C29" t="s">
        <v>2172</v>
      </c>
      <c r="E29" t="s">
        <v>2172</v>
      </c>
      <c r="H29" t="s">
        <v>22</v>
      </c>
      <c r="I29">
        <v>7603662</v>
      </c>
      <c r="J29" t="s">
        <v>2173</v>
      </c>
      <c r="P29" t="s">
        <v>2113</v>
      </c>
      <c r="Q29" s="8">
        <v>22620000</v>
      </c>
      <c r="R29" s="8" t="e">
        <f>SUMIFS([1]REPORTADOS!$D$2:$D$3345,[1]REPORTADOS!$C$2:$C$3345,E29)</f>
        <v>#VALUE!</v>
      </c>
      <c r="S29" s="3" t="e">
        <f t="shared" si="0"/>
        <v>#VALUE!</v>
      </c>
    </row>
    <row r="30" spans="1:19" x14ac:dyDescent="0.25">
      <c r="A30">
        <v>900091143</v>
      </c>
      <c r="B30" t="s">
        <v>2895</v>
      </c>
      <c r="C30" t="s">
        <v>2174</v>
      </c>
      <c r="E30" t="s">
        <v>2174</v>
      </c>
      <c r="H30" t="s">
        <v>22</v>
      </c>
      <c r="I30">
        <v>1085255870</v>
      </c>
      <c r="J30" t="s">
        <v>2175</v>
      </c>
      <c r="P30" t="s">
        <v>2113</v>
      </c>
      <c r="Q30" s="8">
        <v>22620000</v>
      </c>
      <c r="R30" s="8" t="e">
        <f>SUMIFS([1]REPORTADOS!$D$2:$D$3345,[1]REPORTADOS!$C$2:$C$3345,E30)</f>
        <v>#VALUE!</v>
      </c>
      <c r="S30" s="3" t="e">
        <f t="shared" si="0"/>
        <v>#VALUE!</v>
      </c>
    </row>
    <row r="31" spans="1:19" x14ac:dyDescent="0.25">
      <c r="A31">
        <v>900091143</v>
      </c>
      <c r="B31" t="s">
        <v>2896</v>
      </c>
      <c r="C31" t="s">
        <v>2208</v>
      </c>
      <c r="E31" t="s">
        <v>2208</v>
      </c>
      <c r="H31" t="s">
        <v>22</v>
      </c>
      <c r="I31">
        <v>80765093</v>
      </c>
      <c r="J31" t="s">
        <v>1651</v>
      </c>
      <c r="P31" t="s">
        <v>2113</v>
      </c>
      <c r="Q31" s="8">
        <v>22620000</v>
      </c>
      <c r="R31" s="8" t="e">
        <f>SUMIFS([1]REPORTADOS!$D$2:$D$3345,[1]REPORTADOS!$C$2:$C$3345,E31)</f>
        <v>#VALUE!</v>
      </c>
      <c r="S31" s="3" t="e">
        <f t="shared" si="0"/>
        <v>#VALUE!</v>
      </c>
    </row>
    <row r="32" spans="1:19" x14ac:dyDescent="0.25">
      <c r="A32">
        <v>900091143</v>
      </c>
      <c r="B32" t="s">
        <v>2897</v>
      </c>
      <c r="C32" t="s">
        <v>2266</v>
      </c>
      <c r="E32" t="s">
        <v>2266</v>
      </c>
      <c r="H32" t="s">
        <v>22</v>
      </c>
      <c r="I32">
        <v>1085329230</v>
      </c>
      <c r="J32" t="s">
        <v>2267</v>
      </c>
      <c r="P32" t="s">
        <v>2103</v>
      </c>
      <c r="Q32" s="8">
        <v>22620000</v>
      </c>
      <c r="R32" s="8" t="e">
        <f>SUMIFS([1]REPORTADOS!$D$2:$D$3345,[1]REPORTADOS!$C$2:$C$3345,E32)</f>
        <v>#VALUE!</v>
      </c>
      <c r="S32" s="3" t="e">
        <f t="shared" si="0"/>
        <v>#VALUE!</v>
      </c>
    </row>
    <row r="33" spans="1:19" x14ac:dyDescent="0.25">
      <c r="A33">
        <v>900091143</v>
      </c>
      <c r="B33" t="s">
        <v>2898</v>
      </c>
      <c r="C33" t="s">
        <v>2406</v>
      </c>
      <c r="E33" t="s">
        <v>2406</v>
      </c>
      <c r="H33" t="s">
        <v>22</v>
      </c>
      <c r="I33">
        <v>36950112</v>
      </c>
      <c r="J33" t="s">
        <v>2407</v>
      </c>
      <c r="P33" t="s">
        <v>2103</v>
      </c>
      <c r="Q33" s="8">
        <v>22620000</v>
      </c>
      <c r="R33" s="8" t="e">
        <f>SUMIFS([1]REPORTADOS!$D$2:$D$3345,[1]REPORTADOS!$C$2:$C$3345,E33)</f>
        <v>#VALUE!</v>
      </c>
      <c r="S33" s="3" t="e">
        <f t="shared" si="0"/>
        <v>#VALUE!</v>
      </c>
    </row>
    <row r="34" spans="1:19" x14ac:dyDescent="0.25">
      <c r="A34">
        <v>900091143</v>
      </c>
      <c r="B34" t="s">
        <v>2899</v>
      </c>
      <c r="C34" t="s">
        <v>2447</v>
      </c>
      <c r="E34" t="s">
        <v>2447</v>
      </c>
      <c r="H34" t="s">
        <v>22</v>
      </c>
      <c r="I34">
        <v>1085296958</v>
      </c>
      <c r="J34" t="s">
        <v>2448</v>
      </c>
      <c r="P34" t="s">
        <v>2103</v>
      </c>
      <c r="Q34" s="8">
        <v>22620000</v>
      </c>
      <c r="R34" s="8" t="e">
        <f>SUMIFS([1]REPORTADOS!$D$2:$D$3345,[1]REPORTADOS!$C$2:$C$3345,E34)</f>
        <v>#VALUE!</v>
      </c>
      <c r="S34" s="3" t="e">
        <f t="shared" si="0"/>
        <v>#VALUE!</v>
      </c>
    </row>
    <row r="35" spans="1:19" x14ac:dyDescent="0.25">
      <c r="A35">
        <v>900091143</v>
      </c>
      <c r="B35" t="s">
        <v>2900</v>
      </c>
      <c r="C35" t="s">
        <v>2514</v>
      </c>
      <c r="E35" t="s">
        <v>2514</v>
      </c>
      <c r="H35" t="s">
        <v>22</v>
      </c>
      <c r="I35">
        <v>1085344794</v>
      </c>
      <c r="J35" t="s">
        <v>2515</v>
      </c>
      <c r="P35" t="s">
        <v>2516</v>
      </c>
      <c r="Q35" s="8">
        <v>22620000</v>
      </c>
      <c r="R35" s="8" t="e">
        <f>SUMIFS([1]REPORTADOS!$D$2:$D$3345,[1]REPORTADOS!$C$2:$C$3345,E35)</f>
        <v>#VALUE!</v>
      </c>
      <c r="S35" s="3" t="e">
        <f t="shared" si="0"/>
        <v>#VALUE!</v>
      </c>
    </row>
    <row r="36" spans="1:19" x14ac:dyDescent="0.25">
      <c r="A36">
        <v>900091143</v>
      </c>
      <c r="B36" t="s">
        <v>2901</v>
      </c>
      <c r="C36" t="s">
        <v>2504</v>
      </c>
      <c r="E36" t="s">
        <v>2504</v>
      </c>
      <c r="H36" t="s">
        <v>22</v>
      </c>
      <c r="I36">
        <v>1233191998</v>
      </c>
      <c r="J36" t="s">
        <v>2505</v>
      </c>
      <c r="P36" t="s">
        <v>2506</v>
      </c>
      <c r="Q36" s="8">
        <v>22620000</v>
      </c>
      <c r="R36" s="8" t="e">
        <f>SUMIFS([1]REPORTADOS!$D$2:$D$3345,[1]REPORTADOS!$C$2:$C$3345,E36)</f>
        <v>#VALUE!</v>
      </c>
      <c r="S36" s="3" t="e">
        <f t="shared" si="0"/>
        <v>#VALUE!</v>
      </c>
    </row>
    <row r="37" spans="1:19" x14ac:dyDescent="0.25">
      <c r="A37">
        <v>900091143</v>
      </c>
      <c r="B37" t="s">
        <v>2902</v>
      </c>
      <c r="C37" t="s">
        <v>2507</v>
      </c>
      <c r="E37" t="s">
        <v>2507</v>
      </c>
      <c r="H37" t="s">
        <v>22</v>
      </c>
      <c r="I37">
        <v>79800150</v>
      </c>
      <c r="J37" t="s">
        <v>2508</v>
      </c>
      <c r="P37" t="s">
        <v>2103</v>
      </c>
      <c r="Q37" s="8">
        <v>22620000</v>
      </c>
      <c r="R37" s="8" t="e">
        <f>SUMIFS([1]REPORTADOS!$D$2:$D$3345,[1]REPORTADOS!$C$2:$C$3345,E37)</f>
        <v>#VALUE!</v>
      </c>
      <c r="S37" s="3" t="e">
        <f t="shared" si="0"/>
        <v>#VALUE!</v>
      </c>
    </row>
    <row r="38" spans="1:19" x14ac:dyDescent="0.25">
      <c r="A38">
        <v>900091143</v>
      </c>
      <c r="B38" t="s">
        <v>2903</v>
      </c>
      <c r="C38" t="s">
        <v>2509</v>
      </c>
      <c r="E38" t="s">
        <v>2509</v>
      </c>
      <c r="H38" t="s">
        <v>22</v>
      </c>
      <c r="I38">
        <v>1085293105</v>
      </c>
      <c r="J38" t="s">
        <v>1747</v>
      </c>
      <c r="P38" t="s">
        <v>2103</v>
      </c>
      <c r="Q38" s="8">
        <v>22620000</v>
      </c>
      <c r="R38" s="8" t="e">
        <f>SUMIFS([1]REPORTADOS!$D$2:$D$3345,[1]REPORTADOS!$C$2:$C$3345,E38)</f>
        <v>#VALUE!</v>
      </c>
      <c r="S38" s="3" t="e">
        <f t="shared" si="0"/>
        <v>#VALUE!</v>
      </c>
    </row>
    <row r="39" spans="1:19" x14ac:dyDescent="0.25">
      <c r="A39">
        <v>900091143</v>
      </c>
      <c r="B39" t="s">
        <v>2904</v>
      </c>
      <c r="C39" t="s">
        <v>2545</v>
      </c>
      <c r="E39" t="s">
        <v>2545</v>
      </c>
      <c r="H39" t="s">
        <v>22</v>
      </c>
      <c r="I39">
        <v>87940284</v>
      </c>
      <c r="J39" t="s">
        <v>2546</v>
      </c>
      <c r="P39" t="s">
        <v>2516</v>
      </c>
      <c r="Q39" s="8">
        <v>22620000</v>
      </c>
      <c r="R39" s="8" t="e">
        <f>SUMIFS([1]REPORTADOS!$D$2:$D$3345,[1]REPORTADOS!$C$2:$C$3345,E39)</f>
        <v>#VALUE!</v>
      </c>
      <c r="S39" s="3" t="e">
        <f t="shared" si="0"/>
        <v>#VALUE!</v>
      </c>
    </row>
    <row r="40" spans="1:19" x14ac:dyDescent="0.25">
      <c r="A40">
        <v>900091143</v>
      </c>
      <c r="B40" t="s">
        <v>2905</v>
      </c>
      <c r="C40" t="s">
        <v>2582</v>
      </c>
      <c r="E40" t="s">
        <v>2582</v>
      </c>
      <c r="H40" t="s">
        <v>22</v>
      </c>
      <c r="I40">
        <v>1233192708</v>
      </c>
      <c r="J40" t="s">
        <v>2583</v>
      </c>
      <c r="P40" t="s">
        <v>2103</v>
      </c>
      <c r="Q40" s="8">
        <v>22620000</v>
      </c>
      <c r="R40" s="8" t="e">
        <f>SUMIFS([1]REPORTADOS!$D$2:$D$3345,[1]REPORTADOS!$C$2:$C$3345,E40)</f>
        <v>#VALUE!</v>
      </c>
      <c r="S40" s="3" t="e">
        <f t="shared" si="0"/>
        <v>#VALUE!</v>
      </c>
    </row>
    <row r="41" spans="1:19" x14ac:dyDescent="0.25">
      <c r="A41">
        <v>900091143</v>
      </c>
      <c r="B41" t="s">
        <v>2906</v>
      </c>
      <c r="C41" t="s">
        <v>2616</v>
      </c>
      <c r="E41" t="s">
        <v>2616</v>
      </c>
      <c r="H41" t="s">
        <v>22</v>
      </c>
      <c r="I41">
        <v>1085329980</v>
      </c>
      <c r="J41" t="s">
        <v>2617</v>
      </c>
      <c r="P41" t="s">
        <v>2103</v>
      </c>
      <c r="Q41" s="8">
        <v>22620000</v>
      </c>
      <c r="R41" s="8" t="e">
        <f>SUMIFS([1]REPORTADOS!$D$2:$D$3345,[1]REPORTADOS!$C$2:$C$3345,E41)</f>
        <v>#VALUE!</v>
      </c>
      <c r="S41" s="3" t="e">
        <f t="shared" si="0"/>
        <v>#VALUE!</v>
      </c>
    </row>
    <row r="42" spans="1:19" x14ac:dyDescent="0.25">
      <c r="A42">
        <v>900091143</v>
      </c>
      <c r="B42" t="s">
        <v>2907</v>
      </c>
      <c r="C42" t="s">
        <v>2626</v>
      </c>
      <c r="E42" t="s">
        <v>2626</v>
      </c>
      <c r="H42" t="s">
        <v>22</v>
      </c>
      <c r="I42">
        <v>1085312978</v>
      </c>
      <c r="J42" t="s">
        <v>2627</v>
      </c>
      <c r="P42" t="s">
        <v>2628</v>
      </c>
      <c r="Q42" s="8">
        <v>22620000</v>
      </c>
      <c r="R42" s="8" t="e">
        <f>SUMIFS([1]REPORTADOS!$D$2:$D$3345,[1]REPORTADOS!$C$2:$C$3345,E42)</f>
        <v>#VALUE!</v>
      </c>
      <c r="S42" s="3" t="e">
        <f t="shared" si="0"/>
        <v>#VALUE!</v>
      </c>
    </row>
    <row r="43" spans="1:19" x14ac:dyDescent="0.25">
      <c r="A43">
        <v>900091143</v>
      </c>
      <c r="B43" t="s">
        <v>2908</v>
      </c>
      <c r="C43" t="s">
        <v>2498</v>
      </c>
      <c r="E43" t="s">
        <v>2498</v>
      </c>
      <c r="H43" t="s">
        <v>22</v>
      </c>
      <c r="I43">
        <v>1088599676</v>
      </c>
      <c r="J43" t="s">
        <v>2499</v>
      </c>
      <c r="P43" t="s">
        <v>2103</v>
      </c>
      <c r="Q43" s="8">
        <v>22500000</v>
      </c>
      <c r="R43" s="8" t="e">
        <f>SUMIFS([1]REPORTADOS!$D$2:$D$3345,[1]REPORTADOS!$C$2:$C$3345,E43)</f>
        <v>#VALUE!</v>
      </c>
      <c r="S43" s="3" t="e">
        <f t="shared" si="0"/>
        <v>#VALUE!</v>
      </c>
    </row>
    <row r="44" spans="1:19" x14ac:dyDescent="0.25">
      <c r="A44">
        <v>900091143</v>
      </c>
      <c r="B44" t="s">
        <v>2909</v>
      </c>
      <c r="C44" t="s">
        <v>2591</v>
      </c>
      <c r="E44" t="s">
        <v>2591</v>
      </c>
      <c r="H44" t="s">
        <v>22</v>
      </c>
      <c r="I44">
        <v>1193279435</v>
      </c>
      <c r="J44" t="s">
        <v>2592</v>
      </c>
      <c r="P44" t="s">
        <v>2103</v>
      </c>
      <c r="Q44" s="8">
        <v>21363000</v>
      </c>
      <c r="R44" s="8" t="e">
        <f>SUMIFS([1]REPORTADOS!$D$2:$D$3345,[1]REPORTADOS!$C$2:$C$3345,E44)</f>
        <v>#VALUE!</v>
      </c>
      <c r="S44" s="3" t="e">
        <f t="shared" si="0"/>
        <v>#VALUE!</v>
      </c>
    </row>
    <row r="45" spans="1:19" x14ac:dyDescent="0.25">
      <c r="A45">
        <v>900091143</v>
      </c>
      <c r="B45" t="s">
        <v>2910</v>
      </c>
      <c r="C45" t="s">
        <v>2805</v>
      </c>
      <c r="E45" t="s">
        <v>2805</v>
      </c>
      <c r="H45" t="s">
        <v>38</v>
      </c>
      <c r="I45">
        <v>900441119</v>
      </c>
      <c r="J45" t="s">
        <v>2798</v>
      </c>
      <c r="P45" t="s">
        <v>2106</v>
      </c>
      <c r="Q45" s="8">
        <v>20049120</v>
      </c>
      <c r="R45" s="8" t="e">
        <f>SUMIFS([1]REPORTADOS!$D$2:$D$3345,[1]REPORTADOS!$C$2:$C$3345,E45)</f>
        <v>#VALUE!</v>
      </c>
      <c r="S45" s="3" t="e">
        <f t="shared" si="0"/>
        <v>#VALUE!</v>
      </c>
    </row>
    <row r="46" spans="1:19" x14ac:dyDescent="0.25">
      <c r="A46">
        <v>900091143</v>
      </c>
      <c r="B46" t="s">
        <v>2911</v>
      </c>
      <c r="C46" t="s">
        <v>2092</v>
      </c>
      <c r="E46" t="s">
        <v>2092</v>
      </c>
      <c r="H46" t="s">
        <v>22</v>
      </c>
      <c r="I46">
        <v>1085292185</v>
      </c>
      <c r="J46" t="s">
        <v>2093</v>
      </c>
      <c r="P46" t="s">
        <v>2094</v>
      </c>
      <c r="Q46" s="8">
        <v>19800000</v>
      </c>
      <c r="R46" s="8" t="e">
        <f>SUMIFS([1]REPORTADOS!$D$2:$D$3345,[1]REPORTADOS!$C$2:$C$3345,E46)</f>
        <v>#VALUE!</v>
      </c>
      <c r="S46" s="3" t="e">
        <f t="shared" si="0"/>
        <v>#VALUE!</v>
      </c>
    </row>
    <row r="47" spans="1:19" x14ac:dyDescent="0.25">
      <c r="A47">
        <v>900091143</v>
      </c>
      <c r="B47" t="s">
        <v>2912</v>
      </c>
      <c r="C47" t="s">
        <v>2610</v>
      </c>
      <c r="E47" t="s">
        <v>2610</v>
      </c>
      <c r="H47" t="s">
        <v>22</v>
      </c>
      <c r="I47">
        <v>1233193882</v>
      </c>
      <c r="J47" t="s">
        <v>2611</v>
      </c>
      <c r="P47" t="s">
        <v>2113</v>
      </c>
      <c r="Q47" s="8">
        <v>18850000</v>
      </c>
      <c r="R47" s="8" t="e">
        <f>SUMIFS([1]REPORTADOS!$D$2:$D$3345,[1]REPORTADOS!$C$2:$C$3345,E47)</f>
        <v>#VALUE!</v>
      </c>
      <c r="S47" s="3" t="e">
        <f t="shared" si="0"/>
        <v>#VALUE!</v>
      </c>
    </row>
    <row r="48" spans="1:19" x14ac:dyDescent="0.25">
      <c r="A48">
        <v>900091143</v>
      </c>
      <c r="B48" t="s">
        <v>2913</v>
      </c>
      <c r="C48" t="s">
        <v>2098</v>
      </c>
      <c r="E48" t="s">
        <v>2098</v>
      </c>
      <c r="H48" t="s">
        <v>22</v>
      </c>
      <c r="I48">
        <v>1089242085</v>
      </c>
      <c r="J48" t="s">
        <v>2099</v>
      </c>
      <c r="P48" t="s">
        <v>2100</v>
      </c>
      <c r="Q48" s="8">
        <v>18000000</v>
      </c>
      <c r="R48" s="8" t="e">
        <f>SUMIFS([1]REPORTADOS!$D$2:$D$3345,[1]REPORTADOS!$C$2:$C$3345,E48)</f>
        <v>#VALUE!</v>
      </c>
      <c r="S48" s="3" t="e">
        <f t="shared" si="0"/>
        <v>#VALUE!</v>
      </c>
    </row>
    <row r="49" spans="1:19" x14ac:dyDescent="0.25">
      <c r="A49">
        <v>900091143</v>
      </c>
      <c r="B49" t="s">
        <v>2914</v>
      </c>
      <c r="C49" t="s">
        <v>2107</v>
      </c>
      <c r="E49" t="s">
        <v>2107</v>
      </c>
      <c r="H49" t="s">
        <v>22</v>
      </c>
      <c r="I49">
        <v>59837608</v>
      </c>
      <c r="J49" t="s">
        <v>1810</v>
      </c>
      <c r="P49" t="s">
        <v>2108</v>
      </c>
      <c r="Q49" s="8">
        <v>18000000</v>
      </c>
      <c r="R49" s="8" t="e">
        <f>SUMIFS([1]REPORTADOS!$D$2:$D$3345,[1]REPORTADOS!$C$2:$C$3345,E49)</f>
        <v>#VALUE!</v>
      </c>
      <c r="S49" s="3" t="e">
        <f t="shared" si="0"/>
        <v>#VALUE!</v>
      </c>
    </row>
    <row r="50" spans="1:19" x14ac:dyDescent="0.25">
      <c r="A50">
        <v>900091143</v>
      </c>
      <c r="B50" t="s">
        <v>2915</v>
      </c>
      <c r="C50" t="s">
        <v>2111</v>
      </c>
      <c r="E50" t="s">
        <v>2111</v>
      </c>
      <c r="H50" t="s">
        <v>22</v>
      </c>
      <c r="I50">
        <v>97470681</v>
      </c>
      <c r="J50" t="s">
        <v>1883</v>
      </c>
      <c r="P50" t="s">
        <v>2108</v>
      </c>
      <c r="Q50" s="8">
        <v>18000000</v>
      </c>
      <c r="R50" s="8" t="e">
        <f>SUMIFS([1]REPORTADOS!$D$2:$D$3345,[1]REPORTADOS!$C$2:$C$3345,E50)</f>
        <v>#VALUE!</v>
      </c>
      <c r="S50" s="3" t="e">
        <f t="shared" si="0"/>
        <v>#VALUE!</v>
      </c>
    </row>
    <row r="51" spans="1:19" x14ac:dyDescent="0.25">
      <c r="A51">
        <v>900091143</v>
      </c>
      <c r="B51" t="s">
        <v>2916</v>
      </c>
      <c r="C51" t="s">
        <v>2139</v>
      </c>
      <c r="E51" t="s">
        <v>2139</v>
      </c>
      <c r="H51" t="s">
        <v>22</v>
      </c>
      <c r="I51">
        <v>1010010954</v>
      </c>
      <c r="J51" t="s">
        <v>2140</v>
      </c>
      <c r="P51" t="s">
        <v>2100</v>
      </c>
      <c r="Q51" s="8">
        <v>18000000</v>
      </c>
      <c r="R51" s="8" t="e">
        <f>SUMIFS([1]REPORTADOS!$D$2:$D$3345,[1]REPORTADOS!$C$2:$C$3345,E51)</f>
        <v>#VALUE!</v>
      </c>
      <c r="S51" s="3" t="e">
        <f t="shared" si="0"/>
        <v>#VALUE!</v>
      </c>
    </row>
    <row r="52" spans="1:19" x14ac:dyDescent="0.25">
      <c r="A52">
        <v>900091143</v>
      </c>
      <c r="B52" t="s">
        <v>2917</v>
      </c>
      <c r="C52" t="s">
        <v>2162</v>
      </c>
      <c r="E52" t="s">
        <v>2162</v>
      </c>
      <c r="H52" t="s">
        <v>22</v>
      </c>
      <c r="I52">
        <v>59820414</v>
      </c>
      <c r="J52" t="s">
        <v>1846</v>
      </c>
      <c r="P52" t="s">
        <v>2100</v>
      </c>
      <c r="Q52" s="8">
        <v>18000000</v>
      </c>
      <c r="R52" s="8" t="e">
        <f>SUMIFS([1]REPORTADOS!$D$2:$D$3345,[1]REPORTADOS!$C$2:$C$3345,E52)</f>
        <v>#VALUE!</v>
      </c>
      <c r="S52" s="3" t="e">
        <f t="shared" si="0"/>
        <v>#VALUE!</v>
      </c>
    </row>
    <row r="53" spans="1:19" x14ac:dyDescent="0.25">
      <c r="A53">
        <v>900091143</v>
      </c>
      <c r="B53" t="s">
        <v>2918</v>
      </c>
      <c r="C53" t="s">
        <v>2163</v>
      </c>
      <c r="E53" t="s">
        <v>2163</v>
      </c>
      <c r="H53" t="s">
        <v>22</v>
      </c>
      <c r="I53">
        <v>1085253062</v>
      </c>
      <c r="J53" t="s">
        <v>2164</v>
      </c>
      <c r="P53" t="s">
        <v>2100</v>
      </c>
      <c r="Q53" s="8">
        <v>18000000</v>
      </c>
      <c r="R53" s="8" t="e">
        <f>SUMIFS([1]REPORTADOS!$D$2:$D$3345,[1]REPORTADOS!$C$2:$C$3345,E53)</f>
        <v>#VALUE!</v>
      </c>
      <c r="S53" s="3" t="e">
        <f t="shared" si="0"/>
        <v>#VALUE!</v>
      </c>
    </row>
    <row r="54" spans="1:19" x14ac:dyDescent="0.25">
      <c r="A54">
        <v>900091143</v>
      </c>
      <c r="B54" t="s">
        <v>2919</v>
      </c>
      <c r="C54" t="s">
        <v>2165</v>
      </c>
      <c r="E54" t="s">
        <v>2165</v>
      </c>
      <c r="H54" t="s">
        <v>22</v>
      </c>
      <c r="I54">
        <v>1085337232</v>
      </c>
      <c r="J54" t="s">
        <v>2166</v>
      </c>
      <c r="P54" t="s">
        <v>2100</v>
      </c>
      <c r="Q54" s="8">
        <v>18000000</v>
      </c>
      <c r="R54" s="8" t="e">
        <f>SUMIFS([1]REPORTADOS!$D$2:$D$3345,[1]REPORTADOS!$C$2:$C$3345,E54)</f>
        <v>#VALUE!</v>
      </c>
      <c r="S54" s="3" t="e">
        <f t="shared" si="0"/>
        <v>#VALUE!</v>
      </c>
    </row>
    <row r="55" spans="1:19" x14ac:dyDescent="0.25">
      <c r="A55">
        <v>900091143</v>
      </c>
      <c r="B55" t="s">
        <v>2920</v>
      </c>
      <c r="C55" t="s">
        <v>2169</v>
      </c>
      <c r="E55" t="s">
        <v>2169</v>
      </c>
      <c r="H55" t="s">
        <v>22</v>
      </c>
      <c r="I55">
        <v>1085254626</v>
      </c>
      <c r="J55" t="s">
        <v>1970</v>
      </c>
      <c r="P55" t="s">
        <v>2108</v>
      </c>
      <c r="Q55" s="8">
        <v>18000000</v>
      </c>
      <c r="R55" s="8" t="e">
        <f>SUMIFS([1]REPORTADOS!$D$2:$D$3345,[1]REPORTADOS!$C$2:$C$3345,E55)</f>
        <v>#VALUE!</v>
      </c>
      <c r="S55" s="3" t="e">
        <f t="shared" si="0"/>
        <v>#VALUE!</v>
      </c>
    </row>
    <row r="56" spans="1:19" x14ac:dyDescent="0.25">
      <c r="A56">
        <v>900091143</v>
      </c>
      <c r="B56" t="s">
        <v>2921</v>
      </c>
      <c r="C56" t="s">
        <v>2148</v>
      </c>
      <c r="E56" t="s">
        <v>2148</v>
      </c>
      <c r="H56" t="s">
        <v>22</v>
      </c>
      <c r="I56">
        <v>36954410</v>
      </c>
      <c r="J56" t="s">
        <v>2001</v>
      </c>
      <c r="P56" t="s">
        <v>2100</v>
      </c>
      <c r="Q56" s="8">
        <v>18000000</v>
      </c>
      <c r="R56" s="8" t="e">
        <f>SUMIFS([1]REPORTADOS!$D$2:$D$3345,[1]REPORTADOS!$C$2:$C$3345,E56)</f>
        <v>#VALUE!</v>
      </c>
      <c r="S56" s="3" t="e">
        <f t="shared" si="0"/>
        <v>#VALUE!</v>
      </c>
    </row>
    <row r="57" spans="1:19" x14ac:dyDescent="0.25">
      <c r="A57">
        <v>900091143</v>
      </c>
      <c r="B57" t="s">
        <v>2922</v>
      </c>
      <c r="C57" t="s">
        <v>2190</v>
      </c>
      <c r="E57" t="s">
        <v>2190</v>
      </c>
      <c r="H57" t="s">
        <v>22</v>
      </c>
      <c r="I57">
        <v>59836926</v>
      </c>
      <c r="J57" t="s">
        <v>2191</v>
      </c>
      <c r="P57" t="s">
        <v>2108</v>
      </c>
      <c r="Q57" s="8">
        <v>18000000</v>
      </c>
      <c r="R57" s="8" t="e">
        <f>SUMIFS([1]REPORTADOS!$D$2:$D$3345,[1]REPORTADOS!$C$2:$C$3345,E57)</f>
        <v>#VALUE!</v>
      </c>
      <c r="S57" s="3" t="e">
        <f t="shared" si="0"/>
        <v>#VALUE!</v>
      </c>
    </row>
    <row r="58" spans="1:19" x14ac:dyDescent="0.25">
      <c r="A58">
        <v>900091143</v>
      </c>
      <c r="B58" t="s">
        <v>2923</v>
      </c>
      <c r="C58" t="s">
        <v>2192</v>
      </c>
      <c r="E58" t="s">
        <v>2192</v>
      </c>
      <c r="H58" t="s">
        <v>22</v>
      </c>
      <c r="I58">
        <v>1085246134</v>
      </c>
      <c r="J58" t="s">
        <v>2193</v>
      </c>
      <c r="P58" t="s">
        <v>2100</v>
      </c>
      <c r="Q58" s="8">
        <v>18000000</v>
      </c>
      <c r="R58" s="8" t="e">
        <f>SUMIFS([1]REPORTADOS!$D$2:$D$3345,[1]REPORTADOS!$C$2:$C$3345,E58)</f>
        <v>#VALUE!</v>
      </c>
      <c r="S58" s="3" t="e">
        <f t="shared" si="0"/>
        <v>#VALUE!</v>
      </c>
    </row>
    <row r="59" spans="1:19" x14ac:dyDescent="0.25">
      <c r="A59">
        <v>900091143</v>
      </c>
      <c r="B59" t="s">
        <v>2924</v>
      </c>
      <c r="C59" t="s">
        <v>2200</v>
      </c>
      <c r="E59" t="s">
        <v>2200</v>
      </c>
      <c r="H59" t="s">
        <v>22</v>
      </c>
      <c r="I59">
        <v>37013610</v>
      </c>
      <c r="J59" t="s">
        <v>2201</v>
      </c>
      <c r="P59" t="s">
        <v>2108</v>
      </c>
      <c r="Q59" s="8">
        <v>18000000</v>
      </c>
      <c r="R59" s="8" t="e">
        <f>SUMIFS([1]REPORTADOS!$D$2:$D$3345,[1]REPORTADOS!$C$2:$C$3345,E59)</f>
        <v>#VALUE!</v>
      </c>
      <c r="S59" s="3" t="e">
        <f t="shared" si="0"/>
        <v>#VALUE!</v>
      </c>
    </row>
    <row r="60" spans="1:19" x14ac:dyDescent="0.25">
      <c r="A60">
        <v>900091143</v>
      </c>
      <c r="B60" t="s">
        <v>2925</v>
      </c>
      <c r="C60" t="s">
        <v>2186</v>
      </c>
      <c r="E60" t="s">
        <v>2186</v>
      </c>
      <c r="H60" t="s">
        <v>22</v>
      </c>
      <c r="I60">
        <v>27097289</v>
      </c>
      <c r="J60" t="s">
        <v>2187</v>
      </c>
      <c r="P60" t="s">
        <v>2108</v>
      </c>
      <c r="Q60" s="8">
        <v>18000000</v>
      </c>
      <c r="R60" s="8" t="e">
        <f>SUMIFS([1]REPORTADOS!$D$2:$D$3345,[1]REPORTADOS!$C$2:$C$3345,E60)</f>
        <v>#VALUE!</v>
      </c>
      <c r="S60" s="3" t="e">
        <f t="shared" si="0"/>
        <v>#VALUE!</v>
      </c>
    </row>
    <row r="61" spans="1:19" x14ac:dyDescent="0.25">
      <c r="A61">
        <v>900091143</v>
      </c>
      <c r="B61" t="s">
        <v>2926</v>
      </c>
      <c r="C61" t="s">
        <v>2236</v>
      </c>
      <c r="E61" t="s">
        <v>2236</v>
      </c>
      <c r="H61" t="s">
        <v>22</v>
      </c>
      <c r="I61">
        <v>36951002</v>
      </c>
      <c r="J61" t="s">
        <v>2237</v>
      </c>
      <c r="P61" t="s">
        <v>2100</v>
      </c>
      <c r="Q61" s="8">
        <v>18000000</v>
      </c>
      <c r="R61" s="8" t="e">
        <f>SUMIFS([1]REPORTADOS!$D$2:$D$3345,[1]REPORTADOS!$C$2:$C$3345,E61)</f>
        <v>#VALUE!</v>
      </c>
      <c r="S61" s="3" t="e">
        <f t="shared" si="0"/>
        <v>#VALUE!</v>
      </c>
    </row>
    <row r="62" spans="1:19" x14ac:dyDescent="0.25">
      <c r="A62">
        <v>900091143</v>
      </c>
      <c r="B62" t="s">
        <v>2927</v>
      </c>
      <c r="C62" t="s">
        <v>2238</v>
      </c>
      <c r="E62" t="s">
        <v>2238</v>
      </c>
      <c r="H62" t="s">
        <v>22</v>
      </c>
      <c r="I62">
        <v>1004213964</v>
      </c>
      <c r="J62" t="s">
        <v>1990</v>
      </c>
      <c r="P62" t="s">
        <v>2100</v>
      </c>
      <c r="Q62" s="8">
        <v>18000000</v>
      </c>
      <c r="R62" s="8" t="e">
        <f>SUMIFS([1]REPORTADOS!$D$2:$D$3345,[1]REPORTADOS!$C$2:$C$3345,E62)</f>
        <v>#VALUE!</v>
      </c>
      <c r="S62" s="3" t="e">
        <f t="shared" si="0"/>
        <v>#VALUE!</v>
      </c>
    </row>
    <row r="63" spans="1:19" x14ac:dyDescent="0.25">
      <c r="A63">
        <v>900091143</v>
      </c>
      <c r="B63" t="s">
        <v>2928</v>
      </c>
      <c r="C63" t="s">
        <v>2279</v>
      </c>
      <c r="E63" t="s">
        <v>2279</v>
      </c>
      <c r="H63" t="s">
        <v>22</v>
      </c>
      <c r="I63">
        <v>1085275879</v>
      </c>
      <c r="J63" t="s">
        <v>1906</v>
      </c>
      <c r="P63" t="s">
        <v>2100</v>
      </c>
      <c r="Q63" s="8">
        <v>18000000</v>
      </c>
      <c r="R63" s="8" t="e">
        <f>SUMIFS([1]REPORTADOS!$D$2:$D$3345,[1]REPORTADOS!$C$2:$C$3345,E63)</f>
        <v>#VALUE!</v>
      </c>
      <c r="S63" s="3" t="e">
        <f t="shared" si="0"/>
        <v>#VALUE!</v>
      </c>
    </row>
    <row r="64" spans="1:19" x14ac:dyDescent="0.25">
      <c r="A64">
        <v>900091143</v>
      </c>
      <c r="B64" t="s">
        <v>2929</v>
      </c>
      <c r="C64" t="s">
        <v>2284</v>
      </c>
      <c r="E64" t="s">
        <v>2284</v>
      </c>
      <c r="H64" t="s">
        <v>22</v>
      </c>
      <c r="I64">
        <v>1082748420</v>
      </c>
      <c r="J64" t="s">
        <v>1948</v>
      </c>
      <c r="P64" t="s">
        <v>2100</v>
      </c>
      <c r="Q64" s="8">
        <v>18000000</v>
      </c>
      <c r="R64" s="8" t="e">
        <f>SUMIFS([1]REPORTADOS!$D$2:$D$3345,[1]REPORTADOS!$C$2:$C$3345,E64)</f>
        <v>#VALUE!</v>
      </c>
      <c r="S64" s="3" t="e">
        <f t="shared" si="0"/>
        <v>#VALUE!</v>
      </c>
    </row>
    <row r="65" spans="1:19" x14ac:dyDescent="0.25">
      <c r="A65">
        <v>900091143</v>
      </c>
      <c r="B65" t="s">
        <v>2930</v>
      </c>
      <c r="C65" t="s">
        <v>2293</v>
      </c>
      <c r="E65" t="s">
        <v>2293</v>
      </c>
      <c r="H65" t="s">
        <v>22</v>
      </c>
      <c r="I65">
        <v>27109314</v>
      </c>
      <c r="J65" t="s">
        <v>2294</v>
      </c>
      <c r="P65" t="s">
        <v>2100</v>
      </c>
      <c r="Q65" s="8">
        <v>18000000</v>
      </c>
      <c r="R65" s="8" t="e">
        <f>SUMIFS([1]REPORTADOS!$D$2:$D$3345,[1]REPORTADOS!$C$2:$C$3345,E65)</f>
        <v>#VALUE!</v>
      </c>
      <c r="S65" s="3" t="e">
        <f t="shared" si="0"/>
        <v>#VALUE!</v>
      </c>
    </row>
    <row r="66" spans="1:19" x14ac:dyDescent="0.25">
      <c r="A66">
        <v>900091143</v>
      </c>
      <c r="B66" t="s">
        <v>2931</v>
      </c>
      <c r="C66" t="s">
        <v>2295</v>
      </c>
      <c r="E66" t="s">
        <v>2295</v>
      </c>
      <c r="H66" t="s">
        <v>22</v>
      </c>
      <c r="I66">
        <v>79724257</v>
      </c>
      <c r="J66" t="s">
        <v>2296</v>
      </c>
      <c r="P66" t="s">
        <v>2108</v>
      </c>
      <c r="Q66" s="8">
        <v>18000000</v>
      </c>
      <c r="R66" s="8" t="e">
        <f>SUMIFS([1]REPORTADOS!$D$2:$D$3345,[1]REPORTADOS!$C$2:$C$3345,E66)</f>
        <v>#VALUE!</v>
      </c>
      <c r="S66" s="3" t="e">
        <f t="shared" si="0"/>
        <v>#VALUE!</v>
      </c>
    </row>
    <row r="67" spans="1:19" x14ac:dyDescent="0.25">
      <c r="A67">
        <v>900091143</v>
      </c>
      <c r="B67" t="s">
        <v>2932</v>
      </c>
      <c r="C67" t="s">
        <v>2299</v>
      </c>
      <c r="E67" t="s">
        <v>2299</v>
      </c>
      <c r="H67" t="s">
        <v>22</v>
      </c>
      <c r="I67">
        <v>1085286476</v>
      </c>
      <c r="J67" t="s">
        <v>2300</v>
      </c>
      <c r="P67" t="s">
        <v>2100</v>
      </c>
      <c r="Q67" s="8">
        <v>18000000</v>
      </c>
      <c r="R67" s="8" t="e">
        <f>SUMIFS([1]REPORTADOS!$D$2:$D$3345,[1]REPORTADOS!$C$2:$C$3345,E67)</f>
        <v>#VALUE!</v>
      </c>
      <c r="S67" s="3" t="e">
        <f t="shared" ref="S67:S130" si="1">Q67-R67</f>
        <v>#VALUE!</v>
      </c>
    </row>
    <row r="68" spans="1:19" x14ac:dyDescent="0.25">
      <c r="A68">
        <v>900091143</v>
      </c>
      <c r="B68" t="s">
        <v>2933</v>
      </c>
      <c r="C68" t="s">
        <v>2364</v>
      </c>
      <c r="E68" t="s">
        <v>2364</v>
      </c>
      <c r="H68" t="s">
        <v>22</v>
      </c>
      <c r="I68">
        <v>1085320275</v>
      </c>
      <c r="J68" t="s">
        <v>2365</v>
      </c>
      <c r="P68" t="s">
        <v>2108</v>
      </c>
      <c r="Q68" s="8">
        <v>18000000</v>
      </c>
      <c r="R68" s="8" t="e">
        <f>SUMIFS([1]REPORTADOS!$D$2:$D$3345,[1]REPORTADOS!$C$2:$C$3345,E68)</f>
        <v>#VALUE!</v>
      </c>
      <c r="S68" s="3" t="e">
        <f t="shared" si="1"/>
        <v>#VALUE!</v>
      </c>
    </row>
    <row r="69" spans="1:19" x14ac:dyDescent="0.25">
      <c r="A69">
        <v>900091143</v>
      </c>
      <c r="B69" t="s">
        <v>2934</v>
      </c>
      <c r="C69" t="s">
        <v>2366</v>
      </c>
      <c r="E69" t="s">
        <v>2366</v>
      </c>
      <c r="H69" t="s">
        <v>22</v>
      </c>
      <c r="I69">
        <v>1193223736</v>
      </c>
      <c r="J69" t="s">
        <v>2021</v>
      </c>
      <c r="P69" t="s">
        <v>2108</v>
      </c>
      <c r="Q69" s="8">
        <v>18000000</v>
      </c>
      <c r="R69" s="8" t="e">
        <f>SUMIFS([1]REPORTADOS!$D$2:$D$3345,[1]REPORTADOS!$C$2:$C$3345,E69)</f>
        <v>#VALUE!</v>
      </c>
      <c r="S69" s="3" t="e">
        <f t="shared" si="1"/>
        <v>#VALUE!</v>
      </c>
    </row>
    <row r="70" spans="1:19" x14ac:dyDescent="0.25">
      <c r="A70">
        <v>900091143</v>
      </c>
      <c r="B70" t="s">
        <v>2935</v>
      </c>
      <c r="C70" t="s">
        <v>2433</v>
      </c>
      <c r="E70" t="s">
        <v>2433</v>
      </c>
      <c r="H70" t="s">
        <v>22</v>
      </c>
      <c r="I70">
        <v>27097745</v>
      </c>
      <c r="J70" t="s">
        <v>1978</v>
      </c>
      <c r="P70" t="s">
        <v>2100</v>
      </c>
      <c r="Q70" s="8">
        <v>18000000</v>
      </c>
      <c r="R70" s="8" t="e">
        <f>SUMIFS([1]REPORTADOS!$D$2:$D$3345,[1]REPORTADOS!$C$2:$C$3345,E70)</f>
        <v>#VALUE!</v>
      </c>
      <c r="S70" s="3" t="e">
        <f t="shared" si="1"/>
        <v>#VALUE!</v>
      </c>
    </row>
    <row r="71" spans="1:19" x14ac:dyDescent="0.25">
      <c r="A71">
        <v>900091143</v>
      </c>
      <c r="B71" t="s">
        <v>2936</v>
      </c>
      <c r="C71" t="s">
        <v>2412</v>
      </c>
      <c r="E71" t="s">
        <v>2412</v>
      </c>
      <c r="H71" t="s">
        <v>22</v>
      </c>
      <c r="I71">
        <v>1087420025</v>
      </c>
      <c r="J71" t="s">
        <v>2413</v>
      </c>
      <c r="P71" t="s">
        <v>2100</v>
      </c>
      <c r="Q71" s="8">
        <v>18000000</v>
      </c>
      <c r="R71" s="8" t="e">
        <f>SUMIFS([1]REPORTADOS!$D$2:$D$3345,[1]REPORTADOS!$C$2:$C$3345,E71)</f>
        <v>#VALUE!</v>
      </c>
      <c r="S71" s="3" t="e">
        <f t="shared" si="1"/>
        <v>#VALUE!</v>
      </c>
    </row>
    <row r="72" spans="1:19" x14ac:dyDescent="0.25">
      <c r="A72">
        <v>900091143</v>
      </c>
      <c r="B72" t="s">
        <v>2937</v>
      </c>
      <c r="C72" t="s">
        <v>2444</v>
      </c>
      <c r="E72" t="s">
        <v>2444</v>
      </c>
      <c r="H72" t="s">
        <v>22</v>
      </c>
      <c r="I72">
        <v>1085313872</v>
      </c>
      <c r="J72" t="s">
        <v>1833</v>
      </c>
      <c r="P72" t="s">
        <v>2100</v>
      </c>
      <c r="Q72" s="8">
        <v>18000000</v>
      </c>
      <c r="R72" s="8" t="e">
        <f>SUMIFS([1]REPORTADOS!$D$2:$D$3345,[1]REPORTADOS!$C$2:$C$3345,E72)</f>
        <v>#VALUE!</v>
      </c>
      <c r="S72" s="3" t="e">
        <f t="shared" si="1"/>
        <v>#VALUE!</v>
      </c>
    </row>
    <row r="73" spans="1:19" x14ac:dyDescent="0.25">
      <c r="A73">
        <v>900091143</v>
      </c>
      <c r="B73" t="s">
        <v>2938</v>
      </c>
      <c r="C73" t="s">
        <v>2483</v>
      </c>
      <c r="E73" t="s">
        <v>2483</v>
      </c>
      <c r="H73" t="s">
        <v>22</v>
      </c>
      <c r="I73">
        <v>1085272491</v>
      </c>
      <c r="J73" t="s">
        <v>2484</v>
      </c>
      <c r="P73" t="s">
        <v>2100</v>
      </c>
      <c r="Q73" s="8">
        <v>18000000</v>
      </c>
      <c r="R73" s="8" t="e">
        <f>SUMIFS([1]REPORTADOS!$D$2:$D$3345,[1]REPORTADOS!$C$2:$C$3345,E73)</f>
        <v>#VALUE!</v>
      </c>
      <c r="S73" s="3" t="e">
        <f t="shared" si="1"/>
        <v>#VALUE!</v>
      </c>
    </row>
    <row r="74" spans="1:19" x14ac:dyDescent="0.25">
      <c r="A74">
        <v>900091143</v>
      </c>
      <c r="B74" t="s">
        <v>2939</v>
      </c>
      <c r="C74" t="s">
        <v>2496</v>
      </c>
      <c r="E74" t="s">
        <v>2496</v>
      </c>
      <c r="H74" t="s">
        <v>22</v>
      </c>
      <c r="I74">
        <v>36757221</v>
      </c>
      <c r="J74" t="s">
        <v>2497</v>
      </c>
      <c r="P74" t="s">
        <v>2108</v>
      </c>
      <c r="Q74" s="8">
        <v>18000000</v>
      </c>
      <c r="R74" s="8" t="e">
        <f>SUMIFS([1]REPORTADOS!$D$2:$D$3345,[1]REPORTADOS!$C$2:$C$3345,E74)</f>
        <v>#VALUE!</v>
      </c>
      <c r="S74" s="3" t="e">
        <f t="shared" si="1"/>
        <v>#VALUE!</v>
      </c>
    </row>
    <row r="75" spans="1:19" x14ac:dyDescent="0.25">
      <c r="A75">
        <v>900091143</v>
      </c>
      <c r="B75" t="s">
        <v>2940</v>
      </c>
      <c r="C75" t="s">
        <v>2554</v>
      </c>
      <c r="E75" t="s">
        <v>2554</v>
      </c>
      <c r="H75" t="s">
        <v>22</v>
      </c>
      <c r="I75">
        <v>1085254153</v>
      </c>
      <c r="J75" t="s">
        <v>2555</v>
      </c>
      <c r="P75" t="s">
        <v>2556</v>
      </c>
      <c r="Q75" s="8">
        <v>18000000</v>
      </c>
      <c r="R75" s="8" t="e">
        <f>SUMIFS([1]REPORTADOS!$D$2:$D$3345,[1]REPORTADOS!$C$2:$C$3345,E75)</f>
        <v>#VALUE!</v>
      </c>
      <c r="S75" s="3" t="e">
        <f t="shared" si="1"/>
        <v>#VALUE!</v>
      </c>
    </row>
    <row r="76" spans="1:19" x14ac:dyDescent="0.25">
      <c r="A76">
        <v>900091143</v>
      </c>
      <c r="B76" t="s">
        <v>2941</v>
      </c>
      <c r="C76" t="s">
        <v>2608</v>
      </c>
      <c r="E76" t="s">
        <v>2608</v>
      </c>
      <c r="H76" t="s">
        <v>22</v>
      </c>
      <c r="I76">
        <v>1085248939</v>
      </c>
      <c r="J76" t="s">
        <v>2609</v>
      </c>
      <c r="P76" t="s">
        <v>2108</v>
      </c>
      <c r="Q76" s="8">
        <v>18000000</v>
      </c>
      <c r="R76" s="8" t="e">
        <f>SUMIFS([1]REPORTADOS!$D$2:$D$3345,[1]REPORTADOS!$C$2:$C$3345,E76)</f>
        <v>#VALUE!</v>
      </c>
      <c r="S76" s="3" t="e">
        <f t="shared" si="1"/>
        <v>#VALUE!</v>
      </c>
    </row>
    <row r="77" spans="1:19" x14ac:dyDescent="0.25">
      <c r="A77">
        <v>900091143</v>
      </c>
      <c r="B77" t="s">
        <v>2942</v>
      </c>
      <c r="C77" t="s">
        <v>2707</v>
      </c>
      <c r="E77" t="s">
        <v>2707</v>
      </c>
      <c r="H77" t="s">
        <v>22</v>
      </c>
      <c r="I77">
        <v>1085317791</v>
      </c>
      <c r="J77" t="s">
        <v>2708</v>
      </c>
      <c r="P77" t="s">
        <v>2113</v>
      </c>
      <c r="Q77" s="8">
        <v>15080000</v>
      </c>
      <c r="R77" s="8" t="e">
        <f>SUMIFS([1]REPORTADOS!$D$2:$D$3345,[1]REPORTADOS!$C$2:$C$3345,E77)</f>
        <v>#VALUE!</v>
      </c>
      <c r="S77" s="3" t="e">
        <f t="shared" si="1"/>
        <v>#VALUE!</v>
      </c>
    </row>
    <row r="78" spans="1:19" x14ac:dyDescent="0.25">
      <c r="A78">
        <v>900091143</v>
      </c>
      <c r="B78" t="s">
        <v>2943</v>
      </c>
      <c r="C78" t="s">
        <v>2709</v>
      </c>
      <c r="E78" t="s">
        <v>2709</v>
      </c>
      <c r="H78" t="s">
        <v>22</v>
      </c>
      <c r="I78">
        <v>1085300619</v>
      </c>
      <c r="J78" t="s">
        <v>2081</v>
      </c>
      <c r="P78" t="s">
        <v>2103</v>
      </c>
      <c r="Q78" s="8">
        <v>15080000</v>
      </c>
      <c r="R78" s="8" t="e">
        <f>SUMIFS([1]REPORTADOS!$D$2:$D$3345,[1]REPORTADOS!$C$2:$C$3345,E78)</f>
        <v>#VALUE!</v>
      </c>
      <c r="S78" s="3" t="e">
        <f t="shared" si="1"/>
        <v>#VALUE!</v>
      </c>
    </row>
    <row r="79" spans="1:19" x14ac:dyDescent="0.25">
      <c r="A79">
        <v>900091143</v>
      </c>
      <c r="B79" t="s">
        <v>2944</v>
      </c>
      <c r="C79" t="s">
        <v>2712</v>
      </c>
      <c r="E79" t="s">
        <v>2712</v>
      </c>
      <c r="H79" t="s">
        <v>22</v>
      </c>
      <c r="I79">
        <v>1085251158</v>
      </c>
      <c r="J79" t="s">
        <v>2713</v>
      </c>
      <c r="P79" t="s">
        <v>2113</v>
      </c>
      <c r="Q79" s="8">
        <v>15080000</v>
      </c>
      <c r="R79" s="8" t="e">
        <f>SUMIFS([1]REPORTADOS!$D$2:$D$3345,[1]REPORTADOS!$C$2:$C$3345,E79)</f>
        <v>#VALUE!</v>
      </c>
      <c r="S79" s="3" t="e">
        <f t="shared" si="1"/>
        <v>#VALUE!</v>
      </c>
    </row>
    <row r="80" spans="1:19" x14ac:dyDescent="0.25">
      <c r="A80">
        <v>900091143</v>
      </c>
      <c r="B80" t="s">
        <v>2945</v>
      </c>
      <c r="C80" t="s">
        <v>2714</v>
      </c>
      <c r="E80" t="s">
        <v>2714</v>
      </c>
      <c r="H80" t="s">
        <v>22</v>
      </c>
      <c r="I80">
        <v>1085937671</v>
      </c>
      <c r="J80" t="s">
        <v>2715</v>
      </c>
      <c r="P80" t="s">
        <v>2113</v>
      </c>
      <c r="Q80" s="8">
        <v>15080000</v>
      </c>
      <c r="R80" s="8" t="e">
        <f>SUMIFS([1]REPORTADOS!$D$2:$D$3345,[1]REPORTADOS!$C$2:$C$3345,E80)</f>
        <v>#VALUE!</v>
      </c>
      <c r="S80" s="3" t="e">
        <f t="shared" si="1"/>
        <v>#VALUE!</v>
      </c>
    </row>
    <row r="81" spans="1:19" x14ac:dyDescent="0.25">
      <c r="A81">
        <v>900091143</v>
      </c>
      <c r="B81" t="s">
        <v>2946</v>
      </c>
      <c r="C81" t="s">
        <v>2716</v>
      </c>
      <c r="E81" t="s">
        <v>2716</v>
      </c>
      <c r="H81" t="s">
        <v>22</v>
      </c>
      <c r="I81">
        <v>1085327344</v>
      </c>
      <c r="J81" t="s">
        <v>2717</v>
      </c>
      <c r="P81" t="s">
        <v>2103</v>
      </c>
      <c r="Q81" s="8">
        <v>15080000</v>
      </c>
      <c r="R81" s="8" t="e">
        <f>SUMIFS([1]REPORTADOS!$D$2:$D$3345,[1]REPORTADOS!$C$2:$C$3345,E81)</f>
        <v>#VALUE!</v>
      </c>
      <c r="S81" s="3" t="e">
        <f t="shared" si="1"/>
        <v>#VALUE!</v>
      </c>
    </row>
    <row r="82" spans="1:19" x14ac:dyDescent="0.25">
      <c r="A82">
        <v>900091143</v>
      </c>
      <c r="B82" t="s">
        <v>2947</v>
      </c>
      <c r="C82" t="s">
        <v>2694</v>
      </c>
      <c r="E82" t="s">
        <v>2694</v>
      </c>
      <c r="H82" t="s">
        <v>22</v>
      </c>
      <c r="I82">
        <v>1085315800</v>
      </c>
      <c r="J82" t="s">
        <v>2695</v>
      </c>
      <c r="P82" t="s">
        <v>2103</v>
      </c>
      <c r="Q82" s="8">
        <v>15080000</v>
      </c>
      <c r="R82" s="8" t="e">
        <f>SUMIFS([1]REPORTADOS!$D$2:$D$3345,[1]REPORTADOS!$C$2:$C$3345,E82)</f>
        <v>#VALUE!</v>
      </c>
      <c r="S82" s="3" t="e">
        <f t="shared" si="1"/>
        <v>#VALUE!</v>
      </c>
    </row>
    <row r="83" spans="1:19" x14ac:dyDescent="0.25">
      <c r="A83">
        <v>900091143</v>
      </c>
      <c r="B83" t="s">
        <v>2948</v>
      </c>
      <c r="C83" t="s">
        <v>2696</v>
      </c>
      <c r="E83" t="s">
        <v>2696</v>
      </c>
      <c r="H83" t="s">
        <v>22</v>
      </c>
      <c r="I83">
        <v>1085262570</v>
      </c>
      <c r="J83" t="s">
        <v>2697</v>
      </c>
      <c r="P83" t="s">
        <v>2103</v>
      </c>
      <c r="Q83" s="8">
        <v>15080000</v>
      </c>
      <c r="R83" s="8" t="e">
        <f>SUMIFS([1]REPORTADOS!$D$2:$D$3345,[1]REPORTADOS!$C$2:$C$3345,E83)</f>
        <v>#VALUE!</v>
      </c>
      <c r="S83" s="3" t="e">
        <f t="shared" si="1"/>
        <v>#VALUE!</v>
      </c>
    </row>
    <row r="84" spans="1:19" x14ac:dyDescent="0.25">
      <c r="A84">
        <v>900091143</v>
      </c>
      <c r="B84" t="s">
        <v>2949</v>
      </c>
      <c r="C84" t="s">
        <v>2674</v>
      </c>
      <c r="E84" t="s">
        <v>2674</v>
      </c>
      <c r="H84" t="s">
        <v>22</v>
      </c>
      <c r="I84">
        <v>1085291725</v>
      </c>
      <c r="J84" t="s">
        <v>2675</v>
      </c>
      <c r="P84" t="s">
        <v>2103</v>
      </c>
      <c r="Q84" s="8">
        <v>15080000</v>
      </c>
      <c r="R84" s="8" t="e">
        <f>SUMIFS([1]REPORTADOS!$D$2:$D$3345,[1]REPORTADOS!$C$2:$C$3345,E84)</f>
        <v>#VALUE!</v>
      </c>
      <c r="S84" s="3" t="e">
        <f t="shared" si="1"/>
        <v>#VALUE!</v>
      </c>
    </row>
    <row r="85" spans="1:19" x14ac:dyDescent="0.25">
      <c r="A85">
        <v>900091143</v>
      </c>
      <c r="B85" t="s">
        <v>2950</v>
      </c>
      <c r="C85" t="s">
        <v>2820</v>
      </c>
      <c r="E85" t="s">
        <v>2820</v>
      </c>
      <c r="H85" t="s">
        <v>22</v>
      </c>
      <c r="I85">
        <v>1233192708</v>
      </c>
      <c r="J85" t="s">
        <v>2583</v>
      </c>
      <c r="P85" t="s">
        <v>2821</v>
      </c>
      <c r="Q85" s="8">
        <v>15000000</v>
      </c>
      <c r="R85" s="8" t="e">
        <f>SUMIFS([1]REPORTADOS!$D$2:$D$3345,[1]REPORTADOS!$C$2:$C$3345,E85)</f>
        <v>#VALUE!</v>
      </c>
      <c r="S85" s="3" t="e">
        <f t="shared" si="1"/>
        <v>#VALUE!</v>
      </c>
    </row>
    <row r="86" spans="1:19" x14ac:dyDescent="0.25">
      <c r="A86">
        <v>900091143</v>
      </c>
      <c r="B86" t="s">
        <v>2951</v>
      </c>
      <c r="C86" t="s">
        <v>2605</v>
      </c>
      <c r="E86" t="s">
        <v>2605</v>
      </c>
      <c r="H86" t="s">
        <v>22</v>
      </c>
      <c r="I86">
        <v>1004131723</v>
      </c>
      <c r="J86" t="s">
        <v>2606</v>
      </c>
      <c r="P86" t="s">
        <v>2607</v>
      </c>
      <c r="Q86" s="8">
        <v>15000000</v>
      </c>
      <c r="R86" s="8" t="e">
        <f>SUMIFS([1]REPORTADOS!$D$2:$D$3345,[1]REPORTADOS!$C$2:$C$3345,E86)</f>
        <v>#VALUE!</v>
      </c>
      <c r="S86" s="3" t="e">
        <f t="shared" si="1"/>
        <v>#VALUE!</v>
      </c>
    </row>
    <row r="87" spans="1:19" x14ac:dyDescent="0.25">
      <c r="A87">
        <v>900091143</v>
      </c>
      <c r="B87" t="s">
        <v>2952</v>
      </c>
      <c r="C87" t="s">
        <v>2618</v>
      </c>
      <c r="E87" t="s">
        <v>2618</v>
      </c>
      <c r="H87" t="s">
        <v>22</v>
      </c>
      <c r="I87">
        <v>59588823</v>
      </c>
      <c r="J87" t="s">
        <v>2619</v>
      </c>
      <c r="P87" t="s">
        <v>2607</v>
      </c>
      <c r="Q87" s="8">
        <v>15000000</v>
      </c>
      <c r="R87" s="8" t="e">
        <f>SUMIFS([1]REPORTADOS!$D$2:$D$3345,[1]REPORTADOS!$C$2:$C$3345,E87)</f>
        <v>#VALUE!</v>
      </c>
      <c r="S87" s="3" t="e">
        <f t="shared" si="1"/>
        <v>#VALUE!</v>
      </c>
    </row>
    <row r="88" spans="1:19" x14ac:dyDescent="0.25">
      <c r="A88">
        <v>900091143</v>
      </c>
      <c r="B88" t="s">
        <v>2953</v>
      </c>
      <c r="C88" t="s">
        <v>2135</v>
      </c>
      <c r="E88" t="s">
        <v>2135</v>
      </c>
      <c r="H88" t="s">
        <v>22</v>
      </c>
      <c r="I88">
        <v>59314451</v>
      </c>
      <c r="J88" t="s">
        <v>2136</v>
      </c>
      <c r="P88" t="s">
        <v>2119</v>
      </c>
      <c r="Q88" s="8">
        <v>14475000</v>
      </c>
      <c r="R88" s="8" t="e">
        <f>SUMIFS([1]REPORTADOS!$D$2:$D$3345,[1]REPORTADOS!$C$2:$C$3345,E88)</f>
        <v>#VALUE!</v>
      </c>
      <c r="S88" s="3" t="e">
        <f t="shared" si="1"/>
        <v>#VALUE!</v>
      </c>
    </row>
    <row r="89" spans="1:19" x14ac:dyDescent="0.25">
      <c r="A89">
        <v>900091143</v>
      </c>
      <c r="B89" t="s">
        <v>2954</v>
      </c>
      <c r="C89" t="s">
        <v>2117</v>
      </c>
      <c r="E89" t="s">
        <v>2117</v>
      </c>
      <c r="H89" t="s">
        <v>22</v>
      </c>
      <c r="I89">
        <v>30732782</v>
      </c>
      <c r="J89" t="s">
        <v>2118</v>
      </c>
      <c r="P89" t="s">
        <v>2119</v>
      </c>
      <c r="Q89" s="8">
        <v>14475000</v>
      </c>
      <c r="R89" s="8" t="e">
        <f>SUMIFS([1]REPORTADOS!$D$2:$D$3345,[1]REPORTADOS!$C$2:$C$3345,E89)</f>
        <v>#VALUE!</v>
      </c>
      <c r="S89" s="3" t="e">
        <f t="shared" si="1"/>
        <v>#VALUE!</v>
      </c>
    </row>
    <row r="90" spans="1:19" x14ac:dyDescent="0.25">
      <c r="A90">
        <v>900091143</v>
      </c>
      <c r="B90" t="s">
        <v>2955</v>
      </c>
      <c r="C90" t="s">
        <v>2129</v>
      </c>
      <c r="E90" t="s">
        <v>2129</v>
      </c>
      <c r="H90" t="s">
        <v>22</v>
      </c>
      <c r="I90">
        <v>27087851</v>
      </c>
      <c r="J90" t="s">
        <v>2130</v>
      </c>
      <c r="P90" t="s">
        <v>2119</v>
      </c>
      <c r="Q90" s="8">
        <v>14475000</v>
      </c>
      <c r="R90" s="8" t="e">
        <f>SUMIFS([1]REPORTADOS!$D$2:$D$3345,[1]REPORTADOS!$C$2:$C$3345,E90)</f>
        <v>#VALUE!</v>
      </c>
      <c r="S90" s="3" t="e">
        <f t="shared" si="1"/>
        <v>#VALUE!</v>
      </c>
    </row>
    <row r="91" spans="1:19" x14ac:dyDescent="0.25">
      <c r="A91">
        <v>900091143</v>
      </c>
      <c r="B91" t="s">
        <v>2956</v>
      </c>
      <c r="C91" t="s">
        <v>2143</v>
      </c>
      <c r="E91" t="s">
        <v>2143</v>
      </c>
      <c r="H91" t="s">
        <v>22</v>
      </c>
      <c r="I91">
        <v>87062845</v>
      </c>
      <c r="J91" t="s">
        <v>2144</v>
      </c>
      <c r="P91" t="s">
        <v>2119</v>
      </c>
      <c r="Q91" s="8">
        <v>14475000</v>
      </c>
      <c r="R91" s="8" t="e">
        <f>SUMIFS([1]REPORTADOS!$D$2:$D$3345,[1]REPORTADOS!$C$2:$C$3345,E91)</f>
        <v>#VALUE!</v>
      </c>
      <c r="S91" s="3" t="e">
        <f t="shared" si="1"/>
        <v>#VALUE!</v>
      </c>
    </row>
    <row r="92" spans="1:19" x14ac:dyDescent="0.25">
      <c r="A92">
        <v>900091143</v>
      </c>
      <c r="B92" t="s">
        <v>2957</v>
      </c>
      <c r="C92" t="s">
        <v>2153</v>
      </c>
      <c r="E92" t="s">
        <v>2153</v>
      </c>
      <c r="H92" t="s">
        <v>22</v>
      </c>
      <c r="I92">
        <v>1085338534</v>
      </c>
      <c r="J92" t="s">
        <v>2154</v>
      </c>
      <c r="P92" t="s">
        <v>2119</v>
      </c>
      <c r="Q92" s="8">
        <v>14475000</v>
      </c>
      <c r="R92" s="8" t="e">
        <f>SUMIFS([1]REPORTADOS!$D$2:$D$3345,[1]REPORTADOS!$C$2:$C$3345,E92)</f>
        <v>#VALUE!</v>
      </c>
      <c r="S92" s="3" t="e">
        <f t="shared" si="1"/>
        <v>#VALUE!</v>
      </c>
    </row>
    <row r="93" spans="1:19" x14ac:dyDescent="0.25">
      <c r="A93">
        <v>900091143</v>
      </c>
      <c r="B93" t="s">
        <v>2958</v>
      </c>
      <c r="C93" t="s">
        <v>2149</v>
      </c>
      <c r="E93" t="s">
        <v>2149</v>
      </c>
      <c r="H93" t="s">
        <v>22</v>
      </c>
      <c r="I93">
        <v>1085267184</v>
      </c>
      <c r="J93" t="s">
        <v>2150</v>
      </c>
      <c r="P93" t="s">
        <v>2119</v>
      </c>
      <c r="Q93" s="8">
        <v>14475000</v>
      </c>
      <c r="R93" s="8" t="e">
        <f>SUMIFS([1]REPORTADOS!$D$2:$D$3345,[1]REPORTADOS!$C$2:$C$3345,E93)</f>
        <v>#VALUE!</v>
      </c>
      <c r="S93" s="3" t="e">
        <f t="shared" si="1"/>
        <v>#VALUE!</v>
      </c>
    </row>
    <row r="94" spans="1:19" x14ac:dyDescent="0.25">
      <c r="A94">
        <v>900091143</v>
      </c>
      <c r="B94" t="s">
        <v>2959</v>
      </c>
      <c r="C94" t="s">
        <v>2160</v>
      </c>
      <c r="E94" t="s">
        <v>2160</v>
      </c>
      <c r="H94" t="s">
        <v>22</v>
      </c>
      <c r="I94">
        <v>1087643211</v>
      </c>
      <c r="J94" t="s">
        <v>2161</v>
      </c>
      <c r="P94" t="s">
        <v>2119</v>
      </c>
      <c r="Q94" s="8">
        <v>14475000</v>
      </c>
      <c r="R94" s="8" t="e">
        <f>SUMIFS([1]REPORTADOS!$D$2:$D$3345,[1]REPORTADOS!$C$2:$C$3345,E94)</f>
        <v>#VALUE!</v>
      </c>
      <c r="S94" s="3" t="e">
        <f t="shared" si="1"/>
        <v>#VALUE!</v>
      </c>
    </row>
    <row r="95" spans="1:19" x14ac:dyDescent="0.25">
      <c r="A95">
        <v>900091143</v>
      </c>
      <c r="B95" t="s">
        <v>2960</v>
      </c>
      <c r="C95" t="s">
        <v>2182</v>
      </c>
      <c r="E95" t="s">
        <v>2182</v>
      </c>
      <c r="H95" t="s">
        <v>22</v>
      </c>
      <c r="I95">
        <v>30733517</v>
      </c>
      <c r="J95" t="s">
        <v>2183</v>
      </c>
      <c r="P95" t="s">
        <v>2119</v>
      </c>
      <c r="Q95" s="8">
        <v>14475000</v>
      </c>
      <c r="R95" s="8" t="e">
        <f>SUMIFS([1]REPORTADOS!$D$2:$D$3345,[1]REPORTADOS!$C$2:$C$3345,E95)</f>
        <v>#VALUE!</v>
      </c>
      <c r="S95" s="3" t="e">
        <f t="shared" si="1"/>
        <v>#VALUE!</v>
      </c>
    </row>
    <row r="96" spans="1:19" x14ac:dyDescent="0.25">
      <c r="A96">
        <v>900091143</v>
      </c>
      <c r="B96" t="s">
        <v>2961</v>
      </c>
      <c r="C96" t="s">
        <v>2220</v>
      </c>
      <c r="E96" t="s">
        <v>2220</v>
      </c>
      <c r="H96" t="s">
        <v>22</v>
      </c>
      <c r="I96">
        <v>1193385736</v>
      </c>
      <c r="J96" t="s">
        <v>2221</v>
      </c>
      <c r="P96" t="s">
        <v>2119</v>
      </c>
      <c r="Q96" s="8">
        <v>14475000</v>
      </c>
      <c r="R96" s="8" t="e">
        <f>SUMIFS([1]REPORTADOS!$D$2:$D$3345,[1]REPORTADOS!$C$2:$C$3345,E96)</f>
        <v>#VALUE!</v>
      </c>
      <c r="S96" s="3" t="e">
        <f t="shared" si="1"/>
        <v>#VALUE!</v>
      </c>
    </row>
    <row r="97" spans="1:19" x14ac:dyDescent="0.25">
      <c r="A97">
        <v>900091143</v>
      </c>
      <c r="B97" t="s">
        <v>2962</v>
      </c>
      <c r="C97" t="s">
        <v>2254</v>
      </c>
      <c r="E97" t="s">
        <v>2254</v>
      </c>
      <c r="H97" t="s">
        <v>22</v>
      </c>
      <c r="I97">
        <v>37082349</v>
      </c>
      <c r="J97" t="s">
        <v>2255</v>
      </c>
      <c r="P97" t="s">
        <v>2119</v>
      </c>
      <c r="Q97" s="8">
        <v>14475000</v>
      </c>
      <c r="R97" s="8" t="e">
        <f>SUMIFS([1]REPORTADOS!$D$2:$D$3345,[1]REPORTADOS!$C$2:$C$3345,E97)</f>
        <v>#VALUE!</v>
      </c>
      <c r="S97" s="3" t="e">
        <f t="shared" si="1"/>
        <v>#VALUE!</v>
      </c>
    </row>
    <row r="98" spans="1:19" x14ac:dyDescent="0.25">
      <c r="A98">
        <v>900091143</v>
      </c>
      <c r="B98" t="s">
        <v>2963</v>
      </c>
      <c r="C98" t="s">
        <v>2277</v>
      </c>
      <c r="E98" t="s">
        <v>2277</v>
      </c>
      <c r="H98" t="s">
        <v>22</v>
      </c>
      <c r="I98">
        <v>1085321943</v>
      </c>
      <c r="J98" t="s">
        <v>2278</v>
      </c>
      <c r="P98" t="s">
        <v>2119</v>
      </c>
      <c r="Q98" s="8">
        <v>14475000</v>
      </c>
      <c r="R98" s="8" t="e">
        <f>SUMIFS([1]REPORTADOS!$D$2:$D$3345,[1]REPORTADOS!$C$2:$C$3345,E98)</f>
        <v>#VALUE!</v>
      </c>
      <c r="S98" s="3" t="e">
        <f t="shared" si="1"/>
        <v>#VALUE!</v>
      </c>
    </row>
    <row r="99" spans="1:19" x14ac:dyDescent="0.25">
      <c r="A99">
        <v>900091143</v>
      </c>
      <c r="B99" t="s">
        <v>2964</v>
      </c>
      <c r="C99" t="s">
        <v>2306</v>
      </c>
      <c r="E99" t="s">
        <v>2306</v>
      </c>
      <c r="H99" t="s">
        <v>22</v>
      </c>
      <c r="I99">
        <v>59310622</v>
      </c>
      <c r="J99" t="s">
        <v>2307</v>
      </c>
      <c r="P99" t="s">
        <v>2119</v>
      </c>
      <c r="Q99" s="8">
        <v>14475000</v>
      </c>
      <c r="R99" s="8" t="e">
        <f>SUMIFS([1]REPORTADOS!$D$2:$D$3345,[1]REPORTADOS!$C$2:$C$3345,E99)</f>
        <v>#VALUE!</v>
      </c>
      <c r="S99" s="3" t="e">
        <f t="shared" si="1"/>
        <v>#VALUE!</v>
      </c>
    </row>
    <row r="100" spans="1:19" x14ac:dyDescent="0.25">
      <c r="A100">
        <v>900091143</v>
      </c>
      <c r="B100" t="s">
        <v>2965</v>
      </c>
      <c r="C100" t="s">
        <v>2329</v>
      </c>
      <c r="E100" t="s">
        <v>2329</v>
      </c>
      <c r="H100" t="s">
        <v>22</v>
      </c>
      <c r="I100">
        <v>12748383</v>
      </c>
      <c r="J100" t="s">
        <v>1987</v>
      </c>
      <c r="P100" t="s">
        <v>2119</v>
      </c>
      <c r="Q100" s="8">
        <v>14475000</v>
      </c>
      <c r="R100" s="8" t="e">
        <f>SUMIFS([1]REPORTADOS!$D$2:$D$3345,[1]REPORTADOS!$C$2:$C$3345,E100)</f>
        <v>#VALUE!</v>
      </c>
      <c r="S100" s="3" t="e">
        <f t="shared" si="1"/>
        <v>#VALUE!</v>
      </c>
    </row>
    <row r="101" spans="1:19" x14ac:dyDescent="0.25">
      <c r="A101">
        <v>900091143</v>
      </c>
      <c r="B101" t="s">
        <v>2966</v>
      </c>
      <c r="C101" t="s">
        <v>2344</v>
      </c>
      <c r="E101" t="s">
        <v>2344</v>
      </c>
      <c r="H101" t="s">
        <v>22</v>
      </c>
      <c r="I101">
        <v>1085311814</v>
      </c>
      <c r="J101" t="s">
        <v>2345</v>
      </c>
      <c r="P101" t="s">
        <v>2119</v>
      </c>
      <c r="Q101" s="8">
        <v>14475000</v>
      </c>
      <c r="R101" s="8" t="e">
        <f>SUMIFS([1]REPORTADOS!$D$2:$D$3345,[1]REPORTADOS!$C$2:$C$3345,E101)</f>
        <v>#VALUE!</v>
      </c>
      <c r="S101" s="3" t="e">
        <f t="shared" si="1"/>
        <v>#VALUE!</v>
      </c>
    </row>
    <row r="102" spans="1:19" x14ac:dyDescent="0.25">
      <c r="A102">
        <v>900091143</v>
      </c>
      <c r="B102" t="s">
        <v>2967</v>
      </c>
      <c r="C102" t="s">
        <v>2350</v>
      </c>
      <c r="E102" t="s">
        <v>2350</v>
      </c>
      <c r="H102" t="s">
        <v>22</v>
      </c>
      <c r="I102">
        <v>1085269530</v>
      </c>
      <c r="J102" t="s">
        <v>1765</v>
      </c>
      <c r="P102" t="s">
        <v>2351</v>
      </c>
      <c r="Q102" s="8">
        <v>14475000</v>
      </c>
      <c r="R102" s="8" t="e">
        <f>SUMIFS([1]REPORTADOS!$D$2:$D$3345,[1]REPORTADOS!$C$2:$C$3345,E102)</f>
        <v>#VALUE!</v>
      </c>
      <c r="S102" s="3" t="e">
        <f t="shared" si="1"/>
        <v>#VALUE!</v>
      </c>
    </row>
    <row r="103" spans="1:19" x14ac:dyDescent="0.25">
      <c r="A103">
        <v>900091143</v>
      </c>
      <c r="B103" t="s">
        <v>2968</v>
      </c>
      <c r="C103" t="s">
        <v>2362</v>
      </c>
      <c r="E103" t="s">
        <v>2362</v>
      </c>
      <c r="H103" t="s">
        <v>22</v>
      </c>
      <c r="I103">
        <v>1085283723</v>
      </c>
      <c r="J103" t="s">
        <v>2363</v>
      </c>
      <c r="P103" t="s">
        <v>2351</v>
      </c>
      <c r="Q103" s="8">
        <v>14475000</v>
      </c>
      <c r="R103" s="8" t="e">
        <f>SUMIFS([1]REPORTADOS!$D$2:$D$3345,[1]REPORTADOS!$C$2:$C$3345,E103)</f>
        <v>#VALUE!</v>
      </c>
      <c r="S103" s="3" t="e">
        <f t="shared" si="1"/>
        <v>#VALUE!</v>
      </c>
    </row>
    <row r="104" spans="1:19" x14ac:dyDescent="0.25">
      <c r="A104">
        <v>900091143</v>
      </c>
      <c r="B104" t="s">
        <v>2969</v>
      </c>
      <c r="C104" t="s">
        <v>2354</v>
      </c>
      <c r="E104" t="s">
        <v>2354</v>
      </c>
      <c r="H104" t="s">
        <v>22</v>
      </c>
      <c r="I104">
        <v>1085337969</v>
      </c>
      <c r="J104" t="s">
        <v>2355</v>
      </c>
      <c r="P104" t="s">
        <v>2119</v>
      </c>
      <c r="Q104" s="8">
        <v>14475000</v>
      </c>
      <c r="R104" s="8" t="e">
        <f>SUMIFS([1]REPORTADOS!$D$2:$D$3345,[1]REPORTADOS!$C$2:$C$3345,E104)</f>
        <v>#VALUE!</v>
      </c>
      <c r="S104" s="3" t="e">
        <f t="shared" si="1"/>
        <v>#VALUE!</v>
      </c>
    </row>
    <row r="105" spans="1:19" x14ac:dyDescent="0.25">
      <c r="A105">
        <v>900091143</v>
      </c>
      <c r="B105" t="s">
        <v>2970</v>
      </c>
      <c r="C105" t="s">
        <v>2464</v>
      </c>
      <c r="E105" t="s">
        <v>2464</v>
      </c>
      <c r="H105" t="s">
        <v>22</v>
      </c>
      <c r="I105">
        <v>1085273986</v>
      </c>
      <c r="J105" t="s">
        <v>2465</v>
      </c>
      <c r="P105" t="s">
        <v>2351</v>
      </c>
      <c r="Q105" s="8">
        <v>14475000</v>
      </c>
      <c r="R105" s="8" t="e">
        <f>SUMIFS([1]REPORTADOS!$D$2:$D$3345,[1]REPORTADOS!$C$2:$C$3345,E105)</f>
        <v>#VALUE!</v>
      </c>
      <c r="S105" s="3" t="e">
        <f t="shared" si="1"/>
        <v>#VALUE!</v>
      </c>
    </row>
    <row r="106" spans="1:19" x14ac:dyDescent="0.25">
      <c r="A106">
        <v>900091143</v>
      </c>
      <c r="B106" t="s">
        <v>2971</v>
      </c>
      <c r="C106" t="s">
        <v>2456</v>
      </c>
      <c r="E106" t="s">
        <v>2456</v>
      </c>
      <c r="H106" t="s">
        <v>22</v>
      </c>
      <c r="I106">
        <v>27088141</v>
      </c>
      <c r="J106" t="s">
        <v>2457</v>
      </c>
      <c r="P106" t="s">
        <v>2119</v>
      </c>
      <c r="Q106" s="8">
        <v>14475000</v>
      </c>
      <c r="R106" s="8" t="e">
        <f>SUMIFS([1]REPORTADOS!$D$2:$D$3345,[1]REPORTADOS!$C$2:$C$3345,E106)</f>
        <v>#VALUE!</v>
      </c>
      <c r="S106" s="3" t="e">
        <f t="shared" si="1"/>
        <v>#VALUE!</v>
      </c>
    </row>
    <row r="107" spans="1:19" x14ac:dyDescent="0.25">
      <c r="A107">
        <v>900091143</v>
      </c>
      <c r="B107" t="s">
        <v>2972</v>
      </c>
      <c r="C107" t="s">
        <v>2425</v>
      </c>
      <c r="E107" t="s">
        <v>2425</v>
      </c>
      <c r="H107" t="s">
        <v>22</v>
      </c>
      <c r="I107">
        <v>1085291221</v>
      </c>
      <c r="J107" t="s">
        <v>2426</v>
      </c>
      <c r="P107" t="s">
        <v>2427</v>
      </c>
      <c r="Q107" s="8">
        <v>14475000</v>
      </c>
      <c r="R107" s="8" t="e">
        <f>SUMIFS([1]REPORTADOS!$D$2:$D$3345,[1]REPORTADOS!$C$2:$C$3345,E107)</f>
        <v>#VALUE!</v>
      </c>
      <c r="S107" s="3" t="e">
        <f t="shared" si="1"/>
        <v>#VALUE!</v>
      </c>
    </row>
    <row r="108" spans="1:19" x14ac:dyDescent="0.25">
      <c r="A108">
        <v>900091143</v>
      </c>
      <c r="B108" t="s">
        <v>2973</v>
      </c>
      <c r="C108" t="s">
        <v>2428</v>
      </c>
      <c r="E108" t="s">
        <v>2428</v>
      </c>
      <c r="H108" t="s">
        <v>22</v>
      </c>
      <c r="I108">
        <v>59310145</v>
      </c>
      <c r="J108" t="s">
        <v>2429</v>
      </c>
      <c r="P108" t="s">
        <v>2351</v>
      </c>
      <c r="Q108" s="8">
        <v>14475000</v>
      </c>
      <c r="R108" s="8" t="e">
        <f>SUMIFS([1]REPORTADOS!$D$2:$D$3345,[1]REPORTADOS!$C$2:$C$3345,E108)</f>
        <v>#VALUE!</v>
      </c>
      <c r="S108" s="3" t="e">
        <f t="shared" si="1"/>
        <v>#VALUE!</v>
      </c>
    </row>
    <row r="109" spans="1:19" x14ac:dyDescent="0.25">
      <c r="A109">
        <v>900091143</v>
      </c>
      <c r="B109" t="s">
        <v>2974</v>
      </c>
      <c r="C109" t="s">
        <v>2415</v>
      </c>
      <c r="E109" t="s">
        <v>2415</v>
      </c>
      <c r="H109" t="s">
        <v>22</v>
      </c>
      <c r="I109">
        <v>1085321578</v>
      </c>
      <c r="J109" t="s">
        <v>1825</v>
      </c>
      <c r="P109" t="s">
        <v>2351</v>
      </c>
      <c r="Q109" s="8">
        <v>14475000</v>
      </c>
      <c r="R109" s="8" t="e">
        <f>SUMIFS([1]REPORTADOS!$D$2:$D$3345,[1]REPORTADOS!$C$2:$C$3345,E109)</f>
        <v>#VALUE!</v>
      </c>
      <c r="S109" s="3" t="e">
        <f t="shared" si="1"/>
        <v>#VALUE!</v>
      </c>
    </row>
    <row r="110" spans="1:19" x14ac:dyDescent="0.25">
      <c r="A110">
        <v>900091143</v>
      </c>
      <c r="B110" t="s">
        <v>2975</v>
      </c>
      <c r="C110" t="s">
        <v>2468</v>
      </c>
      <c r="E110" t="s">
        <v>2468</v>
      </c>
      <c r="H110" t="s">
        <v>22</v>
      </c>
      <c r="I110">
        <v>1085289739</v>
      </c>
      <c r="J110" t="s">
        <v>2469</v>
      </c>
      <c r="P110" t="s">
        <v>2351</v>
      </c>
      <c r="Q110" s="8">
        <v>14475000</v>
      </c>
      <c r="R110" s="8" t="e">
        <f>SUMIFS([1]REPORTADOS!$D$2:$D$3345,[1]REPORTADOS!$C$2:$C$3345,E110)</f>
        <v>#VALUE!</v>
      </c>
      <c r="S110" s="3" t="e">
        <f t="shared" si="1"/>
        <v>#VALUE!</v>
      </c>
    </row>
    <row r="111" spans="1:19" x14ac:dyDescent="0.25">
      <c r="A111">
        <v>900091143</v>
      </c>
      <c r="B111" t="s">
        <v>2976</v>
      </c>
      <c r="C111" t="s">
        <v>2502</v>
      </c>
      <c r="E111" t="s">
        <v>2502</v>
      </c>
      <c r="H111" t="s">
        <v>22</v>
      </c>
      <c r="I111">
        <v>1085332406</v>
      </c>
      <c r="J111" t="s">
        <v>2503</v>
      </c>
      <c r="P111" t="s">
        <v>2427</v>
      </c>
      <c r="Q111" s="8">
        <v>14475000</v>
      </c>
      <c r="R111" s="8" t="e">
        <f>SUMIFS([1]REPORTADOS!$D$2:$D$3345,[1]REPORTADOS!$C$2:$C$3345,E111)</f>
        <v>#VALUE!</v>
      </c>
      <c r="S111" s="3" t="e">
        <f t="shared" si="1"/>
        <v>#VALUE!</v>
      </c>
    </row>
    <row r="112" spans="1:19" x14ac:dyDescent="0.25">
      <c r="A112">
        <v>900091143</v>
      </c>
      <c r="B112" t="s">
        <v>2977</v>
      </c>
      <c r="C112" t="s">
        <v>2571</v>
      </c>
      <c r="E112" t="s">
        <v>2571</v>
      </c>
      <c r="H112" t="s">
        <v>22</v>
      </c>
      <c r="I112">
        <v>1085265622</v>
      </c>
      <c r="J112" t="s">
        <v>2572</v>
      </c>
      <c r="P112" t="s">
        <v>2119</v>
      </c>
      <c r="Q112" s="8">
        <v>14475000</v>
      </c>
      <c r="R112" s="8" t="e">
        <f>SUMIFS([1]REPORTADOS!$D$2:$D$3345,[1]REPORTADOS!$C$2:$C$3345,E112)</f>
        <v>#VALUE!</v>
      </c>
      <c r="S112" s="3" t="e">
        <f t="shared" si="1"/>
        <v>#VALUE!</v>
      </c>
    </row>
    <row r="113" spans="1:19" x14ac:dyDescent="0.25">
      <c r="A113">
        <v>900091143</v>
      </c>
      <c r="B113" t="s">
        <v>2978</v>
      </c>
      <c r="C113" t="s">
        <v>2614</v>
      </c>
      <c r="E113" t="s">
        <v>2614</v>
      </c>
      <c r="H113" t="s">
        <v>22</v>
      </c>
      <c r="I113">
        <v>1081595485</v>
      </c>
      <c r="J113" t="s">
        <v>2615</v>
      </c>
      <c r="P113" t="s">
        <v>2427</v>
      </c>
      <c r="Q113" s="8">
        <v>14475000</v>
      </c>
      <c r="R113" s="8" t="e">
        <f>SUMIFS([1]REPORTADOS!$D$2:$D$3345,[1]REPORTADOS!$C$2:$C$3345,E113)</f>
        <v>#VALUE!</v>
      </c>
      <c r="S113" s="3" t="e">
        <f t="shared" si="1"/>
        <v>#VALUE!</v>
      </c>
    </row>
    <row r="114" spans="1:19" x14ac:dyDescent="0.25">
      <c r="A114">
        <v>900091143</v>
      </c>
      <c r="B114" t="s">
        <v>2979</v>
      </c>
      <c r="C114" t="s">
        <v>2131</v>
      </c>
      <c r="E114" t="s">
        <v>2131</v>
      </c>
      <c r="H114" t="s">
        <v>22</v>
      </c>
      <c r="I114">
        <v>59821282</v>
      </c>
      <c r="J114" t="s">
        <v>2132</v>
      </c>
      <c r="P114" t="s">
        <v>2097</v>
      </c>
      <c r="Q114" s="8">
        <v>14250000</v>
      </c>
      <c r="R114" s="8" t="e">
        <f>SUMIFS([1]REPORTADOS!$D$2:$D$3345,[1]REPORTADOS!$C$2:$C$3345,E114)</f>
        <v>#VALUE!</v>
      </c>
      <c r="S114" s="3" t="e">
        <f t="shared" si="1"/>
        <v>#VALUE!</v>
      </c>
    </row>
    <row r="115" spans="1:19" x14ac:dyDescent="0.25">
      <c r="A115">
        <v>900091143</v>
      </c>
      <c r="B115" t="s">
        <v>2980</v>
      </c>
      <c r="C115" t="s">
        <v>2137</v>
      </c>
      <c r="E115" t="s">
        <v>2137</v>
      </c>
      <c r="H115" t="s">
        <v>22</v>
      </c>
      <c r="I115">
        <v>1085318684</v>
      </c>
      <c r="J115" t="s">
        <v>2138</v>
      </c>
      <c r="P115" t="s">
        <v>2097</v>
      </c>
      <c r="Q115" s="8">
        <v>14250000</v>
      </c>
      <c r="R115" s="8" t="e">
        <f>SUMIFS([1]REPORTADOS!$D$2:$D$3345,[1]REPORTADOS!$C$2:$C$3345,E115)</f>
        <v>#VALUE!</v>
      </c>
      <c r="S115" s="3" t="e">
        <f t="shared" si="1"/>
        <v>#VALUE!</v>
      </c>
    </row>
    <row r="116" spans="1:19" x14ac:dyDescent="0.25">
      <c r="A116">
        <v>900091143</v>
      </c>
      <c r="B116" t="s">
        <v>2981</v>
      </c>
      <c r="C116" t="s">
        <v>2114</v>
      </c>
      <c r="E116" t="s">
        <v>2114</v>
      </c>
      <c r="H116" t="s">
        <v>22</v>
      </c>
      <c r="I116">
        <v>1085293619</v>
      </c>
      <c r="J116" t="s">
        <v>2115</v>
      </c>
      <c r="P116" t="s">
        <v>2116</v>
      </c>
      <c r="Q116" s="8">
        <v>14250000</v>
      </c>
      <c r="R116" s="8" t="e">
        <f>SUMIFS([1]REPORTADOS!$D$2:$D$3345,[1]REPORTADOS!$C$2:$C$3345,E116)</f>
        <v>#VALUE!</v>
      </c>
      <c r="S116" s="3" t="e">
        <f t="shared" si="1"/>
        <v>#VALUE!</v>
      </c>
    </row>
    <row r="117" spans="1:19" x14ac:dyDescent="0.25">
      <c r="A117">
        <v>900091143</v>
      </c>
      <c r="B117" t="s">
        <v>2982</v>
      </c>
      <c r="C117" t="s">
        <v>2120</v>
      </c>
      <c r="E117" t="s">
        <v>2120</v>
      </c>
      <c r="H117" t="s">
        <v>22</v>
      </c>
      <c r="I117">
        <v>1085260497</v>
      </c>
      <c r="J117" t="s">
        <v>2121</v>
      </c>
      <c r="P117" t="s">
        <v>2097</v>
      </c>
      <c r="Q117" s="8">
        <v>14250000</v>
      </c>
      <c r="R117" s="8" t="e">
        <f>SUMIFS([1]REPORTADOS!$D$2:$D$3345,[1]REPORTADOS!$C$2:$C$3345,E117)</f>
        <v>#VALUE!</v>
      </c>
      <c r="S117" s="3" t="e">
        <f t="shared" si="1"/>
        <v>#VALUE!</v>
      </c>
    </row>
    <row r="118" spans="1:19" x14ac:dyDescent="0.25">
      <c r="A118">
        <v>900091143</v>
      </c>
      <c r="B118" t="s">
        <v>2983</v>
      </c>
      <c r="C118" t="s">
        <v>2122</v>
      </c>
      <c r="E118" t="s">
        <v>2122</v>
      </c>
      <c r="H118" t="s">
        <v>22</v>
      </c>
      <c r="I118">
        <v>1087413951</v>
      </c>
      <c r="J118" t="s">
        <v>2123</v>
      </c>
      <c r="P118" t="s">
        <v>2097</v>
      </c>
      <c r="Q118" s="8">
        <v>14250000</v>
      </c>
      <c r="R118" s="8" t="e">
        <f>SUMIFS([1]REPORTADOS!$D$2:$D$3345,[1]REPORTADOS!$C$2:$C$3345,E118)</f>
        <v>#VALUE!</v>
      </c>
      <c r="S118" s="3" t="e">
        <f t="shared" si="1"/>
        <v>#VALUE!</v>
      </c>
    </row>
    <row r="119" spans="1:19" x14ac:dyDescent="0.25">
      <c r="A119">
        <v>900091143</v>
      </c>
      <c r="B119" t="s">
        <v>2984</v>
      </c>
      <c r="C119" t="s">
        <v>2127</v>
      </c>
      <c r="E119" t="s">
        <v>2127</v>
      </c>
      <c r="H119" t="s">
        <v>22</v>
      </c>
      <c r="I119">
        <v>1085263018</v>
      </c>
      <c r="J119" t="s">
        <v>2128</v>
      </c>
      <c r="P119" t="s">
        <v>2097</v>
      </c>
      <c r="Q119" s="8">
        <v>14250000</v>
      </c>
      <c r="R119" s="8" t="e">
        <f>SUMIFS([1]REPORTADOS!$D$2:$D$3345,[1]REPORTADOS!$C$2:$C$3345,E119)</f>
        <v>#VALUE!</v>
      </c>
      <c r="S119" s="3" t="e">
        <f t="shared" si="1"/>
        <v>#VALUE!</v>
      </c>
    </row>
    <row r="120" spans="1:19" x14ac:dyDescent="0.25">
      <c r="A120">
        <v>900091143</v>
      </c>
      <c r="B120" t="s">
        <v>2985</v>
      </c>
      <c r="C120" t="s">
        <v>2095</v>
      </c>
      <c r="E120" t="s">
        <v>2095</v>
      </c>
      <c r="H120" t="s">
        <v>22</v>
      </c>
      <c r="I120">
        <v>59824313</v>
      </c>
      <c r="J120" t="s">
        <v>2096</v>
      </c>
      <c r="P120" t="s">
        <v>2097</v>
      </c>
      <c r="Q120" s="8">
        <v>14250000</v>
      </c>
      <c r="R120" s="8" t="e">
        <f>SUMIFS([1]REPORTADOS!$D$2:$D$3345,[1]REPORTADOS!$C$2:$C$3345,E120)</f>
        <v>#VALUE!</v>
      </c>
      <c r="S120" s="3" t="e">
        <f t="shared" si="1"/>
        <v>#VALUE!</v>
      </c>
    </row>
    <row r="121" spans="1:19" x14ac:dyDescent="0.25">
      <c r="A121">
        <v>900091143</v>
      </c>
      <c r="B121" t="s">
        <v>2986</v>
      </c>
      <c r="C121" t="s">
        <v>2151</v>
      </c>
      <c r="E121" t="s">
        <v>2151</v>
      </c>
      <c r="H121" t="s">
        <v>22</v>
      </c>
      <c r="I121">
        <v>1087414586</v>
      </c>
      <c r="J121" t="s">
        <v>2152</v>
      </c>
      <c r="P121" t="s">
        <v>2097</v>
      </c>
      <c r="Q121" s="8">
        <v>14250000</v>
      </c>
      <c r="R121" s="8" t="e">
        <f>SUMIFS([1]REPORTADOS!$D$2:$D$3345,[1]REPORTADOS!$C$2:$C$3345,E121)</f>
        <v>#VALUE!</v>
      </c>
      <c r="S121" s="3" t="e">
        <f t="shared" si="1"/>
        <v>#VALUE!</v>
      </c>
    </row>
    <row r="122" spans="1:19" x14ac:dyDescent="0.25">
      <c r="A122">
        <v>900091143</v>
      </c>
      <c r="B122" t="s">
        <v>2987</v>
      </c>
      <c r="C122" t="s">
        <v>2145</v>
      </c>
      <c r="E122" t="s">
        <v>2145</v>
      </c>
      <c r="H122" t="s">
        <v>22</v>
      </c>
      <c r="I122">
        <v>1085330309</v>
      </c>
      <c r="J122" t="s">
        <v>1636</v>
      </c>
      <c r="P122" t="s">
        <v>2097</v>
      </c>
      <c r="Q122" s="8">
        <v>14250000</v>
      </c>
      <c r="R122" s="8" t="e">
        <f>SUMIFS([1]REPORTADOS!$D$2:$D$3345,[1]REPORTADOS!$C$2:$C$3345,E122)</f>
        <v>#VALUE!</v>
      </c>
      <c r="S122" s="3" t="e">
        <f t="shared" si="1"/>
        <v>#VALUE!</v>
      </c>
    </row>
    <row r="123" spans="1:19" x14ac:dyDescent="0.25">
      <c r="A123">
        <v>900091143</v>
      </c>
      <c r="B123" t="s">
        <v>2988</v>
      </c>
      <c r="C123" t="s">
        <v>2146</v>
      </c>
      <c r="E123" t="s">
        <v>2146</v>
      </c>
      <c r="H123" t="s">
        <v>22</v>
      </c>
      <c r="I123">
        <v>1085325342</v>
      </c>
      <c r="J123" t="s">
        <v>2147</v>
      </c>
      <c r="P123" t="s">
        <v>2097</v>
      </c>
      <c r="Q123" s="8">
        <v>14250000</v>
      </c>
      <c r="R123" s="8" t="e">
        <f>SUMIFS([1]REPORTADOS!$D$2:$D$3345,[1]REPORTADOS!$C$2:$C$3345,E123)</f>
        <v>#VALUE!</v>
      </c>
      <c r="S123" s="3" t="e">
        <f t="shared" si="1"/>
        <v>#VALUE!</v>
      </c>
    </row>
    <row r="124" spans="1:19" x14ac:dyDescent="0.25">
      <c r="A124">
        <v>900091143</v>
      </c>
      <c r="B124" t="s">
        <v>2989</v>
      </c>
      <c r="C124" t="s">
        <v>2194</v>
      </c>
      <c r="E124" t="s">
        <v>2194</v>
      </c>
      <c r="H124" t="s">
        <v>22</v>
      </c>
      <c r="I124">
        <v>87060703</v>
      </c>
      <c r="J124" t="s">
        <v>2195</v>
      </c>
      <c r="P124" t="s">
        <v>2097</v>
      </c>
      <c r="Q124" s="8">
        <v>14250000</v>
      </c>
      <c r="R124" s="8" t="e">
        <f>SUMIFS([1]REPORTADOS!$D$2:$D$3345,[1]REPORTADOS!$C$2:$C$3345,E124)</f>
        <v>#VALUE!</v>
      </c>
      <c r="S124" s="3" t="e">
        <f t="shared" si="1"/>
        <v>#VALUE!</v>
      </c>
    </row>
    <row r="125" spans="1:19" x14ac:dyDescent="0.25">
      <c r="A125">
        <v>900091143</v>
      </c>
      <c r="B125" t="s">
        <v>2990</v>
      </c>
      <c r="C125" t="s">
        <v>2184</v>
      </c>
      <c r="E125" t="s">
        <v>2184</v>
      </c>
      <c r="H125" t="s">
        <v>22</v>
      </c>
      <c r="I125">
        <v>1233192618</v>
      </c>
      <c r="J125" t="s">
        <v>2185</v>
      </c>
      <c r="P125" t="s">
        <v>2097</v>
      </c>
      <c r="Q125" s="8">
        <v>14250000</v>
      </c>
      <c r="R125" s="8" t="e">
        <f>SUMIFS([1]REPORTADOS!$D$2:$D$3345,[1]REPORTADOS!$C$2:$C$3345,E125)</f>
        <v>#VALUE!</v>
      </c>
      <c r="S125" s="3" t="e">
        <f t="shared" si="1"/>
        <v>#VALUE!</v>
      </c>
    </row>
    <row r="126" spans="1:19" x14ac:dyDescent="0.25">
      <c r="A126">
        <v>900091143</v>
      </c>
      <c r="B126" t="s">
        <v>2991</v>
      </c>
      <c r="C126" t="s">
        <v>2196</v>
      </c>
      <c r="E126" t="s">
        <v>2196</v>
      </c>
      <c r="H126" t="s">
        <v>22</v>
      </c>
      <c r="I126">
        <v>59312865</v>
      </c>
      <c r="J126" t="s">
        <v>2197</v>
      </c>
      <c r="P126" t="s">
        <v>2097</v>
      </c>
      <c r="Q126" s="8">
        <v>14250000</v>
      </c>
      <c r="R126" s="8" t="e">
        <f>SUMIFS([1]REPORTADOS!$D$2:$D$3345,[1]REPORTADOS!$C$2:$C$3345,E126)</f>
        <v>#VALUE!</v>
      </c>
      <c r="S126" s="3" t="e">
        <f t="shared" si="1"/>
        <v>#VALUE!</v>
      </c>
    </row>
    <row r="127" spans="1:19" x14ac:dyDescent="0.25">
      <c r="A127">
        <v>900091143</v>
      </c>
      <c r="B127" t="s">
        <v>2992</v>
      </c>
      <c r="C127" t="s">
        <v>2198</v>
      </c>
      <c r="E127" t="s">
        <v>2198</v>
      </c>
      <c r="H127" t="s">
        <v>22</v>
      </c>
      <c r="I127">
        <v>1085303067</v>
      </c>
      <c r="J127" t="s">
        <v>2199</v>
      </c>
      <c r="P127" t="s">
        <v>2097</v>
      </c>
      <c r="Q127" s="8">
        <v>14250000</v>
      </c>
      <c r="R127" s="8" t="e">
        <f>SUMIFS([1]REPORTADOS!$D$2:$D$3345,[1]REPORTADOS!$C$2:$C$3345,E127)</f>
        <v>#VALUE!</v>
      </c>
      <c r="S127" s="3" t="e">
        <f t="shared" si="1"/>
        <v>#VALUE!</v>
      </c>
    </row>
    <row r="128" spans="1:19" x14ac:dyDescent="0.25">
      <c r="A128">
        <v>900091143</v>
      </c>
      <c r="B128" t="s">
        <v>2993</v>
      </c>
      <c r="C128" t="s">
        <v>2188</v>
      </c>
      <c r="E128" t="s">
        <v>2188</v>
      </c>
      <c r="H128" t="s">
        <v>22</v>
      </c>
      <c r="I128">
        <v>1085318201</v>
      </c>
      <c r="J128" t="s">
        <v>2189</v>
      </c>
      <c r="P128" t="s">
        <v>2097</v>
      </c>
      <c r="Q128" s="8">
        <v>14250000</v>
      </c>
      <c r="R128" s="8" t="e">
        <f>SUMIFS([1]REPORTADOS!$D$2:$D$3345,[1]REPORTADOS!$C$2:$C$3345,E128)</f>
        <v>#VALUE!</v>
      </c>
      <c r="S128" s="3" t="e">
        <f t="shared" si="1"/>
        <v>#VALUE!</v>
      </c>
    </row>
    <row r="129" spans="1:19" x14ac:dyDescent="0.25">
      <c r="A129">
        <v>900091143</v>
      </c>
      <c r="B129" t="s">
        <v>2994</v>
      </c>
      <c r="C129" t="s">
        <v>2214</v>
      </c>
      <c r="E129" t="s">
        <v>2214</v>
      </c>
      <c r="H129" t="s">
        <v>22</v>
      </c>
      <c r="I129">
        <v>1087422930</v>
      </c>
      <c r="J129" t="s">
        <v>2215</v>
      </c>
      <c r="P129" t="s">
        <v>2097</v>
      </c>
      <c r="Q129" s="8">
        <v>14250000</v>
      </c>
      <c r="R129" s="8" t="e">
        <f>SUMIFS([1]REPORTADOS!$D$2:$D$3345,[1]REPORTADOS!$C$2:$C$3345,E129)</f>
        <v>#VALUE!</v>
      </c>
      <c r="S129" s="3" t="e">
        <f t="shared" si="1"/>
        <v>#VALUE!</v>
      </c>
    </row>
    <row r="130" spans="1:19" x14ac:dyDescent="0.25">
      <c r="A130">
        <v>900091143</v>
      </c>
      <c r="B130" t="s">
        <v>2995</v>
      </c>
      <c r="C130" t="s">
        <v>2226</v>
      </c>
      <c r="E130" t="s">
        <v>2226</v>
      </c>
      <c r="H130" t="s">
        <v>22</v>
      </c>
      <c r="I130">
        <v>36953206</v>
      </c>
      <c r="J130" t="s">
        <v>1807</v>
      </c>
      <c r="P130" t="s">
        <v>2097</v>
      </c>
      <c r="Q130" s="8">
        <v>14250000</v>
      </c>
      <c r="R130" s="8" t="e">
        <f>SUMIFS([1]REPORTADOS!$D$2:$D$3345,[1]REPORTADOS!$C$2:$C$3345,E130)</f>
        <v>#VALUE!</v>
      </c>
      <c r="S130" s="3" t="e">
        <f t="shared" si="1"/>
        <v>#VALUE!</v>
      </c>
    </row>
    <row r="131" spans="1:19" x14ac:dyDescent="0.25">
      <c r="A131">
        <v>900091143</v>
      </c>
      <c r="B131" t="s">
        <v>2996</v>
      </c>
      <c r="C131" t="s">
        <v>2229</v>
      </c>
      <c r="E131" t="s">
        <v>2229</v>
      </c>
      <c r="H131" t="s">
        <v>22</v>
      </c>
      <c r="I131">
        <v>1193383306</v>
      </c>
      <c r="J131" t="s">
        <v>2230</v>
      </c>
      <c r="P131" t="s">
        <v>2097</v>
      </c>
      <c r="Q131" s="8">
        <v>14250000</v>
      </c>
      <c r="R131" s="8" t="e">
        <f>SUMIFS([1]REPORTADOS!$D$2:$D$3345,[1]REPORTADOS!$C$2:$C$3345,E131)</f>
        <v>#VALUE!</v>
      </c>
      <c r="S131" s="3" t="e">
        <f t="shared" ref="S131:S194" si="2">Q131-R131</f>
        <v>#VALUE!</v>
      </c>
    </row>
    <row r="132" spans="1:19" x14ac:dyDescent="0.25">
      <c r="A132">
        <v>900091143</v>
      </c>
      <c r="B132" t="s">
        <v>2997</v>
      </c>
      <c r="C132" t="s">
        <v>2246</v>
      </c>
      <c r="E132" t="s">
        <v>2246</v>
      </c>
      <c r="H132" t="s">
        <v>22</v>
      </c>
      <c r="I132">
        <v>1085324546</v>
      </c>
      <c r="J132" t="s">
        <v>2247</v>
      </c>
      <c r="P132" t="s">
        <v>2097</v>
      </c>
      <c r="Q132" s="8">
        <v>14250000</v>
      </c>
      <c r="R132" s="8" t="e">
        <f>SUMIFS([1]REPORTADOS!$D$2:$D$3345,[1]REPORTADOS!$C$2:$C$3345,E132)</f>
        <v>#VALUE!</v>
      </c>
      <c r="S132" s="3" t="e">
        <f t="shared" si="2"/>
        <v>#VALUE!</v>
      </c>
    </row>
    <row r="133" spans="1:19" x14ac:dyDescent="0.25">
      <c r="A133">
        <v>900091143</v>
      </c>
      <c r="B133" t="s">
        <v>2998</v>
      </c>
      <c r="C133" t="s">
        <v>2251</v>
      </c>
      <c r="E133" t="s">
        <v>2251</v>
      </c>
      <c r="H133" t="s">
        <v>22</v>
      </c>
      <c r="I133">
        <v>1085345772</v>
      </c>
      <c r="J133" t="s">
        <v>2252</v>
      </c>
      <c r="P133" t="s">
        <v>2253</v>
      </c>
      <c r="Q133" s="8">
        <v>14250000</v>
      </c>
      <c r="R133" s="8" t="e">
        <f>SUMIFS([1]REPORTADOS!$D$2:$D$3345,[1]REPORTADOS!$C$2:$C$3345,E133)</f>
        <v>#VALUE!</v>
      </c>
      <c r="S133" s="3" t="e">
        <f t="shared" si="2"/>
        <v>#VALUE!</v>
      </c>
    </row>
    <row r="134" spans="1:19" x14ac:dyDescent="0.25">
      <c r="A134">
        <v>900091143</v>
      </c>
      <c r="B134" t="s">
        <v>2999</v>
      </c>
      <c r="C134" t="s">
        <v>2256</v>
      </c>
      <c r="E134" t="s">
        <v>2256</v>
      </c>
      <c r="H134" t="s">
        <v>22</v>
      </c>
      <c r="I134">
        <v>59816986</v>
      </c>
      <c r="J134" t="s">
        <v>2257</v>
      </c>
      <c r="P134" t="s">
        <v>2253</v>
      </c>
      <c r="Q134" s="8">
        <v>14250000</v>
      </c>
      <c r="R134" s="8" t="e">
        <f>SUMIFS([1]REPORTADOS!$D$2:$D$3345,[1]REPORTADOS!$C$2:$C$3345,E134)</f>
        <v>#VALUE!</v>
      </c>
      <c r="S134" s="3" t="e">
        <f t="shared" si="2"/>
        <v>#VALUE!</v>
      </c>
    </row>
    <row r="135" spans="1:19" x14ac:dyDescent="0.25">
      <c r="A135">
        <v>900091143</v>
      </c>
      <c r="B135" t="s">
        <v>3000</v>
      </c>
      <c r="C135" t="s">
        <v>2330</v>
      </c>
      <c r="E135" t="s">
        <v>2330</v>
      </c>
      <c r="H135" t="s">
        <v>22</v>
      </c>
      <c r="I135">
        <v>36759759</v>
      </c>
      <c r="J135" t="s">
        <v>1708</v>
      </c>
      <c r="P135" t="s">
        <v>2097</v>
      </c>
      <c r="Q135" s="8">
        <v>14250000</v>
      </c>
      <c r="R135" s="8" t="e">
        <f>SUMIFS([1]REPORTADOS!$D$2:$D$3345,[1]REPORTADOS!$C$2:$C$3345,E135)</f>
        <v>#VALUE!</v>
      </c>
      <c r="S135" s="3" t="e">
        <f t="shared" si="2"/>
        <v>#VALUE!</v>
      </c>
    </row>
    <row r="136" spans="1:19" x14ac:dyDescent="0.25">
      <c r="A136">
        <v>900091143</v>
      </c>
      <c r="B136" t="s">
        <v>3001</v>
      </c>
      <c r="C136" t="s">
        <v>2481</v>
      </c>
      <c r="E136" t="s">
        <v>2481</v>
      </c>
      <c r="H136" t="s">
        <v>22</v>
      </c>
      <c r="I136">
        <v>36950073</v>
      </c>
      <c r="J136" t="s">
        <v>2482</v>
      </c>
      <c r="P136" t="s">
        <v>2097</v>
      </c>
      <c r="Q136" s="8">
        <v>14250000</v>
      </c>
      <c r="R136" s="8" t="e">
        <f>SUMIFS([1]REPORTADOS!$D$2:$D$3345,[1]REPORTADOS!$C$2:$C$3345,E136)</f>
        <v>#VALUE!</v>
      </c>
      <c r="S136" s="3" t="e">
        <f t="shared" si="2"/>
        <v>#VALUE!</v>
      </c>
    </row>
    <row r="137" spans="1:19" x14ac:dyDescent="0.25">
      <c r="A137">
        <v>900091143</v>
      </c>
      <c r="B137" t="s">
        <v>3002</v>
      </c>
      <c r="C137" t="s">
        <v>2529</v>
      </c>
      <c r="E137" t="s">
        <v>2529</v>
      </c>
      <c r="H137" t="s">
        <v>22</v>
      </c>
      <c r="I137">
        <v>1018492767</v>
      </c>
      <c r="J137" t="s">
        <v>1843</v>
      </c>
      <c r="P137" t="s">
        <v>2530</v>
      </c>
      <c r="Q137" s="8">
        <v>14250000</v>
      </c>
      <c r="R137" s="8" t="e">
        <f>SUMIFS([1]REPORTADOS!$D$2:$D$3345,[1]REPORTADOS!$C$2:$C$3345,E137)</f>
        <v>#VALUE!</v>
      </c>
      <c r="S137" s="3" t="e">
        <f t="shared" si="2"/>
        <v>#VALUE!</v>
      </c>
    </row>
    <row r="138" spans="1:19" x14ac:dyDescent="0.25">
      <c r="A138">
        <v>900091143</v>
      </c>
      <c r="B138" t="s">
        <v>3003</v>
      </c>
      <c r="C138" t="s">
        <v>2531</v>
      </c>
      <c r="E138" t="s">
        <v>2531</v>
      </c>
      <c r="H138" t="s">
        <v>22</v>
      </c>
      <c r="I138">
        <v>27087475</v>
      </c>
      <c r="J138" t="s">
        <v>1813</v>
      </c>
      <c r="P138" t="s">
        <v>2532</v>
      </c>
      <c r="Q138" s="8">
        <v>14250000</v>
      </c>
      <c r="R138" s="8" t="e">
        <f>SUMIFS([1]REPORTADOS!$D$2:$D$3345,[1]REPORTADOS!$C$2:$C$3345,E138)</f>
        <v>#VALUE!</v>
      </c>
      <c r="S138" s="3" t="e">
        <f t="shared" si="2"/>
        <v>#VALUE!</v>
      </c>
    </row>
    <row r="139" spans="1:19" x14ac:dyDescent="0.25">
      <c r="A139">
        <v>900091143</v>
      </c>
      <c r="B139" t="s">
        <v>3004</v>
      </c>
      <c r="C139" t="s">
        <v>2522</v>
      </c>
      <c r="E139" t="s">
        <v>2522</v>
      </c>
      <c r="H139" t="s">
        <v>22</v>
      </c>
      <c r="I139">
        <v>1086332188</v>
      </c>
      <c r="J139" t="s">
        <v>1771</v>
      </c>
      <c r="P139" t="s">
        <v>2523</v>
      </c>
      <c r="Q139" s="8">
        <v>14250000</v>
      </c>
      <c r="R139" s="8" t="e">
        <f>SUMIFS([1]REPORTADOS!$D$2:$D$3345,[1]REPORTADOS!$C$2:$C$3345,E139)</f>
        <v>#VALUE!</v>
      </c>
      <c r="S139" s="3" t="e">
        <f t="shared" si="2"/>
        <v>#VALUE!</v>
      </c>
    </row>
    <row r="140" spans="1:19" x14ac:dyDescent="0.25">
      <c r="A140">
        <v>900091143</v>
      </c>
      <c r="B140" t="s">
        <v>3005</v>
      </c>
      <c r="C140" t="s">
        <v>2568</v>
      </c>
      <c r="E140" t="s">
        <v>2568</v>
      </c>
      <c r="H140" t="s">
        <v>22</v>
      </c>
      <c r="I140">
        <v>59651018</v>
      </c>
      <c r="J140" t="s">
        <v>2569</v>
      </c>
      <c r="P140" t="s">
        <v>2570</v>
      </c>
      <c r="Q140" s="8">
        <v>14250000</v>
      </c>
      <c r="R140" s="8" t="e">
        <f>SUMIFS([1]REPORTADOS!$D$2:$D$3345,[1]REPORTADOS!$C$2:$C$3345,E140)</f>
        <v>#VALUE!</v>
      </c>
      <c r="S140" s="3" t="e">
        <f t="shared" si="2"/>
        <v>#VALUE!</v>
      </c>
    </row>
    <row r="141" spans="1:19" x14ac:dyDescent="0.25">
      <c r="A141">
        <v>900091143</v>
      </c>
      <c r="B141" t="s">
        <v>3006</v>
      </c>
      <c r="C141" t="s">
        <v>2588</v>
      </c>
      <c r="E141" t="s">
        <v>2588</v>
      </c>
      <c r="H141" t="s">
        <v>22</v>
      </c>
      <c r="I141">
        <v>1085343783</v>
      </c>
      <c r="J141" t="s">
        <v>1648</v>
      </c>
      <c r="P141" t="s">
        <v>2097</v>
      </c>
      <c r="Q141" s="8">
        <v>14250000</v>
      </c>
      <c r="R141" s="8" t="e">
        <f>SUMIFS([1]REPORTADOS!$D$2:$D$3345,[1]REPORTADOS!$C$2:$C$3345,E141)</f>
        <v>#VALUE!</v>
      </c>
      <c r="S141" s="3" t="e">
        <f t="shared" si="2"/>
        <v>#VALUE!</v>
      </c>
    </row>
    <row r="142" spans="1:19" x14ac:dyDescent="0.25">
      <c r="A142">
        <v>900091143</v>
      </c>
      <c r="B142" t="s">
        <v>3007</v>
      </c>
      <c r="C142" t="s">
        <v>2629</v>
      </c>
      <c r="E142" t="s">
        <v>2629</v>
      </c>
      <c r="H142" t="s">
        <v>22</v>
      </c>
      <c r="I142">
        <v>1233193716</v>
      </c>
      <c r="J142" t="s">
        <v>2630</v>
      </c>
      <c r="P142" t="s">
        <v>2631</v>
      </c>
      <c r="Q142" s="8">
        <v>14200000</v>
      </c>
      <c r="R142" s="8" t="e">
        <f>SUMIFS([1]REPORTADOS!$D$2:$D$3345,[1]REPORTADOS!$C$2:$C$3345,E142)</f>
        <v>#VALUE!</v>
      </c>
      <c r="S142" s="3" t="e">
        <f t="shared" si="2"/>
        <v>#VALUE!</v>
      </c>
    </row>
    <row r="143" spans="1:19" x14ac:dyDescent="0.25">
      <c r="A143">
        <v>900091143</v>
      </c>
      <c r="B143" t="s">
        <v>3008</v>
      </c>
      <c r="C143" t="s">
        <v>2641</v>
      </c>
      <c r="E143" t="s">
        <v>2641</v>
      </c>
      <c r="H143" t="s">
        <v>22</v>
      </c>
      <c r="I143">
        <v>1131085780</v>
      </c>
      <c r="J143" t="s">
        <v>2642</v>
      </c>
      <c r="P143" t="s">
        <v>2108</v>
      </c>
      <c r="Q143" s="8">
        <v>14200000</v>
      </c>
      <c r="R143" s="8" t="e">
        <f>SUMIFS([1]REPORTADOS!$D$2:$D$3345,[1]REPORTADOS!$C$2:$C$3345,E143)</f>
        <v>#VALUE!</v>
      </c>
      <c r="S143" s="3" t="e">
        <f t="shared" si="2"/>
        <v>#VALUE!</v>
      </c>
    </row>
    <row r="144" spans="1:19" x14ac:dyDescent="0.25">
      <c r="A144">
        <v>900091143</v>
      </c>
      <c r="B144" t="s">
        <v>3009</v>
      </c>
      <c r="C144" t="s">
        <v>2797</v>
      </c>
      <c r="E144" t="s">
        <v>2797</v>
      </c>
      <c r="H144" t="s">
        <v>38</v>
      </c>
      <c r="I144">
        <v>900441119</v>
      </c>
      <c r="J144" t="s">
        <v>2798</v>
      </c>
      <c r="P144" t="s">
        <v>2106</v>
      </c>
      <c r="Q144" s="8">
        <v>13508223.119999999</v>
      </c>
      <c r="R144" s="8" t="e">
        <f>SUMIFS([1]REPORTADOS!$D$2:$D$3345,[1]REPORTADOS!$C$2:$C$3345,E144)</f>
        <v>#VALUE!</v>
      </c>
      <c r="S144" s="3" t="e">
        <f t="shared" si="2"/>
        <v>#VALUE!</v>
      </c>
    </row>
    <row r="145" spans="1:19" x14ac:dyDescent="0.25">
      <c r="A145">
        <v>900091143</v>
      </c>
      <c r="B145" t="s">
        <v>3010</v>
      </c>
      <c r="C145" t="s">
        <v>2595</v>
      </c>
      <c r="E145" t="s">
        <v>2595</v>
      </c>
      <c r="H145" t="s">
        <v>22</v>
      </c>
      <c r="I145">
        <v>1085324891</v>
      </c>
      <c r="J145" t="s">
        <v>1687</v>
      </c>
      <c r="P145" t="s">
        <v>2119</v>
      </c>
      <c r="Q145" s="8">
        <v>12062500</v>
      </c>
      <c r="R145" s="8" t="e">
        <f>SUMIFS([1]REPORTADOS!$D$2:$D$3345,[1]REPORTADOS!$C$2:$C$3345,E145)</f>
        <v>#VALUE!</v>
      </c>
      <c r="S145" s="3" t="e">
        <f t="shared" si="2"/>
        <v>#VALUE!</v>
      </c>
    </row>
    <row r="146" spans="1:19" x14ac:dyDescent="0.25">
      <c r="A146">
        <v>900091143</v>
      </c>
      <c r="B146" t="s">
        <v>3011</v>
      </c>
      <c r="C146" t="s">
        <v>2600</v>
      </c>
      <c r="E146" t="s">
        <v>2600</v>
      </c>
      <c r="H146" t="s">
        <v>22</v>
      </c>
      <c r="I146">
        <v>1004508471</v>
      </c>
      <c r="J146" t="s">
        <v>2601</v>
      </c>
      <c r="P146" t="s">
        <v>2602</v>
      </c>
      <c r="Q146" s="8">
        <v>12062500</v>
      </c>
      <c r="R146" s="8" t="e">
        <f>SUMIFS([1]REPORTADOS!$D$2:$D$3345,[1]REPORTADOS!$C$2:$C$3345,E146)</f>
        <v>#VALUE!</v>
      </c>
      <c r="S146" s="3" t="e">
        <f t="shared" si="2"/>
        <v>#VALUE!</v>
      </c>
    </row>
    <row r="147" spans="1:19" x14ac:dyDescent="0.25">
      <c r="A147">
        <v>900091143</v>
      </c>
      <c r="B147" t="s">
        <v>3012</v>
      </c>
      <c r="C147" t="s">
        <v>2663</v>
      </c>
      <c r="E147" t="s">
        <v>2663</v>
      </c>
      <c r="H147" t="s">
        <v>22</v>
      </c>
      <c r="I147">
        <v>59825948</v>
      </c>
      <c r="J147" t="s">
        <v>1756</v>
      </c>
      <c r="P147" t="s">
        <v>2664</v>
      </c>
      <c r="Q147" s="8">
        <v>12000000</v>
      </c>
      <c r="R147" s="8" t="e">
        <f>SUMIFS([1]REPORTADOS!$D$2:$D$3345,[1]REPORTADOS!$C$2:$C$3345,E147)</f>
        <v>#VALUE!</v>
      </c>
      <c r="S147" s="3" t="e">
        <f t="shared" si="2"/>
        <v>#VALUE!</v>
      </c>
    </row>
    <row r="148" spans="1:19" x14ac:dyDescent="0.25">
      <c r="A148">
        <v>900091143</v>
      </c>
      <c r="B148" t="s">
        <v>3013</v>
      </c>
      <c r="C148" t="s">
        <v>2795</v>
      </c>
      <c r="E148" t="s">
        <v>2795</v>
      </c>
      <c r="H148" t="s">
        <v>38</v>
      </c>
      <c r="I148">
        <v>900414376</v>
      </c>
      <c r="J148" t="s">
        <v>2796</v>
      </c>
      <c r="P148" t="s">
        <v>2106</v>
      </c>
      <c r="Q148" s="8">
        <v>9891756</v>
      </c>
      <c r="R148" s="8" t="e">
        <f>SUMIFS([1]REPORTADOS!$D$2:$D$3345,[1]REPORTADOS!$C$2:$C$3345,E148)</f>
        <v>#VALUE!</v>
      </c>
      <c r="S148" s="3" t="e">
        <f t="shared" si="2"/>
        <v>#VALUE!</v>
      </c>
    </row>
    <row r="149" spans="1:19" x14ac:dyDescent="0.25">
      <c r="A149">
        <v>900091143</v>
      </c>
      <c r="B149" t="s">
        <v>3014</v>
      </c>
      <c r="C149" t="s">
        <v>2793</v>
      </c>
      <c r="E149" t="s">
        <v>2793</v>
      </c>
      <c r="H149" t="s">
        <v>38</v>
      </c>
      <c r="I149">
        <v>830004892</v>
      </c>
      <c r="J149" t="s">
        <v>2105</v>
      </c>
      <c r="P149" t="s">
        <v>2794</v>
      </c>
      <c r="Q149" s="8">
        <v>9853200</v>
      </c>
      <c r="R149" s="8" t="e">
        <f>SUMIFS([1]REPORTADOS!$D$2:$D$3345,[1]REPORTADOS!$C$2:$C$3345,E149)</f>
        <v>#VALUE!</v>
      </c>
      <c r="S149" s="3" t="e">
        <f t="shared" si="2"/>
        <v>#VALUE!</v>
      </c>
    </row>
    <row r="150" spans="1:19" x14ac:dyDescent="0.25">
      <c r="A150">
        <v>900091143</v>
      </c>
      <c r="B150" t="s">
        <v>3015</v>
      </c>
      <c r="C150" t="s">
        <v>2726</v>
      </c>
      <c r="E150" t="s">
        <v>2726</v>
      </c>
      <c r="H150" t="s">
        <v>22</v>
      </c>
      <c r="I150">
        <v>1122783646</v>
      </c>
      <c r="J150" t="s">
        <v>2727</v>
      </c>
      <c r="P150" t="s">
        <v>2119</v>
      </c>
      <c r="Q150" s="8">
        <v>9650000</v>
      </c>
      <c r="R150" s="8" t="e">
        <f>SUMIFS([1]REPORTADOS!$D$2:$D$3345,[1]REPORTADOS!$C$2:$C$3345,E150)</f>
        <v>#VALUE!</v>
      </c>
      <c r="S150" s="3" t="e">
        <f t="shared" si="2"/>
        <v>#VALUE!</v>
      </c>
    </row>
    <row r="151" spans="1:19" x14ac:dyDescent="0.25">
      <c r="A151">
        <v>900091143</v>
      </c>
      <c r="B151" t="s">
        <v>3016</v>
      </c>
      <c r="C151" t="s">
        <v>2667</v>
      </c>
      <c r="E151" t="s">
        <v>2667</v>
      </c>
      <c r="H151" t="s">
        <v>22</v>
      </c>
      <c r="I151">
        <v>12983807</v>
      </c>
      <c r="J151" t="s">
        <v>2668</v>
      </c>
      <c r="P151" t="s">
        <v>2119</v>
      </c>
      <c r="Q151" s="8">
        <v>9650000</v>
      </c>
      <c r="R151" s="8" t="e">
        <f>SUMIFS([1]REPORTADOS!$D$2:$D$3345,[1]REPORTADOS!$C$2:$C$3345,E151)</f>
        <v>#VALUE!</v>
      </c>
      <c r="S151" s="3" t="e">
        <f t="shared" si="2"/>
        <v>#VALUE!</v>
      </c>
    </row>
    <row r="152" spans="1:19" x14ac:dyDescent="0.25">
      <c r="A152">
        <v>900091143</v>
      </c>
      <c r="B152" t="s">
        <v>3017</v>
      </c>
      <c r="C152" t="s">
        <v>2669</v>
      </c>
      <c r="E152" t="s">
        <v>2669</v>
      </c>
      <c r="H152" t="s">
        <v>22</v>
      </c>
      <c r="I152">
        <v>59177204</v>
      </c>
      <c r="J152" t="s">
        <v>2670</v>
      </c>
      <c r="P152" t="s">
        <v>2119</v>
      </c>
      <c r="Q152" s="8">
        <v>9650000</v>
      </c>
      <c r="R152" s="8" t="e">
        <f>SUMIFS([1]REPORTADOS!$D$2:$D$3345,[1]REPORTADOS!$C$2:$C$3345,E152)</f>
        <v>#VALUE!</v>
      </c>
      <c r="S152" s="3" t="e">
        <f t="shared" si="2"/>
        <v>#VALUE!</v>
      </c>
    </row>
    <row r="153" spans="1:19" x14ac:dyDescent="0.25">
      <c r="A153">
        <v>900091143</v>
      </c>
      <c r="B153" t="s">
        <v>3018</v>
      </c>
      <c r="C153" t="s">
        <v>2682</v>
      </c>
      <c r="E153" t="s">
        <v>2682</v>
      </c>
      <c r="H153" t="s">
        <v>22</v>
      </c>
      <c r="I153">
        <v>1085306723</v>
      </c>
      <c r="J153" t="s">
        <v>2683</v>
      </c>
      <c r="P153" t="s">
        <v>2119</v>
      </c>
      <c r="Q153" s="8">
        <v>9650000</v>
      </c>
      <c r="R153" s="8" t="e">
        <f>SUMIFS([1]REPORTADOS!$D$2:$D$3345,[1]REPORTADOS!$C$2:$C$3345,E153)</f>
        <v>#VALUE!</v>
      </c>
      <c r="S153" s="3" t="e">
        <f t="shared" si="2"/>
        <v>#VALUE!</v>
      </c>
    </row>
    <row r="154" spans="1:19" x14ac:dyDescent="0.25">
      <c r="A154">
        <v>900091143</v>
      </c>
      <c r="B154" t="s">
        <v>3019</v>
      </c>
      <c r="C154" t="s">
        <v>2690</v>
      </c>
      <c r="E154" t="s">
        <v>2690</v>
      </c>
      <c r="H154" t="s">
        <v>22</v>
      </c>
      <c r="I154">
        <v>1086755334</v>
      </c>
      <c r="J154" t="s">
        <v>2691</v>
      </c>
      <c r="P154" t="s">
        <v>2119</v>
      </c>
      <c r="Q154" s="8">
        <v>9650000</v>
      </c>
      <c r="R154" s="8" t="e">
        <f>SUMIFS([1]REPORTADOS!$D$2:$D$3345,[1]REPORTADOS!$C$2:$C$3345,E154)</f>
        <v>#VALUE!</v>
      </c>
      <c r="S154" s="3" t="e">
        <f t="shared" si="2"/>
        <v>#VALUE!</v>
      </c>
    </row>
    <row r="155" spans="1:19" x14ac:dyDescent="0.25">
      <c r="A155">
        <v>900091143</v>
      </c>
      <c r="B155" t="s">
        <v>3020</v>
      </c>
      <c r="C155" t="s">
        <v>2686</v>
      </c>
      <c r="E155" t="s">
        <v>2686</v>
      </c>
      <c r="H155" t="s">
        <v>22</v>
      </c>
      <c r="I155">
        <v>1085289539</v>
      </c>
      <c r="J155" t="s">
        <v>2687</v>
      </c>
      <c r="P155" t="s">
        <v>2119</v>
      </c>
      <c r="Q155" s="8">
        <v>9650000</v>
      </c>
      <c r="R155" s="8" t="e">
        <f>SUMIFS([1]REPORTADOS!$D$2:$D$3345,[1]REPORTADOS!$C$2:$C$3345,E155)</f>
        <v>#VALUE!</v>
      </c>
      <c r="S155" s="3" t="e">
        <f t="shared" si="2"/>
        <v>#VALUE!</v>
      </c>
    </row>
    <row r="156" spans="1:19" x14ac:dyDescent="0.25">
      <c r="A156">
        <v>900091143</v>
      </c>
      <c r="B156" t="s">
        <v>3021</v>
      </c>
      <c r="C156" t="s">
        <v>2706</v>
      </c>
      <c r="E156" t="s">
        <v>2706</v>
      </c>
      <c r="H156" t="s">
        <v>22</v>
      </c>
      <c r="I156">
        <v>1085313870</v>
      </c>
      <c r="J156" t="s">
        <v>2086</v>
      </c>
      <c r="P156" t="s">
        <v>2253</v>
      </c>
      <c r="Q156" s="8">
        <v>9500000</v>
      </c>
      <c r="R156" s="8" t="e">
        <f>SUMIFS([1]REPORTADOS!$D$2:$D$3345,[1]REPORTADOS!$C$2:$C$3345,E156)</f>
        <v>#VALUE!</v>
      </c>
      <c r="S156" s="3" t="e">
        <f t="shared" si="2"/>
        <v>#VALUE!</v>
      </c>
    </row>
    <row r="157" spans="1:19" x14ac:dyDescent="0.25">
      <c r="A157">
        <v>900091143</v>
      </c>
      <c r="B157" t="s">
        <v>3022</v>
      </c>
      <c r="C157" t="s">
        <v>2710</v>
      </c>
      <c r="E157" t="s">
        <v>2710</v>
      </c>
      <c r="H157" t="s">
        <v>22</v>
      </c>
      <c r="I157">
        <v>1233188873</v>
      </c>
      <c r="J157" t="s">
        <v>2711</v>
      </c>
      <c r="P157" t="s">
        <v>2253</v>
      </c>
      <c r="Q157" s="8">
        <v>9500000</v>
      </c>
      <c r="R157" s="8" t="e">
        <f>SUMIFS([1]REPORTADOS!$D$2:$D$3345,[1]REPORTADOS!$C$2:$C$3345,E157)</f>
        <v>#VALUE!</v>
      </c>
      <c r="S157" s="3" t="e">
        <f t="shared" si="2"/>
        <v>#VALUE!</v>
      </c>
    </row>
    <row r="158" spans="1:19" x14ac:dyDescent="0.25">
      <c r="A158">
        <v>900091143</v>
      </c>
      <c r="B158" t="s">
        <v>3023</v>
      </c>
      <c r="C158" t="s">
        <v>2728</v>
      </c>
      <c r="E158" t="s">
        <v>2728</v>
      </c>
      <c r="H158" t="s">
        <v>22</v>
      </c>
      <c r="I158">
        <v>1085326561</v>
      </c>
      <c r="J158" t="s">
        <v>2729</v>
      </c>
      <c r="P158" t="s">
        <v>2253</v>
      </c>
      <c r="Q158" s="8">
        <v>9500000</v>
      </c>
      <c r="R158" s="8" t="e">
        <f>SUMIFS([1]REPORTADOS!$D$2:$D$3345,[1]REPORTADOS!$C$2:$C$3345,E158)</f>
        <v>#VALUE!</v>
      </c>
      <c r="S158" s="3" t="e">
        <f t="shared" si="2"/>
        <v>#VALUE!</v>
      </c>
    </row>
    <row r="159" spans="1:19" x14ac:dyDescent="0.25">
      <c r="A159">
        <v>900091143</v>
      </c>
      <c r="B159" t="s">
        <v>3024</v>
      </c>
      <c r="C159" t="s">
        <v>2854</v>
      </c>
      <c r="E159" t="s">
        <v>2854</v>
      </c>
      <c r="H159" t="s">
        <v>22</v>
      </c>
      <c r="I159">
        <v>27087475</v>
      </c>
      <c r="J159" t="s">
        <v>1813</v>
      </c>
      <c r="P159" t="s">
        <v>2855</v>
      </c>
      <c r="Q159" s="8">
        <v>9500000</v>
      </c>
      <c r="R159" s="8" t="e">
        <f>SUMIFS([1]REPORTADOS!$D$2:$D$3345,[1]REPORTADOS!$C$2:$C$3345,E159)</f>
        <v>#VALUE!</v>
      </c>
      <c r="S159" s="3" t="e">
        <f t="shared" si="2"/>
        <v>#VALUE!</v>
      </c>
    </row>
    <row r="160" spans="1:19" x14ac:dyDescent="0.25">
      <c r="A160">
        <v>900091143</v>
      </c>
      <c r="B160" t="s">
        <v>3025</v>
      </c>
      <c r="C160" t="s">
        <v>2665</v>
      </c>
      <c r="E160" t="s">
        <v>2665</v>
      </c>
      <c r="H160" t="s">
        <v>22</v>
      </c>
      <c r="I160">
        <v>1085245714</v>
      </c>
      <c r="J160" t="s">
        <v>2666</v>
      </c>
      <c r="P160" t="s">
        <v>2097</v>
      </c>
      <c r="Q160" s="8">
        <v>9500000</v>
      </c>
      <c r="R160" s="8" t="e">
        <f>SUMIFS([1]REPORTADOS!$D$2:$D$3345,[1]REPORTADOS!$C$2:$C$3345,E160)</f>
        <v>#VALUE!</v>
      </c>
      <c r="S160" s="3" t="e">
        <f t="shared" si="2"/>
        <v>#VALUE!</v>
      </c>
    </row>
    <row r="161" spans="1:19" x14ac:dyDescent="0.25">
      <c r="A161">
        <v>900091143</v>
      </c>
      <c r="B161" t="s">
        <v>3026</v>
      </c>
      <c r="C161" t="s">
        <v>2676</v>
      </c>
      <c r="E161" t="s">
        <v>2676</v>
      </c>
      <c r="H161" t="s">
        <v>22</v>
      </c>
      <c r="I161">
        <v>1067940322</v>
      </c>
      <c r="J161" t="s">
        <v>2677</v>
      </c>
      <c r="P161" t="s">
        <v>2097</v>
      </c>
      <c r="Q161" s="8">
        <v>9500000</v>
      </c>
      <c r="R161" s="8" t="e">
        <f>SUMIFS([1]REPORTADOS!$D$2:$D$3345,[1]REPORTADOS!$C$2:$C$3345,E161)</f>
        <v>#VALUE!</v>
      </c>
      <c r="S161" s="3" t="e">
        <f t="shared" si="2"/>
        <v>#VALUE!</v>
      </c>
    </row>
    <row r="162" spans="1:19" x14ac:dyDescent="0.25">
      <c r="A162">
        <v>900091143</v>
      </c>
      <c r="B162" t="s">
        <v>3027</v>
      </c>
      <c r="C162" t="s">
        <v>2678</v>
      </c>
      <c r="E162" t="s">
        <v>2678</v>
      </c>
      <c r="H162" t="s">
        <v>22</v>
      </c>
      <c r="I162">
        <v>1085264667</v>
      </c>
      <c r="J162" t="s">
        <v>2679</v>
      </c>
      <c r="P162" t="s">
        <v>2097</v>
      </c>
      <c r="Q162" s="8">
        <v>9500000</v>
      </c>
      <c r="R162" s="8" t="e">
        <f>SUMIFS([1]REPORTADOS!$D$2:$D$3345,[1]REPORTADOS!$C$2:$C$3345,E162)</f>
        <v>#VALUE!</v>
      </c>
      <c r="S162" s="3" t="e">
        <f t="shared" si="2"/>
        <v>#VALUE!</v>
      </c>
    </row>
    <row r="163" spans="1:19" x14ac:dyDescent="0.25">
      <c r="A163">
        <v>900091143</v>
      </c>
      <c r="B163" t="s">
        <v>3028</v>
      </c>
      <c r="C163" t="s">
        <v>2692</v>
      </c>
      <c r="E163" t="s">
        <v>2692</v>
      </c>
      <c r="H163" t="s">
        <v>22</v>
      </c>
      <c r="I163">
        <v>1085325540</v>
      </c>
      <c r="J163" t="s">
        <v>2693</v>
      </c>
      <c r="P163" t="s">
        <v>2097</v>
      </c>
      <c r="Q163" s="8">
        <v>9500000</v>
      </c>
      <c r="R163" s="8" t="e">
        <f>SUMIFS([1]REPORTADOS!$D$2:$D$3345,[1]REPORTADOS!$C$2:$C$3345,E163)</f>
        <v>#VALUE!</v>
      </c>
      <c r="S163" s="3" t="e">
        <f t="shared" si="2"/>
        <v>#VALUE!</v>
      </c>
    </row>
    <row r="164" spans="1:19" x14ac:dyDescent="0.25">
      <c r="A164">
        <v>900091143</v>
      </c>
      <c r="B164" t="s">
        <v>3029</v>
      </c>
      <c r="C164" t="s">
        <v>2684</v>
      </c>
      <c r="E164" t="s">
        <v>2684</v>
      </c>
      <c r="H164" t="s">
        <v>22</v>
      </c>
      <c r="I164">
        <v>59824800</v>
      </c>
      <c r="J164" t="s">
        <v>2685</v>
      </c>
      <c r="P164" t="s">
        <v>2097</v>
      </c>
      <c r="Q164" s="8">
        <v>9500000</v>
      </c>
      <c r="R164" s="8" t="e">
        <f>SUMIFS([1]REPORTADOS!$D$2:$D$3345,[1]REPORTADOS!$C$2:$C$3345,E164)</f>
        <v>#VALUE!</v>
      </c>
      <c r="S164" s="3" t="e">
        <f t="shared" si="2"/>
        <v>#VALUE!</v>
      </c>
    </row>
    <row r="165" spans="1:19" x14ac:dyDescent="0.25">
      <c r="A165">
        <v>900091143</v>
      </c>
      <c r="B165" t="s">
        <v>3030</v>
      </c>
      <c r="C165" t="s">
        <v>2202</v>
      </c>
      <c r="E165" t="s">
        <v>2202</v>
      </c>
      <c r="H165" t="s">
        <v>22</v>
      </c>
      <c r="I165">
        <v>1004635031</v>
      </c>
      <c r="J165" t="s">
        <v>2203</v>
      </c>
      <c r="P165" t="s">
        <v>2204</v>
      </c>
      <c r="Q165" s="8">
        <v>9000000</v>
      </c>
      <c r="R165" s="8" t="e">
        <f>SUMIFS([1]REPORTADOS!$D$2:$D$3345,[1]REPORTADOS!$C$2:$C$3345,E165)</f>
        <v>#VALUE!</v>
      </c>
      <c r="S165" s="3" t="e">
        <f t="shared" si="2"/>
        <v>#VALUE!</v>
      </c>
    </row>
    <row r="166" spans="1:19" x14ac:dyDescent="0.25">
      <c r="A166">
        <v>900091143</v>
      </c>
      <c r="B166" t="s">
        <v>3031</v>
      </c>
      <c r="C166" t="s">
        <v>2209</v>
      </c>
      <c r="E166" t="s">
        <v>2209</v>
      </c>
      <c r="H166" t="s">
        <v>22</v>
      </c>
      <c r="I166">
        <v>59828916</v>
      </c>
      <c r="J166" t="s">
        <v>2018</v>
      </c>
      <c r="P166" t="s">
        <v>2204</v>
      </c>
      <c r="Q166" s="8">
        <v>9000000</v>
      </c>
      <c r="R166" s="8" t="e">
        <f>SUMIFS([1]REPORTADOS!$D$2:$D$3345,[1]REPORTADOS!$C$2:$C$3345,E166)</f>
        <v>#VALUE!</v>
      </c>
      <c r="S166" s="3" t="e">
        <f t="shared" si="2"/>
        <v>#VALUE!</v>
      </c>
    </row>
    <row r="167" spans="1:19" x14ac:dyDescent="0.25">
      <c r="A167">
        <v>900091143</v>
      </c>
      <c r="B167" t="s">
        <v>3032</v>
      </c>
      <c r="C167" t="s">
        <v>2210</v>
      </c>
      <c r="E167" t="s">
        <v>2210</v>
      </c>
      <c r="H167" t="s">
        <v>22</v>
      </c>
      <c r="I167">
        <v>1086362994</v>
      </c>
      <c r="J167" t="s">
        <v>2211</v>
      </c>
      <c r="P167" t="s">
        <v>2204</v>
      </c>
      <c r="Q167" s="8">
        <v>9000000</v>
      </c>
      <c r="R167" s="8" t="e">
        <f>SUMIFS([1]REPORTADOS!$D$2:$D$3345,[1]REPORTADOS!$C$2:$C$3345,E167)</f>
        <v>#VALUE!</v>
      </c>
      <c r="S167" s="3" t="e">
        <f t="shared" si="2"/>
        <v>#VALUE!</v>
      </c>
    </row>
    <row r="168" spans="1:19" x14ac:dyDescent="0.25">
      <c r="A168">
        <v>900091143</v>
      </c>
      <c r="B168" t="s">
        <v>3033</v>
      </c>
      <c r="C168" t="s">
        <v>2212</v>
      </c>
      <c r="E168" t="s">
        <v>2212</v>
      </c>
      <c r="H168" t="s">
        <v>22</v>
      </c>
      <c r="I168">
        <v>1085260568</v>
      </c>
      <c r="J168" t="s">
        <v>2213</v>
      </c>
      <c r="P168" t="s">
        <v>2204</v>
      </c>
      <c r="Q168" s="8">
        <v>9000000</v>
      </c>
      <c r="R168" s="8" t="e">
        <f>SUMIFS([1]REPORTADOS!$D$2:$D$3345,[1]REPORTADOS!$C$2:$C$3345,E168)</f>
        <v>#VALUE!</v>
      </c>
      <c r="S168" s="3" t="e">
        <f t="shared" si="2"/>
        <v>#VALUE!</v>
      </c>
    </row>
    <row r="169" spans="1:19" x14ac:dyDescent="0.25">
      <c r="A169">
        <v>900091143</v>
      </c>
      <c r="B169" t="s">
        <v>3034</v>
      </c>
      <c r="C169" t="s">
        <v>2216</v>
      </c>
      <c r="E169" t="s">
        <v>2216</v>
      </c>
      <c r="H169" t="s">
        <v>22</v>
      </c>
      <c r="I169">
        <v>36954407</v>
      </c>
      <c r="J169" t="s">
        <v>1753</v>
      </c>
      <c r="P169" t="s">
        <v>2204</v>
      </c>
      <c r="Q169" s="8">
        <v>9000000</v>
      </c>
      <c r="R169" s="8" t="e">
        <f>SUMIFS([1]REPORTADOS!$D$2:$D$3345,[1]REPORTADOS!$C$2:$C$3345,E169)</f>
        <v>#VALUE!</v>
      </c>
      <c r="S169" s="3" t="e">
        <f t="shared" si="2"/>
        <v>#VALUE!</v>
      </c>
    </row>
    <row r="170" spans="1:19" x14ac:dyDescent="0.25">
      <c r="A170">
        <v>900091143</v>
      </c>
      <c r="B170" t="s">
        <v>3035</v>
      </c>
      <c r="C170" t="s">
        <v>2217</v>
      </c>
      <c r="E170" t="s">
        <v>2217</v>
      </c>
      <c r="H170" t="s">
        <v>22</v>
      </c>
      <c r="I170">
        <v>1004232508</v>
      </c>
      <c r="J170" t="s">
        <v>2218</v>
      </c>
      <c r="P170" t="s">
        <v>2204</v>
      </c>
      <c r="Q170" s="8">
        <v>9000000</v>
      </c>
      <c r="R170" s="8" t="e">
        <f>SUMIFS([1]REPORTADOS!$D$2:$D$3345,[1]REPORTADOS!$C$2:$C$3345,E170)</f>
        <v>#VALUE!</v>
      </c>
      <c r="S170" s="3" t="e">
        <f t="shared" si="2"/>
        <v>#VALUE!</v>
      </c>
    </row>
    <row r="171" spans="1:19" x14ac:dyDescent="0.25">
      <c r="A171">
        <v>900091143</v>
      </c>
      <c r="B171" t="s">
        <v>3036</v>
      </c>
      <c r="C171" t="s">
        <v>2219</v>
      </c>
      <c r="E171" t="s">
        <v>2219</v>
      </c>
      <c r="H171" t="s">
        <v>22</v>
      </c>
      <c r="I171">
        <v>1081272025</v>
      </c>
      <c r="J171" t="s">
        <v>1789</v>
      </c>
      <c r="P171" t="s">
        <v>2204</v>
      </c>
      <c r="Q171" s="8">
        <v>9000000</v>
      </c>
      <c r="R171" s="8" t="e">
        <f>SUMIFS([1]REPORTADOS!$D$2:$D$3345,[1]REPORTADOS!$C$2:$C$3345,E171)</f>
        <v>#VALUE!</v>
      </c>
      <c r="S171" s="3" t="e">
        <f t="shared" si="2"/>
        <v>#VALUE!</v>
      </c>
    </row>
    <row r="172" spans="1:19" x14ac:dyDescent="0.25">
      <c r="A172">
        <v>900091143</v>
      </c>
      <c r="B172" t="s">
        <v>3037</v>
      </c>
      <c r="C172" t="s">
        <v>2241</v>
      </c>
      <c r="E172" t="s">
        <v>2241</v>
      </c>
      <c r="H172" t="s">
        <v>22</v>
      </c>
      <c r="I172">
        <v>1085295383</v>
      </c>
      <c r="J172" t="s">
        <v>2242</v>
      </c>
      <c r="P172" t="s">
        <v>2233</v>
      </c>
      <c r="Q172" s="8">
        <v>9000000</v>
      </c>
      <c r="R172" s="8" t="e">
        <f>SUMIFS([1]REPORTADOS!$D$2:$D$3345,[1]REPORTADOS!$C$2:$C$3345,E172)</f>
        <v>#VALUE!</v>
      </c>
      <c r="S172" s="3" t="e">
        <f t="shared" si="2"/>
        <v>#VALUE!</v>
      </c>
    </row>
    <row r="173" spans="1:19" x14ac:dyDescent="0.25">
      <c r="A173">
        <v>900091143</v>
      </c>
      <c r="B173" t="s">
        <v>3038</v>
      </c>
      <c r="C173" t="s">
        <v>2243</v>
      </c>
      <c r="E173" t="s">
        <v>2243</v>
      </c>
      <c r="H173" t="s">
        <v>22</v>
      </c>
      <c r="I173">
        <v>1004508436</v>
      </c>
      <c r="J173" t="s">
        <v>2244</v>
      </c>
      <c r="P173" t="s">
        <v>2245</v>
      </c>
      <c r="Q173" s="8">
        <v>9000000</v>
      </c>
      <c r="R173" s="8" t="e">
        <f>SUMIFS([1]REPORTADOS!$D$2:$D$3345,[1]REPORTADOS!$C$2:$C$3345,E173)</f>
        <v>#VALUE!</v>
      </c>
      <c r="S173" s="3" t="e">
        <f t="shared" si="2"/>
        <v>#VALUE!</v>
      </c>
    </row>
    <row r="174" spans="1:19" x14ac:dyDescent="0.25">
      <c r="A174">
        <v>900091143</v>
      </c>
      <c r="B174" t="s">
        <v>3039</v>
      </c>
      <c r="C174" t="s">
        <v>2224</v>
      </c>
      <c r="E174" t="s">
        <v>2224</v>
      </c>
      <c r="H174" t="s">
        <v>22</v>
      </c>
      <c r="I174">
        <v>36757213</v>
      </c>
      <c r="J174" t="s">
        <v>2225</v>
      </c>
      <c r="P174" t="s">
        <v>2204</v>
      </c>
      <c r="Q174" s="8">
        <v>9000000</v>
      </c>
      <c r="R174" s="8" t="e">
        <f>SUMIFS([1]REPORTADOS!$D$2:$D$3345,[1]REPORTADOS!$C$2:$C$3345,E174)</f>
        <v>#VALUE!</v>
      </c>
      <c r="S174" s="3" t="e">
        <f t="shared" si="2"/>
        <v>#VALUE!</v>
      </c>
    </row>
    <row r="175" spans="1:19" x14ac:dyDescent="0.25">
      <c r="A175">
        <v>900091143</v>
      </c>
      <c r="B175" t="s">
        <v>3040</v>
      </c>
      <c r="C175" t="s">
        <v>2227</v>
      </c>
      <c r="E175" t="s">
        <v>2227</v>
      </c>
      <c r="H175" t="s">
        <v>22</v>
      </c>
      <c r="I175">
        <v>1004709928</v>
      </c>
      <c r="J175" t="s">
        <v>2228</v>
      </c>
      <c r="P175" t="s">
        <v>2204</v>
      </c>
      <c r="Q175" s="8">
        <v>9000000</v>
      </c>
      <c r="R175" s="8" t="e">
        <f>SUMIFS([1]REPORTADOS!$D$2:$D$3345,[1]REPORTADOS!$C$2:$C$3345,E175)</f>
        <v>#VALUE!</v>
      </c>
      <c r="S175" s="3" t="e">
        <f t="shared" si="2"/>
        <v>#VALUE!</v>
      </c>
    </row>
    <row r="176" spans="1:19" x14ac:dyDescent="0.25">
      <c r="A176">
        <v>900091143</v>
      </c>
      <c r="B176" t="s">
        <v>3041</v>
      </c>
      <c r="C176" t="s">
        <v>2231</v>
      </c>
      <c r="E176" t="s">
        <v>2231</v>
      </c>
      <c r="H176" t="s">
        <v>22</v>
      </c>
      <c r="I176">
        <v>1085347540</v>
      </c>
      <c r="J176" t="s">
        <v>2232</v>
      </c>
      <c r="P176" t="s">
        <v>2233</v>
      </c>
      <c r="Q176" s="8">
        <v>9000000</v>
      </c>
      <c r="R176" s="8" t="e">
        <f>SUMIFS([1]REPORTADOS!$D$2:$D$3345,[1]REPORTADOS!$C$2:$C$3345,E176)</f>
        <v>#VALUE!</v>
      </c>
      <c r="S176" s="3" t="e">
        <f t="shared" si="2"/>
        <v>#VALUE!</v>
      </c>
    </row>
    <row r="177" spans="1:19" x14ac:dyDescent="0.25">
      <c r="A177">
        <v>900091143</v>
      </c>
      <c r="B177" t="s">
        <v>3042</v>
      </c>
      <c r="C177" t="s">
        <v>2234</v>
      </c>
      <c r="E177" t="s">
        <v>2234</v>
      </c>
      <c r="H177" t="s">
        <v>22</v>
      </c>
      <c r="I177">
        <v>1007356378</v>
      </c>
      <c r="J177" t="s">
        <v>2235</v>
      </c>
      <c r="P177" t="s">
        <v>2233</v>
      </c>
      <c r="Q177" s="8">
        <v>9000000</v>
      </c>
      <c r="R177" s="8" t="e">
        <f>SUMIFS([1]REPORTADOS!$D$2:$D$3345,[1]REPORTADOS!$C$2:$C$3345,E177)</f>
        <v>#VALUE!</v>
      </c>
      <c r="S177" s="3" t="e">
        <f t="shared" si="2"/>
        <v>#VALUE!</v>
      </c>
    </row>
    <row r="178" spans="1:19" x14ac:dyDescent="0.25">
      <c r="A178">
        <v>900091143</v>
      </c>
      <c r="B178" t="s">
        <v>3043</v>
      </c>
      <c r="C178" t="s">
        <v>2239</v>
      </c>
      <c r="E178" t="s">
        <v>2239</v>
      </c>
      <c r="H178" t="s">
        <v>22</v>
      </c>
      <c r="I178">
        <v>59314601</v>
      </c>
      <c r="J178" t="s">
        <v>2240</v>
      </c>
      <c r="P178" t="s">
        <v>2204</v>
      </c>
      <c r="Q178" s="8">
        <v>9000000</v>
      </c>
      <c r="R178" s="8" t="e">
        <f>SUMIFS([1]REPORTADOS!$D$2:$D$3345,[1]REPORTADOS!$C$2:$C$3345,E178)</f>
        <v>#VALUE!</v>
      </c>
      <c r="S178" s="3" t="e">
        <f t="shared" si="2"/>
        <v>#VALUE!</v>
      </c>
    </row>
    <row r="179" spans="1:19" x14ac:dyDescent="0.25">
      <c r="A179">
        <v>900091143</v>
      </c>
      <c r="B179" t="s">
        <v>3044</v>
      </c>
      <c r="C179" t="s">
        <v>2222</v>
      </c>
      <c r="E179" t="s">
        <v>2222</v>
      </c>
      <c r="H179" t="s">
        <v>22</v>
      </c>
      <c r="I179">
        <v>36758143</v>
      </c>
      <c r="J179" t="s">
        <v>2223</v>
      </c>
      <c r="P179" t="s">
        <v>2204</v>
      </c>
      <c r="Q179" s="8">
        <v>9000000</v>
      </c>
      <c r="R179" s="8" t="e">
        <f>SUMIFS([1]REPORTADOS!$D$2:$D$3345,[1]REPORTADOS!$C$2:$C$3345,E179)</f>
        <v>#VALUE!</v>
      </c>
      <c r="S179" s="3" t="e">
        <f t="shared" si="2"/>
        <v>#VALUE!</v>
      </c>
    </row>
    <row r="180" spans="1:19" x14ac:dyDescent="0.25">
      <c r="A180">
        <v>900091143</v>
      </c>
      <c r="B180" t="s">
        <v>3045</v>
      </c>
      <c r="C180" t="s">
        <v>2248</v>
      </c>
      <c r="E180" t="s">
        <v>2248</v>
      </c>
      <c r="H180" t="s">
        <v>22</v>
      </c>
      <c r="I180">
        <v>27087122</v>
      </c>
      <c r="J180" t="s">
        <v>1961</v>
      </c>
      <c r="P180" t="s">
        <v>2233</v>
      </c>
      <c r="Q180" s="8">
        <v>9000000</v>
      </c>
      <c r="R180" s="8" t="e">
        <f>SUMIFS([1]REPORTADOS!$D$2:$D$3345,[1]REPORTADOS!$C$2:$C$3345,E180)</f>
        <v>#VALUE!</v>
      </c>
      <c r="S180" s="3" t="e">
        <f t="shared" si="2"/>
        <v>#VALUE!</v>
      </c>
    </row>
    <row r="181" spans="1:19" x14ac:dyDescent="0.25">
      <c r="A181">
        <v>900091143</v>
      </c>
      <c r="B181" t="s">
        <v>3046</v>
      </c>
      <c r="C181" t="s">
        <v>2249</v>
      </c>
      <c r="E181" t="s">
        <v>2249</v>
      </c>
      <c r="H181" t="s">
        <v>22</v>
      </c>
      <c r="I181">
        <v>1088799034</v>
      </c>
      <c r="J181" t="s">
        <v>2250</v>
      </c>
      <c r="P181" t="s">
        <v>2204</v>
      </c>
      <c r="Q181" s="8">
        <v>9000000</v>
      </c>
      <c r="R181" s="8" t="e">
        <f>SUMIFS([1]REPORTADOS!$D$2:$D$3345,[1]REPORTADOS!$C$2:$C$3345,E181)</f>
        <v>#VALUE!</v>
      </c>
      <c r="S181" s="3" t="e">
        <f t="shared" si="2"/>
        <v>#VALUE!</v>
      </c>
    </row>
    <row r="182" spans="1:19" x14ac:dyDescent="0.25">
      <c r="A182">
        <v>900091143</v>
      </c>
      <c r="B182" t="s">
        <v>3047</v>
      </c>
      <c r="C182" t="s">
        <v>2258</v>
      </c>
      <c r="E182" t="s">
        <v>2258</v>
      </c>
      <c r="H182" t="s">
        <v>22</v>
      </c>
      <c r="I182">
        <v>1014857280</v>
      </c>
      <c r="J182" t="s">
        <v>2259</v>
      </c>
      <c r="P182" t="s">
        <v>2204</v>
      </c>
      <c r="Q182" s="8">
        <v>9000000</v>
      </c>
      <c r="R182" s="8" t="e">
        <f>SUMIFS([1]REPORTADOS!$D$2:$D$3345,[1]REPORTADOS!$C$2:$C$3345,E182)</f>
        <v>#VALUE!</v>
      </c>
      <c r="S182" s="3" t="e">
        <f t="shared" si="2"/>
        <v>#VALUE!</v>
      </c>
    </row>
    <row r="183" spans="1:19" x14ac:dyDescent="0.25">
      <c r="A183">
        <v>900091143</v>
      </c>
      <c r="B183" t="s">
        <v>3048</v>
      </c>
      <c r="C183" t="s">
        <v>2260</v>
      </c>
      <c r="E183" t="s">
        <v>2260</v>
      </c>
      <c r="H183" t="s">
        <v>22</v>
      </c>
      <c r="I183">
        <v>1081592303</v>
      </c>
      <c r="J183" t="s">
        <v>1739</v>
      </c>
      <c r="P183" t="s">
        <v>2204</v>
      </c>
      <c r="Q183" s="8">
        <v>9000000</v>
      </c>
      <c r="R183" s="8" t="e">
        <f>SUMIFS([1]REPORTADOS!$D$2:$D$3345,[1]REPORTADOS!$C$2:$C$3345,E183)</f>
        <v>#VALUE!</v>
      </c>
      <c r="S183" s="3" t="e">
        <f t="shared" si="2"/>
        <v>#VALUE!</v>
      </c>
    </row>
    <row r="184" spans="1:19" x14ac:dyDescent="0.25">
      <c r="A184">
        <v>900091143</v>
      </c>
      <c r="B184" t="s">
        <v>3049</v>
      </c>
      <c r="C184" t="s">
        <v>2261</v>
      </c>
      <c r="E184" t="s">
        <v>2261</v>
      </c>
      <c r="H184" t="s">
        <v>22</v>
      </c>
      <c r="I184">
        <v>1030606749</v>
      </c>
      <c r="J184" t="s">
        <v>2066</v>
      </c>
      <c r="P184" t="s">
        <v>2204</v>
      </c>
      <c r="Q184" s="8">
        <v>9000000</v>
      </c>
      <c r="R184" s="8" t="e">
        <f>SUMIFS([1]REPORTADOS!$D$2:$D$3345,[1]REPORTADOS!$C$2:$C$3345,E184)</f>
        <v>#VALUE!</v>
      </c>
      <c r="S184" s="3" t="e">
        <f t="shared" si="2"/>
        <v>#VALUE!</v>
      </c>
    </row>
    <row r="185" spans="1:19" x14ac:dyDescent="0.25">
      <c r="A185">
        <v>900091143</v>
      </c>
      <c r="B185" t="s">
        <v>3050</v>
      </c>
      <c r="C185" t="s">
        <v>2262</v>
      </c>
      <c r="E185" t="s">
        <v>2262</v>
      </c>
      <c r="H185" t="s">
        <v>22</v>
      </c>
      <c r="I185">
        <v>1089243630</v>
      </c>
      <c r="J185" t="s">
        <v>2263</v>
      </c>
      <c r="P185" t="s">
        <v>2204</v>
      </c>
      <c r="Q185" s="8">
        <v>9000000</v>
      </c>
      <c r="R185" s="8" t="e">
        <f>SUMIFS([1]REPORTADOS!$D$2:$D$3345,[1]REPORTADOS!$C$2:$C$3345,E185)</f>
        <v>#VALUE!</v>
      </c>
      <c r="S185" s="3" t="e">
        <f t="shared" si="2"/>
        <v>#VALUE!</v>
      </c>
    </row>
    <row r="186" spans="1:19" x14ac:dyDescent="0.25">
      <c r="A186">
        <v>900091143</v>
      </c>
      <c r="B186" t="s">
        <v>3051</v>
      </c>
      <c r="C186" t="s">
        <v>2264</v>
      </c>
      <c r="E186" t="s">
        <v>2264</v>
      </c>
      <c r="H186" t="s">
        <v>22</v>
      </c>
      <c r="I186">
        <v>1193385397</v>
      </c>
      <c r="J186" t="s">
        <v>2265</v>
      </c>
      <c r="P186" t="s">
        <v>2204</v>
      </c>
      <c r="Q186" s="8">
        <v>9000000</v>
      </c>
      <c r="R186" s="8" t="e">
        <f>SUMIFS([1]REPORTADOS!$D$2:$D$3345,[1]REPORTADOS!$C$2:$C$3345,E186)</f>
        <v>#VALUE!</v>
      </c>
      <c r="S186" s="3" t="e">
        <f t="shared" si="2"/>
        <v>#VALUE!</v>
      </c>
    </row>
    <row r="187" spans="1:19" x14ac:dyDescent="0.25">
      <c r="A187">
        <v>900091143</v>
      </c>
      <c r="B187" t="s">
        <v>3052</v>
      </c>
      <c r="C187" t="s">
        <v>2268</v>
      </c>
      <c r="E187" t="s">
        <v>2268</v>
      </c>
      <c r="H187" t="s">
        <v>22</v>
      </c>
      <c r="I187">
        <v>1192717330</v>
      </c>
      <c r="J187" t="s">
        <v>1901</v>
      </c>
      <c r="P187" t="s">
        <v>2233</v>
      </c>
      <c r="Q187" s="8">
        <v>9000000</v>
      </c>
      <c r="R187" s="8" t="e">
        <f>SUMIFS([1]REPORTADOS!$D$2:$D$3345,[1]REPORTADOS!$C$2:$C$3345,E187)</f>
        <v>#VALUE!</v>
      </c>
      <c r="S187" s="3" t="e">
        <f t="shared" si="2"/>
        <v>#VALUE!</v>
      </c>
    </row>
    <row r="188" spans="1:19" x14ac:dyDescent="0.25">
      <c r="A188">
        <v>900091143</v>
      </c>
      <c r="B188" t="s">
        <v>3053</v>
      </c>
      <c r="C188" t="s">
        <v>2269</v>
      </c>
      <c r="E188" t="s">
        <v>2269</v>
      </c>
      <c r="H188" t="s">
        <v>22</v>
      </c>
      <c r="I188">
        <v>1085261053</v>
      </c>
      <c r="J188" t="s">
        <v>2270</v>
      </c>
      <c r="P188" t="s">
        <v>2204</v>
      </c>
      <c r="Q188" s="8">
        <v>9000000</v>
      </c>
      <c r="R188" s="8" t="e">
        <f>SUMIFS([1]REPORTADOS!$D$2:$D$3345,[1]REPORTADOS!$C$2:$C$3345,E188)</f>
        <v>#VALUE!</v>
      </c>
      <c r="S188" s="3" t="e">
        <f t="shared" si="2"/>
        <v>#VALUE!</v>
      </c>
    </row>
    <row r="189" spans="1:19" x14ac:dyDescent="0.25">
      <c r="A189">
        <v>900091143</v>
      </c>
      <c r="B189" t="s">
        <v>3054</v>
      </c>
      <c r="C189" t="s">
        <v>2271</v>
      </c>
      <c r="E189" t="s">
        <v>2271</v>
      </c>
      <c r="H189" t="s">
        <v>22</v>
      </c>
      <c r="I189">
        <v>1085344082</v>
      </c>
      <c r="J189" t="s">
        <v>2272</v>
      </c>
      <c r="P189" t="s">
        <v>2233</v>
      </c>
      <c r="Q189" s="8">
        <v>9000000</v>
      </c>
      <c r="R189" s="8" t="e">
        <f>SUMIFS([1]REPORTADOS!$D$2:$D$3345,[1]REPORTADOS!$C$2:$C$3345,E189)</f>
        <v>#VALUE!</v>
      </c>
      <c r="S189" s="3" t="e">
        <f t="shared" si="2"/>
        <v>#VALUE!</v>
      </c>
    </row>
    <row r="190" spans="1:19" x14ac:dyDescent="0.25">
      <c r="A190">
        <v>900091143</v>
      </c>
      <c r="B190" t="s">
        <v>3055</v>
      </c>
      <c r="C190" t="s">
        <v>2273</v>
      </c>
      <c r="E190" t="s">
        <v>2273</v>
      </c>
      <c r="H190" t="s">
        <v>22</v>
      </c>
      <c r="I190">
        <v>1085290651</v>
      </c>
      <c r="J190" t="s">
        <v>2274</v>
      </c>
      <c r="P190" t="s">
        <v>2204</v>
      </c>
      <c r="Q190" s="8">
        <v>9000000</v>
      </c>
      <c r="R190" s="8" t="e">
        <f>SUMIFS([1]REPORTADOS!$D$2:$D$3345,[1]REPORTADOS!$C$2:$C$3345,E190)</f>
        <v>#VALUE!</v>
      </c>
      <c r="S190" s="3" t="e">
        <f t="shared" si="2"/>
        <v>#VALUE!</v>
      </c>
    </row>
    <row r="191" spans="1:19" x14ac:dyDescent="0.25">
      <c r="A191">
        <v>900091143</v>
      </c>
      <c r="B191" t="s">
        <v>3056</v>
      </c>
      <c r="C191" t="s">
        <v>2275</v>
      </c>
      <c r="E191" t="s">
        <v>2275</v>
      </c>
      <c r="H191" t="s">
        <v>22</v>
      </c>
      <c r="I191">
        <v>1085255972</v>
      </c>
      <c r="J191" t="s">
        <v>2276</v>
      </c>
      <c r="P191" t="s">
        <v>2204</v>
      </c>
      <c r="Q191" s="8">
        <v>9000000</v>
      </c>
      <c r="R191" s="8" t="e">
        <f>SUMIFS([1]REPORTADOS!$D$2:$D$3345,[1]REPORTADOS!$C$2:$C$3345,E191)</f>
        <v>#VALUE!</v>
      </c>
      <c r="S191" s="3" t="e">
        <f t="shared" si="2"/>
        <v>#VALUE!</v>
      </c>
    </row>
    <row r="192" spans="1:19" x14ac:dyDescent="0.25">
      <c r="A192">
        <v>900091143</v>
      </c>
      <c r="B192" t="s">
        <v>3057</v>
      </c>
      <c r="C192" t="s">
        <v>2280</v>
      </c>
      <c r="E192" t="s">
        <v>2280</v>
      </c>
      <c r="H192" t="s">
        <v>22</v>
      </c>
      <c r="I192">
        <v>1085271641</v>
      </c>
      <c r="J192" t="s">
        <v>2281</v>
      </c>
      <c r="P192" t="s">
        <v>2204</v>
      </c>
      <c r="Q192" s="8">
        <v>9000000</v>
      </c>
      <c r="R192" s="8" t="e">
        <f>SUMIFS([1]REPORTADOS!$D$2:$D$3345,[1]REPORTADOS!$C$2:$C$3345,E192)</f>
        <v>#VALUE!</v>
      </c>
      <c r="S192" s="3" t="e">
        <f t="shared" si="2"/>
        <v>#VALUE!</v>
      </c>
    </row>
    <row r="193" spans="1:19" x14ac:dyDescent="0.25">
      <c r="A193">
        <v>900091143</v>
      </c>
      <c r="B193" t="s">
        <v>3058</v>
      </c>
      <c r="C193" t="s">
        <v>2282</v>
      </c>
      <c r="E193" t="s">
        <v>2282</v>
      </c>
      <c r="H193" t="s">
        <v>22</v>
      </c>
      <c r="I193">
        <v>36752202</v>
      </c>
      <c r="J193" t="s">
        <v>2283</v>
      </c>
      <c r="P193" t="s">
        <v>2233</v>
      </c>
      <c r="Q193" s="8">
        <v>9000000</v>
      </c>
      <c r="R193" s="8" t="e">
        <f>SUMIFS([1]REPORTADOS!$D$2:$D$3345,[1]REPORTADOS!$C$2:$C$3345,E193)</f>
        <v>#VALUE!</v>
      </c>
      <c r="S193" s="3" t="e">
        <f t="shared" si="2"/>
        <v>#VALUE!</v>
      </c>
    </row>
    <row r="194" spans="1:19" x14ac:dyDescent="0.25">
      <c r="A194">
        <v>900091143</v>
      </c>
      <c r="B194" t="s">
        <v>3059</v>
      </c>
      <c r="C194" t="s">
        <v>2285</v>
      </c>
      <c r="E194" t="s">
        <v>2285</v>
      </c>
      <c r="H194" t="s">
        <v>22</v>
      </c>
      <c r="I194">
        <v>13070330</v>
      </c>
      <c r="J194" t="s">
        <v>2286</v>
      </c>
      <c r="P194" t="s">
        <v>2204</v>
      </c>
      <c r="Q194" s="8">
        <v>9000000</v>
      </c>
      <c r="R194" s="8" t="e">
        <f>SUMIFS([1]REPORTADOS!$D$2:$D$3345,[1]REPORTADOS!$C$2:$C$3345,E194)</f>
        <v>#VALUE!</v>
      </c>
      <c r="S194" s="3" t="e">
        <f t="shared" si="2"/>
        <v>#VALUE!</v>
      </c>
    </row>
    <row r="195" spans="1:19" x14ac:dyDescent="0.25">
      <c r="A195">
        <v>900091143</v>
      </c>
      <c r="B195" t="s">
        <v>3060</v>
      </c>
      <c r="C195" t="s">
        <v>2310</v>
      </c>
      <c r="E195" t="s">
        <v>2310</v>
      </c>
      <c r="H195" t="s">
        <v>22</v>
      </c>
      <c r="I195">
        <v>98382500</v>
      </c>
      <c r="J195" t="s">
        <v>1802</v>
      </c>
      <c r="P195" t="s">
        <v>2233</v>
      </c>
      <c r="Q195" s="8">
        <v>9000000</v>
      </c>
      <c r="R195" s="8" t="e">
        <f>SUMIFS([1]REPORTADOS!$D$2:$D$3345,[1]REPORTADOS!$C$2:$C$3345,E195)</f>
        <v>#VALUE!</v>
      </c>
      <c r="S195" s="3" t="e">
        <f t="shared" ref="S195:S258" si="3">Q195-R195</f>
        <v>#VALUE!</v>
      </c>
    </row>
    <row r="196" spans="1:19" x14ac:dyDescent="0.25">
      <c r="A196">
        <v>900091143</v>
      </c>
      <c r="B196" t="s">
        <v>3061</v>
      </c>
      <c r="C196" t="s">
        <v>2311</v>
      </c>
      <c r="E196" t="s">
        <v>2311</v>
      </c>
      <c r="H196" t="s">
        <v>22</v>
      </c>
      <c r="I196">
        <v>1085327677</v>
      </c>
      <c r="J196" t="s">
        <v>2312</v>
      </c>
      <c r="P196" t="s">
        <v>2204</v>
      </c>
      <c r="Q196" s="8">
        <v>9000000</v>
      </c>
      <c r="R196" s="8" t="e">
        <f>SUMIFS([1]REPORTADOS!$D$2:$D$3345,[1]REPORTADOS!$C$2:$C$3345,E196)</f>
        <v>#VALUE!</v>
      </c>
      <c r="S196" s="3" t="e">
        <f t="shared" si="3"/>
        <v>#VALUE!</v>
      </c>
    </row>
    <row r="197" spans="1:19" x14ac:dyDescent="0.25">
      <c r="A197">
        <v>900091143</v>
      </c>
      <c r="B197" t="s">
        <v>3062</v>
      </c>
      <c r="C197" t="s">
        <v>2313</v>
      </c>
      <c r="E197" t="s">
        <v>2313</v>
      </c>
      <c r="H197" t="s">
        <v>22</v>
      </c>
      <c r="I197">
        <v>1085296353</v>
      </c>
      <c r="J197" t="s">
        <v>2314</v>
      </c>
      <c r="P197" t="s">
        <v>2204</v>
      </c>
      <c r="Q197" s="8">
        <v>9000000</v>
      </c>
      <c r="R197" s="8" t="e">
        <f>SUMIFS([1]REPORTADOS!$D$2:$D$3345,[1]REPORTADOS!$C$2:$C$3345,E197)</f>
        <v>#VALUE!</v>
      </c>
      <c r="S197" s="3" t="e">
        <f t="shared" si="3"/>
        <v>#VALUE!</v>
      </c>
    </row>
    <row r="198" spans="1:19" x14ac:dyDescent="0.25">
      <c r="A198">
        <v>900091143</v>
      </c>
      <c r="B198" t="s">
        <v>3063</v>
      </c>
      <c r="C198" t="s">
        <v>2315</v>
      </c>
      <c r="E198" t="s">
        <v>2315</v>
      </c>
      <c r="H198" t="s">
        <v>22</v>
      </c>
      <c r="I198">
        <v>1085300095</v>
      </c>
      <c r="J198" t="s">
        <v>1717</v>
      </c>
      <c r="P198" t="s">
        <v>2233</v>
      </c>
      <c r="Q198" s="8">
        <v>9000000</v>
      </c>
      <c r="R198" s="8" t="e">
        <f>SUMIFS([1]REPORTADOS!$D$2:$D$3345,[1]REPORTADOS!$C$2:$C$3345,E198)</f>
        <v>#VALUE!</v>
      </c>
      <c r="S198" s="3" t="e">
        <f t="shared" si="3"/>
        <v>#VALUE!</v>
      </c>
    </row>
    <row r="199" spans="1:19" x14ac:dyDescent="0.25">
      <c r="A199">
        <v>900091143</v>
      </c>
      <c r="B199" t="s">
        <v>3064</v>
      </c>
      <c r="C199" t="s">
        <v>2316</v>
      </c>
      <c r="E199" t="s">
        <v>2316</v>
      </c>
      <c r="H199" t="s">
        <v>22</v>
      </c>
      <c r="I199">
        <v>1085318688</v>
      </c>
      <c r="J199" t="s">
        <v>2317</v>
      </c>
      <c r="P199" t="s">
        <v>2233</v>
      </c>
      <c r="Q199" s="8">
        <v>9000000</v>
      </c>
      <c r="R199" s="8" t="e">
        <f>SUMIFS([1]REPORTADOS!$D$2:$D$3345,[1]REPORTADOS!$C$2:$C$3345,E199)</f>
        <v>#VALUE!</v>
      </c>
      <c r="S199" s="3" t="e">
        <f t="shared" si="3"/>
        <v>#VALUE!</v>
      </c>
    </row>
    <row r="200" spans="1:19" x14ac:dyDescent="0.25">
      <c r="A200">
        <v>900091143</v>
      </c>
      <c r="B200" t="s">
        <v>3065</v>
      </c>
      <c r="C200" t="s">
        <v>2318</v>
      </c>
      <c r="E200" t="s">
        <v>2318</v>
      </c>
      <c r="H200" t="s">
        <v>22</v>
      </c>
      <c r="I200">
        <v>37084285</v>
      </c>
      <c r="J200" t="s">
        <v>1724</v>
      </c>
      <c r="P200" t="s">
        <v>2204</v>
      </c>
      <c r="Q200" s="8">
        <v>9000000</v>
      </c>
      <c r="R200" s="8" t="e">
        <f>SUMIFS([1]REPORTADOS!$D$2:$D$3345,[1]REPORTADOS!$C$2:$C$3345,E200)</f>
        <v>#VALUE!</v>
      </c>
      <c r="S200" s="3" t="e">
        <f t="shared" si="3"/>
        <v>#VALUE!</v>
      </c>
    </row>
    <row r="201" spans="1:19" x14ac:dyDescent="0.25">
      <c r="A201">
        <v>900091143</v>
      </c>
      <c r="B201" t="s">
        <v>3066</v>
      </c>
      <c r="C201" t="s">
        <v>2319</v>
      </c>
      <c r="E201" t="s">
        <v>2319</v>
      </c>
      <c r="H201" t="s">
        <v>22</v>
      </c>
      <c r="I201">
        <v>1085266584</v>
      </c>
      <c r="J201" t="s">
        <v>1981</v>
      </c>
      <c r="P201" t="s">
        <v>2233</v>
      </c>
      <c r="Q201" s="8">
        <v>9000000</v>
      </c>
      <c r="R201" s="8" t="e">
        <f>SUMIFS([1]REPORTADOS!$D$2:$D$3345,[1]REPORTADOS!$C$2:$C$3345,E201)</f>
        <v>#VALUE!</v>
      </c>
      <c r="S201" s="3" t="e">
        <f t="shared" si="3"/>
        <v>#VALUE!</v>
      </c>
    </row>
    <row r="202" spans="1:19" x14ac:dyDescent="0.25">
      <c r="A202">
        <v>900091143</v>
      </c>
      <c r="B202" t="s">
        <v>3067</v>
      </c>
      <c r="C202" t="s">
        <v>2320</v>
      </c>
      <c r="E202" t="s">
        <v>2320</v>
      </c>
      <c r="H202" t="s">
        <v>22</v>
      </c>
      <c r="I202">
        <v>1085326198</v>
      </c>
      <c r="J202" t="s">
        <v>2321</v>
      </c>
      <c r="P202" t="s">
        <v>2233</v>
      </c>
      <c r="Q202" s="8">
        <v>9000000</v>
      </c>
      <c r="R202" s="8" t="e">
        <f>SUMIFS([1]REPORTADOS!$D$2:$D$3345,[1]REPORTADOS!$C$2:$C$3345,E202)</f>
        <v>#VALUE!</v>
      </c>
      <c r="S202" s="3" t="e">
        <f t="shared" si="3"/>
        <v>#VALUE!</v>
      </c>
    </row>
    <row r="203" spans="1:19" x14ac:dyDescent="0.25">
      <c r="A203">
        <v>900091143</v>
      </c>
      <c r="B203" t="s">
        <v>3068</v>
      </c>
      <c r="C203" t="s">
        <v>2322</v>
      </c>
      <c r="E203" t="s">
        <v>2322</v>
      </c>
      <c r="H203" t="s">
        <v>22</v>
      </c>
      <c r="I203">
        <v>87070661</v>
      </c>
      <c r="J203" t="s">
        <v>2323</v>
      </c>
      <c r="P203" t="s">
        <v>2204</v>
      </c>
      <c r="Q203" s="8">
        <v>9000000</v>
      </c>
      <c r="R203" s="8" t="e">
        <f>SUMIFS([1]REPORTADOS!$D$2:$D$3345,[1]REPORTADOS!$C$2:$C$3345,E203)</f>
        <v>#VALUE!</v>
      </c>
      <c r="S203" s="3" t="e">
        <f t="shared" si="3"/>
        <v>#VALUE!</v>
      </c>
    </row>
    <row r="204" spans="1:19" x14ac:dyDescent="0.25">
      <c r="A204">
        <v>900091143</v>
      </c>
      <c r="B204" t="s">
        <v>3069</v>
      </c>
      <c r="C204" t="s">
        <v>2304</v>
      </c>
      <c r="E204" t="s">
        <v>2304</v>
      </c>
      <c r="H204" t="s">
        <v>22</v>
      </c>
      <c r="I204">
        <v>59310524</v>
      </c>
      <c r="J204" t="s">
        <v>2305</v>
      </c>
      <c r="P204" t="s">
        <v>2204</v>
      </c>
      <c r="Q204" s="8">
        <v>9000000</v>
      </c>
      <c r="R204" s="8" t="e">
        <f>SUMIFS([1]REPORTADOS!$D$2:$D$3345,[1]REPORTADOS!$C$2:$C$3345,E204)</f>
        <v>#VALUE!</v>
      </c>
      <c r="S204" s="3" t="e">
        <f t="shared" si="3"/>
        <v>#VALUE!</v>
      </c>
    </row>
    <row r="205" spans="1:19" x14ac:dyDescent="0.25">
      <c r="A205">
        <v>900091143</v>
      </c>
      <c r="B205" t="s">
        <v>3070</v>
      </c>
      <c r="C205" t="s">
        <v>2287</v>
      </c>
      <c r="E205" t="s">
        <v>2287</v>
      </c>
      <c r="H205" t="s">
        <v>22</v>
      </c>
      <c r="I205">
        <v>1085327701</v>
      </c>
      <c r="J205" t="s">
        <v>2288</v>
      </c>
      <c r="P205" t="s">
        <v>2204</v>
      </c>
      <c r="Q205" s="8">
        <v>9000000</v>
      </c>
      <c r="R205" s="8" t="e">
        <f>SUMIFS([1]REPORTADOS!$D$2:$D$3345,[1]REPORTADOS!$C$2:$C$3345,E205)</f>
        <v>#VALUE!</v>
      </c>
      <c r="S205" s="3" t="e">
        <f t="shared" si="3"/>
        <v>#VALUE!</v>
      </c>
    </row>
    <row r="206" spans="1:19" x14ac:dyDescent="0.25">
      <c r="A206">
        <v>900091143</v>
      </c>
      <c r="B206" t="s">
        <v>3071</v>
      </c>
      <c r="C206" t="s">
        <v>2292</v>
      </c>
      <c r="E206" t="s">
        <v>2292</v>
      </c>
      <c r="H206" t="s">
        <v>22</v>
      </c>
      <c r="I206">
        <v>1193271854</v>
      </c>
      <c r="J206" t="s">
        <v>1695</v>
      </c>
      <c r="P206" t="s">
        <v>2204</v>
      </c>
      <c r="Q206" s="8">
        <v>9000000</v>
      </c>
      <c r="R206" s="8" t="e">
        <f>SUMIFS([1]REPORTADOS!$D$2:$D$3345,[1]REPORTADOS!$C$2:$C$3345,E206)</f>
        <v>#VALUE!</v>
      </c>
      <c r="S206" s="3" t="e">
        <f t="shared" si="3"/>
        <v>#VALUE!</v>
      </c>
    </row>
    <row r="207" spans="1:19" x14ac:dyDescent="0.25">
      <c r="A207">
        <v>900091143</v>
      </c>
      <c r="B207" t="s">
        <v>3072</v>
      </c>
      <c r="C207" t="s">
        <v>2297</v>
      </c>
      <c r="E207" t="s">
        <v>2297</v>
      </c>
      <c r="H207" t="s">
        <v>22</v>
      </c>
      <c r="I207">
        <v>36757522</v>
      </c>
      <c r="J207" t="s">
        <v>2298</v>
      </c>
      <c r="P207" t="s">
        <v>2204</v>
      </c>
      <c r="Q207" s="8">
        <v>9000000</v>
      </c>
      <c r="R207" s="8" t="e">
        <f>SUMIFS([1]REPORTADOS!$D$2:$D$3345,[1]REPORTADOS!$C$2:$C$3345,E207)</f>
        <v>#VALUE!</v>
      </c>
      <c r="S207" s="3" t="e">
        <f t="shared" si="3"/>
        <v>#VALUE!</v>
      </c>
    </row>
    <row r="208" spans="1:19" x14ac:dyDescent="0.25">
      <c r="A208">
        <v>900091143</v>
      </c>
      <c r="B208" t="s">
        <v>3073</v>
      </c>
      <c r="C208" t="s">
        <v>2301</v>
      </c>
      <c r="E208" t="s">
        <v>2301</v>
      </c>
      <c r="H208" t="s">
        <v>22</v>
      </c>
      <c r="I208">
        <v>1233189234</v>
      </c>
      <c r="J208" t="s">
        <v>1869</v>
      </c>
      <c r="P208" t="s">
        <v>2233</v>
      </c>
      <c r="Q208" s="8">
        <v>9000000</v>
      </c>
      <c r="R208" s="8" t="e">
        <f>SUMIFS([1]REPORTADOS!$D$2:$D$3345,[1]REPORTADOS!$C$2:$C$3345,E208)</f>
        <v>#VALUE!</v>
      </c>
      <c r="S208" s="3" t="e">
        <f t="shared" si="3"/>
        <v>#VALUE!</v>
      </c>
    </row>
    <row r="209" spans="1:19" x14ac:dyDescent="0.25">
      <c r="A209">
        <v>900091143</v>
      </c>
      <c r="B209" t="s">
        <v>3074</v>
      </c>
      <c r="C209" t="s">
        <v>2302</v>
      </c>
      <c r="E209" t="s">
        <v>2302</v>
      </c>
      <c r="H209" t="s">
        <v>22</v>
      </c>
      <c r="I209">
        <v>1085323101</v>
      </c>
      <c r="J209" t="s">
        <v>2303</v>
      </c>
      <c r="P209" t="s">
        <v>2204</v>
      </c>
      <c r="Q209" s="8">
        <v>9000000</v>
      </c>
      <c r="R209" s="8" t="e">
        <f>SUMIFS([1]REPORTADOS!$D$2:$D$3345,[1]REPORTADOS!$C$2:$C$3345,E209)</f>
        <v>#VALUE!</v>
      </c>
      <c r="S209" s="3" t="e">
        <f t="shared" si="3"/>
        <v>#VALUE!</v>
      </c>
    </row>
    <row r="210" spans="1:19" x14ac:dyDescent="0.25">
      <c r="A210">
        <v>900091143</v>
      </c>
      <c r="B210" t="s">
        <v>3075</v>
      </c>
      <c r="C210" t="s">
        <v>2308</v>
      </c>
      <c r="E210" t="s">
        <v>2308</v>
      </c>
      <c r="H210" t="s">
        <v>22</v>
      </c>
      <c r="I210">
        <v>1004234290</v>
      </c>
      <c r="J210" t="s">
        <v>2309</v>
      </c>
      <c r="P210" t="s">
        <v>2204</v>
      </c>
      <c r="Q210" s="8">
        <v>9000000</v>
      </c>
      <c r="R210" s="8" t="e">
        <f>SUMIFS([1]REPORTADOS!$D$2:$D$3345,[1]REPORTADOS!$C$2:$C$3345,E210)</f>
        <v>#VALUE!</v>
      </c>
      <c r="S210" s="3" t="e">
        <f t="shared" si="3"/>
        <v>#VALUE!</v>
      </c>
    </row>
    <row r="211" spans="1:19" x14ac:dyDescent="0.25">
      <c r="A211">
        <v>900091143</v>
      </c>
      <c r="B211" t="s">
        <v>3076</v>
      </c>
      <c r="C211" t="s">
        <v>2326</v>
      </c>
      <c r="E211" t="s">
        <v>2326</v>
      </c>
      <c r="H211" t="s">
        <v>22</v>
      </c>
      <c r="I211">
        <v>59178610</v>
      </c>
      <c r="J211" t="s">
        <v>2327</v>
      </c>
      <c r="P211" t="s">
        <v>2204</v>
      </c>
      <c r="Q211" s="8">
        <v>9000000</v>
      </c>
      <c r="R211" s="8" t="e">
        <f>SUMIFS([1]REPORTADOS!$D$2:$D$3345,[1]REPORTADOS!$C$2:$C$3345,E211)</f>
        <v>#VALUE!</v>
      </c>
      <c r="S211" s="3" t="e">
        <f t="shared" si="3"/>
        <v>#VALUE!</v>
      </c>
    </row>
    <row r="212" spans="1:19" x14ac:dyDescent="0.25">
      <c r="A212">
        <v>900091143</v>
      </c>
      <c r="B212" t="s">
        <v>3077</v>
      </c>
      <c r="C212" t="s">
        <v>2324</v>
      </c>
      <c r="E212" t="s">
        <v>2324</v>
      </c>
      <c r="H212" t="s">
        <v>22</v>
      </c>
      <c r="I212">
        <v>1010113730</v>
      </c>
      <c r="J212" t="s">
        <v>2325</v>
      </c>
      <c r="P212" t="s">
        <v>2233</v>
      </c>
      <c r="Q212" s="8">
        <v>9000000</v>
      </c>
      <c r="R212" s="8" t="e">
        <f>SUMIFS([1]REPORTADOS!$D$2:$D$3345,[1]REPORTADOS!$C$2:$C$3345,E212)</f>
        <v>#VALUE!</v>
      </c>
      <c r="S212" s="3" t="e">
        <f t="shared" si="3"/>
        <v>#VALUE!</v>
      </c>
    </row>
    <row r="213" spans="1:19" x14ac:dyDescent="0.25">
      <c r="A213">
        <v>900091143</v>
      </c>
      <c r="B213" t="s">
        <v>3078</v>
      </c>
      <c r="C213" t="s">
        <v>2328</v>
      </c>
      <c r="E213" t="s">
        <v>2328</v>
      </c>
      <c r="H213" t="s">
        <v>22</v>
      </c>
      <c r="I213">
        <v>59834953</v>
      </c>
      <c r="J213" t="s">
        <v>1759</v>
      </c>
      <c r="P213" t="s">
        <v>2233</v>
      </c>
      <c r="Q213" s="8">
        <v>9000000</v>
      </c>
      <c r="R213" s="8" t="e">
        <f>SUMIFS([1]REPORTADOS!$D$2:$D$3345,[1]REPORTADOS!$C$2:$C$3345,E213)</f>
        <v>#VALUE!</v>
      </c>
      <c r="S213" s="3" t="e">
        <f t="shared" si="3"/>
        <v>#VALUE!</v>
      </c>
    </row>
    <row r="214" spans="1:19" x14ac:dyDescent="0.25">
      <c r="A214">
        <v>900091143</v>
      </c>
      <c r="B214" t="s">
        <v>3079</v>
      </c>
      <c r="C214" t="s">
        <v>2403</v>
      </c>
      <c r="E214" t="s">
        <v>2403</v>
      </c>
      <c r="H214" t="s">
        <v>22</v>
      </c>
      <c r="I214">
        <v>59830040</v>
      </c>
      <c r="J214" t="s">
        <v>2026</v>
      </c>
      <c r="P214" t="s">
        <v>2233</v>
      </c>
      <c r="Q214" s="8">
        <v>9000000</v>
      </c>
      <c r="R214" s="8" t="e">
        <f>SUMIFS([1]REPORTADOS!$D$2:$D$3345,[1]REPORTADOS!$C$2:$C$3345,E214)</f>
        <v>#VALUE!</v>
      </c>
      <c r="S214" s="3" t="e">
        <f t="shared" si="3"/>
        <v>#VALUE!</v>
      </c>
    </row>
    <row r="215" spans="1:19" x14ac:dyDescent="0.25">
      <c r="A215">
        <v>900091143</v>
      </c>
      <c r="B215" t="s">
        <v>3080</v>
      </c>
      <c r="C215" t="s">
        <v>2404</v>
      </c>
      <c r="E215" t="s">
        <v>2404</v>
      </c>
      <c r="H215" t="s">
        <v>22</v>
      </c>
      <c r="I215">
        <v>1004592366</v>
      </c>
      <c r="J215" t="s">
        <v>2405</v>
      </c>
      <c r="P215" t="s">
        <v>2233</v>
      </c>
      <c r="Q215" s="8">
        <v>9000000</v>
      </c>
      <c r="R215" s="8" t="e">
        <f>SUMIFS([1]REPORTADOS!$D$2:$D$3345,[1]REPORTADOS!$C$2:$C$3345,E215)</f>
        <v>#VALUE!</v>
      </c>
      <c r="S215" s="3" t="e">
        <f t="shared" si="3"/>
        <v>#VALUE!</v>
      </c>
    </row>
    <row r="216" spans="1:19" x14ac:dyDescent="0.25">
      <c r="A216">
        <v>900091143</v>
      </c>
      <c r="B216" t="s">
        <v>3081</v>
      </c>
      <c r="C216" t="s">
        <v>2401</v>
      </c>
      <c r="E216" t="s">
        <v>2401</v>
      </c>
      <c r="H216" t="s">
        <v>22</v>
      </c>
      <c r="I216">
        <v>1085302942</v>
      </c>
      <c r="J216" t="s">
        <v>2402</v>
      </c>
      <c r="P216" t="s">
        <v>2233</v>
      </c>
      <c r="Q216" s="8">
        <v>9000000</v>
      </c>
      <c r="R216" s="8" t="e">
        <f>SUMIFS([1]REPORTADOS!$D$2:$D$3345,[1]REPORTADOS!$C$2:$C$3345,E216)</f>
        <v>#VALUE!</v>
      </c>
      <c r="S216" s="3" t="e">
        <f t="shared" si="3"/>
        <v>#VALUE!</v>
      </c>
    </row>
    <row r="217" spans="1:19" x14ac:dyDescent="0.25">
      <c r="A217">
        <v>900091143</v>
      </c>
      <c r="B217" t="s">
        <v>3082</v>
      </c>
      <c r="C217" t="s">
        <v>2400</v>
      </c>
      <c r="E217" t="s">
        <v>2400</v>
      </c>
      <c r="H217" t="s">
        <v>22</v>
      </c>
      <c r="I217">
        <v>1004535234</v>
      </c>
      <c r="J217" t="s">
        <v>1910</v>
      </c>
      <c r="P217" t="s">
        <v>2233</v>
      </c>
      <c r="Q217" s="8">
        <v>9000000</v>
      </c>
      <c r="R217" s="8" t="e">
        <f>SUMIFS([1]REPORTADOS!$D$2:$D$3345,[1]REPORTADOS!$C$2:$C$3345,E217)</f>
        <v>#VALUE!</v>
      </c>
      <c r="S217" s="3" t="e">
        <f t="shared" si="3"/>
        <v>#VALUE!</v>
      </c>
    </row>
    <row r="218" spans="1:19" x14ac:dyDescent="0.25">
      <c r="A218">
        <v>900091143</v>
      </c>
      <c r="B218" t="s">
        <v>3083</v>
      </c>
      <c r="C218" t="s">
        <v>2398</v>
      </c>
      <c r="E218" t="s">
        <v>2398</v>
      </c>
      <c r="H218" t="s">
        <v>22</v>
      </c>
      <c r="I218">
        <v>1007403454</v>
      </c>
      <c r="J218" t="s">
        <v>2399</v>
      </c>
      <c r="P218" t="s">
        <v>2204</v>
      </c>
      <c r="Q218" s="8">
        <v>9000000</v>
      </c>
      <c r="R218" s="8" t="e">
        <f>SUMIFS([1]REPORTADOS!$D$2:$D$3345,[1]REPORTADOS!$C$2:$C$3345,E218)</f>
        <v>#VALUE!</v>
      </c>
      <c r="S218" s="3" t="e">
        <f t="shared" si="3"/>
        <v>#VALUE!</v>
      </c>
    </row>
    <row r="219" spans="1:19" x14ac:dyDescent="0.25">
      <c r="A219">
        <v>900091143</v>
      </c>
      <c r="B219" t="s">
        <v>3084</v>
      </c>
      <c r="C219" t="s">
        <v>2390</v>
      </c>
      <c r="E219" t="s">
        <v>2390</v>
      </c>
      <c r="H219" t="s">
        <v>22</v>
      </c>
      <c r="I219">
        <v>59833702</v>
      </c>
      <c r="J219" t="s">
        <v>2391</v>
      </c>
      <c r="P219" t="s">
        <v>2204</v>
      </c>
      <c r="Q219" s="8">
        <v>9000000</v>
      </c>
      <c r="R219" s="8" t="e">
        <f>SUMIFS([1]REPORTADOS!$D$2:$D$3345,[1]REPORTADOS!$C$2:$C$3345,E219)</f>
        <v>#VALUE!</v>
      </c>
      <c r="S219" s="3" t="e">
        <f t="shared" si="3"/>
        <v>#VALUE!</v>
      </c>
    </row>
    <row r="220" spans="1:19" x14ac:dyDescent="0.25">
      <c r="A220">
        <v>900091143</v>
      </c>
      <c r="B220" t="s">
        <v>3085</v>
      </c>
      <c r="C220" t="s">
        <v>2331</v>
      </c>
      <c r="E220" t="s">
        <v>2331</v>
      </c>
      <c r="H220" t="s">
        <v>22</v>
      </c>
      <c r="I220">
        <v>1086329609</v>
      </c>
      <c r="J220" t="s">
        <v>2332</v>
      </c>
      <c r="P220" t="s">
        <v>2204</v>
      </c>
      <c r="Q220" s="8">
        <v>9000000</v>
      </c>
      <c r="R220" s="8" t="e">
        <f>SUMIFS([1]REPORTADOS!$D$2:$D$3345,[1]REPORTADOS!$C$2:$C$3345,E220)</f>
        <v>#VALUE!</v>
      </c>
      <c r="S220" s="3" t="e">
        <f t="shared" si="3"/>
        <v>#VALUE!</v>
      </c>
    </row>
    <row r="221" spans="1:19" x14ac:dyDescent="0.25">
      <c r="A221">
        <v>900091143</v>
      </c>
      <c r="B221" t="s">
        <v>3086</v>
      </c>
      <c r="C221" t="s">
        <v>2333</v>
      </c>
      <c r="E221" t="s">
        <v>2333</v>
      </c>
      <c r="H221" t="s">
        <v>22</v>
      </c>
      <c r="I221">
        <v>1193224810</v>
      </c>
      <c r="J221" t="s">
        <v>1736</v>
      </c>
      <c r="P221" t="s">
        <v>2204</v>
      </c>
      <c r="Q221" s="8">
        <v>9000000</v>
      </c>
      <c r="R221" s="8" t="e">
        <f>SUMIFS([1]REPORTADOS!$D$2:$D$3345,[1]REPORTADOS!$C$2:$C$3345,E221)</f>
        <v>#VALUE!</v>
      </c>
      <c r="S221" s="3" t="e">
        <f t="shared" si="3"/>
        <v>#VALUE!</v>
      </c>
    </row>
    <row r="222" spans="1:19" x14ac:dyDescent="0.25">
      <c r="A222">
        <v>900091143</v>
      </c>
      <c r="B222" t="s">
        <v>3087</v>
      </c>
      <c r="C222" t="s">
        <v>2348</v>
      </c>
      <c r="E222" t="s">
        <v>2348</v>
      </c>
      <c r="H222" t="s">
        <v>22</v>
      </c>
      <c r="I222">
        <v>1081052746</v>
      </c>
      <c r="J222" t="s">
        <v>2349</v>
      </c>
      <c r="P222" t="s">
        <v>2204</v>
      </c>
      <c r="Q222" s="8">
        <v>9000000</v>
      </c>
      <c r="R222" s="8" t="e">
        <f>SUMIFS([1]REPORTADOS!$D$2:$D$3345,[1]REPORTADOS!$C$2:$C$3345,E222)</f>
        <v>#VALUE!</v>
      </c>
      <c r="S222" s="3" t="e">
        <f t="shared" si="3"/>
        <v>#VALUE!</v>
      </c>
    </row>
    <row r="223" spans="1:19" x14ac:dyDescent="0.25">
      <c r="A223">
        <v>900091143</v>
      </c>
      <c r="B223" t="s">
        <v>3088</v>
      </c>
      <c r="C223" t="s">
        <v>2340</v>
      </c>
      <c r="E223" t="s">
        <v>2340</v>
      </c>
      <c r="H223" t="s">
        <v>22</v>
      </c>
      <c r="I223">
        <v>1233188273</v>
      </c>
      <c r="J223" t="s">
        <v>2341</v>
      </c>
      <c r="P223" t="s">
        <v>2204</v>
      </c>
      <c r="Q223" s="8">
        <v>9000000</v>
      </c>
      <c r="R223" s="8" t="e">
        <f>SUMIFS([1]REPORTADOS!$D$2:$D$3345,[1]REPORTADOS!$C$2:$C$3345,E223)</f>
        <v>#VALUE!</v>
      </c>
      <c r="S223" s="3" t="e">
        <f t="shared" si="3"/>
        <v>#VALUE!</v>
      </c>
    </row>
    <row r="224" spans="1:19" x14ac:dyDescent="0.25">
      <c r="A224">
        <v>900091143</v>
      </c>
      <c r="B224" t="s">
        <v>3089</v>
      </c>
      <c r="C224" t="s">
        <v>2334</v>
      </c>
      <c r="E224" t="s">
        <v>2334</v>
      </c>
      <c r="H224" t="s">
        <v>22</v>
      </c>
      <c r="I224">
        <v>1010085543</v>
      </c>
      <c r="J224" t="s">
        <v>2335</v>
      </c>
      <c r="P224" t="s">
        <v>2204</v>
      </c>
      <c r="Q224" s="8">
        <v>9000000</v>
      </c>
      <c r="R224" s="8" t="e">
        <f>SUMIFS([1]REPORTADOS!$D$2:$D$3345,[1]REPORTADOS!$C$2:$C$3345,E224)</f>
        <v>#VALUE!</v>
      </c>
      <c r="S224" s="3" t="e">
        <f t="shared" si="3"/>
        <v>#VALUE!</v>
      </c>
    </row>
    <row r="225" spans="1:19" x14ac:dyDescent="0.25">
      <c r="A225">
        <v>900091143</v>
      </c>
      <c r="B225" t="s">
        <v>3090</v>
      </c>
      <c r="C225" t="s">
        <v>2336</v>
      </c>
      <c r="E225" t="s">
        <v>2336</v>
      </c>
      <c r="H225" t="s">
        <v>22</v>
      </c>
      <c r="I225">
        <v>27285974</v>
      </c>
      <c r="J225" t="s">
        <v>2337</v>
      </c>
      <c r="P225" t="s">
        <v>2204</v>
      </c>
      <c r="Q225" s="8">
        <v>9000000</v>
      </c>
      <c r="R225" s="8" t="e">
        <f>SUMIFS([1]REPORTADOS!$D$2:$D$3345,[1]REPORTADOS!$C$2:$C$3345,E225)</f>
        <v>#VALUE!</v>
      </c>
      <c r="S225" s="3" t="e">
        <f t="shared" si="3"/>
        <v>#VALUE!</v>
      </c>
    </row>
    <row r="226" spans="1:19" x14ac:dyDescent="0.25">
      <c r="A226">
        <v>900091143</v>
      </c>
      <c r="B226" t="s">
        <v>3091</v>
      </c>
      <c r="C226" t="s">
        <v>2372</v>
      </c>
      <c r="E226" t="s">
        <v>2372</v>
      </c>
      <c r="H226" t="s">
        <v>22</v>
      </c>
      <c r="I226">
        <v>1085250095</v>
      </c>
      <c r="J226" t="s">
        <v>2373</v>
      </c>
      <c r="P226" t="s">
        <v>2233</v>
      </c>
      <c r="Q226" s="8">
        <v>9000000</v>
      </c>
      <c r="R226" s="8" t="e">
        <f>SUMIFS([1]REPORTADOS!$D$2:$D$3345,[1]REPORTADOS!$C$2:$C$3345,E226)</f>
        <v>#VALUE!</v>
      </c>
      <c r="S226" s="3" t="e">
        <f t="shared" si="3"/>
        <v>#VALUE!</v>
      </c>
    </row>
    <row r="227" spans="1:19" x14ac:dyDescent="0.25">
      <c r="A227">
        <v>900091143</v>
      </c>
      <c r="B227" t="s">
        <v>3092</v>
      </c>
      <c r="C227" t="s">
        <v>2374</v>
      </c>
      <c r="E227" t="s">
        <v>2374</v>
      </c>
      <c r="H227" t="s">
        <v>22</v>
      </c>
      <c r="I227">
        <v>1085325325</v>
      </c>
      <c r="J227" t="s">
        <v>2375</v>
      </c>
      <c r="P227" t="s">
        <v>2233</v>
      </c>
      <c r="Q227" s="8">
        <v>9000000</v>
      </c>
      <c r="R227" s="8" t="e">
        <f>SUMIFS([1]REPORTADOS!$D$2:$D$3345,[1]REPORTADOS!$C$2:$C$3345,E227)</f>
        <v>#VALUE!</v>
      </c>
      <c r="S227" s="3" t="e">
        <f t="shared" si="3"/>
        <v>#VALUE!</v>
      </c>
    </row>
    <row r="228" spans="1:19" x14ac:dyDescent="0.25">
      <c r="A228">
        <v>900091143</v>
      </c>
      <c r="B228" t="s">
        <v>3093</v>
      </c>
      <c r="C228" t="s">
        <v>2376</v>
      </c>
      <c r="E228" t="s">
        <v>2376</v>
      </c>
      <c r="H228" t="s">
        <v>22</v>
      </c>
      <c r="I228">
        <v>1085331508</v>
      </c>
      <c r="J228" t="s">
        <v>2377</v>
      </c>
      <c r="P228" t="s">
        <v>2233</v>
      </c>
      <c r="Q228" s="8">
        <v>9000000</v>
      </c>
      <c r="R228" s="8" t="e">
        <f>SUMIFS([1]REPORTADOS!$D$2:$D$3345,[1]REPORTADOS!$C$2:$C$3345,E228)</f>
        <v>#VALUE!</v>
      </c>
      <c r="S228" s="3" t="e">
        <f t="shared" si="3"/>
        <v>#VALUE!</v>
      </c>
    </row>
    <row r="229" spans="1:19" x14ac:dyDescent="0.25">
      <c r="A229">
        <v>900091143</v>
      </c>
      <c r="B229" t="s">
        <v>3094</v>
      </c>
      <c r="C229" t="s">
        <v>2352</v>
      </c>
      <c r="E229" t="s">
        <v>2352</v>
      </c>
      <c r="H229" t="s">
        <v>22</v>
      </c>
      <c r="I229">
        <v>1233191675</v>
      </c>
      <c r="J229" t="s">
        <v>1720</v>
      </c>
      <c r="P229" t="s">
        <v>2233</v>
      </c>
      <c r="Q229" s="8">
        <v>9000000</v>
      </c>
      <c r="R229" s="8" t="e">
        <f>SUMIFS([1]REPORTADOS!$D$2:$D$3345,[1]REPORTADOS!$C$2:$C$3345,E229)</f>
        <v>#VALUE!</v>
      </c>
      <c r="S229" s="3" t="e">
        <f t="shared" si="3"/>
        <v>#VALUE!</v>
      </c>
    </row>
    <row r="230" spans="1:19" x14ac:dyDescent="0.25">
      <c r="A230">
        <v>900091143</v>
      </c>
      <c r="B230" t="s">
        <v>3095</v>
      </c>
      <c r="C230" t="s">
        <v>2380</v>
      </c>
      <c r="E230" t="s">
        <v>2380</v>
      </c>
      <c r="H230" t="s">
        <v>22</v>
      </c>
      <c r="I230">
        <v>1144206777</v>
      </c>
      <c r="J230" t="s">
        <v>2381</v>
      </c>
      <c r="P230" t="s">
        <v>2382</v>
      </c>
      <c r="Q230" s="8">
        <v>9000000</v>
      </c>
      <c r="R230" s="8" t="e">
        <f>SUMIFS([1]REPORTADOS!$D$2:$D$3345,[1]REPORTADOS!$C$2:$C$3345,E230)</f>
        <v>#VALUE!</v>
      </c>
      <c r="S230" s="3" t="e">
        <f t="shared" si="3"/>
        <v>#VALUE!</v>
      </c>
    </row>
    <row r="231" spans="1:19" x14ac:dyDescent="0.25">
      <c r="A231">
        <v>900091143</v>
      </c>
      <c r="B231" t="s">
        <v>3096</v>
      </c>
      <c r="C231" t="s">
        <v>2367</v>
      </c>
      <c r="E231" t="s">
        <v>2367</v>
      </c>
      <c r="H231" t="s">
        <v>22</v>
      </c>
      <c r="I231">
        <v>1081053820</v>
      </c>
      <c r="J231" t="s">
        <v>2368</v>
      </c>
      <c r="P231" t="s">
        <v>2233</v>
      </c>
      <c r="Q231" s="8">
        <v>9000000</v>
      </c>
      <c r="R231" s="8" t="e">
        <f>SUMIFS([1]REPORTADOS!$D$2:$D$3345,[1]REPORTADOS!$C$2:$C$3345,E231)</f>
        <v>#VALUE!</v>
      </c>
      <c r="S231" s="3" t="e">
        <f t="shared" si="3"/>
        <v>#VALUE!</v>
      </c>
    </row>
    <row r="232" spans="1:19" x14ac:dyDescent="0.25">
      <c r="A232">
        <v>900091143</v>
      </c>
      <c r="B232" t="s">
        <v>3097</v>
      </c>
      <c r="C232" t="s">
        <v>2369</v>
      </c>
      <c r="E232" t="s">
        <v>2369</v>
      </c>
      <c r="H232" t="s">
        <v>22</v>
      </c>
      <c r="I232">
        <v>1085269090</v>
      </c>
      <c r="J232" t="s">
        <v>1860</v>
      </c>
      <c r="P232" t="s">
        <v>2233</v>
      </c>
      <c r="Q232" s="8">
        <v>9000000</v>
      </c>
      <c r="R232" s="8" t="e">
        <f>SUMIFS([1]REPORTADOS!$D$2:$D$3345,[1]REPORTADOS!$C$2:$C$3345,E232)</f>
        <v>#VALUE!</v>
      </c>
      <c r="S232" s="3" t="e">
        <f t="shared" si="3"/>
        <v>#VALUE!</v>
      </c>
    </row>
    <row r="233" spans="1:19" x14ac:dyDescent="0.25">
      <c r="A233">
        <v>900091143</v>
      </c>
      <c r="B233" t="s">
        <v>3098</v>
      </c>
      <c r="C233" t="s">
        <v>2387</v>
      </c>
      <c r="E233" t="s">
        <v>2387</v>
      </c>
      <c r="H233" t="s">
        <v>22</v>
      </c>
      <c r="I233">
        <v>1004726758</v>
      </c>
      <c r="J233" t="s">
        <v>2388</v>
      </c>
      <c r="P233" t="s">
        <v>2389</v>
      </c>
      <c r="Q233" s="8">
        <v>9000000</v>
      </c>
      <c r="R233" s="8" t="e">
        <f>SUMIFS([1]REPORTADOS!$D$2:$D$3345,[1]REPORTADOS!$C$2:$C$3345,E233)</f>
        <v>#VALUE!</v>
      </c>
      <c r="S233" s="3" t="e">
        <f t="shared" si="3"/>
        <v>#VALUE!</v>
      </c>
    </row>
    <row r="234" spans="1:19" x14ac:dyDescent="0.25">
      <c r="A234">
        <v>900091143</v>
      </c>
      <c r="B234" t="s">
        <v>3099</v>
      </c>
      <c r="C234" t="s">
        <v>2338</v>
      </c>
      <c r="E234" t="s">
        <v>2338</v>
      </c>
      <c r="H234" t="s">
        <v>22</v>
      </c>
      <c r="I234">
        <v>1004131976</v>
      </c>
      <c r="J234" t="s">
        <v>2339</v>
      </c>
      <c r="P234" t="s">
        <v>2233</v>
      </c>
      <c r="Q234" s="8">
        <v>9000000</v>
      </c>
      <c r="R234" s="8" t="e">
        <f>SUMIFS([1]REPORTADOS!$D$2:$D$3345,[1]REPORTADOS!$C$2:$C$3345,E234)</f>
        <v>#VALUE!</v>
      </c>
      <c r="S234" s="3" t="e">
        <f t="shared" si="3"/>
        <v>#VALUE!</v>
      </c>
    </row>
    <row r="235" spans="1:19" x14ac:dyDescent="0.25">
      <c r="A235">
        <v>900091143</v>
      </c>
      <c r="B235" t="s">
        <v>3100</v>
      </c>
      <c r="C235" t="s">
        <v>2383</v>
      </c>
      <c r="E235" t="s">
        <v>2383</v>
      </c>
      <c r="H235" t="s">
        <v>22</v>
      </c>
      <c r="I235">
        <v>1085288636</v>
      </c>
      <c r="J235" t="s">
        <v>2384</v>
      </c>
      <c r="P235" t="s">
        <v>2204</v>
      </c>
      <c r="Q235" s="8">
        <v>9000000</v>
      </c>
      <c r="R235" s="8" t="e">
        <f>SUMIFS([1]REPORTADOS!$D$2:$D$3345,[1]REPORTADOS!$C$2:$C$3345,E235)</f>
        <v>#VALUE!</v>
      </c>
      <c r="S235" s="3" t="e">
        <f t="shared" si="3"/>
        <v>#VALUE!</v>
      </c>
    </row>
    <row r="236" spans="1:19" x14ac:dyDescent="0.25">
      <c r="A236">
        <v>900091143</v>
      </c>
      <c r="B236" t="s">
        <v>3101</v>
      </c>
      <c r="C236" t="s">
        <v>2385</v>
      </c>
      <c r="E236" t="s">
        <v>2385</v>
      </c>
      <c r="H236" t="s">
        <v>22</v>
      </c>
      <c r="I236">
        <v>1004410201</v>
      </c>
      <c r="J236" t="s">
        <v>2386</v>
      </c>
      <c r="P236" t="s">
        <v>2204</v>
      </c>
      <c r="Q236" s="8">
        <v>9000000</v>
      </c>
      <c r="R236" s="8" t="e">
        <f>SUMIFS([1]REPORTADOS!$D$2:$D$3345,[1]REPORTADOS!$C$2:$C$3345,E236)</f>
        <v>#VALUE!</v>
      </c>
      <c r="S236" s="3" t="e">
        <f t="shared" si="3"/>
        <v>#VALUE!</v>
      </c>
    </row>
    <row r="237" spans="1:19" x14ac:dyDescent="0.25">
      <c r="A237">
        <v>900091143</v>
      </c>
      <c r="B237" t="s">
        <v>3102</v>
      </c>
      <c r="C237" t="s">
        <v>2342</v>
      </c>
      <c r="E237" t="s">
        <v>2342</v>
      </c>
      <c r="H237" t="s">
        <v>22</v>
      </c>
      <c r="I237">
        <v>59837416</v>
      </c>
      <c r="J237" t="s">
        <v>2343</v>
      </c>
      <c r="P237" t="s">
        <v>2233</v>
      </c>
      <c r="Q237" s="8">
        <v>9000000</v>
      </c>
      <c r="R237" s="8" t="e">
        <f>SUMIFS([1]REPORTADOS!$D$2:$D$3345,[1]REPORTADOS!$C$2:$C$3345,E237)</f>
        <v>#VALUE!</v>
      </c>
      <c r="S237" s="3" t="e">
        <f t="shared" si="3"/>
        <v>#VALUE!</v>
      </c>
    </row>
    <row r="238" spans="1:19" x14ac:dyDescent="0.25">
      <c r="A238">
        <v>900091143</v>
      </c>
      <c r="B238" t="s">
        <v>3103</v>
      </c>
      <c r="C238" t="s">
        <v>2356</v>
      </c>
      <c r="E238" t="s">
        <v>2356</v>
      </c>
      <c r="H238" t="s">
        <v>22</v>
      </c>
      <c r="I238">
        <v>1193218691</v>
      </c>
      <c r="J238" t="s">
        <v>2357</v>
      </c>
      <c r="P238" t="s">
        <v>2204</v>
      </c>
      <c r="Q238" s="8">
        <v>9000000</v>
      </c>
      <c r="R238" s="8" t="e">
        <f>SUMIFS([1]REPORTADOS!$D$2:$D$3345,[1]REPORTADOS!$C$2:$C$3345,E238)</f>
        <v>#VALUE!</v>
      </c>
      <c r="S238" s="3" t="e">
        <f t="shared" si="3"/>
        <v>#VALUE!</v>
      </c>
    </row>
    <row r="239" spans="1:19" x14ac:dyDescent="0.25">
      <c r="A239">
        <v>900091143</v>
      </c>
      <c r="B239" t="s">
        <v>3104</v>
      </c>
      <c r="C239" t="s">
        <v>2360</v>
      </c>
      <c r="E239" t="s">
        <v>2360</v>
      </c>
      <c r="H239" t="s">
        <v>22</v>
      </c>
      <c r="I239">
        <v>1085272140</v>
      </c>
      <c r="J239" t="s">
        <v>2361</v>
      </c>
      <c r="P239" t="s">
        <v>2204</v>
      </c>
      <c r="Q239" s="8">
        <v>9000000</v>
      </c>
      <c r="R239" s="8" t="e">
        <f>SUMIFS([1]REPORTADOS!$D$2:$D$3345,[1]REPORTADOS!$C$2:$C$3345,E239)</f>
        <v>#VALUE!</v>
      </c>
      <c r="S239" s="3" t="e">
        <f t="shared" si="3"/>
        <v>#VALUE!</v>
      </c>
    </row>
    <row r="240" spans="1:19" x14ac:dyDescent="0.25">
      <c r="A240">
        <v>900091143</v>
      </c>
      <c r="B240" t="s">
        <v>3105</v>
      </c>
      <c r="C240" t="s">
        <v>2358</v>
      </c>
      <c r="E240" t="s">
        <v>2358</v>
      </c>
      <c r="H240" t="s">
        <v>22</v>
      </c>
      <c r="I240">
        <v>1085313463</v>
      </c>
      <c r="J240" t="s">
        <v>2359</v>
      </c>
      <c r="P240" t="s">
        <v>2233</v>
      </c>
      <c r="Q240" s="8">
        <v>9000000</v>
      </c>
      <c r="R240" s="8" t="e">
        <f>SUMIFS([1]REPORTADOS!$D$2:$D$3345,[1]REPORTADOS!$C$2:$C$3345,E240)</f>
        <v>#VALUE!</v>
      </c>
      <c r="S240" s="3" t="e">
        <f t="shared" si="3"/>
        <v>#VALUE!</v>
      </c>
    </row>
    <row r="241" spans="1:19" x14ac:dyDescent="0.25">
      <c r="A241">
        <v>900091143</v>
      </c>
      <c r="B241" t="s">
        <v>3106</v>
      </c>
      <c r="C241" t="s">
        <v>2431</v>
      </c>
      <c r="E241" t="s">
        <v>2431</v>
      </c>
      <c r="H241" t="s">
        <v>22</v>
      </c>
      <c r="I241">
        <v>1086328142</v>
      </c>
      <c r="J241" t="s">
        <v>2432</v>
      </c>
      <c r="P241" t="s">
        <v>2233</v>
      </c>
      <c r="Q241" s="8">
        <v>9000000</v>
      </c>
      <c r="R241" s="8" t="e">
        <f>SUMIFS([1]REPORTADOS!$D$2:$D$3345,[1]REPORTADOS!$C$2:$C$3345,E241)</f>
        <v>#VALUE!</v>
      </c>
      <c r="S241" s="3" t="e">
        <f t="shared" si="3"/>
        <v>#VALUE!</v>
      </c>
    </row>
    <row r="242" spans="1:19" x14ac:dyDescent="0.25">
      <c r="A242">
        <v>900091143</v>
      </c>
      <c r="B242" t="s">
        <v>3107</v>
      </c>
      <c r="C242" t="s">
        <v>2439</v>
      </c>
      <c r="E242" t="s">
        <v>2439</v>
      </c>
      <c r="H242" t="s">
        <v>22</v>
      </c>
      <c r="I242">
        <v>30743783</v>
      </c>
      <c r="J242" t="s">
        <v>2440</v>
      </c>
      <c r="P242" t="s">
        <v>2204</v>
      </c>
      <c r="Q242" s="8">
        <v>9000000</v>
      </c>
      <c r="R242" s="8" t="e">
        <f>SUMIFS([1]REPORTADOS!$D$2:$D$3345,[1]REPORTADOS!$C$2:$C$3345,E242)</f>
        <v>#VALUE!</v>
      </c>
      <c r="S242" s="3" t="e">
        <f t="shared" si="3"/>
        <v>#VALUE!</v>
      </c>
    </row>
    <row r="243" spans="1:19" x14ac:dyDescent="0.25">
      <c r="A243">
        <v>900091143</v>
      </c>
      <c r="B243" t="s">
        <v>3108</v>
      </c>
      <c r="C243" t="s">
        <v>2441</v>
      </c>
      <c r="E243" t="s">
        <v>2441</v>
      </c>
      <c r="H243" t="s">
        <v>22</v>
      </c>
      <c r="I243">
        <v>98391531</v>
      </c>
      <c r="J243" t="s">
        <v>2442</v>
      </c>
      <c r="P243" t="s">
        <v>2204</v>
      </c>
      <c r="Q243" s="8">
        <v>9000000</v>
      </c>
      <c r="R243" s="8" t="e">
        <f>SUMIFS([1]REPORTADOS!$D$2:$D$3345,[1]REPORTADOS!$C$2:$C$3345,E243)</f>
        <v>#VALUE!</v>
      </c>
      <c r="S243" s="3" t="e">
        <f t="shared" si="3"/>
        <v>#VALUE!</v>
      </c>
    </row>
    <row r="244" spans="1:19" x14ac:dyDescent="0.25">
      <c r="A244">
        <v>900091143</v>
      </c>
      <c r="B244" t="s">
        <v>3109</v>
      </c>
      <c r="C244" t="s">
        <v>2443</v>
      </c>
      <c r="E244" t="s">
        <v>2443</v>
      </c>
      <c r="H244" t="s">
        <v>22</v>
      </c>
      <c r="I244">
        <v>1085286725</v>
      </c>
      <c r="J244" t="s">
        <v>1786</v>
      </c>
      <c r="P244" t="s">
        <v>2233</v>
      </c>
      <c r="Q244" s="8">
        <v>9000000</v>
      </c>
      <c r="R244" s="8" t="e">
        <f>SUMIFS([1]REPORTADOS!$D$2:$D$3345,[1]REPORTADOS!$C$2:$C$3345,E244)</f>
        <v>#VALUE!</v>
      </c>
      <c r="S244" s="3" t="e">
        <f t="shared" si="3"/>
        <v>#VALUE!</v>
      </c>
    </row>
    <row r="245" spans="1:19" x14ac:dyDescent="0.25">
      <c r="A245">
        <v>900091143</v>
      </c>
      <c r="B245" t="s">
        <v>3110</v>
      </c>
      <c r="C245" t="s">
        <v>2451</v>
      </c>
      <c r="E245" t="s">
        <v>2451</v>
      </c>
      <c r="H245" t="s">
        <v>22</v>
      </c>
      <c r="I245">
        <v>59311233</v>
      </c>
      <c r="J245" t="s">
        <v>2452</v>
      </c>
      <c r="P245" t="s">
        <v>2204</v>
      </c>
      <c r="Q245" s="8">
        <v>9000000</v>
      </c>
      <c r="R245" s="8" t="e">
        <f>SUMIFS([1]REPORTADOS!$D$2:$D$3345,[1]REPORTADOS!$C$2:$C$3345,E245)</f>
        <v>#VALUE!</v>
      </c>
      <c r="S245" s="3" t="e">
        <f t="shared" si="3"/>
        <v>#VALUE!</v>
      </c>
    </row>
    <row r="246" spans="1:19" x14ac:dyDescent="0.25">
      <c r="A246">
        <v>900091143</v>
      </c>
      <c r="B246" t="s">
        <v>3111</v>
      </c>
      <c r="C246" t="s">
        <v>2453</v>
      </c>
      <c r="E246" t="s">
        <v>2453</v>
      </c>
      <c r="H246" t="s">
        <v>22</v>
      </c>
      <c r="I246">
        <v>27082649</v>
      </c>
      <c r="J246" t="s">
        <v>2454</v>
      </c>
      <c r="P246" t="s">
        <v>2204</v>
      </c>
      <c r="Q246" s="8">
        <v>9000000</v>
      </c>
      <c r="R246" s="8" t="e">
        <f>SUMIFS([1]REPORTADOS!$D$2:$D$3345,[1]REPORTADOS!$C$2:$C$3345,E246)</f>
        <v>#VALUE!</v>
      </c>
      <c r="S246" s="3" t="e">
        <f t="shared" si="3"/>
        <v>#VALUE!</v>
      </c>
    </row>
    <row r="247" spans="1:19" x14ac:dyDescent="0.25">
      <c r="A247">
        <v>900091143</v>
      </c>
      <c r="B247" t="s">
        <v>3112</v>
      </c>
      <c r="C247" t="s">
        <v>2455</v>
      </c>
      <c r="E247" t="s">
        <v>2455</v>
      </c>
      <c r="H247" t="s">
        <v>22</v>
      </c>
      <c r="I247">
        <v>69028150</v>
      </c>
      <c r="J247" t="s">
        <v>1666</v>
      </c>
      <c r="P247" t="s">
        <v>2204</v>
      </c>
      <c r="Q247" s="8">
        <v>9000000</v>
      </c>
      <c r="R247" s="8" t="e">
        <f>SUMIFS([1]REPORTADOS!$D$2:$D$3345,[1]REPORTADOS!$C$2:$C$3345,E247)</f>
        <v>#VALUE!</v>
      </c>
      <c r="S247" s="3" t="e">
        <f t="shared" si="3"/>
        <v>#VALUE!</v>
      </c>
    </row>
    <row r="248" spans="1:19" x14ac:dyDescent="0.25">
      <c r="A248">
        <v>900091143</v>
      </c>
      <c r="B248" t="s">
        <v>3113</v>
      </c>
      <c r="C248" t="s">
        <v>2421</v>
      </c>
      <c r="E248" t="s">
        <v>2421</v>
      </c>
      <c r="H248" t="s">
        <v>22</v>
      </c>
      <c r="I248">
        <v>1085309422</v>
      </c>
      <c r="J248" t="s">
        <v>2422</v>
      </c>
      <c r="P248" t="s">
        <v>2204</v>
      </c>
      <c r="Q248" s="8">
        <v>9000000</v>
      </c>
      <c r="R248" s="8" t="e">
        <f>SUMIFS([1]REPORTADOS!$D$2:$D$3345,[1]REPORTADOS!$C$2:$C$3345,E248)</f>
        <v>#VALUE!</v>
      </c>
      <c r="S248" s="3" t="e">
        <f t="shared" si="3"/>
        <v>#VALUE!</v>
      </c>
    </row>
    <row r="249" spans="1:19" x14ac:dyDescent="0.25">
      <c r="A249">
        <v>900091143</v>
      </c>
      <c r="B249" t="s">
        <v>3114</v>
      </c>
      <c r="C249" t="s">
        <v>2423</v>
      </c>
      <c r="E249" t="s">
        <v>2423</v>
      </c>
      <c r="H249" t="s">
        <v>22</v>
      </c>
      <c r="I249">
        <v>1137624011</v>
      </c>
      <c r="J249" t="s">
        <v>2424</v>
      </c>
      <c r="P249" t="s">
        <v>2204</v>
      </c>
      <c r="Q249" s="8">
        <v>9000000</v>
      </c>
      <c r="R249" s="8" t="e">
        <f>SUMIFS([1]REPORTADOS!$D$2:$D$3345,[1]REPORTADOS!$C$2:$C$3345,E249)</f>
        <v>#VALUE!</v>
      </c>
      <c r="S249" s="3" t="e">
        <f t="shared" si="3"/>
        <v>#VALUE!</v>
      </c>
    </row>
    <row r="250" spans="1:19" x14ac:dyDescent="0.25">
      <c r="A250">
        <v>900091143</v>
      </c>
      <c r="B250" t="s">
        <v>3115</v>
      </c>
      <c r="C250" t="s">
        <v>2430</v>
      </c>
      <c r="E250" t="s">
        <v>2430</v>
      </c>
      <c r="H250" t="s">
        <v>22</v>
      </c>
      <c r="I250">
        <v>59813323</v>
      </c>
      <c r="J250" t="s">
        <v>1995</v>
      </c>
      <c r="P250" t="s">
        <v>2233</v>
      </c>
      <c r="Q250" s="8">
        <v>9000000</v>
      </c>
      <c r="R250" s="8" t="e">
        <f>SUMIFS([1]REPORTADOS!$D$2:$D$3345,[1]REPORTADOS!$C$2:$C$3345,E250)</f>
        <v>#VALUE!</v>
      </c>
      <c r="S250" s="3" t="e">
        <f t="shared" si="3"/>
        <v>#VALUE!</v>
      </c>
    </row>
    <row r="251" spans="1:19" x14ac:dyDescent="0.25">
      <c r="A251">
        <v>900091143</v>
      </c>
      <c r="B251" t="s">
        <v>3116</v>
      </c>
      <c r="C251" t="s">
        <v>2414</v>
      </c>
      <c r="E251" t="s">
        <v>2414</v>
      </c>
      <c r="H251" t="s">
        <v>22</v>
      </c>
      <c r="I251">
        <v>1010082397</v>
      </c>
      <c r="J251" t="s">
        <v>1799</v>
      </c>
      <c r="P251" t="s">
        <v>2233</v>
      </c>
      <c r="Q251" s="8">
        <v>9000000</v>
      </c>
      <c r="R251" s="8" t="e">
        <f>SUMIFS([1]REPORTADOS!$D$2:$D$3345,[1]REPORTADOS!$C$2:$C$3345,E251)</f>
        <v>#VALUE!</v>
      </c>
      <c r="S251" s="3" t="e">
        <f t="shared" si="3"/>
        <v>#VALUE!</v>
      </c>
    </row>
    <row r="252" spans="1:19" x14ac:dyDescent="0.25">
      <c r="A252">
        <v>900091143</v>
      </c>
      <c r="B252" t="s">
        <v>3117</v>
      </c>
      <c r="C252" t="s">
        <v>2449</v>
      </c>
      <c r="E252" t="s">
        <v>2449</v>
      </c>
      <c r="H252" t="s">
        <v>22</v>
      </c>
      <c r="I252">
        <v>1080040858</v>
      </c>
      <c r="J252" t="s">
        <v>2450</v>
      </c>
      <c r="P252" t="s">
        <v>2233</v>
      </c>
      <c r="Q252" s="8">
        <v>9000000</v>
      </c>
      <c r="R252" s="8" t="e">
        <f>SUMIFS([1]REPORTADOS!$D$2:$D$3345,[1]REPORTADOS!$C$2:$C$3345,E252)</f>
        <v>#VALUE!</v>
      </c>
      <c r="S252" s="3" t="e">
        <f t="shared" si="3"/>
        <v>#VALUE!</v>
      </c>
    </row>
    <row r="253" spans="1:19" x14ac:dyDescent="0.25">
      <c r="A253">
        <v>900091143</v>
      </c>
      <c r="B253" t="s">
        <v>3118</v>
      </c>
      <c r="C253" t="s">
        <v>2416</v>
      </c>
      <c r="E253" t="s">
        <v>2416</v>
      </c>
      <c r="H253" t="s">
        <v>22</v>
      </c>
      <c r="I253">
        <v>1085277516</v>
      </c>
      <c r="J253" t="s">
        <v>2417</v>
      </c>
      <c r="P253" t="s">
        <v>2418</v>
      </c>
      <c r="Q253" s="8">
        <v>9000000</v>
      </c>
      <c r="R253" s="8" t="e">
        <f>SUMIFS([1]REPORTADOS!$D$2:$D$3345,[1]REPORTADOS!$C$2:$C$3345,E253)</f>
        <v>#VALUE!</v>
      </c>
      <c r="S253" s="3" t="e">
        <f t="shared" si="3"/>
        <v>#VALUE!</v>
      </c>
    </row>
    <row r="254" spans="1:19" x14ac:dyDescent="0.25">
      <c r="A254">
        <v>900091143</v>
      </c>
      <c r="B254" t="s">
        <v>3119</v>
      </c>
      <c r="C254" t="s">
        <v>2419</v>
      </c>
      <c r="E254" t="s">
        <v>2419</v>
      </c>
      <c r="H254" t="s">
        <v>22</v>
      </c>
      <c r="I254">
        <v>1085325718</v>
      </c>
      <c r="J254" t="s">
        <v>2420</v>
      </c>
      <c r="P254" t="s">
        <v>2233</v>
      </c>
      <c r="Q254" s="8">
        <v>9000000</v>
      </c>
      <c r="R254" s="8" t="e">
        <f>SUMIFS([1]REPORTADOS!$D$2:$D$3345,[1]REPORTADOS!$C$2:$C$3345,E254)</f>
        <v>#VALUE!</v>
      </c>
      <c r="S254" s="3" t="e">
        <f t="shared" si="3"/>
        <v>#VALUE!</v>
      </c>
    </row>
    <row r="255" spans="1:19" x14ac:dyDescent="0.25">
      <c r="A255">
        <v>900091143</v>
      </c>
      <c r="B255" t="s">
        <v>3120</v>
      </c>
      <c r="C255" t="s">
        <v>2445</v>
      </c>
      <c r="E255" t="s">
        <v>2445</v>
      </c>
      <c r="H255" t="s">
        <v>22</v>
      </c>
      <c r="I255">
        <v>1004135064</v>
      </c>
      <c r="J255" t="s">
        <v>2446</v>
      </c>
      <c r="P255" t="s">
        <v>2389</v>
      </c>
      <c r="Q255" s="8">
        <v>9000000</v>
      </c>
      <c r="R255" s="8" t="e">
        <f>SUMIFS([1]REPORTADOS!$D$2:$D$3345,[1]REPORTADOS!$C$2:$C$3345,E255)</f>
        <v>#VALUE!</v>
      </c>
      <c r="S255" s="3" t="e">
        <f t="shared" si="3"/>
        <v>#VALUE!</v>
      </c>
    </row>
    <row r="256" spans="1:19" x14ac:dyDescent="0.25">
      <c r="A256">
        <v>900091143</v>
      </c>
      <c r="B256" t="s">
        <v>3121</v>
      </c>
      <c r="C256" t="s">
        <v>2470</v>
      </c>
      <c r="E256" t="s">
        <v>2470</v>
      </c>
      <c r="H256" t="s">
        <v>22</v>
      </c>
      <c r="I256">
        <v>59310433</v>
      </c>
      <c r="J256" t="s">
        <v>2471</v>
      </c>
      <c r="P256" t="s">
        <v>2472</v>
      </c>
      <c r="Q256" s="8">
        <v>9000000</v>
      </c>
      <c r="R256" s="8" t="e">
        <f>SUMIFS([1]REPORTADOS!$D$2:$D$3345,[1]REPORTADOS!$C$2:$C$3345,E256)</f>
        <v>#VALUE!</v>
      </c>
      <c r="S256" s="3" t="e">
        <f t="shared" si="3"/>
        <v>#VALUE!</v>
      </c>
    </row>
    <row r="257" spans="1:19" x14ac:dyDescent="0.25">
      <c r="A257">
        <v>900091143</v>
      </c>
      <c r="B257" t="s">
        <v>3122</v>
      </c>
      <c r="C257" t="s">
        <v>2475</v>
      </c>
      <c r="E257" t="s">
        <v>2475</v>
      </c>
      <c r="H257" t="s">
        <v>22</v>
      </c>
      <c r="I257">
        <v>1085339190</v>
      </c>
      <c r="J257" t="s">
        <v>2476</v>
      </c>
      <c r="P257" t="s">
        <v>2100</v>
      </c>
      <c r="Q257" s="8">
        <v>9000000</v>
      </c>
      <c r="R257" s="8" t="e">
        <f>SUMIFS([1]REPORTADOS!$D$2:$D$3345,[1]REPORTADOS!$C$2:$C$3345,E257)</f>
        <v>#VALUE!</v>
      </c>
      <c r="S257" s="3" t="e">
        <f t="shared" si="3"/>
        <v>#VALUE!</v>
      </c>
    </row>
    <row r="258" spans="1:19" x14ac:dyDescent="0.25">
      <c r="A258">
        <v>900091143</v>
      </c>
      <c r="B258" t="s">
        <v>3123</v>
      </c>
      <c r="C258" t="s">
        <v>2477</v>
      </c>
      <c r="E258" t="s">
        <v>2477</v>
      </c>
      <c r="H258" t="s">
        <v>22</v>
      </c>
      <c r="I258">
        <v>1085338575</v>
      </c>
      <c r="J258" t="s">
        <v>2478</v>
      </c>
      <c r="P258" t="s">
        <v>2233</v>
      </c>
      <c r="Q258" s="8">
        <v>9000000</v>
      </c>
      <c r="R258" s="8" t="e">
        <f>SUMIFS([1]REPORTADOS!$D$2:$D$3345,[1]REPORTADOS!$C$2:$C$3345,E258)</f>
        <v>#VALUE!</v>
      </c>
      <c r="S258" s="3" t="e">
        <f t="shared" si="3"/>
        <v>#VALUE!</v>
      </c>
    </row>
    <row r="259" spans="1:19" x14ac:dyDescent="0.25">
      <c r="A259">
        <v>900091143</v>
      </c>
      <c r="B259" t="s">
        <v>3124</v>
      </c>
      <c r="C259" t="s">
        <v>2479</v>
      </c>
      <c r="E259" t="s">
        <v>2479</v>
      </c>
      <c r="H259" t="s">
        <v>22</v>
      </c>
      <c r="I259">
        <v>1004299312</v>
      </c>
      <c r="J259" t="s">
        <v>2480</v>
      </c>
      <c r="P259" t="s">
        <v>2472</v>
      </c>
      <c r="Q259" s="8">
        <v>9000000</v>
      </c>
      <c r="R259" s="8" t="e">
        <f>SUMIFS([1]REPORTADOS!$D$2:$D$3345,[1]REPORTADOS!$C$2:$C$3345,E259)</f>
        <v>#VALUE!</v>
      </c>
      <c r="S259" s="3" t="e">
        <f t="shared" ref="S259:S322" si="4">Q259-R259</f>
        <v>#VALUE!</v>
      </c>
    </row>
    <row r="260" spans="1:19" x14ac:dyDescent="0.25">
      <c r="A260">
        <v>900091143</v>
      </c>
      <c r="B260" t="s">
        <v>3125</v>
      </c>
      <c r="C260" t="s">
        <v>2490</v>
      </c>
      <c r="E260" t="s">
        <v>2490</v>
      </c>
      <c r="H260" t="s">
        <v>22</v>
      </c>
      <c r="I260">
        <v>1081276146</v>
      </c>
      <c r="J260" t="s">
        <v>2491</v>
      </c>
      <c r="P260" t="s">
        <v>2233</v>
      </c>
      <c r="Q260" s="8">
        <v>9000000</v>
      </c>
      <c r="R260" s="8" t="e">
        <f>SUMIFS([1]REPORTADOS!$D$2:$D$3345,[1]REPORTADOS!$C$2:$C$3345,E260)</f>
        <v>#VALUE!</v>
      </c>
      <c r="S260" s="3" t="e">
        <f t="shared" si="4"/>
        <v>#VALUE!</v>
      </c>
    </row>
    <row r="261" spans="1:19" x14ac:dyDescent="0.25">
      <c r="A261">
        <v>900091143</v>
      </c>
      <c r="B261" t="s">
        <v>3126</v>
      </c>
      <c r="C261" t="s">
        <v>2492</v>
      </c>
      <c r="E261" t="s">
        <v>2492</v>
      </c>
      <c r="H261" t="s">
        <v>22</v>
      </c>
      <c r="I261">
        <v>1084224968</v>
      </c>
      <c r="J261" t="s">
        <v>2493</v>
      </c>
      <c r="P261" t="s">
        <v>2233</v>
      </c>
      <c r="Q261" s="8">
        <v>9000000</v>
      </c>
      <c r="R261" s="8" t="e">
        <f>SUMIFS([1]REPORTADOS!$D$2:$D$3345,[1]REPORTADOS!$C$2:$C$3345,E261)</f>
        <v>#VALUE!</v>
      </c>
      <c r="S261" s="3" t="e">
        <f t="shared" si="4"/>
        <v>#VALUE!</v>
      </c>
    </row>
    <row r="262" spans="1:19" x14ac:dyDescent="0.25">
      <c r="A262">
        <v>900091143</v>
      </c>
      <c r="B262" t="s">
        <v>3127</v>
      </c>
      <c r="C262" t="s">
        <v>2494</v>
      </c>
      <c r="E262" t="s">
        <v>2494</v>
      </c>
      <c r="H262" t="s">
        <v>22</v>
      </c>
      <c r="I262">
        <v>1080043348</v>
      </c>
      <c r="J262" t="s">
        <v>2495</v>
      </c>
      <c r="P262" t="s">
        <v>2204</v>
      </c>
      <c r="Q262" s="8">
        <v>9000000</v>
      </c>
      <c r="R262" s="8" t="e">
        <f>SUMIFS([1]REPORTADOS!$D$2:$D$3345,[1]REPORTADOS!$C$2:$C$3345,E262)</f>
        <v>#VALUE!</v>
      </c>
      <c r="S262" s="3" t="e">
        <f t="shared" si="4"/>
        <v>#VALUE!</v>
      </c>
    </row>
    <row r="263" spans="1:19" x14ac:dyDescent="0.25">
      <c r="A263">
        <v>900091143</v>
      </c>
      <c r="B263" t="s">
        <v>3128</v>
      </c>
      <c r="C263" t="s">
        <v>2510</v>
      </c>
      <c r="E263" t="s">
        <v>2510</v>
      </c>
      <c r="H263" t="s">
        <v>22</v>
      </c>
      <c r="I263">
        <v>1085324685</v>
      </c>
      <c r="J263" t="s">
        <v>2511</v>
      </c>
      <c r="P263" t="s">
        <v>2204</v>
      </c>
      <c r="Q263" s="8">
        <v>9000000</v>
      </c>
      <c r="R263" s="8" t="e">
        <f>SUMIFS([1]REPORTADOS!$D$2:$D$3345,[1]REPORTADOS!$C$2:$C$3345,E263)</f>
        <v>#VALUE!</v>
      </c>
      <c r="S263" s="3" t="e">
        <f t="shared" si="4"/>
        <v>#VALUE!</v>
      </c>
    </row>
    <row r="264" spans="1:19" x14ac:dyDescent="0.25">
      <c r="A264">
        <v>900091143</v>
      </c>
      <c r="B264" t="s">
        <v>3129</v>
      </c>
      <c r="C264" t="s">
        <v>2512</v>
      </c>
      <c r="E264" t="s">
        <v>2512</v>
      </c>
      <c r="H264" t="s">
        <v>22</v>
      </c>
      <c r="I264">
        <v>37083086</v>
      </c>
      <c r="J264" t="s">
        <v>2513</v>
      </c>
      <c r="P264" t="s">
        <v>2204</v>
      </c>
      <c r="Q264" s="8">
        <v>9000000</v>
      </c>
      <c r="R264" s="8" t="e">
        <f>SUMIFS([1]REPORTADOS!$D$2:$D$3345,[1]REPORTADOS!$C$2:$C$3345,E264)</f>
        <v>#VALUE!</v>
      </c>
      <c r="S264" s="3" t="e">
        <f t="shared" si="4"/>
        <v>#VALUE!</v>
      </c>
    </row>
    <row r="265" spans="1:19" x14ac:dyDescent="0.25">
      <c r="A265">
        <v>900091143</v>
      </c>
      <c r="B265" t="s">
        <v>3130</v>
      </c>
      <c r="C265" t="s">
        <v>2517</v>
      </c>
      <c r="E265" t="s">
        <v>2517</v>
      </c>
      <c r="H265" t="s">
        <v>22</v>
      </c>
      <c r="I265">
        <v>119265360</v>
      </c>
      <c r="J265" t="s">
        <v>2518</v>
      </c>
      <c r="P265" t="s">
        <v>2519</v>
      </c>
      <c r="Q265" s="8">
        <v>9000000</v>
      </c>
      <c r="R265" s="8" t="e">
        <f>SUMIFS([1]REPORTADOS!$D$2:$D$3345,[1]REPORTADOS!$C$2:$C$3345,E265)</f>
        <v>#VALUE!</v>
      </c>
      <c r="S265" s="3" t="e">
        <f t="shared" si="4"/>
        <v>#VALUE!</v>
      </c>
    </row>
    <row r="266" spans="1:19" x14ac:dyDescent="0.25">
      <c r="A266">
        <v>900091143</v>
      </c>
      <c r="B266" t="s">
        <v>3131</v>
      </c>
      <c r="C266" t="s">
        <v>2500</v>
      </c>
      <c r="E266" t="s">
        <v>2500</v>
      </c>
      <c r="H266" t="s">
        <v>22</v>
      </c>
      <c r="I266">
        <v>1085330237</v>
      </c>
      <c r="J266" t="s">
        <v>2501</v>
      </c>
      <c r="P266" t="s">
        <v>2233</v>
      </c>
      <c r="Q266" s="8">
        <v>9000000</v>
      </c>
      <c r="R266" s="8" t="e">
        <f>SUMIFS([1]REPORTADOS!$D$2:$D$3345,[1]REPORTADOS!$C$2:$C$3345,E266)</f>
        <v>#VALUE!</v>
      </c>
      <c r="S266" s="3" t="e">
        <f t="shared" si="4"/>
        <v>#VALUE!</v>
      </c>
    </row>
    <row r="267" spans="1:19" x14ac:dyDescent="0.25">
      <c r="A267">
        <v>900091143</v>
      </c>
      <c r="B267" t="s">
        <v>3132</v>
      </c>
      <c r="C267" t="s">
        <v>2557</v>
      </c>
      <c r="E267" t="s">
        <v>2557</v>
      </c>
      <c r="H267" t="s">
        <v>22</v>
      </c>
      <c r="I267">
        <v>1085310350</v>
      </c>
      <c r="J267" t="s">
        <v>2558</v>
      </c>
      <c r="P267" t="s">
        <v>2204</v>
      </c>
      <c r="Q267" s="8">
        <v>9000000</v>
      </c>
      <c r="R267" s="8" t="e">
        <f>SUMIFS([1]REPORTADOS!$D$2:$D$3345,[1]REPORTADOS!$C$2:$C$3345,E267)</f>
        <v>#VALUE!</v>
      </c>
      <c r="S267" s="3" t="e">
        <f t="shared" si="4"/>
        <v>#VALUE!</v>
      </c>
    </row>
    <row r="268" spans="1:19" x14ac:dyDescent="0.25">
      <c r="A268">
        <v>900091143</v>
      </c>
      <c r="B268" t="s">
        <v>3133</v>
      </c>
      <c r="C268" t="s">
        <v>2543</v>
      </c>
      <c r="E268" t="s">
        <v>2543</v>
      </c>
      <c r="H268" t="s">
        <v>22</v>
      </c>
      <c r="I268">
        <v>1004215136</v>
      </c>
      <c r="J268" t="s">
        <v>2544</v>
      </c>
      <c r="P268" t="s">
        <v>2537</v>
      </c>
      <c r="Q268" s="8">
        <v>9000000</v>
      </c>
      <c r="R268" s="8" t="e">
        <f>SUMIFS([1]REPORTADOS!$D$2:$D$3345,[1]REPORTADOS!$C$2:$C$3345,E268)</f>
        <v>#VALUE!</v>
      </c>
      <c r="S268" s="3" t="e">
        <f t="shared" si="4"/>
        <v>#VALUE!</v>
      </c>
    </row>
    <row r="269" spans="1:19" x14ac:dyDescent="0.25">
      <c r="A269">
        <v>900091143</v>
      </c>
      <c r="B269" t="s">
        <v>3134</v>
      </c>
      <c r="C269" t="s">
        <v>2549</v>
      </c>
      <c r="E269" t="s">
        <v>2549</v>
      </c>
      <c r="H269" t="s">
        <v>22</v>
      </c>
      <c r="I269">
        <v>59311295</v>
      </c>
      <c r="J269" t="s">
        <v>2550</v>
      </c>
      <c r="P269" t="s">
        <v>2551</v>
      </c>
      <c r="Q269" s="8">
        <v>9000000</v>
      </c>
      <c r="R269" s="8" t="e">
        <f>SUMIFS([1]REPORTADOS!$D$2:$D$3345,[1]REPORTADOS!$C$2:$C$3345,E269)</f>
        <v>#VALUE!</v>
      </c>
      <c r="S269" s="3" t="e">
        <f t="shared" si="4"/>
        <v>#VALUE!</v>
      </c>
    </row>
    <row r="270" spans="1:19" x14ac:dyDescent="0.25">
      <c r="A270">
        <v>900091143</v>
      </c>
      <c r="B270" t="s">
        <v>3135</v>
      </c>
      <c r="C270" t="s">
        <v>2535</v>
      </c>
      <c r="E270" t="s">
        <v>2535</v>
      </c>
      <c r="H270" t="s">
        <v>22</v>
      </c>
      <c r="I270">
        <v>5930737</v>
      </c>
      <c r="J270" t="s">
        <v>2536</v>
      </c>
      <c r="P270" t="s">
        <v>2537</v>
      </c>
      <c r="Q270" s="8">
        <v>9000000</v>
      </c>
      <c r="R270" s="8" t="e">
        <f>SUMIFS([1]REPORTADOS!$D$2:$D$3345,[1]REPORTADOS!$C$2:$C$3345,E270)</f>
        <v>#VALUE!</v>
      </c>
      <c r="S270" s="3" t="e">
        <f t="shared" si="4"/>
        <v>#VALUE!</v>
      </c>
    </row>
    <row r="271" spans="1:19" x14ac:dyDescent="0.25">
      <c r="A271">
        <v>900091143</v>
      </c>
      <c r="B271" t="s">
        <v>3136</v>
      </c>
      <c r="C271" t="s">
        <v>2538</v>
      </c>
      <c r="E271" t="s">
        <v>2538</v>
      </c>
      <c r="H271" t="s">
        <v>22</v>
      </c>
      <c r="I271">
        <v>1085275473</v>
      </c>
      <c r="J271" t="s">
        <v>2539</v>
      </c>
      <c r="P271" t="s">
        <v>2540</v>
      </c>
      <c r="Q271" s="8">
        <v>9000000</v>
      </c>
      <c r="R271" s="8" t="e">
        <f>SUMIFS([1]REPORTADOS!$D$2:$D$3345,[1]REPORTADOS!$C$2:$C$3345,E271)</f>
        <v>#VALUE!</v>
      </c>
      <c r="S271" s="3" t="e">
        <f t="shared" si="4"/>
        <v>#VALUE!</v>
      </c>
    </row>
    <row r="272" spans="1:19" x14ac:dyDescent="0.25">
      <c r="A272">
        <v>900091143</v>
      </c>
      <c r="B272" t="s">
        <v>3137</v>
      </c>
      <c r="C272" t="s">
        <v>2573</v>
      </c>
      <c r="E272" t="s">
        <v>2573</v>
      </c>
      <c r="H272" t="s">
        <v>22</v>
      </c>
      <c r="I272">
        <v>1085252263</v>
      </c>
      <c r="J272" t="s">
        <v>2574</v>
      </c>
      <c r="P272" t="s">
        <v>2233</v>
      </c>
      <c r="Q272" s="8">
        <v>9000000</v>
      </c>
      <c r="R272" s="8" t="e">
        <f>SUMIFS([1]REPORTADOS!$D$2:$D$3345,[1]REPORTADOS!$C$2:$C$3345,E272)</f>
        <v>#VALUE!</v>
      </c>
      <c r="S272" s="3" t="e">
        <f t="shared" si="4"/>
        <v>#VALUE!</v>
      </c>
    </row>
    <row r="273" spans="1:19" x14ac:dyDescent="0.25">
      <c r="A273">
        <v>900091143</v>
      </c>
      <c r="B273" t="s">
        <v>3138</v>
      </c>
      <c r="C273" t="s">
        <v>2575</v>
      </c>
      <c r="E273" t="s">
        <v>2575</v>
      </c>
      <c r="H273" t="s">
        <v>22</v>
      </c>
      <c r="I273">
        <v>1085319295</v>
      </c>
      <c r="J273" t="s">
        <v>2576</v>
      </c>
      <c r="P273" t="s">
        <v>2540</v>
      </c>
      <c r="Q273" s="8">
        <v>9000000</v>
      </c>
      <c r="R273" s="8" t="e">
        <f>SUMIFS([1]REPORTADOS!$D$2:$D$3345,[1]REPORTADOS!$C$2:$C$3345,E273)</f>
        <v>#VALUE!</v>
      </c>
      <c r="S273" s="3" t="e">
        <f t="shared" si="4"/>
        <v>#VALUE!</v>
      </c>
    </row>
    <row r="274" spans="1:19" x14ac:dyDescent="0.25">
      <c r="A274">
        <v>900091143</v>
      </c>
      <c r="B274" t="s">
        <v>3139</v>
      </c>
      <c r="C274" t="s">
        <v>2589</v>
      </c>
      <c r="E274" t="s">
        <v>2589</v>
      </c>
      <c r="H274" t="s">
        <v>22</v>
      </c>
      <c r="I274">
        <v>1085322676</v>
      </c>
      <c r="J274" t="s">
        <v>2590</v>
      </c>
      <c r="P274" t="s">
        <v>2204</v>
      </c>
      <c r="Q274" s="8">
        <v>9000000</v>
      </c>
      <c r="R274" s="8" t="e">
        <f>SUMIFS([1]REPORTADOS!$D$2:$D$3345,[1]REPORTADOS!$C$2:$C$3345,E274)</f>
        <v>#VALUE!</v>
      </c>
      <c r="S274" s="3" t="e">
        <f t="shared" si="4"/>
        <v>#VALUE!</v>
      </c>
    </row>
    <row r="275" spans="1:19" x14ac:dyDescent="0.25">
      <c r="A275">
        <v>900091143</v>
      </c>
      <c r="B275" t="s">
        <v>3140</v>
      </c>
      <c r="C275" t="s">
        <v>2566</v>
      </c>
      <c r="E275" t="s">
        <v>2566</v>
      </c>
      <c r="H275" t="s">
        <v>22</v>
      </c>
      <c r="I275">
        <v>1080046034</v>
      </c>
      <c r="J275" t="s">
        <v>2567</v>
      </c>
      <c r="P275" t="s">
        <v>2204</v>
      </c>
      <c r="Q275" s="8">
        <v>9000000</v>
      </c>
      <c r="R275" s="8" t="e">
        <f>SUMIFS([1]REPORTADOS!$D$2:$D$3345,[1]REPORTADOS!$C$2:$C$3345,E275)</f>
        <v>#VALUE!</v>
      </c>
      <c r="S275" s="3" t="e">
        <f t="shared" si="4"/>
        <v>#VALUE!</v>
      </c>
    </row>
    <row r="276" spans="1:19" x14ac:dyDescent="0.25">
      <c r="A276">
        <v>900091143</v>
      </c>
      <c r="B276" t="s">
        <v>3141</v>
      </c>
      <c r="C276" t="s">
        <v>2625</v>
      </c>
      <c r="E276" t="s">
        <v>2625</v>
      </c>
      <c r="H276" t="s">
        <v>22</v>
      </c>
      <c r="I276">
        <v>1085286742</v>
      </c>
      <c r="J276" t="s">
        <v>1774</v>
      </c>
      <c r="P276" t="s">
        <v>2233</v>
      </c>
      <c r="Q276" s="8">
        <v>8100000</v>
      </c>
      <c r="R276" s="8" t="e">
        <f>SUMIFS([1]REPORTADOS!$D$2:$D$3345,[1]REPORTADOS!$C$2:$C$3345,E276)</f>
        <v>#VALUE!</v>
      </c>
      <c r="S276" s="3" t="e">
        <f t="shared" si="4"/>
        <v>#VALUE!</v>
      </c>
    </row>
    <row r="277" spans="1:19" x14ac:dyDescent="0.25">
      <c r="A277">
        <v>900091143</v>
      </c>
      <c r="B277" t="s">
        <v>3142</v>
      </c>
      <c r="C277" t="s">
        <v>2730</v>
      </c>
      <c r="E277" t="s">
        <v>2730</v>
      </c>
      <c r="H277" t="s">
        <v>22</v>
      </c>
      <c r="I277">
        <v>31324345</v>
      </c>
      <c r="J277" t="s">
        <v>2731</v>
      </c>
      <c r="P277" t="s">
        <v>2119</v>
      </c>
      <c r="Q277" s="8">
        <v>7558600</v>
      </c>
      <c r="R277" s="8" t="e">
        <f>SUMIFS([1]REPORTADOS!$D$2:$D$3345,[1]REPORTADOS!$C$2:$C$3345,E277)</f>
        <v>#VALUE!</v>
      </c>
      <c r="S277" s="3" t="e">
        <f t="shared" si="4"/>
        <v>#VALUE!</v>
      </c>
    </row>
    <row r="278" spans="1:19" x14ac:dyDescent="0.25">
      <c r="A278">
        <v>900091143</v>
      </c>
      <c r="B278" t="s">
        <v>3143</v>
      </c>
      <c r="C278" t="s">
        <v>2736</v>
      </c>
      <c r="E278" t="s">
        <v>2736</v>
      </c>
      <c r="H278" t="s">
        <v>22</v>
      </c>
      <c r="I278">
        <v>59835376</v>
      </c>
      <c r="J278" t="s">
        <v>2075</v>
      </c>
      <c r="P278" t="s">
        <v>2119</v>
      </c>
      <c r="Q278" s="8">
        <v>7558600</v>
      </c>
      <c r="R278" s="8" t="e">
        <f>SUMIFS([1]REPORTADOS!$D$2:$D$3345,[1]REPORTADOS!$C$2:$C$3345,E278)</f>
        <v>#VALUE!</v>
      </c>
      <c r="S278" s="3" t="e">
        <f t="shared" si="4"/>
        <v>#VALUE!</v>
      </c>
    </row>
    <row r="279" spans="1:19" x14ac:dyDescent="0.25">
      <c r="A279">
        <v>900091143</v>
      </c>
      <c r="B279" t="s">
        <v>3144</v>
      </c>
      <c r="C279" t="s">
        <v>2289</v>
      </c>
      <c r="E279" t="s">
        <v>2289</v>
      </c>
      <c r="H279" t="s">
        <v>22</v>
      </c>
      <c r="I279">
        <v>12974849</v>
      </c>
      <c r="J279" t="s">
        <v>2290</v>
      </c>
      <c r="P279" t="s">
        <v>2291</v>
      </c>
      <c r="Q279" s="8">
        <v>7500000</v>
      </c>
      <c r="R279" s="8" t="e">
        <f>SUMIFS([1]REPORTADOS!$D$2:$D$3345,[1]REPORTADOS!$C$2:$C$3345,E279)</f>
        <v>#VALUE!</v>
      </c>
      <c r="S279" s="3" t="e">
        <f t="shared" si="4"/>
        <v>#VALUE!</v>
      </c>
    </row>
    <row r="280" spans="1:19" x14ac:dyDescent="0.25">
      <c r="A280">
        <v>900091143</v>
      </c>
      <c r="B280" t="s">
        <v>3145</v>
      </c>
      <c r="C280" t="s">
        <v>2397</v>
      </c>
      <c r="E280" t="s">
        <v>2397</v>
      </c>
      <c r="H280" t="s">
        <v>22</v>
      </c>
      <c r="I280">
        <v>1085327836</v>
      </c>
      <c r="J280" t="s">
        <v>2023</v>
      </c>
      <c r="P280" t="s">
        <v>2291</v>
      </c>
      <c r="Q280" s="8">
        <v>7500000</v>
      </c>
      <c r="R280" s="8" t="e">
        <f>SUMIFS([1]REPORTADOS!$D$2:$D$3345,[1]REPORTADOS!$C$2:$C$3345,E280)</f>
        <v>#VALUE!</v>
      </c>
      <c r="S280" s="3" t="e">
        <f t="shared" si="4"/>
        <v>#VALUE!</v>
      </c>
    </row>
    <row r="281" spans="1:19" x14ac:dyDescent="0.25">
      <c r="A281">
        <v>900091143</v>
      </c>
      <c r="B281" t="s">
        <v>3146</v>
      </c>
      <c r="C281" t="s">
        <v>2393</v>
      </c>
      <c r="E281" t="s">
        <v>2393</v>
      </c>
      <c r="H281" t="s">
        <v>22</v>
      </c>
      <c r="I281">
        <v>37087268</v>
      </c>
      <c r="J281" t="s">
        <v>1730</v>
      </c>
      <c r="P281" t="s">
        <v>2291</v>
      </c>
      <c r="Q281" s="8">
        <v>7500000</v>
      </c>
      <c r="R281" s="8" t="e">
        <f>SUMIFS([1]REPORTADOS!$D$2:$D$3345,[1]REPORTADOS!$C$2:$C$3345,E281)</f>
        <v>#VALUE!</v>
      </c>
      <c r="S281" s="3" t="e">
        <f t="shared" si="4"/>
        <v>#VALUE!</v>
      </c>
    </row>
    <row r="282" spans="1:19" x14ac:dyDescent="0.25">
      <c r="A282">
        <v>900091143</v>
      </c>
      <c r="B282" t="s">
        <v>3147</v>
      </c>
      <c r="C282" t="s">
        <v>2392</v>
      </c>
      <c r="E282" t="s">
        <v>2392</v>
      </c>
      <c r="H282" t="s">
        <v>22</v>
      </c>
      <c r="I282">
        <v>59830219</v>
      </c>
      <c r="J282" t="s">
        <v>1872</v>
      </c>
      <c r="P282" t="s">
        <v>2291</v>
      </c>
      <c r="Q282" s="8">
        <v>7500000</v>
      </c>
      <c r="R282" s="8" t="e">
        <f>SUMIFS([1]REPORTADOS!$D$2:$D$3345,[1]REPORTADOS!$C$2:$C$3345,E282)</f>
        <v>#VALUE!</v>
      </c>
      <c r="S282" s="3" t="e">
        <f t="shared" si="4"/>
        <v>#VALUE!</v>
      </c>
    </row>
    <row r="283" spans="1:19" x14ac:dyDescent="0.25">
      <c r="A283">
        <v>900091143</v>
      </c>
      <c r="B283" t="s">
        <v>3148</v>
      </c>
      <c r="C283" t="s">
        <v>2408</v>
      </c>
      <c r="E283" t="s">
        <v>2408</v>
      </c>
      <c r="H283" t="s">
        <v>22</v>
      </c>
      <c r="I283">
        <v>36759281</v>
      </c>
      <c r="J283" t="s">
        <v>2409</v>
      </c>
      <c r="P283" t="s">
        <v>2291</v>
      </c>
      <c r="Q283" s="8">
        <v>7500000</v>
      </c>
      <c r="R283" s="8" t="e">
        <f>SUMIFS([1]REPORTADOS!$D$2:$D$3345,[1]REPORTADOS!$C$2:$C$3345,E283)</f>
        <v>#VALUE!</v>
      </c>
      <c r="S283" s="3" t="e">
        <f t="shared" si="4"/>
        <v>#VALUE!</v>
      </c>
    </row>
    <row r="284" spans="1:19" x14ac:dyDescent="0.25">
      <c r="A284">
        <v>900091143</v>
      </c>
      <c r="B284" t="s">
        <v>3149</v>
      </c>
      <c r="C284" t="s">
        <v>2370</v>
      </c>
      <c r="E284" t="s">
        <v>2370</v>
      </c>
      <c r="H284" t="s">
        <v>22</v>
      </c>
      <c r="I284">
        <v>1085251468</v>
      </c>
      <c r="J284" t="s">
        <v>2371</v>
      </c>
      <c r="P284" t="s">
        <v>2291</v>
      </c>
      <c r="Q284" s="8">
        <v>7500000</v>
      </c>
      <c r="R284" s="8" t="e">
        <f>SUMIFS([1]REPORTADOS!$D$2:$D$3345,[1]REPORTADOS!$C$2:$C$3345,E284)</f>
        <v>#VALUE!</v>
      </c>
      <c r="S284" s="3" t="e">
        <f t="shared" si="4"/>
        <v>#VALUE!</v>
      </c>
    </row>
    <row r="285" spans="1:19" x14ac:dyDescent="0.25">
      <c r="A285">
        <v>900091143</v>
      </c>
      <c r="B285" t="s">
        <v>3150</v>
      </c>
      <c r="C285" t="s">
        <v>2378</v>
      </c>
      <c r="E285" t="s">
        <v>2378</v>
      </c>
      <c r="H285" t="s">
        <v>22</v>
      </c>
      <c r="I285">
        <v>1233189896</v>
      </c>
      <c r="J285" t="s">
        <v>2379</v>
      </c>
      <c r="P285" t="s">
        <v>2291</v>
      </c>
      <c r="Q285" s="8">
        <v>7500000</v>
      </c>
      <c r="R285" s="8" t="e">
        <f>SUMIFS([1]REPORTADOS!$D$2:$D$3345,[1]REPORTADOS!$C$2:$C$3345,E285)</f>
        <v>#VALUE!</v>
      </c>
      <c r="S285" s="3" t="e">
        <f t="shared" si="4"/>
        <v>#VALUE!</v>
      </c>
    </row>
    <row r="286" spans="1:19" x14ac:dyDescent="0.25">
      <c r="A286">
        <v>900091143</v>
      </c>
      <c r="B286" t="s">
        <v>3151</v>
      </c>
      <c r="C286" t="s">
        <v>2524</v>
      </c>
      <c r="E286" t="s">
        <v>2524</v>
      </c>
      <c r="H286" t="s">
        <v>22</v>
      </c>
      <c r="I286">
        <v>1085330079</v>
      </c>
      <c r="J286" t="s">
        <v>2525</v>
      </c>
      <c r="P286" t="s">
        <v>2291</v>
      </c>
      <c r="Q286" s="8">
        <v>7500000</v>
      </c>
      <c r="R286" s="8" t="e">
        <f>SUMIFS([1]REPORTADOS!$D$2:$D$3345,[1]REPORTADOS!$C$2:$C$3345,E286)</f>
        <v>#VALUE!</v>
      </c>
      <c r="S286" s="3" t="e">
        <f t="shared" si="4"/>
        <v>#VALUE!</v>
      </c>
    </row>
    <row r="287" spans="1:19" x14ac:dyDescent="0.25">
      <c r="A287">
        <v>900091143</v>
      </c>
      <c r="B287" t="s">
        <v>3152</v>
      </c>
      <c r="C287" t="s">
        <v>2353</v>
      </c>
      <c r="E287" t="s">
        <v>2353</v>
      </c>
      <c r="H287" t="s">
        <v>22</v>
      </c>
      <c r="I287">
        <v>36753698</v>
      </c>
      <c r="J287" t="s">
        <v>1633</v>
      </c>
      <c r="P287" t="s">
        <v>2291</v>
      </c>
      <c r="Q287" s="8">
        <v>7500000</v>
      </c>
      <c r="R287" s="8" t="e">
        <f>SUMIFS([1]REPORTADOS!$D$2:$D$3345,[1]REPORTADOS!$C$2:$C$3345,E287)</f>
        <v>#VALUE!</v>
      </c>
      <c r="S287" s="3" t="e">
        <f t="shared" si="4"/>
        <v>#VALUE!</v>
      </c>
    </row>
    <row r="288" spans="1:19" x14ac:dyDescent="0.25">
      <c r="A288">
        <v>900091143</v>
      </c>
      <c r="B288" t="s">
        <v>3153</v>
      </c>
      <c r="C288" t="s">
        <v>2346</v>
      </c>
      <c r="E288" t="s">
        <v>2346</v>
      </c>
      <c r="H288" t="s">
        <v>22</v>
      </c>
      <c r="I288">
        <v>36757715</v>
      </c>
      <c r="J288" t="s">
        <v>2347</v>
      </c>
      <c r="P288" t="s">
        <v>2291</v>
      </c>
      <c r="Q288" s="8">
        <v>7500000</v>
      </c>
      <c r="R288" s="8" t="e">
        <f>SUMIFS([1]REPORTADOS!$D$2:$D$3345,[1]REPORTADOS!$C$2:$C$3345,E288)</f>
        <v>#VALUE!</v>
      </c>
      <c r="S288" s="3" t="e">
        <f t="shared" si="4"/>
        <v>#VALUE!</v>
      </c>
    </row>
    <row r="289" spans="1:19" x14ac:dyDescent="0.25">
      <c r="A289">
        <v>900091143</v>
      </c>
      <c r="B289" t="s">
        <v>3154</v>
      </c>
      <c r="C289" t="s">
        <v>2466</v>
      </c>
      <c r="E289" t="s">
        <v>2466</v>
      </c>
      <c r="H289" t="s">
        <v>22</v>
      </c>
      <c r="I289">
        <v>1086016308</v>
      </c>
      <c r="J289" t="s">
        <v>2467</v>
      </c>
      <c r="P289" t="s">
        <v>2291</v>
      </c>
      <c r="Q289" s="8">
        <v>7500000</v>
      </c>
      <c r="R289" s="8" t="e">
        <f>SUMIFS([1]REPORTADOS!$D$2:$D$3345,[1]REPORTADOS!$C$2:$C$3345,E289)</f>
        <v>#VALUE!</v>
      </c>
      <c r="S289" s="3" t="e">
        <f t="shared" si="4"/>
        <v>#VALUE!</v>
      </c>
    </row>
    <row r="290" spans="1:19" x14ac:dyDescent="0.25">
      <c r="A290">
        <v>900091143</v>
      </c>
      <c r="B290" t="s">
        <v>3155</v>
      </c>
      <c r="C290" t="s">
        <v>2434</v>
      </c>
      <c r="E290" t="s">
        <v>2434</v>
      </c>
      <c r="H290" t="s">
        <v>22</v>
      </c>
      <c r="I290">
        <v>1081273343</v>
      </c>
      <c r="J290" t="s">
        <v>2435</v>
      </c>
      <c r="P290" t="s">
        <v>2436</v>
      </c>
      <c r="Q290" s="8">
        <v>7500000</v>
      </c>
      <c r="R290" s="8" t="e">
        <f>SUMIFS([1]REPORTADOS!$D$2:$D$3345,[1]REPORTADOS!$C$2:$C$3345,E290)</f>
        <v>#VALUE!</v>
      </c>
      <c r="S290" s="3" t="e">
        <f t="shared" si="4"/>
        <v>#VALUE!</v>
      </c>
    </row>
    <row r="291" spans="1:19" x14ac:dyDescent="0.25">
      <c r="A291">
        <v>900091143</v>
      </c>
      <c r="B291" t="s">
        <v>3156</v>
      </c>
      <c r="C291" t="s">
        <v>2437</v>
      </c>
      <c r="E291" t="s">
        <v>2437</v>
      </c>
      <c r="H291" t="s">
        <v>22</v>
      </c>
      <c r="I291">
        <v>27090145</v>
      </c>
      <c r="J291" t="s">
        <v>2438</v>
      </c>
      <c r="P291" t="s">
        <v>2291</v>
      </c>
      <c r="Q291" s="8">
        <v>7500000</v>
      </c>
      <c r="R291" s="8" t="e">
        <f>SUMIFS([1]REPORTADOS!$D$2:$D$3345,[1]REPORTADOS!$C$2:$C$3345,E291)</f>
        <v>#VALUE!</v>
      </c>
      <c r="S291" s="3" t="e">
        <f t="shared" si="4"/>
        <v>#VALUE!</v>
      </c>
    </row>
    <row r="292" spans="1:19" x14ac:dyDescent="0.25">
      <c r="A292">
        <v>900091143</v>
      </c>
      <c r="B292" t="s">
        <v>3157</v>
      </c>
      <c r="C292" t="s">
        <v>2458</v>
      </c>
      <c r="E292" t="s">
        <v>2458</v>
      </c>
      <c r="H292" t="s">
        <v>22</v>
      </c>
      <c r="I292">
        <v>12750863</v>
      </c>
      <c r="J292" t="s">
        <v>2459</v>
      </c>
      <c r="P292" t="s">
        <v>2291</v>
      </c>
      <c r="Q292" s="8">
        <v>7500000</v>
      </c>
      <c r="R292" s="8" t="e">
        <f>SUMIFS([1]REPORTADOS!$D$2:$D$3345,[1]REPORTADOS!$C$2:$C$3345,E292)</f>
        <v>#VALUE!</v>
      </c>
      <c r="S292" s="3" t="e">
        <f t="shared" si="4"/>
        <v>#VALUE!</v>
      </c>
    </row>
    <row r="293" spans="1:19" x14ac:dyDescent="0.25">
      <c r="A293">
        <v>900091143</v>
      </c>
      <c r="B293" t="s">
        <v>3158</v>
      </c>
      <c r="C293" t="s">
        <v>2460</v>
      </c>
      <c r="E293" t="s">
        <v>2460</v>
      </c>
      <c r="H293" t="s">
        <v>22</v>
      </c>
      <c r="I293">
        <v>1193265831</v>
      </c>
      <c r="J293" t="s">
        <v>2461</v>
      </c>
      <c r="P293" t="s">
        <v>2291</v>
      </c>
      <c r="Q293" s="8">
        <v>7500000</v>
      </c>
      <c r="R293" s="8" t="e">
        <f>SUMIFS([1]REPORTADOS!$D$2:$D$3345,[1]REPORTADOS!$C$2:$C$3345,E293)</f>
        <v>#VALUE!</v>
      </c>
      <c r="S293" s="3" t="e">
        <f t="shared" si="4"/>
        <v>#VALUE!</v>
      </c>
    </row>
    <row r="294" spans="1:19" x14ac:dyDescent="0.25">
      <c r="A294">
        <v>900091143</v>
      </c>
      <c r="B294" t="s">
        <v>3159</v>
      </c>
      <c r="C294" t="s">
        <v>2462</v>
      </c>
      <c r="E294" t="s">
        <v>2462</v>
      </c>
      <c r="H294" t="s">
        <v>22</v>
      </c>
      <c r="I294">
        <v>1085337465</v>
      </c>
      <c r="J294" t="s">
        <v>2463</v>
      </c>
      <c r="P294" t="s">
        <v>2291</v>
      </c>
      <c r="Q294" s="8">
        <v>7500000</v>
      </c>
      <c r="R294" s="8" t="e">
        <f>SUMIFS([1]REPORTADOS!$D$2:$D$3345,[1]REPORTADOS!$C$2:$C$3345,E294)</f>
        <v>#VALUE!</v>
      </c>
      <c r="S294" s="3" t="e">
        <f t="shared" si="4"/>
        <v>#VALUE!</v>
      </c>
    </row>
    <row r="295" spans="1:19" x14ac:dyDescent="0.25">
      <c r="A295">
        <v>900091143</v>
      </c>
      <c r="B295" t="s">
        <v>3160</v>
      </c>
      <c r="C295" t="s">
        <v>2410</v>
      </c>
      <c r="E295" t="s">
        <v>2410</v>
      </c>
      <c r="H295" t="s">
        <v>22</v>
      </c>
      <c r="I295">
        <v>1085320930</v>
      </c>
      <c r="J295" t="s">
        <v>2411</v>
      </c>
      <c r="P295" t="s">
        <v>2291</v>
      </c>
      <c r="Q295" s="8">
        <v>7500000</v>
      </c>
      <c r="R295" s="8" t="e">
        <f>SUMIFS([1]REPORTADOS!$D$2:$D$3345,[1]REPORTADOS!$C$2:$C$3345,E295)</f>
        <v>#VALUE!</v>
      </c>
      <c r="S295" s="3" t="e">
        <f t="shared" si="4"/>
        <v>#VALUE!</v>
      </c>
    </row>
    <row r="296" spans="1:19" x14ac:dyDescent="0.25">
      <c r="A296">
        <v>900091143</v>
      </c>
      <c r="B296" t="s">
        <v>3161</v>
      </c>
      <c r="C296" t="s">
        <v>2473</v>
      </c>
      <c r="E296" t="s">
        <v>2473</v>
      </c>
      <c r="H296" t="s">
        <v>22</v>
      </c>
      <c r="I296">
        <v>1085338135</v>
      </c>
      <c r="J296" t="s">
        <v>2474</v>
      </c>
      <c r="P296" t="s">
        <v>2291</v>
      </c>
      <c r="Q296" s="8">
        <v>7500000</v>
      </c>
      <c r="R296" s="8" t="e">
        <f>SUMIFS([1]REPORTADOS!$D$2:$D$3345,[1]REPORTADOS!$C$2:$C$3345,E296)</f>
        <v>#VALUE!</v>
      </c>
      <c r="S296" s="3" t="e">
        <f t="shared" si="4"/>
        <v>#VALUE!</v>
      </c>
    </row>
    <row r="297" spans="1:19" x14ac:dyDescent="0.25">
      <c r="A297">
        <v>900091143</v>
      </c>
      <c r="B297" t="s">
        <v>3162</v>
      </c>
      <c r="C297" t="s">
        <v>2488</v>
      </c>
      <c r="E297" t="s">
        <v>2488</v>
      </c>
      <c r="H297" t="s">
        <v>22</v>
      </c>
      <c r="I297">
        <v>27309586</v>
      </c>
      <c r="J297" t="s">
        <v>2489</v>
      </c>
      <c r="P297" t="s">
        <v>2291</v>
      </c>
      <c r="Q297" s="8">
        <v>7500000</v>
      </c>
      <c r="R297" s="8" t="e">
        <f>SUMIFS([1]REPORTADOS!$D$2:$D$3345,[1]REPORTADOS!$C$2:$C$3345,E297)</f>
        <v>#VALUE!</v>
      </c>
      <c r="S297" s="3" t="e">
        <f t="shared" si="4"/>
        <v>#VALUE!</v>
      </c>
    </row>
    <row r="298" spans="1:19" x14ac:dyDescent="0.25">
      <c r="A298">
        <v>900091143</v>
      </c>
      <c r="B298" t="s">
        <v>3163</v>
      </c>
      <c r="C298" t="s">
        <v>2559</v>
      </c>
      <c r="E298" t="s">
        <v>2559</v>
      </c>
      <c r="H298" t="s">
        <v>22</v>
      </c>
      <c r="I298">
        <v>13072447</v>
      </c>
      <c r="J298" t="s">
        <v>2560</v>
      </c>
      <c r="P298" t="s">
        <v>2561</v>
      </c>
      <c r="Q298" s="8">
        <v>7500000</v>
      </c>
      <c r="R298" s="8" t="e">
        <f>SUMIFS([1]REPORTADOS!$D$2:$D$3345,[1]REPORTADOS!$C$2:$C$3345,E298)</f>
        <v>#VALUE!</v>
      </c>
      <c r="S298" s="3" t="e">
        <f t="shared" si="4"/>
        <v>#VALUE!</v>
      </c>
    </row>
    <row r="299" spans="1:19" x14ac:dyDescent="0.25">
      <c r="A299">
        <v>900091143</v>
      </c>
      <c r="B299" t="s">
        <v>3164</v>
      </c>
      <c r="C299" t="s">
        <v>2562</v>
      </c>
      <c r="E299" t="s">
        <v>2562</v>
      </c>
      <c r="H299" t="s">
        <v>22</v>
      </c>
      <c r="I299">
        <v>59311646</v>
      </c>
      <c r="J299" t="s">
        <v>2563</v>
      </c>
      <c r="P299" t="s">
        <v>2291</v>
      </c>
      <c r="Q299" s="8">
        <v>7500000</v>
      </c>
      <c r="R299" s="8" t="e">
        <f>SUMIFS([1]REPORTADOS!$D$2:$D$3345,[1]REPORTADOS!$C$2:$C$3345,E299)</f>
        <v>#VALUE!</v>
      </c>
      <c r="S299" s="3" t="e">
        <f t="shared" si="4"/>
        <v>#VALUE!</v>
      </c>
    </row>
    <row r="300" spans="1:19" x14ac:dyDescent="0.25">
      <c r="A300">
        <v>900091143</v>
      </c>
      <c r="B300" t="s">
        <v>3165</v>
      </c>
      <c r="C300" t="s">
        <v>2541</v>
      </c>
      <c r="E300" t="s">
        <v>2541</v>
      </c>
      <c r="H300" t="s">
        <v>22</v>
      </c>
      <c r="I300">
        <v>1085289798</v>
      </c>
      <c r="J300" t="s">
        <v>2542</v>
      </c>
      <c r="P300" t="s">
        <v>2291</v>
      </c>
      <c r="Q300" s="8">
        <v>7500000</v>
      </c>
      <c r="R300" s="8" t="e">
        <f>SUMIFS([1]REPORTADOS!$D$2:$D$3345,[1]REPORTADOS!$C$2:$C$3345,E300)</f>
        <v>#VALUE!</v>
      </c>
      <c r="S300" s="3" t="e">
        <f t="shared" si="4"/>
        <v>#VALUE!</v>
      </c>
    </row>
    <row r="301" spans="1:19" x14ac:dyDescent="0.25">
      <c r="A301">
        <v>900091143</v>
      </c>
      <c r="B301" t="s">
        <v>3166</v>
      </c>
      <c r="C301" t="s">
        <v>2547</v>
      </c>
      <c r="E301" t="s">
        <v>2547</v>
      </c>
      <c r="H301" t="s">
        <v>22</v>
      </c>
      <c r="I301">
        <v>30737741</v>
      </c>
      <c r="J301" t="s">
        <v>2548</v>
      </c>
      <c r="P301" t="s">
        <v>2291</v>
      </c>
      <c r="Q301" s="8">
        <v>7500000</v>
      </c>
      <c r="R301" s="8" t="e">
        <f>SUMIFS([1]REPORTADOS!$D$2:$D$3345,[1]REPORTADOS!$C$2:$C$3345,E301)</f>
        <v>#VALUE!</v>
      </c>
      <c r="S301" s="3" t="e">
        <f t="shared" si="4"/>
        <v>#VALUE!</v>
      </c>
    </row>
    <row r="302" spans="1:19" x14ac:dyDescent="0.25">
      <c r="A302">
        <v>900091143</v>
      </c>
      <c r="B302" t="s">
        <v>3167</v>
      </c>
      <c r="C302" t="s">
        <v>2552</v>
      </c>
      <c r="E302" t="s">
        <v>2552</v>
      </c>
      <c r="H302" t="s">
        <v>22</v>
      </c>
      <c r="I302">
        <v>27211504</v>
      </c>
      <c r="J302" t="s">
        <v>2553</v>
      </c>
      <c r="P302" t="s">
        <v>2528</v>
      </c>
      <c r="Q302" s="8">
        <v>7500000</v>
      </c>
      <c r="R302" s="8" t="e">
        <f>SUMIFS([1]REPORTADOS!$D$2:$D$3345,[1]REPORTADOS!$C$2:$C$3345,E302)</f>
        <v>#VALUE!</v>
      </c>
      <c r="S302" s="3" t="e">
        <f t="shared" si="4"/>
        <v>#VALUE!</v>
      </c>
    </row>
    <row r="303" spans="1:19" x14ac:dyDescent="0.25">
      <c r="A303">
        <v>900091143</v>
      </c>
      <c r="B303" t="s">
        <v>3168</v>
      </c>
      <c r="C303" t="s">
        <v>2526</v>
      </c>
      <c r="E303" t="s">
        <v>2526</v>
      </c>
      <c r="H303" t="s">
        <v>22</v>
      </c>
      <c r="I303">
        <v>1081595853</v>
      </c>
      <c r="J303" t="s">
        <v>2527</v>
      </c>
      <c r="P303" t="s">
        <v>2528</v>
      </c>
      <c r="Q303" s="8">
        <v>7500000</v>
      </c>
      <c r="R303" s="8" t="e">
        <f>SUMIFS([1]REPORTADOS!$D$2:$D$3345,[1]REPORTADOS!$C$2:$C$3345,E303)</f>
        <v>#VALUE!</v>
      </c>
      <c r="S303" s="3" t="e">
        <f t="shared" si="4"/>
        <v>#VALUE!</v>
      </c>
    </row>
    <row r="304" spans="1:19" x14ac:dyDescent="0.25">
      <c r="A304">
        <v>900091143</v>
      </c>
      <c r="B304" t="s">
        <v>3169</v>
      </c>
      <c r="C304" t="s">
        <v>2533</v>
      </c>
      <c r="E304" t="s">
        <v>2533</v>
      </c>
      <c r="H304" t="s">
        <v>22</v>
      </c>
      <c r="I304">
        <v>1081052090</v>
      </c>
      <c r="J304" t="s">
        <v>2534</v>
      </c>
      <c r="P304" t="s">
        <v>2291</v>
      </c>
      <c r="Q304" s="8">
        <v>7500000</v>
      </c>
      <c r="R304" s="8" t="e">
        <f>SUMIFS([1]REPORTADOS!$D$2:$D$3345,[1]REPORTADOS!$C$2:$C$3345,E304)</f>
        <v>#VALUE!</v>
      </c>
      <c r="S304" s="3" t="e">
        <f t="shared" si="4"/>
        <v>#VALUE!</v>
      </c>
    </row>
    <row r="305" spans="1:19" x14ac:dyDescent="0.25">
      <c r="A305">
        <v>900091143</v>
      </c>
      <c r="B305" t="s">
        <v>3170</v>
      </c>
      <c r="C305" t="s">
        <v>2577</v>
      </c>
      <c r="E305" t="s">
        <v>2577</v>
      </c>
      <c r="H305" t="s">
        <v>22</v>
      </c>
      <c r="I305">
        <v>1004535115</v>
      </c>
      <c r="J305" t="s">
        <v>2578</v>
      </c>
      <c r="P305" t="s">
        <v>2528</v>
      </c>
      <c r="Q305" s="8">
        <v>7500000</v>
      </c>
      <c r="R305" s="8" t="e">
        <f>SUMIFS([1]REPORTADOS!$D$2:$D$3345,[1]REPORTADOS!$C$2:$C$3345,E305)</f>
        <v>#VALUE!</v>
      </c>
      <c r="S305" s="3" t="e">
        <f t="shared" si="4"/>
        <v>#VALUE!</v>
      </c>
    </row>
    <row r="306" spans="1:19" x14ac:dyDescent="0.25">
      <c r="A306">
        <v>900091143</v>
      </c>
      <c r="B306" t="s">
        <v>3171</v>
      </c>
      <c r="C306" t="s">
        <v>2579</v>
      </c>
      <c r="E306" t="s">
        <v>2579</v>
      </c>
      <c r="H306" t="s">
        <v>22</v>
      </c>
      <c r="I306">
        <v>1085314075</v>
      </c>
      <c r="J306" t="s">
        <v>2580</v>
      </c>
      <c r="P306" t="s">
        <v>2581</v>
      </c>
      <c r="Q306" s="8">
        <v>7500000</v>
      </c>
      <c r="R306" s="8" t="e">
        <f>SUMIFS([1]REPORTADOS!$D$2:$D$3345,[1]REPORTADOS!$C$2:$C$3345,E306)</f>
        <v>#VALUE!</v>
      </c>
      <c r="S306" s="3" t="e">
        <f t="shared" si="4"/>
        <v>#VALUE!</v>
      </c>
    </row>
    <row r="307" spans="1:19" x14ac:dyDescent="0.25">
      <c r="A307">
        <v>900091143</v>
      </c>
      <c r="B307" t="s">
        <v>3172</v>
      </c>
      <c r="C307" t="s">
        <v>2584</v>
      </c>
      <c r="E307" t="s">
        <v>2584</v>
      </c>
      <c r="H307" t="s">
        <v>22</v>
      </c>
      <c r="I307">
        <v>1085338232</v>
      </c>
      <c r="J307" t="s">
        <v>2585</v>
      </c>
      <c r="P307" t="s">
        <v>2528</v>
      </c>
      <c r="Q307" s="8">
        <v>7500000</v>
      </c>
      <c r="R307" s="8" t="e">
        <f>SUMIFS([1]REPORTADOS!$D$2:$D$3345,[1]REPORTADOS!$C$2:$C$3345,E307)</f>
        <v>#VALUE!</v>
      </c>
      <c r="S307" s="3" t="e">
        <f t="shared" si="4"/>
        <v>#VALUE!</v>
      </c>
    </row>
    <row r="308" spans="1:19" x14ac:dyDescent="0.25">
      <c r="A308">
        <v>900091143</v>
      </c>
      <c r="B308" t="s">
        <v>3173</v>
      </c>
      <c r="C308" t="s">
        <v>2586</v>
      </c>
      <c r="E308" t="s">
        <v>2586</v>
      </c>
      <c r="H308" t="s">
        <v>22</v>
      </c>
      <c r="I308">
        <v>1085310465</v>
      </c>
      <c r="J308" t="s">
        <v>2587</v>
      </c>
      <c r="P308" t="s">
        <v>2528</v>
      </c>
      <c r="Q308" s="8">
        <v>7500000</v>
      </c>
      <c r="R308" s="8" t="e">
        <f>SUMIFS([1]REPORTADOS!$D$2:$D$3345,[1]REPORTADOS!$C$2:$C$3345,E308)</f>
        <v>#VALUE!</v>
      </c>
      <c r="S308" s="3" t="e">
        <f t="shared" si="4"/>
        <v>#VALUE!</v>
      </c>
    </row>
    <row r="309" spans="1:19" x14ac:dyDescent="0.25">
      <c r="A309">
        <v>900091143</v>
      </c>
      <c r="B309" t="s">
        <v>3174</v>
      </c>
      <c r="C309" t="s">
        <v>2564</v>
      </c>
      <c r="E309" t="s">
        <v>2564</v>
      </c>
      <c r="H309" t="s">
        <v>22</v>
      </c>
      <c r="I309">
        <v>27094521</v>
      </c>
      <c r="J309" t="s">
        <v>2565</v>
      </c>
      <c r="P309" t="s">
        <v>2528</v>
      </c>
      <c r="Q309" s="8">
        <v>7500000</v>
      </c>
      <c r="R309" s="8" t="e">
        <f>SUMIFS([1]REPORTADOS!$D$2:$D$3345,[1]REPORTADOS!$C$2:$C$3345,E309)</f>
        <v>#VALUE!</v>
      </c>
      <c r="S309" s="3" t="e">
        <f t="shared" si="4"/>
        <v>#VALUE!</v>
      </c>
    </row>
    <row r="310" spans="1:19" x14ac:dyDescent="0.25">
      <c r="A310">
        <v>900091143</v>
      </c>
      <c r="B310" t="s">
        <v>3175</v>
      </c>
      <c r="C310" t="s">
        <v>2596</v>
      </c>
      <c r="E310" t="s">
        <v>2596</v>
      </c>
      <c r="H310" t="s">
        <v>22</v>
      </c>
      <c r="I310">
        <v>1004216993</v>
      </c>
      <c r="J310" t="s">
        <v>2597</v>
      </c>
      <c r="P310" t="s">
        <v>2598</v>
      </c>
      <c r="Q310" s="8">
        <v>7500000</v>
      </c>
      <c r="R310" s="8" t="e">
        <f>SUMIFS([1]REPORTADOS!$D$2:$D$3345,[1]REPORTADOS!$C$2:$C$3345,E310)</f>
        <v>#VALUE!</v>
      </c>
      <c r="S310" s="3" t="e">
        <f t="shared" si="4"/>
        <v>#VALUE!</v>
      </c>
    </row>
    <row r="311" spans="1:19" x14ac:dyDescent="0.25">
      <c r="A311">
        <v>900091143</v>
      </c>
      <c r="B311" t="s">
        <v>3176</v>
      </c>
      <c r="C311" t="s">
        <v>2599</v>
      </c>
      <c r="E311" t="s">
        <v>2599</v>
      </c>
      <c r="H311" t="s">
        <v>22</v>
      </c>
      <c r="I311">
        <v>1004235479</v>
      </c>
      <c r="J311" t="s">
        <v>1923</v>
      </c>
      <c r="P311" t="s">
        <v>2204</v>
      </c>
      <c r="Q311" s="8">
        <v>7500000</v>
      </c>
      <c r="R311" s="8" t="e">
        <f>SUMIFS([1]REPORTADOS!$D$2:$D$3345,[1]REPORTADOS!$C$2:$C$3345,E311)</f>
        <v>#VALUE!</v>
      </c>
      <c r="S311" s="3" t="e">
        <f t="shared" si="4"/>
        <v>#VALUE!</v>
      </c>
    </row>
    <row r="312" spans="1:19" x14ac:dyDescent="0.25">
      <c r="A312">
        <v>900091143</v>
      </c>
      <c r="B312" t="s">
        <v>3177</v>
      </c>
      <c r="C312" t="s">
        <v>2620</v>
      </c>
      <c r="E312" t="s">
        <v>2620</v>
      </c>
      <c r="H312" t="s">
        <v>22</v>
      </c>
      <c r="I312">
        <v>1085346528</v>
      </c>
      <c r="J312" t="s">
        <v>2621</v>
      </c>
      <c r="P312" t="s">
        <v>2540</v>
      </c>
      <c r="Q312" s="8">
        <v>7500000</v>
      </c>
      <c r="R312" s="8" t="e">
        <f>SUMIFS([1]REPORTADOS!$D$2:$D$3345,[1]REPORTADOS!$C$2:$C$3345,E312)</f>
        <v>#VALUE!</v>
      </c>
      <c r="S312" s="3" t="e">
        <f t="shared" si="4"/>
        <v>#VALUE!</v>
      </c>
    </row>
    <row r="313" spans="1:19" x14ac:dyDescent="0.25">
      <c r="A313">
        <v>900091143</v>
      </c>
      <c r="B313" t="s">
        <v>3178</v>
      </c>
      <c r="C313" t="s">
        <v>2749</v>
      </c>
      <c r="E313" t="s">
        <v>2749</v>
      </c>
      <c r="H313" t="s">
        <v>22</v>
      </c>
      <c r="I313">
        <v>1085334685</v>
      </c>
      <c r="J313" t="s">
        <v>2750</v>
      </c>
      <c r="P313" t="s">
        <v>2253</v>
      </c>
      <c r="Q313" s="8">
        <v>7441100</v>
      </c>
      <c r="R313" s="8" t="e">
        <f>SUMIFS([1]REPORTADOS!$D$2:$D$3345,[1]REPORTADOS!$C$2:$C$3345,E313)</f>
        <v>#VALUE!</v>
      </c>
      <c r="S313" s="3" t="e">
        <f t="shared" si="4"/>
        <v>#VALUE!</v>
      </c>
    </row>
    <row r="314" spans="1:19" x14ac:dyDescent="0.25">
      <c r="A314">
        <v>900091143</v>
      </c>
      <c r="B314" t="s">
        <v>3179</v>
      </c>
      <c r="C314" t="s">
        <v>2755</v>
      </c>
      <c r="E314" t="s">
        <v>2755</v>
      </c>
      <c r="H314" t="s">
        <v>22</v>
      </c>
      <c r="I314">
        <v>59830379</v>
      </c>
      <c r="J314" t="s">
        <v>2756</v>
      </c>
      <c r="P314" t="s">
        <v>2097</v>
      </c>
      <c r="Q314" s="8">
        <v>7441100</v>
      </c>
      <c r="R314" s="8" t="e">
        <f>SUMIFS([1]REPORTADOS!$D$2:$D$3345,[1]REPORTADOS!$C$2:$C$3345,E314)</f>
        <v>#VALUE!</v>
      </c>
      <c r="S314" s="3" t="e">
        <f t="shared" si="4"/>
        <v>#VALUE!</v>
      </c>
    </row>
    <row r="315" spans="1:19" x14ac:dyDescent="0.25">
      <c r="A315">
        <v>900091143</v>
      </c>
      <c r="B315" t="s">
        <v>3180</v>
      </c>
      <c r="C315" t="s">
        <v>2825</v>
      </c>
      <c r="E315" t="s">
        <v>2825</v>
      </c>
      <c r="H315" t="s">
        <v>22</v>
      </c>
      <c r="I315">
        <v>1014212900</v>
      </c>
      <c r="J315" t="s">
        <v>2826</v>
      </c>
      <c r="P315" t="s">
        <v>2827</v>
      </c>
      <c r="Q315" s="8">
        <v>7400000</v>
      </c>
      <c r="R315" s="8" t="e">
        <f>SUMIFS([1]REPORTADOS!$D$2:$D$3345,[1]REPORTADOS!$C$2:$C$3345,E315)</f>
        <v>#VALUE!</v>
      </c>
      <c r="S315" s="3" t="e">
        <f t="shared" si="4"/>
        <v>#VALUE!</v>
      </c>
    </row>
    <row r="316" spans="1:19" x14ac:dyDescent="0.25">
      <c r="A316">
        <v>900091143</v>
      </c>
      <c r="B316" t="s">
        <v>3181</v>
      </c>
      <c r="C316" t="s">
        <v>2772</v>
      </c>
      <c r="E316" t="s">
        <v>2772</v>
      </c>
      <c r="H316" t="s">
        <v>22</v>
      </c>
      <c r="I316">
        <v>1084228089</v>
      </c>
      <c r="J316" t="s">
        <v>2773</v>
      </c>
      <c r="P316" t="s">
        <v>2108</v>
      </c>
      <c r="Q316" s="8">
        <v>7200000</v>
      </c>
      <c r="R316" s="8" t="e">
        <f>SUMIFS([1]REPORTADOS!$D$2:$D$3345,[1]REPORTADOS!$C$2:$C$3345,E316)</f>
        <v>#VALUE!</v>
      </c>
      <c r="S316" s="3" t="e">
        <f t="shared" si="4"/>
        <v>#VALUE!</v>
      </c>
    </row>
    <row r="317" spans="1:19" x14ac:dyDescent="0.25">
      <c r="A317">
        <v>900091143</v>
      </c>
      <c r="B317" t="s">
        <v>3182</v>
      </c>
      <c r="C317" t="s">
        <v>2645</v>
      </c>
      <c r="E317" t="s">
        <v>2645</v>
      </c>
      <c r="H317" t="s">
        <v>22</v>
      </c>
      <c r="I317">
        <v>59833899</v>
      </c>
      <c r="J317" t="s">
        <v>2035</v>
      </c>
      <c r="P317" t="s">
        <v>2540</v>
      </c>
      <c r="Q317" s="8">
        <v>7100000</v>
      </c>
      <c r="R317" s="8" t="e">
        <f>SUMIFS([1]REPORTADOS!$D$2:$D$3345,[1]REPORTADOS!$C$2:$C$3345,E317)</f>
        <v>#VALUE!</v>
      </c>
      <c r="S317" s="3" t="e">
        <f t="shared" si="4"/>
        <v>#VALUE!</v>
      </c>
    </row>
    <row r="318" spans="1:19" x14ac:dyDescent="0.25">
      <c r="A318">
        <v>900091143</v>
      </c>
      <c r="B318" t="s">
        <v>3183</v>
      </c>
      <c r="C318" t="s">
        <v>2654</v>
      </c>
      <c r="E318" t="s">
        <v>2654</v>
      </c>
      <c r="H318" t="s">
        <v>22</v>
      </c>
      <c r="I318">
        <v>1193035720</v>
      </c>
      <c r="J318" t="s">
        <v>2655</v>
      </c>
      <c r="P318" t="s">
        <v>2540</v>
      </c>
      <c r="Q318" s="8">
        <v>7100000</v>
      </c>
      <c r="R318" s="8" t="e">
        <f>SUMIFS([1]REPORTADOS!$D$2:$D$3345,[1]REPORTADOS!$C$2:$C$3345,E318)</f>
        <v>#VALUE!</v>
      </c>
      <c r="S318" s="3" t="e">
        <f t="shared" si="4"/>
        <v>#VALUE!</v>
      </c>
    </row>
    <row r="319" spans="1:19" x14ac:dyDescent="0.25">
      <c r="A319">
        <v>900091143</v>
      </c>
      <c r="B319" t="s">
        <v>3184</v>
      </c>
      <c r="C319" t="s">
        <v>2739</v>
      </c>
      <c r="E319" t="s">
        <v>2739</v>
      </c>
      <c r="H319" t="s">
        <v>22</v>
      </c>
      <c r="I319">
        <v>52048780</v>
      </c>
      <c r="J319" t="s">
        <v>2740</v>
      </c>
      <c r="P319" t="s">
        <v>2119</v>
      </c>
      <c r="Q319" s="8">
        <v>6915400</v>
      </c>
      <c r="R319" s="8" t="e">
        <f>SUMIFS([1]REPORTADOS!$D$2:$D$3345,[1]REPORTADOS!$C$2:$C$3345,E319)</f>
        <v>#VALUE!</v>
      </c>
      <c r="S319" s="3" t="e">
        <f t="shared" si="4"/>
        <v>#VALUE!</v>
      </c>
    </row>
    <row r="320" spans="1:19" x14ac:dyDescent="0.25">
      <c r="A320">
        <v>900091143</v>
      </c>
      <c r="B320" t="s">
        <v>3185</v>
      </c>
      <c r="C320" t="s">
        <v>2743</v>
      </c>
      <c r="E320" t="s">
        <v>2743</v>
      </c>
      <c r="H320" t="s">
        <v>22</v>
      </c>
      <c r="I320">
        <v>1085322873</v>
      </c>
      <c r="J320" t="s">
        <v>2744</v>
      </c>
      <c r="P320" t="s">
        <v>2745</v>
      </c>
      <c r="Q320" s="8">
        <v>6915400</v>
      </c>
      <c r="R320" s="8" t="e">
        <f>SUMIFS([1]REPORTADOS!$D$2:$D$3345,[1]REPORTADOS!$C$2:$C$3345,E320)</f>
        <v>#VALUE!</v>
      </c>
      <c r="S320" s="3" t="e">
        <f t="shared" si="4"/>
        <v>#VALUE!</v>
      </c>
    </row>
    <row r="321" spans="1:19" x14ac:dyDescent="0.25">
      <c r="A321">
        <v>900091143</v>
      </c>
      <c r="B321" t="s">
        <v>3186</v>
      </c>
      <c r="C321" t="s">
        <v>2648</v>
      </c>
      <c r="E321" t="s">
        <v>2648</v>
      </c>
      <c r="H321" t="s">
        <v>22</v>
      </c>
      <c r="I321">
        <v>1089846829</v>
      </c>
      <c r="J321" t="s">
        <v>2649</v>
      </c>
      <c r="P321" t="s">
        <v>2650</v>
      </c>
      <c r="Q321" s="8">
        <v>6800000</v>
      </c>
      <c r="R321" s="8" t="e">
        <f>SUMIFS([1]REPORTADOS!$D$2:$D$3345,[1]REPORTADOS!$C$2:$C$3345,E321)</f>
        <v>#VALUE!</v>
      </c>
      <c r="S321" s="3" t="e">
        <f t="shared" si="4"/>
        <v>#VALUE!</v>
      </c>
    </row>
    <row r="322" spans="1:19" x14ac:dyDescent="0.25">
      <c r="A322">
        <v>900091143</v>
      </c>
      <c r="B322" t="s">
        <v>3187</v>
      </c>
      <c r="C322" t="s">
        <v>2651</v>
      </c>
      <c r="E322" t="s">
        <v>2651</v>
      </c>
      <c r="H322" t="s">
        <v>22</v>
      </c>
      <c r="I322">
        <v>1085317833</v>
      </c>
      <c r="J322" t="s">
        <v>1791</v>
      </c>
      <c r="P322" t="s">
        <v>2204</v>
      </c>
      <c r="Q322" s="8">
        <v>6800000</v>
      </c>
      <c r="R322" s="8" t="e">
        <f>SUMIFS([1]REPORTADOS!$D$2:$D$3345,[1]REPORTADOS!$C$2:$C$3345,E322)</f>
        <v>#VALUE!</v>
      </c>
      <c r="S322" s="3" t="e">
        <f t="shared" si="4"/>
        <v>#VALUE!</v>
      </c>
    </row>
    <row r="323" spans="1:19" x14ac:dyDescent="0.25">
      <c r="A323">
        <v>900091143</v>
      </c>
      <c r="B323" t="s">
        <v>3188</v>
      </c>
      <c r="C323" t="s">
        <v>2652</v>
      </c>
      <c r="E323" t="s">
        <v>2652</v>
      </c>
      <c r="H323" t="s">
        <v>22</v>
      </c>
      <c r="I323">
        <v>1081272318</v>
      </c>
      <c r="J323" t="s">
        <v>2653</v>
      </c>
      <c r="P323" t="s">
        <v>2540</v>
      </c>
      <c r="Q323" s="8">
        <v>6800000</v>
      </c>
      <c r="R323" s="8" t="e">
        <f>SUMIFS([1]REPORTADOS!$D$2:$D$3345,[1]REPORTADOS!$C$2:$C$3345,E323)</f>
        <v>#VALUE!</v>
      </c>
      <c r="S323" s="3" t="e">
        <f t="shared" ref="S323:S386" si="5">Q323-R323</f>
        <v>#VALUE!</v>
      </c>
    </row>
    <row r="324" spans="1:19" x14ac:dyDescent="0.25">
      <c r="A324">
        <v>900091143</v>
      </c>
      <c r="B324" t="s">
        <v>3189</v>
      </c>
      <c r="C324" t="s">
        <v>2640</v>
      </c>
      <c r="E324" t="s">
        <v>2640</v>
      </c>
      <c r="H324" t="s">
        <v>22</v>
      </c>
      <c r="I324">
        <v>27088197</v>
      </c>
      <c r="J324" t="s">
        <v>1921</v>
      </c>
      <c r="P324" t="s">
        <v>2233</v>
      </c>
      <c r="Q324" s="8">
        <v>6800000</v>
      </c>
      <c r="R324" s="8" t="e">
        <f>SUMIFS([1]REPORTADOS!$D$2:$D$3345,[1]REPORTADOS!$C$2:$C$3345,E324)</f>
        <v>#VALUE!</v>
      </c>
      <c r="S324" s="3" t="e">
        <f t="shared" si="5"/>
        <v>#VALUE!</v>
      </c>
    </row>
    <row r="325" spans="1:19" x14ac:dyDescent="0.25">
      <c r="A325">
        <v>900091143</v>
      </c>
      <c r="B325" t="s">
        <v>3190</v>
      </c>
      <c r="C325" t="s">
        <v>2643</v>
      </c>
      <c r="E325" t="s">
        <v>2643</v>
      </c>
      <c r="H325" t="s">
        <v>22</v>
      </c>
      <c r="I325">
        <v>1085315209</v>
      </c>
      <c r="J325" t="s">
        <v>2644</v>
      </c>
      <c r="P325" t="s">
        <v>2233</v>
      </c>
      <c r="Q325" s="8">
        <v>6800000</v>
      </c>
      <c r="R325" s="8" t="e">
        <f>SUMIFS([1]REPORTADOS!$D$2:$D$3345,[1]REPORTADOS!$C$2:$C$3345,E325)</f>
        <v>#VALUE!</v>
      </c>
      <c r="S325" s="3" t="e">
        <f t="shared" si="5"/>
        <v>#VALUE!</v>
      </c>
    </row>
    <row r="326" spans="1:19" x14ac:dyDescent="0.25">
      <c r="A326">
        <v>900091143</v>
      </c>
      <c r="B326" t="s">
        <v>3191</v>
      </c>
      <c r="C326" t="s">
        <v>2603</v>
      </c>
      <c r="E326" t="s">
        <v>2603</v>
      </c>
      <c r="H326" t="s">
        <v>22</v>
      </c>
      <c r="I326">
        <v>1085281545</v>
      </c>
      <c r="J326" t="s">
        <v>2604</v>
      </c>
      <c r="P326" t="s">
        <v>2291</v>
      </c>
      <c r="Q326" s="8">
        <v>6250000</v>
      </c>
      <c r="R326" s="8" t="e">
        <f>SUMIFS([1]REPORTADOS!$D$2:$D$3345,[1]REPORTADOS!$C$2:$C$3345,E326)</f>
        <v>#VALUE!</v>
      </c>
      <c r="S326" s="3" t="e">
        <f t="shared" si="5"/>
        <v>#VALUE!</v>
      </c>
    </row>
    <row r="327" spans="1:19" x14ac:dyDescent="0.25">
      <c r="A327">
        <v>900091143</v>
      </c>
      <c r="B327" t="s">
        <v>3192</v>
      </c>
      <c r="C327" t="s">
        <v>2612</v>
      </c>
      <c r="E327" t="s">
        <v>2612</v>
      </c>
      <c r="H327" t="s">
        <v>22</v>
      </c>
      <c r="I327">
        <v>12994466</v>
      </c>
      <c r="J327" t="s">
        <v>2613</v>
      </c>
      <c r="P327" t="s">
        <v>2291</v>
      </c>
      <c r="Q327" s="8">
        <v>6250000</v>
      </c>
      <c r="R327" s="8" t="e">
        <f>SUMIFS([1]REPORTADOS!$D$2:$D$3345,[1]REPORTADOS!$C$2:$C$3345,E327)</f>
        <v>#VALUE!</v>
      </c>
      <c r="S327" s="3" t="e">
        <f t="shared" si="5"/>
        <v>#VALUE!</v>
      </c>
    </row>
    <row r="328" spans="1:19" x14ac:dyDescent="0.25">
      <c r="A328">
        <v>900091143</v>
      </c>
      <c r="B328" t="s">
        <v>3193</v>
      </c>
      <c r="C328" t="s">
        <v>2632</v>
      </c>
      <c r="E328" t="s">
        <v>2632</v>
      </c>
      <c r="H328" t="s">
        <v>22</v>
      </c>
      <c r="I328">
        <v>1085335069</v>
      </c>
      <c r="J328" t="s">
        <v>2633</v>
      </c>
      <c r="P328" t="s">
        <v>2634</v>
      </c>
      <c r="Q328" s="8">
        <v>6250000</v>
      </c>
      <c r="R328" s="8" t="e">
        <f>SUMIFS([1]REPORTADOS!$D$2:$D$3345,[1]REPORTADOS!$C$2:$C$3345,E328)</f>
        <v>#VALUE!</v>
      </c>
      <c r="S328" s="3" t="e">
        <f t="shared" si="5"/>
        <v>#VALUE!</v>
      </c>
    </row>
    <row r="329" spans="1:19" x14ac:dyDescent="0.25">
      <c r="A329">
        <v>900091143</v>
      </c>
      <c r="B329" t="s">
        <v>3194</v>
      </c>
      <c r="C329" t="s">
        <v>2635</v>
      </c>
      <c r="E329" t="s">
        <v>2635</v>
      </c>
      <c r="H329" t="s">
        <v>22</v>
      </c>
      <c r="I329">
        <v>37082480</v>
      </c>
      <c r="J329" t="s">
        <v>2636</v>
      </c>
      <c r="P329" t="s">
        <v>2634</v>
      </c>
      <c r="Q329" s="8">
        <v>6250000</v>
      </c>
      <c r="R329" s="8" t="e">
        <f>SUMIFS([1]REPORTADOS!$D$2:$D$3345,[1]REPORTADOS!$C$2:$C$3345,E329)</f>
        <v>#VALUE!</v>
      </c>
      <c r="S329" s="3" t="e">
        <f t="shared" si="5"/>
        <v>#VALUE!</v>
      </c>
    </row>
    <row r="330" spans="1:19" x14ac:dyDescent="0.25">
      <c r="A330">
        <v>900091143</v>
      </c>
      <c r="B330" t="s">
        <v>3195</v>
      </c>
      <c r="C330" t="s">
        <v>2700</v>
      </c>
      <c r="E330" t="s">
        <v>2700</v>
      </c>
      <c r="H330" t="s">
        <v>22</v>
      </c>
      <c r="I330">
        <v>1085265947</v>
      </c>
      <c r="J330" t="s">
        <v>2701</v>
      </c>
      <c r="P330" t="s">
        <v>2233</v>
      </c>
      <c r="Q330" s="8">
        <v>6000000</v>
      </c>
      <c r="R330" s="8" t="e">
        <f>SUMIFS([1]REPORTADOS!$D$2:$D$3345,[1]REPORTADOS!$C$2:$C$3345,E330)</f>
        <v>#VALUE!</v>
      </c>
      <c r="S330" s="3" t="e">
        <f t="shared" si="5"/>
        <v>#VALUE!</v>
      </c>
    </row>
    <row r="331" spans="1:19" x14ac:dyDescent="0.25">
      <c r="A331">
        <v>900091143</v>
      </c>
      <c r="B331" t="s">
        <v>3196</v>
      </c>
      <c r="C331" t="s">
        <v>2723</v>
      </c>
      <c r="E331" t="s">
        <v>2723</v>
      </c>
      <c r="H331" t="s">
        <v>22</v>
      </c>
      <c r="I331">
        <v>27388522</v>
      </c>
      <c r="J331" t="s">
        <v>2724</v>
      </c>
      <c r="P331" t="s">
        <v>2233</v>
      </c>
      <c r="Q331" s="8">
        <v>6000000</v>
      </c>
      <c r="R331" s="8" t="e">
        <f>SUMIFS([1]REPORTADOS!$D$2:$D$3345,[1]REPORTADOS!$C$2:$C$3345,E331)</f>
        <v>#VALUE!</v>
      </c>
      <c r="S331" s="3" t="e">
        <f t="shared" si="5"/>
        <v>#VALUE!</v>
      </c>
    </row>
    <row r="332" spans="1:19" x14ac:dyDescent="0.25">
      <c r="A332">
        <v>900091143</v>
      </c>
      <c r="B332" t="s">
        <v>3197</v>
      </c>
      <c r="C332" t="s">
        <v>2725</v>
      </c>
      <c r="E332" t="s">
        <v>2725</v>
      </c>
      <c r="H332" t="s">
        <v>22</v>
      </c>
      <c r="I332">
        <v>1085255829</v>
      </c>
      <c r="J332" t="s">
        <v>1678</v>
      </c>
      <c r="P332" t="s">
        <v>2233</v>
      </c>
      <c r="Q332" s="8">
        <v>6000000</v>
      </c>
      <c r="R332" s="8" t="e">
        <f>SUMIFS([1]REPORTADOS!$D$2:$D$3345,[1]REPORTADOS!$C$2:$C$3345,E332)</f>
        <v>#VALUE!</v>
      </c>
      <c r="S332" s="3" t="e">
        <f t="shared" si="5"/>
        <v>#VALUE!</v>
      </c>
    </row>
    <row r="333" spans="1:19" x14ac:dyDescent="0.25">
      <c r="A333">
        <v>900091143</v>
      </c>
      <c r="B333" t="s">
        <v>3198</v>
      </c>
      <c r="C333" t="s">
        <v>2786</v>
      </c>
      <c r="E333" t="s">
        <v>2786</v>
      </c>
      <c r="H333" t="s">
        <v>22</v>
      </c>
      <c r="I333">
        <v>1085277976</v>
      </c>
      <c r="J333" t="s">
        <v>2787</v>
      </c>
      <c r="P333" t="s">
        <v>2788</v>
      </c>
      <c r="Q333" s="8">
        <v>6000000</v>
      </c>
      <c r="R333" s="8" t="e">
        <f>SUMIFS([1]REPORTADOS!$D$2:$D$3345,[1]REPORTADOS!$C$2:$C$3345,E333)</f>
        <v>#VALUE!</v>
      </c>
      <c r="S333" s="3" t="e">
        <f t="shared" si="5"/>
        <v>#VALUE!</v>
      </c>
    </row>
    <row r="334" spans="1:19" x14ac:dyDescent="0.25">
      <c r="A334">
        <v>900091143</v>
      </c>
      <c r="B334" t="s">
        <v>3199</v>
      </c>
      <c r="C334" t="s">
        <v>2789</v>
      </c>
      <c r="E334" t="s">
        <v>2789</v>
      </c>
      <c r="H334" t="s">
        <v>22</v>
      </c>
      <c r="I334">
        <v>1007254154</v>
      </c>
      <c r="J334" t="s">
        <v>2790</v>
      </c>
      <c r="P334" t="s">
        <v>2108</v>
      </c>
      <c r="Q334" s="8">
        <v>6000000</v>
      </c>
      <c r="R334" s="8" t="e">
        <f>SUMIFS([1]REPORTADOS!$D$2:$D$3345,[1]REPORTADOS!$C$2:$C$3345,E334)</f>
        <v>#VALUE!</v>
      </c>
      <c r="S334" s="3" t="e">
        <f t="shared" si="5"/>
        <v>#VALUE!</v>
      </c>
    </row>
    <row r="335" spans="1:19" x14ac:dyDescent="0.25">
      <c r="A335">
        <v>900091143</v>
      </c>
      <c r="B335" t="s">
        <v>3200</v>
      </c>
      <c r="C335" t="s">
        <v>2791</v>
      </c>
      <c r="E335" t="s">
        <v>2791</v>
      </c>
      <c r="H335" t="s">
        <v>22</v>
      </c>
      <c r="I335">
        <v>27321605</v>
      </c>
      <c r="J335" t="s">
        <v>2792</v>
      </c>
      <c r="P335" t="s">
        <v>2108</v>
      </c>
      <c r="Q335" s="8">
        <v>6000000</v>
      </c>
      <c r="R335" s="8" t="e">
        <f>SUMIFS([1]REPORTADOS!$D$2:$D$3345,[1]REPORTADOS!$C$2:$C$3345,E335)</f>
        <v>#VALUE!</v>
      </c>
      <c r="S335" s="3" t="e">
        <f t="shared" si="5"/>
        <v>#VALUE!</v>
      </c>
    </row>
    <row r="336" spans="1:19" x14ac:dyDescent="0.25">
      <c r="A336">
        <v>900091143</v>
      </c>
      <c r="B336" t="s">
        <v>3201</v>
      </c>
      <c r="C336" t="s">
        <v>2851</v>
      </c>
      <c r="E336" t="s">
        <v>2851</v>
      </c>
      <c r="H336" t="s">
        <v>22</v>
      </c>
      <c r="I336">
        <v>1085286725</v>
      </c>
      <c r="J336" t="s">
        <v>1786</v>
      </c>
      <c r="P336" t="s">
        <v>1634</v>
      </c>
      <c r="Q336" s="8">
        <v>6000000</v>
      </c>
      <c r="R336" s="8" t="e">
        <f>SUMIFS([1]REPORTADOS!$D$2:$D$3345,[1]REPORTADOS!$C$2:$C$3345,E336)</f>
        <v>#VALUE!</v>
      </c>
      <c r="S336" s="3" t="e">
        <f t="shared" si="5"/>
        <v>#VALUE!</v>
      </c>
    </row>
    <row r="337" spans="1:19" x14ac:dyDescent="0.25">
      <c r="A337">
        <v>900091143</v>
      </c>
      <c r="B337" t="s">
        <v>3202</v>
      </c>
      <c r="C337" t="s">
        <v>2852</v>
      </c>
      <c r="E337" t="s">
        <v>2852</v>
      </c>
      <c r="H337" t="s">
        <v>22</v>
      </c>
      <c r="I337">
        <v>1085292185</v>
      </c>
      <c r="J337" t="s">
        <v>2093</v>
      </c>
      <c r="P337" t="s">
        <v>2853</v>
      </c>
      <c r="Q337" s="8">
        <v>6000000</v>
      </c>
      <c r="R337" s="8" t="e">
        <f>SUMIFS([1]REPORTADOS!$D$2:$D$3345,[1]REPORTADOS!$C$2:$C$3345,E337)</f>
        <v>#VALUE!</v>
      </c>
      <c r="S337" s="3" t="e">
        <f t="shared" si="5"/>
        <v>#VALUE!</v>
      </c>
    </row>
    <row r="338" spans="1:19" x14ac:dyDescent="0.25">
      <c r="A338">
        <v>900091143</v>
      </c>
      <c r="B338" t="s">
        <v>3203</v>
      </c>
      <c r="C338" t="s">
        <v>2828</v>
      </c>
      <c r="E338" t="s">
        <v>2828</v>
      </c>
      <c r="H338" t="s">
        <v>22</v>
      </c>
      <c r="I338">
        <v>1085245375</v>
      </c>
      <c r="J338" t="s">
        <v>2829</v>
      </c>
      <c r="P338" t="s">
        <v>2830</v>
      </c>
      <c r="Q338" s="8">
        <v>6000000</v>
      </c>
      <c r="R338" s="8" t="e">
        <f>SUMIFS([1]REPORTADOS!$D$2:$D$3345,[1]REPORTADOS!$C$2:$C$3345,E338)</f>
        <v>#VALUE!</v>
      </c>
      <c r="S338" s="3" t="e">
        <f t="shared" si="5"/>
        <v>#VALUE!</v>
      </c>
    </row>
    <row r="339" spans="1:19" x14ac:dyDescent="0.25">
      <c r="A339">
        <v>900091143</v>
      </c>
      <c r="B339" t="s">
        <v>3204</v>
      </c>
      <c r="C339" t="s">
        <v>2832</v>
      </c>
      <c r="E339" t="s">
        <v>2832</v>
      </c>
      <c r="H339" t="s">
        <v>22</v>
      </c>
      <c r="I339">
        <v>1233193716</v>
      </c>
      <c r="J339" t="s">
        <v>2833</v>
      </c>
      <c r="P339" t="s">
        <v>2834</v>
      </c>
      <c r="Q339" s="8">
        <v>6000000</v>
      </c>
      <c r="R339" s="8" t="e">
        <f>SUMIFS([1]REPORTADOS!$D$2:$D$3345,[1]REPORTADOS!$C$2:$C$3345,E339)</f>
        <v>#VALUE!</v>
      </c>
      <c r="S339" s="3" t="e">
        <f t="shared" si="5"/>
        <v>#VALUE!</v>
      </c>
    </row>
    <row r="340" spans="1:19" x14ac:dyDescent="0.25">
      <c r="A340">
        <v>900091143</v>
      </c>
      <c r="B340" t="s">
        <v>3205</v>
      </c>
      <c r="C340" t="s">
        <v>2835</v>
      </c>
      <c r="E340" t="s">
        <v>2835</v>
      </c>
      <c r="H340" t="s">
        <v>22</v>
      </c>
      <c r="I340">
        <v>1085253062</v>
      </c>
      <c r="J340" t="s">
        <v>2836</v>
      </c>
      <c r="P340" t="s">
        <v>2837</v>
      </c>
      <c r="Q340" s="8">
        <v>6000000</v>
      </c>
      <c r="R340" s="8" t="e">
        <f>SUMIFS([1]REPORTADOS!$D$2:$D$3345,[1]REPORTADOS!$C$2:$C$3345,E340)</f>
        <v>#VALUE!</v>
      </c>
      <c r="S340" s="3" t="e">
        <f t="shared" si="5"/>
        <v>#VALUE!</v>
      </c>
    </row>
    <row r="341" spans="1:19" x14ac:dyDescent="0.25">
      <c r="A341">
        <v>900091143</v>
      </c>
      <c r="B341" t="s">
        <v>3206</v>
      </c>
      <c r="C341" t="s">
        <v>2842</v>
      </c>
      <c r="E341" t="s">
        <v>2842</v>
      </c>
      <c r="H341" t="s">
        <v>22</v>
      </c>
      <c r="I341">
        <v>36954410</v>
      </c>
      <c r="J341" t="s">
        <v>2001</v>
      </c>
      <c r="P341" t="s">
        <v>2843</v>
      </c>
      <c r="Q341" s="8">
        <v>6000000</v>
      </c>
      <c r="R341" s="8" t="e">
        <f>SUMIFS([1]REPORTADOS!$D$2:$D$3345,[1]REPORTADOS!$C$2:$C$3345,E341)</f>
        <v>#VALUE!</v>
      </c>
      <c r="S341" s="3" t="e">
        <f t="shared" si="5"/>
        <v>#VALUE!</v>
      </c>
    </row>
    <row r="342" spans="1:19" x14ac:dyDescent="0.25">
      <c r="A342">
        <v>900091143</v>
      </c>
      <c r="B342" t="s">
        <v>3207</v>
      </c>
      <c r="C342" t="s">
        <v>2753</v>
      </c>
      <c r="E342" t="s">
        <v>2753</v>
      </c>
      <c r="H342" t="s">
        <v>22</v>
      </c>
      <c r="I342">
        <v>1085266036</v>
      </c>
      <c r="J342" t="s">
        <v>2754</v>
      </c>
      <c r="P342" t="s">
        <v>2556</v>
      </c>
      <c r="Q342" s="8">
        <v>6000000</v>
      </c>
      <c r="R342" s="8" t="e">
        <f>SUMIFS([1]REPORTADOS!$D$2:$D$3345,[1]REPORTADOS!$C$2:$C$3345,E342)</f>
        <v>#VALUE!</v>
      </c>
      <c r="S342" s="3" t="e">
        <f t="shared" si="5"/>
        <v>#VALUE!</v>
      </c>
    </row>
    <row r="343" spans="1:19" x14ac:dyDescent="0.25">
      <c r="A343">
        <v>900091143</v>
      </c>
      <c r="B343" t="s">
        <v>3208</v>
      </c>
      <c r="C343" t="s">
        <v>2658</v>
      </c>
      <c r="E343" t="s">
        <v>2658</v>
      </c>
      <c r="H343" t="s">
        <v>22</v>
      </c>
      <c r="I343">
        <v>1081272656</v>
      </c>
      <c r="J343" t="s">
        <v>2659</v>
      </c>
      <c r="P343" t="s">
        <v>2660</v>
      </c>
      <c r="Q343" s="8">
        <v>6000000</v>
      </c>
      <c r="R343" s="8" t="e">
        <f>SUMIFS([1]REPORTADOS!$D$2:$D$3345,[1]REPORTADOS!$C$2:$C$3345,E343)</f>
        <v>#VALUE!</v>
      </c>
      <c r="S343" s="3" t="e">
        <f t="shared" si="5"/>
        <v>#VALUE!</v>
      </c>
    </row>
    <row r="344" spans="1:19" x14ac:dyDescent="0.25">
      <c r="A344">
        <v>900091143</v>
      </c>
      <c r="B344" t="s">
        <v>3209</v>
      </c>
      <c r="C344" t="s">
        <v>2673</v>
      </c>
      <c r="E344" t="s">
        <v>2673</v>
      </c>
      <c r="H344" t="s">
        <v>22</v>
      </c>
      <c r="I344">
        <v>1086222977</v>
      </c>
      <c r="J344" t="s">
        <v>2015</v>
      </c>
      <c r="P344" t="s">
        <v>2233</v>
      </c>
      <c r="Q344" s="8">
        <v>6000000</v>
      </c>
      <c r="R344" s="8" t="e">
        <f>SUMIFS([1]REPORTADOS!$D$2:$D$3345,[1]REPORTADOS!$C$2:$C$3345,E344)</f>
        <v>#VALUE!</v>
      </c>
      <c r="S344" s="3" t="e">
        <f t="shared" si="5"/>
        <v>#VALUE!</v>
      </c>
    </row>
    <row r="345" spans="1:19" x14ac:dyDescent="0.25">
      <c r="A345">
        <v>900091143</v>
      </c>
      <c r="B345" t="s">
        <v>3210</v>
      </c>
      <c r="C345" t="s">
        <v>2688</v>
      </c>
      <c r="E345" t="s">
        <v>2688</v>
      </c>
      <c r="H345" t="s">
        <v>22</v>
      </c>
      <c r="I345">
        <v>37083324</v>
      </c>
      <c r="J345" t="s">
        <v>2689</v>
      </c>
      <c r="P345" t="s">
        <v>2233</v>
      </c>
      <c r="Q345" s="8">
        <v>6000000</v>
      </c>
      <c r="R345" s="8" t="e">
        <f>SUMIFS([1]REPORTADOS!$D$2:$D$3345,[1]REPORTADOS!$C$2:$C$3345,E345)</f>
        <v>#VALUE!</v>
      </c>
      <c r="S345" s="3" t="e">
        <f t="shared" si="5"/>
        <v>#VALUE!</v>
      </c>
    </row>
    <row r="346" spans="1:19" x14ac:dyDescent="0.25">
      <c r="A346">
        <v>900091143</v>
      </c>
      <c r="B346" t="s">
        <v>3211</v>
      </c>
      <c r="C346" t="s">
        <v>2637</v>
      </c>
      <c r="E346" t="s">
        <v>2637</v>
      </c>
      <c r="H346" t="s">
        <v>22</v>
      </c>
      <c r="I346">
        <v>1131085946</v>
      </c>
      <c r="J346" t="s">
        <v>2638</v>
      </c>
      <c r="P346" t="s">
        <v>2639</v>
      </c>
      <c r="Q346" s="8">
        <v>5916300</v>
      </c>
      <c r="R346" s="8" t="e">
        <f>SUMIFS([1]REPORTADOS!$D$2:$D$3345,[1]REPORTADOS!$C$2:$C$3345,E346)</f>
        <v>#VALUE!</v>
      </c>
      <c r="S346" s="3" t="e">
        <f t="shared" si="5"/>
        <v>#VALUE!</v>
      </c>
    </row>
    <row r="347" spans="1:19" x14ac:dyDescent="0.25">
      <c r="A347">
        <v>900091143</v>
      </c>
      <c r="B347" t="s">
        <v>3212</v>
      </c>
      <c r="C347" t="s">
        <v>2646</v>
      </c>
      <c r="E347" t="s">
        <v>2646</v>
      </c>
      <c r="H347" t="s">
        <v>22</v>
      </c>
      <c r="I347">
        <v>30736949</v>
      </c>
      <c r="J347" t="s">
        <v>2647</v>
      </c>
      <c r="P347" t="s">
        <v>2291</v>
      </c>
      <c r="Q347" s="8">
        <v>5916300</v>
      </c>
      <c r="R347" s="8" t="e">
        <f>SUMIFS([1]REPORTADOS!$D$2:$D$3345,[1]REPORTADOS!$C$2:$C$3345,E347)</f>
        <v>#VALUE!</v>
      </c>
      <c r="S347" s="3" t="e">
        <f t="shared" si="5"/>
        <v>#VALUE!</v>
      </c>
    </row>
    <row r="348" spans="1:19" x14ac:dyDescent="0.25">
      <c r="A348">
        <v>900091143</v>
      </c>
      <c r="B348" t="s">
        <v>3213</v>
      </c>
      <c r="C348" t="s">
        <v>2656</v>
      </c>
      <c r="E348" t="s">
        <v>2656</v>
      </c>
      <c r="H348" t="s">
        <v>22</v>
      </c>
      <c r="I348">
        <v>1085268450</v>
      </c>
      <c r="J348" t="s">
        <v>2657</v>
      </c>
      <c r="P348" t="s">
        <v>2436</v>
      </c>
      <c r="Q348" s="8">
        <v>5916300</v>
      </c>
      <c r="R348" s="8" t="e">
        <f>SUMIFS([1]REPORTADOS!$D$2:$D$3345,[1]REPORTADOS!$C$2:$C$3345,E348)</f>
        <v>#VALUE!</v>
      </c>
      <c r="S348" s="3" t="e">
        <f t="shared" si="5"/>
        <v>#VALUE!</v>
      </c>
    </row>
    <row r="349" spans="1:19" x14ac:dyDescent="0.25">
      <c r="A349">
        <v>900091143</v>
      </c>
      <c r="B349" t="s">
        <v>3214</v>
      </c>
      <c r="C349" t="s">
        <v>2661</v>
      </c>
      <c r="E349" t="s">
        <v>2661</v>
      </c>
      <c r="H349" t="s">
        <v>22</v>
      </c>
      <c r="I349">
        <v>59821968</v>
      </c>
      <c r="J349" t="s">
        <v>2662</v>
      </c>
      <c r="P349" t="s">
        <v>2291</v>
      </c>
      <c r="Q349" s="8">
        <v>5916300</v>
      </c>
      <c r="R349" s="8" t="e">
        <f>SUMIFS([1]REPORTADOS!$D$2:$D$3345,[1]REPORTADOS!$C$2:$C$3345,E349)</f>
        <v>#VALUE!</v>
      </c>
      <c r="S349" s="3" t="e">
        <f t="shared" si="5"/>
        <v>#VALUE!</v>
      </c>
    </row>
    <row r="350" spans="1:19" x14ac:dyDescent="0.25">
      <c r="A350">
        <v>900091143</v>
      </c>
      <c r="B350" t="s">
        <v>3215</v>
      </c>
      <c r="C350" t="s">
        <v>2776</v>
      </c>
      <c r="E350" t="s">
        <v>2776</v>
      </c>
      <c r="H350" t="s">
        <v>22</v>
      </c>
      <c r="I350">
        <v>1085319572</v>
      </c>
      <c r="J350" t="s">
        <v>2777</v>
      </c>
      <c r="P350" t="s">
        <v>2745</v>
      </c>
      <c r="Q350" s="8">
        <v>5629000</v>
      </c>
      <c r="R350" s="8" t="e">
        <f>SUMIFS([1]REPORTADOS!$D$2:$D$3345,[1]REPORTADOS!$C$2:$C$3345,E350)</f>
        <v>#VALUE!</v>
      </c>
      <c r="S350" s="3" t="e">
        <f t="shared" si="5"/>
        <v>#VALUE!</v>
      </c>
    </row>
    <row r="351" spans="1:19" x14ac:dyDescent="0.25">
      <c r="A351">
        <v>900091143</v>
      </c>
      <c r="B351" t="s">
        <v>3216</v>
      </c>
      <c r="C351" t="s">
        <v>2771</v>
      </c>
      <c r="E351" t="s">
        <v>2771</v>
      </c>
      <c r="H351" t="s">
        <v>22</v>
      </c>
      <c r="I351">
        <v>1080900817</v>
      </c>
      <c r="J351" t="s">
        <v>1837</v>
      </c>
      <c r="P351" t="s">
        <v>2427</v>
      </c>
      <c r="Q351" s="8">
        <v>5629000</v>
      </c>
      <c r="R351" s="8" t="e">
        <f>SUMIFS([1]REPORTADOS!$D$2:$D$3345,[1]REPORTADOS!$C$2:$C$3345,E351)</f>
        <v>#VALUE!</v>
      </c>
      <c r="S351" s="3" t="e">
        <f t="shared" si="5"/>
        <v>#VALUE!</v>
      </c>
    </row>
    <row r="352" spans="1:19" x14ac:dyDescent="0.25">
      <c r="A352">
        <v>900091143</v>
      </c>
      <c r="B352" t="s">
        <v>3217</v>
      </c>
      <c r="C352" t="s">
        <v>2702</v>
      </c>
      <c r="E352" t="s">
        <v>2702</v>
      </c>
      <c r="H352" t="s">
        <v>22</v>
      </c>
      <c r="I352">
        <v>36950441</v>
      </c>
      <c r="J352" t="s">
        <v>2703</v>
      </c>
      <c r="P352" t="s">
        <v>2291</v>
      </c>
      <c r="Q352" s="8">
        <v>5000000</v>
      </c>
      <c r="R352" s="8" t="e">
        <f>SUMIFS([1]REPORTADOS!$D$2:$D$3345,[1]REPORTADOS!$C$2:$C$3345,E352)</f>
        <v>#VALUE!</v>
      </c>
      <c r="S352" s="3" t="e">
        <f t="shared" si="5"/>
        <v>#VALUE!</v>
      </c>
    </row>
    <row r="353" spans="1:19" x14ac:dyDescent="0.25">
      <c r="A353">
        <v>900091143</v>
      </c>
      <c r="B353" t="s">
        <v>3218</v>
      </c>
      <c r="C353" t="s">
        <v>2704</v>
      </c>
      <c r="E353" t="s">
        <v>2704</v>
      </c>
      <c r="H353" t="s">
        <v>22</v>
      </c>
      <c r="I353">
        <v>1085324252</v>
      </c>
      <c r="J353" t="s">
        <v>2705</v>
      </c>
      <c r="P353" t="s">
        <v>2291</v>
      </c>
      <c r="Q353" s="8">
        <v>5000000</v>
      </c>
      <c r="R353" s="8" t="e">
        <f>SUMIFS([1]REPORTADOS!$D$2:$D$3345,[1]REPORTADOS!$C$2:$C$3345,E353)</f>
        <v>#VALUE!</v>
      </c>
      <c r="S353" s="3" t="e">
        <f t="shared" si="5"/>
        <v>#VALUE!</v>
      </c>
    </row>
    <row r="354" spans="1:19" x14ac:dyDescent="0.25">
      <c r="A354">
        <v>900091143</v>
      </c>
      <c r="B354" t="s">
        <v>3219</v>
      </c>
      <c r="C354" t="s">
        <v>2815</v>
      </c>
      <c r="E354" t="s">
        <v>2815</v>
      </c>
      <c r="H354" t="s">
        <v>22</v>
      </c>
      <c r="I354">
        <v>1081052090</v>
      </c>
      <c r="J354" t="s">
        <v>2534</v>
      </c>
      <c r="P354" t="s">
        <v>2816</v>
      </c>
      <c r="Q354" s="8">
        <v>5000000</v>
      </c>
      <c r="R354" s="8" t="e">
        <f>SUMIFS([1]REPORTADOS!$D$2:$D$3345,[1]REPORTADOS!$C$2:$C$3345,E354)</f>
        <v>#VALUE!</v>
      </c>
      <c r="S354" s="3" t="e">
        <f t="shared" si="5"/>
        <v>#VALUE!</v>
      </c>
    </row>
    <row r="355" spans="1:19" x14ac:dyDescent="0.25">
      <c r="A355">
        <v>900091143</v>
      </c>
      <c r="B355" t="s">
        <v>3220</v>
      </c>
      <c r="C355" t="s">
        <v>2817</v>
      </c>
      <c r="E355" t="s">
        <v>2817</v>
      </c>
      <c r="H355" t="s">
        <v>22</v>
      </c>
      <c r="I355">
        <v>1233188479</v>
      </c>
      <c r="J355" t="s">
        <v>2818</v>
      </c>
      <c r="P355" t="s">
        <v>2819</v>
      </c>
      <c r="Q355" s="8">
        <v>5000000</v>
      </c>
      <c r="R355" s="8" t="e">
        <f>SUMIFS([1]REPORTADOS!$D$2:$D$3345,[1]REPORTADOS!$C$2:$C$3345,E355)</f>
        <v>#VALUE!</v>
      </c>
      <c r="S355" s="3" t="e">
        <f t="shared" si="5"/>
        <v>#VALUE!</v>
      </c>
    </row>
    <row r="356" spans="1:19" x14ac:dyDescent="0.25">
      <c r="A356">
        <v>900091143</v>
      </c>
      <c r="B356" t="s">
        <v>3221</v>
      </c>
      <c r="C356" t="s">
        <v>2593</v>
      </c>
      <c r="E356" t="s">
        <v>2593</v>
      </c>
      <c r="H356" t="s">
        <v>22</v>
      </c>
      <c r="I356">
        <v>1085324107</v>
      </c>
      <c r="J356" t="s">
        <v>2594</v>
      </c>
      <c r="P356" t="s">
        <v>2204</v>
      </c>
      <c r="Q356" s="8">
        <v>5000000</v>
      </c>
      <c r="R356" s="8" t="e">
        <f>SUMIFS([1]REPORTADOS!$D$2:$D$3345,[1]REPORTADOS!$C$2:$C$3345,E356)</f>
        <v>#VALUE!</v>
      </c>
      <c r="S356" s="3" t="e">
        <f t="shared" si="5"/>
        <v>#VALUE!</v>
      </c>
    </row>
    <row r="357" spans="1:19" x14ac:dyDescent="0.25">
      <c r="A357">
        <v>900091143</v>
      </c>
      <c r="B357" t="s">
        <v>3222</v>
      </c>
      <c r="C357" t="s">
        <v>2671</v>
      </c>
      <c r="E357" t="s">
        <v>2671</v>
      </c>
      <c r="H357" t="s">
        <v>22</v>
      </c>
      <c r="I357">
        <v>1085314334</v>
      </c>
      <c r="J357" t="s">
        <v>2672</v>
      </c>
      <c r="P357" t="s">
        <v>2291</v>
      </c>
      <c r="Q357" s="8">
        <v>5000000</v>
      </c>
      <c r="R357" s="8" t="e">
        <f>SUMIFS([1]REPORTADOS!$D$2:$D$3345,[1]REPORTADOS!$C$2:$C$3345,E357)</f>
        <v>#VALUE!</v>
      </c>
      <c r="S357" s="3" t="e">
        <f t="shared" si="5"/>
        <v>#VALUE!</v>
      </c>
    </row>
    <row r="358" spans="1:19" x14ac:dyDescent="0.25">
      <c r="A358">
        <v>900091143</v>
      </c>
      <c r="B358" t="s">
        <v>3223</v>
      </c>
      <c r="C358" t="s">
        <v>2680</v>
      </c>
      <c r="E358" t="s">
        <v>2680</v>
      </c>
      <c r="H358" t="s">
        <v>22</v>
      </c>
      <c r="I358">
        <v>1085318898</v>
      </c>
      <c r="J358" t="s">
        <v>2681</v>
      </c>
      <c r="P358" t="s">
        <v>2291</v>
      </c>
      <c r="Q358" s="8">
        <v>5000000</v>
      </c>
      <c r="R358" s="8" t="e">
        <f>SUMIFS([1]REPORTADOS!$D$2:$D$3345,[1]REPORTADOS!$C$2:$C$3345,E358)</f>
        <v>#VALUE!</v>
      </c>
      <c r="S358" s="3" t="e">
        <f t="shared" si="5"/>
        <v>#VALUE!</v>
      </c>
    </row>
    <row r="359" spans="1:19" x14ac:dyDescent="0.25">
      <c r="A359">
        <v>900091143</v>
      </c>
      <c r="B359" t="s">
        <v>3224</v>
      </c>
      <c r="C359" t="s">
        <v>2698</v>
      </c>
      <c r="E359" t="s">
        <v>2698</v>
      </c>
      <c r="H359" t="s">
        <v>22</v>
      </c>
      <c r="I359">
        <v>36757507</v>
      </c>
      <c r="J359" t="s">
        <v>2699</v>
      </c>
      <c r="P359" t="s">
        <v>2291</v>
      </c>
      <c r="Q359" s="8">
        <v>5000000</v>
      </c>
      <c r="R359" s="8" t="e">
        <f>SUMIFS([1]REPORTADOS!$D$2:$D$3345,[1]REPORTADOS!$C$2:$C$3345,E359)</f>
        <v>#VALUE!</v>
      </c>
      <c r="S359" s="3" t="e">
        <f t="shared" si="5"/>
        <v>#VALUE!</v>
      </c>
    </row>
    <row r="360" spans="1:19" x14ac:dyDescent="0.25">
      <c r="A360">
        <v>900091143</v>
      </c>
      <c r="B360" t="s">
        <v>3225</v>
      </c>
      <c r="C360" t="s">
        <v>2718</v>
      </c>
      <c r="E360" t="s">
        <v>2718</v>
      </c>
      <c r="H360" t="s">
        <v>22</v>
      </c>
      <c r="I360">
        <v>1004598784</v>
      </c>
      <c r="J360" t="s">
        <v>2719</v>
      </c>
      <c r="P360" t="s">
        <v>2720</v>
      </c>
      <c r="Q360" s="8">
        <v>4700000</v>
      </c>
      <c r="R360" s="8" t="e">
        <f>SUMIFS([1]REPORTADOS!$D$2:$D$3345,[1]REPORTADOS!$C$2:$C$3345,E360)</f>
        <v>#VALUE!</v>
      </c>
      <c r="S360" s="3" t="e">
        <f t="shared" si="5"/>
        <v>#VALUE!</v>
      </c>
    </row>
    <row r="361" spans="1:19" x14ac:dyDescent="0.25">
      <c r="A361">
        <v>900091143</v>
      </c>
      <c r="B361" t="s">
        <v>3226</v>
      </c>
      <c r="C361" t="s">
        <v>2734</v>
      </c>
      <c r="E361" t="s">
        <v>2734</v>
      </c>
      <c r="H361" t="s">
        <v>22</v>
      </c>
      <c r="I361">
        <v>1085297914</v>
      </c>
      <c r="J361" t="s">
        <v>2735</v>
      </c>
      <c r="P361" t="s">
        <v>2204</v>
      </c>
      <c r="Q361" s="8">
        <v>4700000</v>
      </c>
      <c r="R361" s="8" t="e">
        <f>SUMIFS([1]REPORTADOS!$D$2:$D$3345,[1]REPORTADOS!$C$2:$C$3345,E361)</f>
        <v>#VALUE!</v>
      </c>
      <c r="S361" s="3" t="e">
        <f t="shared" si="5"/>
        <v>#VALUE!</v>
      </c>
    </row>
    <row r="362" spans="1:19" x14ac:dyDescent="0.25">
      <c r="A362">
        <v>900091143</v>
      </c>
      <c r="B362" t="s">
        <v>3227</v>
      </c>
      <c r="C362" t="s">
        <v>2746</v>
      </c>
      <c r="E362" t="s">
        <v>2746</v>
      </c>
      <c r="H362" t="s">
        <v>22</v>
      </c>
      <c r="I362">
        <v>1088733625</v>
      </c>
      <c r="J362" t="s">
        <v>1722</v>
      </c>
      <c r="P362" t="s">
        <v>2204</v>
      </c>
      <c r="Q362" s="8">
        <v>4300000</v>
      </c>
      <c r="R362" s="8" t="e">
        <f>SUMIFS([1]REPORTADOS!$D$2:$D$3345,[1]REPORTADOS!$C$2:$C$3345,E362)</f>
        <v>#VALUE!</v>
      </c>
      <c r="S362" s="3" t="e">
        <f t="shared" si="5"/>
        <v>#VALUE!</v>
      </c>
    </row>
    <row r="363" spans="1:19" x14ac:dyDescent="0.25">
      <c r="A363">
        <v>900091143</v>
      </c>
      <c r="B363" t="s">
        <v>3228</v>
      </c>
      <c r="C363" t="s">
        <v>2774</v>
      </c>
      <c r="E363" t="s">
        <v>2774</v>
      </c>
      <c r="H363" t="s">
        <v>22</v>
      </c>
      <c r="I363">
        <v>1004437571</v>
      </c>
      <c r="J363" t="s">
        <v>2775</v>
      </c>
      <c r="P363" t="s">
        <v>2204</v>
      </c>
      <c r="Q363" s="8">
        <v>4000000</v>
      </c>
      <c r="R363" s="8" t="e">
        <f>SUMIFS([1]REPORTADOS!$D$2:$D$3345,[1]REPORTADOS!$C$2:$C$3345,E363)</f>
        <v>#VALUE!</v>
      </c>
      <c r="S363" s="3" t="e">
        <f t="shared" si="5"/>
        <v>#VALUE!</v>
      </c>
    </row>
    <row r="364" spans="1:19" x14ac:dyDescent="0.25">
      <c r="A364">
        <v>900091143</v>
      </c>
      <c r="B364" t="s">
        <v>3229</v>
      </c>
      <c r="C364" t="s">
        <v>2721</v>
      </c>
      <c r="E364" t="s">
        <v>2721</v>
      </c>
      <c r="H364" t="s">
        <v>22</v>
      </c>
      <c r="I364">
        <v>1088729401</v>
      </c>
      <c r="J364" t="s">
        <v>2722</v>
      </c>
      <c r="P364" t="s">
        <v>2291</v>
      </c>
      <c r="Q364" s="8">
        <v>3916100</v>
      </c>
      <c r="R364" s="8" t="e">
        <f>SUMIFS([1]REPORTADOS!$D$2:$D$3345,[1]REPORTADOS!$C$2:$C$3345,E364)</f>
        <v>#VALUE!</v>
      </c>
      <c r="S364" s="3" t="e">
        <f t="shared" si="5"/>
        <v>#VALUE!</v>
      </c>
    </row>
    <row r="365" spans="1:19" x14ac:dyDescent="0.25">
      <c r="A365">
        <v>900091143</v>
      </c>
      <c r="B365" t="s">
        <v>3230</v>
      </c>
      <c r="C365" t="s">
        <v>2737</v>
      </c>
      <c r="E365" t="s">
        <v>2737</v>
      </c>
      <c r="H365" t="s">
        <v>22</v>
      </c>
      <c r="I365">
        <v>12996869</v>
      </c>
      <c r="J365" t="s">
        <v>2738</v>
      </c>
      <c r="P365" t="s">
        <v>2291</v>
      </c>
      <c r="Q365" s="8">
        <v>3916100</v>
      </c>
      <c r="R365" s="8" t="e">
        <f>SUMIFS([1]REPORTADOS!$D$2:$D$3345,[1]REPORTADOS!$C$2:$C$3345,E365)</f>
        <v>#VALUE!</v>
      </c>
      <c r="S365" s="3" t="e">
        <f t="shared" si="5"/>
        <v>#VALUE!</v>
      </c>
    </row>
    <row r="366" spans="1:19" x14ac:dyDescent="0.25">
      <c r="A366">
        <v>900091143</v>
      </c>
      <c r="B366" t="s">
        <v>3231</v>
      </c>
      <c r="C366" t="s">
        <v>2732</v>
      </c>
      <c r="E366" t="s">
        <v>2732</v>
      </c>
      <c r="H366" t="s">
        <v>22</v>
      </c>
      <c r="I366">
        <v>36754171</v>
      </c>
      <c r="J366" t="s">
        <v>2733</v>
      </c>
      <c r="P366" t="s">
        <v>2291</v>
      </c>
      <c r="Q366" s="8">
        <v>3916100</v>
      </c>
      <c r="R366" s="8" t="e">
        <f>SUMIFS([1]REPORTADOS!$D$2:$D$3345,[1]REPORTADOS!$C$2:$C$3345,E366)</f>
        <v>#VALUE!</v>
      </c>
      <c r="S366" s="3" t="e">
        <f t="shared" si="5"/>
        <v>#VALUE!</v>
      </c>
    </row>
    <row r="367" spans="1:19" x14ac:dyDescent="0.25">
      <c r="A367">
        <v>900091143</v>
      </c>
      <c r="B367" t="s">
        <v>3232</v>
      </c>
      <c r="C367" t="s">
        <v>2741</v>
      </c>
      <c r="E367" t="s">
        <v>2741</v>
      </c>
      <c r="H367" t="s">
        <v>22</v>
      </c>
      <c r="I367">
        <v>1085312811</v>
      </c>
      <c r="J367" t="s">
        <v>2742</v>
      </c>
      <c r="P367" t="s">
        <v>2291</v>
      </c>
      <c r="Q367" s="8">
        <v>3916100</v>
      </c>
      <c r="R367" s="8" t="e">
        <f>SUMIFS([1]REPORTADOS!$D$2:$D$3345,[1]REPORTADOS!$C$2:$C$3345,E367)</f>
        <v>#VALUE!</v>
      </c>
      <c r="S367" s="3" t="e">
        <f t="shared" si="5"/>
        <v>#VALUE!</v>
      </c>
    </row>
    <row r="368" spans="1:19" x14ac:dyDescent="0.25">
      <c r="A368">
        <v>900091143</v>
      </c>
      <c r="B368" t="s">
        <v>3233</v>
      </c>
      <c r="C368" t="s">
        <v>2747</v>
      </c>
      <c r="E368" t="s">
        <v>2747</v>
      </c>
      <c r="H368" t="s">
        <v>22</v>
      </c>
      <c r="I368">
        <v>12990231</v>
      </c>
      <c r="J368" t="s">
        <v>2748</v>
      </c>
      <c r="P368" t="s">
        <v>2291</v>
      </c>
      <c r="Q368" s="8">
        <v>3916000</v>
      </c>
      <c r="R368" s="8" t="e">
        <f>SUMIFS([1]REPORTADOS!$D$2:$D$3345,[1]REPORTADOS!$C$2:$C$3345,E368)</f>
        <v>#VALUE!</v>
      </c>
      <c r="S368" s="3" t="e">
        <f t="shared" si="5"/>
        <v>#VALUE!</v>
      </c>
    </row>
    <row r="369" spans="1:19" x14ac:dyDescent="0.25">
      <c r="A369">
        <v>900091143</v>
      </c>
      <c r="B369" t="s">
        <v>3234</v>
      </c>
      <c r="C369" t="s">
        <v>2765</v>
      </c>
      <c r="E369" t="s">
        <v>2765</v>
      </c>
      <c r="H369" t="s">
        <v>22</v>
      </c>
      <c r="I369">
        <v>1085283703</v>
      </c>
      <c r="J369" t="s">
        <v>2766</v>
      </c>
      <c r="P369" t="s">
        <v>2204</v>
      </c>
      <c r="Q369" s="8">
        <v>3600000</v>
      </c>
      <c r="R369" s="8" t="e">
        <f>SUMIFS([1]REPORTADOS!$D$2:$D$3345,[1]REPORTADOS!$C$2:$C$3345,E369)</f>
        <v>#VALUE!</v>
      </c>
      <c r="S369" s="3" t="e">
        <f t="shared" si="5"/>
        <v>#VALUE!</v>
      </c>
    </row>
    <row r="370" spans="1:19" x14ac:dyDescent="0.25">
      <c r="A370">
        <v>900091143</v>
      </c>
      <c r="B370" t="s">
        <v>3235</v>
      </c>
      <c r="C370" t="s">
        <v>2757</v>
      </c>
      <c r="E370" t="s">
        <v>2757</v>
      </c>
      <c r="H370" t="s">
        <v>22</v>
      </c>
      <c r="I370">
        <v>13069881</v>
      </c>
      <c r="J370" t="s">
        <v>2758</v>
      </c>
      <c r="P370" t="s">
        <v>2204</v>
      </c>
      <c r="Q370" s="8">
        <v>3600000</v>
      </c>
      <c r="R370" s="8" t="e">
        <f>SUMIFS([1]REPORTADOS!$D$2:$D$3345,[1]REPORTADOS!$C$2:$C$3345,E370)</f>
        <v>#VALUE!</v>
      </c>
      <c r="S370" s="3" t="e">
        <f t="shared" si="5"/>
        <v>#VALUE!</v>
      </c>
    </row>
    <row r="371" spans="1:19" x14ac:dyDescent="0.25">
      <c r="A371">
        <v>900091143</v>
      </c>
      <c r="B371" t="s">
        <v>3236</v>
      </c>
      <c r="C371" t="s">
        <v>2759</v>
      </c>
      <c r="E371" t="s">
        <v>2759</v>
      </c>
      <c r="H371" t="s">
        <v>22</v>
      </c>
      <c r="I371">
        <v>59313539</v>
      </c>
      <c r="J371" t="s">
        <v>2760</v>
      </c>
      <c r="P371" t="s">
        <v>2233</v>
      </c>
      <c r="Q371" s="8">
        <v>3600000</v>
      </c>
      <c r="R371" s="8" t="e">
        <f>SUMIFS([1]REPORTADOS!$D$2:$D$3345,[1]REPORTADOS!$C$2:$C$3345,E371)</f>
        <v>#VALUE!</v>
      </c>
      <c r="S371" s="3" t="e">
        <f t="shared" si="5"/>
        <v>#VALUE!</v>
      </c>
    </row>
    <row r="372" spans="1:19" x14ac:dyDescent="0.25">
      <c r="A372">
        <v>900091143</v>
      </c>
      <c r="B372" t="s">
        <v>3237</v>
      </c>
      <c r="C372" t="s">
        <v>2778</v>
      </c>
      <c r="E372" t="s">
        <v>2778</v>
      </c>
      <c r="H372" t="s">
        <v>22</v>
      </c>
      <c r="I372">
        <v>87030128</v>
      </c>
      <c r="J372" t="s">
        <v>2779</v>
      </c>
      <c r="P372" t="s">
        <v>2204</v>
      </c>
      <c r="Q372" s="8">
        <v>3600000</v>
      </c>
      <c r="R372" s="8" t="e">
        <f>SUMIFS([1]REPORTADOS!$D$2:$D$3345,[1]REPORTADOS!$C$2:$C$3345,E372)</f>
        <v>#VALUE!</v>
      </c>
      <c r="S372" s="3" t="e">
        <f t="shared" si="5"/>
        <v>#VALUE!</v>
      </c>
    </row>
    <row r="373" spans="1:19" x14ac:dyDescent="0.25">
      <c r="A373">
        <v>900091143</v>
      </c>
      <c r="B373" t="s">
        <v>3238</v>
      </c>
      <c r="C373" t="s">
        <v>2822</v>
      </c>
      <c r="E373" t="s">
        <v>2822</v>
      </c>
      <c r="H373" t="s">
        <v>22</v>
      </c>
      <c r="I373">
        <v>1004437571</v>
      </c>
      <c r="J373" t="s">
        <v>2775</v>
      </c>
      <c r="P373" t="s">
        <v>2823</v>
      </c>
      <c r="Q373" s="8">
        <v>3600000</v>
      </c>
      <c r="R373" s="8" t="e">
        <f>SUMIFS([1]REPORTADOS!$D$2:$D$3345,[1]REPORTADOS!$C$2:$C$3345,E373)</f>
        <v>#VALUE!</v>
      </c>
      <c r="S373" s="3" t="e">
        <f t="shared" si="5"/>
        <v>#VALUE!</v>
      </c>
    </row>
    <row r="374" spans="1:19" x14ac:dyDescent="0.25">
      <c r="A374">
        <v>900091143</v>
      </c>
      <c r="B374" t="s">
        <v>3239</v>
      </c>
      <c r="C374" t="s">
        <v>2824</v>
      </c>
      <c r="E374" t="s">
        <v>2824</v>
      </c>
      <c r="H374" t="s">
        <v>22</v>
      </c>
      <c r="I374">
        <v>59813323</v>
      </c>
      <c r="J374" t="s">
        <v>1995</v>
      </c>
      <c r="P374" t="s">
        <v>2042</v>
      </c>
      <c r="Q374" s="8">
        <v>3600000</v>
      </c>
      <c r="R374" s="8" t="e">
        <f>SUMIFS([1]REPORTADOS!$D$2:$D$3345,[1]REPORTADOS!$C$2:$C$3345,E374)</f>
        <v>#VALUE!</v>
      </c>
      <c r="S374" s="3" t="e">
        <f t="shared" si="5"/>
        <v>#VALUE!</v>
      </c>
    </row>
    <row r="375" spans="1:19" x14ac:dyDescent="0.25">
      <c r="A375">
        <v>900091143</v>
      </c>
      <c r="B375" t="s">
        <v>3240</v>
      </c>
      <c r="C375" t="s">
        <v>2124</v>
      </c>
      <c r="E375" t="s">
        <v>2124</v>
      </c>
      <c r="H375" t="s">
        <v>22</v>
      </c>
      <c r="I375">
        <v>30722194</v>
      </c>
      <c r="J375" t="s">
        <v>2125</v>
      </c>
      <c r="P375" t="s">
        <v>2126</v>
      </c>
      <c r="Q375" s="8">
        <v>3582900</v>
      </c>
      <c r="R375" s="8" t="e">
        <f>SUMIFS([1]REPORTADOS!$D$2:$D$3345,[1]REPORTADOS!$C$2:$C$3345,E375)</f>
        <v>#VALUE!</v>
      </c>
      <c r="S375" s="3" t="e">
        <f t="shared" si="5"/>
        <v>#VALUE!</v>
      </c>
    </row>
    <row r="376" spans="1:19" x14ac:dyDescent="0.25">
      <c r="A376">
        <v>900091143</v>
      </c>
      <c r="B376" t="s">
        <v>3241</v>
      </c>
      <c r="C376" t="s">
        <v>2767</v>
      </c>
      <c r="E376" t="s">
        <v>2767</v>
      </c>
      <c r="H376" t="s">
        <v>22</v>
      </c>
      <c r="I376">
        <v>36951530</v>
      </c>
      <c r="J376" t="s">
        <v>2768</v>
      </c>
      <c r="P376" t="s">
        <v>2291</v>
      </c>
      <c r="Q376" s="8">
        <v>3582900</v>
      </c>
      <c r="R376" s="8" t="e">
        <f>SUMIFS([1]REPORTADOS!$D$2:$D$3345,[1]REPORTADOS!$C$2:$C$3345,E376)</f>
        <v>#VALUE!</v>
      </c>
      <c r="S376" s="3" t="e">
        <f t="shared" si="5"/>
        <v>#VALUE!</v>
      </c>
    </row>
    <row r="377" spans="1:19" x14ac:dyDescent="0.25">
      <c r="A377">
        <v>900091143</v>
      </c>
      <c r="B377" t="s">
        <v>3242</v>
      </c>
      <c r="C377" t="s">
        <v>2780</v>
      </c>
      <c r="E377" t="s">
        <v>2780</v>
      </c>
      <c r="H377" t="s">
        <v>22</v>
      </c>
      <c r="I377">
        <v>1080690337</v>
      </c>
      <c r="J377" t="s">
        <v>2781</v>
      </c>
      <c r="P377" t="s">
        <v>2233</v>
      </c>
      <c r="Q377" s="8">
        <v>3500000</v>
      </c>
      <c r="R377" s="8" t="e">
        <f>SUMIFS([1]REPORTADOS!$D$2:$D$3345,[1]REPORTADOS!$C$2:$C$3345,E377)</f>
        <v>#VALUE!</v>
      </c>
      <c r="S377" s="3" t="e">
        <f t="shared" si="5"/>
        <v>#VALUE!</v>
      </c>
    </row>
    <row r="378" spans="1:19" x14ac:dyDescent="0.25">
      <c r="A378">
        <v>900091143</v>
      </c>
      <c r="B378" t="s">
        <v>3243</v>
      </c>
      <c r="C378" t="s">
        <v>2769</v>
      </c>
      <c r="E378" t="s">
        <v>2769</v>
      </c>
      <c r="H378" t="s">
        <v>22</v>
      </c>
      <c r="I378">
        <v>1085254615</v>
      </c>
      <c r="J378" t="s">
        <v>2770</v>
      </c>
      <c r="P378" t="s">
        <v>2291</v>
      </c>
      <c r="Q378" s="8">
        <v>3333000</v>
      </c>
      <c r="R378" s="8" t="e">
        <f>SUMIFS([1]REPORTADOS!$D$2:$D$3345,[1]REPORTADOS!$C$2:$C$3345,E378)</f>
        <v>#VALUE!</v>
      </c>
      <c r="S378" s="3" t="e">
        <f t="shared" si="5"/>
        <v>#VALUE!</v>
      </c>
    </row>
    <row r="379" spans="1:19" x14ac:dyDescent="0.25">
      <c r="A379">
        <v>900091143</v>
      </c>
      <c r="B379" t="s">
        <v>3244</v>
      </c>
      <c r="C379" t="s">
        <v>2784</v>
      </c>
      <c r="E379" t="s">
        <v>2784</v>
      </c>
      <c r="H379" t="s">
        <v>22</v>
      </c>
      <c r="I379">
        <v>1193273142</v>
      </c>
      <c r="J379" t="s">
        <v>2785</v>
      </c>
      <c r="P379" t="s">
        <v>2204</v>
      </c>
      <c r="Q379" s="8">
        <v>3000000</v>
      </c>
      <c r="R379" s="8" t="e">
        <f>SUMIFS([1]REPORTADOS!$D$2:$D$3345,[1]REPORTADOS!$C$2:$C$3345,E379)</f>
        <v>#VALUE!</v>
      </c>
      <c r="S379" s="3" t="e">
        <f t="shared" si="5"/>
        <v>#VALUE!</v>
      </c>
    </row>
    <row r="380" spans="1:19" x14ac:dyDescent="0.25">
      <c r="A380">
        <v>900091143</v>
      </c>
      <c r="B380" t="s">
        <v>3245</v>
      </c>
      <c r="C380" t="s">
        <v>2831</v>
      </c>
      <c r="E380" t="s">
        <v>2831</v>
      </c>
      <c r="H380" t="s">
        <v>22</v>
      </c>
      <c r="I380">
        <v>27082649</v>
      </c>
      <c r="J380" t="s">
        <v>2454</v>
      </c>
      <c r="P380" t="s">
        <v>1634</v>
      </c>
      <c r="Q380" s="8">
        <v>3000000</v>
      </c>
      <c r="R380" s="8" t="e">
        <f>SUMIFS([1]REPORTADOS!$D$2:$D$3345,[1]REPORTADOS!$C$2:$C$3345,E380)</f>
        <v>#VALUE!</v>
      </c>
      <c r="S380" s="3" t="e">
        <f t="shared" si="5"/>
        <v>#VALUE!</v>
      </c>
    </row>
    <row r="381" spans="1:19" x14ac:dyDescent="0.25">
      <c r="A381">
        <v>900091143</v>
      </c>
      <c r="B381" t="s">
        <v>3246</v>
      </c>
      <c r="C381" t="s">
        <v>2838</v>
      </c>
      <c r="E381" t="s">
        <v>2838</v>
      </c>
      <c r="H381" t="s">
        <v>22</v>
      </c>
      <c r="I381">
        <v>1085314138</v>
      </c>
      <c r="J381" t="s">
        <v>2839</v>
      </c>
      <c r="P381" t="s">
        <v>1634</v>
      </c>
      <c r="Q381" s="8">
        <v>3000000</v>
      </c>
      <c r="R381" s="8" t="e">
        <f>SUMIFS([1]REPORTADOS!$D$2:$D$3345,[1]REPORTADOS!$C$2:$C$3345,E381)</f>
        <v>#VALUE!</v>
      </c>
      <c r="S381" s="3" t="e">
        <f t="shared" si="5"/>
        <v>#VALUE!</v>
      </c>
    </row>
    <row r="382" spans="1:19" x14ac:dyDescent="0.25">
      <c r="A382">
        <v>900091143</v>
      </c>
      <c r="B382" t="s">
        <v>3247</v>
      </c>
      <c r="C382" t="s">
        <v>2810</v>
      </c>
      <c r="E382" t="s">
        <v>2810</v>
      </c>
      <c r="H382" t="s">
        <v>22</v>
      </c>
      <c r="I382">
        <v>1004232315</v>
      </c>
      <c r="J382" t="s">
        <v>2811</v>
      </c>
      <c r="P382" t="s">
        <v>2233</v>
      </c>
      <c r="Q382" s="8">
        <v>3000000</v>
      </c>
      <c r="R382" s="8" t="e">
        <f>SUMIFS([1]REPORTADOS!$D$2:$D$3345,[1]REPORTADOS!$C$2:$C$3345,E382)</f>
        <v>#VALUE!</v>
      </c>
      <c r="S382" s="3" t="e">
        <f t="shared" si="5"/>
        <v>#VALUE!</v>
      </c>
    </row>
    <row r="383" spans="1:19" x14ac:dyDescent="0.25">
      <c r="A383">
        <v>900091143</v>
      </c>
      <c r="B383" t="s">
        <v>3248</v>
      </c>
      <c r="C383" t="s">
        <v>2761</v>
      </c>
      <c r="E383" t="s">
        <v>2761</v>
      </c>
      <c r="H383" t="s">
        <v>22</v>
      </c>
      <c r="I383">
        <v>1085321176</v>
      </c>
      <c r="J383" t="s">
        <v>2762</v>
      </c>
      <c r="P383" t="s">
        <v>2291</v>
      </c>
      <c r="Q383" s="8">
        <v>2999800</v>
      </c>
      <c r="R383" s="8" t="e">
        <f>SUMIFS([1]REPORTADOS!$D$2:$D$3345,[1]REPORTADOS!$C$2:$C$3345,E383)</f>
        <v>#VALUE!</v>
      </c>
      <c r="S383" s="3" t="e">
        <f t="shared" si="5"/>
        <v>#VALUE!</v>
      </c>
    </row>
    <row r="384" spans="1:19" x14ac:dyDescent="0.25">
      <c r="A384">
        <v>900091143</v>
      </c>
      <c r="B384" t="s">
        <v>3249</v>
      </c>
      <c r="C384" t="s">
        <v>2763</v>
      </c>
      <c r="E384" t="s">
        <v>2763</v>
      </c>
      <c r="H384" t="s">
        <v>22</v>
      </c>
      <c r="I384">
        <v>30709681</v>
      </c>
      <c r="J384" t="s">
        <v>2764</v>
      </c>
      <c r="P384" t="s">
        <v>2291</v>
      </c>
      <c r="Q384" s="8">
        <v>2500000</v>
      </c>
      <c r="R384" s="8" t="e">
        <f>SUMIFS([1]REPORTADOS!$D$2:$D$3345,[1]REPORTADOS!$C$2:$C$3345,E384)</f>
        <v>#VALUE!</v>
      </c>
      <c r="S384" s="3" t="e">
        <f t="shared" si="5"/>
        <v>#VALUE!</v>
      </c>
    </row>
    <row r="385" spans="1:19" x14ac:dyDescent="0.25">
      <c r="A385">
        <v>900091143</v>
      </c>
      <c r="B385" t="s">
        <v>3250</v>
      </c>
      <c r="C385" t="s">
        <v>2782</v>
      </c>
      <c r="E385" t="s">
        <v>2782</v>
      </c>
      <c r="H385" t="s">
        <v>22</v>
      </c>
      <c r="I385">
        <v>37083937</v>
      </c>
      <c r="J385" t="s">
        <v>2783</v>
      </c>
      <c r="P385" t="s">
        <v>2291</v>
      </c>
      <c r="Q385" s="8">
        <v>2500000</v>
      </c>
      <c r="R385" s="8" t="e">
        <f>SUMIFS([1]REPORTADOS!$D$2:$D$3345,[1]REPORTADOS!$C$2:$C$3345,E385)</f>
        <v>#VALUE!</v>
      </c>
      <c r="S385" s="3" t="e">
        <f t="shared" si="5"/>
        <v>#VALUE!</v>
      </c>
    </row>
    <row r="386" spans="1:19" x14ac:dyDescent="0.25">
      <c r="A386">
        <v>900091143</v>
      </c>
      <c r="B386" t="s">
        <v>3251</v>
      </c>
      <c r="C386" t="s">
        <v>2840</v>
      </c>
      <c r="E386" t="s">
        <v>2840</v>
      </c>
      <c r="H386" t="s">
        <v>22</v>
      </c>
      <c r="I386">
        <v>1085314334</v>
      </c>
      <c r="J386" t="s">
        <v>2672</v>
      </c>
      <c r="P386" t="s">
        <v>2841</v>
      </c>
      <c r="Q386" s="8">
        <v>2500000</v>
      </c>
      <c r="R386" s="8" t="e">
        <f>SUMIFS([1]REPORTADOS!$D$2:$D$3345,[1]REPORTADOS!$C$2:$C$3345,E386)</f>
        <v>#VALUE!</v>
      </c>
      <c r="S386" s="3" t="e">
        <f t="shared" si="5"/>
        <v>#VALUE!</v>
      </c>
    </row>
    <row r="387" spans="1:19" x14ac:dyDescent="0.25">
      <c r="A387">
        <v>900091143</v>
      </c>
      <c r="B387" t="s">
        <v>3252</v>
      </c>
      <c r="C387" t="s">
        <v>2846</v>
      </c>
      <c r="E387" t="s">
        <v>2846</v>
      </c>
      <c r="H387" t="s">
        <v>38</v>
      </c>
      <c r="I387">
        <v>901181781</v>
      </c>
      <c r="J387" t="s">
        <v>2847</v>
      </c>
      <c r="P387" t="s">
        <v>2794</v>
      </c>
      <c r="Q387" s="8">
        <v>2403324</v>
      </c>
      <c r="R387" s="8" t="e">
        <f>SUMIFS([1]REPORTADOS!$D$2:$D$3345,[1]REPORTADOS!$C$2:$C$3345,E387)</f>
        <v>#VALUE!</v>
      </c>
      <c r="S387" s="3" t="e">
        <f t="shared" ref="S387" si="6">Q387-R387</f>
        <v>#VALUE!</v>
      </c>
    </row>
  </sheetData>
  <phoneticPr fontId="4" type="noConversion"/>
  <conditionalFormatting sqref="C2:C303">
    <cfRule type="duplicateValues" dxfId="2" priority="2"/>
  </conditionalFormatting>
  <conditionalFormatting sqref="E2:E303">
    <cfRule type="duplicateValues" dxfId="1"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44408-E05D-4E3F-A816-DDCFBD2A9719}">
  <dimension ref="A1:T304"/>
  <sheetViews>
    <sheetView topLeftCell="E57" workbookViewId="0">
      <selection activeCell="S91" sqref="S91"/>
    </sheetView>
  </sheetViews>
  <sheetFormatPr baseColWidth="10" defaultRowHeight="15" x14ac:dyDescent="0.25"/>
  <cols>
    <col min="17" max="18" width="15.140625" bestFit="1" customWidth="1"/>
    <col min="19" max="19" width="13.140625" bestFit="1"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4" t="s">
        <v>2862</v>
      </c>
      <c r="S1" s="3"/>
    </row>
    <row r="2" spans="1:20" x14ac:dyDescent="0.25">
      <c r="A2">
        <v>900091143</v>
      </c>
      <c r="B2" t="s">
        <v>17</v>
      </c>
      <c r="C2" t="s">
        <v>18</v>
      </c>
      <c r="D2" t="s">
        <v>19</v>
      </c>
      <c r="E2" t="s">
        <v>18</v>
      </c>
      <c r="F2" t="s">
        <v>20</v>
      </c>
      <c r="G2" t="s">
        <v>21</v>
      </c>
      <c r="H2" t="s">
        <v>22</v>
      </c>
      <c r="I2" t="s">
        <v>23</v>
      </c>
      <c r="J2" t="s">
        <v>24</v>
      </c>
      <c r="K2" t="s">
        <v>25</v>
      </c>
      <c r="L2" t="s">
        <v>26</v>
      </c>
      <c r="M2">
        <v>3</v>
      </c>
      <c r="N2" t="s">
        <v>26</v>
      </c>
      <c r="O2" t="s">
        <v>27</v>
      </c>
      <c r="P2" t="s">
        <v>28</v>
      </c>
      <c r="Q2" s="3">
        <v>14475000</v>
      </c>
      <c r="R2" s="3">
        <v>14475000</v>
      </c>
      <c r="S2" s="3">
        <v>0</v>
      </c>
    </row>
    <row r="3" spans="1:20" x14ac:dyDescent="0.25">
      <c r="A3">
        <v>900091143</v>
      </c>
      <c r="B3" t="s">
        <v>17</v>
      </c>
      <c r="C3" t="s">
        <v>34</v>
      </c>
      <c r="D3" t="s">
        <v>35</v>
      </c>
      <c r="E3" t="s">
        <v>34</v>
      </c>
      <c r="F3" t="s">
        <v>36</v>
      </c>
      <c r="G3" t="s">
        <v>37</v>
      </c>
      <c r="H3" t="s">
        <v>38</v>
      </c>
      <c r="I3" t="s">
        <v>39</v>
      </c>
      <c r="J3" t="s">
        <v>40</v>
      </c>
      <c r="K3" t="s">
        <v>32</v>
      </c>
      <c r="L3" t="s">
        <v>41</v>
      </c>
      <c r="M3">
        <v>1</v>
      </c>
      <c r="N3" t="s">
        <v>41</v>
      </c>
      <c r="O3" t="s">
        <v>42</v>
      </c>
      <c r="P3" t="s">
        <v>43</v>
      </c>
      <c r="Q3" s="3">
        <v>128681402</v>
      </c>
      <c r="R3" s="3">
        <v>128681401.03999999</v>
      </c>
      <c r="S3" s="3">
        <v>0.96000000834465027</v>
      </c>
      <c r="T3" s="5" t="s">
        <v>2863</v>
      </c>
    </row>
    <row r="4" spans="1:20" x14ac:dyDescent="0.25">
      <c r="A4">
        <v>900091143</v>
      </c>
      <c r="B4" t="s">
        <v>17</v>
      </c>
      <c r="C4" t="s">
        <v>44</v>
      </c>
      <c r="D4" t="s">
        <v>45</v>
      </c>
      <c r="E4" t="s">
        <v>44</v>
      </c>
      <c r="F4" t="s">
        <v>46</v>
      </c>
      <c r="G4" t="s">
        <v>47</v>
      </c>
      <c r="H4" t="s">
        <v>22</v>
      </c>
      <c r="I4" t="s">
        <v>48</v>
      </c>
      <c r="J4" t="s">
        <v>49</v>
      </c>
      <c r="K4" t="s">
        <v>50</v>
      </c>
      <c r="L4" t="s">
        <v>51</v>
      </c>
      <c r="M4">
        <v>5</v>
      </c>
      <c r="N4" t="s">
        <v>51</v>
      </c>
      <c r="O4" t="s">
        <v>52</v>
      </c>
      <c r="P4" t="s">
        <v>53</v>
      </c>
      <c r="Q4" s="3">
        <v>8000000</v>
      </c>
      <c r="R4" s="3">
        <v>8000000</v>
      </c>
      <c r="S4" s="3">
        <v>0</v>
      </c>
    </row>
    <row r="5" spans="1:20" x14ac:dyDescent="0.25">
      <c r="A5">
        <v>900091143</v>
      </c>
      <c r="B5" t="s">
        <v>17</v>
      </c>
      <c r="C5" t="s">
        <v>54</v>
      </c>
      <c r="D5" t="s">
        <v>55</v>
      </c>
      <c r="E5" t="s">
        <v>54</v>
      </c>
      <c r="F5" t="s">
        <v>46</v>
      </c>
      <c r="G5" t="s">
        <v>56</v>
      </c>
      <c r="H5" t="s">
        <v>22</v>
      </c>
      <c r="I5" t="s">
        <v>57</v>
      </c>
      <c r="J5" t="s">
        <v>58</v>
      </c>
      <c r="K5" t="s">
        <v>50</v>
      </c>
      <c r="L5" t="s">
        <v>51</v>
      </c>
      <c r="M5">
        <v>5</v>
      </c>
      <c r="N5" t="s">
        <v>51</v>
      </c>
      <c r="O5" t="s">
        <v>52</v>
      </c>
      <c r="P5" t="s">
        <v>53</v>
      </c>
      <c r="Q5" s="3">
        <v>8000000</v>
      </c>
      <c r="R5" s="3">
        <v>8000000</v>
      </c>
      <c r="S5" s="3">
        <v>0</v>
      </c>
    </row>
    <row r="6" spans="1:20" x14ac:dyDescent="0.25">
      <c r="A6">
        <v>900091143</v>
      </c>
      <c r="B6" t="s">
        <v>17</v>
      </c>
      <c r="C6" t="s">
        <v>59</v>
      </c>
      <c r="D6" t="s">
        <v>60</v>
      </c>
      <c r="E6" t="s">
        <v>59</v>
      </c>
      <c r="F6" t="s">
        <v>46</v>
      </c>
      <c r="G6" t="s">
        <v>61</v>
      </c>
      <c r="H6" t="s">
        <v>22</v>
      </c>
      <c r="I6" t="s">
        <v>62</v>
      </c>
      <c r="J6" t="s">
        <v>63</v>
      </c>
      <c r="K6" t="s">
        <v>25</v>
      </c>
      <c r="L6" t="s">
        <v>51</v>
      </c>
      <c r="M6">
        <v>4</v>
      </c>
      <c r="N6" t="s">
        <v>51</v>
      </c>
      <c r="O6" t="s">
        <v>64</v>
      </c>
      <c r="P6" t="s">
        <v>65</v>
      </c>
      <c r="Q6" s="3">
        <v>30000000</v>
      </c>
      <c r="R6" s="3">
        <v>30000000</v>
      </c>
      <c r="S6" s="3">
        <v>0</v>
      </c>
    </row>
    <row r="7" spans="1:20" x14ac:dyDescent="0.25">
      <c r="A7">
        <v>900091143</v>
      </c>
      <c r="B7" t="s">
        <v>17</v>
      </c>
      <c r="C7" t="s">
        <v>66</v>
      </c>
      <c r="D7" t="s">
        <v>67</v>
      </c>
      <c r="E7" t="s">
        <v>66</v>
      </c>
      <c r="F7" t="s">
        <v>46</v>
      </c>
      <c r="G7" t="s">
        <v>68</v>
      </c>
      <c r="H7" t="s">
        <v>22</v>
      </c>
      <c r="I7" t="s">
        <v>69</v>
      </c>
      <c r="J7" t="s">
        <v>70</v>
      </c>
      <c r="K7" t="s">
        <v>71</v>
      </c>
      <c r="L7" t="s">
        <v>51</v>
      </c>
      <c r="M7">
        <v>5</v>
      </c>
      <c r="N7" t="s">
        <v>51</v>
      </c>
      <c r="O7" t="s">
        <v>52</v>
      </c>
      <c r="P7" t="s">
        <v>72</v>
      </c>
      <c r="Q7" s="3">
        <v>19302400</v>
      </c>
      <c r="R7" s="3">
        <v>19302400</v>
      </c>
      <c r="S7" s="3">
        <v>0</v>
      </c>
    </row>
    <row r="8" spans="1:20" x14ac:dyDescent="0.25">
      <c r="A8">
        <v>900091143</v>
      </c>
      <c r="B8" t="s">
        <v>17</v>
      </c>
      <c r="C8" t="s">
        <v>73</v>
      </c>
      <c r="D8" t="s">
        <v>74</v>
      </c>
      <c r="E8" t="s">
        <v>73</v>
      </c>
      <c r="F8" t="s">
        <v>46</v>
      </c>
      <c r="G8" t="s">
        <v>75</v>
      </c>
      <c r="H8" t="s">
        <v>22</v>
      </c>
      <c r="I8" t="s">
        <v>76</v>
      </c>
      <c r="J8" t="s">
        <v>77</v>
      </c>
      <c r="K8" t="s">
        <v>50</v>
      </c>
      <c r="L8" t="s">
        <v>51</v>
      </c>
      <c r="M8">
        <v>5</v>
      </c>
      <c r="N8" t="s">
        <v>51</v>
      </c>
      <c r="O8" t="s">
        <v>52</v>
      </c>
      <c r="P8" t="s">
        <v>53</v>
      </c>
      <c r="Q8" s="3">
        <v>8000000</v>
      </c>
      <c r="R8" s="3">
        <v>8000000</v>
      </c>
      <c r="S8" s="3">
        <v>0</v>
      </c>
    </row>
    <row r="9" spans="1:20" x14ac:dyDescent="0.25">
      <c r="A9">
        <v>900091143</v>
      </c>
      <c r="B9" t="s">
        <v>17</v>
      </c>
      <c r="C9" t="s">
        <v>78</v>
      </c>
      <c r="D9" t="s">
        <v>79</v>
      </c>
      <c r="E9" t="s">
        <v>78</v>
      </c>
      <c r="F9" t="s">
        <v>46</v>
      </c>
      <c r="G9" t="s">
        <v>80</v>
      </c>
      <c r="H9" t="s">
        <v>22</v>
      </c>
      <c r="I9" t="s">
        <v>81</v>
      </c>
      <c r="J9" t="s">
        <v>82</v>
      </c>
      <c r="K9" t="s">
        <v>50</v>
      </c>
      <c r="L9" t="s">
        <v>51</v>
      </c>
      <c r="M9">
        <v>5</v>
      </c>
      <c r="N9" t="s">
        <v>51</v>
      </c>
      <c r="O9" t="s">
        <v>52</v>
      </c>
      <c r="P9" t="s">
        <v>53</v>
      </c>
      <c r="Q9" s="3">
        <v>8000000</v>
      </c>
      <c r="R9" s="3">
        <v>8000000</v>
      </c>
      <c r="S9" s="3">
        <v>0</v>
      </c>
    </row>
    <row r="10" spans="1:20" x14ac:dyDescent="0.25">
      <c r="A10">
        <v>900091143</v>
      </c>
      <c r="B10" t="s">
        <v>17</v>
      </c>
      <c r="C10" t="s">
        <v>83</v>
      </c>
      <c r="D10" t="s">
        <v>84</v>
      </c>
      <c r="E10" t="s">
        <v>83</v>
      </c>
      <c r="F10" t="s">
        <v>46</v>
      </c>
      <c r="G10" t="s">
        <v>85</v>
      </c>
      <c r="H10" t="s">
        <v>22</v>
      </c>
      <c r="I10" t="s">
        <v>86</v>
      </c>
      <c r="J10" t="s">
        <v>87</v>
      </c>
      <c r="K10" t="s">
        <v>50</v>
      </c>
      <c r="L10" t="s">
        <v>51</v>
      </c>
      <c r="M10">
        <v>5</v>
      </c>
      <c r="N10" t="s">
        <v>51</v>
      </c>
      <c r="O10" t="s">
        <v>52</v>
      </c>
      <c r="P10" t="s">
        <v>53</v>
      </c>
      <c r="Q10" s="3">
        <v>8000000</v>
      </c>
      <c r="R10" s="3">
        <v>8000000</v>
      </c>
      <c r="S10" s="3">
        <v>0</v>
      </c>
    </row>
    <row r="11" spans="1:20" x14ac:dyDescent="0.25">
      <c r="A11">
        <v>900091143</v>
      </c>
      <c r="B11" t="s">
        <v>17</v>
      </c>
      <c r="C11" t="s">
        <v>88</v>
      </c>
      <c r="D11" t="s">
        <v>89</v>
      </c>
      <c r="E11" t="s">
        <v>88</v>
      </c>
      <c r="F11" t="s">
        <v>46</v>
      </c>
      <c r="G11" t="s">
        <v>90</v>
      </c>
      <c r="H11" t="s">
        <v>22</v>
      </c>
      <c r="I11" t="s">
        <v>91</v>
      </c>
      <c r="J11" t="s">
        <v>92</v>
      </c>
      <c r="K11" t="s">
        <v>2860</v>
      </c>
      <c r="L11" t="s">
        <v>51</v>
      </c>
      <c r="M11">
        <v>5</v>
      </c>
      <c r="N11" t="s">
        <v>51</v>
      </c>
      <c r="O11" t="s">
        <v>52</v>
      </c>
      <c r="P11" t="s">
        <v>93</v>
      </c>
      <c r="Q11" s="3">
        <v>19000000</v>
      </c>
      <c r="R11" s="3">
        <v>19000000</v>
      </c>
      <c r="S11" s="3">
        <v>0</v>
      </c>
    </row>
    <row r="12" spans="1:20" x14ac:dyDescent="0.25">
      <c r="A12">
        <v>900091143</v>
      </c>
      <c r="B12" t="s">
        <v>17</v>
      </c>
      <c r="C12" t="s">
        <v>94</v>
      </c>
      <c r="D12" t="s">
        <v>95</v>
      </c>
      <c r="E12" t="s">
        <v>94</v>
      </c>
      <c r="F12" t="s">
        <v>46</v>
      </c>
      <c r="G12" t="s">
        <v>96</v>
      </c>
      <c r="H12" t="s">
        <v>22</v>
      </c>
      <c r="I12" t="s">
        <v>97</v>
      </c>
      <c r="J12" t="s">
        <v>98</v>
      </c>
      <c r="K12" t="s">
        <v>25</v>
      </c>
      <c r="L12" t="s">
        <v>51</v>
      </c>
      <c r="M12">
        <v>5</v>
      </c>
      <c r="N12" t="s">
        <v>51</v>
      </c>
      <c r="O12" t="s">
        <v>52</v>
      </c>
      <c r="P12" t="s">
        <v>65</v>
      </c>
      <c r="Q12" s="3">
        <v>30000000</v>
      </c>
      <c r="R12" s="3">
        <v>30000000</v>
      </c>
      <c r="S12" s="3">
        <v>0</v>
      </c>
    </row>
    <row r="13" spans="1:20" x14ac:dyDescent="0.25">
      <c r="A13">
        <v>900091143</v>
      </c>
      <c r="B13" t="s">
        <v>17</v>
      </c>
      <c r="C13" t="s">
        <v>99</v>
      </c>
      <c r="D13" t="s">
        <v>100</v>
      </c>
      <c r="E13" t="s">
        <v>99</v>
      </c>
      <c r="F13" t="s">
        <v>46</v>
      </c>
      <c r="G13" t="s">
        <v>101</v>
      </c>
      <c r="H13" t="s">
        <v>22</v>
      </c>
      <c r="I13" t="s">
        <v>102</v>
      </c>
      <c r="J13" t="s">
        <v>103</v>
      </c>
      <c r="K13" t="s">
        <v>2860</v>
      </c>
      <c r="L13" t="s">
        <v>51</v>
      </c>
      <c r="M13">
        <v>5</v>
      </c>
      <c r="N13" t="s">
        <v>51</v>
      </c>
      <c r="O13" t="s">
        <v>52</v>
      </c>
      <c r="P13" t="s">
        <v>93</v>
      </c>
      <c r="Q13" s="3">
        <v>19000000</v>
      </c>
      <c r="R13" s="3">
        <v>19000000</v>
      </c>
      <c r="S13" s="3">
        <v>0</v>
      </c>
    </row>
    <row r="14" spans="1:20" x14ac:dyDescent="0.25">
      <c r="A14">
        <v>900091143</v>
      </c>
      <c r="B14" t="s">
        <v>17</v>
      </c>
      <c r="C14" t="s">
        <v>104</v>
      </c>
      <c r="D14" t="s">
        <v>105</v>
      </c>
      <c r="E14" t="s">
        <v>104</v>
      </c>
      <c r="F14" t="s">
        <v>46</v>
      </c>
      <c r="G14" t="s">
        <v>106</v>
      </c>
      <c r="H14" t="s">
        <v>22</v>
      </c>
      <c r="I14" t="s">
        <v>107</v>
      </c>
      <c r="J14" t="s">
        <v>108</v>
      </c>
      <c r="K14" t="s">
        <v>25</v>
      </c>
      <c r="L14" t="s">
        <v>51</v>
      </c>
      <c r="M14">
        <v>5</v>
      </c>
      <c r="N14" t="s">
        <v>51</v>
      </c>
      <c r="O14" t="s">
        <v>52</v>
      </c>
      <c r="P14" t="s">
        <v>65</v>
      </c>
      <c r="Q14" s="3">
        <v>30000000</v>
      </c>
      <c r="R14" s="3">
        <v>30000000</v>
      </c>
      <c r="S14" s="3">
        <v>0</v>
      </c>
    </row>
    <row r="15" spans="1:20" x14ac:dyDescent="0.25">
      <c r="A15">
        <v>900091143</v>
      </c>
      <c r="B15" t="s">
        <v>17</v>
      </c>
      <c r="C15" t="s">
        <v>109</v>
      </c>
      <c r="D15" t="s">
        <v>110</v>
      </c>
      <c r="E15" t="s">
        <v>109</v>
      </c>
      <c r="F15" t="s">
        <v>46</v>
      </c>
      <c r="G15" t="s">
        <v>111</v>
      </c>
      <c r="H15" t="s">
        <v>22</v>
      </c>
      <c r="I15" t="s">
        <v>112</v>
      </c>
      <c r="J15" t="s">
        <v>113</v>
      </c>
      <c r="K15" t="s">
        <v>25</v>
      </c>
      <c r="L15" t="s">
        <v>51</v>
      </c>
      <c r="M15">
        <v>5</v>
      </c>
      <c r="N15" t="s">
        <v>51</v>
      </c>
      <c r="O15" t="s">
        <v>52</v>
      </c>
      <c r="P15" t="s">
        <v>65</v>
      </c>
      <c r="Q15" s="3">
        <v>30000000</v>
      </c>
      <c r="R15" s="3">
        <v>30000000</v>
      </c>
      <c r="S15" s="3">
        <v>0</v>
      </c>
    </row>
    <row r="16" spans="1:20" x14ac:dyDescent="0.25">
      <c r="A16">
        <v>900091143</v>
      </c>
      <c r="B16" t="s">
        <v>17</v>
      </c>
      <c r="C16" t="s">
        <v>114</v>
      </c>
      <c r="D16" t="s">
        <v>115</v>
      </c>
      <c r="E16" t="s">
        <v>114</v>
      </c>
      <c r="F16" t="s">
        <v>46</v>
      </c>
      <c r="G16" t="s">
        <v>116</v>
      </c>
      <c r="H16" t="s">
        <v>22</v>
      </c>
      <c r="I16" t="s">
        <v>117</v>
      </c>
      <c r="J16" t="s">
        <v>118</v>
      </c>
      <c r="K16" t="s">
        <v>50</v>
      </c>
      <c r="L16" t="s">
        <v>51</v>
      </c>
      <c r="M16">
        <v>5</v>
      </c>
      <c r="N16" t="s">
        <v>51</v>
      </c>
      <c r="O16" t="s">
        <v>52</v>
      </c>
      <c r="P16" t="s">
        <v>53</v>
      </c>
      <c r="Q16" s="3">
        <v>2000000</v>
      </c>
      <c r="R16" s="3">
        <v>2000000</v>
      </c>
      <c r="S16" s="3">
        <v>0</v>
      </c>
      <c r="T16" s="5" t="s">
        <v>2864</v>
      </c>
    </row>
    <row r="17" spans="1:19" x14ac:dyDescent="0.25">
      <c r="A17">
        <v>900091143</v>
      </c>
      <c r="B17" t="s">
        <v>17</v>
      </c>
      <c r="C17" t="s">
        <v>119</v>
      </c>
      <c r="D17" t="s">
        <v>120</v>
      </c>
      <c r="E17" t="s">
        <v>119</v>
      </c>
      <c r="F17" t="s">
        <v>46</v>
      </c>
      <c r="G17" t="s">
        <v>121</v>
      </c>
      <c r="H17" t="s">
        <v>22</v>
      </c>
      <c r="I17" t="s">
        <v>122</v>
      </c>
      <c r="J17" t="s">
        <v>123</v>
      </c>
      <c r="K17" t="s">
        <v>50</v>
      </c>
      <c r="L17" t="s">
        <v>51</v>
      </c>
      <c r="M17">
        <v>5</v>
      </c>
      <c r="N17" t="s">
        <v>51</v>
      </c>
      <c r="O17" t="s">
        <v>52</v>
      </c>
      <c r="P17" t="s">
        <v>53</v>
      </c>
      <c r="Q17" s="3">
        <v>8000000</v>
      </c>
      <c r="R17" s="3">
        <v>8000000</v>
      </c>
      <c r="S17" s="3">
        <v>0</v>
      </c>
    </row>
    <row r="18" spans="1:19" x14ac:dyDescent="0.25">
      <c r="A18">
        <v>900091143</v>
      </c>
      <c r="B18" t="s">
        <v>17</v>
      </c>
      <c r="C18" t="s">
        <v>124</v>
      </c>
      <c r="D18" t="s">
        <v>125</v>
      </c>
      <c r="E18" t="s">
        <v>124</v>
      </c>
      <c r="F18" t="s">
        <v>46</v>
      </c>
      <c r="G18" t="s">
        <v>126</v>
      </c>
      <c r="H18" t="s">
        <v>22</v>
      </c>
      <c r="I18" t="s">
        <v>127</v>
      </c>
      <c r="J18" t="s">
        <v>128</v>
      </c>
      <c r="K18" t="s">
        <v>50</v>
      </c>
      <c r="L18" t="s">
        <v>129</v>
      </c>
      <c r="M18">
        <v>5</v>
      </c>
      <c r="N18" t="s">
        <v>129</v>
      </c>
      <c r="O18" t="s">
        <v>130</v>
      </c>
      <c r="P18" t="s">
        <v>53</v>
      </c>
      <c r="Q18" s="3">
        <v>8000000</v>
      </c>
      <c r="R18" s="3">
        <v>8000000</v>
      </c>
      <c r="S18" s="3">
        <v>0</v>
      </c>
    </row>
    <row r="19" spans="1:19" x14ac:dyDescent="0.25">
      <c r="A19">
        <v>900091143</v>
      </c>
      <c r="B19" t="s">
        <v>17</v>
      </c>
      <c r="C19" t="s">
        <v>131</v>
      </c>
      <c r="D19" t="s">
        <v>132</v>
      </c>
      <c r="E19" t="s">
        <v>131</v>
      </c>
      <c r="F19" t="s">
        <v>46</v>
      </c>
      <c r="G19" t="s">
        <v>133</v>
      </c>
      <c r="H19" t="s">
        <v>22</v>
      </c>
      <c r="I19" t="s">
        <v>134</v>
      </c>
      <c r="J19" t="s">
        <v>135</v>
      </c>
      <c r="K19" t="s">
        <v>71</v>
      </c>
      <c r="L19" t="s">
        <v>129</v>
      </c>
      <c r="M19">
        <v>5</v>
      </c>
      <c r="N19" t="s">
        <v>129</v>
      </c>
      <c r="O19" t="s">
        <v>130</v>
      </c>
      <c r="P19" t="s">
        <v>72</v>
      </c>
      <c r="Q19" s="3">
        <v>19302400</v>
      </c>
      <c r="R19" s="3">
        <v>19302400</v>
      </c>
      <c r="S19" s="3">
        <v>0</v>
      </c>
    </row>
    <row r="20" spans="1:19" x14ac:dyDescent="0.25">
      <c r="A20">
        <v>900091143</v>
      </c>
      <c r="B20" t="s">
        <v>17</v>
      </c>
      <c r="C20" t="s">
        <v>136</v>
      </c>
      <c r="D20" t="s">
        <v>137</v>
      </c>
      <c r="E20" t="s">
        <v>136</v>
      </c>
      <c r="F20" t="s">
        <v>46</v>
      </c>
      <c r="G20" t="s">
        <v>138</v>
      </c>
      <c r="H20" t="s">
        <v>22</v>
      </c>
      <c r="I20" t="s">
        <v>139</v>
      </c>
      <c r="J20" t="s">
        <v>140</v>
      </c>
      <c r="K20" t="s">
        <v>50</v>
      </c>
      <c r="L20" t="s">
        <v>129</v>
      </c>
      <c r="M20">
        <v>5</v>
      </c>
      <c r="N20" t="s">
        <v>129</v>
      </c>
      <c r="O20" t="s">
        <v>130</v>
      </c>
      <c r="P20" t="s">
        <v>53</v>
      </c>
      <c r="Q20" s="3">
        <v>8000000</v>
      </c>
      <c r="R20" s="3">
        <v>8000000</v>
      </c>
      <c r="S20" s="3">
        <v>0</v>
      </c>
    </row>
    <row r="21" spans="1:19" x14ac:dyDescent="0.25">
      <c r="A21">
        <v>900091143</v>
      </c>
      <c r="B21" t="s">
        <v>17</v>
      </c>
      <c r="C21" t="s">
        <v>141</v>
      </c>
      <c r="D21" t="s">
        <v>142</v>
      </c>
      <c r="E21" t="s">
        <v>141</v>
      </c>
      <c r="F21" t="s">
        <v>46</v>
      </c>
      <c r="G21" t="s">
        <v>143</v>
      </c>
      <c r="H21" t="s">
        <v>22</v>
      </c>
      <c r="I21" t="s">
        <v>144</v>
      </c>
      <c r="J21" t="s">
        <v>145</v>
      </c>
      <c r="K21" t="s">
        <v>50</v>
      </c>
      <c r="L21" t="s">
        <v>129</v>
      </c>
      <c r="M21">
        <v>5</v>
      </c>
      <c r="N21" t="s">
        <v>129</v>
      </c>
      <c r="O21" t="s">
        <v>130</v>
      </c>
      <c r="P21" t="s">
        <v>53</v>
      </c>
      <c r="Q21" s="3">
        <v>8000000</v>
      </c>
      <c r="R21" s="3">
        <v>8000000</v>
      </c>
      <c r="S21" s="3">
        <v>0</v>
      </c>
    </row>
    <row r="22" spans="1:19" x14ac:dyDescent="0.25">
      <c r="A22">
        <v>900091143</v>
      </c>
      <c r="B22" t="s">
        <v>17</v>
      </c>
      <c r="C22" t="s">
        <v>146</v>
      </c>
      <c r="D22" t="s">
        <v>147</v>
      </c>
      <c r="E22" t="s">
        <v>146</v>
      </c>
      <c r="F22" t="s">
        <v>46</v>
      </c>
      <c r="G22" t="s">
        <v>148</v>
      </c>
      <c r="H22" t="s">
        <v>22</v>
      </c>
      <c r="I22" t="s">
        <v>149</v>
      </c>
      <c r="J22" t="s">
        <v>150</v>
      </c>
      <c r="K22" t="s">
        <v>151</v>
      </c>
      <c r="L22" t="s">
        <v>129</v>
      </c>
      <c r="M22">
        <v>5</v>
      </c>
      <c r="N22" t="s">
        <v>129</v>
      </c>
      <c r="O22" t="s">
        <v>130</v>
      </c>
      <c r="P22" t="s">
        <v>152</v>
      </c>
      <c r="Q22" s="3">
        <v>19302400</v>
      </c>
      <c r="R22" s="3">
        <v>19302400</v>
      </c>
      <c r="S22" s="3">
        <v>0</v>
      </c>
    </row>
    <row r="23" spans="1:19" x14ac:dyDescent="0.25">
      <c r="A23">
        <v>900091143</v>
      </c>
      <c r="B23" t="s">
        <v>17</v>
      </c>
      <c r="C23" t="s">
        <v>153</v>
      </c>
      <c r="D23" t="s">
        <v>154</v>
      </c>
      <c r="E23" t="s">
        <v>153</v>
      </c>
      <c r="F23" t="s">
        <v>46</v>
      </c>
      <c r="G23" t="s">
        <v>155</v>
      </c>
      <c r="H23" t="s">
        <v>22</v>
      </c>
      <c r="I23" t="s">
        <v>156</v>
      </c>
      <c r="J23" t="s">
        <v>157</v>
      </c>
      <c r="K23" t="s">
        <v>50</v>
      </c>
      <c r="L23" t="s">
        <v>129</v>
      </c>
      <c r="M23">
        <v>5</v>
      </c>
      <c r="N23" t="s">
        <v>129</v>
      </c>
      <c r="O23" t="s">
        <v>130</v>
      </c>
      <c r="P23" t="s">
        <v>53</v>
      </c>
      <c r="Q23" s="3">
        <v>8000000</v>
      </c>
      <c r="R23" s="3">
        <v>8000000</v>
      </c>
      <c r="S23" s="3">
        <v>0</v>
      </c>
    </row>
    <row r="24" spans="1:19" x14ac:dyDescent="0.25">
      <c r="A24">
        <v>900091143</v>
      </c>
      <c r="B24" t="s">
        <v>17</v>
      </c>
      <c r="C24" t="s">
        <v>158</v>
      </c>
      <c r="D24" t="s">
        <v>159</v>
      </c>
      <c r="E24" t="s">
        <v>158</v>
      </c>
      <c r="F24" t="s">
        <v>46</v>
      </c>
      <c r="G24" t="s">
        <v>160</v>
      </c>
      <c r="H24" t="s">
        <v>22</v>
      </c>
      <c r="I24" t="s">
        <v>161</v>
      </c>
      <c r="J24" t="s">
        <v>162</v>
      </c>
      <c r="K24" t="s">
        <v>2860</v>
      </c>
      <c r="L24" t="s">
        <v>129</v>
      </c>
      <c r="M24">
        <v>5</v>
      </c>
      <c r="N24" t="s">
        <v>129</v>
      </c>
      <c r="O24" t="s">
        <v>130</v>
      </c>
      <c r="P24" t="s">
        <v>93</v>
      </c>
      <c r="Q24" s="3">
        <v>19000000</v>
      </c>
      <c r="R24" s="3">
        <v>19000000</v>
      </c>
      <c r="S24" s="3">
        <v>0</v>
      </c>
    </row>
    <row r="25" spans="1:19" x14ac:dyDescent="0.25">
      <c r="A25">
        <v>900091143</v>
      </c>
      <c r="B25" t="s">
        <v>17</v>
      </c>
      <c r="C25" t="s">
        <v>163</v>
      </c>
      <c r="D25" t="s">
        <v>164</v>
      </c>
      <c r="E25" t="s">
        <v>163</v>
      </c>
      <c r="F25" t="s">
        <v>46</v>
      </c>
      <c r="G25" t="s">
        <v>165</v>
      </c>
      <c r="H25" t="s">
        <v>22</v>
      </c>
      <c r="I25" t="s">
        <v>166</v>
      </c>
      <c r="J25" t="s">
        <v>167</v>
      </c>
      <c r="K25" t="s">
        <v>168</v>
      </c>
      <c r="L25" t="s">
        <v>129</v>
      </c>
      <c r="M25">
        <v>5</v>
      </c>
      <c r="N25" t="s">
        <v>129</v>
      </c>
      <c r="O25" t="s">
        <v>130</v>
      </c>
      <c r="P25" t="s">
        <v>169</v>
      </c>
      <c r="Q25" s="3">
        <v>24000000</v>
      </c>
      <c r="R25" s="3">
        <v>24000000</v>
      </c>
      <c r="S25" s="3">
        <v>0</v>
      </c>
    </row>
    <row r="26" spans="1:19" x14ac:dyDescent="0.25">
      <c r="A26">
        <v>900091143</v>
      </c>
      <c r="B26" t="s">
        <v>17</v>
      </c>
      <c r="C26" t="s">
        <v>170</v>
      </c>
      <c r="D26" t="s">
        <v>171</v>
      </c>
      <c r="E26" t="s">
        <v>170</v>
      </c>
      <c r="F26" t="s">
        <v>46</v>
      </c>
      <c r="G26" t="s">
        <v>172</v>
      </c>
      <c r="H26" t="s">
        <v>22</v>
      </c>
      <c r="I26" t="s">
        <v>173</v>
      </c>
      <c r="J26" t="s">
        <v>174</v>
      </c>
      <c r="K26" t="s">
        <v>50</v>
      </c>
      <c r="L26" t="s">
        <v>129</v>
      </c>
      <c r="M26">
        <v>5</v>
      </c>
      <c r="N26" t="s">
        <v>129</v>
      </c>
      <c r="O26" t="s">
        <v>130</v>
      </c>
      <c r="P26" t="s">
        <v>53</v>
      </c>
      <c r="Q26" s="3">
        <v>8000000</v>
      </c>
      <c r="R26" s="3">
        <v>8000000</v>
      </c>
      <c r="S26" s="3">
        <v>0</v>
      </c>
    </row>
    <row r="27" spans="1:19" x14ac:dyDescent="0.25">
      <c r="A27">
        <v>900091143</v>
      </c>
      <c r="B27" t="s">
        <v>17</v>
      </c>
      <c r="C27" t="s">
        <v>175</v>
      </c>
      <c r="D27" t="s">
        <v>176</v>
      </c>
      <c r="E27" t="s">
        <v>175</v>
      </c>
      <c r="F27" t="s">
        <v>46</v>
      </c>
      <c r="G27" t="s">
        <v>177</v>
      </c>
      <c r="H27" t="s">
        <v>22</v>
      </c>
      <c r="I27" t="s">
        <v>178</v>
      </c>
      <c r="J27" t="s">
        <v>179</v>
      </c>
      <c r="K27" t="s">
        <v>25</v>
      </c>
      <c r="L27" t="s">
        <v>129</v>
      </c>
      <c r="M27">
        <v>5</v>
      </c>
      <c r="N27" t="s">
        <v>129</v>
      </c>
      <c r="O27" t="s">
        <v>130</v>
      </c>
      <c r="P27" t="s">
        <v>65</v>
      </c>
      <c r="Q27" s="3">
        <v>30000000</v>
      </c>
      <c r="R27" s="3">
        <v>30000000</v>
      </c>
      <c r="S27" s="3">
        <v>0</v>
      </c>
    </row>
    <row r="28" spans="1:19" x14ac:dyDescent="0.25">
      <c r="A28">
        <v>900091143</v>
      </c>
      <c r="B28" t="s">
        <v>17</v>
      </c>
      <c r="C28" t="s">
        <v>180</v>
      </c>
      <c r="D28" t="s">
        <v>181</v>
      </c>
      <c r="E28" t="s">
        <v>180</v>
      </c>
      <c r="F28" t="s">
        <v>46</v>
      </c>
      <c r="G28" t="s">
        <v>182</v>
      </c>
      <c r="H28" t="s">
        <v>22</v>
      </c>
      <c r="I28" t="s">
        <v>183</v>
      </c>
      <c r="J28" t="s">
        <v>184</v>
      </c>
      <c r="K28" t="s">
        <v>71</v>
      </c>
      <c r="L28" t="s">
        <v>129</v>
      </c>
      <c r="M28">
        <v>5</v>
      </c>
      <c r="N28" t="s">
        <v>129</v>
      </c>
      <c r="O28" t="s">
        <v>130</v>
      </c>
      <c r="P28" t="s">
        <v>72</v>
      </c>
      <c r="Q28" s="3">
        <v>19302400</v>
      </c>
      <c r="R28" s="3">
        <v>19302400</v>
      </c>
      <c r="S28" s="3">
        <v>0</v>
      </c>
    </row>
    <row r="29" spans="1:19" x14ac:dyDescent="0.25">
      <c r="A29">
        <v>900091143</v>
      </c>
      <c r="B29" t="s">
        <v>17</v>
      </c>
      <c r="C29" t="s">
        <v>185</v>
      </c>
      <c r="D29" t="s">
        <v>186</v>
      </c>
      <c r="E29" t="s">
        <v>185</v>
      </c>
      <c r="F29" t="s">
        <v>46</v>
      </c>
      <c r="G29" t="s">
        <v>187</v>
      </c>
      <c r="H29" t="s">
        <v>22</v>
      </c>
      <c r="I29" t="s">
        <v>188</v>
      </c>
      <c r="J29" t="s">
        <v>189</v>
      </c>
      <c r="K29" t="s">
        <v>50</v>
      </c>
      <c r="L29" t="s">
        <v>129</v>
      </c>
      <c r="M29">
        <v>5</v>
      </c>
      <c r="N29" t="s">
        <v>129</v>
      </c>
      <c r="O29" t="s">
        <v>130</v>
      </c>
      <c r="P29" t="s">
        <v>53</v>
      </c>
      <c r="Q29" s="3">
        <v>8000000</v>
      </c>
      <c r="R29" s="3">
        <v>8000000</v>
      </c>
      <c r="S29" s="3">
        <v>0</v>
      </c>
    </row>
    <row r="30" spans="1:19" x14ac:dyDescent="0.25">
      <c r="A30">
        <v>900091143</v>
      </c>
      <c r="B30" t="s">
        <v>17</v>
      </c>
      <c r="C30" t="s">
        <v>190</v>
      </c>
      <c r="D30" t="s">
        <v>191</v>
      </c>
      <c r="E30" t="s">
        <v>190</v>
      </c>
      <c r="F30" t="s">
        <v>46</v>
      </c>
      <c r="G30" t="s">
        <v>192</v>
      </c>
      <c r="H30" t="s">
        <v>22</v>
      </c>
      <c r="I30" t="s">
        <v>193</v>
      </c>
      <c r="J30" t="s">
        <v>194</v>
      </c>
      <c r="K30" t="s">
        <v>50</v>
      </c>
      <c r="L30" t="s">
        <v>129</v>
      </c>
      <c r="M30">
        <v>5</v>
      </c>
      <c r="N30" t="s">
        <v>129</v>
      </c>
      <c r="O30" t="s">
        <v>130</v>
      </c>
      <c r="P30" t="s">
        <v>53</v>
      </c>
      <c r="Q30" s="3">
        <v>8000000</v>
      </c>
      <c r="R30" s="3">
        <v>8000000</v>
      </c>
      <c r="S30" s="3">
        <v>0</v>
      </c>
    </row>
    <row r="31" spans="1:19" x14ac:dyDescent="0.25">
      <c r="A31">
        <v>900091143</v>
      </c>
      <c r="B31" t="s">
        <v>17</v>
      </c>
      <c r="C31" t="s">
        <v>195</v>
      </c>
      <c r="D31" t="s">
        <v>196</v>
      </c>
      <c r="E31" t="s">
        <v>195</v>
      </c>
      <c r="F31" t="s">
        <v>46</v>
      </c>
      <c r="G31" t="s">
        <v>197</v>
      </c>
      <c r="H31" t="s">
        <v>22</v>
      </c>
      <c r="I31" t="s">
        <v>193</v>
      </c>
      <c r="J31" t="s">
        <v>194</v>
      </c>
      <c r="K31" t="s">
        <v>50</v>
      </c>
      <c r="L31" t="s">
        <v>129</v>
      </c>
      <c r="M31">
        <v>5</v>
      </c>
      <c r="N31" t="s">
        <v>129</v>
      </c>
      <c r="O31" t="s">
        <v>130</v>
      </c>
      <c r="P31" t="s">
        <v>53</v>
      </c>
      <c r="Q31" s="3">
        <v>8000000</v>
      </c>
      <c r="R31" s="3">
        <v>8000000</v>
      </c>
      <c r="S31" s="3">
        <v>0</v>
      </c>
    </row>
    <row r="32" spans="1:19" x14ac:dyDescent="0.25">
      <c r="A32">
        <v>900091143</v>
      </c>
      <c r="B32" t="s">
        <v>17</v>
      </c>
      <c r="C32" t="s">
        <v>198</v>
      </c>
      <c r="D32" t="s">
        <v>199</v>
      </c>
      <c r="E32" t="s">
        <v>198</v>
      </c>
      <c r="F32" t="s">
        <v>46</v>
      </c>
      <c r="G32" t="s">
        <v>200</v>
      </c>
      <c r="H32" t="s">
        <v>22</v>
      </c>
      <c r="I32" t="s">
        <v>201</v>
      </c>
      <c r="J32" t="s">
        <v>202</v>
      </c>
      <c r="K32" t="s">
        <v>50</v>
      </c>
      <c r="L32" t="s">
        <v>129</v>
      </c>
      <c r="M32">
        <v>5</v>
      </c>
      <c r="N32" t="s">
        <v>129</v>
      </c>
      <c r="O32" t="s">
        <v>130</v>
      </c>
      <c r="P32" t="s">
        <v>53</v>
      </c>
      <c r="Q32" s="3">
        <v>8000000</v>
      </c>
      <c r="R32" s="3">
        <v>8000000</v>
      </c>
      <c r="S32" s="3">
        <v>0</v>
      </c>
    </row>
    <row r="33" spans="1:19" x14ac:dyDescent="0.25">
      <c r="A33">
        <v>900091143</v>
      </c>
      <c r="B33" t="s">
        <v>17</v>
      </c>
      <c r="C33" t="s">
        <v>203</v>
      </c>
      <c r="D33" t="s">
        <v>204</v>
      </c>
      <c r="E33" t="s">
        <v>203</v>
      </c>
      <c r="F33" t="s">
        <v>46</v>
      </c>
      <c r="G33" t="s">
        <v>205</v>
      </c>
      <c r="H33" t="s">
        <v>22</v>
      </c>
      <c r="I33" t="s">
        <v>206</v>
      </c>
      <c r="J33" t="s">
        <v>207</v>
      </c>
      <c r="K33" t="s">
        <v>25</v>
      </c>
      <c r="L33" t="s">
        <v>129</v>
      </c>
      <c r="M33">
        <v>5</v>
      </c>
      <c r="N33" t="s">
        <v>42</v>
      </c>
      <c r="O33" t="s">
        <v>208</v>
      </c>
      <c r="P33" t="s">
        <v>65</v>
      </c>
      <c r="Q33" s="3">
        <v>30000000</v>
      </c>
      <c r="R33" s="3">
        <v>30000000</v>
      </c>
      <c r="S33" s="3">
        <v>0</v>
      </c>
    </row>
    <row r="34" spans="1:19" x14ac:dyDescent="0.25">
      <c r="A34">
        <v>900091143</v>
      </c>
      <c r="B34" t="s">
        <v>17</v>
      </c>
      <c r="C34" t="s">
        <v>209</v>
      </c>
      <c r="D34" t="s">
        <v>210</v>
      </c>
      <c r="E34" t="s">
        <v>209</v>
      </c>
      <c r="F34" t="s">
        <v>46</v>
      </c>
      <c r="G34" t="s">
        <v>211</v>
      </c>
      <c r="H34" t="s">
        <v>22</v>
      </c>
      <c r="I34" t="s">
        <v>212</v>
      </c>
      <c r="J34" t="s">
        <v>213</v>
      </c>
      <c r="K34" t="s">
        <v>50</v>
      </c>
      <c r="L34" t="s">
        <v>129</v>
      </c>
      <c r="M34">
        <v>5</v>
      </c>
      <c r="N34" t="s">
        <v>129</v>
      </c>
      <c r="O34" t="s">
        <v>130</v>
      </c>
      <c r="P34" t="s">
        <v>53</v>
      </c>
      <c r="Q34" s="3">
        <v>8000000</v>
      </c>
      <c r="R34" s="3">
        <v>8000000</v>
      </c>
      <c r="S34" s="3">
        <v>0</v>
      </c>
    </row>
    <row r="35" spans="1:19" x14ac:dyDescent="0.25">
      <c r="A35">
        <v>900091143</v>
      </c>
      <c r="B35" t="s">
        <v>17</v>
      </c>
      <c r="C35" t="s">
        <v>214</v>
      </c>
      <c r="D35" t="s">
        <v>215</v>
      </c>
      <c r="E35" t="s">
        <v>214</v>
      </c>
      <c r="F35" t="s">
        <v>46</v>
      </c>
      <c r="G35" t="s">
        <v>216</v>
      </c>
      <c r="H35" t="s">
        <v>22</v>
      </c>
      <c r="I35" t="s">
        <v>217</v>
      </c>
      <c r="J35" t="s">
        <v>218</v>
      </c>
      <c r="K35" t="s">
        <v>50</v>
      </c>
      <c r="L35" t="s">
        <v>42</v>
      </c>
      <c r="M35">
        <v>5</v>
      </c>
      <c r="N35" t="s">
        <v>219</v>
      </c>
      <c r="O35" t="s">
        <v>220</v>
      </c>
      <c r="P35" t="s">
        <v>53</v>
      </c>
      <c r="Q35" s="3">
        <v>8000000</v>
      </c>
      <c r="R35" s="3">
        <v>8000000</v>
      </c>
      <c r="S35" s="3">
        <v>0</v>
      </c>
    </row>
    <row r="36" spans="1:19" x14ac:dyDescent="0.25">
      <c r="A36">
        <v>900091143</v>
      </c>
      <c r="B36" t="s">
        <v>17</v>
      </c>
      <c r="C36" t="s">
        <v>221</v>
      </c>
      <c r="D36" t="s">
        <v>222</v>
      </c>
      <c r="E36" t="s">
        <v>221</v>
      </c>
      <c r="F36" t="s">
        <v>46</v>
      </c>
      <c r="G36" t="s">
        <v>223</v>
      </c>
      <c r="H36" t="s">
        <v>22</v>
      </c>
      <c r="I36" t="s">
        <v>224</v>
      </c>
      <c r="J36" t="s">
        <v>225</v>
      </c>
      <c r="K36" t="s">
        <v>2860</v>
      </c>
      <c r="L36" t="s">
        <v>219</v>
      </c>
      <c r="M36">
        <v>4</v>
      </c>
      <c r="N36" t="s">
        <v>226</v>
      </c>
      <c r="O36" t="s">
        <v>227</v>
      </c>
      <c r="P36" t="s">
        <v>93</v>
      </c>
      <c r="Q36" s="3">
        <v>19000000</v>
      </c>
      <c r="R36" s="3">
        <v>19000000</v>
      </c>
      <c r="S36" s="3">
        <v>0</v>
      </c>
    </row>
    <row r="37" spans="1:19" x14ac:dyDescent="0.25">
      <c r="A37">
        <v>900091143</v>
      </c>
      <c r="B37" t="s">
        <v>17</v>
      </c>
      <c r="C37" t="s">
        <v>228</v>
      </c>
      <c r="D37" t="s">
        <v>229</v>
      </c>
      <c r="E37" t="s">
        <v>228</v>
      </c>
      <c r="F37" t="s">
        <v>46</v>
      </c>
      <c r="G37" t="s">
        <v>230</v>
      </c>
      <c r="H37" t="s">
        <v>22</v>
      </c>
      <c r="I37" t="s">
        <v>231</v>
      </c>
      <c r="J37" t="s">
        <v>232</v>
      </c>
      <c r="K37" t="s">
        <v>2860</v>
      </c>
      <c r="L37" t="s">
        <v>233</v>
      </c>
      <c r="M37">
        <v>4</v>
      </c>
      <c r="N37" t="s">
        <v>233</v>
      </c>
      <c r="O37" t="s">
        <v>234</v>
      </c>
      <c r="P37" t="s">
        <v>93</v>
      </c>
      <c r="Q37" s="3">
        <v>19000000</v>
      </c>
      <c r="R37" s="3">
        <v>19000000</v>
      </c>
      <c r="S37" s="3">
        <v>0</v>
      </c>
    </row>
    <row r="38" spans="1:19" x14ac:dyDescent="0.25">
      <c r="A38">
        <v>900091143</v>
      </c>
      <c r="B38" t="s">
        <v>17</v>
      </c>
      <c r="C38" t="s">
        <v>235</v>
      </c>
      <c r="D38" t="s">
        <v>236</v>
      </c>
      <c r="E38" t="s">
        <v>235</v>
      </c>
      <c r="F38" t="s">
        <v>46</v>
      </c>
      <c r="G38" t="s">
        <v>237</v>
      </c>
      <c r="H38" t="s">
        <v>22</v>
      </c>
      <c r="I38" t="s">
        <v>238</v>
      </c>
      <c r="J38" t="s">
        <v>239</v>
      </c>
      <c r="K38" t="s">
        <v>168</v>
      </c>
      <c r="L38" t="s">
        <v>233</v>
      </c>
      <c r="M38">
        <v>4</v>
      </c>
      <c r="N38" t="s">
        <v>240</v>
      </c>
      <c r="O38" t="s">
        <v>241</v>
      </c>
      <c r="P38" t="s">
        <v>169</v>
      </c>
      <c r="Q38" s="3">
        <v>24000000</v>
      </c>
      <c r="R38" s="3">
        <v>24000000</v>
      </c>
      <c r="S38" s="3">
        <v>0</v>
      </c>
    </row>
    <row r="39" spans="1:19" x14ac:dyDescent="0.25">
      <c r="A39">
        <v>900091143</v>
      </c>
      <c r="B39" t="s">
        <v>17</v>
      </c>
      <c r="C39" t="s">
        <v>242</v>
      </c>
      <c r="D39" t="s">
        <v>243</v>
      </c>
      <c r="E39" t="s">
        <v>242</v>
      </c>
      <c r="F39" t="s">
        <v>46</v>
      </c>
      <c r="G39" t="s">
        <v>244</v>
      </c>
      <c r="H39" t="s">
        <v>22</v>
      </c>
      <c r="I39" t="s">
        <v>245</v>
      </c>
      <c r="J39" t="s">
        <v>246</v>
      </c>
      <c r="K39" t="s">
        <v>50</v>
      </c>
      <c r="L39" t="s">
        <v>233</v>
      </c>
      <c r="M39">
        <v>4</v>
      </c>
      <c r="N39" t="s">
        <v>233</v>
      </c>
      <c r="O39" t="s">
        <v>234</v>
      </c>
      <c r="P39" t="s">
        <v>53</v>
      </c>
      <c r="Q39" s="3">
        <v>8000000</v>
      </c>
      <c r="R39" s="3">
        <v>8000000</v>
      </c>
      <c r="S39" s="3">
        <v>0</v>
      </c>
    </row>
    <row r="40" spans="1:19" x14ac:dyDescent="0.25">
      <c r="A40">
        <v>900091143</v>
      </c>
      <c r="B40" t="s">
        <v>17</v>
      </c>
      <c r="C40" t="s">
        <v>247</v>
      </c>
      <c r="D40" t="s">
        <v>248</v>
      </c>
      <c r="E40" t="s">
        <v>247</v>
      </c>
      <c r="F40" t="s">
        <v>46</v>
      </c>
      <c r="G40" t="s">
        <v>249</v>
      </c>
      <c r="H40" t="s">
        <v>22</v>
      </c>
      <c r="I40" t="s">
        <v>250</v>
      </c>
      <c r="J40" t="s">
        <v>251</v>
      </c>
      <c r="K40" t="s">
        <v>168</v>
      </c>
      <c r="L40" t="s">
        <v>233</v>
      </c>
      <c r="M40">
        <v>4</v>
      </c>
      <c r="N40" t="s">
        <v>233</v>
      </c>
      <c r="O40" t="s">
        <v>234</v>
      </c>
      <c r="P40" t="s">
        <v>169</v>
      </c>
      <c r="Q40" s="3">
        <v>24000000</v>
      </c>
      <c r="R40" s="3">
        <v>24000000</v>
      </c>
      <c r="S40" s="3">
        <v>0</v>
      </c>
    </row>
    <row r="41" spans="1:19" x14ac:dyDescent="0.25">
      <c r="A41">
        <v>900091143</v>
      </c>
      <c r="B41" t="s">
        <v>17</v>
      </c>
      <c r="C41" t="s">
        <v>252</v>
      </c>
      <c r="D41" t="s">
        <v>253</v>
      </c>
      <c r="E41" t="s">
        <v>252</v>
      </c>
      <c r="F41" t="s">
        <v>46</v>
      </c>
      <c r="G41" t="s">
        <v>254</v>
      </c>
      <c r="H41" t="s">
        <v>22</v>
      </c>
      <c r="I41" t="s">
        <v>255</v>
      </c>
      <c r="J41" t="s">
        <v>256</v>
      </c>
      <c r="K41" t="s">
        <v>2860</v>
      </c>
      <c r="L41" t="s">
        <v>233</v>
      </c>
      <c r="M41">
        <v>4</v>
      </c>
      <c r="N41" t="s">
        <v>233</v>
      </c>
      <c r="O41" t="s">
        <v>234</v>
      </c>
      <c r="P41" t="s">
        <v>93</v>
      </c>
      <c r="Q41" s="3">
        <v>19000000</v>
      </c>
      <c r="R41" s="3">
        <v>19000000</v>
      </c>
      <c r="S41" s="3">
        <v>0</v>
      </c>
    </row>
    <row r="42" spans="1:19" x14ac:dyDescent="0.25">
      <c r="A42">
        <v>900091143</v>
      </c>
      <c r="B42" t="s">
        <v>17</v>
      </c>
      <c r="C42" t="s">
        <v>257</v>
      </c>
      <c r="D42" t="s">
        <v>258</v>
      </c>
      <c r="E42" t="s">
        <v>257</v>
      </c>
      <c r="F42" t="s">
        <v>46</v>
      </c>
      <c r="G42" t="s">
        <v>259</v>
      </c>
      <c r="H42" t="s">
        <v>22</v>
      </c>
      <c r="I42" t="s">
        <v>260</v>
      </c>
      <c r="J42" t="s">
        <v>261</v>
      </c>
      <c r="K42" t="s">
        <v>50</v>
      </c>
      <c r="L42" t="s">
        <v>233</v>
      </c>
      <c r="M42">
        <v>4</v>
      </c>
      <c r="N42" t="s">
        <v>233</v>
      </c>
      <c r="O42" t="s">
        <v>234</v>
      </c>
      <c r="P42" t="s">
        <v>53</v>
      </c>
      <c r="Q42" s="3">
        <v>8000000</v>
      </c>
      <c r="R42" s="3">
        <v>8000000</v>
      </c>
      <c r="S42" s="3">
        <v>0</v>
      </c>
    </row>
    <row r="43" spans="1:19" x14ac:dyDescent="0.25">
      <c r="A43">
        <v>900091143</v>
      </c>
      <c r="B43" t="s">
        <v>17</v>
      </c>
      <c r="C43" t="s">
        <v>262</v>
      </c>
      <c r="D43" t="s">
        <v>263</v>
      </c>
      <c r="E43" t="s">
        <v>262</v>
      </c>
      <c r="F43" t="s">
        <v>46</v>
      </c>
      <c r="G43" t="s">
        <v>264</v>
      </c>
      <c r="H43" t="s">
        <v>22</v>
      </c>
      <c r="I43" t="s">
        <v>265</v>
      </c>
      <c r="J43" t="s">
        <v>266</v>
      </c>
      <c r="K43" t="s">
        <v>71</v>
      </c>
      <c r="L43" t="s">
        <v>267</v>
      </c>
      <c r="M43">
        <v>4</v>
      </c>
      <c r="N43" t="s">
        <v>233</v>
      </c>
      <c r="O43" t="s">
        <v>234</v>
      </c>
      <c r="P43" t="s">
        <v>72</v>
      </c>
      <c r="Q43" s="3">
        <v>19302400</v>
      </c>
      <c r="R43" s="3">
        <v>19302400</v>
      </c>
      <c r="S43" s="3">
        <v>0</v>
      </c>
    </row>
    <row r="44" spans="1:19" x14ac:dyDescent="0.25">
      <c r="A44">
        <v>900091143</v>
      </c>
      <c r="B44" t="s">
        <v>17</v>
      </c>
      <c r="C44" t="s">
        <v>268</v>
      </c>
      <c r="D44" t="s">
        <v>269</v>
      </c>
      <c r="E44" t="s">
        <v>268</v>
      </c>
      <c r="F44" t="s">
        <v>46</v>
      </c>
      <c r="G44" t="s">
        <v>270</v>
      </c>
      <c r="H44" t="s">
        <v>22</v>
      </c>
      <c r="I44" t="s">
        <v>271</v>
      </c>
      <c r="J44" t="s">
        <v>272</v>
      </c>
      <c r="K44" t="s">
        <v>2860</v>
      </c>
      <c r="L44" t="s">
        <v>273</v>
      </c>
      <c r="M44">
        <v>4</v>
      </c>
      <c r="N44" t="s">
        <v>273</v>
      </c>
      <c r="O44" t="s">
        <v>274</v>
      </c>
      <c r="P44" t="s">
        <v>275</v>
      </c>
      <c r="Q44" s="3">
        <v>19000000</v>
      </c>
      <c r="R44" s="3">
        <v>19000000</v>
      </c>
      <c r="S44" s="3">
        <v>0</v>
      </c>
    </row>
    <row r="45" spans="1:19" x14ac:dyDescent="0.25">
      <c r="A45">
        <v>900091143</v>
      </c>
      <c r="B45" t="s">
        <v>17</v>
      </c>
      <c r="C45" t="s">
        <v>276</v>
      </c>
      <c r="D45" t="s">
        <v>277</v>
      </c>
      <c r="E45" t="s">
        <v>276</v>
      </c>
      <c r="F45" t="s">
        <v>46</v>
      </c>
      <c r="G45" t="s">
        <v>278</v>
      </c>
      <c r="H45" t="s">
        <v>22</v>
      </c>
      <c r="I45" t="s">
        <v>279</v>
      </c>
      <c r="J45" t="s">
        <v>280</v>
      </c>
      <c r="K45" t="s">
        <v>50</v>
      </c>
      <c r="L45" t="s">
        <v>273</v>
      </c>
      <c r="M45">
        <v>4</v>
      </c>
      <c r="N45" t="s">
        <v>273</v>
      </c>
      <c r="O45" t="s">
        <v>274</v>
      </c>
      <c r="P45" t="s">
        <v>53</v>
      </c>
      <c r="Q45" s="3">
        <v>8000000</v>
      </c>
      <c r="R45" s="3">
        <v>8000000</v>
      </c>
      <c r="S45" s="3">
        <v>0</v>
      </c>
    </row>
    <row r="46" spans="1:19" x14ac:dyDescent="0.25">
      <c r="A46">
        <v>900091143</v>
      </c>
      <c r="B46" t="s">
        <v>17</v>
      </c>
      <c r="C46" t="s">
        <v>281</v>
      </c>
      <c r="D46" t="s">
        <v>282</v>
      </c>
      <c r="E46" t="s">
        <v>281</v>
      </c>
      <c r="F46" t="s">
        <v>46</v>
      </c>
      <c r="G46" t="s">
        <v>283</v>
      </c>
      <c r="H46" t="s">
        <v>22</v>
      </c>
      <c r="I46" t="s">
        <v>284</v>
      </c>
      <c r="J46" t="s">
        <v>285</v>
      </c>
      <c r="K46" t="s">
        <v>50</v>
      </c>
      <c r="L46" t="s">
        <v>273</v>
      </c>
      <c r="M46">
        <v>4</v>
      </c>
      <c r="N46" t="s">
        <v>273</v>
      </c>
      <c r="O46" t="s">
        <v>274</v>
      </c>
      <c r="P46" t="s">
        <v>53</v>
      </c>
      <c r="Q46" s="3">
        <v>8000000</v>
      </c>
      <c r="R46" s="3">
        <v>8000000</v>
      </c>
      <c r="S46" s="3">
        <v>0</v>
      </c>
    </row>
    <row r="47" spans="1:19" x14ac:dyDescent="0.25">
      <c r="A47">
        <v>900091143</v>
      </c>
      <c r="B47" t="s">
        <v>17</v>
      </c>
      <c r="C47" t="s">
        <v>286</v>
      </c>
      <c r="D47" t="s">
        <v>287</v>
      </c>
      <c r="E47" t="s">
        <v>286</v>
      </c>
      <c r="F47" t="s">
        <v>46</v>
      </c>
      <c r="G47" t="s">
        <v>288</v>
      </c>
      <c r="H47" t="s">
        <v>22</v>
      </c>
      <c r="I47" t="s">
        <v>289</v>
      </c>
      <c r="J47" t="s">
        <v>290</v>
      </c>
      <c r="K47" t="s">
        <v>50</v>
      </c>
      <c r="L47" t="s">
        <v>273</v>
      </c>
      <c r="M47">
        <v>4</v>
      </c>
      <c r="N47" t="s">
        <v>273</v>
      </c>
      <c r="O47" t="s">
        <v>274</v>
      </c>
      <c r="P47" t="s">
        <v>53</v>
      </c>
      <c r="Q47" s="3">
        <v>8000000</v>
      </c>
      <c r="R47" s="3">
        <v>8000000</v>
      </c>
      <c r="S47" s="3">
        <v>0</v>
      </c>
    </row>
    <row r="48" spans="1:19" x14ac:dyDescent="0.25">
      <c r="A48">
        <v>900091143</v>
      </c>
      <c r="B48" t="s">
        <v>17</v>
      </c>
      <c r="C48" t="s">
        <v>291</v>
      </c>
      <c r="D48" t="s">
        <v>292</v>
      </c>
      <c r="E48" t="s">
        <v>291</v>
      </c>
      <c r="F48" t="s">
        <v>46</v>
      </c>
      <c r="G48" t="s">
        <v>293</v>
      </c>
      <c r="H48" t="s">
        <v>22</v>
      </c>
      <c r="I48" t="s">
        <v>294</v>
      </c>
      <c r="J48" t="s">
        <v>295</v>
      </c>
      <c r="K48" t="s">
        <v>71</v>
      </c>
      <c r="L48" t="s">
        <v>296</v>
      </c>
      <c r="M48">
        <v>4</v>
      </c>
      <c r="N48" t="s">
        <v>296</v>
      </c>
      <c r="O48" t="s">
        <v>297</v>
      </c>
      <c r="P48" t="s">
        <v>72</v>
      </c>
      <c r="Q48" s="3">
        <v>19302400</v>
      </c>
      <c r="R48" s="3">
        <v>19302400</v>
      </c>
      <c r="S48" s="3">
        <v>0</v>
      </c>
    </row>
    <row r="49" spans="1:20" x14ac:dyDescent="0.25">
      <c r="A49">
        <v>900091143</v>
      </c>
      <c r="B49" t="s">
        <v>17</v>
      </c>
      <c r="C49" t="s">
        <v>298</v>
      </c>
      <c r="D49" t="s">
        <v>299</v>
      </c>
      <c r="E49" t="s">
        <v>298</v>
      </c>
      <c r="F49" t="s">
        <v>46</v>
      </c>
      <c r="G49" t="s">
        <v>300</v>
      </c>
      <c r="H49" t="s">
        <v>22</v>
      </c>
      <c r="I49" t="s">
        <v>301</v>
      </c>
      <c r="J49" t="s">
        <v>302</v>
      </c>
      <c r="K49" t="s">
        <v>50</v>
      </c>
      <c r="L49" t="s">
        <v>296</v>
      </c>
      <c r="M49">
        <v>4</v>
      </c>
      <c r="N49" t="s">
        <v>296</v>
      </c>
      <c r="O49" t="s">
        <v>297</v>
      </c>
      <c r="P49" t="s">
        <v>53</v>
      </c>
      <c r="Q49" s="3">
        <v>8000000</v>
      </c>
      <c r="R49" s="3">
        <v>8000000</v>
      </c>
      <c r="S49" s="3">
        <v>0</v>
      </c>
    </row>
    <row r="50" spans="1:20" x14ac:dyDescent="0.25">
      <c r="A50">
        <v>900091143</v>
      </c>
      <c r="B50" t="s">
        <v>17</v>
      </c>
      <c r="C50" t="s">
        <v>303</v>
      </c>
      <c r="D50" t="s">
        <v>304</v>
      </c>
      <c r="E50" t="s">
        <v>303</v>
      </c>
      <c r="F50" t="s">
        <v>46</v>
      </c>
      <c r="G50" t="s">
        <v>305</v>
      </c>
      <c r="H50" t="s">
        <v>22</v>
      </c>
      <c r="I50" t="s">
        <v>306</v>
      </c>
      <c r="J50" t="s">
        <v>307</v>
      </c>
      <c r="K50" t="s">
        <v>168</v>
      </c>
      <c r="L50" t="s">
        <v>296</v>
      </c>
      <c r="M50">
        <v>4</v>
      </c>
      <c r="N50" t="s">
        <v>296</v>
      </c>
      <c r="O50" t="s">
        <v>297</v>
      </c>
      <c r="P50" t="s">
        <v>169</v>
      </c>
      <c r="Q50" s="3">
        <v>24000000</v>
      </c>
      <c r="R50" s="3">
        <v>24000000</v>
      </c>
      <c r="S50" s="3">
        <v>0</v>
      </c>
    </row>
    <row r="51" spans="1:20" x14ac:dyDescent="0.25">
      <c r="A51">
        <v>900091143</v>
      </c>
      <c r="B51" t="s">
        <v>17</v>
      </c>
      <c r="C51" t="s">
        <v>308</v>
      </c>
      <c r="D51" t="s">
        <v>309</v>
      </c>
      <c r="E51" t="s">
        <v>308</v>
      </c>
      <c r="F51" t="s">
        <v>46</v>
      </c>
      <c r="G51" t="s">
        <v>310</v>
      </c>
      <c r="H51" t="s">
        <v>22</v>
      </c>
      <c r="I51" t="s">
        <v>311</v>
      </c>
      <c r="J51" t="s">
        <v>312</v>
      </c>
      <c r="K51" t="s">
        <v>168</v>
      </c>
      <c r="L51" t="s">
        <v>296</v>
      </c>
      <c r="M51">
        <v>4</v>
      </c>
      <c r="N51" t="s">
        <v>296</v>
      </c>
      <c r="O51" t="s">
        <v>297</v>
      </c>
      <c r="P51" t="s">
        <v>313</v>
      </c>
      <c r="Q51" s="3">
        <v>24000000</v>
      </c>
      <c r="R51" s="3">
        <v>24000000</v>
      </c>
      <c r="S51" s="3">
        <v>0</v>
      </c>
    </row>
    <row r="52" spans="1:20" x14ac:dyDescent="0.25">
      <c r="A52">
        <v>900091143</v>
      </c>
      <c r="B52" t="s">
        <v>17</v>
      </c>
      <c r="C52" t="s">
        <v>314</v>
      </c>
      <c r="D52" t="s">
        <v>315</v>
      </c>
      <c r="E52" t="s">
        <v>314</v>
      </c>
      <c r="F52" t="s">
        <v>46</v>
      </c>
      <c r="G52" t="s">
        <v>316</v>
      </c>
      <c r="H52" t="s">
        <v>22</v>
      </c>
      <c r="I52" t="s">
        <v>317</v>
      </c>
      <c r="J52" t="s">
        <v>318</v>
      </c>
      <c r="K52" t="s">
        <v>71</v>
      </c>
      <c r="L52" t="s">
        <v>296</v>
      </c>
      <c r="M52">
        <v>4</v>
      </c>
      <c r="N52" t="s">
        <v>296</v>
      </c>
      <c r="O52" t="s">
        <v>297</v>
      </c>
      <c r="P52" t="s">
        <v>72</v>
      </c>
      <c r="Q52" s="3">
        <v>19302400</v>
      </c>
      <c r="R52" s="3">
        <v>19302400</v>
      </c>
      <c r="S52" s="3">
        <v>0</v>
      </c>
    </row>
    <row r="53" spans="1:20" x14ac:dyDescent="0.25">
      <c r="A53">
        <v>900091143</v>
      </c>
      <c r="B53" t="s">
        <v>17</v>
      </c>
      <c r="C53" t="s">
        <v>319</v>
      </c>
      <c r="D53" t="s">
        <v>320</v>
      </c>
      <c r="E53" t="s">
        <v>319</v>
      </c>
      <c r="F53" t="s">
        <v>46</v>
      </c>
      <c r="G53" t="s">
        <v>321</v>
      </c>
      <c r="H53" t="s">
        <v>22</v>
      </c>
      <c r="I53" t="s">
        <v>322</v>
      </c>
      <c r="J53" t="s">
        <v>323</v>
      </c>
      <c r="K53" t="s">
        <v>25</v>
      </c>
      <c r="L53" t="s">
        <v>296</v>
      </c>
      <c r="M53">
        <v>4</v>
      </c>
      <c r="N53" t="s">
        <v>296</v>
      </c>
      <c r="O53" t="s">
        <v>297</v>
      </c>
      <c r="P53" t="s">
        <v>65</v>
      </c>
      <c r="Q53" s="3">
        <v>30000000</v>
      </c>
      <c r="R53" s="3">
        <v>30000000</v>
      </c>
      <c r="S53" s="3">
        <v>0</v>
      </c>
    </row>
    <row r="54" spans="1:20" x14ac:dyDescent="0.25">
      <c r="A54">
        <v>900091143</v>
      </c>
      <c r="B54" t="s">
        <v>17</v>
      </c>
      <c r="C54" t="s">
        <v>324</v>
      </c>
      <c r="D54" t="s">
        <v>325</v>
      </c>
      <c r="E54" t="s">
        <v>324</v>
      </c>
      <c r="F54" t="s">
        <v>46</v>
      </c>
      <c r="G54" t="s">
        <v>326</v>
      </c>
      <c r="H54" t="s">
        <v>22</v>
      </c>
      <c r="I54" t="s">
        <v>327</v>
      </c>
      <c r="J54" t="s">
        <v>328</v>
      </c>
      <c r="K54" t="s">
        <v>25</v>
      </c>
      <c r="L54" t="s">
        <v>329</v>
      </c>
      <c r="M54">
        <v>4</v>
      </c>
      <c r="N54" t="s">
        <v>329</v>
      </c>
      <c r="O54" t="s">
        <v>330</v>
      </c>
      <c r="P54" t="s">
        <v>65</v>
      </c>
      <c r="Q54" s="3">
        <v>30000000</v>
      </c>
      <c r="R54" s="3">
        <v>30000000</v>
      </c>
      <c r="S54" s="3">
        <v>0</v>
      </c>
    </row>
    <row r="55" spans="1:20" x14ac:dyDescent="0.25">
      <c r="A55">
        <v>900091143</v>
      </c>
      <c r="B55" t="s">
        <v>17</v>
      </c>
      <c r="C55" t="s">
        <v>331</v>
      </c>
      <c r="D55" t="s">
        <v>332</v>
      </c>
      <c r="E55" t="s">
        <v>331</v>
      </c>
      <c r="F55" t="s">
        <v>46</v>
      </c>
      <c r="G55" t="s">
        <v>333</v>
      </c>
      <c r="H55" t="s">
        <v>22</v>
      </c>
      <c r="I55" t="s">
        <v>334</v>
      </c>
      <c r="J55" t="s">
        <v>335</v>
      </c>
      <c r="K55" t="s">
        <v>151</v>
      </c>
      <c r="L55" t="s">
        <v>329</v>
      </c>
      <c r="M55">
        <v>3</v>
      </c>
      <c r="N55" t="s">
        <v>329</v>
      </c>
      <c r="O55" t="s">
        <v>297</v>
      </c>
      <c r="P55" t="s">
        <v>152</v>
      </c>
      <c r="Q55" s="3">
        <v>19302400</v>
      </c>
      <c r="R55" s="3">
        <v>19302400</v>
      </c>
      <c r="S55" s="3">
        <v>0</v>
      </c>
    </row>
    <row r="56" spans="1:20" x14ac:dyDescent="0.25">
      <c r="A56">
        <v>900091143</v>
      </c>
      <c r="B56" t="s">
        <v>17</v>
      </c>
      <c r="C56" t="s">
        <v>336</v>
      </c>
      <c r="D56" t="s">
        <v>337</v>
      </c>
      <c r="E56" t="s">
        <v>336</v>
      </c>
      <c r="F56" t="s">
        <v>46</v>
      </c>
      <c r="G56" t="s">
        <v>338</v>
      </c>
      <c r="H56" t="s">
        <v>22</v>
      </c>
      <c r="I56" t="s">
        <v>339</v>
      </c>
      <c r="J56" t="s">
        <v>340</v>
      </c>
      <c r="K56" t="s">
        <v>50</v>
      </c>
      <c r="L56" t="s">
        <v>329</v>
      </c>
      <c r="M56">
        <v>4</v>
      </c>
      <c r="N56" t="s">
        <v>329</v>
      </c>
      <c r="O56" t="s">
        <v>330</v>
      </c>
      <c r="P56" t="s">
        <v>53</v>
      </c>
      <c r="Q56" s="3">
        <v>8000000</v>
      </c>
      <c r="R56" s="3">
        <v>8000000</v>
      </c>
      <c r="S56" s="3">
        <v>0</v>
      </c>
    </row>
    <row r="57" spans="1:20" x14ac:dyDescent="0.25">
      <c r="A57">
        <v>900091143</v>
      </c>
      <c r="B57" t="s">
        <v>17</v>
      </c>
      <c r="C57" t="s">
        <v>341</v>
      </c>
      <c r="D57" t="s">
        <v>342</v>
      </c>
      <c r="E57" t="s">
        <v>341</v>
      </c>
      <c r="F57" t="s">
        <v>46</v>
      </c>
      <c r="G57" t="s">
        <v>343</v>
      </c>
      <c r="H57" t="s">
        <v>22</v>
      </c>
      <c r="I57" t="s">
        <v>344</v>
      </c>
      <c r="J57" t="s">
        <v>345</v>
      </c>
      <c r="K57" t="s">
        <v>168</v>
      </c>
      <c r="L57" t="s">
        <v>329</v>
      </c>
      <c r="M57">
        <v>4</v>
      </c>
      <c r="N57" t="s">
        <v>329</v>
      </c>
      <c r="O57" t="s">
        <v>330</v>
      </c>
      <c r="P57" t="s">
        <v>169</v>
      </c>
      <c r="Q57" s="3">
        <v>24000000</v>
      </c>
      <c r="R57" s="3">
        <v>24000000</v>
      </c>
      <c r="S57" s="3">
        <v>0</v>
      </c>
    </row>
    <row r="58" spans="1:20" x14ac:dyDescent="0.25">
      <c r="A58">
        <v>900091143</v>
      </c>
      <c r="B58" t="s">
        <v>17</v>
      </c>
      <c r="C58" t="s">
        <v>346</v>
      </c>
      <c r="D58" t="s">
        <v>347</v>
      </c>
      <c r="E58" t="s">
        <v>346</v>
      </c>
      <c r="F58" t="s">
        <v>46</v>
      </c>
      <c r="G58" t="s">
        <v>348</v>
      </c>
      <c r="H58" t="s">
        <v>22</v>
      </c>
      <c r="I58" t="s">
        <v>349</v>
      </c>
      <c r="J58" t="s">
        <v>350</v>
      </c>
      <c r="K58" t="s">
        <v>50</v>
      </c>
      <c r="L58" t="s">
        <v>351</v>
      </c>
      <c r="M58">
        <v>4</v>
      </c>
      <c r="N58" t="s">
        <v>329</v>
      </c>
      <c r="O58" t="s">
        <v>330</v>
      </c>
      <c r="P58" t="s">
        <v>53</v>
      </c>
      <c r="Q58" s="3">
        <v>8000000</v>
      </c>
      <c r="R58" s="3">
        <v>8000000</v>
      </c>
      <c r="S58" s="3">
        <v>0</v>
      </c>
    </row>
    <row r="59" spans="1:20" x14ac:dyDescent="0.25">
      <c r="A59">
        <v>900091143</v>
      </c>
      <c r="B59" t="s">
        <v>17</v>
      </c>
      <c r="C59" t="s">
        <v>352</v>
      </c>
      <c r="D59" t="s">
        <v>353</v>
      </c>
      <c r="E59" t="s">
        <v>352</v>
      </c>
      <c r="F59" t="s">
        <v>46</v>
      </c>
      <c r="G59" t="s">
        <v>354</v>
      </c>
      <c r="H59" t="s">
        <v>22</v>
      </c>
      <c r="I59" t="s">
        <v>355</v>
      </c>
      <c r="J59" t="s">
        <v>356</v>
      </c>
      <c r="K59" t="s">
        <v>2860</v>
      </c>
      <c r="L59" t="s">
        <v>329</v>
      </c>
      <c r="M59">
        <v>4</v>
      </c>
      <c r="N59" t="s">
        <v>329</v>
      </c>
      <c r="O59" t="s">
        <v>330</v>
      </c>
      <c r="P59" t="s">
        <v>93</v>
      </c>
      <c r="Q59" s="3">
        <v>19000000</v>
      </c>
      <c r="R59" s="3">
        <v>19000000</v>
      </c>
      <c r="S59" s="3">
        <v>0</v>
      </c>
    </row>
    <row r="60" spans="1:20" x14ac:dyDescent="0.25">
      <c r="A60">
        <v>900091143</v>
      </c>
      <c r="B60" t="s">
        <v>17</v>
      </c>
      <c r="C60" t="s">
        <v>357</v>
      </c>
      <c r="D60" t="s">
        <v>358</v>
      </c>
      <c r="E60" t="s">
        <v>357</v>
      </c>
      <c r="F60" t="s">
        <v>46</v>
      </c>
      <c r="G60" t="s">
        <v>359</v>
      </c>
      <c r="H60" t="s">
        <v>22</v>
      </c>
      <c r="I60" t="s">
        <v>360</v>
      </c>
      <c r="J60" t="s">
        <v>361</v>
      </c>
      <c r="K60" t="s">
        <v>71</v>
      </c>
      <c r="L60" t="s">
        <v>329</v>
      </c>
      <c r="M60">
        <v>4</v>
      </c>
      <c r="N60" t="s">
        <v>329</v>
      </c>
      <c r="O60" t="s">
        <v>330</v>
      </c>
      <c r="P60" t="s">
        <v>72</v>
      </c>
      <c r="Q60" s="3">
        <v>19302400</v>
      </c>
      <c r="R60" s="3">
        <v>19302400</v>
      </c>
      <c r="S60" s="3">
        <v>0</v>
      </c>
    </row>
    <row r="61" spans="1:20" x14ac:dyDescent="0.25">
      <c r="A61">
        <v>900091143</v>
      </c>
      <c r="B61" t="s">
        <v>17</v>
      </c>
      <c r="C61" t="s">
        <v>362</v>
      </c>
      <c r="D61" t="s">
        <v>363</v>
      </c>
      <c r="E61" t="s">
        <v>362</v>
      </c>
      <c r="F61" t="s">
        <v>46</v>
      </c>
      <c r="G61" t="s">
        <v>364</v>
      </c>
      <c r="H61" t="s">
        <v>22</v>
      </c>
      <c r="I61" t="s">
        <v>365</v>
      </c>
      <c r="J61" t="s">
        <v>366</v>
      </c>
      <c r="K61" t="s">
        <v>25</v>
      </c>
      <c r="L61" t="s">
        <v>351</v>
      </c>
      <c r="M61">
        <v>4</v>
      </c>
      <c r="N61" t="s">
        <v>329</v>
      </c>
      <c r="O61" t="s">
        <v>330</v>
      </c>
      <c r="P61" t="s">
        <v>65</v>
      </c>
      <c r="Q61" s="3">
        <v>30000000</v>
      </c>
      <c r="R61" s="3">
        <v>30000000</v>
      </c>
      <c r="S61" s="3">
        <v>0</v>
      </c>
    </row>
    <row r="62" spans="1:20" x14ac:dyDescent="0.25">
      <c r="A62">
        <v>900091143</v>
      </c>
      <c r="B62" t="s">
        <v>17</v>
      </c>
      <c r="C62" t="s">
        <v>367</v>
      </c>
      <c r="D62" t="s">
        <v>368</v>
      </c>
      <c r="E62" t="s">
        <v>367</v>
      </c>
      <c r="F62" t="s">
        <v>46</v>
      </c>
      <c r="G62" t="s">
        <v>369</v>
      </c>
      <c r="H62" t="s">
        <v>22</v>
      </c>
      <c r="I62" t="s">
        <v>370</v>
      </c>
      <c r="J62" t="s">
        <v>371</v>
      </c>
      <c r="K62" t="s">
        <v>168</v>
      </c>
      <c r="L62" t="s">
        <v>351</v>
      </c>
      <c r="M62">
        <v>4</v>
      </c>
      <c r="N62" t="s">
        <v>329</v>
      </c>
      <c r="O62" t="s">
        <v>330</v>
      </c>
      <c r="P62" t="s">
        <v>372</v>
      </c>
      <c r="Q62" s="3">
        <v>2600000</v>
      </c>
      <c r="R62" s="3">
        <v>2600000</v>
      </c>
      <c r="S62" s="3">
        <v>0</v>
      </c>
      <c r="T62" s="5" t="s">
        <v>2864</v>
      </c>
    </row>
    <row r="63" spans="1:20" x14ac:dyDescent="0.25">
      <c r="A63">
        <v>900091143</v>
      </c>
      <c r="B63" t="s">
        <v>17</v>
      </c>
      <c r="C63" t="s">
        <v>373</v>
      </c>
      <c r="D63" t="s">
        <v>374</v>
      </c>
      <c r="E63" t="s">
        <v>373</v>
      </c>
      <c r="F63" t="s">
        <v>375</v>
      </c>
      <c r="G63" t="s">
        <v>376</v>
      </c>
      <c r="H63" t="s">
        <v>22</v>
      </c>
      <c r="I63" t="s">
        <v>377</v>
      </c>
      <c r="J63" t="s">
        <v>378</v>
      </c>
      <c r="K63" t="s">
        <v>32</v>
      </c>
      <c r="L63" t="s">
        <v>379</v>
      </c>
      <c r="M63">
        <v>1</v>
      </c>
      <c r="N63" t="s">
        <v>379</v>
      </c>
      <c r="O63" t="s">
        <v>380</v>
      </c>
      <c r="P63" t="s">
        <v>381</v>
      </c>
      <c r="Q63" s="3">
        <v>25496760</v>
      </c>
      <c r="R63" s="3">
        <v>25496760</v>
      </c>
      <c r="S63" s="3">
        <v>0</v>
      </c>
      <c r="T63" s="5" t="s">
        <v>2863</v>
      </c>
    </row>
    <row r="64" spans="1:20" x14ac:dyDescent="0.25">
      <c r="A64">
        <v>900091143</v>
      </c>
      <c r="B64" t="s">
        <v>17</v>
      </c>
      <c r="C64" t="s">
        <v>382</v>
      </c>
      <c r="D64" t="s">
        <v>383</v>
      </c>
      <c r="E64" t="s">
        <v>382</v>
      </c>
      <c r="F64" t="s">
        <v>46</v>
      </c>
      <c r="G64" t="s">
        <v>384</v>
      </c>
      <c r="H64" t="s">
        <v>22</v>
      </c>
      <c r="I64" t="s">
        <v>385</v>
      </c>
      <c r="J64" t="s">
        <v>386</v>
      </c>
      <c r="K64" t="s">
        <v>71</v>
      </c>
      <c r="L64" t="s">
        <v>379</v>
      </c>
      <c r="M64">
        <v>4</v>
      </c>
      <c r="N64" t="s">
        <v>379</v>
      </c>
      <c r="O64" t="s">
        <v>387</v>
      </c>
      <c r="P64" t="s">
        <v>72</v>
      </c>
      <c r="Q64" s="3">
        <v>19302400</v>
      </c>
      <c r="R64" s="3">
        <v>19302400</v>
      </c>
      <c r="S64" s="3">
        <v>0</v>
      </c>
    </row>
    <row r="65" spans="1:20" x14ac:dyDescent="0.25">
      <c r="A65">
        <v>900091143</v>
      </c>
      <c r="B65" t="s">
        <v>17</v>
      </c>
      <c r="C65" t="s">
        <v>388</v>
      </c>
      <c r="D65" t="s">
        <v>389</v>
      </c>
      <c r="E65" t="s">
        <v>388</v>
      </c>
      <c r="F65" t="s">
        <v>46</v>
      </c>
      <c r="G65" t="s">
        <v>390</v>
      </c>
      <c r="H65" t="s">
        <v>22</v>
      </c>
      <c r="I65" t="s">
        <v>391</v>
      </c>
      <c r="J65" t="s">
        <v>392</v>
      </c>
      <c r="K65" t="s">
        <v>25</v>
      </c>
      <c r="L65" t="s">
        <v>379</v>
      </c>
      <c r="M65">
        <v>4</v>
      </c>
      <c r="N65" t="s">
        <v>379</v>
      </c>
      <c r="O65" t="s">
        <v>387</v>
      </c>
      <c r="P65" t="s">
        <v>393</v>
      </c>
      <c r="Q65" s="3">
        <v>22500000</v>
      </c>
      <c r="R65" s="3">
        <v>22500000</v>
      </c>
      <c r="S65" s="3">
        <v>0</v>
      </c>
    </row>
    <row r="66" spans="1:20" x14ac:dyDescent="0.25">
      <c r="A66">
        <v>900091143</v>
      </c>
      <c r="B66" t="s">
        <v>17</v>
      </c>
      <c r="C66" t="s">
        <v>394</v>
      </c>
      <c r="D66" t="s">
        <v>395</v>
      </c>
      <c r="E66" t="s">
        <v>394</v>
      </c>
      <c r="F66" t="s">
        <v>396</v>
      </c>
      <c r="G66" t="s">
        <v>397</v>
      </c>
      <c r="H66" t="s">
        <v>38</v>
      </c>
      <c r="I66" t="s">
        <v>398</v>
      </c>
      <c r="J66" t="s">
        <v>399</v>
      </c>
      <c r="K66" t="s">
        <v>32</v>
      </c>
      <c r="L66" t="s">
        <v>379</v>
      </c>
      <c r="M66">
        <v>4</v>
      </c>
      <c r="N66" t="s">
        <v>400</v>
      </c>
      <c r="O66" t="s">
        <v>401</v>
      </c>
      <c r="P66" t="s">
        <v>402</v>
      </c>
      <c r="Q66" s="3">
        <v>257728831</v>
      </c>
      <c r="R66" s="3">
        <v>257728831</v>
      </c>
      <c r="S66" s="3">
        <v>0</v>
      </c>
      <c r="T66" s="5" t="s">
        <v>2865</v>
      </c>
    </row>
    <row r="67" spans="1:20" x14ac:dyDescent="0.25">
      <c r="A67">
        <v>900091143</v>
      </c>
      <c r="B67" t="s">
        <v>17</v>
      </c>
      <c r="C67" t="s">
        <v>403</v>
      </c>
      <c r="D67" t="s">
        <v>404</v>
      </c>
      <c r="E67" t="s">
        <v>403</v>
      </c>
      <c r="F67" t="s">
        <v>46</v>
      </c>
      <c r="G67" t="s">
        <v>405</v>
      </c>
      <c r="H67" t="s">
        <v>22</v>
      </c>
      <c r="I67" t="s">
        <v>406</v>
      </c>
      <c r="J67" t="s">
        <v>407</v>
      </c>
      <c r="K67" t="s">
        <v>50</v>
      </c>
      <c r="L67" t="s">
        <v>408</v>
      </c>
      <c r="M67">
        <v>4</v>
      </c>
      <c r="N67" t="s">
        <v>408</v>
      </c>
      <c r="O67" t="s">
        <v>409</v>
      </c>
      <c r="P67" t="s">
        <v>53</v>
      </c>
      <c r="Q67" s="3">
        <v>8000000</v>
      </c>
      <c r="R67" s="3">
        <v>8000000</v>
      </c>
      <c r="S67" s="3">
        <v>0</v>
      </c>
    </row>
    <row r="68" spans="1:20" x14ac:dyDescent="0.25">
      <c r="A68">
        <v>900091143</v>
      </c>
      <c r="B68" t="s">
        <v>17</v>
      </c>
      <c r="C68" t="s">
        <v>410</v>
      </c>
      <c r="D68" t="s">
        <v>411</v>
      </c>
      <c r="E68" t="s">
        <v>410</v>
      </c>
      <c r="F68" t="s">
        <v>46</v>
      </c>
      <c r="G68" t="s">
        <v>412</v>
      </c>
      <c r="H68" t="s">
        <v>22</v>
      </c>
      <c r="I68" t="s">
        <v>413</v>
      </c>
      <c r="J68" t="s">
        <v>414</v>
      </c>
      <c r="K68" t="s">
        <v>168</v>
      </c>
      <c r="L68" t="s">
        <v>408</v>
      </c>
      <c r="M68">
        <v>4</v>
      </c>
      <c r="N68" t="s">
        <v>408</v>
      </c>
      <c r="O68" t="s">
        <v>409</v>
      </c>
      <c r="P68" t="s">
        <v>169</v>
      </c>
      <c r="Q68" s="3">
        <v>24000000</v>
      </c>
      <c r="R68" s="3">
        <v>24000000</v>
      </c>
      <c r="S68" s="3">
        <v>0</v>
      </c>
    </row>
    <row r="69" spans="1:20" x14ac:dyDescent="0.25">
      <c r="A69">
        <v>900091143</v>
      </c>
      <c r="B69" t="s">
        <v>17</v>
      </c>
      <c r="C69" t="s">
        <v>415</v>
      </c>
      <c r="D69" t="s">
        <v>416</v>
      </c>
      <c r="E69" t="s">
        <v>415</v>
      </c>
      <c r="F69" t="s">
        <v>46</v>
      </c>
      <c r="G69" t="s">
        <v>417</v>
      </c>
      <c r="H69" t="s">
        <v>22</v>
      </c>
      <c r="I69" t="s">
        <v>418</v>
      </c>
      <c r="J69" t="s">
        <v>419</v>
      </c>
      <c r="K69" t="s">
        <v>25</v>
      </c>
      <c r="L69" t="s">
        <v>408</v>
      </c>
      <c r="M69">
        <v>4</v>
      </c>
      <c r="N69" t="s">
        <v>400</v>
      </c>
      <c r="O69" t="s">
        <v>420</v>
      </c>
      <c r="P69" t="s">
        <v>65</v>
      </c>
      <c r="Q69" s="3">
        <v>30000000</v>
      </c>
      <c r="R69" s="3">
        <v>30000000</v>
      </c>
      <c r="S69" s="3">
        <v>0</v>
      </c>
    </row>
    <row r="70" spans="1:20" x14ac:dyDescent="0.25">
      <c r="A70">
        <v>900091143</v>
      </c>
      <c r="B70" t="s">
        <v>17</v>
      </c>
      <c r="C70" t="s">
        <v>421</v>
      </c>
      <c r="D70" t="s">
        <v>422</v>
      </c>
      <c r="E70" t="s">
        <v>421</v>
      </c>
      <c r="F70" t="s">
        <v>46</v>
      </c>
      <c r="G70" t="s">
        <v>423</v>
      </c>
      <c r="H70" t="s">
        <v>22</v>
      </c>
      <c r="I70" t="s">
        <v>424</v>
      </c>
      <c r="J70" t="s">
        <v>425</v>
      </c>
      <c r="K70" t="s">
        <v>2860</v>
      </c>
      <c r="L70" t="s">
        <v>408</v>
      </c>
      <c r="M70">
        <v>4</v>
      </c>
      <c r="N70" t="s">
        <v>400</v>
      </c>
      <c r="O70" t="s">
        <v>420</v>
      </c>
      <c r="P70" t="s">
        <v>93</v>
      </c>
      <c r="Q70" s="3">
        <v>19000000</v>
      </c>
      <c r="R70" s="3">
        <v>19000000</v>
      </c>
      <c r="S70" s="3">
        <v>0</v>
      </c>
    </row>
    <row r="71" spans="1:20" x14ac:dyDescent="0.25">
      <c r="A71">
        <v>900091143</v>
      </c>
      <c r="B71" t="s">
        <v>17</v>
      </c>
      <c r="C71" t="s">
        <v>426</v>
      </c>
      <c r="D71" t="s">
        <v>427</v>
      </c>
      <c r="E71" t="s">
        <v>426</v>
      </c>
      <c r="F71" t="s">
        <v>46</v>
      </c>
      <c r="G71" t="s">
        <v>428</v>
      </c>
      <c r="H71" t="s">
        <v>22</v>
      </c>
      <c r="I71" t="s">
        <v>429</v>
      </c>
      <c r="J71" t="s">
        <v>430</v>
      </c>
      <c r="K71" t="s">
        <v>2860</v>
      </c>
      <c r="L71" t="s">
        <v>408</v>
      </c>
      <c r="M71">
        <v>4</v>
      </c>
      <c r="N71" t="s">
        <v>400</v>
      </c>
      <c r="O71" t="s">
        <v>420</v>
      </c>
      <c r="P71" t="s">
        <v>93</v>
      </c>
      <c r="Q71" s="3">
        <v>19000000</v>
      </c>
      <c r="R71" s="3">
        <v>19000000</v>
      </c>
      <c r="S71" s="3">
        <v>0</v>
      </c>
    </row>
    <row r="72" spans="1:20" x14ac:dyDescent="0.25">
      <c r="A72">
        <v>900091143</v>
      </c>
      <c r="B72" t="s">
        <v>17</v>
      </c>
      <c r="C72" t="s">
        <v>431</v>
      </c>
      <c r="D72" t="s">
        <v>432</v>
      </c>
      <c r="E72" t="s">
        <v>431</v>
      </c>
      <c r="F72" t="s">
        <v>46</v>
      </c>
      <c r="G72" t="s">
        <v>433</v>
      </c>
      <c r="H72" t="s">
        <v>22</v>
      </c>
      <c r="I72" t="s">
        <v>434</v>
      </c>
      <c r="J72" t="s">
        <v>435</v>
      </c>
      <c r="K72" t="s">
        <v>71</v>
      </c>
      <c r="L72" t="s">
        <v>400</v>
      </c>
      <c r="M72">
        <v>4</v>
      </c>
      <c r="N72" t="s">
        <v>400</v>
      </c>
      <c r="O72" t="s">
        <v>420</v>
      </c>
      <c r="P72" t="s">
        <v>72</v>
      </c>
      <c r="Q72" s="3">
        <v>19302400</v>
      </c>
      <c r="R72" s="3">
        <v>19302400</v>
      </c>
      <c r="S72" s="3">
        <v>0</v>
      </c>
    </row>
    <row r="73" spans="1:20" x14ac:dyDescent="0.25">
      <c r="A73">
        <v>900091143</v>
      </c>
      <c r="B73" t="s">
        <v>17</v>
      </c>
      <c r="C73" t="s">
        <v>436</v>
      </c>
      <c r="D73" t="s">
        <v>437</v>
      </c>
      <c r="E73" t="s">
        <v>436</v>
      </c>
      <c r="F73" t="s">
        <v>46</v>
      </c>
      <c r="G73" t="s">
        <v>438</v>
      </c>
      <c r="H73" t="s">
        <v>22</v>
      </c>
      <c r="I73" t="s">
        <v>439</v>
      </c>
      <c r="J73" t="s">
        <v>440</v>
      </c>
      <c r="K73" t="s">
        <v>25</v>
      </c>
      <c r="L73" t="s">
        <v>400</v>
      </c>
      <c r="M73">
        <v>4</v>
      </c>
      <c r="N73" t="s">
        <v>400</v>
      </c>
      <c r="O73" t="s">
        <v>420</v>
      </c>
      <c r="P73" t="s">
        <v>65</v>
      </c>
      <c r="Q73" s="3">
        <v>30000000</v>
      </c>
      <c r="R73" s="3">
        <v>30000000</v>
      </c>
      <c r="S73" s="3">
        <v>0</v>
      </c>
    </row>
    <row r="74" spans="1:20" x14ac:dyDescent="0.25">
      <c r="A74">
        <v>900091143</v>
      </c>
      <c r="B74" t="s">
        <v>17</v>
      </c>
      <c r="C74" t="s">
        <v>441</v>
      </c>
      <c r="D74" t="s">
        <v>442</v>
      </c>
      <c r="E74" t="s">
        <v>441</v>
      </c>
      <c r="F74" t="s">
        <v>46</v>
      </c>
      <c r="G74" t="s">
        <v>443</v>
      </c>
      <c r="H74" t="s">
        <v>22</v>
      </c>
      <c r="I74" t="s">
        <v>444</v>
      </c>
      <c r="J74" t="s">
        <v>445</v>
      </c>
      <c r="K74" t="s">
        <v>50</v>
      </c>
      <c r="L74" t="s">
        <v>400</v>
      </c>
      <c r="M74">
        <v>4</v>
      </c>
      <c r="N74" t="s">
        <v>400</v>
      </c>
      <c r="O74" t="s">
        <v>420</v>
      </c>
      <c r="P74" t="s">
        <v>53</v>
      </c>
      <c r="Q74" s="3">
        <v>8000000</v>
      </c>
      <c r="R74" s="3">
        <v>8000000</v>
      </c>
      <c r="S74" s="3">
        <v>0</v>
      </c>
    </row>
    <row r="75" spans="1:20" x14ac:dyDescent="0.25">
      <c r="A75">
        <v>900091143</v>
      </c>
      <c r="B75" t="s">
        <v>17</v>
      </c>
      <c r="C75" t="s">
        <v>446</v>
      </c>
      <c r="D75" t="s">
        <v>447</v>
      </c>
      <c r="E75" t="s">
        <v>446</v>
      </c>
      <c r="F75" t="s">
        <v>46</v>
      </c>
      <c r="G75" t="s">
        <v>448</v>
      </c>
      <c r="H75" t="s">
        <v>22</v>
      </c>
      <c r="I75" t="s">
        <v>449</v>
      </c>
      <c r="J75" t="s">
        <v>450</v>
      </c>
      <c r="K75" t="s">
        <v>451</v>
      </c>
      <c r="L75" t="s">
        <v>400</v>
      </c>
      <c r="M75">
        <v>4</v>
      </c>
      <c r="N75" t="s">
        <v>452</v>
      </c>
      <c r="O75" t="s">
        <v>453</v>
      </c>
      <c r="P75" t="s">
        <v>454</v>
      </c>
      <c r="Q75" s="3">
        <v>19302400</v>
      </c>
      <c r="R75" s="3">
        <v>19302400</v>
      </c>
      <c r="S75" s="3">
        <v>0</v>
      </c>
    </row>
    <row r="76" spans="1:20" x14ac:dyDescent="0.25">
      <c r="A76">
        <v>900091143</v>
      </c>
      <c r="B76" t="s">
        <v>17</v>
      </c>
      <c r="C76" t="s">
        <v>455</v>
      </c>
      <c r="D76" t="s">
        <v>456</v>
      </c>
      <c r="E76" t="s">
        <v>455</v>
      </c>
      <c r="F76" t="s">
        <v>46</v>
      </c>
      <c r="G76" t="s">
        <v>457</v>
      </c>
      <c r="H76" t="s">
        <v>22</v>
      </c>
      <c r="I76" t="s">
        <v>458</v>
      </c>
      <c r="J76" t="s">
        <v>459</v>
      </c>
      <c r="K76" t="s">
        <v>50</v>
      </c>
      <c r="L76" t="s">
        <v>400</v>
      </c>
      <c r="M76">
        <v>4</v>
      </c>
      <c r="N76" t="s">
        <v>400</v>
      </c>
      <c r="O76" t="s">
        <v>420</v>
      </c>
      <c r="P76" t="s">
        <v>460</v>
      </c>
      <c r="Q76" s="3">
        <v>8000000</v>
      </c>
      <c r="R76" s="3">
        <v>8000000</v>
      </c>
      <c r="S76" s="3">
        <v>0</v>
      </c>
    </row>
    <row r="77" spans="1:20" x14ac:dyDescent="0.25">
      <c r="A77">
        <v>900091143</v>
      </c>
      <c r="B77" t="s">
        <v>17</v>
      </c>
      <c r="C77" t="s">
        <v>461</v>
      </c>
      <c r="D77" t="s">
        <v>462</v>
      </c>
      <c r="E77" t="s">
        <v>461</v>
      </c>
      <c r="F77" t="s">
        <v>46</v>
      </c>
      <c r="G77" t="s">
        <v>463</v>
      </c>
      <c r="H77" t="s">
        <v>22</v>
      </c>
      <c r="I77" t="s">
        <v>464</v>
      </c>
      <c r="J77" t="s">
        <v>465</v>
      </c>
      <c r="K77" t="s">
        <v>50</v>
      </c>
      <c r="L77" t="s">
        <v>400</v>
      </c>
      <c r="M77">
        <v>4</v>
      </c>
      <c r="N77" t="s">
        <v>400</v>
      </c>
      <c r="O77" t="s">
        <v>420</v>
      </c>
      <c r="P77" t="s">
        <v>53</v>
      </c>
      <c r="Q77" s="3">
        <v>8000000</v>
      </c>
      <c r="R77" s="3">
        <v>8000000</v>
      </c>
      <c r="S77" s="3">
        <v>0</v>
      </c>
    </row>
    <row r="78" spans="1:20" x14ac:dyDescent="0.25">
      <c r="A78">
        <v>900091143</v>
      </c>
      <c r="B78" t="s">
        <v>17</v>
      </c>
      <c r="C78" t="s">
        <v>466</v>
      </c>
      <c r="D78" t="s">
        <v>467</v>
      </c>
      <c r="E78" t="s">
        <v>466</v>
      </c>
      <c r="F78" t="s">
        <v>46</v>
      </c>
      <c r="G78" t="s">
        <v>468</v>
      </c>
      <c r="H78" t="s">
        <v>22</v>
      </c>
      <c r="I78" t="s">
        <v>469</v>
      </c>
      <c r="J78" t="s">
        <v>470</v>
      </c>
      <c r="K78" t="s">
        <v>2860</v>
      </c>
      <c r="L78" t="s">
        <v>471</v>
      </c>
      <c r="M78">
        <v>4</v>
      </c>
      <c r="N78" t="s">
        <v>471</v>
      </c>
      <c r="O78" t="s">
        <v>472</v>
      </c>
      <c r="P78" t="s">
        <v>473</v>
      </c>
      <c r="Q78" s="3">
        <v>19000000</v>
      </c>
      <c r="R78" s="3">
        <v>19000000</v>
      </c>
      <c r="S78" s="3">
        <v>0</v>
      </c>
    </row>
    <row r="79" spans="1:20" x14ac:dyDescent="0.25">
      <c r="A79">
        <v>900091143</v>
      </c>
      <c r="B79" t="s">
        <v>17</v>
      </c>
      <c r="C79" t="s">
        <v>474</v>
      </c>
      <c r="D79" t="s">
        <v>475</v>
      </c>
      <c r="E79" t="s">
        <v>474</v>
      </c>
      <c r="F79" t="s">
        <v>46</v>
      </c>
      <c r="G79" t="s">
        <v>476</v>
      </c>
      <c r="H79" t="s">
        <v>22</v>
      </c>
      <c r="I79" t="s">
        <v>477</v>
      </c>
      <c r="J79" t="s">
        <v>478</v>
      </c>
      <c r="K79" t="s">
        <v>168</v>
      </c>
      <c r="L79" t="s">
        <v>479</v>
      </c>
      <c r="M79">
        <v>4</v>
      </c>
      <c r="N79" t="s">
        <v>479</v>
      </c>
      <c r="O79" t="s">
        <v>480</v>
      </c>
      <c r="P79" t="s">
        <v>313</v>
      </c>
      <c r="Q79" s="3">
        <v>24000000</v>
      </c>
      <c r="R79" s="3">
        <v>24000000</v>
      </c>
      <c r="S79" s="3">
        <v>0</v>
      </c>
    </row>
    <row r="80" spans="1:20" x14ac:dyDescent="0.25">
      <c r="A80">
        <v>900091143</v>
      </c>
      <c r="B80" t="s">
        <v>17</v>
      </c>
      <c r="C80" t="s">
        <v>481</v>
      </c>
      <c r="D80" t="s">
        <v>482</v>
      </c>
      <c r="E80" t="s">
        <v>481</v>
      </c>
      <c r="F80" t="s">
        <v>46</v>
      </c>
      <c r="G80" t="s">
        <v>483</v>
      </c>
      <c r="H80" t="s">
        <v>22</v>
      </c>
      <c r="I80" t="s">
        <v>484</v>
      </c>
      <c r="J80" t="s">
        <v>485</v>
      </c>
      <c r="K80" t="s">
        <v>50</v>
      </c>
      <c r="L80" t="s">
        <v>479</v>
      </c>
      <c r="M80">
        <v>4</v>
      </c>
      <c r="N80" t="s">
        <v>486</v>
      </c>
      <c r="O80" t="s">
        <v>487</v>
      </c>
      <c r="P80" t="s">
        <v>53</v>
      </c>
      <c r="Q80" s="3">
        <v>8000000</v>
      </c>
      <c r="R80" s="3">
        <v>8000000</v>
      </c>
      <c r="S80" s="3">
        <v>0</v>
      </c>
    </row>
    <row r="81" spans="1:19" x14ac:dyDescent="0.25">
      <c r="A81">
        <v>900091143</v>
      </c>
      <c r="B81" t="s">
        <v>17</v>
      </c>
      <c r="C81" t="s">
        <v>488</v>
      </c>
      <c r="D81" t="s">
        <v>489</v>
      </c>
      <c r="E81" t="s">
        <v>488</v>
      </c>
      <c r="F81" t="s">
        <v>46</v>
      </c>
      <c r="G81" t="s">
        <v>490</v>
      </c>
      <c r="H81" t="s">
        <v>22</v>
      </c>
      <c r="I81" t="s">
        <v>23</v>
      </c>
      <c r="J81" t="s">
        <v>24</v>
      </c>
      <c r="K81" t="s">
        <v>71</v>
      </c>
      <c r="L81" t="s">
        <v>479</v>
      </c>
      <c r="M81">
        <v>4</v>
      </c>
      <c r="N81" t="s">
        <v>491</v>
      </c>
      <c r="O81" t="s">
        <v>492</v>
      </c>
      <c r="P81" t="s">
        <v>72</v>
      </c>
      <c r="Q81" s="3">
        <v>19302400</v>
      </c>
      <c r="R81" s="3">
        <v>19302400</v>
      </c>
      <c r="S81" s="3">
        <v>0</v>
      </c>
    </row>
    <row r="82" spans="1:19" x14ac:dyDescent="0.25">
      <c r="A82">
        <v>900091143</v>
      </c>
      <c r="B82" t="s">
        <v>17</v>
      </c>
      <c r="C82" t="s">
        <v>493</v>
      </c>
      <c r="D82" t="s">
        <v>494</v>
      </c>
      <c r="E82" t="s">
        <v>493</v>
      </c>
      <c r="F82" t="s">
        <v>46</v>
      </c>
      <c r="G82" t="s">
        <v>495</v>
      </c>
      <c r="H82" t="s">
        <v>22</v>
      </c>
      <c r="I82" t="s">
        <v>496</v>
      </c>
      <c r="J82" t="s">
        <v>497</v>
      </c>
      <c r="K82" t="s">
        <v>25</v>
      </c>
      <c r="L82" t="s">
        <v>479</v>
      </c>
      <c r="M82">
        <v>4</v>
      </c>
      <c r="N82" t="s">
        <v>486</v>
      </c>
      <c r="O82" t="s">
        <v>487</v>
      </c>
      <c r="P82" t="s">
        <v>393</v>
      </c>
      <c r="Q82" s="3">
        <v>30000000</v>
      </c>
      <c r="R82" s="3">
        <v>30000000</v>
      </c>
      <c r="S82" s="3">
        <v>0</v>
      </c>
    </row>
    <row r="83" spans="1:19" x14ac:dyDescent="0.25">
      <c r="A83">
        <v>900091143</v>
      </c>
      <c r="B83" t="s">
        <v>17</v>
      </c>
      <c r="C83" t="s">
        <v>498</v>
      </c>
      <c r="D83" t="s">
        <v>499</v>
      </c>
      <c r="E83" t="s">
        <v>498</v>
      </c>
      <c r="F83" t="s">
        <v>46</v>
      </c>
      <c r="G83" t="s">
        <v>500</v>
      </c>
      <c r="H83" t="s">
        <v>22</v>
      </c>
      <c r="I83" t="s">
        <v>501</v>
      </c>
      <c r="J83" t="s">
        <v>502</v>
      </c>
      <c r="K83" t="s">
        <v>50</v>
      </c>
      <c r="L83" t="s">
        <v>479</v>
      </c>
      <c r="M83">
        <v>4</v>
      </c>
      <c r="N83" t="s">
        <v>486</v>
      </c>
      <c r="O83" t="s">
        <v>487</v>
      </c>
      <c r="P83" t="s">
        <v>53</v>
      </c>
      <c r="Q83" s="3">
        <v>8000000</v>
      </c>
      <c r="R83" s="3">
        <v>8000000</v>
      </c>
      <c r="S83" s="3">
        <v>0</v>
      </c>
    </row>
    <row r="84" spans="1:19" x14ac:dyDescent="0.25">
      <c r="A84">
        <v>900091143</v>
      </c>
      <c r="B84" t="s">
        <v>17</v>
      </c>
      <c r="C84" t="s">
        <v>503</v>
      </c>
      <c r="D84" t="s">
        <v>504</v>
      </c>
      <c r="E84" t="s">
        <v>503</v>
      </c>
      <c r="F84" t="s">
        <v>46</v>
      </c>
      <c r="G84" t="s">
        <v>505</v>
      </c>
      <c r="H84" t="s">
        <v>22</v>
      </c>
      <c r="I84" t="s">
        <v>506</v>
      </c>
      <c r="J84" t="s">
        <v>507</v>
      </c>
      <c r="K84" t="s">
        <v>2860</v>
      </c>
      <c r="L84" t="s">
        <v>486</v>
      </c>
      <c r="M84">
        <v>4</v>
      </c>
      <c r="N84" t="s">
        <v>491</v>
      </c>
      <c r="O84" t="s">
        <v>492</v>
      </c>
      <c r="P84" t="s">
        <v>93</v>
      </c>
      <c r="Q84" s="3">
        <v>19000000</v>
      </c>
      <c r="R84" s="3">
        <v>19000000</v>
      </c>
      <c r="S84" s="3">
        <v>0</v>
      </c>
    </row>
    <row r="85" spans="1:19" x14ac:dyDescent="0.25">
      <c r="A85">
        <v>900091143</v>
      </c>
      <c r="B85" t="s">
        <v>17</v>
      </c>
      <c r="C85" t="s">
        <v>508</v>
      </c>
      <c r="D85" t="s">
        <v>509</v>
      </c>
      <c r="E85" t="s">
        <v>508</v>
      </c>
      <c r="F85" t="s">
        <v>46</v>
      </c>
      <c r="G85" t="s">
        <v>510</v>
      </c>
      <c r="H85" t="s">
        <v>22</v>
      </c>
      <c r="I85" t="s">
        <v>511</v>
      </c>
      <c r="J85" t="s">
        <v>512</v>
      </c>
      <c r="K85" t="s">
        <v>451</v>
      </c>
      <c r="L85" t="s">
        <v>491</v>
      </c>
      <c r="M85">
        <v>4</v>
      </c>
      <c r="N85" t="s">
        <v>491</v>
      </c>
      <c r="O85" t="s">
        <v>492</v>
      </c>
      <c r="P85" t="s">
        <v>454</v>
      </c>
      <c r="Q85" s="3">
        <v>19302400</v>
      </c>
      <c r="R85" s="3">
        <v>19302400</v>
      </c>
      <c r="S85" s="3">
        <v>0</v>
      </c>
    </row>
    <row r="86" spans="1:19" x14ac:dyDescent="0.25">
      <c r="A86">
        <v>900091143</v>
      </c>
      <c r="B86" t="s">
        <v>17</v>
      </c>
      <c r="C86" t="s">
        <v>513</v>
      </c>
      <c r="D86" t="s">
        <v>514</v>
      </c>
      <c r="E86" t="s">
        <v>513</v>
      </c>
      <c r="F86" t="s">
        <v>46</v>
      </c>
      <c r="G86" t="s">
        <v>515</v>
      </c>
      <c r="H86" t="s">
        <v>22</v>
      </c>
      <c r="I86" t="s">
        <v>516</v>
      </c>
      <c r="J86" t="s">
        <v>517</v>
      </c>
      <c r="K86" t="s">
        <v>50</v>
      </c>
      <c r="L86" t="s">
        <v>491</v>
      </c>
      <c r="M86">
        <v>4</v>
      </c>
      <c r="N86" t="s">
        <v>518</v>
      </c>
      <c r="O86" t="s">
        <v>519</v>
      </c>
      <c r="P86" t="s">
        <v>53</v>
      </c>
      <c r="Q86" s="3">
        <v>8000000</v>
      </c>
      <c r="R86" s="3">
        <v>8000000</v>
      </c>
      <c r="S86" s="3">
        <v>0</v>
      </c>
    </row>
    <row r="87" spans="1:19" x14ac:dyDescent="0.25">
      <c r="A87">
        <v>900091143</v>
      </c>
      <c r="B87" t="s">
        <v>17</v>
      </c>
      <c r="C87" t="s">
        <v>520</v>
      </c>
      <c r="D87" t="s">
        <v>521</v>
      </c>
      <c r="E87" t="s">
        <v>520</v>
      </c>
      <c r="F87" t="s">
        <v>46</v>
      </c>
      <c r="G87" t="s">
        <v>522</v>
      </c>
      <c r="H87" t="s">
        <v>22</v>
      </c>
      <c r="I87" t="s">
        <v>523</v>
      </c>
      <c r="J87" t="s">
        <v>524</v>
      </c>
      <c r="K87" t="s">
        <v>680</v>
      </c>
      <c r="L87" t="s">
        <v>491</v>
      </c>
      <c r="M87">
        <v>4</v>
      </c>
      <c r="N87" t="s">
        <v>518</v>
      </c>
      <c r="O87" t="s">
        <v>519</v>
      </c>
      <c r="P87" t="s">
        <v>525</v>
      </c>
      <c r="Q87" s="3">
        <v>8000000</v>
      </c>
      <c r="R87" s="3">
        <v>8000000</v>
      </c>
      <c r="S87" s="3">
        <v>0</v>
      </c>
    </row>
    <row r="88" spans="1:19" x14ac:dyDescent="0.25">
      <c r="A88">
        <v>900091143</v>
      </c>
      <c r="B88" t="s">
        <v>17</v>
      </c>
      <c r="C88" t="s">
        <v>526</v>
      </c>
      <c r="D88" t="s">
        <v>527</v>
      </c>
      <c r="E88" t="s">
        <v>526</v>
      </c>
      <c r="F88" t="s">
        <v>46</v>
      </c>
      <c r="G88" t="s">
        <v>528</v>
      </c>
      <c r="H88" t="s">
        <v>22</v>
      </c>
      <c r="I88" t="s">
        <v>529</v>
      </c>
      <c r="J88" t="s">
        <v>530</v>
      </c>
      <c r="K88" t="s">
        <v>451</v>
      </c>
      <c r="L88" t="s">
        <v>491</v>
      </c>
      <c r="M88">
        <v>4</v>
      </c>
      <c r="N88" t="s">
        <v>518</v>
      </c>
      <c r="O88" t="s">
        <v>519</v>
      </c>
      <c r="P88" t="s">
        <v>454</v>
      </c>
      <c r="Q88" s="3">
        <v>19302400</v>
      </c>
      <c r="R88" s="3">
        <v>19302400</v>
      </c>
      <c r="S88" s="3">
        <v>0</v>
      </c>
    </row>
    <row r="89" spans="1:19" x14ac:dyDescent="0.25">
      <c r="A89">
        <v>900091143</v>
      </c>
      <c r="B89" t="s">
        <v>17</v>
      </c>
      <c r="C89" t="s">
        <v>531</v>
      </c>
      <c r="D89" t="s">
        <v>532</v>
      </c>
      <c r="E89" t="s">
        <v>531</v>
      </c>
      <c r="F89" t="s">
        <v>46</v>
      </c>
      <c r="G89" t="s">
        <v>533</v>
      </c>
      <c r="H89" t="s">
        <v>22</v>
      </c>
      <c r="I89" t="s">
        <v>534</v>
      </c>
      <c r="J89" t="s">
        <v>535</v>
      </c>
      <c r="K89" t="s">
        <v>50</v>
      </c>
      <c r="L89" t="s">
        <v>518</v>
      </c>
      <c r="M89">
        <v>4</v>
      </c>
      <c r="N89" t="s">
        <v>518</v>
      </c>
      <c r="O89" t="s">
        <v>519</v>
      </c>
      <c r="P89" t="s">
        <v>53</v>
      </c>
      <c r="Q89" s="3">
        <v>8000000</v>
      </c>
      <c r="R89" s="3">
        <v>8000000</v>
      </c>
      <c r="S89" s="3">
        <v>0</v>
      </c>
    </row>
    <row r="90" spans="1:19" x14ac:dyDescent="0.25">
      <c r="A90">
        <v>900091143</v>
      </c>
      <c r="B90" t="s">
        <v>17</v>
      </c>
      <c r="C90" t="s">
        <v>536</v>
      </c>
      <c r="D90" t="s">
        <v>537</v>
      </c>
      <c r="E90" t="s">
        <v>536</v>
      </c>
      <c r="F90" t="s">
        <v>46</v>
      </c>
      <c r="G90" t="s">
        <v>538</v>
      </c>
      <c r="H90" t="s">
        <v>22</v>
      </c>
      <c r="I90" t="s">
        <v>539</v>
      </c>
      <c r="J90" t="s">
        <v>540</v>
      </c>
      <c r="K90" t="s">
        <v>451</v>
      </c>
      <c r="L90" t="s">
        <v>518</v>
      </c>
      <c r="M90">
        <v>4</v>
      </c>
      <c r="N90" t="s">
        <v>518</v>
      </c>
      <c r="O90" t="s">
        <v>519</v>
      </c>
      <c r="P90" t="s">
        <v>454</v>
      </c>
      <c r="Q90" s="3">
        <v>19302400</v>
      </c>
      <c r="R90" s="3">
        <v>19302400</v>
      </c>
      <c r="S90" s="3">
        <v>0</v>
      </c>
    </row>
    <row r="91" spans="1:19" x14ac:dyDescent="0.25">
      <c r="A91">
        <v>900091143</v>
      </c>
      <c r="B91" t="s">
        <v>17</v>
      </c>
      <c r="C91" t="s">
        <v>541</v>
      </c>
      <c r="D91" t="s">
        <v>542</v>
      </c>
      <c r="E91" t="s">
        <v>541</v>
      </c>
      <c r="F91" t="s">
        <v>46</v>
      </c>
      <c r="G91" t="s">
        <v>543</v>
      </c>
      <c r="H91" t="s">
        <v>22</v>
      </c>
      <c r="I91" t="s">
        <v>544</v>
      </c>
      <c r="J91" t="s">
        <v>545</v>
      </c>
      <c r="K91" t="s">
        <v>50</v>
      </c>
      <c r="L91" t="s">
        <v>518</v>
      </c>
      <c r="M91">
        <v>4</v>
      </c>
      <c r="N91" t="s">
        <v>518</v>
      </c>
      <c r="O91" t="s">
        <v>519</v>
      </c>
      <c r="P91" t="s">
        <v>53</v>
      </c>
      <c r="Q91" s="3">
        <v>8000000</v>
      </c>
      <c r="R91" s="3">
        <v>8000000</v>
      </c>
      <c r="S91" s="3">
        <v>0</v>
      </c>
    </row>
    <row r="92" spans="1:19" x14ac:dyDescent="0.25">
      <c r="A92">
        <v>900091143</v>
      </c>
      <c r="B92" t="s">
        <v>17</v>
      </c>
      <c r="C92" t="s">
        <v>546</v>
      </c>
      <c r="D92" t="s">
        <v>547</v>
      </c>
      <c r="E92" t="s">
        <v>546</v>
      </c>
      <c r="F92" t="s">
        <v>46</v>
      </c>
      <c r="G92" t="s">
        <v>548</v>
      </c>
      <c r="H92" t="s">
        <v>22</v>
      </c>
      <c r="I92" t="s">
        <v>549</v>
      </c>
      <c r="J92" t="s">
        <v>550</v>
      </c>
      <c r="K92" t="s">
        <v>50</v>
      </c>
      <c r="L92" t="s">
        <v>518</v>
      </c>
      <c r="M92">
        <v>4</v>
      </c>
      <c r="N92" t="s">
        <v>518</v>
      </c>
      <c r="O92" t="s">
        <v>519</v>
      </c>
      <c r="P92" t="s">
        <v>53</v>
      </c>
      <c r="Q92" s="3">
        <v>8000000</v>
      </c>
      <c r="R92" s="3">
        <v>8000000</v>
      </c>
      <c r="S92" s="3">
        <v>0</v>
      </c>
    </row>
    <row r="93" spans="1:19" x14ac:dyDescent="0.25">
      <c r="A93">
        <v>900091143</v>
      </c>
      <c r="B93" t="s">
        <v>17</v>
      </c>
      <c r="C93" t="s">
        <v>551</v>
      </c>
      <c r="D93" t="s">
        <v>552</v>
      </c>
      <c r="E93" t="s">
        <v>551</v>
      </c>
      <c r="F93" t="s">
        <v>46</v>
      </c>
      <c r="G93" t="s">
        <v>553</v>
      </c>
      <c r="H93" t="s">
        <v>22</v>
      </c>
      <c r="I93" t="s">
        <v>554</v>
      </c>
      <c r="J93" t="s">
        <v>555</v>
      </c>
      <c r="K93" t="s">
        <v>50</v>
      </c>
      <c r="L93" t="s">
        <v>518</v>
      </c>
      <c r="M93">
        <v>4</v>
      </c>
      <c r="N93" t="s">
        <v>518</v>
      </c>
      <c r="O93" t="s">
        <v>519</v>
      </c>
      <c r="P93" t="s">
        <v>460</v>
      </c>
      <c r="Q93" s="3">
        <v>8000000</v>
      </c>
      <c r="R93" s="3">
        <v>8000000</v>
      </c>
      <c r="S93" s="3">
        <v>0</v>
      </c>
    </row>
    <row r="94" spans="1:19" x14ac:dyDescent="0.25">
      <c r="A94">
        <v>900091143</v>
      </c>
      <c r="B94" t="s">
        <v>17</v>
      </c>
      <c r="C94" t="s">
        <v>556</v>
      </c>
      <c r="D94" t="s">
        <v>557</v>
      </c>
      <c r="E94" t="s">
        <v>556</v>
      </c>
      <c r="F94" t="s">
        <v>46</v>
      </c>
      <c r="G94" t="s">
        <v>558</v>
      </c>
      <c r="H94" t="s">
        <v>22</v>
      </c>
      <c r="I94" t="s">
        <v>559</v>
      </c>
      <c r="J94" t="s">
        <v>560</v>
      </c>
      <c r="K94" t="s">
        <v>50</v>
      </c>
      <c r="L94" t="s">
        <v>518</v>
      </c>
      <c r="M94">
        <v>4</v>
      </c>
      <c r="N94" t="s">
        <v>518</v>
      </c>
      <c r="O94" t="s">
        <v>519</v>
      </c>
      <c r="P94" t="s">
        <v>460</v>
      </c>
      <c r="Q94" s="3">
        <v>8000000</v>
      </c>
      <c r="R94" s="3">
        <v>8000000</v>
      </c>
      <c r="S94" s="3">
        <v>0</v>
      </c>
    </row>
    <row r="95" spans="1:19" x14ac:dyDescent="0.25">
      <c r="A95">
        <v>900091143</v>
      </c>
      <c r="B95" t="s">
        <v>17</v>
      </c>
      <c r="C95" t="s">
        <v>561</v>
      </c>
      <c r="D95" t="s">
        <v>562</v>
      </c>
      <c r="E95" t="s">
        <v>561</v>
      </c>
      <c r="F95" t="s">
        <v>46</v>
      </c>
      <c r="G95" t="s">
        <v>563</v>
      </c>
      <c r="H95" t="s">
        <v>22</v>
      </c>
      <c r="I95" t="s">
        <v>564</v>
      </c>
      <c r="J95" t="s">
        <v>565</v>
      </c>
      <c r="K95" t="s">
        <v>50</v>
      </c>
      <c r="L95" t="s">
        <v>566</v>
      </c>
      <c r="M95">
        <v>4</v>
      </c>
      <c r="N95" t="s">
        <v>566</v>
      </c>
      <c r="O95" t="s">
        <v>567</v>
      </c>
      <c r="P95" t="s">
        <v>53</v>
      </c>
      <c r="Q95" s="3">
        <v>9000000</v>
      </c>
      <c r="R95" s="3">
        <v>9000000</v>
      </c>
      <c r="S95" s="3">
        <v>0</v>
      </c>
    </row>
    <row r="96" spans="1:19" x14ac:dyDescent="0.25">
      <c r="A96">
        <v>900091143</v>
      </c>
      <c r="B96" t="s">
        <v>17</v>
      </c>
      <c r="C96" t="s">
        <v>568</v>
      </c>
      <c r="D96" t="s">
        <v>569</v>
      </c>
      <c r="E96" t="s">
        <v>568</v>
      </c>
      <c r="F96" t="s">
        <v>46</v>
      </c>
      <c r="G96" t="s">
        <v>570</v>
      </c>
      <c r="H96" t="s">
        <v>22</v>
      </c>
      <c r="I96" t="s">
        <v>571</v>
      </c>
      <c r="J96" t="s">
        <v>572</v>
      </c>
      <c r="K96" t="s">
        <v>50</v>
      </c>
      <c r="L96" t="s">
        <v>566</v>
      </c>
      <c r="M96">
        <v>4</v>
      </c>
      <c r="N96" t="s">
        <v>566</v>
      </c>
      <c r="O96" t="s">
        <v>567</v>
      </c>
      <c r="P96" t="s">
        <v>53</v>
      </c>
      <c r="Q96" s="3">
        <v>8000000</v>
      </c>
      <c r="R96" s="3">
        <v>8000000</v>
      </c>
      <c r="S96" s="3">
        <v>0</v>
      </c>
    </row>
    <row r="97" spans="1:20" x14ac:dyDescent="0.25">
      <c r="A97">
        <v>900091143</v>
      </c>
      <c r="B97" t="s">
        <v>17</v>
      </c>
      <c r="C97" t="s">
        <v>573</v>
      </c>
      <c r="D97" t="s">
        <v>574</v>
      </c>
      <c r="E97" t="s">
        <v>573</v>
      </c>
      <c r="F97" t="s">
        <v>46</v>
      </c>
      <c r="G97" t="s">
        <v>575</v>
      </c>
      <c r="H97" t="s">
        <v>22</v>
      </c>
      <c r="I97" t="s">
        <v>576</v>
      </c>
      <c r="J97" t="s">
        <v>577</v>
      </c>
      <c r="K97" t="s">
        <v>50</v>
      </c>
      <c r="L97" t="s">
        <v>578</v>
      </c>
      <c r="M97">
        <v>4</v>
      </c>
      <c r="N97" t="s">
        <v>578</v>
      </c>
      <c r="O97" t="s">
        <v>401</v>
      </c>
      <c r="P97" t="s">
        <v>460</v>
      </c>
      <c r="Q97" s="3">
        <v>8000000</v>
      </c>
      <c r="R97" s="3">
        <v>8000000</v>
      </c>
      <c r="S97" s="3">
        <v>0</v>
      </c>
    </row>
    <row r="98" spans="1:20" x14ac:dyDescent="0.25">
      <c r="A98">
        <v>900091143</v>
      </c>
      <c r="B98" t="s">
        <v>17</v>
      </c>
      <c r="C98" t="s">
        <v>579</v>
      </c>
      <c r="D98" t="s">
        <v>580</v>
      </c>
      <c r="E98" t="s">
        <v>579</v>
      </c>
      <c r="F98" t="s">
        <v>46</v>
      </c>
      <c r="G98" t="s">
        <v>581</v>
      </c>
      <c r="H98" t="s">
        <v>22</v>
      </c>
      <c r="I98" t="s">
        <v>582</v>
      </c>
      <c r="J98" t="s">
        <v>583</v>
      </c>
      <c r="K98" t="s">
        <v>50</v>
      </c>
      <c r="L98" t="s">
        <v>584</v>
      </c>
      <c r="M98">
        <v>4</v>
      </c>
      <c r="N98" t="s">
        <v>584</v>
      </c>
      <c r="O98" t="s">
        <v>585</v>
      </c>
      <c r="P98" t="s">
        <v>53</v>
      </c>
      <c r="Q98" s="3">
        <v>8000000</v>
      </c>
      <c r="R98" s="3">
        <v>8000000</v>
      </c>
      <c r="S98" s="3">
        <v>0</v>
      </c>
    </row>
    <row r="99" spans="1:20" x14ac:dyDescent="0.25">
      <c r="A99">
        <v>900091143</v>
      </c>
      <c r="B99" t="s">
        <v>17</v>
      </c>
      <c r="C99" t="s">
        <v>586</v>
      </c>
      <c r="D99" t="s">
        <v>587</v>
      </c>
      <c r="E99" t="s">
        <v>586</v>
      </c>
      <c r="F99" t="s">
        <v>46</v>
      </c>
      <c r="G99" t="s">
        <v>588</v>
      </c>
      <c r="H99" t="s">
        <v>22</v>
      </c>
      <c r="I99" t="s">
        <v>589</v>
      </c>
      <c r="J99" t="s">
        <v>590</v>
      </c>
      <c r="K99" t="s">
        <v>50</v>
      </c>
      <c r="L99" t="s">
        <v>584</v>
      </c>
      <c r="M99">
        <v>4</v>
      </c>
      <c r="N99" t="s">
        <v>584</v>
      </c>
      <c r="O99" t="s">
        <v>585</v>
      </c>
      <c r="P99" t="s">
        <v>53</v>
      </c>
      <c r="Q99" s="3">
        <v>8000000</v>
      </c>
      <c r="R99" s="3">
        <v>8000000</v>
      </c>
      <c r="S99" s="3">
        <v>0</v>
      </c>
    </row>
    <row r="100" spans="1:20" x14ac:dyDescent="0.25">
      <c r="A100">
        <v>900091143</v>
      </c>
      <c r="B100" t="s">
        <v>17</v>
      </c>
      <c r="C100" t="s">
        <v>591</v>
      </c>
      <c r="D100" t="s">
        <v>592</v>
      </c>
      <c r="E100" t="s">
        <v>591</v>
      </c>
      <c r="F100" t="s">
        <v>46</v>
      </c>
      <c r="G100" t="s">
        <v>593</v>
      </c>
      <c r="H100" t="s">
        <v>22</v>
      </c>
      <c r="I100" t="s">
        <v>594</v>
      </c>
      <c r="J100" t="s">
        <v>595</v>
      </c>
      <c r="K100" t="s">
        <v>50</v>
      </c>
      <c r="L100" t="s">
        <v>584</v>
      </c>
      <c r="M100">
        <v>4</v>
      </c>
      <c r="N100" t="s">
        <v>584</v>
      </c>
      <c r="O100" t="s">
        <v>585</v>
      </c>
      <c r="P100" t="s">
        <v>53</v>
      </c>
      <c r="Q100" s="3">
        <v>8000000</v>
      </c>
      <c r="R100" s="3">
        <v>8000000</v>
      </c>
      <c r="S100" s="3">
        <v>0</v>
      </c>
    </row>
    <row r="101" spans="1:20" x14ac:dyDescent="0.25">
      <c r="A101">
        <v>900091143</v>
      </c>
      <c r="B101" t="s">
        <v>17</v>
      </c>
      <c r="C101" t="s">
        <v>596</v>
      </c>
      <c r="D101" t="s">
        <v>597</v>
      </c>
      <c r="E101" t="s">
        <v>596</v>
      </c>
      <c r="F101" t="s">
        <v>46</v>
      </c>
      <c r="G101" t="s">
        <v>598</v>
      </c>
      <c r="H101" t="s">
        <v>22</v>
      </c>
      <c r="I101" t="s">
        <v>599</v>
      </c>
      <c r="J101" t="s">
        <v>600</v>
      </c>
      <c r="K101" t="s">
        <v>2860</v>
      </c>
      <c r="L101" t="s">
        <v>584</v>
      </c>
      <c r="M101">
        <v>4</v>
      </c>
      <c r="N101" t="s">
        <v>584</v>
      </c>
      <c r="O101" t="s">
        <v>585</v>
      </c>
      <c r="P101" t="s">
        <v>93</v>
      </c>
      <c r="Q101" s="3">
        <v>19000000</v>
      </c>
      <c r="R101" s="3">
        <v>19000000</v>
      </c>
      <c r="S101" s="3">
        <v>0</v>
      </c>
    </row>
    <row r="102" spans="1:20" x14ac:dyDescent="0.25">
      <c r="A102">
        <v>900091143</v>
      </c>
      <c r="B102" t="s">
        <v>17</v>
      </c>
      <c r="C102" t="s">
        <v>601</v>
      </c>
      <c r="D102" t="s">
        <v>602</v>
      </c>
      <c r="E102" t="s">
        <v>601</v>
      </c>
      <c r="F102" t="s">
        <v>46</v>
      </c>
      <c r="G102" t="s">
        <v>603</v>
      </c>
      <c r="H102" t="s">
        <v>22</v>
      </c>
      <c r="I102" t="s">
        <v>604</v>
      </c>
      <c r="J102" t="s">
        <v>605</v>
      </c>
      <c r="K102" t="s">
        <v>50</v>
      </c>
      <c r="L102" t="s">
        <v>584</v>
      </c>
      <c r="M102">
        <v>4</v>
      </c>
      <c r="N102" t="s">
        <v>584</v>
      </c>
      <c r="O102" t="s">
        <v>585</v>
      </c>
      <c r="P102" t="s">
        <v>53</v>
      </c>
      <c r="Q102" s="3">
        <v>8000000</v>
      </c>
      <c r="R102" s="3">
        <v>8000000</v>
      </c>
      <c r="S102" s="3">
        <v>0</v>
      </c>
    </row>
    <row r="103" spans="1:20" x14ac:dyDescent="0.25">
      <c r="A103">
        <v>900091143</v>
      </c>
      <c r="B103" t="s">
        <v>17</v>
      </c>
      <c r="C103" t="s">
        <v>606</v>
      </c>
      <c r="D103" t="s">
        <v>607</v>
      </c>
      <c r="E103" t="s">
        <v>606</v>
      </c>
      <c r="F103" t="s">
        <v>46</v>
      </c>
      <c r="G103" t="s">
        <v>608</v>
      </c>
      <c r="H103" t="s">
        <v>22</v>
      </c>
      <c r="I103" t="s">
        <v>609</v>
      </c>
      <c r="J103" t="s">
        <v>610</v>
      </c>
      <c r="K103" t="s">
        <v>50</v>
      </c>
      <c r="L103" t="s">
        <v>380</v>
      </c>
      <c r="M103">
        <v>4</v>
      </c>
      <c r="N103" t="s">
        <v>380</v>
      </c>
      <c r="O103" t="s">
        <v>52</v>
      </c>
      <c r="P103" t="s">
        <v>53</v>
      </c>
      <c r="Q103" s="3">
        <v>8000000</v>
      </c>
      <c r="R103" s="3">
        <v>8000000</v>
      </c>
      <c r="S103" s="3">
        <v>0</v>
      </c>
    </row>
    <row r="104" spans="1:20" x14ac:dyDescent="0.25">
      <c r="A104">
        <v>900091143</v>
      </c>
      <c r="B104" t="s">
        <v>17</v>
      </c>
      <c r="C104" t="s">
        <v>611</v>
      </c>
      <c r="D104" t="s">
        <v>612</v>
      </c>
      <c r="E104" t="s">
        <v>611</v>
      </c>
      <c r="F104" t="s">
        <v>46</v>
      </c>
      <c r="G104" t="s">
        <v>613</v>
      </c>
      <c r="H104" t="s">
        <v>22</v>
      </c>
      <c r="I104" t="s">
        <v>614</v>
      </c>
      <c r="J104" t="s">
        <v>615</v>
      </c>
      <c r="K104" t="s">
        <v>50</v>
      </c>
      <c r="L104" t="s">
        <v>380</v>
      </c>
      <c r="M104">
        <v>4</v>
      </c>
      <c r="N104" t="s">
        <v>380</v>
      </c>
      <c r="O104" t="s">
        <v>52</v>
      </c>
      <c r="P104" t="s">
        <v>53</v>
      </c>
      <c r="Q104" s="3">
        <v>8000000</v>
      </c>
      <c r="R104" s="3">
        <v>8000000</v>
      </c>
      <c r="S104" s="3">
        <v>0</v>
      </c>
    </row>
    <row r="105" spans="1:20" x14ac:dyDescent="0.25">
      <c r="A105">
        <v>900091143</v>
      </c>
      <c r="B105" t="s">
        <v>17</v>
      </c>
      <c r="C105" t="s">
        <v>616</v>
      </c>
      <c r="D105" t="s">
        <v>617</v>
      </c>
      <c r="E105" t="s">
        <v>616</v>
      </c>
      <c r="F105" t="s">
        <v>46</v>
      </c>
      <c r="G105" t="s">
        <v>618</v>
      </c>
      <c r="H105" t="s">
        <v>22</v>
      </c>
      <c r="I105" t="s">
        <v>619</v>
      </c>
      <c r="J105" t="s">
        <v>620</v>
      </c>
      <c r="K105" t="s">
        <v>451</v>
      </c>
      <c r="L105" t="s">
        <v>380</v>
      </c>
      <c r="M105">
        <v>4</v>
      </c>
      <c r="N105" t="s">
        <v>380</v>
      </c>
      <c r="O105" t="s">
        <v>52</v>
      </c>
      <c r="P105" t="s">
        <v>454</v>
      </c>
      <c r="Q105" s="3">
        <v>19302400</v>
      </c>
      <c r="R105" s="3">
        <v>19302400</v>
      </c>
      <c r="S105" s="3">
        <v>0</v>
      </c>
    </row>
    <row r="106" spans="1:20" x14ac:dyDescent="0.25">
      <c r="A106">
        <v>900091143</v>
      </c>
      <c r="B106" t="s">
        <v>17</v>
      </c>
      <c r="C106" t="s">
        <v>621</v>
      </c>
      <c r="D106" t="s">
        <v>622</v>
      </c>
      <c r="E106" t="s">
        <v>621</v>
      </c>
      <c r="F106" t="s">
        <v>46</v>
      </c>
      <c r="G106" t="s">
        <v>623</v>
      </c>
      <c r="H106" t="s">
        <v>22</v>
      </c>
      <c r="I106" t="s">
        <v>624</v>
      </c>
      <c r="J106" t="s">
        <v>625</v>
      </c>
      <c r="K106" t="s">
        <v>50</v>
      </c>
      <c r="L106" t="s">
        <v>380</v>
      </c>
      <c r="M106">
        <v>4</v>
      </c>
      <c r="N106" t="s">
        <v>380</v>
      </c>
      <c r="O106" t="s">
        <v>52</v>
      </c>
      <c r="P106" t="s">
        <v>53</v>
      </c>
      <c r="Q106" s="3">
        <v>8000000</v>
      </c>
      <c r="R106" s="3">
        <v>8000000</v>
      </c>
      <c r="S106" s="3">
        <v>0</v>
      </c>
    </row>
    <row r="107" spans="1:20" x14ac:dyDescent="0.25">
      <c r="A107">
        <v>900091143</v>
      </c>
      <c r="B107" t="s">
        <v>17</v>
      </c>
      <c r="C107" t="s">
        <v>626</v>
      </c>
      <c r="D107" t="s">
        <v>627</v>
      </c>
      <c r="E107" t="s">
        <v>626</v>
      </c>
      <c r="F107" t="s">
        <v>46</v>
      </c>
      <c r="G107" t="s">
        <v>628</v>
      </c>
      <c r="H107" t="s">
        <v>22</v>
      </c>
      <c r="I107" t="s">
        <v>629</v>
      </c>
      <c r="J107" t="s">
        <v>630</v>
      </c>
      <c r="K107" t="s">
        <v>50</v>
      </c>
      <c r="L107" t="s">
        <v>631</v>
      </c>
      <c r="M107">
        <v>4</v>
      </c>
      <c r="N107" t="s">
        <v>380</v>
      </c>
      <c r="O107" t="s">
        <v>52</v>
      </c>
      <c r="P107" t="s">
        <v>53</v>
      </c>
      <c r="Q107" s="3">
        <v>8000000</v>
      </c>
      <c r="R107" s="3">
        <v>8000000</v>
      </c>
      <c r="S107" s="3">
        <v>0</v>
      </c>
    </row>
    <row r="108" spans="1:20" x14ac:dyDescent="0.25">
      <c r="A108">
        <v>900091143</v>
      </c>
      <c r="B108" t="s">
        <v>17</v>
      </c>
      <c r="C108" t="s">
        <v>632</v>
      </c>
      <c r="D108" t="s">
        <v>633</v>
      </c>
      <c r="E108" t="s">
        <v>632</v>
      </c>
      <c r="F108" t="s">
        <v>634</v>
      </c>
      <c r="G108" t="s">
        <v>635</v>
      </c>
      <c r="H108" t="s">
        <v>38</v>
      </c>
      <c r="I108" t="s">
        <v>636</v>
      </c>
      <c r="J108" t="s">
        <v>637</v>
      </c>
      <c r="K108" t="s">
        <v>32</v>
      </c>
      <c r="L108" t="s">
        <v>631</v>
      </c>
      <c r="M108">
        <v>3</v>
      </c>
      <c r="N108" t="s">
        <v>631</v>
      </c>
      <c r="O108" t="s">
        <v>567</v>
      </c>
      <c r="P108" t="s">
        <v>638</v>
      </c>
      <c r="Q108" s="3">
        <v>389900000</v>
      </c>
      <c r="R108" s="3">
        <v>389900000</v>
      </c>
      <c r="S108" s="3">
        <v>0</v>
      </c>
      <c r="T108" s="5" t="s">
        <v>2864</v>
      </c>
    </row>
    <row r="109" spans="1:20" x14ac:dyDescent="0.25">
      <c r="A109">
        <v>900091143</v>
      </c>
      <c r="B109" t="s">
        <v>17</v>
      </c>
      <c r="C109" t="s">
        <v>639</v>
      </c>
      <c r="D109" t="s">
        <v>640</v>
      </c>
      <c r="E109" t="s">
        <v>639</v>
      </c>
      <c r="F109" t="s">
        <v>46</v>
      </c>
      <c r="G109" t="s">
        <v>641</v>
      </c>
      <c r="H109" t="s">
        <v>22</v>
      </c>
      <c r="I109" t="s">
        <v>642</v>
      </c>
      <c r="J109" t="s">
        <v>643</v>
      </c>
      <c r="K109" t="s">
        <v>2860</v>
      </c>
      <c r="L109" t="s">
        <v>631</v>
      </c>
      <c r="M109">
        <v>4</v>
      </c>
      <c r="N109" t="s">
        <v>631</v>
      </c>
      <c r="O109" t="s">
        <v>130</v>
      </c>
      <c r="P109" t="s">
        <v>473</v>
      </c>
      <c r="Q109" s="3">
        <v>19000000</v>
      </c>
      <c r="R109" s="3">
        <v>19000000</v>
      </c>
      <c r="S109" s="3">
        <v>0</v>
      </c>
    </row>
    <row r="110" spans="1:20" x14ac:dyDescent="0.25">
      <c r="A110">
        <v>900091143</v>
      </c>
      <c r="B110" t="s">
        <v>17</v>
      </c>
      <c r="C110" t="s">
        <v>644</v>
      </c>
      <c r="D110" t="s">
        <v>645</v>
      </c>
      <c r="E110" t="s">
        <v>644</v>
      </c>
      <c r="F110" t="s">
        <v>46</v>
      </c>
      <c r="G110" t="s">
        <v>646</v>
      </c>
      <c r="H110" t="s">
        <v>22</v>
      </c>
      <c r="I110" t="s">
        <v>647</v>
      </c>
      <c r="J110" t="s">
        <v>648</v>
      </c>
      <c r="K110" t="s">
        <v>50</v>
      </c>
      <c r="L110" t="s">
        <v>649</v>
      </c>
      <c r="M110">
        <v>4</v>
      </c>
      <c r="N110" t="s">
        <v>649</v>
      </c>
      <c r="O110" t="s">
        <v>650</v>
      </c>
      <c r="P110" t="s">
        <v>460</v>
      </c>
      <c r="Q110" s="3">
        <v>8000000</v>
      </c>
      <c r="R110" s="3">
        <v>8000000</v>
      </c>
      <c r="S110" s="3">
        <v>0</v>
      </c>
    </row>
    <row r="111" spans="1:20" x14ac:dyDescent="0.25">
      <c r="A111">
        <v>900091143</v>
      </c>
      <c r="B111" t="s">
        <v>17</v>
      </c>
      <c r="C111" t="s">
        <v>651</v>
      </c>
      <c r="D111" t="s">
        <v>652</v>
      </c>
      <c r="E111" t="s">
        <v>651</v>
      </c>
      <c r="F111" t="s">
        <v>46</v>
      </c>
      <c r="G111" t="s">
        <v>653</v>
      </c>
      <c r="H111" t="s">
        <v>22</v>
      </c>
      <c r="I111" t="s">
        <v>654</v>
      </c>
      <c r="J111" t="s">
        <v>655</v>
      </c>
      <c r="K111" t="s">
        <v>50</v>
      </c>
      <c r="L111" t="s">
        <v>656</v>
      </c>
      <c r="M111">
        <v>4</v>
      </c>
      <c r="N111" t="s">
        <v>656</v>
      </c>
      <c r="O111" t="s">
        <v>657</v>
      </c>
      <c r="P111" t="s">
        <v>460</v>
      </c>
      <c r="Q111" s="3">
        <v>8000000</v>
      </c>
      <c r="R111" s="3">
        <v>8000000</v>
      </c>
      <c r="S111" s="3">
        <v>0</v>
      </c>
    </row>
    <row r="112" spans="1:20" x14ac:dyDescent="0.25">
      <c r="A112">
        <v>900091143</v>
      </c>
      <c r="B112" t="s">
        <v>17</v>
      </c>
      <c r="C112" t="s">
        <v>658</v>
      </c>
      <c r="D112" t="s">
        <v>659</v>
      </c>
      <c r="E112" t="s">
        <v>658</v>
      </c>
      <c r="F112" t="s">
        <v>46</v>
      </c>
      <c r="G112" t="s">
        <v>660</v>
      </c>
      <c r="H112" t="s">
        <v>22</v>
      </c>
      <c r="I112" t="s">
        <v>661</v>
      </c>
      <c r="J112" t="s">
        <v>662</v>
      </c>
      <c r="K112" t="s">
        <v>25</v>
      </c>
      <c r="L112" t="s">
        <v>656</v>
      </c>
      <c r="M112">
        <v>4</v>
      </c>
      <c r="N112" t="s">
        <v>656</v>
      </c>
      <c r="O112" t="s">
        <v>657</v>
      </c>
      <c r="P112" t="s">
        <v>393</v>
      </c>
      <c r="Q112" s="3">
        <v>30000000</v>
      </c>
      <c r="R112" s="3">
        <v>30000000</v>
      </c>
      <c r="S112" s="3">
        <v>0</v>
      </c>
    </row>
    <row r="113" spans="1:19" x14ac:dyDescent="0.25">
      <c r="A113">
        <v>900091143</v>
      </c>
      <c r="B113" t="s">
        <v>17</v>
      </c>
      <c r="C113" t="s">
        <v>663</v>
      </c>
      <c r="D113" t="s">
        <v>664</v>
      </c>
      <c r="E113" t="s">
        <v>663</v>
      </c>
      <c r="F113" t="s">
        <v>46</v>
      </c>
      <c r="G113" t="s">
        <v>665</v>
      </c>
      <c r="H113" t="s">
        <v>22</v>
      </c>
      <c r="I113" t="s">
        <v>666</v>
      </c>
      <c r="J113" t="s">
        <v>667</v>
      </c>
      <c r="K113" t="s">
        <v>50</v>
      </c>
      <c r="L113" t="s">
        <v>656</v>
      </c>
      <c r="M113">
        <v>4</v>
      </c>
      <c r="N113" t="s">
        <v>656</v>
      </c>
      <c r="O113" t="s">
        <v>657</v>
      </c>
      <c r="P113" t="s">
        <v>460</v>
      </c>
      <c r="Q113" s="3">
        <v>8000000</v>
      </c>
      <c r="R113" s="3">
        <v>8000000</v>
      </c>
      <c r="S113" s="3">
        <v>0</v>
      </c>
    </row>
    <row r="114" spans="1:19" x14ac:dyDescent="0.25">
      <c r="A114">
        <v>900091143</v>
      </c>
      <c r="B114" t="s">
        <v>17</v>
      </c>
      <c r="C114" t="s">
        <v>668</v>
      </c>
      <c r="D114" t="s">
        <v>669</v>
      </c>
      <c r="E114" t="s">
        <v>668</v>
      </c>
      <c r="F114" t="s">
        <v>46</v>
      </c>
      <c r="G114" t="s">
        <v>670</v>
      </c>
      <c r="H114" t="s">
        <v>22</v>
      </c>
      <c r="I114" t="s">
        <v>671</v>
      </c>
      <c r="J114" t="s">
        <v>672</v>
      </c>
      <c r="K114" t="s">
        <v>50</v>
      </c>
      <c r="L114" t="s">
        <v>673</v>
      </c>
      <c r="M114">
        <v>4</v>
      </c>
      <c r="N114" t="s">
        <v>673</v>
      </c>
      <c r="O114" t="s">
        <v>674</v>
      </c>
      <c r="P114" t="s">
        <v>460</v>
      </c>
      <c r="Q114" s="3">
        <v>8000000</v>
      </c>
      <c r="R114" s="3">
        <v>8000000</v>
      </c>
      <c r="S114" s="3">
        <v>0</v>
      </c>
    </row>
    <row r="115" spans="1:19" x14ac:dyDescent="0.25">
      <c r="A115">
        <v>900091143</v>
      </c>
      <c r="B115" t="s">
        <v>17</v>
      </c>
      <c r="C115" t="s">
        <v>675</v>
      </c>
      <c r="D115" t="s">
        <v>676</v>
      </c>
      <c r="E115" t="s">
        <v>675</v>
      </c>
      <c r="F115" t="s">
        <v>46</v>
      </c>
      <c r="G115" t="s">
        <v>677</v>
      </c>
      <c r="H115" t="s">
        <v>22</v>
      </c>
      <c r="I115" t="s">
        <v>678</v>
      </c>
      <c r="J115" t="s">
        <v>679</v>
      </c>
      <c r="K115" t="s">
        <v>680</v>
      </c>
      <c r="L115" t="s">
        <v>681</v>
      </c>
      <c r="M115">
        <v>4</v>
      </c>
      <c r="N115" t="s">
        <v>681</v>
      </c>
      <c r="O115" t="s">
        <v>682</v>
      </c>
      <c r="P115" t="s">
        <v>683</v>
      </c>
      <c r="Q115" s="3">
        <v>8000000</v>
      </c>
      <c r="R115" s="3">
        <v>8000000</v>
      </c>
      <c r="S115" s="3">
        <v>0</v>
      </c>
    </row>
    <row r="116" spans="1:19" x14ac:dyDescent="0.25">
      <c r="A116">
        <v>900091143</v>
      </c>
      <c r="B116" t="s">
        <v>17</v>
      </c>
      <c r="C116" t="s">
        <v>684</v>
      </c>
      <c r="D116" t="s">
        <v>685</v>
      </c>
      <c r="E116" t="s">
        <v>684</v>
      </c>
      <c r="F116" t="s">
        <v>46</v>
      </c>
      <c r="G116" t="s">
        <v>686</v>
      </c>
      <c r="H116" t="s">
        <v>22</v>
      </c>
      <c r="I116" t="s">
        <v>687</v>
      </c>
      <c r="J116" t="s">
        <v>688</v>
      </c>
      <c r="K116" t="s">
        <v>168</v>
      </c>
      <c r="L116" t="s">
        <v>681</v>
      </c>
      <c r="M116">
        <v>4</v>
      </c>
      <c r="N116" t="s">
        <v>681</v>
      </c>
      <c r="O116" t="s">
        <v>682</v>
      </c>
      <c r="P116" t="s">
        <v>169</v>
      </c>
      <c r="Q116" s="3">
        <v>24000000</v>
      </c>
      <c r="R116" s="3">
        <v>24000000</v>
      </c>
      <c r="S116" s="3">
        <v>0</v>
      </c>
    </row>
    <row r="117" spans="1:19" x14ac:dyDescent="0.25">
      <c r="A117">
        <v>900091143</v>
      </c>
      <c r="B117" t="s">
        <v>17</v>
      </c>
      <c r="C117" t="s">
        <v>689</v>
      </c>
      <c r="D117" t="s">
        <v>690</v>
      </c>
      <c r="E117" t="s">
        <v>689</v>
      </c>
      <c r="F117" t="s">
        <v>46</v>
      </c>
      <c r="G117" t="s">
        <v>691</v>
      </c>
      <c r="H117" t="s">
        <v>22</v>
      </c>
      <c r="I117" t="s">
        <v>692</v>
      </c>
      <c r="J117" t="s">
        <v>693</v>
      </c>
      <c r="K117" t="s">
        <v>50</v>
      </c>
      <c r="L117" t="s">
        <v>681</v>
      </c>
      <c r="M117">
        <v>4</v>
      </c>
      <c r="N117" t="s">
        <v>681</v>
      </c>
      <c r="O117" t="s">
        <v>682</v>
      </c>
      <c r="P117" t="s">
        <v>53</v>
      </c>
      <c r="Q117" s="3">
        <v>8000000</v>
      </c>
      <c r="R117" s="3">
        <v>8000000</v>
      </c>
      <c r="S117" s="3">
        <v>0</v>
      </c>
    </row>
    <row r="118" spans="1:19" x14ac:dyDescent="0.25">
      <c r="A118">
        <v>900091143</v>
      </c>
      <c r="B118" t="s">
        <v>17</v>
      </c>
      <c r="C118" t="s">
        <v>694</v>
      </c>
      <c r="D118" t="s">
        <v>695</v>
      </c>
      <c r="E118" t="s">
        <v>694</v>
      </c>
      <c r="F118" t="s">
        <v>46</v>
      </c>
      <c r="G118" t="s">
        <v>696</v>
      </c>
      <c r="H118" t="s">
        <v>22</v>
      </c>
      <c r="I118" t="s">
        <v>697</v>
      </c>
      <c r="J118" t="s">
        <v>698</v>
      </c>
      <c r="K118" t="s">
        <v>50</v>
      </c>
      <c r="L118" t="s">
        <v>699</v>
      </c>
      <c r="M118">
        <v>4</v>
      </c>
      <c r="N118" t="s">
        <v>699</v>
      </c>
      <c r="O118" t="s">
        <v>700</v>
      </c>
      <c r="P118" t="s">
        <v>460</v>
      </c>
      <c r="Q118" s="3">
        <v>8000000</v>
      </c>
      <c r="R118" s="3">
        <v>8000000</v>
      </c>
      <c r="S118" s="3">
        <v>0</v>
      </c>
    </row>
    <row r="119" spans="1:19" x14ac:dyDescent="0.25">
      <c r="A119">
        <v>900091143</v>
      </c>
      <c r="B119" t="s">
        <v>17</v>
      </c>
      <c r="C119" t="s">
        <v>701</v>
      </c>
      <c r="D119" t="s">
        <v>702</v>
      </c>
      <c r="E119" t="s">
        <v>701</v>
      </c>
      <c r="F119" t="s">
        <v>46</v>
      </c>
      <c r="G119" t="s">
        <v>703</v>
      </c>
      <c r="H119" t="s">
        <v>22</v>
      </c>
      <c r="I119" t="s">
        <v>704</v>
      </c>
      <c r="J119" t="s">
        <v>705</v>
      </c>
      <c r="K119" t="s">
        <v>50</v>
      </c>
      <c r="L119" t="s">
        <v>699</v>
      </c>
      <c r="M119">
        <v>4</v>
      </c>
      <c r="N119" t="s">
        <v>699</v>
      </c>
      <c r="O119" t="s">
        <v>700</v>
      </c>
      <c r="P119" t="s">
        <v>460</v>
      </c>
      <c r="Q119" s="3">
        <v>8000000</v>
      </c>
      <c r="R119" s="3">
        <v>8000000</v>
      </c>
      <c r="S119" s="3">
        <v>0</v>
      </c>
    </row>
    <row r="120" spans="1:19" x14ac:dyDescent="0.25">
      <c r="A120">
        <v>900091143</v>
      </c>
      <c r="B120" t="s">
        <v>17</v>
      </c>
      <c r="C120" t="s">
        <v>706</v>
      </c>
      <c r="D120" t="s">
        <v>707</v>
      </c>
      <c r="E120" t="s">
        <v>706</v>
      </c>
      <c r="F120" t="s">
        <v>46</v>
      </c>
      <c r="G120" t="s">
        <v>708</v>
      </c>
      <c r="H120" t="s">
        <v>22</v>
      </c>
      <c r="I120" t="s">
        <v>709</v>
      </c>
      <c r="J120" t="s">
        <v>710</v>
      </c>
      <c r="K120" t="s">
        <v>2860</v>
      </c>
      <c r="L120" t="s">
        <v>699</v>
      </c>
      <c r="M120">
        <v>4</v>
      </c>
      <c r="N120" t="s">
        <v>699</v>
      </c>
      <c r="O120" t="s">
        <v>700</v>
      </c>
      <c r="P120" t="s">
        <v>473</v>
      </c>
      <c r="Q120" s="3">
        <v>19000000</v>
      </c>
      <c r="R120" s="3">
        <v>19000000</v>
      </c>
      <c r="S120" s="3">
        <v>0</v>
      </c>
    </row>
    <row r="121" spans="1:19" x14ac:dyDescent="0.25">
      <c r="A121">
        <v>900091143</v>
      </c>
      <c r="B121" t="s">
        <v>17</v>
      </c>
      <c r="C121" t="s">
        <v>711</v>
      </c>
      <c r="D121" t="s">
        <v>712</v>
      </c>
      <c r="E121" t="s">
        <v>711</v>
      </c>
      <c r="F121" t="s">
        <v>46</v>
      </c>
      <c r="G121" t="s">
        <v>713</v>
      </c>
      <c r="H121" t="s">
        <v>22</v>
      </c>
      <c r="I121" t="s">
        <v>714</v>
      </c>
      <c r="J121" t="s">
        <v>715</v>
      </c>
      <c r="K121" t="s">
        <v>50</v>
      </c>
      <c r="L121" t="s">
        <v>699</v>
      </c>
      <c r="M121">
        <v>4</v>
      </c>
      <c r="N121" t="s">
        <v>699</v>
      </c>
      <c r="O121" t="s">
        <v>700</v>
      </c>
      <c r="P121" t="s">
        <v>460</v>
      </c>
      <c r="Q121" s="3">
        <v>8000000</v>
      </c>
      <c r="R121" s="3">
        <v>8000000</v>
      </c>
      <c r="S121" s="3">
        <v>0</v>
      </c>
    </row>
    <row r="122" spans="1:19" x14ac:dyDescent="0.25">
      <c r="A122">
        <v>900091143</v>
      </c>
      <c r="B122" t="s">
        <v>17</v>
      </c>
      <c r="C122" t="s">
        <v>716</v>
      </c>
      <c r="D122" t="s">
        <v>717</v>
      </c>
      <c r="E122" t="s">
        <v>716</v>
      </c>
      <c r="F122" t="s">
        <v>46</v>
      </c>
      <c r="G122" t="s">
        <v>718</v>
      </c>
      <c r="H122" t="s">
        <v>22</v>
      </c>
      <c r="I122" t="s">
        <v>719</v>
      </c>
      <c r="J122" t="s">
        <v>720</v>
      </c>
      <c r="K122" t="s">
        <v>50</v>
      </c>
      <c r="L122" t="s">
        <v>699</v>
      </c>
      <c r="M122">
        <v>4</v>
      </c>
      <c r="N122" t="s">
        <v>699</v>
      </c>
      <c r="O122" t="s">
        <v>700</v>
      </c>
      <c r="P122" t="s">
        <v>460</v>
      </c>
      <c r="Q122" s="3">
        <v>8000000</v>
      </c>
      <c r="R122" s="3">
        <v>8000000</v>
      </c>
      <c r="S122" s="3">
        <v>0</v>
      </c>
    </row>
    <row r="123" spans="1:19" x14ac:dyDescent="0.25">
      <c r="A123">
        <v>900091143</v>
      </c>
      <c r="B123" t="s">
        <v>17</v>
      </c>
      <c r="C123" t="s">
        <v>721</v>
      </c>
      <c r="D123" t="s">
        <v>722</v>
      </c>
      <c r="E123" t="s">
        <v>721</v>
      </c>
      <c r="F123" t="s">
        <v>46</v>
      </c>
      <c r="G123" t="s">
        <v>723</v>
      </c>
      <c r="H123" t="s">
        <v>22</v>
      </c>
      <c r="I123" t="s">
        <v>724</v>
      </c>
      <c r="J123" t="s">
        <v>725</v>
      </c>
      <c r="K123" t="s">
        <v>25</v>
      </c>
      <c r="L123" t="s">
        <v>699</v>
      </c>
      <c r="M123">
        <v>4</v>
      </c>
      <c r="N123" t="s">
        <v>699</v>
      </c>
      <c r="O123" t="s">
        <v>700</v>
      </c>
      <c r="P123" t="s">
        <v>393</v>
      </c>
      <c r="Q123" s="3">
        <v>30000000</v>
      </c>
      <c r="R123" s="3">
        <v>30000000</v>
      </c>
      <c r="S123" s="3">
        <v>0</v>
      </c>
    </row>
    <row r="124" spans="1:19" x14ac:dyDescent="0.25">
      <c r="A124">
        <v>900091143</v>
      </c>
      <c r="B124" t="s">
        <v>17</v>
      </c>
      <c r="C124" t="s">
        <v>726</v>
      </c>
      <c r="D124" t="s">
        <v>727</v>
      </c>
      <c r="E124" t="s">
        <v>726</v>
      </c>
      <c r="F124" t="s">
        <v>46</v>
      </c>
      <c r="G124" t="s">
        <v>728</v>
      </c>
      <c r="H124" t="s">
        <v>22</v>
      </c>
      <c r="I124" t="s">
        <v>729</v>
      </c>
      <c r="J124" t="s">
        <v>730</v>
      </c>
      <c r="K124" t="s">
        <v>50</v>
      </c>
      <c r="L124" t="s">
        <v>699</v>
      </c>
      <c r="M124">
        <v>4</v>
      </c>
      <c r="N124" t="s">
        <v>699</v>
      </c>
      <c r="O124" t="s">
        <v>700</v>
      </c>
      <c r="P124" t="s">
        <v>460</v>
      </c>
      <c r="Q124" s="3">
        <v>8000000</v>
      </c>
      <c r="R124" s="3">
        <v>8000000</v>
      </c>
      <c r="S124" s="3">
        <v>0</v>
      </c>
    </row>
    <row r="125" spans="1:19" x14ac:dyDescent="0.25">
      <c r="A125">
        <v>900091143</v>
      </c>
      <c r="B125" t="s">
        <v>17</v>
      </c>
      <c r="C125" t="s">
        <v>731</v>
      </c>
      <c r="D125" t="s">
        <v>732</v>
      </c>
      <c r="E125" t="s">
        <v>731</v>
      </c>
      <c r="F125" t="s">
        <v>46</v>
      </c>
      <c r="G125" t="s">
        <v>733</v>
      </c>
      <c r="H125" t="s">
        <v>22</v>
      </c>
      <c r="I125" t="s">
        <v>734</v>
      </c>
      <c r="J125" t="s">
        <v>735</v>
      </c>
      <c r="K125" t="s">
        <v>2860</v>
      </c>
      <c r="L125" t="s">
        <v>699</v>
      </c>
      <c r="M125">
        <v>4</v>
      </c>
      <c r="N125" t="s">
        <v>699</v>
      </c>
      <c r="O125" t="s">
        <v>700</v>
      </c>
      <c r="P125" t="s">
        <v>473</v>
      </c>
      <c r="Q125" s="3">
        <v>19000000</v>
      </c>
      <c r="R125" s="3">
        <v>19000000</v>
      </c>
      <c r="S125" s="3">
        <v>0</v>
      </c>
    </row>
    <row r="126" spans="1:19" x14ac:dyDescent="0.25">
      <c r="A126">
        <v>900091143</v>
      </c>
      <c r="B126" t="s">
        <v>17</v>
      </c>
      <c r="C126" t="s">
        <v>736</v>
      </c>
      <c r="D126" t="s">
        <v>737</v>
      </c>
      <c r="E126" t="s">
        <v>736</v>
      </c>
      <c r="F126" t="s">
        <v>46</v>
      </c>
      <c r="G126" t="s">
        <v>738</v>
      </c>
      <c r="H126" t="s">
        <v>22</v>
      </c>
      <c r="I126" t="s">
        <v>739</v>
      </c>
      <c r="J126" t="s">
        <v>740</v>
      </c>
      <c r="K126" t="s">
        <v>2860</v>
      </c>
      <c r="L126" t="s">
        <v>699</v>
      </c>
      <c r="M126">
        <v>4</v>
      </c>
      <c r="N126" t="s">
        <v>699</v>
      </c>
      <c r="O126" t="s">
        <v>700</v>
      </c>
      <c r="P126" t="s">
        <v>473</v>
      </c>
      <c r="Q126" s="3">
        <v>19000000</v>
      </c>
      <c r="R126" s="3">
        <v>19000000</v>
      </c>
      <c r="S126" s="3">
        <v>0</v>
      </c>
    </row>
    <row r="127" spans="1:19" x14ac:dyDescent="0.25">
      <c r="A127">
        <v>900091143</v>
      </c>
      <c r="B127" t="s">
        <v>17</v>
      </c>
      <c r="C127" t="s">
        <v>741</v>
      </c>
      <c r="D127" t="s">
        <v>742</v>
      </c>
      <c r="E127" t="s">
        <v>741</v>
      </c>
      <c r="F127" t="s">
        <v>46</v>
      </c>
      <c r="G127" t="s">
        <v>743</v>
      </c>
      <c r="H127" t="s">
        <v>22</v>
      </c>
      <c r="I127" t="s">
        <v>744</v>
      </c>
      <c r="J127" t="s">
        <v>745</v>
      </c>
      <c r="K127" t="s">
        <v>50</v>
      </c>
      <c r="L127" t="s">
        <v>699</v>
      </c>
      <c r="M127">
        <v>4</v>
      </c>
      <c r="N127" t="s">
        <v>699</v>
      </c>
      <c r="O127" t="s">
        <v>700</v>
      </c>
      <c r="P127" t="s">
        <v>53</v>
      </c>
      <c r="Q127" s="3">
        <v>8000000</v>
      </c>
      <c r="R127" s="3">
        <v>8000000</v>
      </c>
      <c r="S127" s="3">
        <v>0</v>
      </c>
    </row>
    <row r="128" spans="1:19" x14ac:dyDescent="0.25">
      <c r="A128">
        <v>900091143</v>
      </c>
      <c r="B128" t="s">
        <v>17</v>
      </c>
      <c r="C128" t="s">
        <v>746</v>
      </c>
      <c r="D128" t="s">
        <v>747</v>
      </c>
      <c r="E128" t="s">
        <v>746</v>
      </c>
      <c r="F128" t="s">
        <v>46</v>
      </c>
      <c r="G128" t="s">
        <v>748</v>
      </c>
      <c r="H128" t="s">
        <v>22</v>
      </c>
      <c r="I128" t="s">
        <v>749</v>
      </c>
      <c r="J128" t="s">
        <v>750</v>
      </c>
      <c r="K128" t="s">
        <v>25</v>
      </c>
      <c r="L128" t="s">
        <v>699</v>
      </c>
      <c r="M128">
        <v>4</v>
      </c>
      <c r="N128" t="s">
        <v>699</v>
      </c>
      <c r="O128" t="s">
        <v>700</v>
      </c>
      <c r="P128" t="s">
        <v>65</v>
      </c>
      <c r="Q128" s="3">
        <v>30000000</v>
      </c>
      <c r="R128" s="3">
        <v>30000000</v>
      </c>
      <c r="S128" s="3">
        <v>0</v>
      </c>
    </row>
    <row r="129" spans="1:20" x14ac:dyDescent="0.25">
      <c r="A129">
        <v>900091143</v>
      </c>
      <c r="B129" t="s">
        <v>17</v>
      </c>
      <c r="C129" t="s">
        <v>751</v>
      </c>
      <c r="D129" t="s">
        <v>752</v>
      </c>
      <c r="E129" t="s">
        <v>751</v>
      </c>
      <c r="F129" t="s">
        <v>46</v>
      </c>
      <c r="G129" t="s">
        <v>753</v>
      </c>
      <c r="H129" t="s">
        <v>22</v>
      </c>
      <c r="I129" t="s">
        <v>754</v>
      </c>
      <c r="J129" t="s">
        <v>755</v>
      </c>
      <c r="K129" t="s">
        <v>168</v>
      </c>
      <c r="L129" t="s">
        <v>699</v>
      </c>
      <c r="M129">
        <v>4</v>
      </c>
      <c r="N129" t="s">
        <v>699</v>
      </c>
      <c r="O129" t="s">
        <v>700</v>
      </c>
      <c r="P129" t="s">
        <v>313</v>
      </c>
      <c r="Q129" s="3">
        <v>24000000</v>
      </c>
      <c r="R129" s="3">
        <v>24000000</v>
      </c>
      <c r="S129" s="3">
        <v>0</v>
      </c>
    </row>
    <row r="130" spans="1:20" x14ac:dyDescent="0.25">
      <c r="A130">
        <v>900091143</v>
      </c>
      <c r="B130" t="s">
        <v>17</v>
      </c>
      <c r="C130" t="s">
        <v>756</v>
      </c>
      <c r="D130" t="s">
        <v>757</v>
      </c>
      <c r="E130" t="s">
        <v>756</v>
      </c>
      <c r="F130" t="s">
        <v>46</v>
      </c>
      <c r="G130" t="s">
        <v>758</v>
      </c>
      <c r="H130" t="s">
        <v>22</v>
      </c>
      <c r="I130" t="s">
        <v>759</v>
      </c>
      <c r="J130" t="s">
        <v>760</v>
      </c>
      <c r="K130" t="s">
        <v>50</v>
      </c>
      <c r="L130" t="s">
        <v>699</v>
      </c>
      <c r="M130">
        <v>4</v>
      </c>
      <c r="N130" t="s">
        <v>699</v>
      </c>
      <c r="O130" t="s">
        <v>700</v>
      </c>
      <c r="P130" t="s">
        <v>53</v>
      </c>
      <c r="Q130" s="3">
        <v>8000000</v>
      </c>
      <c r="R130" s="3">
        <v>8000000</v>
      </c>
      <c r="S130" s="3">
        <v>0</v>
      </c>
    </row>
    <row r="131" spans="1:20" x14ac:dyDescent="0.25">
      <c r="A131">
        <v>900091143</v>
      </c>
      <c r="B131" t="s">
        <v>17</v>
      </c>
      <c r="C131" t="s">
        <v>761</v>
      </c>
      <c r="D131" t="s">
        <v>762</v>
      </c>
      <c r="E131" t="s">
        <v>761</v>
      </c>
      <c r="F131" t="s">
        <v>46</v>
      </c>
      <c r="G131" t="s">
        <v>763</v>
      </c>
      <c r="H131" t="s">
        <v>22</v>
      </c>
      <c r="I131" t="s">
        <v>764</v>
      </c>
      <c r="J131" t="s">
        <v>765</v>
      </c>
      <c r="K131" t="s">
        <v>2861</v>
      </c>
      <c r="L131" t="s">
        <v>766</v>
      </c>
      <c r="M131">
        <v>4</v>
      </c>
      <c r="N131" t="s">
        <v>766</v>
      </c>
      <c r="O131" t="s">
        <v>767</v>
      </c>
      <c r="P131" t="s">
        <v>768</v>
      </c>
      <c r="Q131" s="3">
        <v>8000000</v>
      </c>
      <c r="R131" s="3">
        <v>8000000</v>
      </c>
      <c r="S131" s="3">
        <v>0</v>
      </c>
    </row>
    <row r="132" spans="1:20" x14ac:dyDescent="0.25">
      <c r="A132">
        <v>900091143</v>
      </c>
      <c r="B132" t="s">
        <v>17</v>
      </c>
      <c r="C132" t="s">
        <v>769</v>
      </c>
      <c r="D132" t="s">
        <v>770</v>
      </c>
      <c r="E132" t="s">
        <v>769</v>
      </c>
      <c r="F132" t="s">
        <v>375</v>
      </c>
      <c r="G132" t="s">
        <v>771</v>
      </c>
      <c r="H132" t="s">
        <v>22</v>
      </c>
      <c r="I132" t="s">
        <v>772</v>
      </c>
      <c r="J132" t="s">
        <v>773</v>
      </c>
      <c r="K132" t="s">
        <v>32</v>
      </c>
      <c r="L132" t="s">
        <v>774</v>
      </c>
      <c r="M132">
        <v>1</v>
      </c>
      <c r="N132" t="s">
        <v>774</v>
      </c>
      <c r="O132" t="s">
        <v>775</v>
      </c>
      <c r="P132" t="s">
        <v>776</v>
      </c>
      <c r="Q132" s="3">
        <v>1500000</v>
      </c>
      <c r="R132" s="3">
        <v>1500000</v>
      </c>
      <c r="S132" s="3">
        <v>0</v>
      </c>
      <c r="T132" t="s">
        <v>2867</v>
      </c>
    </row>
    <row r="133" spans="1:20" x14ac:dyDescent="0.25">
      <c r="A133">
        <v>900091143</v>
      </c>
      <c r="B133" t="s">
        <v>17</v>
      </c>
      <c r="C133" t="s">
        <v>777</v>
      </c>
      <c r="D133" t="s">
        <v>778</v>
      </c>
      <c r="E133" t="s">
        <v>777</v>
      </c>
      <c r="F133" t="s">
        <v>46</v>
      </c>
      <c r="G133" t="s">
        <v>779</v>
      </c>
      <c r="H133" t="s">
        <v>22</v>
      </c>
      <c r="I133" t="s">
        <v>780</v>
      </c>
      <c r="J133" t="s">
        <v>781</v>
      </c>
      <c r="K133" t="s">
        <v>2860</v>
      </c>
      <c r="L133" t="s">
        <v>782</v>
      </c>
      <c r="M133">
        <v>4</v>
      </c>
      <c r="N133" t="s">
        <v>782</v>
      </c>
      <c r="O133" t="s">
        <v>783</v>
      </c>
      <c r="P133" t="s">
        <v>473</v>
      </c>
      <c r="Q133" s="3">
        <v>14250000</v>
      </c>
      <c r="R133" s="3">
        <v>14250000</v>
      </c>
      <c r="S133" s="3">
        <v>0</v>
      </c>
    </row>
    <row r="134" spans="1:20" x14ac:dyDescent="0.25">
      <c r="A134">
        <v>900091143</v>
      </c>
      <c r="B134" t="s">
        <v>17</v>
      </c>
      <c r="C134" t="s">
        <v>784</v>
      </c>
      <c r="D134" t="s">
        <v>785</v>
      </c>
      <c r="E134" t="s">
        <v>784</v>
      </c>
      <c r="F134" t="s">
        <v>46</v>
      </c>
      <c r="G134" t="s">
        <v>786</v>
      </c>
      <c r="H134" t="s">
        <v>22</v>
      </c>
      <c r="I134" t="s">
        <v>787</v>
      </c>
      <c r="J134" t="s">
        <v>788</v>
      </c>
      <c r="K134" t="s">
        <v>50</v>
      </c>
      <c r="L134" t="s">
        <v>782</v>
      </c>
      <c r="M134">
        <v>4</v>
      </c>
      <c r="N134" t="s">
        <v>789</v>
      </c>
      <c r="O134" t="s">
        <v>790</v>
      </c>
      <c r="P134" t="s">
        <v>460</v>
      </c>
      <c r="Q134" s="3">
        <v>6000000</v>
      </c>
      <c r="R134" s="3">
        <v>6000000</v>
      </c>
      <c r="S134" s="3">
        <v>0</v>
      </c>
    </row>
    <row r="135" spans="1:20" x14ac:dyDescent="0.25">
      <c r="A135">
        <v>900091143</v>
      </c>
      <c r="B135" t="s">
        <v>17</v>
      </c>
      <c r="C135" t="s">
        <v>791</v>
      </c>
      <c r="D135" t="s">
        <v>792</v>
      </c>
      <c r="E135" t="s">
        <v>791</v>
      </c>
      <c r="F135" t="s">
        <v>46</v>
      </c>
      <c r="G135" t="s">
        <v>793</v>
      </c>
      <c r="H135" t="s">
        <v>22</v>
      </c>
      <c r="I135" t="s">
        <v>794</v>
      </c>
      <c r="J135" t="s">
        <v>795</v>
      </c>
      <c r="K135" t="s">
        <v>50</v>
      </c>
      <c r="L135" t="s">
        <v>789</v>
      </c>
      <c r="M135">
        <v>4</v>
      </c>
      <c r="N135" t="s">
        <v>789</v>
      </c>
      <c r="O135" t="s">
        <v>790</v>
      </c>
      <c r="P135" t="s">
        <v>460</v>
      </c>
      <c r="Q135" s="3">
        <v>6000000</v>
      </c>
      <c r="R135" s="3">
        <v>6000000</v>
      </c>
      <c r="S135" s="3">
        <v>0</v>
      </c>
    </row>
    <row r="136" spans="1:20" x14ac:dyDescent="0.25">
      <c r="A136">
        <v>900091143</v>
      </c>
      <c r="B136" t="s">
        <v>17</v>
      </c>
      <c r="C136" t="s">
        <v>796</v>
      </c>
      <c r="D136" t="s">
        <v>797</v>
      </c>
      <c r="E136" t="s">
        <v>796</v>
      </c>
      <c r="F136" t="s">
        <v>46</v>
      </c>
      <c r="G136" t="s">
        <v>798</v>
      </c>
      <c r="H136" t="s">
        <v>22</v>
      </c>
      <c r="I136" t="s">
        <v>799</v>
      </c>
      <c r="J136" t="s">
        <v>800</v>
      </c>
      <c r="K136" t="s">
        <v>50</v>
      </c>
      <c r="L136" t="s">
        <v>789</v>
      </c>
      <c r="M136">
        <v>4</v>
      </c>
      <c r="N136" t="s">
        <v>789</v>
      </c>
      <c r="O136" t="s">
        <v>790</v>
      </c>
      <c r="P136" t="s">
        <v>460</v>
      </c>
      <c r="Q136" s="3">
        <v>6000000</v>
      </c>
      <c r="R136" s="3">
        <v>6000000</v>
      </c>
      <c r="S136" s="3">
        <v>0</v>
      </c>
    </row>
    <row r="137" spans="1:20" x14ac:dyDescent="0.25">
      <c r="A137">
        <v>900091143</v>
      </c>
      <c r="B137" t="s">
        <v>17</v>
      </c>
      <c r="C137" t="s">
        <v>801</v>
      </c>
      <c r="D137" t="s">
        <v>802</v>
      </c>
      <c r="E137" t="s">
        <v>801</v>
      </c>
      <c r="F137" t="s">
        <v>46</v>
      </c>
      <c r="G137" t="s">
        <v>803</v>
      </c>
      <c r="H137" t="s">
        <v>22</v>
      </c>
      <c r="I137" t="s">
        <v>804</v>
      </c>
      <c r="J137" t="s">
        <v>805</v>
      </c>
      <c r="K137" t="s">
        <v>50</v>
      </c>
      <c r="L137" t="s">
        <v>789</v>
      </c>
      <c r="M137">
        <v>4</v>
      </c>
      <c r="N137" t="s">
        <v>789</v>
      </c>
      <c r="O137" t="s">
        <v>790</v>
      </c>
      <c r="P137" t="s">
        <v>460</v>
      </c>
      <c r="Q137" s="3">
        <v>6000000</v>
      </c>
      <c r="R137" s="3">
        <v>6000000</v>
      </c>
      <c r="S137" s="3">
        <v>0</v>
      </c>
    </row>
    <row r="138" spans="1:20" x14ac:dyDescent="0.25">
      <c r="A138">
        <v>900091143</v>
      </c>
      <c r="B138" t="s">
        <v>17</v>
      </c>
      <c r="C138" t="s">
        <v>806</v>
      </c>
      <c r="D138" t="s">
        <v>807</v>
      </c>
      <c r="E138" t="s">
        <v>806</v>
      </c>
      <c r="F138" t="s">
        <v>46</v>
      </c>
      <c r="G138" t="s">
        <v>808</v>
      </c>
      <c r="H138" t="s">
        <v>22</v>
      </c>
      <c r="I138" t="s">
        <v>809</v>
      </c>
      <c r="J138" t="s">
        <v>810</v>
      </c>
      <c r="K138" t="s">
        <v>50</v>
      </c>
      <c r="L138" t="s">
        <v>789</v>
      </c>
      <c r="M138">
        <v>4</v>
      </c>
      <c r="N138" t="s">
        <v>789</v>
      </c>
      <c r="O138" t="s">
        <v>790</v>
      </c>
      <c r="P138" t="s">
        <v>460</v>
      </c>
      <c r="Q138" s="3">
        <v>6000000</v>
      </c>
      <c r="R138" s="3">
        <v>6000000</v>
      </c>
      <c r="S138" s="3">
        <v>0</v>
      </c>
    </row>
    <row r="139" spans="1:20" x14ac:dyDescent="0.25">
      <c r="A139">
        <v>900091143</v>
      </c>
      <c r="B139" t="s">
        <v>17</v>
      </c>
      <c r="C139" t="s">
        <v>811</v>
      </c>
      <c r="D139" t="s">
        <v>812</v>
      </c>
      <c r="E139" t="s">
        <v>811</v>
      </c>
      <c r="F139" t="s">
        <v>46</v>
      </c>
      <c r="G139" t="s">
        <v>813</v>
      </c>
      <c r="H139" t="s">
        <v>22</v>
      </c>
      <c r="I139" t="s">
        <v>814</v>
      </c>
      <c r="J139" t="s">
        <v>815</v>
      </c>
      <c r="K139" t="s">
        <v>50</v>
      </c>
      <c r="L139" t="s">
        <v>816</v>
      </c>
      <c r="M139">
        <v>4</v>
      </c>
      <c r="N139" t="s">
        <v>816</v>
      </c>
      <c r="O139" t="s">
        <v>817</v>
      </c>
      <c r="P139" t="s">
        <v>460</v>
      </c>
      <c r="Q139" s="3">
        <v>6000000</v>
      </c>
      <c r="R139" s="3">
        <v>6000000</v>
      </c>
      <c r="S139" s="3">
        <v>0</v>
      </c>
    </row>
    <row r="140" spans="1:20" x14ac:dyDescent="0.25">
      <c r="A140">
        <v>900091143</v>
      </c>
      <c r="B140" t="s">
        <v>17</v>
      </c>
      <c r="C140" t="s">
        <v>818</v>
      </c>
      <c r="D140" t="s">
        <v>819</v>
      </c>
      <c r="E140" t="s">
        <v>818</v>
      </c>
      <c r="F140" t="s">
        <v>46</v>
      </c>
      <c r="G140" t="s">
        <v>820</v>
      </c>
      <c r="H140" t="s">
        <v>22</v>
      </c>
      <c r="I140" t="s">
        <v>821</v>
      </c>
      <c r="J140" t="s">
        <v>822</v>
      </c>
      <c r="K140" t="s">
        <v>2861</v>
      </c>
      <c r="L140" t="s">
        <v>816</v>
      </c>
      <c r="M140">
        <v>4</v>
      </c>
      <c r="N140" t="s">
        <v>816</v>
      </c>
      <c r="O140" t="s">
        <v>817</v>
      </c>
      <c r="P140" t="s">
        <v>823</v>
      </c>
      <c r="Q140" s="3">
        <v>6000000</v>
      </c>
      <c r="R140" s="3">
        <v>6000000</v>
      </c>
      <c r="S140" s="3">
        <v>0</v>
      </c>
    </row>
    <row r="141" spans="1:20" x14ac:dyDescent="0.25">
      <c r="A141">
        <v>900091143</v>
      </c>
      <c r="B141" t="s">
        <v>17</v>
      </c>
      <c r="C141" t="s">
        <v>824</v>
      </c>
      <c r="D141" t="s">
        <v>825</v>
      </c>
      <c r="E141" t="s">
        <v>824</v>
      </c>
      <c r="F141" t="s">
        <v>46</v>
      </c>
      <c r="G141" t="s">
        <v>826</v>
      </c>
      <c r="H141" t="s">
        <v>22</v>
      </c>
      <c r="I141" t="s">
        <v>827</v>
      </c>
      <c r="J141" t="s">
        <v>828</v>
      </c>
      <c r="K141" t="s">
        <v>50</v>
      </c>
      <c r="L141" t="s">
        <v>829</v>
      </c>
      <c r="M141">
        <v>4</v>
      </c>
      <c r="N141" t="s">
        <v>830</v>
      </c>
      <c r="O141" t="s">
        <v>831</v>
      </c>
      <c r="P141" t="s">
        <v>460</v>
      </c>
      <c r="Q141" s="3">
        <v>6000000</v>
      </c>
      <c r="R141" s="3">
        <v>6000000</v>
      </c>
      <c r="S141" s="3">
        <v>0</v>
      </c>
    </row>
    <row r="142" spans="1:20" x14ac:dyDescent="0.25">
      <c r="A142">
        <v>900091143</v>
      </c>
      <c r="B142" t="s">
        <v>17</v>
      </c>
      <c r="C142" t="s">
        <v>832</v>
      </c>
      <c r="D142" t="s">
        <v>833</v>
      </c>
      <c r="E142" t="s">
        <v>832</v>
      </c>
      <c r="F142" t="s">
        <v>46</v>
      </c>
      <c r="G142" t="s">
        <v>834</v>
      </c>
      <c r="H142" t="s">
        <v>22</v>
      </c>
      <c r="I142" t="s">
        <v>835</v>
      </c>
      <c r="J142" t="s">
        <v>836</v>
      </c>
      <c r="K142" t="s">
        <v>50</v>
      </c>
      <c r="L142" t="s">
        <v>829</v>
      </c>
      <c r="M142">
        <v>4</v>
      </c>
      <c r="N142" t="s">
        <v>830</v>
      </c>
      <c r="O142" t="s">
        <v>831</v>
      </c>
      <c r="P142" t="s">
        <v>460</v>
      </c>
      <c r="Q142" s="3">
        <v>6000000</v>
      </c>
      <c r="R142" s="3">
        <v>6000000</v>
      </c>
      <c r="S142" s="3">
        <v>0</v>
      </c>
    </row>
    <row r="143" spans="1:20" x14ac:dyDescent="0.25">
      <c r="A143">
        <v>900091143</v>
      </c>
      <c r="B143" t="s">
        <v>17</v>
      </c>
      <c r="C143" t="s">
        <v>837</v>
      </c>
      <c r="D143" t="s">
        <v>838</v>
      </c>
      <c r="E143" t="s">
        <v>837</v>
      </c>
      <c r="F143" t="s">
        <v>46</v>
      </c>
      <c r="G143" t="s">
        <v>839</v>
      </c>
      <c r="H143" t="s">
        <v>22</v>
      </c>
      <c r="I143" t="s">
        <v>840</v>
      </c>
      <c r="J143" t="s">
        <v>841</v>
      </c>
      <c r="K143" t="s">
        <v>2860</v>
      </c>
      <c r="L143" t="s">
        <v>830</v>
      </c>
      <c r="M143">
        <v>4</v>
      </c>
      <c r="N143" t="s">
        <v>830</v>
      </c>
      <c r="O143" t="s">
        <v>831</v>
      </c>
      <c r="P143" t="s">
        <v>473</v>
      </c>
      <c r="Q143" s="3">
        <v>14250000</v>
      </c>
      <c r="R143" s="3">
        <v>14250000</v>
      </c>
      <c r="S143" s="3">
        <v>0</v>
      </c>
    </row>
    <row r="144" spans="1:20" x14ac:dyDescent="0.25">
      <c r="A144">
        <v>900091143</v>
      </c>
      <c r="B144" t="s">
        <v>17</v>
      </c>
      <c r="C144" t="s">
        <v>842</v>
      </c>
      <c r="D144" t="s">
        <v>843</v>
      </c>
      <c r="E144" t="s">
        <v>842</v>
      </c>
      <c r="F144" t="s">
        <v>46</v>
      </c>
      <c r="G144" t="s">
        <v>844</v>
      </c>
      <c r="H144" t="s">
        <v>22</v>
      </c>
      <c r="I144" t="s">
        <v>845</v>
      </c>
      <c r="J144" t="s">
        <v>846</v>
      </c>
      <c r="K144" t="s">
        <v>71</v>
      </c>
      <c r="L144" t="s">
        <v>847</v>
      </c>
      <c r="M144">
        <v>4</v>
      </c>
      <c r="N144" t="s">
        <v>847</v>
      </c>
      <c r="O144" t="s">
        <v>848</v>
      </c>
      <c r="P144" t="s">
        <v>72</v>
      </c>
      <c r="Q144" s="3">
        <v>14476800</v>
      </c>
      <c r="R144" s="3">
        <v>14476800</v>
      </c>
      <c r="S144" s="3">
        <v>0</v>
      </c>
    </row>
    <row r="145" spans="1:19" x14ac:dyDescent="0.25">
      <c r="A145">
        <v>900091143</v>
      </c>
      <c r="B145" t="s">
        <v>17</v>
      </c>
      <c r="C145" t="s">
        <v>849</v>
      </c>
      <c r="D145" t="s">
        <v>850</v>
      </c>
      <c r="E145" t="s">
        <v>849</v>
      </c>
      <c r="F145" t="s">
        <v>46</v>
      </c>
      <c r="G145" t="s">
        <v>851</v>
      </c>
      <c r="H145" t="s">
        <v>22</v>
      </c>
      <c r="I145" t="s">
        <v>852</v>
      </c>
      <c r="J145" t="s">
        <v>853</v>
      </c>
      <c r="K145" t="s">
        <v>2860</v>
      </c>
      <c r="L145" t="s">
        <v>847</v>
      </c>
      <c r="M145">
        <v>4</v>
      </c>
      <c r="N145" t="s">
        <v>847</v>
      </c>
      <c r="O145" t="s">
        <v>848</v>
      </c>
      <c r="P145" t="s">
        <v>473</v>
      </c>
      <c r="Q145" s="3">
        <v>14250000</v>
      </c>
      <c r="R145" s="3">
        <v>14250000</v>
      </c>
      <c r="S145" s="3">
        <v>0</v>
      </c>
    </row>
    <row r="146" spans="1:19" x14ac:dyDescent="0.25">
      <c r="A146">
        <v>900091143</v>
      </c>
      <c r="B146" t="s">
        <v>17</v>
      </c>
      <c r="C146" t="s">
        <v>854</v>
      </c>
      <c r="D146" t="s">
        <v>855</v>
      </c>
      <c r="E146" t="s">
        <v>854</v>
      </c>
      <c r="F146" t="s">
        <v>46</v>
      </c>
      <c r="G146" t="s">
        <v>856</v>
      </c>
      <c r="H146" t="s">
        <v>22</v>
      </c>
      <c r="I146" t="s">
        <v>857</v>
      </c>
      <c r="J146" t="s">
        <v>858</v>
      </c>
      <c r="K146" t="s">
        <v>168</v>
      </c>
      <c r="L146" t="s">
        <v>859</v>
      </c>
      <c r="M146">
        <v>4</v>
      </c>
      <c r="N146" t="s">
        <v>859</v>
      </c>
      <c r="O146" t="s">
        <v>860</v>
      </c>
      <c r="P146" t="s">
        <v>313</v>
      </c>
      <c r="Q146" s="3">
        <v>18000000</v>
      </c>
      <c r="R146" s="3">
        <v>18000000</v>
      </c>
      <c r="S146" s="3">
        <v>0</v>
      </c>
    </row>
    <row r="147" spans="1:19" x14ac:dyDescent="0.25">
      <c r="A147">
        <v>900091143</v>
      </c>
      <c r="B147" t="s">
        <v>17</v>
      </c>
      <c r="C147" t="s">
        <v>861</v>
      </c>
      <c r="D147" t="s">
        <v>862</v>
      </c>
      <c r="E147" t="s">
        <v>861</v>
      </c>
      <c r="F147" t="s">
        <v>46</v>
      </c>
      <c r="G147" t="s">
        <v>863</v>
      </c>
      <c r="H147" t="s">
        <v>22</v>
      </c>
      <c r="I147" t="s">
        <v>864</v>
      </c>
      <c r="J147" t="s">
        <v>865</v>
      </c>
      <c r="K147" t="s">
        <v>25</v>
      </c>
      <c r="L147" t="s">
        <v>866</v>
      </c>
      <c r="M147">
        <v>4</v>
      </c>
      <c r="N147" t="s">
        <v>866</v>
      </c>
      <c r="O147" t="s">
        <v>867</v>
      </c>
      <c r="P147" t="s">
        <v>393</v>
      </c>
      <c r="Q147" s="3">
        <v>22500000</v>
      </c>
      <c r="R147" s="3">
        <v>22500000</v>
      </c>
      <c r="S147" s="3">
        <v>0</v>
      </c>
    </row>
    <row r="148" spans="1:19" x14ac:dyDescent="0.25">
      <c r="A148">
        <v>900091143</v>
      </c>
      <c r="B148" t="s">
        <v>17</v>
      </c>
      <c r="C148" t="s">
        <v>868</v>
      </c>
      <c r="D148" t="s">
        <v>869</v>
      </c>
      <c r="E148" t="s">
        <v>868</v>
      </c>
      <c r="F148" t="s">
        <v>46</v>
      </c>
      <c r="G148" t="s">
        <v>870</v>
      </c>
      <c r="H148" t="s">
        <v>22</v>
      </c>
      <c r="I148" t="s">
        <v>871</v>
      </c>
      <c r="J148" t="s">
        <v>872</v>
      </c>
      <c r="K148" t="s">
        <v>168</v>
      </c>
      <c r="L148" t="s">
        <v>866</v>
      </c>
      <c r="M148">
        <v>4</v>
      </c>
      <c r="N148" t="s">
        <v>866</v>
      </c>
      <c r="O148" t="s">
        <v>867</v>
      </c>
      <c r="P148" t="s">
        <v>313</v>
      </c>
      <c r="Q148" s="3">
        <v>18000000</v>
      </c>
      <c r="R148" s="3">
        <v>18000000</v>
      </c>
      <c r="S148" s="3">
        <v>0</v>
      </c>
    </row>
    <row r="149" spans="1:19" x14ac:dyDescent="0.25">
      <c r="A149">
        <v>900091143</v>
      </c>
      <c r="B149" t="s">
        <v>17</v>
      </c>
      <c r="C149" t="s">
        <v>873</v>
      </c>
      <c r="D149" t="s">
        <v>874</v>
      </c>
      <c r="E149" t="s">
        <v>873</v>
      </c>
      <c r="F149" t="s">
        <v>46</v>
      </c>
      <c r="G149" t="s">
        <v>875</v>
      </c>
      <c r="H149" t="s">
        <v>22</v>
      </c>
      <c r="I149" t="s">
        <v>876</v>
      </c>
      <c r="J149" t="s">
        <v>877</v>
      </c>
      <c r="K149" t="s">
        <v>50</v>
      </c>
      <c r="L149" t="s">
        <v>866</v>
      </c>
      <c r="M149">
        <v>4</v>
      </c>
      <c r="N149" t="s">
        <v>866</v>
      </c>
      <c r="O149" t="s">
        <v>867</v>
      </c>
      <c r="P149" t="s">
        <v>53</v>
      </c>
      <c r="Q149" s="3">
        <v>6000000</v>
      </c>
      <c r="R149" s="3">
        <v>6000000</v>
      </c>
      <c r="S149" s="3">
        <v>0</v>
      </c>
    </row>
    <row r="150" spans="1:19" x14ac:dyDescent="0.25">
      <c r="A150">
        <v>900091143</v>
      </c>
      <c r="B150" t="s">
        <v>17</v>
      </c>
      <c r="C150" t="s">
        <v>878</v>
      </c>
      <c r="D150" t="s">
        <v>879</v>
      </c>
      <c r="E150" t="s">
        <v>878</v>
      </c>
      <c r="F150" t="s">
        <v>46</v>
      </c>
      <c r="G150" t="s">
        <v>880</v>
      </c>
      <c r="H150" t="s">
        <v>22</v>
      </c>
      <c r="I150" t="s">
        <v>881</v>
      </c>
      <c r="J150" t="s">
        <v>882</v>
      </c>
      <c r="K150" t="s">
        <v>168</v>
      </c>
      <c r="L150" t="s">
        <v>866</v>
      </c>
      <c r="M150">
        <v>4</v>
      </c>
      <c r="N150" t="s">
        <v>866</v>
      </c>
      <c r="O150" t="s">
        <v>867</v>
      </c>
      <c r="P150" t="s">
        <v>313</v>
      </c>
      <c r="Q150" s="3">
        <v>18000000</v>
      </c>
      <c r="R150" s="3">
        <v>18000000</v>
      </c>
      <c r="S150" s="3">
        <v>0</v>
      </c>
    </row>
    <row r="151" spans="1:19" x14ac:dyDescent="0.25">
      <c r="A151">
        <v>900091143</v>
      </c>
      <c r="B151" t="s">
        <v>17</v>
      </c>
      <c r="C151" t="s">
        <v>883</v>
      </c>
      <c r="D151" t="s">
        <v>884</v>
      </c>
      <c r="E151" t="s">
        <v>883</v>
      </c>
      <c r="F151" t="s">
        <v>46</v>
      </c>
      <c r="G151" t="s">
        <v>885</v>
      </c>
      <c r="H151" t="s">
        <v>22</v>
      </c>
      <c r="I151" t="s">
        <v>886</v>
      </c>
      <c r="J151" t="s">
        <v>887</v>
      </c>
      <c r="K151" t="s">
        <v>25</v>
      </c>
      <c r="L151" t="s">
        <v>888</v>
      </c>
      <c r="M151">
        <v>4</v>
      </c>
      <c r="N151" t="s">
        <v>888</v>
      </c>
      <c r="O151" t="s">
        <v>889</v>
      </c>
      <c r="P151" t="s">
        <v>393</v>
      </c>
      <c r="Q151" s="3">
        <v>22500000</v>
      </c>
      <c r="R151" s="3">
        <v>22500000</v>
      </c>
      <c r="S151" s="3">
        <v>0</v>
      </c>
    </row>
    <row r="152" spans="1:19" x14ac:dyDescent="0.25">
      <c r="A152">
        <v>900091143</v>
      </c>
      <c r="B152" t="s">
        <v>17</v>
      </c>
      <c r="C152" t="s">
        <v>890</v>
      </c>
      <c r="D152" t="s">
        <v>891</v>
      </c>
      <c r="E152" t="s">
        <v>890</v>
      </c>
      <c r="F152" t="s">
        <v>46</v>
      </c>
      <c r="G152" t="s">
        <v>892</v>
      </c>
      <c r="H152" t="s">
        <v>22</v>
      </c>
      <c r="I152" t="s">
        <v>893</v>
      </c>
      <c r="J152" t="s">
        <v>894</v>
      </c>
      <c r="K152" t="s">
        <v>168</v>
      </c>
      <c r="L152" t="s">
        <v>888</v>
      </c>
      <c r="M152">
        <v>3</v>
      </c>
      <c r="N152" t="s">
        <v>888</v>
      </c>
      <c r="O152" t="s">
        <v>895</v>
      </c>
      <c r="P152" t="s">
        <v>313</v>
      </c>
      <c r="Q152" s="3">
        <v>18000000</v>
      </c>
      <c r="R152" s="3">
        <v>18000000</v>
      </c>
      <c r="S152" s="3">
        <v>0</v>
      </c>
    </row>
    <row r="153" spans="1:19" x14ac:dyDescent="0.25">
      <c r="A153">
        <v>900091143</v>
      </c>
      <c r="B153" t="s">
        <v>17</v>
      </c>
      <c r="C153" t="s">
        <v>896</v>
      </c>
      <c r="D153" t="s">
        <v>897</v>
      </c>
      <c r="E153" t="s">
        <v>896</v>
      </c>
      <c r="F153" t="s">
        <v>46</v>
      </c>
      <c r="G153" t="s">
        <v>898</v>
      </c>
      <c r="H153" t="s">
        <v>22</v>
      </c>
      <c r="I153" t="s">
        <v>899</v>
      </c>
      <c r="J153" t="s">
        <v>900</v>
      </c>
      <c r="K153" t="s">
        <v>168</v>
      </c>
      <c r="L153" t="s">
        <v>888</v>
      </c>
      <c r="M153">
        <v>4</v>
      </c>
      <c r="N153" t="s">
        <v>888</v>
      </c>
      <c r="O153" t="s">
        <v>889</v>
      </c>
      <c r="P153" t="s">
        <v>313</v>
      </c>
      <c r="Q153" s="3">
        <v>18000000</v>
      </c>
      <c r="R153" s="3">
        <v>18000000</v>
      </c>
      <c r="S153" s="3">
        <v>0</v>
      </c>
    </row>
    <row r="154" spans="1:19" x14ac:dyDescent="0.25">
      <c r="A154">
        <v>900091143</v>
      </c>
      <c r="B154" t="s">
        <v>17</v>
      </c>
      <c r="C154" t="s">
        <v>901</v>
      </c>
      <c r="D154" t="s">
        <v>902</v>
      </c>
      <c r="E154" t="s">
        <v>901</v>
      </c>
      <c r="F154" t="s">
        <v>46</v>
      </c>
      <c r="G154" t="s">
        <v>903</v>
      </c>
      <c r="H154" t="s">
        <v>22</v>
      </c>
      <c r="I154" t="s">
        <v>904</v>
      </c>
      <c r="J154" t="s">
        <v>905</v>
      </c>
      <c r="K154" t="s">
        <v>168</v>
      </c>
      <c r="L154" t="s">
        <v>888</v>
      </c>
      <c r="M154">
        <v>4</v>
      </c>
      <c r="N154" t="s">
        <v>888</v>
      </c>
      <c r="O154" t="s">
        <v>889</v>
      </c>
      <c r="P154" t="s">
        <v>313</v>
      </c>
      <c r="Q154" s="3">
        <v>18000000</v>
      </c>
      <c r="R154" s="3">
        <v>18000000</v>
      </c>
      <c r="S154" s="3">
        <v>0</v>
      </c>
    </row>
    <row r="155" spans="1:19" x14ac:dyDescent="0.25">
      <c r="A155">
        <v>900091143</v>
      </c>
      <c r="B155" t="s">
        <v>17</v>
      </c>
      <c r="C155" t="s">
        <v>906</v>
      </c>
      <c r="D155" t="s">
        <v>907</v>
      </c>
      <c r="E155" t="s">
        <v>906</v>
      </c>
      <c r="F155" t="s">
        <v>46</v>
      </c>
      <c r="G155" t="s">
        <v>908</v>
      </c>
      <c r="H155" t="s">
        <v>22</v>
      </c>
      <c r="I155" t="s">
        <v>909</v>
      </c>
      <c r="J155" t="s">
        <v>910</v>
      </c>
      <c r="K155" t="s">
        <v>25</v>
      </c>
      <c r="L155" t="s">
        <v>888</v>
      </c>
      <c r="M155">
        <v>4</v>
      </c>
      <c r="N155" t="s">
        <v>888</v>
      </c>
      <c r="O155" t="s">
        <v>889</v>
      </c>
      <c r="P155" t="s">
        <v>393</v>
      </c>
      <c r="Q155" s="3">
        <v>22500000</v>
      </c>
      <c r="R155" s="3">
        <v>22500000</v>
      </c>
      <c r="S155" s="3">
        <v>0</v>
      </c>
    </row>
    <row r="156" spans="1:19" x14ac:dyDescent="0.25">
      <c r="A156">
        <v>900091143</v>
      </c>
      <c r="B156" t="s">
        <v>17</v>
      </c>
      <c r="C156" t="s">
        <v>911</v>
      </c>
      <c r="D156" t="s">
        <v>912</v>
      </c>
      <c r="E156" t="s">
        <v>911</v>
      </c>
      <c r="F156" t="s">
        <v>46</v>
      </c>
      <c r="G156" t="s">
        <v>913</v>
      </c>
      <c r="H156" t="s">
        <v>22</v>
      </c>
      <c r="I156" t="s">
        <v>914</v>
      </c>
      <c r="J156" t="s">
        <v>915</v>
      </c>
      <c r="K156" t="s">
        <v>50</v>
      </c>
      <c r="L156" t="s">
        <v>888</v>
      </c>
      <c r="M156">
        <v>4</v>
      </c>
      <c r="N156" t="s">
        <v>888</v>
      </c>
      <c r="O156" t="s">
        <v>889</v>
      </c>
      <c r="P156" t="s">
        <v>460</v>
      </c>
      <c r="Q156" s="3">
        <v>6000000</v>
      </c>
      <c r="R156" s="3">
        <v>6000000</v>
      </c>
      <c r="S156" s="3">
        <v>0</v>
      </c>
    </row>
    <row r="157" spans="1:19" x14ac:dyDescent="0.25">
      <c r="A157">
        <v>900091143</v>
      </c>
      <c r="B157" t="s">
        <v>17</v>
      </c>
      <c r="C157" t="s">
        <v>916</v>
      </c>
      <c r="D157" t="s">
        <v>917</v>
      </c>
      <c r="E157" t="s">
        <v>916</v>
      </c>
      <c r="F157" t="s">
        <v>46</v>
      </c>
      <c r="G157" t="s">
        <v>918</v>
      </c>
      <c r="H157" t="s">
        <v>22</v>
      </c>
      <c r="I157" t="s">
        <v>919</v>
      </c>
      <c r="J157" t="s">
        <v>920</v>
      </c>
      <c r="K157" t="s">
        <v>50</v>
      </c>
      <c r="L157" t="s">
        <v>888</v>
      </c>
      <c r="M157">
        <v>4</v>
      </c>
      <c r="N157" t="s">
        <v>888</v>
      </c>
      <c r="O157" t="s">
        <v>889</v>
      </c>
      <c r="P157" t="s">
        <v>53</v>
      </c>
      <c r="Q157" s="3">
        <v>6000000</v>
      </c>
      <c r="R157" s="3">
        <v>6000000</v>
      </c>
      <c r="S157" s="3">
        <v>0</v>
      </c>
    </row>
    <row r="158" spans="1:19" x14ac:dyDescent="0.25">
      <c r="A158">
        <v>900091143</v>
      </c>
      <c r="B158" t="s">
        <v>17</v>
      </c>
      <c r="C158" t="s">
        <v>921</v>
      </c>
      <c r="D158" t="s">
        <v>922</v>
      </c>
      <c r="E158" t="s">
        <v>921</v>
      </c>
      <c r="F158" t="s">
        <v>46</v>
      </c>
      <c r="G158" t="s">
        <v>923</v>
      </c>
      <c r="H158" t="s">
        <v>22</v>
      </c>
      <c r="I158" t="s">
        <v>924</v>
      </c>
      <c r="J158" t="s">
        <v>925</v>
      </c>
      <c r="K158" t="s">
        <v>50</v>
      </c>
      <c r="L158" t="s">
        <v>888</v>
      </c>
      <c r="M158">
        <v>4</v>
      </c>
      <c r="N158" t="s">
        <v>888</v>
      </c>
      <c r="O158" t="s">
        <v>889</v>
      </c>
      <c r="P158" t="s">
        <v>460</v>
      </c>
      <c r="Q158" s="3">
        <v>6000000</v>
      </c>
      <c r="R158" s="3">
        <v>6000000</v>
      </c>
      <c r="S158" s="3">
        <v>0</v>
      </c>
    </row>
    <row r="159" spans="1:19" x14ac:dyDescent="0.25">
      <c r="A159">
        <v>900091143</v>
      </c>
      <c r="B159" t="s">
        <v>17</v>
      </c>
      <c r="C159" t="s">
        <v>926</v>
      </c>
      <c r="D159" t="s">
        <v>927</v>
      </c>
      <c r="E159" t="s">
        <v>926</v>
      </c>
      <c r="F159" t="s">
        <v>46</v>
      </c>
      <c r="G159" t="s">
        <v>928</v>
      </c>
      <c r="H159" t="s">
        <v>22</v>
      </c>
      <c r="I159" t="s">
        <v>929</v>
      </c>
      <c r="J159" t="s">
        <v>930</v>
      </c>
      <c r="K159" t="s">
        <v>50</v>
      </c>
      <c r="L159" t="s">
        <v>775</v>
      </c>
      <c r="M159">
        <v>4</v>
      </c>
      <c r="N159" t="s">
        <v>775</v>
      </c>
      <c r="O159" t="s">
        <v>931</v>
      </c>
      <c r="P159" t="s">
        <v>53</v>
      </c>
      <c r="Q159" s="3">
        <v>6000000</v>
      </c>
      <c r="R159" s="3">
        <v>6000000</v>
      </c>
      <c r="S159" s="3">
        <v>0</v>
      </c>
    </row>
    <row r="160" spans="1:19" x14ac:dyDescent="0.25">
      <c r="A160">
        <v>900091143</v>
      </c>
      <c r="B160" t="s">
        <v>17</v>
      </c>
      <c r="C160" t="s">
        <v>932</v>
      </c>
      <c r="D160" t="s">
        <v>933</v>
      </c>
      <c r="E160" t="s">
        <v>932</v>
      </c>
      <c r="F160" t="s">
        <v>46</v>
      </c>
      <c r="G160" t="s">
        <v>934</v>
      </c>
      <c r="H160" t="s">
        <v>22</v>
      </c>
      <c r="I160" t="s">
        <v>935</v>
      </c>
      <c r="J160" t="s">
        <v>936</v>
      </c>
      <c r="K160" t="s">
        <v>71</v>
      </c>
      <c r="L160" t="s">
        <v>775</v>
      </c>
      <c r="M160">
        <v>4</v>
      </c>
      <c r="N160" t="s">
        <v>775</v>
      </c>
      <c r="O160" t="s">
        <v>931</v>
      </c>
      <c r="P160" t="s">
        <v>72</v>
      </c>
      <c r="Q160" s="3">
        <v>14476800</v>
      </c>
      <c r="R160" s="3">
        <v>14476800</v>
      </c>
      <c r="S160" s="3">
        <v>0</v>
      </c>
    </row>
    <row r="161" spans="1:19" x14ac:dyDescent="0.25">
      <c r="A161">
        <v>900091143</v>
      </c>
      <c r="B161" t="s">
        <v>17</v>
      </c>
      <c r="C161" t="s">
        <v>937</v>
      </c>
      <c r="D161" t="s">
        <v>938</v>
      </c>
      <c r="E161" t="s">
        <v>937</v>
      </c>
      <c r="F161" t="s">
        <v>46</v>
      </c>
      <c r="G161" t="s">
        <v>939</v>
      </c>
      <c r="H161" t="s">
        <v>22</v>
      </c>
      <c r="I161" t="s">
        <v>940</v>
      </c>
      <c r="J161" t="s">
        <v>941</v>
      </c>
      <c r="K161" t="s">
        <v>2860</v>
      </c>
      <c r="L161" t="s">
        <v>775</v>
      </c>
      <c r="M161">
        <v>4</v>
      </c>
      <c r="N161" t="s">
        <v>775</v>
      </c>
      <c r="O161" t="s">
        <v>931</v>
      </c>
      <c r="P161" t="s">
        <v>473</v>
      </c>
      <c r="Q161" s="3">
        <v>14250000</v>
      </c>
      <c r="R161" s="3">
        <v>14250000</v>
      </c>
      <c r="S161" s="3">
        <v>0</v>
      </c>
    </row>
    <row r="162" spans="1:19" x14ac:dyDescent="0.25">
      <c r="A162">
        <v>900091143</v>
      </c>
      <c r="B162" t="s">
        <v>17</v>
      </c>
      <c r="C162" t="s">
        <v>942</v>
      </c>
      <c r="D162" t="s">
        <v>943</v>
      </c>
      <c r="E162" t="s">
        <v>942</v>
      </c>
      <c r="F162" t="s">
        <v>46</v>
      </c>
      <c r="G162" t="s">
        <v>944</v>
      </c>
      <c r="H162" t="s">
        <v>22</v>
      </c>
      <c r="I162" t="s">
        <v>945</v>
      </c>
      <c r="J162" t="s">
        <v>946</v>
      </c>
      <c r="K162" t="s">
        <v>50</v>
      </c>
      <c r="L162" t="s">
        <v>947</v>
      </c>
      <c r="M162">
        <v>4</v>
      </c>
      <c r="N162" t="s">
        <v>947</v>
      </c>
      <c r="O162" t="s">
        <v>948</v>
      </c>
      <c r="P162" t="s">
        <v>460</v>
      </c>
      <c r="Q162" s="3">
        <v>6000000</v>
      </c>
      <c r="R162" s="3">
        <v>6000000</v>
      </c>
      <c r="S162" s="3">
        <v>0</v>
      </c>
    </row>
    <row r="163" spans="1:19" x14ac:dyDescent="0.25">
      <c r="A163">
        <v>900091143</v>
      </c>
      <c r="B163" t="s">
        <v>17</v>
      </c>
      <c r="C163" t="s">
        <v>949</v>
      </c>
      <c r="D163" t="s">
        <v>950</v>
      </c>
      <c r="E163" t="s">
        <v>949</v>
      </c>
      <c r="F163" t="s">
        <v>46</v>
      </c>
      <c r="G163" t="s">
        <v>951</v>
      </c>
      <c r="H163" t="s">
        <v>22</v>
      </c>
      <c r="I163" t="s">
        <v>952</v>
      </c>
      <c r="J163" t="s">
        <v>953</v>
      </c>
      <c r="K163" t="s">
        <v>680</v>
      </c>
      <c r="L163" t="s">
        <v>947</v>
      </c>
      <c r="M163">
        <v>4</v>
      </c>
      <c r="N163" t="s">
        <v>947</v>
      </c>
      <c r="O163" t="s">
        <v>948</v>
      </c>
      <c r="P163" t="s">
        <v>954</v>
      </c>
      <c r="Q163" s="3">
        <v>6000000</v>
      </c>
      <c r="R163" s="3">
        <v>6000000</v>
      </c>
      <c r="S163" s="3">
        <v>0</v>
      </c>
    </row>
    <row r="164" spans="1:19" x14ac:dyDescent="0.25">
      <c r="A164">
        <v>900091143</v>
      </c>
      <c r="B164" t="s">
        <v>17</v>
      </c>
      <c r="C164" t="s">
        <v>955</v>
      </c>
      <c r="D164" t="s">
        <v>956</v>
      </c>
      <c r="E164" t="s">
        <v>955</v>
      </c>
      <c r="F164" t="s">
        <v>46</v>
      </c>
      <c r="G164" t="s">
        <v>957</v>
      </c>
      <c r="H164" t="s">
        <v>22</v>
      </c>
      <c r="I164" t="s">
        <v>958</v>
      </c>
      <c r="J164" t="s">
        <v>959</v>
      </c>
      <c r="K164" t="s">
        <v>168</v>
      </c>
      <c r="L164" t="s">
        <v>947</v>
      </c>
      <c r="M164">
        <v>4</v>
      </c>
      <c r="N164" t="s">
        <v>947</v>
      </c>
      <c r="O164" t="s">
        <v>948</v>
      </c>
      <c r="P164" t="s">
        <v>313</v>
      </c>
      <c r="Q164" s="3">
        <v>18000000</v>
      </c>
      <c r="R164" s="3">
        <v>18000000</v>
      </c>
      <c r="S164" s="3">
        <v>0</v>
      </c>
    </row>
    <row r="165" spans="1:19" x14ac:dyDescent="0.25">
      <c r="A165">
        <v>900091143</v>
      </c>
      <c r="B165" t="s">
        <v>17</v>
      </c>
      <c r="C165" t="s">
        <v>960</v>
      </c>
      <c r="D165" t="s">
        <v>961</v>
      </c>
      <c r="E165" t="s">
        <v>960</v>
      </c>
      <c r="F165" t="s">
        <v>46</v>
      </c>
      <c r="G165" t="s">
        <v>962</v>
      </c>
      <c r="H165" t="s">
        <v>22</v>
      </c>
      <c r="I165" t="s">
        <v>963</v>
      </c>
      <c r="J165" t="s">
        <v>964</v>
      </c>
      <c r="K165" t="s">
        <v>71</v>
      </c>
      <c r="L165" t="s">
        <v>947</v>
      </c>
      <c r="M165">
        <v>4</v>
      </c>
      <c r="N165" t="s">
        <v>947</v>
      </c>
      <c r="O165" t="s">
        <v>948</v>
      </c>
      <c r="P165" t="s">
        <v>72</v>
      </c>
      <c r="Q165" s="3">
        <v>14476800</v>
      </c>
      <c r="R165" s="3">
        <v>14476800</v>
      </c>
      <c r="S165" s="3">
        <v>0</v>
      </c>
    </row>
    <row r="166" spans="1:19" x14ac:dyDescent="0.25">
      <c r="A166">
        <v>900091143</v>
      </c>
      <c r="B166" t="s">
        <v>17</v>
      </c>
      <c r="C166" t="s">
        <v>965</v>
      </c>
      <c r="D166" t="s">
        <v>966</v>
      </c>
      <c r="E166" t="s">
        <v>965</v>
      </c>
      <c r="F166" t="s">
        <v>46</v>
      </c>
      <c r="G166" t="s">
        <v>967</v>
      </c>
      <c r="H166" t="s">
        <v>22</v>
      </c>
      <c r="I166" t="s">
        <v>968</v>
      </c>
      <c r="J166" t="s">
        <v>969</v>
      </c>
      <c r="K166" t="s">
        <v>71</v>
      </c>
      <c r="L166" t="s">
        <v>947</v>
      </c>
      <c r="M166">
        <v>4</v>
      </c>
      <c r="N166" t="s">
        <v>947</v>
      </c>
      <c r="O166" t="s">
        <v>948</v>
      </c>
      <c r="P166" t="s">
        <v>72</v>
      </c>
      <c r="Q166" s="3">
        <v>14476800</v>
      </c>
      <c r="R166" s="3">
        <v>14476800</v>
      </c>
      <c r="S166" s="3">
        <v>0</v>
      </c>
    </row>
    <row r="167" spans="1:19" x14ac:dyDescent="0.25">
      <c r="A167">
        <v>900091143</v>
      </c>
      <c r="B167" t="s">
        <v>17</v>
      </c>
      <c r="C167" t="s">
        <v>970</v>
      </c>
      <c r="D167" t="s">
        <v>971</v>
      </c>
      <c r="E167" t="s">
        <v>970</v>
      </c>
      <c r="F167" t="s">
        <v>46</v>
      </c>
      <c r="G167" t="s">
        <v>972</v>
      </c>
      <c r="H167" t="s">
        <v>22</v>
      </c>
      <c r="I167" t="s">
        <v>973</v>
      </c>
      <c r="J167" t="s">
        <v>974</v>
      </c>
      <c r="K167" t="s">
        <v>168</v>
      </c>
      <c r="L167" t="s">
        <v>947</v>
      </c>
      <c r="M167">
        <v>4</v>
      </c>
      <c r="N167" t="s">
        <v>947</v>
      </c>
      <c r="O167" t="s">
        <v>948</v>
      </c>
      <c r="P167" t="s">
        <v>313</v>
      </c>
      <c r="Q167" s="3">
        <v>18000000</v>
      </c>
      <c r="R167" s="3">
        <v>18000000</v>
      </c>
      <c r="S167" s="3">
        <v>0</v>
      </c>
    </row>
    <row r="168" spans="1:19" x14ac:dyDescent="0.25">
      <c r="A168">
        <v>900091143</v>
      </c>
      <c r="B168" t="s">
        <v>17</v>
      </c>
      <c r="C168" t="s">
        <v>975</v>
      </c>
      <c r="D168" t="s">
        <v>976</v>
      </c>
      <c r="E168" t="s">
        <v>975</v>
      </c>
      <c r="F168" t="s">
        <v>46</v>
      </c>
      <c r="G168" t="s">
        <v>977</v>
      </c>
      <c r="H168" t="s">
        <v>22</v>
      </c>
      <c r="I168" t="s">
        <v>978</v>
      </c>
      <c r="J168" t="s">
        <v>979</v>
      </c>
      <c r="K168" t="s">
        <v>168</v>
      </c>
      <c r="L168" t="s">
        <v>980</v>
      </c>
      <c r="M168">
        <v>4</v>
      </c>
      <c r="N168" t="s">
        <v>980</v>
      </c>
      <c r="O168" t="s">
        <v>981</v>
      </c>
      <c r="P168" t="s">
        <v>313</v>
      </c>
      <c r="Q168" s="3">
        <v>18000000</v>
      </c>
      <c r="R168" s="3">
        <v>18000000</v>
      </c>
      <c r="S168" s="3">
        <v>0</v>
      </c>
    </row>
    <row r="169" spans="1:19" x14ac:dyDescent="0.25">
      <c r="A169">
        <v>900091143</v>
      </c>
      <c r="B169" t="s">
        <v>17</v>
      </c>
      <c r="C169" t="s">
        <v>982</v>
      </c>
      <c r="D169" t="s">
        <v>983</v>
      </c>
      <c r="E169" t="s">
        <v>982</v>
      </c>
      <c r="F169" t="s">
        <v>46</v>
      </c>
      <c r="G169" t="s">
        <v>984</v>
      </c>
      <c r="H169" t="s">
        <v>22</v>
      </c>
      <c r="I169" t="s">
        <v>985</v>
      </c>
      <c r="J169" t="s">
        <v>986</v>
      </c>
      <c r="K169" t="s">
        <v>168</v>
      </c>
      <c r="L169" t="s">
        <v>980</v>
      </c>
      <c r="M169">
        <v>4</v>
      </c>
      <c r="N169" t="s">
        <v>980</v>
      </c>
      <c r="O169" t="s">
        <v>981</v>
      </c>
      <c r="P169" t="s">
        <v>313</v>
      </c>
      <c r="Q169" s="3">
        <v>18000000</v>
      </c>
      <c r="R169" s="3">
        <v>18000000</v>
      </c>
      <c r="S169" s="3">
        <v>0</v>
      </c>
    </row>
    <row r="170" spans="1:19" x14ac:dyDescent="0.25">
      <c r="A170">
        <v>900091143</v>
      </c>
      <c r="B170" t="s">
        <v>17</v>
      </c>
      <c r="C170" t="s">
        <v>987</v>
      </c>
      <c r="D170" t="s">
        <v>988</v>
      </c>
      <c r="E170" t="s">
        <v>987</v>
      </c>
      <c r="F170" t="s">
        <v>46</v>
      </c>
      <c r="G170" t="s">
        <v>989</v>
      </c>
      <c r="H170" t="s">
        <v>22</v>
      </c>
      <c r="I170" t="s">
        <v>990</v>
      </c>
      <c r="J170" t="s">
        <v>991</v>
      </c>
      <c r="K170" t="s">
        <v>50</v>
      </c>
      <c r="L170" t="s">
        <v>992</v>
      </c>
      <c r="M170">
        <v>4</v>
      </c>
      <c r="N170" t="s">
        <v>992</v>
      </c>
      <c r="O170" t="s">
        <v>993</v>
      </c>
      <c r="P170" t="s">
        <v>460</v>
      </c>
      <c r="Q170" s="3">
        <v>6000000</v>
      </c>
      <c r="R170" s="3">
        <v>6000000</v>
      </c>
      <c r="S170" s="3">
        <v>0</v>
      </c>
    </row>
    <row r="171" spans="1:19" x14ac:dyDescent="0.25">
      <c r="A171">
        <v>900091143</v>
      </c>
      <c r="B171" t="s">
        <v>17</v>
      </c>
      <c r="C171" t="s">
        <v>994</v>
      </c>
      <c r="D171" t="s">
        <v>995</v>
      </c>
      <c r="E171" t="s">
        <v>994</v>
      </c>
      <c r="F171" t="s">
        <v>46</v>
      </c>
      <c r="G171" t="s">
        <v>996</v>
      </c>
      <c r="H171" t="s">
        <v>22</v>
      </c>
      <c r="I171" t="s">
        <v>997</v>
      </c>
      <c r="J171" t="s">
        <v>998</v>
      </c>
      <c r="K171" t="s">
        <v>50</v>
      </c>
      <c r="L171" t="s">
        <v>999</v>
      </c>
      <c r="M171">
        <v>4</v>
      </c>
      <c r="N171" t="s">
        <v>999</v>
      </c>
      <c r="O171" t="s">
        <v>1000</v>
      </c>
      <c r="P171" t="s">
        <v>53</v>
      </c>
      <c r="Q171" s="3">
        <v>6000000</v>
      </c>
      <c r="R171" s="3">
        <v>6000000</v>
      </c>
      <c r="S171" s="3">
        <v>0</v>
      </c>
    </row>
    <row r="172" spans="1:19" x14ac:dyDescent="0.25">
      <c r="A172">
        <v>900091143</v>
      </c>
      <c r="B172" t="s">
        <v>17</v>
      </c>
      <c r="C172" t="s">
        <v>1001</v>
      </c>
      <c r="D172" t="s">
        <v>1002</v>
      </c>
      <c r="E172" t="s">
        <v>1001</v>
      </c>
      <c r="F172" t="s">
        <v>46</v>
      </c>
      <c r="G172" t="s">
        <v>1003</v>
      </c>
      <c r="H172" t="s">
        <v>22</v>
      </c>
      <c r="I172" t="s">
        <v>1004</v>
      </c>
      <c r="J172" t="s">
        <v>1005</v>
      </c>
      <c r="K172" t="s">
        <v>50</v>
      </c>
      <c r="L172" t="s">
        <v>999</v>
      </c>
      <c r="M172">
        <v>4</v>
      </c>
      <c r="N172" t="s">
        <v>999</v>
      </c>
      <c r="O172" t="s">
        <v>1000</v>
      </c>
      <c r="P172" t="s">
        <v>53</v>
      </c>
      <c r="Q172" s="3">
        <v>6000000</v>
      </c>
      <c r="R172" s="3">
        <v>6000000</v>
      </c>
      <c r="S172" s="3">
        <v>0</v>
      </c>
    </row>
    <row r="173" spans="1:19" x14ac:dyDescent="0.25">
      <c r="A173">
        <v>900091143</v>
      </c>
      <c r="B173" t="s">
        <v>17</v>
      </c>
      <c r="C173" t="s">
        <v>1006</v>
      </c>
      <c r="D173" t="s">
        <v>1007</v>
      </c>
      <c r="E173" t="s">
        <v>1006</v>
      </c>
      <c r="F173" t="s">
        <v>46</v>
      </c>
      <c r="G173" t="s">
        <v>1008</v>
      </c>
      <c r="H173" t="s">
        <v>22</v>
      </c>
      <c r="I173" t="s">
        <v>1009</v>
      </c>
      <c r="J173" t="s">
        <v>1010</v>
      </c>
      <c r="K173" t="s">
        <v>25</v>
      </c>
      <c r="L173" t="s">
        <v>1011</v>
      </c>
      <c r="M173">
        <v>4</v>
      </c>
      <c r="N173" t="s">
        <v>1011</v>
      </c>
      <c r="O173" t="s">
        <v>1012</v>
      </c>
      <c r="P173" t="s">
        <v>393</v>
      </c>
      <c r="Q173" s="3">
        <v>22500000</v>
      </c>
      <c r="R173" s="3">
        <v>22500000</v>
      </c>
      <c r="S173" s="3">
        <v>0</v>
      </c>
    </row>
    <row r="174" spans="1:19" x14ac:dyDescent="0.25">
      <c r="A174">
        <v>900091143</v>
      </c>
      <c r="B174" t="s">
        <v>17</v>
      </c>
      <c r="C174" t="s">
        <v>1013</v>
      </c>
      <c r="D174" t="s">
        <v>1014</v>
      </c>
      <c r="E174" t="s">
        <v>1013</v>
      </c>
      <c r="F174" t="s">
        <v>46</v>
      </c>
      <c r="G174" t="s">
        <v>1015</v>
      </c>
      <c r="H174" t="s">
        <v>22</v>
      </c>
      <c r="I174" t="s">
        <v>1016</v>
      </c>
      <c r="J174" t="s">
        <v>1017</v>
      </c>
      <c r="K174" t="s">
        <v>25</v>
      </c>
      <c r="L174" t="s">
        <v>1018</v>
      </c>
      <c r="M174">
        <v>4</v>
      </c>
      <c r="N174" t="s">
        <v>1018</v>
      </c>
      <c r="O174" t="s">
        <v>1019</v>
      </c>
      <c r="P174" t="s">
        <v>393</v>
      </c>
      <c r="Q174" s="3">
        <v>22500000</v>
      </c>
      <c r="R174" s="3">
        <v>22500000</v>
      </c>
      <c r="S174" s="3">
        <v>0</v>
      </c>
    </row>
    <row r="175" spans="1:19" x14ac:dyDescent="0.25">
      <c r="A175">
        <v>900091143</v>
      </c>
      <c r="B175" t="s">
        <v>17</v>
      </c>
      <c r="C175" t="s">
        <v>1020</v>
      </c>
      <c r="D175" t="s">
        <v>1021</v>
      </c>
      <c r="E175" t="s">
        <v>1020</v>
      </c>
      <c r="F175" t="s">
        <v>46</v>
      </c>
      <c r="G175" t="s">
        <v>1022</v>
      </c>
      <c r="H175" t="s">
        <v>22</v>
      </c>
      <c r="I175" t="s">
        <v>1023</v>
      </c>
      <c r="J175" t="s">
        <v>1024</v>
      </c>
      <c r="K175" t="s">
        <v>2861</v>
      </c>
      <c r="L175" t="s">
        <v>1025</v>
      </c>
      <c r="M175">
        <v>3</v>
      </c>
      <c r="N175" t="s">
        <v>1025</v>
      </c>
      <c r="O175" t="s">
        <v>1026</v>
      </c>
      <c r="P175" t="s">
        <v>768</v>
      </c>
      <c r="Q175" s="3">
        <v>4000000</v>
      </c>
      <c r="R175" s="3">
        <v>4000000</v>
      </c>
      <c r="S175" s="3">
        <v>0</v>
      </c>
    </row>
    <row r="176" spans="1:19" x14ac:dyDescent="0.25">
      <c r="A176">
        <v>900091143</v>
      </c>
      <c r="B176" t="s">
        <v>17</v>
      </c>
      <c r="C176" t="s">
        <v>1027</v>
      </c>
      <c r="D176" t="s">
        <v>1028</v>
      </c>
      <c r="E176" t="s">
        <v>1027</v>
      </c>
      <c r="F176" t="s">
        <v>46</v>
      </c>
      <c r="G176" t="s">
        <v>1029</v>
      </c>
      <c r="H176" t="s">
        <v>22</v>
      </c>
      <c r="I176" t="s">
        <v>1030</v>
      </c>
      <c r="J176" t="s">
        <v>1031</v>
      </c>
      <c r="K176" t="s">
        <v>2861</v>
      </c>
      <c r="L176" t="s">
        <v>1025</v>
      </c>
      <c r="M176">
        <v>3</v>
      </c>
      <c r="N176" t="s">
        <v>1025</v>
      </c>
      <c r="O176" t="s">
        <v>1026</v>
      </c>
      <c r="P176" t="s">
        <v>1032</v>
      </c>
      <c r="Q176" s="3">
        <v>4000000</v>
      </c>
      <c r="R176" s="3">
        <v>4000000</v>
      </c>
      <c r="S176" s="3">
        <v>0</v>
      </c>
    </row>
    <row r="177" spans="1:20" x14ac:dyDescent="0.25">
      <c r="A177">
        <v>900091143</v>
      </c>
      <c r="B177" t="s">
        <v>17</v>
      </c>
      <c r="C177" t="s">
        <v>1033</v>
      </c>
      <c r="D177" t="s">
        <v>1034</v>
      </c>
      <c r="E177" t="s">
        <v>1033</v>
      </c>
      <c r="F177" t="s">
        <v>46</v>
      </c>
      <c r="G177" t="s">
        <v>1035</v>
      </c>
      <c r="H177" t="s">
        <v>22</v>
      </c>
      <c r="I177" t="s">
        <v>1036</v>
      </c>
      <c r="J177" t="s">
        <v>1037</v>
      </c>
      <c r="K177" t="s">
        <v>2861</v>
      </c>
      <c r="L177" t="s">
        <v>1025</v>
      </c>
      <c r="M177">
        <v>3</v>
      </c>
      <c r="N177" t="s">
        <v>1025</v>
      </c>
      <c r="O177" t="s">
        <v>1026</v>
      </c>
      <c r="P177" t="s">
        <v>1032</v>
      </c>
      <c r="Q177" s="3">
        <v>4000000</v>
      </c>
      <c r="R177" s="3">
        <v>4000000</v>
      </c>
      <c r="S177" s="3">
        <v>0</v>
      </c>
    </row>
    <row r="178" spans="1:20" x14ac:dyDescent="0.25">
      <c r="A178">
        <v>900091143</v>
      </c>
      <c r="B178" t="s">
        <v>17</v>
      </c>
      <c r="C178" t="s">
        <v>1038</v>
      </c>
      <c r="D178" t="s">
        <v>1039</v>
      </c>
      <c r="E178" t="s">
        <v>1038</v>
      </c>
      <c r="F178" t="s">
        <v>46</v>
      </c>
      <c r="G178" t="s">
        <v>1040</v>
      </c>
      <c r="H178" t="s">
        <v>22</v>
      </c>
      <c r="I178" t="s">
        <v>1041</v>
      </c>
      <c r="J178" t="s">
        <v>1042</v>
      </c>
      <c r="K178" t="s">
        <v>2861</v>
      </c>
      <c r="L178" t="s">
        <v>1025</v>
      </c>
      <c r="M178">
        <v>3</v>
      </c>
      <c r="N178" t="s">
        <v>1025</v>
      </c>
      <c r="O178" t="s">
        <v>1026</v>
      </c>
      <c r="P178" t="s">
        <v>768</v>
      </c>
      <c r="Q178" s="3">
        <v>4000000</v>
      </c>
      <c r="R178" s="3">
        <v>4000000</v>
      </c>
      <c r="S178" s="3">
        <v>0</v>
      </c>
    </row>
    <row r="179" spans="1:20" x14ac:dyDescent="0.25">
      <c r="A179">
        <v>900091143</v>
      </c>
      <c r="B179" t="s">
        <v>17</v>
      </c>
      <c r="C179" t="s">
        <v>1043</v>
      </c>
      <c r="D179" t="s">
        <v>1044</v>
      </c>
      <c r="E179" t="s">
        <v>1043</v>
      </c>
      <c r="F179" t="s">
        <v>46</v>
      </c>
      <c r="G179" t="s">
        <v>1045</v>
      </c>
      <c r="H179" t="s">
        <v>22</v>
      </c>
      <c r="I179" t="s">
        <v>1046</v>
      </c>
      <c r="J179" t="s">
        <v>1047</v>
      </c>
      <c r="K179" t="s">
        <v>2861</v>
      </c>
      <c r="L179" t="s">
        <v>1025</v>
      </c>
      <c r="M179">
        <v>3</v>
      </c>
      <c r="N179" t="s">
        <v>1025</v>
      </c>
      <c r="O179" t="s">
        <v>1026</v>
      </c>
      <c r="P179" t="s">
        <v>1032</v>
      </c>
      <c r="Q179" s="3">
        <v>4000000</v>
      </c>
      <c r="R179" s="3">
        <v>4000000</v>
      </c>
      <c r="S179" s="3">
        <v>0</v>
      </c>
    </row>
    <row r="180" spans="1:20" x14ac:dyDescent="0.25">
      <c r="A180">
        <v>900091143</v>
      </c>
      <c r="B180" t="s">
        <v>17</v>
      </c>
      <c r="C180" t="s">
        <v>1048</v>
      </c>
      <c r="D180" t="s">
        <v>1049</v>
      </c>
      <c r="E180" t="s">
        <v>1048</v>
      </c>
      <c r="F180" t="s">
        <v>46</v>
      </c>
      <c r="G180" t="s">
        <v>1050</v>
      </c>
      <c r="H180" t="s">
        <v>22</v>
      </c>
      <c r="I180" t="s">
        <v>1051</v>
      </c>
      <c r="J180" t="s">
        <v>1052</v>
      </c>
      <c r="K180" t="s">
        <v>2861</v>
      </c>
      <c r="L180" t="s">
        <v>1053</v>
      </c>
      <c r="M180">
        <v>3</v>
      </c>
      <c r="N180" t="s">
        <v>1053</v>
      </c>
      <c r="O180" t="s">
        <v>1054</v>
      </c>
      <c r="P180" t="s">
        <v>1055</v>
      </c>
      <c r="Q180" s="3">
        <v>4000000</v>
      </c>
      <c r="R180" s="3">
        <v>4000000</v>
      </c>
      <c r="S180" s="3">
        <v>0</v>
      </c>
    </row>
    <row r="181" spans="1:20" x14ac:dyDescent="0.25">
      <c r="A181">
        <v>900091143</v>
      </c>
      <c r="B181" t="s">
        <v>17</v>
      </c>
      <c r="C181" t="s">
        <v>1056</v>
      </c>
      <c r="D181" t="s">
        <v>1057</v>
      </c>
      <c r="E181" t="s">
        <v>1056</v>
      </c>
      <c r="F181" t="s">
        <v>46</v>
      </c>
      <c r="G181" t="s">
        <v>1058</v>
      </c>
      <c r="H181" t="s">
        <v>22</v>
      </c>
      <c r="I181" t="s">
        <v>1059</v>
      </c>
      <c r="J181" t="s">
        <v>1060</v>
      </c>
      <c r="K181" t="s">
        <v>2861</v>
      </c>
      <c r="L181" t="s">
        <v>1053</v>
      </c>
      <c r="M181">
        <v>3</v>
      </c>
      <c r="N181" t="s">
        <v>1053</v>
      </c>
      <c r="O181" t="s">
        <v>1054</v>
      </c>
      <c r="P181" t="s">
        <v>1032</v>
      </c>
      <c r="Q181" s="3">
        <v>4000000</v>
      </c>
      <c r="R181" s="3">
        <v>4000000</v>
      </c>
      <c r="S181" s="3">
        <v>0</v>
      </c>
    </row>
    <row r="182" spans="1:20" x14ac:dyDescent="0.25">
      <c r="A182">
        <v>900091143</v>
      </c>
      <c r="B182" t="s">
        <v>17</v>
      </c>
      <c r="C182" t="s">
        <v>1061</v>
      </c>
      <c r="D182" t="s">
        <v>1062</v>
      </c>
      <c r="E182" t="s">
        <v>1061</v>
      </c>
      <c r="F182" t="s">
        <v>46</v>
      </c>
      <c r="G182" t="s">
        <v>1063</v>
      </c>
      <c r="H182" t="s">
        <v>22</v>
      </c>
      <c r="I182" t="s">
        <v>1064</v>
      </c>
      <c r="J182" t="s">
        <v>1065</v>
      </c>
      <c r="K182" t="s">
        <v>2861</v>
      </c>
      <c r="L182" t="s">
        <v>1066</v>
      </c>
      <c r="M182">
        <v>3</v>
      </c>
      <c r="N182" t="s">
        <v>1066</v>
      </c>
      <c r="O182" t="s">
        <v>895</v>
      </c>
      <c r="P182" t="s">
        <v>1032</v>
      </c>
      <c r="Q182" s="3">
        <v>4000000</v>
      </c>
      <c r="R182" s="3">
        <v>4000000</v>
      </c>
      <c r="S182" s="3">
        <v>0</v>
      </c>
    </row>
    <row r="183" spans="1:20" x14ac:dyDescent="0.25">
      <c r="A183">
        <v>900091143</v>
      </c>
      <c r="B183" t="s">
        <v>17</v>
      </c>
      <c r="C183" t="s">
        <v>1067</v>
      </c>
      <c r="D183" t="s">
        <v>1068</v>
      </c>
      <c r="E183" t="s">
        <v>1067</v>
      </c>
      <c r="F183" t="s">
        <v>46</v>
      </c>
      <c r="G183" t="s">
        <v>1069</v>
      </c>
      <c r="H183" t="s">
        <v>22</v>
      </c>
      <c r="I183" t="s">
        <v>1070</v>
      </c>
      <c r="J183" t="s">
        <v>1071</v>
      </c>
      <c r="K183" t="s">
        <v>2861</v>
      </c>
      <c r="L183" t="s">
        <v>1066</v>
      </c>
      <c r="M183">
        <v>3</v>
      </c>
      <c r="N183" t="s">
        <v>1066</v>
      </c>
      <c r="O183" t="s">
        <v>895</v>
      </c>
      <c r="P183" t="s">
        <v>1032</v>
      </c>
      <c r="Q183" s="3">
        <v>4000000</v>
      </c>
      <c r="R183" s="3">
        <v>4000000</v>
      </c>
      <c r="S183" s="3">
        <v>0</v>
      </c>
    </row>
    <row r="184" spans="1:20" x14ac:dyDescent="0.25">
      <c r="A184">
        <v>900091143</v>
      </c>
      <c r="B184" t="s">
        <v>17</v>
      </c>
      <c r="C184" t="s">
        <v>1072</v>
      </c>
      <c r="D184" t="s">
        <v>1073</v>
      </c>
      <c r="E184" t="s">
        <v>1072</v>
      </c>
      <c r="F184" t="s">
        <v>46</v>
      </c>
      <c r="G184" t="s">
        <v>1074</v>
      </c>
      <c r="H184" t="s">
        <v>22</v>
      </c>
      <c r="I184" t="s">
        <v>1075</v>
      </c>
      <c r="J184" t="s">
        <v>1076</v>
      </c>
      <c r="K184" t="s">
        <v>2861</v>
      </c>
      <c r="L184" t="s">
        <v>1077</v>
      </c>
      <c r="M184">
        <v>3</v>
      </c>
      <c r="N184" t="s">
        <v>1077</v>
      </c>
      <c r="O184" t="s">
        <v>1078</v>
      </c>
      <c r="P184" t="s">
        <v>1032</v>
      </c>
      <c r="Q184" s="3">
        <v>4000000</v>
      </c>
      <c r="R184" s="3">
        <v>4000000</v>
      </c>
      <c r="S184" s="3">
        <v>0</v>
      </c>
    </row>
    <row r="185" spans="1:20" x14ac:dyDescent="0.25">
      <c r="A185">
        <v>900091143</v>
      </c>
      <c r="B185" t="s">
        <v>17</v>
      </c>
      <c r="C185" t="s">
        <v>1079</v>
      </c>
      <c r="D185" t="s">
        <v>1080</v>
      </c>
      <c r="E185" t="s">
        <v>1079</v>
      </c>
      <c r="F185" t="s">
        <v>46</v>
      </c>
      <c r="G185" t="s">
        <v>1081</v>
      </c>
      <c r="H185" t="s">
        <v>22</v>
      </c>
      <c r="I185" t="s">
        <v>1082</v>
      </c>
      <c r="J185" t="s">
        <v>1083</v>
      </c>
      <c r="K185" t="s">
        <v>2861</v>
      </c>
      <c r="L185" t="s">
        <v>1077</v>
      </c>
      <c r="M185">
        <v>3</v>
      </c>
      <c r="N185" t="s">
        <v>1077</v>
      </c>
      <c r="O185" t="s">
        <v>1078</v>
      </c>
      <c r="P185" t="s">
        <v>1032</v>
      </c>
      <c r="Q185" s="3">
        <v>4000000</v>
      </c>
      <c r="R185" s="3">
        <v>4000000</v>
      </c>
      <c r="S185" s="3">
        <v>0</v>
      </c>
    </row>
    <row r="186" spans="1:20" x14ac:dyDescent="0.25">
      <c r="A186">
        <v>900091143</v>
      </c>
      <c r="B186" t="s">
        <v>17</v>
      </c>
      <c r="C186" t="s">
        <v>1084</v>
      </c>
      <c r="D186" t="s">
        <v>1085</v>
      </c>
      <c r="E186" t="s">
        <v>1084</v>
      </c>
      <c r="F186" t="s">
        <v>46</v>
      </c>
      <c r="G186" t="s">
        <v>1086</v>
      </c>
      <c r="H186" t="s">
        <v>22</v>
      </c>
      <c r="I186" t="s">
        <v>1087</v>
      </c>
      <c r="J186" t="s">
        <v>1088</v>
      </c>
      <c r="K186" t="s">
        <v>2861</v>
      </c>
      <c r="L186" t="s">
        <v>1077</v>
      </c>
      <c r="M186">
        <v>3</v>
      </c>
      <c r="N186" t="s">
        <v>1077</v>
      </c>
      <c r="O186" t="s">
        <v>1078</v>
      </c>
      <c r="P186" t="s">
        <v>768</v>
      </c>
      <c r="Q186" s="3">
        <v>4000000</v>
      </c>
      <c r="R186" s="3">
        <v>4000000</v>
      </c>
      <c r="S186" s="3">
        <v>0</v>
      </c>
    </row>
    <row r="187" spans="1:20" x14ac:dyDescent="0.25">
      <c r="A187">
        <v>900091143</v>
      </c>
      <c r="B187" t="s">
        <v>17</v>
      </c>
      <c r="C187" t="s">
        <v>1089</v>
      </c>
      <c r="D187" t="s">
        <v>1090</v>
      </c>
      <c r="E187" t="s">
        <v>1089</v>
      </c>
      <c r="F187" t="s">
        <v>46</v>
      </c>
      <c r="G187" t="s">
        <v>1091</v>
      </c>
      <c r="H187" t="s">
        <v>22</v>
      </c>
      <c r="I187" t="s">
        <v>1092</v>
      </c>
      <c r="J187" t="s">
        <v>1093</v>
      </c>
      <c r="K187" t="s">
        <v>2861</v>
      </c>
      <c r="L187" t="s">
        <v>1077</v>
      </c>
      <c r="M187">
        <v>3</v>
      </c>
      <c r="N187" t="s">
        <v>1077</v>
      </c>
      <c r="O187" t="s">
        <v>1078</v>
      </c>
      <c r="P187" t="s">
        <v>768</v>
      </c>
      <c r="Q187" s="3">
        <v>4000000</v>
      </c>
      <c r="R187" s="3">
        <v>4000000</v>
      </c>
      <c r="S187" s="3">
        <v>0</v>
      </c>
    </row>
    <row r="188" spans="1:20" x14ac:dyDescent="0.25">
      <c r="A188">
        <v>900091143</v>
      </c>
      <c r="B188" t="s">
        <v>17</v>
      </c>
      <c r="C188" t="s">
        <v>1094</v>
      </c>
      <c r="D188" t="s">
        <v>1095</v>
      </c>
      <c r="E188" t="s">
        <v>1094</v>
      </c>
      <c r="F188" t="s">
        <v>46</v>
      </c>
      <c r="G188" t="s">
        <v>1096</v>
      </c>
      <c r="H188" t="s">
        <v>22</v>
      </c>
      <c r="I188" t="s">
        <v>1097</v>
      </c>
      <c r="J188" t="s">
        <v>1098</v>
      </c>
      <c r="K188" t="s">
        <v>2861</v>
      </c>
      <c r="L188" t="s">
        <v>1099</v>
      </c>
      <c r="M188">
        <v>3</v>
      </c>
      <c r="N188" t="s">
        <v>1099</v>
      </c>
      <c r="O188" t="s">
        <v>817</v>
      </c>
      <c r="P188" t="s">
        <v>768</v>
      </c>
      <c r="Q188" s="3">
        <v>4000000</v>
      </c>
      <c r="R188" s="3">
        <v>4000000</v>
      </c>
      <c r="S188" s="3">
        <v>0</v>
      </c>
    </row>
    <row r="189" spans="1:20" x14ac:dyDescent="0.25">
      <c r="A189">
        <v>900091143</v>
      </c>
      <c r="B189" t="s">
        <v>17</v>
      </c>
      <c r="C189" t="s">
        <v>1100</v>
      </c>
      <c r="D189" t="s">
        <v>1101</v>
      </c>
      <c r="E189" t="s">
        <v>1100</v>
      </c>
      <c r="F189" t="s">
        <v>46</v>
      </c>
      <c r="G189" t="s">
        <v>1102</v>
      </c>
      <c r="H189" t="s">
        <v>22</v>
      </c>
      <c r="I189" t="s">
        <v>1103</v>
      </c>
      <c r="J189" t="s">
        <v>1104</v>
      </c>
      <c r="K189" t="s">
        <v>2861</v>
      </c>
      <c r="L189" t="s">
        <v>1099</v>
      </c>
      <c r="M189">
        <v>3</v>
      </c>
      <c r="N189" t="s">
        <v>1099</v>
      </c>
      <c r="O189" t="s">
        <v>817</v>
      </c>
      <c r="P189" t="s">
        <v>1032</v>
      </c>
      <c r="Q189" s="3">
        <v>4000000</v>
      </c>
      <c r="R189" s="3">
        <v>4000000</v>
      </c>
      <c r="S189" s="3">
        <v>0</v>
      </c>
    </row>
    <row r="190" spans="1:20" x14ac:dyDescent="0.25">
      <c r="A190">
        <v>900091143</v>
      </c>
      <c r="B190" t="s">
        <v>17</v>
      </c>
      <c r="C190" t="s">
        <v>1105</v>
      </c>
      <c r="D190" t="s">
        <v>1106</v>
      </c>
      <c r="E190" t="s">
        <v>1105</v>
      </c>
      <c r="F190" t="s">
        <v>46</v>
      </c>
      <c r="G190" t="s">
        <v>1107</v>
      </c>
      <c r="H190" t="s">
        <v>22</v>
      </c>
      <c r="I190" t="s">
        <v>1108</v>
      </c>
      <c r="J190" t="s">
        <v>1109</v>
      </c>
      <c r="K190" t="s">
        <v>2861</v>
      </c>
      <c r="L190" t="s">
        <v>1099</v>
      </c>
      <c r="M190">
        <v>3</v>
      </c>
      <c r="N190" t="s">
        <v>1099</v>
      </c>
      <c r="O190" t="s">
        <v>817</v>
      </c>
      <c r="P190" t="s">
        <v>1032</v>
      </c>
      <c r="Q190" s="3">
        <v>3733333.33</v>
      </c>
      <c r="R190" s="3">
        <v>3733333.33</v>
      </c>
      <c r="S190" s="3">
        <v>0</v>
      </c>
      <c r="T190" s="5" t="s">
        <v>2864</v>
      </c>
    </row>
    <row r="191" spans="1:20" x14ac:dyDescent="0.25">
      <c r="A191">
        <v>900091143</v>
      </c>
      <c r="B191" t="s">
        <v>17</v>
      </c>
      <c r="C191" t="s">
        <v>1110</v>
      </c>
      <c r="D191" t="s">
        <v>1111</v>
      </c>
      <c r="E191" t="s">
        <v>1110</v>
      </c>
      <c r="F191" t="s">
        <v>46</v>
      </c>
      <c r="G191" t="s">
        <v>1112</v>
      </c>
      <c r="H191" t="s">
        <v>22</v>
      </c>
      <c r="I191" t="s">
        <v>1113</v>
      </c>
      <c r="J191" t="s">
        <v>1114</v>
      </c>
      <c r="K191" t="s">
        <v>2861</v>
      </c>
      <c r="L191" t="s">
        <v>1099</v>
      </c>
      <c r="M191">
        <v>3</v>
      </c>
      <c r="N191" t="s">
        <v>1099</v>
      </c>
      <c r="O191" t="s">
        <v>817</v>
      </c>
      <c r="P191" t="s">
        <v>768</v>
      </c>
      <c r="Q191" s="3">
        <v>4000000</v>
      </c>
      <c r="R191" s="3">
        <v>4000000</v>
      </c>
      <c r="S191" s="3">
        <v>0</v>
      </c>
    </row>
    <row r="192" spans="1:20" x14ac:dyDescent="0.25">
      <c r="A192">
        <v>900091143</v>
      </c>
      <c r="B192" t="s">
        <v>17</v>
      </c>
      <c r="C192" t="s">
        <v>1115</v>
      </c>
      <c r="D192" t="s">
        <v>1116</v>
      </c>
      <c r="E192" t="s">
        <v>1115</v>
      </c>
      <c r="F192" t="s">
        <v>46</v>
      </c>
      <c r="G192" t="s">
        <v>1117</v>
      </c>
      <c r="H192" t="s">
        <v>22</v>
      </c>
      <c r="I192" t="s">
        <v>1118</v>
      </c>
      <c r="J192" t="s">
        <v>1119</v>
      </c>
      <c r="K192" t="s">
        <v>2861</v>
      </c>
      <c r="L192" t="s">
        <v>1099</v>
      </c>
      <c r="M192">
        <v>3</v>
      </c>
      <c r="N192" t="s">
        <v>1099</v>
      </c>
      <c r="O192" t="s">
        <v>817</v>
      </c>
      <c r="P192" t="s">
        <v>768</v>
      </c>
      <c r="Q192" s="3">
        <v>4000000</v>
      </c>
      <c r="R192" s="3">
        <v>4000000</v>
      </c>
      <c r="S192" s="3">
        <v>0</v>
      </c>
    </row>
    <row r="193" spans="1:20" x14ac:dyDescent="0.25">
      <c r="A193">
        <v>900091143</v>
      </c>
      <c r="B193" t="s">
        <v>17</v>
      </c>
      <c r="C193" t="s">
        <v>1120</v>
      </c>
      <c r="D193" t="s">
        <v>1121</v>
      </c>
      <c r="E193" t="s">
        <v>1120</v>
      </c>
      <c r="F193" t="s">
        <v>46</v>
      </c>
      <c r="G193" t="s">
        <v>1122</v>
      </c>
      <c r="H193" t="s">
        <v>22</v>
      </c>
      <c r="I193" t="s">
        <v>1123</v>
      </c>
      <c r="J193" t="s">
        <v>1124</v>
      </c>
      <c r="K193" t="s">
        <v>2861</v>
      </c>
      <c r="L193" t="s">
        <v>1099</v>
      </c>
      <c r="M193">
        <v>3</v>
      </c>
      <c r="N193" t="s">
        <v>1099</v>
      </c>
      <c r="O193" t="s">
        <v>817</v>
      </c>
      <c r="P193" t="s">
        <v>768</v>
      </c>
      <c r="Q193" s="3">
        <v>4000000</v>
      </c>
      <c r="R193" s="3">
        <v>4000000</v>
      </c>
      <c r="S193" s="3">
        <v>0</v>
      </c>
    </row>
    <row r="194" spans="1:20" x14ac:dyDescent="0.25">
      <c r="A194">
        <v>900091143</v>
      </c>
      <c r="B194" t="s">
        <v>17</v>
      </c>
      <c r="C194" t="s">
        <v>1125</v>
      </c>
      <c r="D194" t="s">
        <v>1126</v>
      </c>
      <c r="E194" t="s">
        <v>1125</v>
      </c>
      <c r="F194" t="s">
        <v>46</v>
      </c>
      <c r="G194" t="s">
        <v>1127</v>
      </c>
      <c r="H194" t="s">
        <v>22</v>
      </c>
      <c r="I194" t="s">
        <v>1128</v>
      </c>
      <c r="J194" t="s">
        <v>1129</v>
      </c>
      <c r="K194" t="s">
        <v>2861</v>
      </c>
      <c r="L194" t="s">
        <v>1130</v>
      </c>
      <c r="M194">
        <v>3</v>
      </c>
      <c r="N194" t="s">
        <v>1130</v>
      </c>
      <c r="O194" t="s">
        <v>1131</v>
      </c>
      <c r="P194" t="s">
        <v>1032</v>
      </c>
      <c r="Q194" s="3">
        <v>4000000</v>
      </c>
      <c r="R194" s="3">
        <v>4000000</v>
      </c>
      <c r="S194" s="3">
        <v>0</v>
      </c>
    </row>
    <row r="195" spans="1:20" x14ac:dyDescent="0.25">
      <c r="A195">
        <v>900091143</v>
      </c>
      <c r="B195" t="s">
        <v>17</v>
      </c>
      <c r="C195" t="s">
        <v>1132</v>
      </c>
      <c r="D195" t="s">
        <v>1133</v>
      </c>
      <c r="E195" t="s">
        <v>1132</v>
      </c>
      <c r="F195" t="s">
        <v>46</v>
      </c>
      <c r="G195" t="s">
        <v>1134</v>
      </c>
      <c r="H195" t="s">
        <v>22</v>
      </c>
      <c r="I195" t="s">
        <v>1135</v>
      </c>
      <c r="J195" t="s">
        <v>1136</v>
      </c>
      <c r="K195" t="s">
        <v>2861</v>
      </c>
      <c r="L195" t="s">
        <v>1130</v>
      </c>
      <c r="M195">
        <v>3</v>
      </c>
      <c r="N195" t="s">
        <v>1130</v>
      </c>
      <c r="O195" t="s">
        <v>1131</v>
      </c>
      <c r="P195" t="s">
        <v>1032</v>
      </c>
      <c r="Q195" s="3">
        <v>4000000</v>
      </c>
      <c r="R195" s="3">
        <v>4000000</v>
      </c>
      <c r="S195" s="3">
        <v>0</v>
      </c>
    </row>
    <row r="196" spans="1:20" x14ac:dyDescent="0.25">
      <c r="A196">
        <v>900091143</v>
      </c>
      <c r="B196" t="s">
        <v>17</v>
      </c>
      <c r="C196" t="s">
        <v>1137</v>
      </c>
      <c r="D196" t="s">
        <v>1138</v>
      </c>
      <c r="E196" t="s">
        <v>1137</v>
      </c>
      <c r="F196" t="s">
        <v>46</v>
      </c>
      <c r="G196" t="s">
        <v>1139</v>
      </c>
      <c r="H196" t="s">
        <v>22</v>
      </c>
      <c r="I196" t="s">
        <v>1140</v>
      </c>
      <c r="J196" t="s">
        <v>1141</v>
      </c>
      <c r="K196" t="s">
        <v>2861</v>
      </c>
      <c r="L196" t="s">
        <v>1130</v>
      </c>
      <c r="M196">
        <v>3</v>
      </c>
      <c r="N196" t="s">
        <v>1130</v>
      </c>
      <c r="O196" t="s">
        <v>1131</v>
      </c>
      <c r="P196" t="s">
        <v>1032</v>
      </c>
      <c r="Q196" s="3">
        <v>4000000</v>
      </c>
      <c r="R196" s="3">
        <v>4000000</v>
      </c>
      <c r="S196" s="3">
        <v>0</v>
      </c>
    </row>
    <row r="197" spans="1:20" x14ac:dyDescent="0.25">
      <c r="A197">
        <v>900091143</v>
      </c>
      <c r="B197" t="s">
        <v>17</v>
      </c>
      <c r="C197" t="s">
        <v>1142</v>
      </c>
      <c r="D197" t="s">
        <v>1143</v>
      </c>
      <c r="E197" t="s">
        <v>1142</v>
      </c>
      <c r="F197" t="s">
        <v>46</v>
      </c>
      <c r="G197" t="s">
        <v>1144</v>
      </c>
      <c r="H197" t="s">
        <v>22</v>
      </c>
      <c r="I197" t="s">
        <v>1145</v>
      </c>
      <c r="J197" t="s">
        <v>1146</v>
      </c>
      <c r="K197" t="s">
        <v>2861</v>
      </c>
      <c r="L197" t="s">
        <v>1130</v>
      </c>
      <c r="M197">
        <v>3</v>
      </c>
      <c r="N197" t="s">
        <v>1130</v>
      </c>
      <c r="O197" t="s">
        <v>1131</v>
      </c>
      <c r="P197" t="s">
        <v>1032</v>
      </c>
      <c r="Q197" s="3">
        <v>4000000</v>
      </c>
      <c r="R197" s="3">
        <v>4000000</v>
      </c>
      <c r="S197" s="3">
        <v>0</v>
      </c>
    </row>
    <row r="198" spans="1:20" x14ac:dyDescent="0.25">
      <c r="A198">
        <v>900091143</v>
      </c>
      <c r="B198" t="s">
        <v>17</v>
      </c>
      <c r="C198" t="s">
        <v>1147</v>
      </c>
      <c r="D198" t="s">
        <v>1148</v>
      </c>
      <c r="E198" t="s">
        <v>1147</v>
      </c>
      <c r="F198" t="s">
        <v>46</v>
      </c>
      <c r="G198" t="s">
        <v>1149</v>
      </c>
      <c r="H198" t="s">
        <v>22</v>
      </c>
      <c r="I198" t="s">
        <v>1150</v>
      </c>
      <c r="J198" t="s">
        <v>1151</v>
      </c>
      <c r="K198" t="s">
        <v>2861</v>
      </c>
      <c r="L198" t="s">
        <v>1130</v>
      </c>
      <c r="M198">
        <v>3</v>
      </c>
      <c r="N198" t="s">
        <v>1130</v>
      </c>
      <c r="O198" t="s">
        <v>1131</v>
      </c>
      <c r="P198" t="s">
        <v>1032</v>
      </c>
      <c r="Q198" s="3">
        <v>4000000</v>
      </c>
      <c r="R198" s="3">
        <v>0</v>
      </c>
      <c r="S198" s="3">
        <v>4000000</v>
      </c>
      <c r="T198" t="s">
        <v>2866</v>
      </c>
    </row>
    <row r="199" spans="1:20" x14ac:dyDescent="0.25">
      <c r="A199">
        <v>900091143</v>
      </c>
      <c r="B199" t="s">
        <v>17</v>
      </c>
      <c r="C199" t="s">
        <v>1152</v>
      </c>
      <c r="D199" t="s">
        <v>1153</v>
      </c>
      <c r="E199" t="s">
        <v>1152</v>
      </c>
      <c r="F199" t="s">
        <v>46</v>
      </c>
      <c r="G199" t="s">
        <v>1154</v>
      </c>
      <c r="H199" t="s">
        <v>22</v>
      </c>
      <c r="I199" t="s">
        <v>1155</v>
      </c>
      <c r="J199" t="s">
        <v>1156</v>
      </c>
      <c r="K199" t="s">
        <v>2861</v>
      </c>
      <c r="L199" t="s">
        <v>1130</v>
      </c>
      <c r="M199">
        <v>3</v>
      </c>
      <c r="N199" t="s">
        <v>1130</v>
      </c>
      <c r="O199" t="s">
        <v>1131</v>
      </c>
      <c r="P199" t="s">
        <v>768</v>
      </c>
      <c r="Q199" s="3">
        <v>4000000</v>
      </c>
      <c r="R199" s="3">
        <v>4000000</v>
      </c>
      <c r="S199" s="3">
        <v>0</v>
      </c>
    </row>
    <row r="200" spans="1:20" x14ac:dyDescent="0.25">
      <c r="A200">
        <v>900091143</v>
      </c>
      <c r="B200" t="s">
        <v>17</v>
      </c>
      <c r="C200" t="s">
        <v>1157</v>
      </c>
      <c r="D200" t="s">
        <v>1158</v>
      </c>
      <c r="E200" t="s">
        <v>1157</v>
      </c>
      <c r="F200" t="s">
        <v>46</v>
      </c>
      <c r="G200" t="s">
        <v>1159</v>
      </c>
      <c r="H200" t="s">
        <v>22</v>
      </c>
      <c r="I200" t="s">
        <v>1160</v>
      </c>
      <c r="J200" t="s">
        <v>1161</v>
      </c>
      <c r="K200" t="s">
        <v>2861</v>
      </c>
      <c r="L200" t="s">
        <v>1130</v>
      </c>
      <c r="M200">
        <v>3</v>
      </c>
      <c r="N200" t="s">
        <v>1130</v>
      </c>
      <c r="O200" t="s">
        <v>1131</v>
      </c>
      <c r="P200" t="s">
        <v>1032</v>
      </c>
      <c r="Q200" s="3">
        <v>4000000</v>
      </c>
      <c r="R200" s="3">
        <v>4000000</v>
      </c>
      <c r="S200" s="3">
        <v>0</v>
      </c>
    </row>
    <row r="201" spans="1:20" x14ac:dyDescent="0.25">
      <c r="A201">
        <v>900091143</v>
      </c>
      <c r="B201" t="s">
        <v>17</v>
      </c>
      <c r="C201" t="s">
        <v>1162</v>
      </c>
      <c r="D201" t="s">
        <v>1163</v>
      </c>
      <c r="E201" t="s">
        <v>1162</v>
      </c>
      <c r="F201" t="s">
        <v>46</v>
      </c>
      <c r="G201" t="s">
        <v>1164</v>
      </c>
      <c r="H201" t="s">
        <v>22</v>
      </c>
      <c r="I201" t="s">
        <v>1165</v>
      </c>
      <c r="J201" t="s">
        <v>1166</v>
      </c>
      <c r="K201" t="s">
        <v>2861</v>
      </c>
      <c r="L201" t="s">
        <v>1130</v>
      </c>
      <c r="M201">
        <v>3</v>
      </c>
      <c r="N201" t="s">
        <v>1130</v>
      </c>
      <c r="O201" t="s">
        <v>1131</v>
      </c>
      <c r="P201" t="s">
        <v>768</v>
      </c>
      <c r="Q201" s="3">
        <v>4000000</v>
      </c>
      <c r="R201" s="3">
        <v>4000000</v>
      </c>
      <c r="S201" s="3">
        <v>0</v>
      </c>
    </row>
    <row r="202" spans="1:20" x14ac:dyDescent="0.25">
      <c r="A202">
        <v>900091143</v>
      </c>
      <c r="B202" t="s">
        <v>17</v>
      </c>
      <c r="C202" t="s">
        <v>1167</v>
      </c>
      <c r="D202" t="s">
        <v>1168</v>
      </c>
      <c r="E202" t="s">
        <v>1167</v>
      </c>
      <c r="F202" t="s">
        <v>46</v>
      </c>
      <c r="G202" t="s">
        <v>1169</v>
      </c>
      <c r="H202" t="s">
        <v>22</v>
      </c>
      <c r="I202" t="s">
        <v>1170</v>
      </c>
      <c r="J202" t="s">
        <v>1171</v>
      </c>
      <c r="K202" t="s">
        <v>2861</v>
      </c>
      <c r="L202" t="s">
        <v>1172</v>
      </c>
      <c r="M202">
        <v>3</v>
      </c>
      <c r="N202" t="s">
        <v>1172</v>
      </c>
      <c r="O202" t="s">
        <v>1173</v>
      </c>
      <c r="P202" t="s">
        <v>1032</v>
      </c>
      <c r="Q202" s="3">
        <v>4000000</v>
      </c>
      <c r="R202" s="3">
        <v>4000000</v>
      </c>
      <c r="S202" s="3">
        <v>0</v>
      </c>
    </row>
    <row r="203" spans="1:20" x14ac:dyDescent="0.25">
      <c r="A203">
        <v>900091143</v>
      </c>
      <c r="B203" t="s">
        <v>17</v>
      </c>
      <c r="C203" t="s">
        <v>1174</v>
      </c>
      <c r="D203" t="s">
        <v>1175</v>
      </c>
      <c r="E203" t="s">
        <v>1174</v>
      </c>
      <c r="F203" t="s">
        <v>46</v>
      </c>
      <c r="G203" t="s">
        <v>1176</v>
      </c>
      <c r="H203" t="s">
        <v>22</v>
      </c>
      <c r="I203" t="s">
        <v>1177</v>
      </c>
      <c r="J203" t="s">
        <v>1178</v>
      </c>
      <c r="K203" t="s">
        <v>2861</v>
      </c>
      <c r="L203" t="s">
        <v>1172</v>
      </c>
      <c r="M203">
        <v>3</v>
      </c>
      <c r="N203" t="s">
        <v>1172</v>
      </c>
      <c r="O203" t="s">
        <v>1173</v>
      </c>
      <c r="P203" t="s">
        <v>1032</v>
      </c>
      <c r="Q203" s="3">
        <v>4000000</v>
      </c>
      <c r="R203" s="3">
        <v>4000000</v>
      </c>
      <c r="S203" s="3">
        <v>0</v>
      </c>
    </row>
    <row r="204" spans="1:20" x14ac:dyDescent="0.25">
      <c r="A204">
        <v>900091143</v>
      </c>
      <c r="B204" t="s">
        <v>17</v>
      </c>
      <c r="C204" t="s">
        <v>1179</v>
      </c>
      <c r="D204" t="s">
        <v>1180</v>
      </c>
      <c r="E204" t="s">
        <v>1179</v>
      </c>
      <c r="F204" t="s">
        <v>46</v>
      </c>
      <c r="G204" t="s">
        <v>1181</v>
      </c>
      <c r="H204" t="s">
        <v>22</v>
      </c>
      <c r="I204" t="s">
        <v>1182</v>
      </c>
      <c r="J204" t="s">
        <v>1183</v>
      </c>
      <c r="K204" t="s">
        <v>2861</v>
      </c>
      <c r="L204" t="s">
        <v>64</v>
      </c>
      <c r="M204">
        <v>3</v>
      </c>
      <c r="N204" t="s">
        <v>64</v>
      </c>
      <c r="O204" t="s">
        <v>1184</v>
      </c>
      <c r="P204" t="s">
        <v>768</v>
      </c>
      <c r="Q204" s="3">
        <v>4000000</v>
      </c>
      <c r="R204" s="3">
        <v>4000000</v>
      </c>
      <c r="S204" s="3">
        <v>0</v>
      </c>
    </row>
    <row r="205" spans="1:20" x14ac:dyDescent="0.25">
      <c r="A205">
        <v>900091143</v>
      </c>
      <c r="B205" t="s">
        <v>17</v>
      </c>
      <c r="C205" t="s">
        <v>1185</v>
      </c>
      <c r="D205" t="s">
        <v>1186</v>
      </c>
      <c r="E205" t="s">
        <v>1185</v>
      </c>
      <c r="F205" t="s">
        <v>46</v>
      </c>
      <c r="G205" t="s">
        <v>1187</v>
      </c>
      <c r="H205" t="s">
        <v>22</v>
      </c>
      <c r="I205" t="s">
        <v>1188</v>
      </c>
      <c r="J205" t="s">
        <v>1189</v>
      </c>
      <c r="K205" t="s">
        <v>2861</v>
      </c>
      <c r="L205" t="s">
        <v>1190</v>
      </c>
      <c r="M205">
        <v>3</v>
      </c>
      <c r="N205" t="s">
        <v>1190</v>
      </c>
      <c r="O205" t="s">
        <v>860</v>
      </c>
      <c r="P205" t="s">
        <v>768</v>
      </c>
      <c r="Q205" s="3">
        <v>4000000</v>
      </c>
      <c r="R205" s="3">
        <v>4000000</v>
      </c>
      <c r="S205" s="3">
        <v>0</v>
      </c>
    </row>
    <row r="206" spans="1:20" x14ac:dyDescent="0.25">
      <c r="A206">
        <v>900091143</v>
      </c>
      <c r="B206" t="s">
        <v>17</v>
      </c>
      <c r="C206" t="s">
        <v>1191</v>
      </c>
      <c r="D206" t="s">
        <v>1192</v>
      </c>
      <c r="E206" t="s">
        <v>1191</v>
      </c>
      <c r="F206" t="s">
        <v>46</v>
      </c>
      <c r="G206" t="s">
        <v>1193</v>
      </c>
      <c r="H206" t="s">
        <v>22</v>
      </c>
      <c r="I206" t="s">
        <v>1194</v>
      </c>
      <c r="J206" t="s">
        <v>1195</v>
      </c>
      <c r="K206" t="s">
        <v>2861</v>
      </c>
      <c r="L206" t="s">
        <v>1190</v>
      </c>
      <c r="M206">
        <v>3</v>
      </c>
      <c r="N206" t="s">
        <v>1190</v>
      </c>
      <c r="O206" t="s">
        <v>860</v>
      </c>
      <c r="P206" t="s">
        <v>768</v>
      </c>
      <c r="Q206" s="3">
        <v>4000000</v>
      </c>
      <c r="R206" s="3">
        <v>4000000</v>
      </c>
      <c r="S206" s="3">
        <v>0</v>
      </c>
    </row>
    <row r="207" spans="1:20" x14ac:dyDescent="0.25">
      <c r="A207">
        <v>900091143</v>
      </c>
      <c r="B207" t="s">
        <v>17</v>
      </c>
      <c r="C207" t="s">
        <v>1196</v>
      </c>
      <c r="D207" t="s">
        <v>1197</v>
      </c>
      <c r="E207" t="s">
        <v>1196</v>
      </c>
      <c r="F207" t="s">
        <v>46</v>
      </c>
      <c r="G207" t="s">
        <v>1198</v>
      </c>
      <c r="H207" t="s">
        <v>22</v>
      </c>
      <c r="I207" t="s">
        <v>1199</v>
      </c>
      <c r="J207" t="s">
        <v>1200</v>
      </c>
      <c r="K207" t="s">
        <v>2861</v>
      </c>
      <c r="L207" t="s">
        <v>1201</v>
      </c>
      <c r="M207">
        <v>3</v>
      </c>
      <c r="N207" t="s">
        <v>1201</v>
      </c>
      <c r="O207" t="s">
        <v>867</v>
      </c>
      <c r="P207" t="s">
        <v>768</v>
      </c>
      <c r="Q207" s="3">
        <v>4000000</v>
      </c>
      <c r="R207" s="3">
        <v>4000000</v>
      </c>
      <c r="S207" s="3">
        <v>0</v>
      </c>
    </row>
    <row r="208" spans="1:20" x14ac:dyDescent="0.25">
      <c r="A208">
        <v>900091143</v>
      </c>
      <c r="B208" t="s">
        <v>17</v>
      </c>
      <c r="C208" t="s">
        <v>1202</v>
      </c>
      <c r="D208" t="s">
        <v>1203</v>
      </c>
      <c r="E208" t="s">
        <v>1202</v>
      </c>
      <c r="F208" t="s">
        <v>46</v>
      </c>
      <c r="G208" t="s">
        <v>1204</v>
      </c>
      <c r="H208" t="s">
        <v>22</v>
      </c>
      <c r="I208" t="s">
        <v>1205</v>
      </c>
      <c r="J208" t="s">
        <v>1206</v>
      </c>
      <c r="K208" t="s">
        <v>2861</v>
      </c>
      <c r="L208" t="s">
        <v>1201</v>
      </c>
      <c r="M208">
        <v>3</v>
      </c>
      <c r="N208" t="s">
        <v>1201</v>
      </c>
      <c r="O208" t="s">
        <v>867</v>
      </c>
      <c r="P208" t="s">
        <v>1032</v>
      </c>
      <c r="Q208" s="3">
        <v>4000000</v>
      </c>
      <c r="R208" s="3">
        <v>4000000</v>
      </c>
      <c r="S208" s="3">
        <v>0</v>
      </c>
    </row>
    <row r="209" spans="1:20" x14ac:dyDescent="0.25">
      <c r="A209">
        <v>900091143</v>
      </c>
      <c r="B209" t="s">
        <v>17</v>
      </c>
      <c r="C209" t="s">
        <v>1207</v>
      </c>
      <c r="D209" t="s">
        <v>1208</v>
      </c>
      <c r="E209" t="s">
        <v>1207</v>
      </c>
      <c r="F209" t="s">
        <v>46</v>
      </c>
      <c r="G209" t="s">
        <v>1209</v>
      </c>
      <c r="H209" t="s">
        <v>22</v>
      </c>
      <c r="I209" t="s">
        <v>1210</v>
      </c>
      <c r="J209" t="s">
        <v>1211</v>
      </c>
      <c r="K209" t="s">
        <v>50</v>
      </c>
      <c r="L209" t="s">
        <v>297</v>
      </c>
      <c r="M209">
        <v>2</v>
      </c>
      <c r="N209" t="s">
        <v>297</v>
      </c>
      <c r="O209" t="s">
        <v>700</v>
      </c>
      <c r="P209" t="s">
        <v>53</v>
      </c>
      <c r="Q209" s="3">
        <v>2000000</v>
      </c>
      <c r="R209" s="3">
        <v>2000000</v>
      </c>
      <c r="S209" s="3">
        <v>0</v>
      </c>
    </row>
    <row r="210" spans="1:20" x14ac:dyDescent="0.25">
      <c r="A210">
        <v>900091143</v>
      </c>
      <c r="B210" t="s">
        <v>17</v>
      </c>
      <c r="C210" t="s">
        <v>1212</v>
      </c>
      <c r="D210" t="s">
        <v>1213</v>
      </c>
      <c r="E210" t="s">
        <v>1212</v>
      </c>
      <c r="F210" t="s">
        <v>46</v>
      </c>
      <c r="G210" t="s">
        <v>1214</v>
      </c>
      <c r="H210" t="s">
        <v>22</v>
      </c>
      <c r="I210" t="s">
        <v>1215</v>
      </c>
      <c r="J210" t="s">
        <v>1216</v>
      </c>
      <c r="K210" t="s">
        <v>25</v>
      </c>
      <c r="L210" t="s">
        <v>330</v>
      </c>
      <c r="M210">
        <v>2</v>
      </c>
      <c r="N210" t="s">
        <v>330</v>
      </c>
      <c r="O210" t="s">
        <v>1217</v>
      </c>
      <c r="P210" t="s">
        <v>65</v>
      </c>
      <c r="Q210" s="3">
        <v>7500000</v>
      </c>
      <c r="R210" s="3">
        <v>7500000</v>
      </c>
      <c r="S210" s="3">
        <v>0</v>
      </c>
    </row>
    <row r="211" spans="1:20" x14ac:dyDescent="0.25">
      <c r="A211">
        <v>900091143</v>
      </c>
      <c r="B211" t="s">
        <v>17</v>
      </c>
      <c r="C211" t="s">
        <v>1218</v>
      </c>
      <c r="D211" t="s">
        <v>1219</v>
      </c>
      <c r="E211" t="s">
        <v>1218</v>
      </c>
      <c r="F211" t="s">
        <v>46</v>
      </c>
      <c r="G211" t="s">
        <v>1220</v>
      </c>
      <c r="H211" t="s">
        <v>22</v>
      </c>
      <c r="I211" t="s">
        <v>1221</v>
      </c>
      <c r="J211" t="s">
        <v>1222</v>
      </c>
      <c r="K211" t="s">
        <v>2861</v>
      </c>
      <c r="L211" t="s">
        <v>330</v>
      </c>
      <c r="M211">
        <v>2</v>
      </c>
      <c r="N211" t="s">
        <v>330</v>
      </c>
      <c r="O211" t="s">
        <v>1217</v>
      </c>
      <c r="P211" t="s">
        <v>1032</v>
      </c>
      <c r="Q211" s="3">
        <v>2000000</v>
      </c>
      <c r="R211" s="3">
        <v>2000000</v>
      </c>
      <c r="S211" s="3">
        <v>0</v>
      </c>
    </row>
    <row r="212" spans="1:20" x14ac:dyDescent="0.25">
      <c r="A212">
        <v>900091143</v>
      </c>
      <c r="B212" t="s">
        <v>17</v>
      </c>
      <c r="C212" t="s">
        <v>1223</v>
      </c>
      <c r="D212" t="s">
        <v>1224</v>
      </c>
      <c r="E212" t="s">
        <v>1223</v>
      </c>
      <c r="F212" t="s">
        <v>46</v>
      </c>
      <c r="G212" t="s">
        <v>1225</v>
      </c>
      <c r="H212" t="s">
        <v>22</v>
      </c>
      <c r="I212" t="s">
        <v>1226</v>
      </c>
      <c r="J212" t="s">
        <v>1227</v>
      </c>
      <c r="K212" t="s">
        <v>50</v>
      </c>
      <c r="L212" t="s">
        <v>330</v>
      </c>
      <c r="M212">
        <v>2</v>
      </c>
      <c r="N212" t="s">
        <v>330</v>
      </c>
      <c r="O212" t="s">
        <v>1217</v>
      </c>
      <c r="P212" t="s">
        <v>460</v>
      </c>
      <c r="Q212" s="3">
        <v>2000000</v>
      </c>
      <c r="R212" s="3">
        <v>2000000</v>
      </c>
      <c r="S212" s="3">
        <v>0</v>
      </c>
    </row>
    <row r="213" spans="1:20" x14ac:dyDescent="0.25">
      <c r="A213">
        <v>900091143</v>
      </c>
      <c r="B213" t="s">
        <v>17</v>
      </c>
      <c r="C213" t="s">
        <v>1228</v>
      </c>
      <c r="D213" t="s">
        <v>1229</v>
      </c>
      <c r="E213" t="s">
        <v>1228</v>
      </c>
      <c r="F213" t="s">
        <v>46</v>
      </c>
      <c r="G213" t="s">
        <v>1230</v>
      </c>
      <c r="H213" t="s">
        <v>22</v>
      </c>
      <c r="I213" t="s">
        <v>1231</v>
      </c>
      <c r="J213" t="s">
        <v>1232</v>
      </c>
      <c r="K213" t="s">
        <v>168</v>
      </c>
      <c r="L213" t="s">
        <v>420</v>
      </c>
      <c r="M213">
        <v>2</v>
      </c>
      <c r="N213" t="s">
        <v>420</v>
      </c>
      <c r="O213" t="s">
        <v>1233</v>
      </c>
      <c r="P213" t="s">
        <v>313</v>
      </c>
      <c r="Q213" s="3">
        <v>6000000</v>
      </c>
      <c r="R213" s="3">
        <v>6000000</v>
      </c>
      <c r="S213" s="3">
        <v>0</v>
      </c>
    </row>
    <row r="214" spans="1:20" x14ac:dyDescent="0.25">
      <c r="A214">
        <v>900091143</v>
      </c>
      <c r="B214" t="s">
        <v>17</v>
      </c>
      <c r="C214" t="s">
        <v>1234</v>
      </c>
      <c r="D214" t="s">
        <v>1235</v>
      </c>
      <c r="E214" t="s">
        <v>1234</v>
      </c>
      <c r="F214" t="s">
        <v>46</v>
      </c>
      <c r="G214" t="s">
        <v>1236</v>
      </c>
      <c r="H214" t="s">
        <v>22</v>
      </c>
      <c r="I214" t="s">
        <v>1237</v>
      </c>
      <c r="J214" t="s">
        <v>1238</v>
      </c>
      <c r="K214" t="s">
        <v>168</v>
      </c>
      <c r="L214" t="s">
        <v>420</v>
      </c>
      <c r="M214">
        <v>2</v>
      </c>
      <c r="N214" t="s">
        <v>420</v>
      </c>
      <c r="O214" t="s">
        <v>1233</v>
      </c>
      <c r="P214" t="s">
        <v>313</v>
      </c>
      <c r="Q214" s="3">
        <v>6000000</v>
      </c>
      <c r="R214" s="3">
        <v>6000000</v>
      </c>
      <c r="S214" s="3">
        <v>0</v>
      </c>
    </row>
    <row r="215" spans="1:20" x14ac:dyDescent="0.25">
      <c r="A215">
        <v>900091143</v>
      </c>
      <c r="B215" t="s">
        <v>17</v>
      </c>
      <c r="C215" t="s">
        <v>1239</v>
      </c>
      <c r="D215" t="s">
        <v>1240</v>
      </c>
      <c r="E215" t="s">
        <v>1239</v>
      </c>
      <c r="F215" t="s">
        <v>46</v>
      </c>
      <c r="G215" t="s">
        <v>1241</v>
      </c>
      <c r="H215" t="s">
        <v>22</v>
      </c>
      <c r="I215" t="s">
        <v>1242</v>
      </c>
      <c r="J215" t="s">
        <v>1243</v>
      </c>
      <c r="K215" t="s">
        <v>50</v>
      </c>
      <c r="L215" t="s">
        <v>1244</v>
      </c>
      <c r="M215">
        <v>2</v>
      </c>
      <c r="N215" t="s">
        <v>1244</v>
      </c>
      <c r="O215" t="s">
        <v>1245</v>
      </c>
      <c r="P215" t="s">
        <v>53</v>
      </c>
      <c r="Q215" s="3">
        <v>2000000</v>
      </c>
      <c r="R215" s="3">
        <v>2000000</v>
      </c>
      <c r="S215" s="3">
        <v>0</v>
      </c>
    </row>
    <row r="216" spans="1:20" x14ac:dyDescent="0.25">
      <c r="A216">
        <v>900091143</v>
      </c>
      <c r="B216" t="s">
        <v>17</v>
      </c>
      <c r="C216" t="s">
        <v>1246</v>
      </c>
      <c r="D216" t="s">
        <v>1247</v>
      </c>
      <c r="E216" t="s">
        <v>1246</v>
      </c>
      <c r="F216" t="s">
        <v>46</v>
      </c>
      <c r="G216" t="s">
        <v>1248</v>
      </c>
      <c r="H216" t="s">
        <v>22</v>
      </c>
      <c r="I216" t="s">
        <v>1249</v>
      </c>
      <c r="J216" t="s">
        <v>1250</v>
      </c>
      <c r="K216" t="s">
        <v>2861</v>
      </c>
      <c r="L216" t="s">
        <v>472</v>
      </c>
      <c r="M216">
        <v>2</v>
      </c>
      <c r="N216" t="s">
        <v>472</v>
      </c>
      <c r="O216" t="s">
        <v>1026</v>
      </c>
      <c r="P216" t="s">
        <v>768</v>
      </c>
      <c r="Q216" s="3">
        <v>2000000</v>
      </c>
      <c r="R216" s="3">
        <v>2000000</v>
      </c>
      <c r="S216" s="3">
        <v>0</v>
      </c>
    </row>
    <row r="217" spans="1:20" x14ac:dyDescent="0.25">
      <c r="A217">
        <v>900091143</v>
      </c>
      <c r="B217" t="s">
        <v>17</v>
      </c>
      <c r="C217" t="s">
        <v>1251</v>
      </c>
      <c r="D217" t="s">
        <v>1252</v>
      </c>
      <c r="E217" t="s">
        <v>1251</v>
      </c>
      <c r="F217" t="s">
        <v>375</v>
      </c>
      <c r="G217" t="s">
        <v>1253</v>
      </c>
      <c r="H217" t="s">
        <v>22</v>
      </c>
      <c r="I217" t="s">
        <v>772</v>
      </c>
      <c r="J217" t="s">
        <v>773</v>
      </c>
      <c r="K217" t="s">
        <v>32</v>
      </c>
      <c r="L217" t="s">
        <v>472</v>
      </c>
      <c r="M217">
        <v>1</v>
      </c>
      <c r="N217" t="s">
        <v>472</v>
      </c>
      <c r="O217" t="s">
        <v>1245</v>
      </c>
      <c r="P217" t="s">
        <v>1254</v>
      </c>
      <c r="Q217" s="3">
        <v>2625000</v>
      </c>
      <c r="R217" s="3">
        <v>2625000</v>
      </c>
      <c r="S217" s="3">
        <v>0</v>
      </c>
    </row>
    <row r="218" spans="1:20" x14ac:dyDescent="0.25">
      <c r="A218">
        <v>900091143</v>
      </c>
      <c r="B218" t="s">
        <v>17</v>
      </c>
      <c r="C218" t="s">
        <v>1255</v>
      </c>
      <c r="D218" t="s">
        <v>1256</v>
      </c>
      <c r="E218" t="s">
        <v>1255</v>
      </c>
      <c r="F218" t="s">
        <v>46</v>
      </c>
      <c r="G218" t="s">
        <v>1257</v>
      </c>
      <c r="H218" t="s">
        <v>22</v>
      </c>
      <c r="I218" t="s">
        <v>1258</v>
      </c>
      <c r="J218" t="s">
        <v>1259</v>
      </c>
      <c r="K218" t="s">
        <v>25</v>
      </c>
      <c r="L218" t="s">
        <v>657</v>
      </c>
      <c r="M218">
        <v>2</v>
      </c>
      <c r="N218" t="s">
        <v>657</v>
      </c>
      <c r="O218" t="s">
        <v>948</v>
      </c>
      <c r="P218" t="s">
        <v>393</v>
      </c>
      <c r="Q218" s="3">
        <v>7500000</v>
      </c>
      <c r="R218" s="3">
        <v>7500000</v>
      </c>
      <c r="S218" s="3">
        <v>0</v>
      </c>
    </row>
    <row r="219" spans="1:20" x14ac:dyDescent="0.25">
      <c r="A219">
        <v>900091143</v>
      </c>
      <c r="B219" t="s">
        <v>17</v>
      </c>
      <c r="C219" t="s">
        <v>1260</v>
      </c>
      <c r="D219" t="s">
        <v>1261</v>
      </c>
      <c r="E219" t="s">
        <v>1260</v>
      </c>
      <c r="F219" t="s">
        <v>375</v>
      </c>
      <c r="G219" t="s">
        <v>1262</v>
      </c>
      <c r="H219" t="s">
        <v>22</v>
      </c>
      <c r="I219" t="s">
        <v>1263</v>
      </c>
      <c r="J219" t="s">
        <v>1264</v>
      </c>
      <c r="K219" t="s">
        <v>32</v>
      </c>
      <c r="L219" t="s">
        <v>1184</v>
      </c>
      <c r="M219">
        <v>1</v>
      </c>
      <c r="N219" t="s">
        <v>1184</v>
      </c>
      <c r="O219" t="s">
        <v>1265</v>
      </c>
      <c r="P219" t="s">
        <v>1266</v>
      </c>
      <c r="Q219" s="3">
        <v>9506000</v>
      </c>
      <c r="R219" s="3">
        <v>9506000</v>
      </c>
      <c r="S219" s="3">
        <v>0</v>
      </c>
    </row>
    <row r="220" spans="1:20" x14ac:dyDescent="0.25">
      <c r="A220">
        <v>900091143</v>
      </c>
      <c r="B220" t="s">
        <v>17</v>
      </c>
      <c r="C220" t="s">
        <v>1267</v>
      </c>
      <c r="D220" t="s">
        <v>1268</v>
      </c>
      <c r="E220" t="s">
        <v>1267</v>
      </c>
      <c r="F220" t="s">
        <v>1269</v>
      </c>
      <c r="G220" t="s">
        <v>1270</v>
      </c>
      <c r="H220" t="s">
        <v>22</v>
      </c>
      <c r="I220" t="s">
        <v>161</v>
      </c>
      <c r="J220" t="s">
        <v>162</v>
      </c>
      <c r="K220" t="s">
        <v>2860</v>
      </c>
      <c r="L220" t="s">
        <v>1271</v>
      </c>
      <c r="M220">
        <v>2</v>
      </c>
      <c r="N220" t="s">
        <v>1271</v>
      </c>
      <c r="O220" t="s">
        <v>1272</v>
      </c>
      <c r="P220" t="s">
        <v>1273</v>
      </c>
      <c r="Q220" s="3">
        <v>9500000</v>
      </c>
      <c r="R220" s="3">
        <v>0</v>
      </c>
      <c r="S220" s="3">
        <v>9500000</v>
      </c>
      <c r="T220" t="s">
        <v>2866</v>
      </c>
    </row>
    <row r="221" spans="1:20" x14ac:dyDescent="0.25">
      <c r="A221">
        <v>900091143</v>
      </c>
      <c r="B221" t="s">
        <v>17</v>
      </c>
      <c r="C221" t="s">
        <v>1274</v>
      </c>
      <c r="D221" t="s">
        <v>1275</v>
      </c>
      <c r="E221" t="s">
        <v>1274</v>
      </c>
      <c r="F221" t="s">
        <v>1269</v>
      </c>
      <c r="G221" t="s">
        <v>1276</v>
      </c>
      <c r="H221" t="s">
        <v>22</v>
      </c>
      <c r="I221" t="s">
        <v>599</v>
      </c>
      <c r="J221" t="s">
        <v>600</v>
      </c>
      <c r="K221" t="s">
        <v>2860</v>
      </c>
      <c r="L221" t="s">
        <v>1271</v>
      </c>
      <c r="M221">
        <v>2</v>
      </c>
      <c r="N221" t="s">
        <v>1271</v>
      </c>
      <c r="O221" t="s">
        <v>1272</v>
      </c>
      <c r="P221" t="s">
        <v>1273</v>
      </c>
      <c r="Q221" s="3">
        <v>9500000</v>
      </c>
      <c r="R221" s="3">
        <v>9500000</v>
      </c>
      <c r="S221" s="3">
        <v>0</v>
      </c>
    </row>
    <row r="222" spans="1:20" x14ac:dyDescent="0.25">
      <c r="A222">
        <v>900091143</v>
      </c>
      <c r="B222" t="s">
        <v>17</v>
      </c>
      <c r="C222" t="s">
        <v>1277</v>
      </c>
      <c r="D222" t="s">
        <v>1278</v>
      </c>
      <c r="E222" t="s">
        <v>1277</v>
      </c>
      <c r="F222" t="s">
        <v>1269</v>
      </c>
      <c r="G222" t="s">
        <v>1279</v>
      </c>
      <c r="H222" t="s">
        <v>22</v>
      </c>
      <c r="I222" t="s">
        <v>424</v>
      </c>
      <c r="J222" t="s">
        <v>425</v>
      </c>
      <c r="K222" t="s">
        <v>2860</v>
      </c>
      <c r="L222" t="s">
        <v>1271</v>
      </c>
      <c r="M222">
        <v>2</v>
      </c>
      <c r="N222" t="s">
        <v>1271</v>
      </c>
      <c r="O222" t="s">
        <v>1272</v>
      </c>
      <c r="P222" t="s">
        <v>1273</v>
      </c>
      <c r="Q222" s="3">
        <v>9500000</v>
      </c>
      <c r="R222" s="3">
        <v>9500000</v>
      </c>
      <c r="S222" s="3">
        <v>0</v>
      </c>
    </row>
    <row r="223" spans="1:20" x14ac:dyDescent="0.25">
      <c r="A223">
        <v>900091143</v>
      </c>
      <c r="B223" t="s">
        <v>17</v>
      </c>
      <c r="C223" t="s">
        <v>1280</v>
      </c>
      <c r="D223" t="s">
        <v>1281</v>
      </c>
      <c r="E223" t="s">
        <v>1280</v>
      </c>
      <c r="F223" t="s">
        <v>1269</v>
      </c>
      <c r="G223" t="s">
        <v>1282</v>
      </c>
      <c r="H223" t="s">
        <v>22</v>
      </c>
      <c r="I223" t="s">
        <v>1283</v>
      </c>
      <c r="J223" t="s">
        <v>1284</v>
      </c>
      <c r="K223" t="s">
        <v>71</v>
      </c>
      <c r="L223" t="s">
        <v>1271</v>
      </c>
      <c r="M223">
        <v>2</v>
      </c>
      <c r="N223" t="s">
        <v>1271</v>
      </c>
      <c r="O223" t="s">
        <v>1272</v>
      </c>
      <c r="P223" t="s">
        <v>1285</v>
      </c>
      <c r="Q223" s="3">
        <v>9650000</v>
      </c>
      <c r="R223" s="3">
        <v>9650000</v>
      </c>
      <c r="S223" s="3">
        <v>0</v>
      </c>
    </row>
    <row r="224" spans="1:20" x14ac:dyDescent="0.25">
      <c r="A224">
        <v>900091143</v>
      </c>
      <c r="B224" t="s">
        <v>17</v>
      </c>
      <c r="C224" t="s">
        <v>1286</v>
      </c>
      <c r="D224" t="s">
        <v>1287</v>
      </c>
      <c r="E224" t="s">
        <v>1286</v>
      </c>
      <c r="F224" t="s">
        <v>1269</v>
      </c>
      <c r="G224" t="s">
        <v>1288</v>
      </c>
      <c r="H224" t="s">
        <v>22</v>
      </c>
      <c r="I224" t="s">
        <v>1289</v>
      </c>
      <c r="J224" t="s">
        <v>1290</v>
      </c>
      <c r="K224" t="s">
        <v>71</v>
      </c>
      <c r="L224" t="s">
        <v>1271</v>
      </c>
      <c r="M224">
        <v>2</v>
      </c>
      <c r="N224" t="s">
        <v>1271</v>
      </c>
      <c r="O224" t="s">
        <v>1272</v>
      </c>
      <c r="P224" t="s">
        <v>1285</v>
      </c>
      <c r="Q224" s="3">
        <v>9650000</v>
      </c>
      <c r="R224" s="3">
        <v>9650000</v>
      </c>
      <c r="S224" s="3">
        <v>0</v>
      </c>
    </row>
    <row r="225" spans="1:20" x14ac:dyDescent="0.25">
      <c r="A225">
        <v>900091143</v>
      </c>
      <c r="B225" t="s">
        <v>17</v>
      </c>
      <c r="C225" t="s">
        <v>1291</v>
      </c>
      <c r="D225" t="s">
        <v>1292</v>
      </c>
      <c r="E225" t="s">
        <v>1291</v>
      </c>
      <c r="F225" t="s">
        <v>1269</v>
      </c>
      <c r="G225" t="s">
        <v>1293</v>
      </c>
      <c r="H225" t="s">
        <v>22</v>
      </c>
      <c r="I225" t="s">
        <v>360</v>
      </c>
      <c r="J225" t="s">
        <v>361</v>
      </c>
      <c r="K225" t="s">
        <v>71</v>
      </c>
      <c r="L225" t="s">
        <v>1271</v>
      </c>
      <c r="M225">
        <v>2</v>
      </c>
      <c r="N225" t="s">
        <v>1271</v>
      </c>
      <c r="O225" t="s">
        <v>1272</v>
      </c>
      <c r="P225" t="s">
        <v>1285</v>
      </c>
      <c r="Q225" s="3">
        <v>9650000</v>
      </c>
      <c r="R225" s="3">
        <v>9650000</v>
      </c>
      <c r="S225" s="3">
        <v>0</v>
      </c>
    </row>
    <row r="226" spans="1:20" x14ac:dyDescent="0.25">
      <c r="A226">
        <v>900091143</v>
      </c>
      <c r="B226" t="s">
        <v>17</v>
      </c>
      <c r="C226" t="s">
        <v>1294</v>
      </c>
      <c r="D226" t="s">
        <v>1295</v>
      </c>
      <c r="E226" t="s">
        <v>1294</v>
      </c>
      <c r="F226" t="s">
        <v>1269</v>
      </c>
      <c r="G226" t="s">
        <v>1296</v>
      </c>
      <c r="H226" t="s">
        <v>22</v>
      </c>
      <c r="I226" t="s">
        <v>809</v>
      </c>
      <c r="J226" t="s">
        <v>810</v>
      </c>
      <c r="K226" t="s">
        <v>50</v>
      </c>
      <c r="L226" t="s">
        <v>1271</v>
      </c>
      <c r="M226">
        <v>2</v>
      </c>
      <c r="N226" t="s">
        <v>1271</v>
      </c>
      <c r="O226" t="s">
        <v>1272</v>
      </c>
      <c r="P226" t="s">
        <v>1297</v>
      </c>
      <c r="Q226" s="3">
        <v>6000000</v>
      </c>
      <c r="R226" s="3">
        <v>6000000</v>
      </c>
      <c r="S226" s="3">
        <v>0</v>
      </c>
    </row>
    <row r="227" spans="1:20" x14ac:dyDescent="0.25">
      <c r="A227">
        <v>900091143</v>
      </c>
      <c r="B227" t="s">
        <v>17</v>
      </c>
      <c r="C227" t="s">
        <v>1298</v>
      </c>
      <c r="D227" t="s">
        <v>1299</v>
      </c>
      <c r="E227" t="s">
        <v>1298</v>
      </c>
      <c r="F227" t="s">
        <v>1269</v>
      </c>
      <c r="G227" t="s">
        <v>1300</v>
      </c>
      <c r="H227" t="s">
        <v>22</v>
      </c>
      <c r="I227" t="s">
        <v>349</v>
      </c>
      <c r="J227" t="s">
        <v>350</v>
      </c>
      <c r="K227" t="s">
        <v>50</v>
      </c>
      <c r="L227" t="s">
        <v>1271</v>
      </c>
      <c r="M227">
        <v>2</v>
      </c>
      <c r="N227" t="s">
        <v>1271</v>
      </c>
      <c r="O227" t="s">
        <v>1272</v>
      </c>
      <c r="P227" t="s">
        <v>1297</v>
      </c>
      <c r="Q227" s="3">
        <v>6000000</v>
      </c>
      <c r="R227" s="3">
        <v>6000000</v>
      </c>
      <c r="S227" s="3">
        <v>0</v>
      </c>
    </row>
    <row r="228" spans="1:20" x14ac:dyDescent="0.25">
      <c r="A228">
        <v>900091143</v>
      </c>
      <c r="B228" t="s">
        <v>17</v>
      </c>
      <c r="C228" t="s">
        <v>1301</v>
      </c>
      <c r="D228" t="s">
        <v>1302</v>
      </c>
      <c r="E228" t="s">
        <v>1301</v>
      </c>
      <c r="F228" t="s">
        <v>1269</v>
      </c>
      <c r="G228" t="s">
        <v>1303</v>
      </c>
      <c r="H228" t="s">
        <v>22</v>
      </c>
      <c r="I228" t="s">
        <v>224</v>
      </c>
      <c r="J228" t="s">
        <v>225</v>
      </c>
      <c r="K228" t="s">
        <v>2860</v>
      </c>
      <c r="L228" t="s">
        <v>1271</v>
      </c>
      <c r="M228">
        <v>2</v>
      </c>
      <c r="N228" t="s">
        <v>1271</v>
      </c>
      <c r="O228" t="s">
        <v>1272</v>
      </c>
      <c r="P228" t="s">
        <v>1273</v>
      </c>
      <c r="Q228" s="3">
        <v>9500000</v>
      </c>
      <c r="R228" s="3">
        <v>9500000</v>
      </c>
      <c r="S228" s="3">
        <v>0</v>
      </c>
    </row>
    <row r="229" spans="1:20" x14ac:dyDescent="0.25">
      <c r="A229">
        <v>900091143</v>
      </c>
      <c r="B229" t="s">
        <v>17</v>
      </c>
      <c r="C229" t="s">
        <v>1304</v>
      </c>
      <c r="D229" t="s">
        <v>1305</v>
      </c>
      <c r="E229" t="s">
        <v>1304</v>
      </c>
      <c r="F229" t="s">
        <v>1269</v>
      </c>
      <c r="G229" t="s">
        <v>1306</v>
      </c>
      <c r="H229" t="s">
        <v>22</v>
      </c>
      <c r="I229" t="s">
        <v>734</v>
      </c>
      <c r="J229" t="s">
        <v>735</v>
      </c>
      <c r="K229" t="s">
        <v>2860</v>
      </c>
      <c r="L229" t="s">
        <v>1271</v>
      </c>
      <c r="M229">
        <v>2</v>
      </c>
      <c r="N229" t="s">
        <v>1271</v>
      </c>
      <c r="O229" t="s">
        <v>1272</v>
      </c>
      <c r="P229" t="s">
        <v>1273</v>
      </c>
      <c r="Q229" s="3">
        <v>9500000</v>
      </c>
      <c r="R229" s="3">
        <v>9500000</v>
      </c>
      <c r="S229" s="3">
        <v>0</v>
      </c>
    </row>
    <row r="230" spans="1:20" x14ac:dyDescent="0.25">
      <c r="A230">
        <v>900091143</v>
      </c>
      <c r="B230" t="s">
        <v>17</v>
      </c>
      <c r="C230" t="s">
        <v>1307</v>
      </c>
      <c r="D230" t="s">
        <v>1308</v>
      </c>
      <c r="E230" t="s">
        <v>1307</v>
      </c>
      <c r="F230" t="s">
        <v>1269</v>
      </c>
      <c r="G230" t="s">
        <v>1309</v>
      </c>
      <c r="H230" t="s">
        <v>22</v>
      </c>
      <c r="I230" t="s">
        <v>1310</v>
      </c>
      <c r="J230" t="s">
        <v>1311</v>
      </c>
      <c r="K230" t="s">
        <v>2860</v>
      </c>
      <c r="L230" t="s">
        <v>1271</v>
      </c>
      <c r="M230">
        <v>2</v>
      </c>
      <c r="N230" t="s">
        <v>1271</v>
      </c>
      <c r="O230" t="s">
        <v>1272</v>
      </c>
      <c r="P230" t="s">
        <v>1273</v>
      </c>
      <c r="Q230" s="3">
        <v>9500000</v>
      </c>
      <c r="R230" s="3">
        <v>9500000</v>
      </c>
      <c r="S230" s="3">
        <v>0</v>
      </c>
    </row>
    <row r="231" spans="1:20" x14ac:dyDescent="0.25">
      <c r="A231">
        <v>900091143</v>
      </c>
      <c r="B231" t="s">
        <v>17</v>
      </c>
      <c r="C231" t="s">
        <v>1312</v>
      </c>
      <c r="D231" t="s">
        <v>1313</v>
      </c>
      <c r="E231" t="s">
        <v>1312</v>
      </c>
      <c r="F231" t="s">
        <v>1269</v>
      </c>
      <c r="G231" t="s">
        <v>1314</v>
      </c>
      <c r="H231" t="s">
        <v>22</v>
      </c>
      <c r="I231" t="s">
        <v>144</v>
      </c>
      <c r="J231" t="s">
        <v>145</v>
      </c>
      <c r="K231" t="s">
        <v>50</v>
      </c>
      <c r="L231" t="s">
        <v>1271</v>
      </c>
      <c r="M231">
        <v>2</v>
      </c>
      <c r="N231" t="s">
        <v>1271</v>
      </c>
      <c r="O231" t="s">
        <v>1272</v>
      </c>
      <c r="P231" t="s">
        <v>1297</v>
      </c>
      <c r="Q231" s="3">
        <v>6000000</v>
      </c>
      <c r="R231" s="3">
        <v>6000000</v>
      </c>
      <c r="S231" s="3">
        <v>0</v>
      </c>
    </row>
    <row r="232" spans="1:20" x14ac:dyDescent="0.25">
      <c r="A232">
        <v>900091143</v>
      </c>
      <c r="B232" t="s">
        <v>17</v>
      </c>
      <c r="C232" t="s">
        <v>1315</v>
      </c>
      <c r="D232" t="s">
        <v>1316</v>
      </c>
      <c r="E232" t="s">
        <v>1315</v>
      </c>
      <c r="F232" t="s">
        <v>1269</v>
      </c>
      <c r="G232" t="s">
        <v>1317</v>
      </c>
      <c r="H232" t="s">
        <v>22</v>
      </c>
      <c r="I232" t="s">
        <v>188</v>
      </c>
      <c r="J232" t="s">
        <v>189</v>
      </c>
      <c r="K232" t="s">
        <v>50</v>
      </c>
      <c r="L232" t="s">
        <v>1271</v>
      </c>
      <c r="M232">
        <v>2</v>
      </c>
      <c r="N232" t="s">
        <v>1271</v>
      </c>
      <c r="O232" t="s">
        <v>1272</v>
      </c>
      <c r="P232" t="s">
        <v>1297</v>
      </c>
      <c r="Q232" s="3">
        <v>6000000</v>
      </c>
      <c r="R232" s="3">
        <v>6000000</v>
      </c>
      <c r="S232" s="3">
        <v>0</v>
      </c>
    </row>
    <row r="233" spans="1:20" x14ac:dyDescent="0.25">
      <c r="A233">
        <v>900091143</v>
      </c>
      <c r="B233" t="s">
        <v>17</v>
      </c>
      <c r="C233" t="s">
        <v>1318</v>
      </c>
      <c r="D233" t="s">
        <v>1319</v>
      </c>
      <c r="E233" t="s">
        <v>1318</v>
      </c>
      <c r="F233" t="s">
        <v>1269</v>
      </c>
      <c r="G233" t="s">
        <v>1320</v>
      </c>
      <c r="H233" t="s">
        <v>22</v>
      </c>
      <c r="I233" t="s">
        <v>549</v>
      </c>
      <c r="J233" t="s">
        <v>550</v>
      </c>
      <c r="K233" t="s">
        <v>50</v>
      </c>
      <c r="L233" t="s">
        <v>1271</v>
      </c>
      <c r="M233">
        <v>2</v>
      </c>
      <c r="N233" t="s">
        <v>1271</v>
      </c>
      <c r="O233" t="s">
        <v>1272</v>
      </c>
      <c r="P233" t="s">
        <v>1297</v>
      </c>
      <c r="Q233" s="3">
        <v>6000000</v>
      </c>
      <c r="R233" s="3">
        <v>6000000</v>
      </c>
      <c r="S233" s="3">
        <v>0</v>
      </c>
    </row>
    <row r="234" spans="1:20" x14ac:dyDescent="0.25">
      <c r="A234">
        <v>900091143</v>
      </c>
      <c r="B234" t="s">
        <v>17</v>
      </c>
      <c r="C234" t="s">
        <v>1321</v>
      </c>
      <c r="D234" t="s">
        <v>1322</v>
      </c>
      <c r="E234" t="s">
        <v>1321</v>
      </c>
      <c r="F234" t="s">
        <v>1269</v>
      </c>
      <c r="G234" t="s">
        <v>1323</v>
      </c>
      <c r="H234" t="s">
        <v>22</v>
      </c>
      <c r="I234" t="s">
        <v>413</v>
      </c>
      <c r="J234" t="s">
        <v>414</v>
      </c>
      <c r="K234" t="s">
        <v>168</v>
      </c>
      <c r="L234" t="s">
        <v>1271</v>
      </c>
      <c r="M234">
        <v>2</v>
      </c>
      <c r="N234" t="s">
        <v>1271</v>
      </c>
      <c r="O234" t="s">
        <v>1272</v>
      </c>
      <c r="P234" t="s">
        <v>1324</v>
      </c>
      <c r="Q234" s="3">
        <v>12000000</v>
      </c>
      <c r="R234" s="3">
        <v>12000000</v>
      </c>
      <c r="S234" s="3">
        <v>0</v>
      </c>
    </row>
    <row r="235" spans="1:20" x14ac:dyDescent="0.25">
      <c r="A235">
        <v>900091143</v>
      </c>
      <c r="B235" t="s">
        <v>17</v>
      </c>
      <c r="C235" t="s">
        <v>1325</v>
      </c>
      <c r="D235" t="s">
        <v>1326</v>
      </c>
      <c r="E235" t="s">
        <v>1325</v>
      </c>
      <c r="F235" t="s">
        <v>1269</v>
      </c>
      <c r="G235" t="s">
        <v>1327</v>
      </c>
      <c r="H235" t="s">
        <v>22</v>
      </c>
      <c r="I235" t="s">
        <v>1328</v>
      </c>
      <c r="J235" t="s">
        <v>1329</v>
      </c>
      <c r="K235" t="s">
        <v>2860</v>
      </c>
      <c r="L235" t="s">
        <v>1271</v>
      </c>
      <c r="M235">
        <v>2</v>
      </c>
      <c r="N235" t="s">
        <v>1271</v>
      </c>
      <c r="O235" t="s">
        <v>1272</v>
      </c>
      <c r="P235" t="s">
        <v>1273</v>
      </c>
      <c r="Q235" s="3">
        <v>9500000</v>
      </c>
      <c r="R235" s="3">
        <v>9500000</v>
      </c>
      <c r="S235" s="3">
        <v>0</v>
      </c>
    </row>
    <row r="236" spans="1:20" x14ac:dyDescent="0.25">
      <c r="A236">
        <v>900091143</v>
      </c>
      <c r="B236" t="s">
        <v>17</v>
      </c>
      <c r="C236" t="s">
        <v>1330</v>
      </c>
      <c r="D236" t="s">
        <v>1331</v>
      </c>
      <c r="E236" t="s">
        <v>1330</v>
      </c>
      <c r="F236" t="s">
        <v>1269</v>
      </c>
      <c r="G236" t="s">
        <v>1332</v>
      </c>
      <c r="H236" t="s">
        <v>22</v>
      </c>
      <c r="I236" t="s">
        <v>255</v>
      </c>
      <c r="J236" t="s">
        <v>256</v>
      </c>
      <c r="K236" t="s">
        <v>2860</v>
      </c>
      <c r="L236" t="s">
        <v>1271</v>
      </c>
      <c r="M236">
        <v>2</v>
      </c>
      <c r="N236" t="s">
        <v>1271</v>
      </c>
      <c r="O236" t="s">
        <v>1272</v>
      </c>
      <c r="P236" t="s">
        <v>1273</v>
      </c>
      <c r="Q236" s="3">
        <v>9500000</v>
      </c>
      <c r="R236" s="3">
        <v>9500000</v>
      </c>
      <c r="S236" s="3">
        <v>0</v>
      </c>
    </row>
    <row r="237" spans="1:20" x14ac:dyDescent="0.25">
      <c r="A237">
        <v>900091143</v>
      </c>
      <c r="B237" t="s">
        <v>17</v>
      </c>
      <c r="C237" t="s">
        <v>1333</v>
      </c>
      <c r="D237" t="s">
        <v>1334</v>
      </c>
      <c r="E237" t="s">
        <v>1333</v>
      </c>
      <c r="F237" t="s">
        <v>1269</v>
      </c>
      <c r="G237" t="s">
        <v>1335</v>
      </c>
      <c r="H237" t="s">
        <v>22</v>
      </c>
      <c r="I237" t="s">
        <v>1336</v>
      </c>
      <c r="J237" t="s">
        <v>1337</v>
      </c>
      <c r="K237" t="s">
        <v>50</v>
      </c>
      <c r="L237" t="s">
        <v>1271</v>
      </c>
      <c r="M237">
        <v>2</v>
      </c>
      <c r="N237" t="s">
        <v>1271</v>
      </c>
      <c r="O237" t="s">
        <v>1338</v>
      </c>
      <c r="P237" t="s">
        <v>1297</v>
      </c>
      <c r="Q237" s="3">
        <v>4000000</v>
      </c>
      <c r="R237" s="3">
        <v>4000000</v>
      </c>
      <c r="S237" s="3">
        <v>0</v>
      </c>
      <c r="T237" s="5" t="s">
        <v>2863</v>
      </c>
    </row>
    <row r="238" spans="1:20" x14ac:dyDescent="0.25">
      <c r="A238">
        <v>900091143</v>
      </c>
      <c r="B238" t="s">
        <v>17</v>
      </c>
      <c r="C238" t="s">
        <v>1339</v>
      </c>
      <c r="D238" t="s">
        <v>1340</v>
      </c>
      <c r="E238" t="s">
        <v>1339</v>
      </c>
      <c r="F238" t="s">
        <v>1269</v>
      </c>
      <c r="G238" t="s">
        <v>1341</v>
      </c>
      <c r="H238" t="s">
        <v>22</v>
      </c>
      <c r="I238" t="s">
        <v>814</v>
      </c>
      <c r="J238" t="s">
        <v>815</v>
      </c>
      <c r="K238" t="s">
        <v>50</v>
      </c>
      <c r="L238" t="s">
        <v>1271</v>
      </c>
      <c r="M238">
        <v>2</v>
      </c>
      <c r="N238" t="s">
        <v>1271</v>
      </c>
      <c r="O238" t="s">
        <v>1272</v>
      </c>
      <c r="P238" t="s">
        <v>1297</v>
      </c>
      <c r="Q238" s="3">
        <v>6000000</v>
      </c>
      <c r="R238" s="3">
        <v>6000000</v>
      </c>
      <c r="S238" s="3">
        <v>0</v>
      </c>
    </row>
    <row r="239" spans="1:20" x14ac:dyDescent="0.25">
      <c r="A239">
        <v>900091143</v>
      </c>
      <c r="B239" t="s">
        <v>17</v>
      </c>
      <c r="C239" t="s">
        <v>1342</v>
      </c>
      <c r="D239" t="s">
        <v>1343</v>
      </c>
      <c r="E239" t="s">
        <v>1342</v>
      </c>
      <c r="F239" t="s">
        <v>1269</v>
      </c>
      <c r="G239" t="s">
        <v>1344</v>
      </c>
      <c r="H239" t="s">
        <v>22</v>
      </c>
      <c r="I239" t="s">
        <v>1170</v>
      </c>
      <c r="J239" t="s">
        <v>1171</v>
      </c>
      <c r="K239" t="s">
        <v>2861</v>
      </c>
      <c r="L239" t="s">
        <v>1271</v>
      </c>
      <c r="M239">
        <v>3</v>
      </c>
      <c r="N239" t="s">
        <v>1271</v>
      </c>
      <c r="O239" t="s">
        <v>1345</v>
      </c>
      <c r="P239" t="s">
        <v>1346</v>
      </c>
      <c r="Q239" s="3">
        <v>7500000</v>
      </c>
      <c r="R239" s="3">
        <v>7500000</v>
      </c>
      <c r="S239" s="3">
        <v>0</v>
      </c>
      <c r="T239" t="s">
        <v>2867</v>
      </c>
    </row>
    <row r="240" spans="1:20" x14ac:dyDescent="0.25">
      <c r="A240">
        <v>900091143</v>
      </c>
      <c r="B240" t="s">
        <v>17</v>
      </c>
      <c r="C240" t="s">
        <v>1347</v>
      </c>
      <c r="D240" t="s">
        <v>1348</v>
      </c>
      <c r="E240" t="s">
        <v>1347</v>
      </c>
      <c r="F240" t="s">
        <v>1269</v>
      </c>
      <c r="G240" t="s">
        <v>1349</v>
      </c>
      <c r="H240" t="s">
        <v>22</v>
      </c>
      <c r="I240" t="s">
        <v>127</v>
      </c>
      <c r="J240" t="s">
        <v>1350</v>
      </c>
      <c r="K240" t="s">
        <v>50</v>
      </c>
      <c r="L240" t="s">
        <v>1351</v>
      </c>
      <c r="M240">
        <v>2</v>
      </c>
      <c r="N240" t="s">
        <v>1351</v>
      </c>
      <c r="O240" t="s">
        <v>1272</v>
      </c>
      <c r="P240" t="s">
        <v>1297</v>
      </c>
      <c r="Q240" s="3">
        <v>6000000</v>
      </c>
      <c r="R240" s="3">
        <v>6000000</v>
      </c>
      <c r="S240" s="3">
        <v>0</v>
      </c>
    </row>
    <row r="241" spans="1:20" x14ac:dyDescent="0.25">
      <c r="A241">
        <v>900091143</v>
      </c>
      <c r="B241" t="s">
        <v>17</v>
      </c>
      <c r="C241" t="s">
        <v>1352</v>
      </c>
      <c r="D241" t="s">
        <v>1353</v>
      </c>
      <c r="E241" t="s">
        <v>1352</v>
      </c>
      <c r="F241" t="s">
        <v>1269</v>
      </c>
      <c r="G241" t="s">
        <v>1354</v>
      </c>
      <c r="H241" t="s">
        <v>22</v>
      </c>
      <c r="I241" t="s">
        <v>166</v>
      </c>
      <c r="J241" t="s">
        <v>1355</v>
      </c>
      <c r="K241" t="s">
        <v>168</v>
      </c>
      <c r="L241" t="s">
        <v>1351</v>
      </c>
      <c r="M241">
        <v>2</v>
      </c>
      <c r="N241" t="s">
        <v>1351</v>
      </c>
      <c r="O241" t="s">
        <v>1272</v>
      </c>
      <c r="P241" t="s">
        <v>169</v>
      </c>
      <c r="Q241" s="3">
        <v>12000000</v>
      </c>
      <c r="R241" s="3">
        <v>12000000</v>
      </c>
      <c r="S241" s="3">
        <v>0</v>
      </c>
    </row>
    <row r="242" spans="1:20" x14ac:dyDescent="0.25">
      <c r="A242">
        <v>900091143</v>
      </c>
      <c r="B242" t="s">
        <v>17</v>
      </c>
      <c r="C242" t="s">
        <v>1356</v>
      </c>
      <c r="D242" t="s">
        <v>1357</v>
      </c>
      <c r="E242" t="s">
        <v>1356</v>
      </c>
      <c r="F242" t="s">
        <v>1269</v>
      </c>
      <c r="G242" t="s">
        <v>1358</v>
      </c>
      <c r="H242" t="s">
        <v>22</v>
      </c>
      <c r="I242" t="s">
        <v>924</v>
      </c>
      <c r="J242" t="s">
        <v>925</v>
      </c>
      <c r="K242" t="s">
        <v>50</v>
      </c>
      <c r="L242" t="s">
        <v>1351</v>
      </c>
      <c r="M242">
        <v>2</v>
      </c>
      <c r="N242" t="s">
        <v>1351</v>
      </c>
      <c r="O242" t="s">
        <v>1272</v>
      </c>
      <c r="P242" t="s">
        <v>1297</v>
      </c>
      <c r="Q242" s="3">
        <v>6000000</v>
      </c>
      <c r="R242" s="3">
        <v>0</v>
      </c>
      <c r="S242" s="3">
        <v>6000000</v>
      </c>
      <c r="T242" t="s">
        <v>2866</v>
      </c>
    </row>
    <row r="243" spans="1:20" x14ac:dyDescent="0.25">
      <c r="A243">
        <v>900091143</v>
      </c>
      <c r="B243" t="s">
        <v>17</v>
      </c>
      <c r="C243" t="s">
        <v>1359</v>
      </c>
      <c r="D243" t="s">
        <v>1360</v>
      </c>
      <c r="E243" t="s">
        <v>1359</v>
      </c>
      <c r="F243" t="s">
        <v>1269</v>
      </c>
      <c r="G243" t="s">
        <v>1361</v>
      </c>
      <c r="H243" t="s">
        <v>22</v>
      </c>
      <c r="I243" t="s">
        <v>1362</v>
      </c>
      <c r="J243" t="s">
        <v>1363</v>
      </c>
      <c r="K243" t="s">
        <v>50</v>
      </c>
      <c r="L243" t="s">
        <v>1351</v>
      </c>
      <c r="M243">
        <v>2</v>
      </c>
      <c r="N243" t="s">
        <v>1351</v>
      </c>
      <c r="O243" t="s">
        <v>1272</v>
      </c>
      <c r="P243" t="s">
        <v>1297</v>
      </c>
      <c r="Q243" s="3">
        <v>6000000</v>
      </c>
      <c r="R243" s="3">
        <v>6000000</v>
      </c>
      <c r="S243" s="3">
        <v>0</v>
      </c>
    </row>
    <row r="244" spans="1:20" x14ac:dyDescent="0.25">
      <c r="A244">
        <v>900091143</v>
      </c>
      <c r="B244" t="s">
        <v>17</v>
      </c>
      <c r="C244" t="s">
        <v>1364</v>
      </c>
      <c r="D244" t="s">
        <v>1365</v>
      </c>
      <c r="E244" t="s">
        <v>1364</v>
      </c>
      <c r="F244" t="s">
        <v>1269</v>
      </c>
      <c r="G244" t="s">
        <v>1366</v>
      </c>
      <c r="H244" t="s">
        <v>22</v>
      </c>
      <c r="I244" t="s">
        <v>434</v>
      </c>
      <c r="J244" t="s">
        <v>435</v>
      </c>
      <c r="K244" t="s">
        <v>71</v>
      </c>
      <c r="L244" t="s">
        <v>1351</v>
      </c>
      <c r="M244">
        <v>14</v>
      </c>
      <c r="N244" t="s">
        <v>1367</v>
      </c>
      <c r="O244" t="s">
        <v>1272</v>
      </c>
      <c r="P244" t="s">
        <v>72</v>
      </c>
      <c r="Q244" s="3">
        <v>9650000</v>
      </c>
      <c r="R244" s="3">
        <v>9650000</v>
      </c>
      <c r="S244" s="3">
        <v>0</v>
      </c>
    </row>
    <row r="245" spans="1:20" x14ac:dyDescent="0.25">
      <c r="A245">
        <v>900091143</v>
      </c>
      <c r="B245" t="s">
        <v>17</v>
      </c>
      <c r="C245" t="s">
        <v>1368</v>
      </c>
      <c r="D245" t="s">
        <v>1369</v>
      </c>
      <c r="E245" t="s">
        <v>1368</v>
      </c>
      <c r="F245" t="s">
        <v>1269</v>
      </c>
      <c r="G245" t="s">
        <v>1370</v>
      </c>
      <c r="H245" t="s">
        <v>22</v>
      </c>
      <c r="I245" t="s">
        <v>86</v>
      </c>
      <c r="J245" t="s">
        <v>87</v>
      </c>
      <c r="K245" t="s">
        <v>50</v>
      </c>
      <c r="L245" t="s">
        <v>1351</v>
      </c>
      <c r="M245">
        <v>2</v>
      </c>
      <c r="N245" t="s">
        <v>1351</v>
      </c>
      <c r="O245" t="s">
        <v>1272</v>
      </c>
      <c r="P245" t="s">
        <v>1297</v>
      </c>
      <c r="Q245" s="3">
        <v>6000000</v>
      </c>
      <c r="R245" s="3">
        <v>6000000</v>
      </c>
      <c r="S245" s="3">
        <v>0</v>
      </c>
    </row>
    <row r="246" spans="1:20" x14ac:dyDescent="0.25">
      <c r="A246">
        <v>900091143</v>
      </c>
      <c r="B246" t="s">
        <v>17</v>
      </c>
      <c r="C246" t="s">
        <v>1371</v>
      </c>
      <c r="D246" t="s">
        <v>1372</v>
      </c>
      <c r="E246" t="s">
        <v>1371</v>
      </c>
      <c r="F246" t="s">
        <v>1269</v>
      </c>
      <c r="G246" t="s">
        <v>1373</v>
      </c>
      <c r="H246" t="s">
        <v>22</v>
      </c>
      <c r="I246" t="s">
        <v>122</v>
      </c>
      <c r="J246" t="s">
        <v>123</v>
      </c>
      <c r="K246" t="s">
        <v>50</v>
      </c>
      <c r="L246" t="s">
        <v>1351</v>
      </c>
      <c r="M246">
        <v>2</v>
      </c>
      <c r="N246" t="s">
        <v>1351</v>
      </c>
      <c r="O246" t="s">
        <v>1272</v>
      </c>
      <c r="P246" t="s">
        <v>1297</v>
      </c>
      <c r="Q246" s="3">
        <v>6000000</v>
      </c>
      <c r="R246" s="3">
        <v>6000000</v>
      </c>
      <c r="S246" s="3">
        <v>0</v>
      </c>
    </row>
    <row r="247" spans="1:20" x14ac:dyDescent="0.25">
      <c r="A247">
        <v>900091143</v>
      </c>
      <c r="B247" t="s">
        <v>17</v>
      </c>
      <c r="C247" t="s">
        <v>1374</v>
      </c>
      <c r="D247" t="s">
        <v>1375</v>
      </c>
      <c r="E247" t="s">
        <v>1374</v>
      </c>
      <c r="F247" t="s">
        <v>1269</v>
      </c>
      <c r="G247" t="s">
        <v>1376</v>
      </c>
      <c r="H247" t="s">
        <v>22</v>
      </c>
      <c r="I247" t="s">
        <v>1377</v>
      </c>
      <c r="J247" t="s">
        <v>1378</v>
      </c>
      <c r="K247" t="s">
        <v>50</v>
      </c>
      <c r="L247" t="s">
        <v>1351</v>
      </c>
      <c r="M247">
        <v>2</v>
      </c>
      <c r="N247" t="s">
        <v>1351</v>
      </c>
      <c r="O247" t="s">
        <v>1272</v>
      </c>
      <c r="P247" t="s">
        <v>1297</v>
      </c>
      <c r="Q247" s="3">
        <v>6000000</v>
      </c>
      <c r="R247" s="3">
        <v>6000000</v>
      </c>
      <c r="S247" s="3">
        <v>0</v>
      </c>
    </row>
    <row r="248" spans="1:20" x14ac:dyDescent="0.25">
      <c r="A248">
        <v>900091143</v>
      </c>
      <c r="B248" t="s">
        <v>17</v>
      </c>
      <c r="C248" t="s">
        <v>1379</v>
      </c>
      <c r="D248" t="s">
        <v>1380</v>
      </c>
      <c r="E248" t="s">
        <v>1379</v>
      </c>
      <c r="F248" t="s">
        <v>1269</v>
      </c>
      <c r="G248" t="s">
        <v>1381</v>
      </c>
      <c r="H248" t="s">
        <v>22</v>
      </c>
      <c r="I248" t="s">
        <v>1382</v>
      </c>
      <c r="J248" t="s">
        <v>1383</v>
      </c>
      <c r="K248" t="s">
        <v>50</v>
      </c>
      <c r="L248" t="s">
        <v>1351</v>
      </c>
      <c r="M248">
        <v>2</v>
      </c>
      <c r="N248" t="s">
        <v>1351</v>
      </c>
      <c r="O248" t="s">
        <v>1272</v>
      </c>
      <c r="P248" t="s">
        <v>1297</v>
      </c>
      <c r="Q248" s="3">
        <v>6000000</v>
      </c>
      <c r="R248" s="3">
        <v>6000000</v>
      </c>
      <c r="S248" s="3">
        <v>0</v>
      </c>
    </row>
    <row r="249" spans="1:20" x14ac:dyDescent="0.25">
      <c r="A249">
        <v>900091143</v>
      </c>
      <c r="B249" t="s">
        <v>17</v>
      </c>
      <c r="C249" t="s">
        <v>1384</v>
      </c>
      <c r="D249" t="s">
        <v>1385</v>
      </c>
      <c r="E249" t="s">
        <v>1384</v>
      </c>
      <c r="F249" t="s">
        <v>1269</v>
      </c>
      <c r="G249" t="s">
        <v>1386</v>
      </c>
      <c r="H249" t="s">
        <v>22</v>
      </c>
      <c r="I249" t="s">
        <v>212</v>
      </c>
      <c r="J249" t="s">
        <v>213</v>
      </c>
      <c r="K249" t="s">
        <v>50</v>
      </c>
      <c r="L249" t="s">
        <v>1351</v>
      </c>
      <c r="M249">
        <v>2</v>
      </c>
      <c r="N249" t="s">
        <v>1351</v>
      </c>
      <c r="O249" t="s">
        <v>1272</v>
      </c>
      <c r="P249" t="s">
        <v>1297</v>
      </c>
      <c r="Q249" s="3">
        <v>6000000</v>
      </c>
      <c r="R249" s="3">
        <v>6000000</v>
      </c>
      <c r="S249" s="3">
        <v>0</v>
      </c>
    </row>
    <row r="250" spans="1:20" x14ac:dyDescent="0.25">
      <c r="A250">
        <v>900091143</v>
      </c>
      <c r="B250" t="s">
        <v>17</v>
      </c>
      <c r="C250" t="s">
        <v>1387</v>
      </c>
      <c r="D250" t="s">
        <v>1388</v>
      </c>
      <c r="E250" t="s">
        <v>1387</v>
      </c>
      <c r="F250" t="s">
        <v>1269</v>
      </c>
      <c r="G250" t="s">
        <v>1389</v>
      </c>
      <c r="H250" t="s">
        <v>22</v>
      </c>
      <c r="I250" t="s">
        <v>1390</v>
      </c>
      <c r="J250" t="s">
        <v>1391</v>
      </c>
      <c r="K250" t="s">
        <v>50</v>
      </c>
      <c r="L250" t="s">
        <v>1392</v>
      </c>
      <c r="M250">
        <v>2</v>
      </c>
      <c r="N250" t="s">
        <v>1392</v>
      </c>
      <c r="O250" t="s">
        <v>1272</v>
      </c>
      <c r="P250" t="s">
        <v>1297</v>
      </c>
      <c r="Q250" s="3">
        <v>6000000</v>
      </c>
      <c r="R250" s="3">
        <v>6000000</v>
      </c>
      <c r="S250" s="3">
        <v>0</v>
      </c>
    </row>
    <row r="251" spans="1:20" x14ac:dyDescent="0.25">
      <c r="A251">
        <v>900091143</v>
      </c>
      <c r="B251" t="s">
        <v>17</v>
      </c>
      <c r="C251" t="s">
        <v>1393</v>
      </c>
      <c r="D251" t="s">
        <v>1394</v>
      </c>
      <c r="E251" t="s">
        <v>1393</v>
      </c>
      <c r="F251" t="s">
        <v>1269</v>
      </c>
      <c r="G251" t="s">
        <v>1395</v>
      </c>
      <c r="H251" t="s">
        <v>22</v>
      </c>
      <c r="I251" t="s">
        <v>1396</v>
      </c>
      <c r="J251" t="s">
        <v>1397</v>
      </c>
      <c r="K251" t="s">
        <v>2860</v>
      </c>
      <c r="L251" t="s">
        <v>1392</v>
      </c>
      <c r="M251">
        <v>2</v>
      </c>
      <c r="N251" t="s">
        <v>1392</v>
      </c>
      <c r="O251" t="s">
        <v>1272</v>
      </c>
      <c r="P251" t="s">
        <v>1273</v>
      </c>
      <c r="Q251" s="3">
        <v>9500000</v>
      </c>
      <c r="R251" s="3">
        <v>9500000</v>
      </c>
      <c r="S251" s="3">
        <v>0</v>
      </c>
    </row>
    <row r="252" spans="1:20" x14ac:dyDescent="0.25">
      <c r="A252">
        <v>900091143</v>
      </c>
      <c r="B252" t="s">
        <v>17</v>
      </c>
      <c r="C252" t="s">
        <v>1398</v>
      </c>
      <c r="D252" t="s">
        <v>1399</v>
      </c>
      <c r="E252" t="s">
        <v>1398</v>
      </c>
      <c r="F252" t="s">
        <v>1269</v>
      </c>
      <c r="G252" t="s">
        <v>1400</v>
      </c>
      <c r="H252" t="s">
        <v>22</v>
      </c>
      <c r="I252" t="s">
        <v>1401</v>
      </c>
      <c r="J252" t="s">
        <v>1402</v>
      </c>
      <c r="K252" t="s">
        <v>2860</v>
      </c>
      <c r="L252" t="s">
        <v>1392</v>
      </c>
      <c r="M252">
        <v>2</v>
      </c>
      <c r="N252" t="s">
        <v>1392</v>
      </c>
      <c r="O252" t="s">
        <v>1272</v>
      </c>
      <c r="P252" t="s">
        <v>1273</v>
      </c>
      <c r="Q252" s="3">
        <v>9500000</v>
      </c>
      <c r="R252" s="3">
        <v>9500000</v>
      </c>
      <c r="S252" s="3">
        <v>0</v>
      </c>
    </row>
    <row r="253" spans="1:20" x14ac:dyDescent="0.25">
      <c r="A253">
        <v>900091143</v>
      </c>
      <c r="B253" t="s">
        <v>17</v>
      </c>
      <c r="C253" t="s">
        <v>1403</v>
      </c>
      <c r="D253" t="s">
        <v>1404</v>
      </c>
      <c r="E253" t="s">
        <v>1403</v>
      </c>
      <c r="F253" t="s">
        <v>1269</v>
      </c>
      <c r="G253" t="s">
        <v>1405</v>
      </c>
      <c r="H253" t="s">
        <v>22</v>
      </c>
      <c r="I253" t="s">
        <v>1406</v>
      </c>
      <c r="J253" t="s">
        <v>1407</v>
      </c>
      <c r="K253" t="s">
        <v>50</v>
      </c>
      <c r="L253" t="s">
        <v>1392</v>
      </c>
      <c r="M253">
        <v>2</v>
      </c>
      <c r="N253" t="s">
        <v>1392</v>
      </c>
      <c r="O253" t="s">
        <v>1272</v>
      </c>
      <c r="P253" t="s">
        <v>1297</v>
      </c>
      <c r="Q253" s="3">
        <v>6000000</v>
      </c>
      <c r="R253" s="3">
        <v>6000000</v>
      </c>
      <c r="S253" s="3">
        <v>0</v>
      </c>
    </row>
    <row r="254" spans="1:20" x14ac:dyDescent="0.25">
      <c r="A254">
        <v>900091143</v>
      </c>
      <c r="B254" t="s">
        <v>17</v>
      </c>
      <c r="C254" t="s">
        <v>1408</v>
      </c>
      <c r="D254" t="s">
        <v>1409</v>
      </c>
      <c r="E254" t="s">
        <v>1408</v>
      </c>
      <c r="F254" t="s">
        <v>1269</v>
      </c>
      <c r="G254" t="s">
        <v>1410</v>
      </c>
      <c r="H254" t="s">
        <v>22</v>
      </c>
      <c r="I254" t="s">
        <v>1411</v>
      </c>
      <c r="J254" t="s">
        <v>1412</v>
      </c>
      <c r="K254" t="s">
        <v>2861</v>
      </c>
      <c r="L254" t="s">
        <v>1392</v>
      </c>
      <c r="M254">
        <v>2</v>
      </c>
      <c r="N254" t="s">
        <v>1392</v>
      </c>
      <c r="O254" t="s">
        <v>1272</v>
      </c>
      <c r="P254" t="s">
        <v>1346</v>
      </c>
      <c r="Q254" s="3">
        <v>5000000</v>
      </c>
      <c r="R254" s="3">
        <v>5000000</v>
      </c>
      <c r="S254" s="3">
        <v>0</v>
      </c>
    </row>
    <row r="255" spans="1:20" x14ac:dyDescent="0.25">
      <c r="A255">
        <v>900091143</v>
      </c>
      <c r="B255" t="s">
        <v>17</v>
      </c>
      <c r="C255" t="s">
        <v>1413</v>
      </c>
      <c r="D255" t="s">
        <v>1414</v>
      </c>
      <c r="E255" t="s">
        <v>1413</v>
      </c>
      <c r="F255" t="s">
        <v>1269</v>
      </c>
      <c r="G255" t="s">
        <v>1415</v>
      </c>
      <c r="H255" t="s">
        <v>22</v>
      </c>
      <c r="I255" t="s">
        <v>1416</v>
      </c>
      <c r="J255" t="s">
        <v>1417</v>
      </c>
      <c r="K255" t="s">
        <v>50</v>
      </c>
      <c r="L255" t="s">
        <v>1392</v>
      </c>
      <c r="M255">
        <v>2</v>
      </c>
      <c r="N255" t="s">
        <v>1392</v>
      </c>
      <c r="O255" t="s">
        <v>1272</v>
      </c>
      <c r="P255" t="s">
        <v>1297</v>
      </c>
      <c r="Q255" s="3">
        <v>6000000</v>
      </c>
      <c r="R255" s="3">
        <v>6000000</v>
      </c>
      <c r="S255" s="3">
        <v>0</v>
      </c>
    </row>
    <row r="256" spans="1:20" x14ac:dyDescent="0.25">
      <c r="A256">
        <v>900091143</v>
      </c>
      <c r="B256" t="s">
        <v>17</v>
      </c>
      <c r="C256" t="s">
        <v>1418</v>
      </c>
      <c r="D256" t="s">
        <v>1419</v>
      </c>
      <c r="E256" t="s">
        <v>1418</v>
      </c>
      <c r="F256" t="s">
        <v>1269</v>
      </c>
      <c r="G256" t="s">
        <v>1420</v>
      </c>
      <c r="H256" t="s">
        <v>22</v>
      </c>
      <c r="I256" t="s">
        <v>1421</v>
      </c>
      <c r="J256" t="s">
        <v>1422</v>
      </c>
      <c r="K256" t="s">
        <v>50</v>
      </c>
      <c r="L256" t="s">
        <v>1392</v>
      </c>
      <c r="M256">
        <v>2</v>
      </c>
      <c r="N256" t="s">
        <v>1392</v>
      </c>
      <c r="O256" t="s">
        <v>1272</v>
      </c>
      <c r="P256" t="s">
        <v>1297</v>
      </c>
      <c r="Q256" s="3">
        <v>6000000</v>
      </c>
      <c r="R256" s="3">
        <v>6000000</v>
      </c>
      <c r="S256" s="3">
        <v>0</v>
      </c>
    </row>
    <row r="257" spans="1:20" x14ac:dyDescent="0.25">
      <c r="A257">
        <v>900091143</v>
      </c>
      <c r="B257" t="s">
        <v>17</v>
      </c>
      <c r="C257" t="s">
        <v>1423</v>
      </c>
      <c r="D257" t="s">
        <v>1424</v>
      </c>
      <c r="E257" t="s">
        <v>1423</v>
      </c>
      <c r="F257" t="s">
        <v>1269</v>
      </c>
      <c r="G257" t="s">
        <v>1425</v>
      </c>
      <c r="H257" t="s">
        <v>22</v>
      </c>
      <c r="I257" t="s">
        <v>1426</v>
      </c>
      <c r="J257" t="s">
        <v>1427</v>
      </c>
      <c r="K257" t="s">
        <v>50</v>
      </c>
      <c r="L257" t="s">
        <v>1392</v>
      </c>
      <c r="M257">
        <v>2</v>
      </c>
      <c r="N257" t="s">
        <v>1392</v>
      </c>
      <c r="O257" t="s">
        <v>1272</v>
      </c>
      <c r="P257" t="s">
        <v>1297</v>
      </c>
      <c r="Q257" s="3">
        <v>6000000</v>
      </c>
      <c r="R257" s="3">
        <v>6000000</v>
      </c>
      <c r="S257" s="3">
        <v>0</v>
      </c>
    </row>
    <row r="258" spans="1:20" x14ac:dyDescent="0.25">
      <c r="A258">
        <v>900091143</v>
      </c>
      <c r="B258" t="s">
        <v>17</v>
      </c>
      <c r="C258" t="s">
        <v>1428</v>
      </c>
      <c r="D258" t="s">
        <v>1429</v>
      </c>
      <c r="E258" t="s">
        <v>1428</v>
      </c>
      <c r="F258" t="s">
        <v>1269</v>
      </c>
      <c r="G258" t="s">
        <v>1430</v>
      </c>
      <c r="H258" t="s">
        <v>22</v>
      </c>
      <c r="I258" t="s">
        <v>1431</v>
      </c>
      <c r="J258" t="s">
        <v>1432</v>
      </c>
      <c r="K258" t="s">
        <v>50</v>
      </c>
      <c r="L258" t="s">
        <v>1392</v>
      </c>
      <c r="M258">
        <v>2</v>
      </c>
      <c r="N258" t="s">
        <v>1392</v>
      </c>
      <c r="O258" t="s">
        <v>1272</v>
      </c>
      <c r="P258" t="s">
        <v>1297</v>
      </c>
      <c r="Q258" s="3">
        <v>6000000</v>
      </c>
      <c r="R258" s="3">
        <v>6000000</v>
      </c>
      <c r="S258" s="3">
        <v>0</v>
      </c>
    </row>
    <row r="259" spans="1:20" x14ac:dyDescent="0.25">
      <c r="A259">
        <v>900091143</v>
      </c>
      <c r="B259" t="s">
        <v>17</v>
      </c>
      <c r="C259" t="s">
        <v>1433</v>
      </c>
      <c r="D259" t="s">
        <v>1434</v>
      </c>
      <c r="E259" t="s">
        <v>1433</v>
      </c>
      <c r="F259" t="s">
        <v>1269</v>
      </c>
      <c r="G259" t="s">
        <v>1435</v>
      </c>
      <c r="H259" t="s">
        <v>22</v>
      </c>
      <c r="I259" t="s">
        <v>1436</v>
      </c>
      <c r="J259" t="s">
        <v>1437</v>
      </c>
      <c r="K259" t="s">
        <v>50</v>
      </c>
      <c r="L259" t="s">
        <v>1392</v>
      </c>
      <c r="M259">
        <v>2</v>
      </c>
      <c r="N259" t="s">
        <v>1392</v>
      </c>
      <c r="O259" t="s">
        <v>1272</v>
      </c>
      <c r="P259" t="s">
        <v>1438</v>
      </c>
      <c r="Q259" s="3">
        <v>6000000</v>
      </c>
      <c r="R259" s="3">
        <v>6000000</v>
      </c>
      <c r="S259" s="3">
        <v>0</v>
      </c>
    </row>
    <row r="260" spans="1:20" x14ac:dyDescent="0.25">
      <c r="A260">
        <v>900091143</v>
      </c>
      <c r="B260" t="s">
        <v>17</v>
      </c>
      <c r="C260" t="s">
        <v>1439</v>
      </c>
      <c r="D260" t="s">
        <v>1440</v>
      </c>
      <c r="E260" t="s">
        <v>1439</v>
      </c>
      <c r="F260" t="s">
        <v>1269</v>
      </c>
      <c r="G260" t="s">
        <v>1441</v>
      </c>
      <c r="H260" t="s">
        <v>22</v>
      </c>
      <c r="I260" t="s">
        <v>231</v>
      </c>
      <c r="J260" t="s">
        <v>232</v>
      </c>
      <c r="K260" t="s">
        <v>2860</v>
      </c>
      <c r="L260" t="s">
        <v>1392</v>
      </c>
      <c r="M260">
        <v>2</v>
      </c>
      <c r="N260" t="s">
        <v>1392</v>
      </c>
      <c r="O260" t="s">
        <v>1272</v>
      </c>
      <c r="P260" t="s">
        <v>1442</v>
      </c>
      <c r="Q260" s="3">
        <v>9500000</v>
      </c>
      <c r="R260" s="3">
        <v>9500000</v>
      </c>
      <c r="S260" s="3">
        <v>0</v>
      </c>
    </row>
    <row r="261" spans="1:20" x14ac:dyDescent="0.25">
      <c r="A261">
        <v>900091143</v>
      </c>
      <c r="B261" t="s">
        <v>17</v>
      </c>
      <c r="C261" t="s">
        <v>1443</v>
      </c>
      <c r="D261" t="s">
        <v>1444</v>
      </c>
      <c r="E261" t="s">
        <v>1443</v>
      </c>
      <c r="F261" t="s">
        <v>1269</v>
      </c>
      <c r="G261" t="s">
        <v>1445</v>
      </c>
      <c r="H261" t="s">
        <v>22</v>
      </c>
      <c r="I261" t="s">
        <v>827</v>
      </c>
      <c r="J261" t="s">
        <v>828</v>
      </c>
      <c r="K261" t="s">
        <v>50</v>
      </c>
      <c r="L261" t="s">
        <v>1392</v>
      </c>
      <c r="M261">
        <v>2</v>
      </c>
      <c r="N261" t="s">
        <v>1392</v>
      </c>
      <c r="O261" t="s">
        <v>1272</v>
      </c>
      <c r="P261" t="s">
        <v>1297</v>
      </c>
      <c r="Q261" s="3">
        <v>6000000</v>
      </c>
      <c r="R261" s="3">
        <v>6000000</v>
      </c>
      <c r="S261" s="3">
        <v>0</v>
      </c>
    </row>
    <row r="262" spans="1:20" x14ac:dyDescent="0.25">
      <c r="A262">
        <v>900091143</v>
      </c>
      <c r="B262" t="s">
        <v>17</v>
      </c>
      <c r="C262" t="s">
        <v>1446</v>
      </c>
      <c r="D262" t="s">
        <v>1447</v>
      </c>
      <c r="E262" t="s">
        <v>1446</v>
      </c>
      <c r="F262" t="s">
        <v>1269</v>
      </c>
      <c r="G262" t="s">
        <v>1448</v>
      </c>
      <c r="H262" t="s">
        <v>22</v>
      </c>
      <c r="I262" t="s">
        <v>1449</v>
      </c>
      <c r="J262" t="s">
        <v>1450</v>
      </c>
      <c r="K262" t="s">
        <v>25</v>
      </c>
      <c r="L262" t="s">
        <v>1392</v>
      </c>
      <c r="M262">
        <v>2</v>
      </c>
      <c r="N262" t="s">
        <v>1392</v>
      </c>
      <c r="O262" t="s">
        <v>1272</v>
      </c>
      <c r="P262" t="s">
        <v>1451</v>
      </c>
      <c r="Q262" s="3">
        <v>15000000</v>
      </c>
      <c r="R262" s="3">
        <v>15000000</v>
      </c>
      <c r="S262" s="3">
        <v>0</v>
      </c>
    </row>
    <row r="263" spans="1:20" x14ac:dyDescent="0.25">
      <c r="A263">
        <v>900091143</v>
      </c>
      <c r="B263" t="s">
        <v>17</v>
      </c>
      <c r="C263" t="s">
        <v>1452</v>
      </c>
      <c r="D263" t="s">
        <v>1453</v>
      </c>
      <c r="E263" t="s">
        <v>1452</v>
      </c>
      <c r="F263" t="s">
        <v>1269</v>
      </c>
      <c r="G263" t="s">
        <v>1454</v>
      </c>
      <c r="H263" t="s">
        <v>22</v>
      </c>
      <c r="I263" t="s">
        <v>654</v>
      </c>
      <c r="J263" t="s">
        <v>655</v>
      </c>
      <c r="K263" t="s">
        <v>50</v>
      </c>
      <c r="L263" t="s">
        <v>1392</v>
      </c>
      <c r="M263">
        <v>2</v>
      </c>
      <c r="N263" t="s">
        <v>1392</v>
      </c>
      <c r="O263" t="s">
        <v>1272</v>
      </c>
      <c r="P263" t="s">
        <v>1297</v>
      </c>
      <c r="Q263" s="3">
        <v>6000000</v>
      </c>
      <c r="R263" s="3">
        <v>6000000</v>
      </c>
      <c r="S263" s="3">
        <v>0</v>
      </c>
    </row>
    <row r="264" spans="1:20" x14ac:dyDescent="0.25">
      <c r="A264">
        <v>900091143</v>
      </c>
      <c r="B264" t="s">
        <v>17</v>
      </c>
      <c r="C264" t="s">
        <v>1455</v>
      </c>
      <c r="D264" t="s">
        <v>1456</v>
      </c>
      <c r="E264" t="s">
        <v>1455</v>
      </c>
      <c r="F264" t="s">
        <v>1269</v>
      </c>
      <c r="G264" t="s">
        <v>1457</v>
      </c>
      <c r="H264" t="s">
        <v>22</v>
      </c>
      <c r="I264" t="s">
        <v>904</v>
      </c>
      <c r="J264" t="s">
        <v>905</v>
      </c>
      <c r="K264" t="s">
        <v>168</v>
      </c>
      <c r="L264" t="s">
        <v>1392</v>
      </c>
      <c r="M264">
        <v>2</v>
      </c>
      <c r="N264" t="s">
        <v>1392</v>
      </c>
      <c r="O264" t="s">
        <v>1272</v>
      </c>
      <c r="P264" t="s">
        <v>1324</v>
      </c>
      <c r="Q264" s="3">
        <v>12000000</v>
      </c>
      <c r="R264" s="3">
        <v>12000000</v>
      </c>
      <c r="S264" s="3">
        <v>0</v>
      </c>
    </row>
    <row r="265" spans="1:20" x14ac:dyDescent="0.25">
      <c r="A265">
        <v>900091143</v>
      </c>
      <c r="B265" t="s">
        <v>17</v>
      </c>
      <c r="C265" t="s">
        <v>1458</v>
      </c>
      <c r="D265" t="s">
        <v>1459</v>
      </c>
      <c r="E265" t="s">
        <v>1458</v>
      </c>
      <c r="F265" t="s">
        <v>1269</v>
      </c>
      <c r="G265" t="s">
        <v>1460</v>
      </c>
      <c r="H265" t="s">
        <v>22</v>
      </c>
      <c r="I265" t="s">
        <v>1461</v>
      </c>
      <c r="J265" t="s">
        <v>1462</v>
      </c>
      <c r="K265" t="s">
        <v>50</v>
      </c>
      <c r="L265" t="s">
        <v>1392</v>
      </c>
      <c r="M265">
        <v>2</v>
      </c>
      <c r="N265" t="s">
        <v>1392</v>
      </c>
      <c r="O265" t="s">
        <v>1272</v>
      </c>
      <c r="P265" t="s">
        <v>1297</v>
      </c>
      <c r="Q265" s="3">
        <v>6000000</v>
      </c>
      <c r="R265" s="3">
        <v>6000000</v>
      </c>
      <c r="S265" s="3">
        <v>0</v>
      </c>
    </row>
    <row r="266" spans="1:20" x14ac:dyDescent="0.25">
      <c r="A266">
        <v>900091143</v>
      </c>
      <c r="B266" t="s">
        <v>17</v>
      </c>
      <c r="C266" t="s">
        <v>1463</v>
      </c>
      <c r="D266" t="s">
        <v>1464</v>
      </c>
      <c r="E266" t="s">
        <v>1463</v>
      </c>
      <c r="F266" t="s">
        <v>1269</v>
      </c>
      <c r="G266" t="s">
        <v>1465</v>
      </c>
      <c r="H266" t="s">
        <v>22</v>
      </c>
      <c r="I266" t="s">
        <v>344</v>
      </c>
      <c r="J266" t="s">
        <v>345</v>
      </c>
      <c r="K266" t="s">
        <v>168</v>
      </c>
      <c r="L266" t="s">
        <v>1392</v>
      </c>
      <c r="M266">
        <v>2</v>
      </c>
      <c r="N266" t="s">
        <v>1392</v>
      </c>
      <c r="O266" t="s">
        <v>1272</v>
      </c>
      <c r="P266" t="s">
        <v>1324</v>
      </c>
      <c r="Q266" s="3">
        <v>12000000</v>
      </c>
      <c r="R266" s="3">
        <v>12000000</v>
      </c>
      <c r="S266" s="3">
        <v>0</v>
      </c>
    </row>
    <row r="267" spans="1:20" x14ac:dyDescent="0.25">
      <c r="A267">
        <v>900091143</v>
      </c>
      <c r="B267" t="s">
        <v>17</v>
      </c>
      <c r="C267" t="s">
        <v>1466</v>
      </c>
      <c r="D267" t="s">
        <v>1467</v>
      </c>
      <c r="E267" t="s">
        <v>1466</v>
      </c>
      <c r="F267" t="s">
        <v>1269</v>
      </c>
      <c r="G267" t="s">
        <v>1468</v>
      </c>
      <c r="H267" t="s">
        <v>22</v>
      </c>
      <c r="I267" t="s">
        <v>1469</v>
      </c>
      <c r="J267" t="s">
        <v>1470</v>
      </c>
      <c r="K267" t="s">
        <v>50</v>
      </c>
      <c r="L267" t="s">
        <v>1471</v>
      </c>
      <c r="M267">
        <v>2</v>
      </c>
      <c r="N267" t="s">
        <v>1471</v>
      </c>
      <c r="O267" t="s">
        <v>1272</v>
      </c>
      <c r="P267" t="s">
        <v>1297</v>
      </c>
      <c r="Q267" s="3">
        <v>6000000</v>
      </c>
      <c r="R267" s="3">
        <v>6000000</v>
      </c>
      <c r="S267" s="3">
        <v>0</v>
      </c>
    </row>
    <row r="268" spans="1:20" x14ac:dyDescent="0.25">
      <c r="A268">
        <v>900091143</v>
      </c>
      <c r="B268" t="s">
        <v>17</v>
      </c>
      <c r="C268" t="s">
        <v>1472</v>
      </c>
      <c r="D268" t="s">
        <v>1473</v>
      </c>
      <c r="E268" t="s">
        <v>1472</v>
      </c>
      <c r="F268" t="s">
        <v>1269</v>
      </c>
      <c r="G268" t="s">
        <v>1474</v>
      </c>
      <c r="H268" t="s">
        <v>22</v>
      </c>
      <c r="I268" t="s">
        <v>1475</v>
      </c>
      <c r="J268" t="s">
        <v>1476</v>
      </c>
      <c r="K268" t="s">
        <v>50</v>
      </c>
      <c r="L268" t="s">
        <v>1471</v>
      </c>
      <c r="M268">
        <v>2</v>
      </c>
      <c r="N268" t="s">
        <v>1471</v>
      </c>
      <c r="O268" t="s">
        <v>1272</v>
      </c>
      <c r="P268" t="s">
        <v>1297</v>
      </c>
      <c r="Q268" s="3">
        <v>6000000</v>
      </c>
      <c r="R268" s="3">
        <v>6000000</v>
      </c>
      <c r="S268" s="3">
        <v>0</v>
      </c>
    </row>
    <row r="269" spans="1:20" x14ac:dyDescent="0.25">
      <c r="A269">
        <v>900091143</v>
      </c>
      <c r="B269" t="s">
        <v>17</v>
      </c>
      <c r="C269" t="s">
        <v>1477</v>
      </c>
      <c r="D269" t="s">
        <v>1478</v>
      </c>
      <c r="E269" t="s">
        <v>1477</v>
      </c>
      <c r="F269" t="s">
        <v>1269</v>
      </c>
      <c r="G269" t="s">
        <v>1479</v>
      </c>
      <c r="H269" t="s">
        <v>22</v>
      </c>
      <c r="I269" t="s">
        <v>749</v>
      </c>
      <c r="J269" t="s">
        <v>750</v>
      </c>
      <c r="K269" t="s">
        <v>25</v>
      </c>
      <c r="L269" t="s">
        <v>1471</v>
      </c>
      <c r="M269">
        <v>2</v>
      </c>
      <c r="N269" t="s">
        <v>1471</v>
      </c>
      <c r="O269" t="s">
        <v>1272</v>
      </c>
      <c r="P269" t="s">
        <v>1451</v>
      </c>
      <c r="Q269" s="3">
        <v>15000000</v>
      </c>
      <c r="R269" s="3">
        <v>15000000</v>
      </c>
      <c r="S269" s="3">
        <v>0</v>
      </c>
    </row>
    <row r="270" spans="1:20" x14ac:dyDescent="0.25">
      <c r="A270">
        <v>900091143</v>
      </c>
      <c r="B270" t="s">
        <v>17</v>
      </c>
      <c r="C270" t="s">
        <v>1480</v>
      </c>
      <c r="D270" t="s">
        <v>1481</v>
      </c>
      <c r="E270" t="s">
        <v>1480</v>
      </c>
      <c r="F270" t="s">
        <v>1269</v>
      </c>
      <c r="G270" t="s">
        <v>1482</v>
      </c>
      <c r="H270" t="s">
        <v>22</v>
      </c>
      <c r="I270" t="s">
        <v>279</v>
      </c>
      <c r="J270" t="s">
        <v>1483</v>
      </c>
      <c r="K270" t="s">
        <v>50</v>
      </c>
      <c r="L270" t="s">
        <v>1471</v>
      </c>
      <c r="M270">
        <v>2</v>
      </c>
      <c r="N270" t="s">
        <v>1471</v>
      </c>
      <c r="O270" t="s">
        <v>1272</v>
      </c>
      <c r="P270" t="s">
        <v>1297</v>
      </c>
      <c r="Q270" s="3">
        <v>6000000</v>
      </c>
      <c r="R270" s="3">
        <v>3000000</v>
      </c>
      <c r="S270" s="3">
        <v>3000000</v>
      </c>
      <c r="T270" t="s">
        <v>2866</v>
      </c>
    </row>
    <row r="271" spans="1:20" x14ac:dyDescent="0.25">
      <c r="A271">
        <v>900091143</v>
      </c>
      <c r="B271" t="s">
        <v>17</v>
      </c>
      <c r="C271" t="s">
        <v>1484</v>
      </c>
      <c r="D271" t="s">
        <v>1485</v>
      </c>
      <c r="E271" t="s">
        <v>1484</v>
      </c>
      <c r="F271" t="s">
        <v>1269</v>
      </c>
      <c r="G271" t="s">
        <v>1486</v>
      </c>
      <c r="H271" t="s">
        <v>22</v>
      </c>
      <c r="I271" t="s">
        <v>91</v>
      </c>
      <c r="J271" t="s">
        <v>92</v>
      </c>
      <c r="K271" t="s">
        <v>2860</v>
      </c>
      <c r="L271" t="s">
        <v>1471</v>
      </c>
      <c r="M271">
        <v>2</v>
      </c>
      <c r="N271" t="s">
        <v>1471</v>
      </c>
      <c r="O271" t="s">
        <v>1272</v>
      </c>
      <c r="P271" t="s">
        <v>1273</v>
      </c>
      <c r="Q271" s="3">
        <v>9500000</v>
      </c>
      <c r="R271" s="3">
        <v>9500000</v>
      </c>
      <c r="S271" s="3">
        <v>0</v>
      </c>
    </row>
    <row r="272" spans="1:20" x14ac:dyDescent="0.25">
      <c r="A272">
        <v>900091143</v>
      </c>
      <c r="B272" t="s">
        <v>17</v>
      </c>
      <c r="C272" t="s">
        <v>1487</v>
      </c>
      <c r="D272" t="s">
        <v>1488</v>
      </c>
      <c r="E272" t="s">
        <v>1487</v>
      </c>
      <c r="F272" t="s">
        <v>1269</v>
      </c>
      <c r="G272" t="s">
        <v>1489</v>
      </c>
      <c r="H272" t="s">
        <v>22</v>
      </c>
      <c r="I272" t="s">
        <v>1490</v>
      </c>
      <c r="J272" t="s">
        <v>1491</v>
      </c>
      <c r="K272" t="s">
        <v>168</v>
      </c>
      <c r="L272" t="s">
        <v>1471</v>
      </c>
      <c r="M272">
        <v>2</v>
      </c>
      <c r="N272" t="s">
        <v>1471</v>
      </c>
      <c r="O272" t="s">
        <v>1272</v>
      </c>
      <c r="P272" t="s">
        <v>1324</v>
      </c>
      <c r="Q272" s="3">
        <v>12000000</v>
      </c>
      <c r="R272" s="3">
        <v>12000000</v>
      </c>
      <c r="S272" s="3">
        <v>0</v>
      </c>
    </row>
    <row r="273" spans="1:19" x14ac:dyDescent="0.25">
      <c r="A273">
        <v>900091143</v>
      </c>
      <c r="B273" t="s">
        <v>17</v>
      </c>
      <c r="C273" t="s">
        <v>1492</v>
      </c>
      <c r="D273" t="s">
        <v>1493</v>
      </c>
      <c r="E273" t="s">
        <v>1492</v>
      </c>
      <c r="F273" t="s">
        <v>1269</v>
      </c>
      <c r="G273" t="s">
        <v>1494</v>
      </c>
      <c r="H273" t="s">
        <v>22</v>
      </c>
      <c r="I273" t="s">
        <v>1495</v>
      </c>
      <c r="J273" t="s">
        <v>1496</v>
      </c>
      <c r="K273" t="s">
        <v>50</v>
      </c>
      <c r="L273" t="s">
        <v>1471</v>
      </c>
      <c r="M273">
        <v>2</v>
      </c>
      <c r="N273" t="s">
        <v>1471</v>
      </c>
      <c r="O273" t="s">
        <v>1272</v>
      </c>
      <c r="P273" t="s">
        <v>1297</v>
      </c>
      <c r="Q273" s="3">
        <v>6000000</v>
      </c>
      <c r="R273" s="3">
        <v>6000000</v>
      </c>
      <c r="S273" s="3">
        <v>0</v>
      </c>
    </row>
    <row r="274" spans="1:19" x14ac:dyDescent="0.25">
      <c r="A274">
        <v>900091143</v>
      </c>
      <c r="B274" t="s">
        <v>17</v>
      </c>
      <c r="C274" t="s">
        <v>1497</v>
      </c>
      <c r="D274" t="s">
        <v>1498</v>
      </c>
      <c r="E274" t="s">
        <v>1497</v>
      </c>
      <c r="F274" t="s">
        <v>1269</v>
      </c>
      <c r="G274" t="s">
        <v>1499</v>
      </c>
      <c r="H274" t="s">
        <v>22</v>
      </c>
      <c r="I274" t="s">
        <v>671</v>
      </c>
      <c r="J274" t="s">
        <v>1500</v>
      </c>
      <c r="K274" t="s">
        <v>50</v>
      </c>
      <c r="L274" t="s">
        <v>1471</v>
      </c>
      <c r="M274">
        <v>2</v>
      </c>
      <c r="N274" t="s">
        <v>1471</v>
      </c>
      <c r="O274" t="s">
        <v>1272</v>
      </c>
      <c r="P274" t="s">
        <v>1297</v>
      </c>
      <c r="Q274" s="3">
        <v>6000000</v>
      </c>
      <c r="R274" s="3">
        <v>6000000</v>
      </c>
      <c r="S274" s="3">
        <v>0</v>
      </c>
    </row>
    <row r="275" spans="1:19" x14ac:dyDescent="0.25">
      <c r="A275">
        <v>900091143</v>
      </c>
      <c r="B275" t="s">
        <v>17</v>
      </c>
      <c r="C275" t="s">
        <v>1501</v>
      </c>
      <c r="D275" t="s">
        <v>1502</v>
      </c>
      <c r="E275" t="s">
        <v>1501</v>
      </c>
      <c r="F275" t="s">
        <v>1269</v>
      </c>
      <c r="G275" t="s">
        <v>1503</v>
      </c>
      <c r="H275" t="s">
        <v>22</v>
      </c>
      <c r="I275" t="s">
        <v>48</v>
      </c>
      <c r="J275" t="s">
        <v>49</v>
      </c>
      <c r="K275" t="s">
        <v>50</v>
      </c>
      <c r="L275" t="s">
        <v>1471</v>
      </c>
      <c r="M275">
        <v>2</v>
      </c>
      <c r="N275" t="s">
        <v>1471</v>
      </c>
      <c r="O275" t="s">
        <v>1272</v>
      </c>
      <c r="P275" t="s">
        <v>1297</v>
      </c>
      <c r="Q275" s="3">
        <v>6000000</v>
      </c>
      <c r="R275" s="3">
        <v>6000000</v>
      </c>
      <c r="S275" s="3">
        <v>0</v>
      </c>
    </row>
    <row r="276" spans="1:19" x14ac:dyDescent="0.25">
      <c r="A276">
        <v>900091143</v>
      </c>
      <c r="B276" t="s">
        <v>17</v>
      </c>
      <c r="C276" t="s">
        <v>1504</v>
      </c>
      <c r="D276" t="s">
        <v>1505</v>
      </c>
      <c r="E276" t="s">
        <v>1504</v>
      </c>
      <c r="F276" t="s">
        <v>1269</v>
      </c>
      <c r="G276" t="s">
        <v>1506</v>
      </c>
      <c r="H276" t="s">
        <v>22</v>
      </c>
      <c r="I276" t="s">
        <v>201</v>
      </c>
      <c r="J276" t="s">
        <v>202</v>
      </c>
      <c r="K276" t="s">
        <v>50</v>
      </c>
      <c r="L276" t="s">
        <v>1471</v>
      </c>
      <c r="M276">
        <v>2</v>
      </c>
      <c r="N276" t="s">
        <v>1471</v>
      </c>
      <c r="O276" t="s">
        <v>1272</v>
      </c>
      <c r="P276" t="s">
        <v>1297</v>
      </c>
      <c r="Q276" s="3">
        <v>6000000</v>
      </c>
      <c r="R276" s="3">
        <v>6000000</v>
      </c>
      <c r="S276" s="3">
        <v>0</v>
      </c>
    </row>
    <row r="277" spans="1:19" x14ac:dyDescent="0.25">
      <c r="A277">
        <v>900091143</v>
      </c>
      <c r="B277" t="s">
        <v>17</v>
      </c>
      <c r="C277" t="s">
        <v>1507</v>
      </c>
      <c r="D277" t="s">
        <v>1508</v>
      </c>
      <c r="E277" t="s">
        <v>1507</v>
      </c>
      <c r="F277" t="s">
        <v>1269</v>
      </c>
      <c r="G277" t="s">
        <v>1509</v>
      </c>
      <c r="H277" t="s">
        <v>22</v>
      </c>
      <c r="I277" t="s">
        <v>1510</v>
      </c>
      <c r="J277" t="s">
        <v>1511</v>
      </c>
      <c r="K277" t="s">
        <v>71</v>
      </c>
      <c r="L277" t="s">
        <v>1471</v>
      </c>
      <c r="M277">
        <v>2</v>
      </c>
      <c r="N277" t="s">
        <v>1471</v>
      </c>
      <c r="O277" t="s">
        <v>1272</v>
      </c>
      <c r="P277" t="s">
        <v>1285</v>
      </c>
      <c r="Q277" s="3">
        <v>9650000</v>
      </c>
      <c r="R277" s="3">
        <v>9650000</v>
      </c>
      <c r="S277" s="3">
        <v>0</v>
      </c>
    </row>
    <row r="278" spans="1:19" x14ac:dyDescent="0.25">
      <c r="A278">
        <v>900091143</v>
      </c>
      <c r="B278" t="s">
        <v>17</v>
      </c>
      <c r="C278" t="s">
        <v>1512</v>
      </c>
      <c r="D278" t="s">
        <v>1513</v>
      </c>
      <c r="E278" t="s">
        <v>1512</v>
      </c>
      <c r="F278" t="s">
        <v>1269</v>
      </c>
      <c r="G278" t="s">
        <v>1514</v>
      </c>
      <c r="H278" t="s">
        <v>22</v>
      </c>
      <c r="I278" t="s">
        <v>539</v>
      </c>
      <c r="J278" t="s">
        <v>540</v>
      </c>
      <c r="K278" t="s">
        <v>2861</v>
      </c>
      <c r="L278" t="s">
        <v>1471</v>
      </c>
      <c r="M278">
        <v>2</v>
      </c>
      <c r="N278" t="s">
        <v>1471</v>
      </c>
      <c r="O278" t="s">
        <v>1272</v>
      </c>
      <c r="P278" t="s">
        <v>1346</v>
      </c>
      <c r="Q278" s="3">
        <v>5000000</v>
      </c>
      <c r="R278" s="3">
        <v>5000000</v>
      </c>
      <c r="S278" s="3">
        <v>0</v>
      </c>
    </row>
    <row r="279" spans="1:19" x14ac:dyDescent="0.25">
      <c r="A279">
        <v>900091143</v>
      </c>
      <c r="B279" t="s">
        <v>17</v>
      </c>
      <c r="C279" t="s">
        <v>1515</v>
      </c>
      <c r="D279" t="s">
        <v>1516</v>
      </c>
      <c r="E279" t="s">
        <v>1515</v>
      </c>
      <c r="F279" t="s">
        <v>1269</v>
      </c>
      <c r="G279" t="s">
        <v>1517</v>
      </c>
      <c r="H279" t="s">
        <v>22</v>
      </c>
      <c r="I279" t="s">
        <v>1518</v>
      </c>
      <c r="J279" t="s">
        <v>1519</v>
      </c>
      <c r="K279" t="s">
        <v>2861</v>
      </c>
      <c r="L279" t="s">
        <v>1471</v>
      </c>
      <c r="M279">
        <v>2</v>
      </c>
      <c r="N279" t="s">
        <v>1471</v>
      </c>
      <c r="O279" t="s">
        <v>1272</v>
      </c>
      <c r="P279" t="s">
        <v>1346</v>
      </c>
      <c r="Q279" s="3">
        <v>5000000</v>
      </c>
      <c r="R279" s="3">
        <v>5000000</v>
      </c>
      <c r="S279" s="3">
        <v>0</v>
      </c>
    </row>
    <row r="280" spans="1:19" x14ac:dyDescent="0.25">
      <c r="A280">
        <v>900091143</v>
      </c>
      <c r="B280" t="s">
        <v>17</v>
      </c>
      <c r="C280" t="s">
        <v>1520</v>
      </c>
      <c r="D280" t="s">
        <v>1521</v>
      </c>
      <c r="E280" t="s">
        <v>1520</v>
      </c>
      <c r="F280" t="s">
        <v>1269</v>
      </c>
      <c r="G280" t="s">
        <v>1522</v>
      </c>
      <c r="H280" t="s">
        <v>22</v>
      </c>
      <c r="I280" t="s">
        <v>1523</v>
      </c>
      <c r="J280" t="s">
        <v>1524</v>
      </c>
      <c r="K280" t="s">
        <v>50</v>
      </c>
      <c r="L280" t="s">
        <v>1471</v>
      </c>
      <c r="M280">
        <v>2</v>
      </c>
      <c r="N280" t="s">
        <v>1471</v>
      </c>
      <c r="O280" t="s">
        <v>1272</v>
      </c>
      <c r="P280" t="s">
        <v>1297</v>
      </c>
      <c r="Q280" s="3">
        <v>6000000</v>
      </c>
      <c r="R280" s="3">
        <v>6000000</v>
      </c>
      <c r="S280" s="3">
        <v>0</v>
      </c>
    </row>
    <row r="281" spans="1:19" x14ac:dyDescent="0.25">
      <c r="A281">
        <v>900091143</v>
      </c>
      <c r="B281" t="s">
        <v>17</v>
      </c>
      <c r="C281" t="s">
        <v>1525</v>
      </c>
      <c r="D281" t="s">
        <v>1526</v>
      </c>
      <c r="E281" t="s">
        <v>1525</v>
      </c>
      <c r="F281" t="s">
        <v>1269</v>
      </c>
      <c r="G281" t="s">
        <v>1527</v>
      </c>
      <c r="H281" t="s">
        <v>22</v>
      </c>
      <c r="I281" t="s">
        <v>1528</v>
      </c>
      <c r="J281" t="s">
        <v>1529</v>
      </c>
      <c r="K281" t="s">
        <v>2861</v>
      </c>
      <c r="L281" t="s">
        <v>1471</v>
      </c>
      <c r="M281">
        <v>2</v>
      </c>
      <c r="N281" t="s">
        <v>1471</v>
      </c>
      <c r="O281" t="s">
        <v>1272</v>
      </c>
      <c r="P281" t="s">
        <v>1346</v>
      </c>
      <c r="Q281" s="3">
        <v>5000000</v>
      </c>
      <c r="R281" s="3">
        <v>5000000</v>
      </c>
      <c r="S281" s="3">
        <v>0</v>
      </c>
    </row>
    <row r="282" spans="1:19" x14ac:dyDescent="0.25">
      <c r="A282">
        <v>900091143</v>
      </c>
      <c r="B282" t="s">
        <v>17</v>
      </c>
      <c r="C282" t="s">
        <v>1530</v>
      </c>
      <c r="D282" t="s">
        <v>1531</v>
      </c>
      <c r="E282" t="s">
        <v>1530</v>
      </c>
      <c r="F282" t="s">
        <v>1269</v>
      </c>
      <c r="G282" t="s">
        <v>1532</v>
      </c>
      <c r="H282" t="s">
        <v>22</v>
      </c>
      <c r="I282" t="s">
        <v>1533</v>
      </c>
      <c r="J282" t="s">
        <v>1534</v>
      </c>
      <c r="K282" t="s">
        <v>2860</v>
      </c>
      <c r="L282" t="s">
        <v>1535</v>
      </c>
      <c r="M282">
        <v>2</v>
      </c>
      <c r="N282" t="s">
        <v>1535</v>
      </c>
      <c r="O282" t="s">
        <v>1272</v>
      </c>
      <c r="P282" t="s">
        <v>1273</v>
      </c>
      <c r="Q282" s="3">
        <v>9500000</v>
      </c>
      <c r="R282" s="3">
        <v>9500000</v>
      </c>
      <c r="S282" s="3">
        <v>0</v>
      </c>
    </row>
    <row r="283" spans="1:19" x14ac:dyDescent="0.25">
      <c r="A283">
        <v>900091143</v>
      </c>
      <c r="B283" t="s">
        <v>17</v>
      </c>
      <c r="C283" t="s">
        <v>1536</v>
      </c>
      <c r="D283" t="s">
        <v>1537</v>
      </c>
      <c r="E283" t="s">
        <v>1536</v>
      </c>
      <c r="F283" t="s">
        <v>1538</v>
      </c>
      <c r="G283" t="s">
        <v>1539</v>
      </c>
      <c r="H283" t="s">
        <v>22</v>
      </c>
      <c r="I283" t="s">
        <v>1540</v>
      </c>
      <c r="J283" t="s">
        <v>1541</v>
      </c>
      <c r="K283" t="s">
        <v>50</v>
      </c>
      <c r="L283" t="s">
        <v>1542</v>
      </c>
      <c r="M283">
        <v>2</v>
      </c>
      <c r="N283" t="s">
        <v>1542</v>
      </c>
      <c r="O283" t="s">
        <v>1272</v>
      </c>
      <c r="P283" t="s">
        <v>1297</v>
      </c>
      <c r="Q283" s="3">
        <v>6000000</v>
      </c>
      <c r="R283" s="3">
        <v>6000000</v>
      </c>
      <c r="S283" s="3">
        <v>0</v>
      </c>
    </row>
    <row r="284" spans="1:19" x14ac:dyDescent="0.25">
      <c r="A284">
        <v>900091143</v>
      </c>
      <c r="B284" t="s">
        <v>17</v>
      </c>
      <c r="C284" t="s">
        <v>1543</v>
      </c>
      <c r="D284" t="s">
        <v>1544</v>
      </c>
      <c r="E284" t="s">
        <v>1543</v>
      </c>
      <c r="F284" t="s">
        <v>1269</v>
      </c>
      <c r="G284" t="s">
        <v>1545</v>
      </c>
      <c r="H284" t="s">
        <v>22</v>
      </c>
      <c r="I284" t="s">
        <v>1546</v>
      </c>
      <c r="J284" t="s">
        <v>1547</v>
      </c>
      <c r="K284" t="s">
        <v>2861</v>
      </c>
      <c r="L284" t="s">
        <v>1548</v>
      </c>
      <c r="M284">
        <v>2</v>
      </c>
      <c r="N284" t="s">
        <v>1548</v>
      </c>
      <c r="O284" t="s">
        <v>1272</v>
      </c>
      <c r="P284" t="s">
        <v>1346</v>
      </c>
      <c r="Q284" s="3">
        <v>5000000</v>
      </c>
      <c r="R284" s="3">
        <v>5000000</v>
      </c>
      <c r="S284" s="3">
        <v>0</v>
      </c>
    </row>
    <row r="285" spans="1:19" x14ac:dyDescent="0.25">
      <c r="A285">
        <v>900091143</v>
      </c>
      <c r="B285" t="s">
        <v>17</v>
      </c>
      <c r="C285" t="s">
        <v>1549</v>
      </c>
      <c r="D285" t="s">
        <v>1550</v>
      </c>
      <c r="E285" t="s">
        <v>1549</v>
      </c>
      <c r="F285" t="s">
        <v>1269</v>
      </c>
      <c r="G285" t="s">
        <v>1551</v>
      </c>
      <c r="H285" t="s">
        <v>22</v>
      </c>
      <c r="I285" t="s">
        <v>1552</v>
      </c>
      <c r="J285" t="s">
        <v>1553</v>
      </c>
      <c r="K285" t="s">
        <v>2861</v>
      </c>
      <c r="L285" t="s">
        <v>1548</v>
      </c>
      <c r="M285">
        <v>2</v>
      </c>
      <c r="N285" t="s">
        <v>1548</v>
      </c>
      <c r="O285" t="s">
        <v>1272</v>
      </c>
      <c r="P285" t="s">
        <v>1346</v>
      </c>
      <c r="Q285" s="3">
        <v>5000000</v>
      </c>
      <c r="R285" s="3">
        <v>5000000</v>
      </c>
      <c r="S285" s="3">
        <v>0</v>
      </c>
    </row>
    <row r="286" spans="1:19" x14ac:dyDescent="0.25">
      <c r="A286">
        <v>900091143</v>
      </c>
      <c r="B286" t="s">
        <v>17</v>
      </c>
      <c r="C286" t="s">
        <v>1554</v>
      </c>
      <c r="D286" t="s">
        <v>1555</v>
      </c>
      <c r="E286" t="s">
        <v>1554</v>
      </c>
      <c r="F286" t="s">
        <v>1269</v>
      </c>
      <c r="G286" t="s">
        <v>1556</v>
      </c>
      <c r="H286" t="s">
        <v>22</v>
      </c>
      <c r="I286" t="s">
        <v>1557</v>
      </c>
      <c r="J286" t="s">
        <v>1558</v>
      </c>
      <c r="K286" t="s">
        <v>50</v>
      </c>
      <c r="L286" t="s">
        <v>1548</v>
      </c>
      <c r="M286">
        <v>2</v>
      </c>
      <c r="N286" t="s">
        <v>1548</v>
      </c>
      <c r="O286" t="s">
        <v>1272</v>
      </c>
      <c r="P286" t="s">
        <v>1297</v>
      </c>
      <c r="Q286" s="3">
        <v>6000000</v>
      </c>
      <c r="R286" s="3">
        <v>6000000</v>
      </c>
      <c r="S286" s="3">
        <v>0</v>
      </c>
    </row>
    <row r="287" spans="1:19" x14ac:dyDescent="0.25">
      <c r="A287">
        <v>900091143</v>
      </c>
      <c r="B287" t="s">
        <v>17</v>
      </c>
      <c r="C287" t="s">
        <v>1559</v>
      </c>
      <c r="D287" t="s">
        <v>1560</v>
      </c>
      <c r="E287" t="s">
        <v>1559</v>
      </c>
      <c r="F287" t="s">
        <v>1269</v>
      </c>
      <c r="G287" t="s">
        <v>1561</v>
      </c>
      <c r="H287" t="s">
        <v>22</v>
      </c>
      <c r="I287" t="s">
        <v>1562</v>
      </c>
      <c r="J287" t="s">
        <v>1563</v>
      </c>
      <c r="K287" t="s">
        <v>2860</v>
      </c>
      <c r="L287" t="s">
        <v>1548</v>
      </c>
      <c r="M287">
        <v>2</v>
      </c>
      <c r="N287" t="s">
        <v>1548</v>
      </c>
      <c r="O287" t="s">
        <v>1272</v>
      </c>
      <c r="P287" t="s">
        <v>1273</v>
      </c>
      <c r="Q287" s="3">
        <v>9500000</v>
      </c>
      <c r="R287" s="3">
        <v>9500000</v>
      </c>
      <c r="S287" s="3">
        <v>0</v>
      </c>
    </row>
    <row r="288" spans="1:19" x14ac:dyDescent="0.25">
      <c r="A288">
        <v>900091143</v>
      </c>
      <c r="B288" t="s">
        <v>17</v>
      </c>
      <c r="C288" t="s">
        <v>1564</v>
      </c>
      <c r="D288" t="s">
        <v>1565</v>
      </c>
      <c r="E288" t="s">
        <v>1564</v>
      </c>
      <c r="F288" t="s">
        <v>1269</v>
      </c>
      <c r="G288" t="s">
        <v>1566</v>
      </c>
      <c r="H288" t="s">
        <v>22</v>
      </c>
      <c r="I288" t="s">
        <v>1165</v>
      </c>
      <c r="J288" t="s">
        <v>1166</v>
      </c>
      <c r="K288" t="s">
        <v>2861</v>
      </c>
      <c r="L288" t="s">
        <v>1548</v>
      </c>
      <c r="M288">
        <v>2</v>
      </c>
      <c r="N288" t="s">
        <v>1548</v>
      </c>
      <c r="O288" t="s">
        <v>1272</v>
      </c>
      <c r="P288" t="s">
        <v>1346</v>
      </c>
      <c r="Q288" s="3">
        <v>5000000</v>
      </c>
      <c r="R288" s="3">
        <v>5000000</v>
      </c>
      <c r="S288" s="3">
        <v>0</v>
      </c>
    </row>
    <row r="289" spans="1:20" x14ac:dyDescent="0.25">
      <c r="A289">
        <v>900091143</v>
      </c>
      <c r="B289" t="s">
        <v>17</v>
      </c>
      <c r="C289" t="s">
        <v>1567</v>
      </c>
      <c r="D289" t="s">
        <v>1568</v>
      </c>
      <c r="E289" t="s">
        <v>1567</v>
      </c>
      <c r="F289" t="s">
        <v>1269</v>
      </c>
      <c r="G289" t="s">
        <v>1569</v>
      </c>
      <c r="H289" t="s">
        <v>22</v>
      </c>
      <c r="I289" t="s">
        <v>1570</v>
      </c>
      <c r="J289" t="s">
        <v>1571</v>
      </c>
      <c r="K289" t="s">
        <v>50</v>
      </c>
      <c r="L289" t="s">
        <v>1548</v>
      </c>
      <c r="M289">
        <v>2</v>
      </c>
      <c r="N289" t="s">
        <v>1548</v>
      </c>
      <c r="O289" t="s">
        <v>1272</v>
      </c>
      <c r="P289" t="s">
        <v>1297</v>
      </c>
      <c r="Q289" s="3">
        <v>6000000</v>
      </c>
      <c r="R289" s="3">
        <v>6000000</v>
      </c>
      <c r="S289" s="3">
        <v>0</v>
      </c>
    </row>
    <row r="290" spans="1:20" x14ac:dyDescent="0.25">
      <c r="A290">
        <v>900091143</v>
      </c>
      <c r="B290" t="s">
        <v>17</v>
      </c>
      <c r="C290" t="s">
        <v>1572</v>
      </c>
      <c r="D290" t="s">
        <v>1573</v>
      </c>
      <c r="E290" t="s">
        <v>1572</v>
      </c>
      <c r="F290" t="s">
        <v>1269</v>
      </c>
      <c r="G290" t="s">
        <v>1574</v>
      </c>
      <c r="H290" t="s">
        <v>22</v>
      </c>
      <c r="I290" t="s">
        <v>1103</v>
      </c>
      <c r="J290" t="s">
        <v>1104</v>
      </c>
      <c r="K290" t="s">
        <v>2861</v>
      </c>
      <c r="L290" t="s">
        <v>1548</v>
      </c>
      <c r="M290">
        <v>2</v>
      </c>
      <c r="N290" t="s">
        <v>1548</v>
      </c>
      <c r="O290" t="s">
        <v>1272</v>
      </c>
      <c r="P290" t="s">
        <v>1346</v>
      </c>
      <c r="Q290" s="3">
        <v>5000000</v>
      </c>
      <c r="R290" s="3">
        <v>5000000</v>
      </c>
      <c r="S290" s="3">
        <v>0</v>
      </c>
    </row>
    <row r="291" spans="1:20" x14ac:dyDescent="0.25">
      <c r="A291">
        <v>900091143</v>
      </c>
      <c r="B291" t="s">
        <v>17</v>
      </c>
      <c r="C291" t="s">
        <v>1575</v>
      </c>
      <c r="D291" t="s">
        <v>1576</v>
      </c>
      <c r="E291" t="s">
        <v>1575</v>
      </c>
      <c r="F291" t="s">
        <v>1269</v>
      </c>
      <c r="G291" t="s">
        <v>1577</v>
      </c>
      <c r="H291" t="s">
        <v>22</v>
      </c>
      <c r="I291" t="s">
        <v>1578</v>
      </c>
      <c r="J291" t="s">
        <v>1579</v>
      </c>
      <c r="K291" t="s">
        <v>168</v>
      </c>
      <c r="L291" t="s">
        <v>1548</v>
      </c>
      <c r="M291">
        <v>2</v>
      </c>
      <c r="N291" t="s">
        <v>1548</v>
      </c>
      <c r="O291" t="s">
        <v>1272</v>
      </c>
      <c r="P291" t="s">
        <v>1324</v>
      </c>
      <c r="Q291" s="3">
        <v>12000000</v>
      </c>
      <c r="R291" s="3">
        <v>12000000</v>
      </c>
      <c r="S291" s="3">
        <v>0</v>
      </c>
    </row>
    <row r="292" spans="1:20" x14ac:dyDescent="0.25">
      <c r="A292">
        <v>900091143</v>
      </c>
      <c r="B292" t="s">
        <v>17</v>
      </c>
      <c r="C292" t="s">
        <v>1580</v>
      </c>
      <c r="D292" t="s">
        <v>1581</v>
      </c>
      <c r="E292" t="s">
        <v>1580</v>
      </c>
      <c r="F292" t="s">
        <v>1269</v>
      </c>
      <c r="G292" t="s">
        <v>1582</v>
      </c>
      <c r="H292" t="s">
        <v>22</v>
      </c>
      <c r="I292" t="s">
        <v>406</v>
      </c>
      <c r="J292" t="s">
        <v>407</v>
      </c>
      <c r="K292" t="s">
        <v>50</v>
      </c>
      <c r="L292" t="s">
        <v>1548</v>
      </c>
      <c r="M292">
        <v>2</v>
      </c>
      <c r="N292" t="s">
        <v>1548</v>
      </c>
      <c r="O292" t="s">
        <v>1272</v>
      </c>
      <c r="P292" t="s">
        <v>1297</v>
      </c>
      <c r="Q292" s="3">
        <v>6000000</v>
      </c>
      <c r="R292" s="3">
        <v>6000000</v>
      </c>
      <c r="S292" s="3">
        <v>0</v>
      </c>
    </row>
    <row r="293" spans="1:20" x14ac:dyDescent="0.25">
      <c r="A293">
        <v>900091143</v>
      </c>
      <c r="B293" t="s">
        <v>17</v>
      </c>
      <c r="C293" t="s">
        <v>1583</v>
      </c>
      <c r="D293" t="s">
        <v>1584</v>
      </c>
      <c r="E293" t="s">
        <v>1583</v>
      </c>
      <c r="F293" t="s">
        <v>1269</v>
      </c>
      <c r="G293" t="s">
        <v>1585</v>
      </c>
      <c r="H293" t="s">
        <v>22</v>
      </c>
      <c r="I293" t="s">
        <v>1586</v>
      </c>
      <c r="J293" t="s">
        <v>1587</v>
      </c>
      <c r="K293" t="s">
        <v>71</v>
      </c>
      <c r="L293" t="s">
        <v>1548</v>
      </c>
      <c r="M293">
        <v>2</v>
      </c>
      <c r="N293" t="s">
        <v>1548</v>
      </c>
      <c r="O293" t="s">
        <v>1272</v>
      </c>
      <c r="P293" t="s">
        <v>1285</v>
      </c>
      <c r="Q293" s="3">
        <v>9650000</v>
      </c>
      <c r="R293" s="3">
        <v>9650000</v>
      </c>
      <c r="S293" s="3">
        <v>0</v>
      </c>
    </row>
    <row r="294" spans="1:20" x14ac:dyDescent="0.25">
      <c r="A294">
        <v>900091143</v>
      </c>
      <c r="B294" t="s">
        <v>17</v>
      </c>
      <c r="C294" t="s">
        <v>1588</v>
      </c>
      <c r="D294" t="s">
        <v>1589</v>
      </c>
      <c r="E294" t="s">
        <v>1588</v>
      </c>
      <c r="F294" t="s">
        <v>1269</v>
      </c>
      <c r="G294" t="s">
        <v>1590</v>
      </c>
      <c r="H294" t="s">
        <v>22</v>
      </c>
      <c r="I294" t="s">
        <v>1591</v>
      </c>
      <c r="J294" t="s">
        <v>1592</v>
      </c>
      <c r="K294" t="s">
        <v>50</v>
      </c>
      <c r="L294" t="s">
        <v>1593</v>
      </c>
      <c r="M294">
        <v>2</v>
      </c>
      <c r="N294" t="s">
        <v>1593</v>
      </c>
      <c r="O294" t="s">
        <v>1272</v>
      </c>
      <c r="P294" t="s">
        <v>1297</v>
      </c>
      <c r="Q294" s="3">
        <v>6000000</v>
      </c>
      <c r="R294" s="3">
        <v>6000000</v>
      </c>
      <c r="S294" s="3">
        <v>0</v>
      </c>
    </row>
    <row r="295" spans="1:20" x14ac:dyDescent="0.25">
      <c r="A295">
        <v>900091143</v>
      </c>
      <c r="B295" t="s">
        <v>17</v>
      </c>
      <c r="C295" t="s">
        <v>1594</v>
      </c>
      <c r="D295" t="s">
        <v>1595</v>
      </c>
      <c r="E295" t="s">
        <v>1594</v>
      </c>
      <c r="F295" t="s">
        <v>1269</v>
      </c>
      <c r="G295" t="s">
        <v>1596</v>
      </c>
      <c r="H295" t="s">
        <v>22</v>
      </c>
      <c r="I295" t="s">
        <v>1597</v>
      </c>
      <c r="J295" t="s">
        <v>1598</v>
      </c>
      <c r="K295" t="s">
        <v>50</v>
      </c>
      <c r="L295" t="s">
        <v>1593</v>
      </c>
      <c r="M295">
        <v>2</v>
      </c>
      <c r="N295" t="s">
        <v>1593</v>
      </c>
      <c r="O295" t="s">
        <v>1272</v>
      </c>
      <c r="P295" t="s">
        <v>1297</v>
      </c>
      <c r="Q295" s="3">
        <v>6000000</v>
      </c>
      <c r="R295" s="3">
        <v>6000000</v>
      </c>
      <c r="S295" s="3">
        <v>0</v>
      </c>
    </row>
    <row r="296" spans="1:20" x14ac:dyDescent="0.25">
      <c r="A296">
        <v>900091143</v>
      </c>
      <c r="B296" t="s">
        <v>17</v>
      </c>
      <c r="C296" t="s">
        <v>1599</v>
      </c>
      <c r="D296" t="s">
        <v>1600</v>
      </c>
      <c r="E296" t="s">
        <v>1599</v>
      </c>
      <c r="F296" t="s">
        <v>1269</v>
      </c>
      <c r="G296" t="s">
        <v>1601</v>
      </c>
      <c r="H296" t="s">
        <v>22</v>
      </c>
      <c r="I296" t="s">
        <v>1602</v>
      </c>
      <c r="J296" t="s">
        <v>1603</v>
      </c>
      <c r="K296" t="s">
        <v>50</v>
      </c>
      <c r="L296" t="s">
        <v>1593</v>
      </c>
      <c r="M296">
        <v>2</v>
      </c>
      <c r="N296" t="s">
        <v>1593</v>
      </c>
      <c r="O296" t="s">
        <v>1272</v>
      </c>
      <c r="P296" t="s">
        <v>1297</v>
      </c>
      <c r="Q296" s="3">
        <v>6000000</v>
      </c>
      <c r="R296" s="3">
        <v>6000000</v>
      </c>
      <c r="S296" s="3">
        <v>0</v>
      </c>
    </row>
    <row r="297" spans="1:20" x14ac:dyDescent="0.25">
      <c r="A297">
        <v>900091143</v>
      </c>
      <c r="B297" t="s">
        <v>17</v>
      </c>
      <c r="C297" t="s">
        <v>1604</v>
      </c>
      <c r="D297" t="s">
        <v>1605</v>
      </c>
      <c r="E297" t="s">
        <v>1604</v>
      </c>
      <c r="F297" t="s">
        <v>1269</v>
      </c>
      <c r="G297" t="s">
        <v>1606</v>
      </c>
      <c r="H297" t="s">
        <v>22</v>
      </c>
      <c r="I297" t="s">
        <v>477</v>
      </c>
      <c r="J297" t="s">
        <v>478</v>
      </c>
      <c r="K297" t="s">
        <v>168</v>
      </c>
      <c r="L297" t="s">
        <v>1593</v>
      </c>
      <c r="M297">
        <v>2</v>
      </c>
      <c r="N297" t="s">
        <v>1593</v>
      </c>
      <c r="O297" t="s">
        <v>1272</v>
      </c>
      <c r="P297" t="s">
        <v>1324</v>
      </c>
      <c r="Q297" s="3">
        <v>12000000</v>
      </c>
      <c r="R297" s="3">
        <v>12000000</v>
      </c>
      <c r="S297" s="3">
        <v>0</v>
      </c>
    </row>
    <row r="298" spans="1:20" x14ac:dyDescent="0.25">
      <c r="A298">
        <v>900091143</v>
      </c>
      <c r="B298" t="s">
        <v>17</v>
      </c>
      <c r="C298" t="s">
        <v>1607</v>
      </c>
      <c r="D298" t="s">
        <v>1608</v>
      </c>
      <c r="E298" t="s">
        <v>1607</v>
      </c>
      <c r="F298" t="s">
        <v>1269</v>
      </c>
      <c r="G298" t="s">
        <v>1609</v>
      </c>
      <c r="H298" t="s">
        <v>22</v>
      </c>
      <c r="I298" t="s">
        <v>1610</v>
      </c>
      <c r="J298" t="s">
        <v>1611</v>
      </c>
      <c r="K298" t="s">
        <v>2861</v>
      </c>
      <c r="L298" t="s">
        <v>1612</v>
      </c>
      <c r="M298">
        <v>2</v>
      </c>
      <c r="N298" t="s">
        <v>1612</v>
      </c>
      <c r="O298" t="s">
        <v>1272</v>
      </c>
      <c r="P298" t="s">
        <v>1346</v>
      </c>
      <c r="Q298" s="3">
        <v>5000000</v>
      </c>
      <c r="R298" s="3">
        <v>5000000</v>
      </c>
      <c r="S298" s="3">
        <v>0</v>
      </c>
    </row>
    <row r="299" spans="1:20" x14ac:dyDescent="0.25">
      <c r="A299">
        <v>900091143</v>
      </c>
      <c r="B299" t="s">
        <v>17</v>
      </c>
      <c r="C299" t="s">
        <v>1613</v>
      </c>
      <c r="D299" t="s">
        <v>1614</v>
      </c>
      <c r="E299" t="s">
        <v>1613</v>
      </c>
      <c r="F299" t="s">
        <v>1269</v>
      </c>
      <c r="G299" t="s">
        <v>1615</v>
      </c>
      <c r="H299" t="s">
        <v>22</v>
      </c>
      <c r="I299" t="s">
        <v>780</v>
      </c>
      <c r="J299" t="s">
        <v>781</v>
      </c>
      <c r="K299" t="s">
        <v>2860</v>
      </c>
      <c r="L299" t="s">
        <v>1612</v>
      </c>
      <c r="M299">
        <v>2</v>
      </c>
      <c r="N299" t="s">
        <v>1612</v>
      </c>
      <c r="O299" t="s">
        <v>1272</v>
      </c>
      <c r="P299" t="s">
        <v>1273</v>
      </c>
      <c r="Q299" s="3">
        <v>9500000</v>
      </c>
      <c r="R299" s="3">
        <v>9500000</v>
      </c>
      <c r="S299" s="3">
        <v>0</v>
      </c>
    </row>
    <row r="300" spans="1:20" x14ac:dyDescent="0.25">
      <c r="A300">
        <v>900091143</v>
      </c>
      <c r="B300" t="s">
        <v>17</v>
      </c>
      <c r="C300" t="s">
        <v>1616</v>
      </c>
      <c r="D300" t="s">
        <v>1617</v>
      </c>
      <c r="E300" t="s">
        <v>1616</v>
      </c>
      <c r="F300" t="s">
        <v>1269</v>
      </c>
      <c r="G300" t="s">
        <v>1618</v>
      </c>
      <c r="H300" t="s">
        <v>22</v>
      </c>
      <c r="I300" t="s">
        <v>764</v>
      </c>
      <c r="J300" t="s">
        <v>765</v>
      </c>
      <c r="K300" t="s">
        <v>2861</v>
      </c>
      <c r="L300" t="s">
        <v>1612</v>
      </c>
      <c r="M300">
        <v>2</v>
      </c>
      <c r="N300" t="s">
        <v>1612</v>
      </c>
      <c r="O300" t="s">
        <v>1272</v>
      </c>
      <c r="P300" t="s">
        <v>1346</v>
      </c>
      <c r="Q300" s="3">
        <v>5000000</v>
      </c>
      <c r="R300" s="3">
        <v>5000000</v>
      </c>
      <c r="S300" s="3">
        <v>0</v>
      </c>
    </row>
    <row r="301" spans="1:20" x14ac:dyDescent="0.25">
      <c r="A301">
        <v>900091143</v>
      </c>
      <c r="B301" t="s">
        <v>17</v>
      </c>
      <c r="C301" t="s">
        <v>1619</v>
      </c>
      <c r="D301" t="s">
        <v>1620</v>
      </c>
      <c r="E301" t="s">
        <v>1619</v>
      </c>
      <c r="F301" t="s">
        <v>1269</v>
      </c>
      <c r="G301" t="s">
        <v>1621</v>
      </c>
      <c r="H301" t="s">
        <v>22</v>
      </c>
      <c r="I301" t="s">
        <v>687</v>
      </c>
      <c r="J301" t="s">
        <v>688</v>
      </c>
      <c r="K301" t="s">
        <v>168</v>
      </c>
      <c r="L301" t="s">
        <v>1622</v>
      </c>
      <c r="M301">
        <v>2</v>
      </c>
      <c r="N301" t="s">
        <v>1622</v>
      </c>
      <c r="O301" t="s">
        <v>1272</v>
      </c>
      <c r="P301" t="s">
        <v>1324</v>
      </c>
      <c r="Q301" s="3">
        <v>9000000</v>
      </c>
      <c r="R301" s="3">
        <v>9000000</v>
      </c>
      <c r="S301" s="3">
        <v>0</v>
      </c>
    </row>
    <row r="302" spans="1:20" x14ac:dyDescent="0.25">
      <c r="A302">
        <v>900091143</v>
      </c>
      <c r="B302" t="s">
        <v>17</v>
      </c>
      <c r="C302" t="s">
        <v>1623</v>
      </c>
      <c r="D302" t="s">
        <v>1624</v>
      </c>
      <c r="E302" t="s">
        <v>1623</v>
      </c>
      <c r="F302" t="s">
        <v>46</v>
      </c>
      <c r="G302" t="s">
        <v>1625</v>
      </c>
      <c r="H302" t="s">
        <v>22</v>
      </c>
      <c r="I302" t="s">
        <v>1626</v>
      </c>
      <c r="J302" t="s">
        <v>1627</v>
      </c>
      <c r="K302" t="s">
        <v>2860</v>
      </c>
      <c r="L302" t="s">
        <v>479</v>
      </c>
      <c r="M302">
        <v>4</v>
      </c>
      <c r="N302" t="s">
        <v>486</v>
      </c>
      <c r="O302" t="s">
        <v>487</v>
      </c>
      <c r="P302" t="s">
        <v>473</v>
      </c>
      <c r="Q302" s="3">
        <v>19000000</v>
      </c>
      <c r="R302" s="3">
        <v>19000000</v>
      </c>
      <c r="S302" s="3">
        <v>0</v>
      </c>
    </row>
    <row r="303" spans="1:20" x14ac:dyDescent="0.25">
      <c r="A303">
        <v>900091143</v>
      </c>
      <c r="B303" t="s">
        <v>17</v>
      </c>
      <c r="C303" t="s">
        <v>1628</v>
      </c>
      <c r="D303" t="s">
        <v>1629</v>
      </c>
      <c r="E303" t="s">
        <v>1628</v>
      </c>
      <c r="F303" t="s">
        <v>1269</v>
      </c>
      <c r="G303" t="s">
        <v>1630</v>
      </c>
      <c r="H303" t="s">
        <v>22</v>
      </c>
      <c r="I303" t="s">
        <v>544</v>
      </c>
      <c r="J303" t="s">
        <v>545</v>
      </c>
      <c r="K303" t="s">
        <v>50</v>
      </c>
      <c r="L303" t="s">
        <v>1631</v>
      </c>
      <c r="M303">
        <v>2</v>
      </c>
      <c r="N303" t="s">
        <v>1631</v>
      </c>
      <c r="O303" t="s">
        <v>1272</v>
      </c>
      <c r="P303" t="s">
        <v>1297</v>
      </c>
      <c r="Q303" s="3">
        <v>3700000</v>
      </c>
      <c r="R303" s="3">
        <v>3700000</v>
      </c>
      <c r="S303" s="3">
        <v>0</v>
      </c>
    </row>
    <row r="304" spans="1:20" x14ac:dyDescent="0.25">
      <c r="A304">
        <v>900091143</v>
      </c>
      <c r="B304" t="s">
        <v>17</v>
      </c>
      <c r="C304" t="s">
        <v>2856</v>
      </c>
      <c r="D304" t="s">
        <v>2857</v>
      </c>
      <c r="E304" t="s">
        <v>2856</v>
      </c>
      <c r="F304" t="s">
        <v>46</v>
      </c>
      <c r="G304" t="s">
        <v>2858</v>
      </c>
      <c r="H304" t="s">
        <v>22</v>
      </c>
      <c r="I304">
        <v>1085340196</v>
      </c>
      <c r="J304" t="s">
        <v>2859</v>
      </c>
      <c r="K304" t="s">
        <v>50</v>
      </c>
      <c r="L304" t="s">
        <v>273</v>
      </c>
      <c r="M304">
        <v>4</v>
      </c>
      <c r="N304" t="s">
        <v>296</v>
      </c>
      <c r="O304" t="s">
        <v>297</v>
      </c>
      <c r="P304" t="s">
        <v>53</v>
      </c>
      <c r="Q304" s="3">
        <v>6000000</v>
      </c>
      <c r="R304" s="3">
        <v>0</v>
      </c>
      <c r="S304" s="3">
        <v>6000000</v>
      </c>
      <c r="T304" t="s">
        <v>2866</v>
      </c>
    </row>
  </sheetData>
  <conditionalFormatting sqref="C2:C303">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RES_17_4_2026</vt:lpstr>
      <vt:lpstr>873</vt:lpstr>
      <vt:lpstr>1976</vt:lpstr>
      <vt:lpstr>1397</vt:lpstr>
      <vt:lpstr>1778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JEISSON GETIAL</cp:lastModifiedBy>
  <dcterms:created xsi:type="dcterms:W3CDTF">2026-04-15T02:50:39Z</dcterms:created>
  <dcterms:modified xsi:type="dcterms:W3CDTF">2026-04-28T22:45:01Z</dcterms:modified>
</cp:coreProperties>
</file>