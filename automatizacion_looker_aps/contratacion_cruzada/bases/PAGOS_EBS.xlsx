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APS AUTOMATIZACIONES\aps\automatizacion_looker_aps\contratacion_cruzada\bases\"/>
    </mc:Choice>
  </mc:AlternateContent>
  <xr:revisionPtr revIDLastSave="0" documentId="13_ncr:1_{C74E8347-79D6-4BC0-A6AB-F0211C0DDB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ADOS" sheetId="4" r:id="rId1"/>
    <sheet name="Hoja2" sheetId="5" r:id="rId2"/>
    <sheet name="PAGOS" sheetId="2" r:id="rId3"/>
    <sheet name="BORRAR" sheetId="3" r:id="rId4"/>
    <sheet name="MODIFICAION" sheetId="6" r:id="rId5"/>
  </sheets>
  <externalReferences>
    <externalReference r:id="rId6"/>
  </externalReferences>
  <definedNames>
    <definedName name="_xlnm._FilterDatabase" localSheetId="4" hidden="1">MODIFICAION!$A$1:$J$3344</definedName>
    <definedName name="_xlnm._FilterDatabase" localSheetId="2" hidden="1">PAGOS!$A$1:$J$3347</definedName>
    <definedName name="_xlnm._FilterDatabase" localSheetId="0" hidden="1">REPORTADOS!$A$1:$J$3380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2" i="4"/>
  <c r="D19" i="5" l="1"/>
  <c r="F3343" i="6" l="1"/>
  <c r="E3343" i="6"/>
  <c r="F2776" i="6"/>
  <c r="E2776" i="6"/>
  <c r="F2354" i="6"/>
  <c r="E2354" i="6"/>
  <c r="F2313" i="6"/>
  <c r="E2313" i="6"/>
  <c r="F2310" i="6"/>
  <c r="E2310" i="6"/>
  <c r="F2231" i="6"/>
  <c r="E2231" i="6"/>
  <c r="F2221" i="6"/>
  <c r="E2221" i="6"/>
  <c r="F2170" i="6"/>
  <c r="E2170" i="6"/>
  <c r="F2169" i="6"/>
  <c r="E2169" i="6"/>
  <c r="F2168" i="6"/>
  <c r="E2168" i="6"/>
  <c r="F2160" i="6"/>
  <c r="E2160" i="6"/>
  <c r="F2105" i="6"/>
  <c r="E2105" i="6"/>
  <c r="F2103" i="6"/>
  <c r="E2103" i="6"/>
  <c r="F2102" i="6"/>
  <c r="E2102" i="6"/>
  <c r="F2101" i="6"/>
  <c r="E2101" i="6"/>
  <c r="F17" i="6"/>
  <c r="E17" i="6"/>
  <c r="F15" i="6"/>
  <c r="E15" i="6"/>
  <c r="F13" i="6"/>
  <c r="E13" i="6"/>
  <c r="F11" i="6"/>
  <c r="E11" i="6"/>
  <c r="F9" i="6"/>
  <c r="E9" i="6"/>
  <c r="F7" i="6"/>
  <c r="E7" i="6"/>
  <c r="F2" i="6"/>
  <c r="E2" i="6"/>
  <c r="E9" i="5"/>
  <c r="D9" i="5"/>
  <c r="J4" i="5"/>
  <c r="J3" i="5"/>
  <c r="H5" i="5"/>
  <c r="H4" i="5"/>
  <c r="H2" i="5"/>
  <c r="J2" i="5" s="1"/>
  <c r="H3" i="5"/>
</calcChain>
</file>

<file path=xl/sharedStrings.xml><?xml version="1.0" encoding="utf-8"?>
<sst xmlns="http://schemas.openxmlformats.org/spreadsheetml/2006/main" count="34347" uniqueCount="2636">
  <si>
    <t>fecha</t>
  </si>
  <si>
    <t>orden</t>
  </si>
  <si>
    <t>numero_contrato</t>
  </si>
  <si>
    <t>valor</t>
  </si>
  <si>
    <t>nit</t>
  </si>
  <si>
    <t>razon</t>
  </si>
  <si>
    <t>id_recurso</t>
  </si>
  <si>
    <t>142-2024</t>
  </si>
  <si>
    <t>BIOPTICAS DE COLOMBIA SAS</t>
  </si>
  <si>
    <t>ID2177823635</t>
  </si>
  <si>
    <t>159-2024</t>
  </si>
  <si>
    <t>ANGIE VIVIANA SACANAMBUY PAZ</t>
  </si>
  <si>
    <t>208-2024</t>
  </si>
  <si>
    <t>PAZ MARQUEZ FREDDY FRANCISCO</t>
  </si>
  <si>
    <t>148-2024</t>
  </si>
  <si>
    <t>ANA VICTORIA ORTEGA GOMEZ</t>
  </si>
  <si>
    <t>158-2024</t>
  </si>
  <si>
    <t>SANDRA LUCERO LÓPEZ LÓPEZ</t>
  </si>
  <si>
    <t>195-2024</t>
  </si>
  <si>
    <t>DANNY YESID DELGADO MORA</t>
  </si>
  <si>
    <t>198-2024</t>
  </si>
  <si>
    <t>DIDIER RAIMUNDO MENESES GUERRERO</t>
  </si>
  <si>
    <t>166-2024</t>
  </si>
  <si>
    <t>JORGE LUIS CARVAJAL GUACHAVEZ</t>
  </si>
  <si>
    <t>181-2024</t>
  </si>
  <si>
    <t>MARIA  IDER CASANOVA BURBANO</t>
  </si>
  <si>
    <t>404-2024</t>
  </si>
  <si>
    <t>BRIGITT MARCELA BURBANO PUPIALES</t>
  </si>
  <si>
    <t>266-2024</t>
  </si>
  <si>
    <t>ERIKA PAOLA ESTRADA  BURBANO</t>
  </si>
  <si>
    <t>401-2024</t>
  </si>
  <si>
    <t>LILIANA MAYER BOTINA CRIOLLO</t>
  </si>
  <si>
    <t>373-2024</t>
  </si>
  <si>
    <t>DEISY JOHANNA BASTIDAS JOJOA</t>
  </si>
  <si>
    <t>393-2024</t>
  </si>
  <si>
    <t>NESLY YANID MUÑOZ ORTÍZ</t>
  </si>
  <si>
    <t>168-2024</t>
  </si>
  <si>
    <t>MARITZA ROCIO OLIVA CUZ</t>
  </si>
  <si>
    <t>399-2024</t>
  </si>
  <si>
    <t>KAROL ESTEFANY MIRANDA TOBAR</t>
  </si>
  <si>
    <t>381-2024</t>
  </si>
  <si>
    <t>SOFIA ESMERALDA MEJIA ORTÍZ</t>
  </si>
  <si>
    <t>390-2024</t>
  </si>
  <si>
    <t>JHON JAIME LOPEZ GUERRERO</t>
  </si>
  <si>
    <t>178-2024</t>
  </si>
  <si>
    <t>NAYIBI JANED MELO DELGADO</t>
  </si>
  <si>
    <t>187-2024</t>
  </si>
  <si>
    <t>YULY MARCELA MORALES LOPEZ</t>
  </si>
  <si>
    <t>276-2024</t>
  </si>
  <si>
    <t>BLANCA MELVA GAVIRIA BRAVO</t>
  </si>
  <si>
    <t>344-2024</t>
  </si>
  <si>
    <t>PABLO ERNESTO RIOBAMBA IPIALES</t>
  </si>
  <si>
    <t>193-2024</t>
  </si>
  <si>
    <t>CARMEN  LILIANA ARCINIEGAS LÒPEZ</t>
  </si>
  <si>
    <t>408-2024</t>
  </si>
  <si>
    <t>DIANA CAROLINA ROSERO CONCHA</t>
  </si>
  <si>
    <t>161-2024</t>
  </si>
  <si>
    <t>JHONNY  ALEXANDER SEPULVEDA DUERO</t>
  </si>
  <si>
    <t>409-2024</t>
  </si>
  <si>
    <t>ANGIE GABRIELA ENRIQUEZ TACAN</t>
  </si>
  <si>
    <t>284-2024</t>
  </si>
  <si>
    <t>BRAYAN ANTONIO MADROÑERO QUINTERO</t>
  </si>
  <si>
    <t>319-2024</t>
  </si>
  <si>
    <t>LIZETH MARCELA ORTÌZ MUÑOZ</t>
  </si>
  <si>
    <t>413-2024</t>
  </si>
  <si>
    <t>MAIGUAL MUÑOZ MARIBEL DEL CARMEN</t>
  </si>
  <si>
    <t>275-2024</t>
  </si>
  <si>
    <t>ADRIANA SOFIA ISANDARA NUPAN</t>
  </si>
  <si>
    <t>218-2024</t>
  </si>
  <si>
    <t>FRANCISCO  RAFAEL ORTÍZ BENÌTEZ</t>
  </si>
  <si>
    <t>392-2024</t>
  </si>
  <si>
    <t>CAROL VIVIANA RODRIGUEZ  CARDENAS</t>
  </si>
  <si>
    <t>267-2024</t>
  </si>
  <si>
    <t>ANGIE VIVIANA AULLON VASQUEZ</t>
  </si>
  <si>
    <t>212-2024</t>
  </si>
  <si>
    <t>VANESSA KATHERINE JOJOA ARIAS</t>
  </si>
  <si>
    <t>322-2024</t>
  </si>
  <si>
    <t>SARA  VICTORIA ALVAREZ FIGUEROA</t>
  </si>
  <si>
    <t>361-2024</t>
  </si>
  <si>
    <t>LEIDI YURANI RAMOS CORDOBA</t>
  </si>
  <si>
    <t>391-2024</t>
  </si>
  <si>
    <t>GREACE  ALEJANDRA CALPA CAICEDO</t>
  </si>
  <si>
    <t>176-2024</t>
  </si>
  <si>
    <t>MEHILIN TATIANA QUIMBIAMBA ORTÌZ</t>
  </si>
  <si>
    <t>162-2024</t>
  </si>
  <si>
    <t>MARIA JOSE LEITON ZUTTA</t>
  </si>
  <si>
    <t>394-2024</t>
  </si>
  <si>
    <t>YULLI KAROLINA CASTILLO PAZ</t>
  </si>
  <si>
    <t>378-2024</t>
  </si>
  <si>
    <t>JHON SEBASTIAN NARVAEZ DEJOY</t>
  </si>
  <si>
    <t>398-2024</t>
  </si>
  <si>
    <t>LUIS ALONSO GUEVARA DE LOS RIOS</t>
  </si>
  <si>
    <t>164-2024</t>
  </si>
  <si>
    <t>ELIZABETH ALEJANDRA TOBAR MORAN</t>
  </si>
  <si>
    <t>281-2024</t>
  </si>
  <si>
    <t>MAYERLY NORIDIA ASMAZA GETIAL</t>
  </si>
  <si>
    <t>279-2024</t>
  </si>
  <si>
    <t>MONICA PATRICIA PANTOJA DUEÑAS</t>
  </si>
  <si>
    <t>197-2024</t>
  </si>
  <si>
    <t>SANTIAGO NICOLAS TULCAN REGALADO</t>
  </si>
  <si>
    <t>160-2024</t>
  </si>
  <si>
    <t>ELBER ALFREDO CAMPAÑA IMBAQUIN</t>
  </si>
  <si>
    <t>271-2024</t>
  </si>
  <si>
    <t>GARCIA JOJOA EDITH CRISTINA</t>
  </si>
  <si>
    <t>215-2024</t>
  </si>
  <si>
    <t>CINDY ESTEFANIA GONZALES DEL CASTILLO</t>
  </si>
  <si>
    <t>285-2024</t>
  </si>
  <si>
    <t>LUCERITO DEL CARMEN REVELO BENAVIDES</t>
  </si>
  <si>
    <t>268-2024</t>
  </si>
  <si>
    <t>PABLO JOSÉ BADOS LÒPEZ</t>
  </si>
  <si>
    <t>165-2024</t>
  </si>
  <si>
    <t>DIANA CAROLINA ORTEGA CAICEDO</t>
  </si>
  <si>
    <t>321-2024</t>
  </si>
  <si>
    <t>JENIFFER  ARCOS GIL</t>
  </si>
  <si>
    <t>219-2024</t>
  </si>
  <si>
    <t>MARIA ALEJANDRA BENAVIDES AYALA</t>
  </si>
  <si>
    <t>228-2024</t>
  </si>
  <si>
    <t>DANIELA FERNANDA ERASO VALENCIA</t>
  </si>
  <si>
    <t>177-2024</t>
  </si>
  <si>
    <t>JULIE ANDREA FREIRE MIER</t>
  </si>
  <si>
    <t>163-2024</t>
  </si>
  <si>
    <t>PATRICIA YOLANDA PAZ  DELGADO</t>
  </si>
  <si>
    <t>253-2024</t>
  </si>
  <si>
    <t>IBONNE ALEJANDRA SILVA ARAUJO</t>
  </si>
  <si>
    <t>183-2024</t>
  </si>
  <si>
    <t>NANCY VISITACIÓN CHAMORRO GUAICHAR</t>
  </si>
  <si>
    <t>180-2024</t>
  </si>
  <si>
    <t>DIANA CAROLINA CORTES TAPIA</t>
  </si>
  <si>
    <t>243-2024</t>
  </si>
  <si>
    <t>EDITH ANGELICA LOPEZ VILLARREAL</t>
  </si>
  <si>
    <t>402-2024</t>
  </si>
  <si>
    <t>NIEVES FERNANDA AZZA ORDOÑEZ</t>
  </si>
  <si>
    <t>186-2024</t>
  </si>
  <si>
    <t>EDMER LEONARDO RUALES AYALA</t>
  </si>
  <si>
    <t>154-2024</t>
  </si>
  <si>
    <t>XIMENA DEL ROSARIO LOPEZ MAYA</t>
  </si>
  <si>
    <t>415-2024</t>
  </si>
  <si>
    <t>ANGELA MARCELA OBANDO BASTIDAS</t>
  </si>
  <si>
    <t>383-2024</t>
  </si>
  <si>
    <t>ELOISA YERALDINE FREYRE GOMEZ</t>
  </si>
  <si>
    <t>396-2024</t>
  </si>
  <si>
    <t>ERIKA JOHANNA OBANDO SANTACRUZ</t>
  </si>
  <si>
    <t>196-2024</t>
  </si>
  <si>
    <t>CAROLINA ISABEL PORTILLA TEPUD</t>
  </si>
  <si>
    <t>213-2024</t>
  </si>
  <si>
    <t>ALBA DENIS ARGOTY SANTACRUZ</t>
  </si>
  <si>
    <t>222-2024</t>
  </si>
  <si>
    <t>ANDREA PAOLA MONTES PANTOJA</t>
  </si>
  <si>
    <t>203-2024</t>
  </si>
  <si>
    <t>KELLY YURANY JOJOA BOTINA</t>
  </si>
  <si>
    <t>184-2024</t>
  </si>
  <si>
    <t>FANY LUCELY RODRIGUEZ CRIOLLO</t>
  </si>
  <si>
    <t>400-2024</t>
  </si>
  <si>
    <t>BRYAN ANDRES BASTIDAS RUALES</t>
  </si>
  <si>
    <t>216-2024</t>
  </si>
  <si>
    <t>JERALDINE  BASTIDAS OCAÑA</t>
  </si>
  <si>
    <t>147-2024</t>
  </si>
  <si>
    <t>VICTOR HUGO QUENGUAN BURBANO</t>
  </si>
  <si>
    <t>232-2024</t>
  </si>
  <si>
    <t>JOHANA CAROLINA CAICEDO GOYES</t>
  </si>
  <si>
    <t>199-2024</t>
  </si>
  <si>
    <t>PAOLA ANDREA VELEZ BOLAÑOS</t>
  </si>
  <si>
    <t>206-2024</t>
  </si>
  <si>
    <t>VERONICA SOFIA HUERTAS ARCINIEGAS</t>
  </si>
  <si>
    <t>265-2024</t>
  </si>
  <si>
    <t>EXPRESO SURAMERICANA DE TURISMO SAS</t>
  </si>
  <si>
    <t>477-2024</t>
  </si>
  <si>
    <t>ANGELA SOFIA CHACHINOY ALVAREZ</t>
  </si>
  <si>
    <t>223-2024</t>
  </si>
  <si>
    <t>SANDRA MILENA GARCÍA  REVELO</t>
  </si>
  <si>
    <t>244-2024</t>
  </si>
  <si>
    <t>LYNN JANINA ORTIZ PAZ</t>
  </si>
  <si>
    <t>412-2024</t>
  </si>
  <si>
    <t>AMANDA  LOPEZ HERNANDEZ</t>
  </si>
  <si>
    <t>220-2024</t>
  </si>
  <si>
    <t>DANIEL  ALEJANDRO ESCOBAR  ANDRADE</t>
  </si>
  <si>
    <t>205-2024</t>
  </si>
  <si>
    <t>ADRIANA YORLADY ARMERO BURBANO</t>
  </si>
  <si>
    <t>192-2024</t>
  </si>
  <si>
    <t>LIDIA JIMENA RODRIGUEZ LOZA</t>
  </si>
  <si>
    <t>229-2024</t>
  </si>
  <si>
    <t xml:space="preserve">ROCIO DEL PILAR RIVERA </t>
  </si>
  <si>
    <t>173-2024</t>
  </si>
  <si>
    <t>JOSE JAVIER PINTA YAQUENO</t>
  </si>
  <si>
    <t>282-2024</t>
  </si>
  <si>
    <t>EDER SHINEIDER TUTISTAR TUTISTAR</t>
  </si>
  <si>
    <t>221-2024</t>
  </si>
  <si>
    <t>VERONICA ROXANA MORAN VILLOTA</t>
  </si>
  <si>
    <t>471-2024</t>
  </si>
  <si>
    <t>LICETH NEYIRETH RIVERA ROSERO</t>
  </si>
  <si>
    <t>251-2024</t>
  </si>
  <si>
    <t>BRENDA DAYANA TABLA PULISTAR</t>
  </si>
  <si>
    <t>210-2024</t>
  </si>
  <si>
    <t>JUAN  CAMILO ENRÍQUEZ ARCINIEGAS</t>
  </si>
  <si>
    <t>254-2024</t>
  </si>
  <si>
    <t>MARIA HOMAIRA GUEVARA CORAL</t>
  </si>
  <si>
    <t>367-2024</t>
  </si>
  <si>
    <t>YENIFER NAYIBE MENESES TOBAR</t>
  </si>
  <si>
    <t>473-2024</t>
  </si>
  <si>
    <t>CLEOTILDE FLOR ALBA PIANDOY CUSIS</t>
  </si>
  <si>
    <t>149-2024</t>
  </si>
  <si>
    <t>AIDE CAROLINA RIASCOS ECHEVERRY</t>
  </si>
  <si>
    <t>368-2024</t>
  </si>
  <si>
    <t>YUDY LILIANA BENAVIDES OJEDA</t>
  </si>
  <si>
    <t>453-2024</t>
  </si>
  <si>
    <t>DANNY ALEXANDER ORTIZ MUÑOZ</t>
  </si>
  <si>
    <t>239-2024</t>
  </si>
  <si>
    <t>JESSICA FERNANDA LAGOS DAVID</t>
  </si>
  <si>
    <t>246-2024</t>
  </si>
  <si>
    <t>JAQUELINE CAMILA GENOY VILLOTA</t>
  </si>
  <si>
    <t>247-2024</t>
  </si>
  <si>
    <t>YEIMY ANABELY MONCAYO ARTEAGA</t>
  </si>
  <si>
    <t>308-2024</t>
  </si>
  <si>
    <t>KARELIS NATALY ZHENG MONSALVE</t>
  </si>
  <si>
    <t>364-2024</t>
  </si>
  <si>
    <t>JINETH VANESA CONSTAIN LASSO</t>
  </si>
  <si>
    <t>406-2024</t>
  </si>
  <si>
    <t>GABRIELA ALEJANDRA GUERRERO BRAVO</t>
  </si>
  <si>
    <t>256-2024</t>
  </si>
  <si>
    <t>DIANA MILENA PAZ NANDAR</t>
  </si>
  <si>
    <t>360-2024</t>
  </si>
  <si>
    <t>MARIA ISABEL ALVAREZ CAICEDO</t>
  </si>
  <si>
    <t>287-2024</t>
  </si>
  <si>
    <t>JESUS ARMANDO MARTÍNEZ GÓMEZ</t>
  </si>
  <si>
    <t>472-2024</t>
  </si>
  <si>
    <t>MARIO ANDRES ROSAS  ENRIQUEZ</t>
  </si>
  <si>
    <t>262-2024</t>
  </si>
  <si>
    <t>RAFAEL ARLEY ROSERO PINZA</t>
  </si>
  <si>
    <t>280-2024</t>
  </si>
  <si>
    <t>JUANITA MAYLIN VELASQUEZ REVELO</t>
  </si>
  <si>
    <t>214-2024</t>
  </si>
  <si>
    <t>LEIDY CRISTINA RODRÌGUEZ LÓPEZ</t>
  </si>
  <si>
    <t>283-2024</t>
  </si>
  <si>
    <t>LAURA VALENTINA PASCUAZA YUCUMA</t>
  </si>
  <si>
    <t>233-2024</t>
  </si>
  <si>
    <t>JAZMIN ELIZABETH ARCE CALDERON</t>
  </si>
  <si>
    <t>151-2024</t>
  </si>
  <si>
    <t>LAURA  SOFIA ROSERO DAVID</t>
  </si>
  <si>
    <t>157-2024</t>
  </si>
  <si>
    <t>GERALDINE  VIVIANA VILLOTA ARTEAGA</t>
  </si>
  <si>
    <t>261-2024</t>
  </si>
  <si>
    <t>YULY LORENA CABRERA DELGADO</t>
  </si>
  <si>
    <t>366-2024</t>
  </si>
  <si>
    <t>KAROL DAYANA TONGUINO TORO</t>
  </si>
  <si>
    <t>376-2024</t>
  </si>
  <si>
    <t>ANA  MILENA ROSERO SANTANDER</t>
  </si>
  <si>
    <t>217-2024</t>
  </si>
  <si>
    <t>ANGELA PAOLA BOLAÐOS ARGOTI</t>
  </si>
  <si>
    <t>236-2024</t>
  </si>
  <si>
    <t>LEYDI GISELLA BENAVIDES LÒPEZ</t>
  </si>
  <si>
    <t>362-2024</t>
  </si>
  <si>
    <t>LISSETH MARISOL CUASTUMAL  CASTRO</t>
  </si>
  <si>
    <t>375-2024</t>
  </si>
  <si>
    <t>MARIA FERNANDA SANCHEZ CARDENAS</t>
  </si>
  <si>
    <t>478-2024</t>
  </si>
  <si>
    <t>LUZ  MARINA BENAVIDES  BASTIDAS</t>
  </si>
  <si>
    <t>491-2024</t>
  </si>
  <si>
    <t>ALEXANDRA MARIA ORTEGA ROSERO</t>
  </si>
  <si>
    <t>492-2024</t>
  </si>
  <si>
    <t>LINA YEZMIN DE LA CRUZ CUSIS</t>
  </si>
  <si>
    <t>202-2024</t>
  </si>
  <si>
    <t>CORDOBA ARTEAGA CARMEN PATRICIA</t>
  </si>
  <si>
    <t>374-2024</t>
  </si>
  <si>
    <t>PAULA ANDREA ROCHA DELGADO</t>
  </si>
  <si>
    <t>242-2024</t>
  </si>
  <si>
    <t>DANIELA VANESA MONTANCHEZ GOMAJOA</t>
  </si>
  <si>
    <t>286-2024</t>
  </si>
  <si>
    <t>MARIA  DE LOS ANGELES ACOSTA ROSERO</t>
  </si>
  <si>
    <t>211-2024</t>
  </si>
  <si>
    <t>FUNDACIÓN CALIDAD DE VIDA Y ESPERANZA</t>
  </si>
  <si>
    <t>259-2024</t>
  </si>
  <si>
    <t>VIKY PATRICIA ASCUNTAR CRIOLLO</t>
  </si>
  <si>
    <t>200-2024</t>
  </si>
  <si>
    <t>MERCY LORENA SACANAMBUY LOPEZ</t>
  </si>
  <si>
    <t>240-2024</t>
  </si>
  <si>
    <t>CAROL  SUVANY HERRERA ERAZO</t>
  </si>
  <si>
    <t>365-2024</t>
  </si>
  <si>
    <t>CRISTIAN FABIAN CRIOLLO RIVERA</t>
  </si>
  <si>
    <t>476-2024</t>
  </si>
  <si>
    <t>NICOLAS EMILIO MENA  JOJOA</t>
  </si>
  <si>
    <t>460-2024</t>
  </si>
  <si>
    <t>ADRIANA GABRIELA DIAZ MONTENEGRO</t>
  </si>
  <si>
    <t>474-2024</t>
  </si>
  <si>
    <t>ANGELA ESTEFANYA NASPIRAN  JOJOA</t>
  </si>
  <si>
    <t>461-2024</t>
  </si>
  <si>
    <t>RUTH JACQUELINE GAMEZ PABON</t>
  </si>
  <si>
    <t>438-2024</t>
  </si>
  <si>
    <t>CLAUDIA DANIELA PAZ  RIVERA</t>
  </si>
  <si>
    <t>238-2024</t>
  </si>
  <si>
    <t>DEISY ANDREA MARTÍNEZ NARVAEZ</t>
  </si>
  <si>
    <t>182-2024</t>
  </si>
  <si>
    <t>NATALIA LIZETH AGUIRRE SALAZAR</t>
  </si>
  <si>
    <t>496-2024</t>
  </si>
  <si>
    <t>ANGIE GIONELLA HERNANDEZ VILLOTA</t>
  </si>
  <si>
    <t>230-2024</t>
  </si>
  <si>
    <t>ANGELA PATRICIA BASTIDAS  MELO</t>
  </si>
  <si>
    <t>249-2024</t>
  </si>
  <si>
    <t>ANA CLEMENCIA BASTIDAS CERON</t>
  </si>
  <si>
    <t>403-2024</t>
  </si>
  <si>
    <t>RICARDO  ENRIQUE VEGA MERA</t>
  </si>
  <si>
    <t>264-2024</t>
  </si>
  <si>
    <t>JUAN FERNANDO ZARAMA SILVA</t>
  </si>
  <si>
    <t>493-2024</t>
  </si>
  <si>
    <t>ROSAURA CAROLINA MADROÑERO DELGADO</t>
  </si>
  <si>
    <t>470-2024</t>
  </si>
  <si>
    <t>AYDE JACKELINE CABRERA CRIOLLO</t>
  </si>
  <si>
    <t>497-2024</t>
  </si>
  <si>
    <t>YAMILE ALEJANDRA BOTINA RODRIGUEZ</t>
  </si>
  <si>
    <t>418-2024</t>
  </si>
  <si>
    <t>FRANCO JESUS RODRIGUEZ ARAUJO</t>
  </si>
  <si>
    <t>387-2024</t>
  </si>
  <si>
    <t>DEYANIRA  BADOS DAZA</t>
  </si>
  <si>
    <t>485-2024</t>
  </si>
  <si>
    <t>SONIA DEL ROCIO GOMEZ NARVAEZ</t>
  </si>
  <si>
    <t>467-2024</t>
  </si>
  <si>
    <t>LESLY NATHALIA MAIGUAL JURADO</t>
  </si>
  <si>
    <t>487-2024</t>
  </si>
  <si>
    <t>NAYIBE MARCELA LARA MATABANCHOY</t>
  </si>
  <si>
    <t>452-2024</t>
  </si>
  <si>
    <t>DIANA CAROLINA TISOY CHASOY</t>
  </si>
  <si>
    <t>255-2024</t>
  </si>
  <si>
    <t>DANIELA ALEXANDRA PABON YARPAS</t>
  </si>
  <si>
    <t>525-2024</t>
  </si>
  <si>
    <t>JORGE ANDRES LOPEZ VELA</t>
  </si>
  <si>
    <t>480-2024</t>
  </si>
  <si>
    <t>INDIRA TAMARA PALACIOS BUSTOS</t>
  </si>
  <si>
    <t>479-2024</t>
  </si>
  <si>
    <t>LORENA CATERINE ASCUNTAR CUAJIBIOY</t>
  </si>
  <si>
    <t>167-2024</t>
  </si>
  <si>
    <t>FERNANDO TEOFILO ROSERO PATIÑO</t>
  </si>
  <si>
    <t>234-2024</t>
  </si>
  <si>
    <t>JAZMIN DEL CARMEN NUPAN BURBANO</t>
  </si>
  <si>
    <t>237-2024</t>
  </si>
  <si>
    <t xml:space="preserve">CLARA MARIA ACOSTA </t>
  </si>
  <si>
    <t>260-2024</t>
  </si>
  <si>
    <t>ISABEL CRISTINA SANTACRUZ MUÑOZ</t>
  </si>
  <si>
    <t>386-2024</t>
  </si>
  <si>
    <t>JULIANA VALENTINA MENDEZ ORTÍZ</t>
  </si>
  <si>
    <t>490-2024</t>
  </si>
  <si>
    <t>MARIA FERNANDA VASQUEZ ARGOTI</t>
  </si>
  <si>
    <t>486-2024</t>
  </si>
  <si>
    <t>VERONICA  HURTADO PASCUAZA</t>
  </si>
  <si>
    <t>382-2024</t>
  </si>
  <si>
    <t>KARINA MARIBEL LUNA LOPEZ</t>
  </si>
  <si>
    <t>484-2024</t>
  </si>
  <si>
    <t>LUCENY CENIDIA DAVID  RODRIGUEZ</t>
  </si>
  <si>
    <t>489-2024</t>
  </si>
  <si>
    <t>LISETH  MUÑOZ MARTINEZ</t>
  </si>
  <si>
    <t>258-2024</t>
  </si>
  <si>
    <t>LUZDARI  JARAMILLO NOGUERA</t>
  </si>
  <si>
    <t>377-2024</t>
  </si>
  <si>
    <t>KARLA VALERIA AZA  CEPEDA</t>
  </si>
  <si>
    <t>272-2024</t>
  </si>
  <si>
    <t>MARILIN  ZAMBRANO OBANDO</t>
  </si>
  <si>
    <t>257-2024</t>
  </si>
  <si>
    <t>JENIFER  AREVALO CRIOLLO</t>
  </si>
  <si>
    <t>495-2024</t>
  </si>
  <si>
    <t>SANDRA PAOLA ROMO JURADO</t>
  </si>
  <si>
    <t>385-2024</t>
  </si>
  <si>
    <t>MARIA CAMILA PAZ ARCOS</t>
  </si>
  <si>
    <t>270-2024</t>
  </si>
  <si>
    <t>FERNANDO ALBERTO ROMERO SOLANO</t>
  </si>
  <si>
    <t>209-2024</t>
  </si>
  <si>
    <t>MARIA FERNANDA INGUILAN CARRERA</t>
  </si>
  <si>
    <t>277-2024</t>
  </si>
  <si>
    <t>NORIDA JULIETH TOBAR ARTEAGA</t>
  </si>
  <si>
    <t>194-2024</t>
  </si>
  <si>
    <t>VALERIA FERNANDA CUASQUER CANTUCA</t>
  </si>
  <si>
    <t>500-2024</t>
  </si>
  <si>
    <t>NATHALIE CAROLINA ESTRADA SE LA CRUZ</t>
  </si>
  <si>
    <t>469-2024</t>
  </si>
  <si>
    <t>FHALOM CAROLINA ROSERO TORRES</t>
  </si>
  <si>
    <t>449-2024</t>
  </si>
  <si>
    <t>DIANA CAROLINA MORAN CRUZ</t>
  </si>
  <si>
    <t>454-2024</t>
  </si>
  <si>
    <t>DIEGO FERNANDO DELGADO ERASO</t>
  </si>
  <si>
    <t>170-2024</t>
  </si>
  <si>
    <t>PAULA XIMENA CHÁVES PASMIÑO</t>
  </si>
  <si>
    <t>156-2024</t>
  </si>
  <si>
    <t>NELLY VANESSA ORDOÑEZ BASTIDAS</t>
  </si>
  <si>
    <t>250-2024</t>
  </si>
  <si>
    <t>CAROLINA  NASTACUAS PAI</t>
  </si>
  <si>
    <t>501-2024</t>
  </si>
  <si>
    <t>ANA MILENA JACANMIJOY TREJO</t>
  </si>
  <si>
    <t>516-2024</t>
  </si>
  <si>
    <t>ELIANA STEPHANIE CAICEDO ALVAREZ</t>
  </si>
  <si>
    <t>145-2024</t>
  </si>
  <si>
    <t>ANGELA EDITH GONZALEZ PIANDA</t>
  </si>
  <si>
    <t>517-2024</t>
  </si>
  <si>
    <t>KELLY  GABRIELA CARDENAS ARCOS</t>
  </si>
  <si>
    <t>204-2024</t>
  </si>
  <si>
    <t>NATALIA ANDREA LATORRE RUANO</t>
  </si>
  <si>
    <t>153-2024</t>
  </si>
  <si>
    <t>JHEIBER BRANLLERT DULCE MUÑOZ</t>
  </si>
  <si>
    <t>189-2024</t>
  </si>
  <si>
    <t>RUTH INGRITH DIAZ VALERO</t>
  </si>
  <si>
    <t>150-2024</t>
  </si>
  <si>
    <t>ASTRID CAROLINA CAICEDO LUNA</t>
  </si>
  <si>
    <t>508-2024</t>
  </si>
  <si>
    <t>MAURICIO JAVIER QUIÑONES TAQUEZ</t>
  </si>
  <si>
    <t>507-2024</t>
  </si>
  <si>
    <t>MARIO ALEXANDER MENA RODRIGUEZ</t>
  </si>
  <si>
    <t>174-2024</t>
  </si>
  <si>
    <t>JAIRO  ALBERTO MAIGUAL MIRAMAG</t>
  </si>
  <si>
    <t>171-2024</t>
  </si>
  <si>
    <t>DIANA SOFIA AYALA DIAZ</t>
  </si>
  <si>
    <t>519-2024</t>
  </si>
  <si>
    <t>YULI XIMENA TAPIA ORDO+æEZ</t>
  </si>
  <si>
    <t>185-2024</t>
  </si>
  <si>
    <t>EVELYN  FERNANDA ACOSTA CHICAIZA</t>
  </si>
  <si>
    <t>188-2024</t>
  </si>
  <si>
    <t>MONICA DEL ROCIO ERAZO RUIZ</t>
  </si>
  <si>
    <t>509-2024</t>
  </si>
  <si>
    <t xml:space="preserve">JESICA GERALDINE MORALES </t>
  </si>
  <si>
    <t>179-2024</t>
  </si>
  <si>
    <t>INÉS MERCEDES LÓPEZ TORRES</t>
  </si>
  <si>
    <t>146-2024</t>
  </si>
  <si>
    <t>MARIA CAMILA PAREDEZ TIMANA</t>
  </si>
  <si>
    <t>201-2024</t>
  </si>
  <si>
    <t>SONIA PATRICIA ESPANA TAPIA</t>
  </si>
  <si>
    <t>169-2024</t>
  </si>
  <si>
    <t>DANIEL GERARDO ERAZO OVIEDO</t>
  </si>
  <si>
    <t>524-2024</t>
  </si>
  <si>
    <t>WILLIAM CARLOS VILLOTA MARTÍNEZ</t>
  </si>
  <si>
    <t>384-2024</t>
  </si>
  <si>
    <t>LEONEL FERNANDO JOJOA JOJOA</t>
  </si>
  <si>
    <t>175-2024</t>
  </si>
  <si>
    <t>DARLLY ROXANA ROSERO TIMARÁN</t>
  </si>
  <si>
    <t>152-2024</t>
  </si>
  <si>
    <t>JOSE FERNANDO CHAÑA QUENGUAN</t>
  </si>
  <si>
    <t>504-2024</t>
  </si>
  <si>
    <t>ANDREA  CATALINA CUASTUMAL ESCOBAR</t>
  </si>
  <si>
    <t>621-2024</t>
  </si>
  <si>
    <t>ADRIANA LORENA OVIEDO PAREDES</t>
  </si>
  <si>
    <t>551-2024</t>
  </si>
  <si>
    <t>ANGELA SOFIA ORDOÑEZ BENAVIDES</t>
  </si>
  <si>
    <t>389-2024</t>
  </si>
  <si>
    <t>CARMEN LILIANA ARMERO RUIZ</t>
  </si>
  <si>
    <t>205-2025</t>
  </si>
  <si>
    <t>660-2024</t>
  </si>
  <si>
    <t>207-2024</t>
  </si>
  <si>
    <t>KEVIN STEVEN PANTOJA CEBALLOS</t>
  </si>
  <si>
    <t>220-2025</t>
  </si>
  <si>
    <t>LORENA DEL CARMEN  OJEDA VAZQUEZ</t>
  </si>
  <si>
    <t>208-2025</t>
  </si>
  <si>
    <t>194-2025</t>
  </si>
  <si>
    <t>248-2025</t>
  </si>
  <si>
    <t>ANDRES ERNESTO BRAVO  ALMEIDA</t>
  </si>
  <si>
    <t>182-2025</t>
  </si>
  <si>
    <t>243-2025</t>
  </si>
  <si>
    <t>NATHALIA  ROSERO RODRIGUEZ</t>
  </si>
  <si>
    <t>212-2025</t>
  </si>
  <si>
    <t>269-2025</t>
  </si>
  <si>
    <t>FANNY MARIELA CORDOBA MORENO</t>
  </si>
  <si>
    <t>234-2025</t>
  </si>
  <si>
    <t>DOLY MAYBRI TIMANA GUACAN</t>
  </si>
  <si>
    <t>235-2025</t>
  </si>
  <si>
    <t>CARMEN PATRICIA CORDOBA ARTEAGA</t>
  </si>
  <si>
    <t>190-2025</t>
  </si>
  <si>
    <t>180-2025</t>
  </si>
  <si>
    <t>VIVIANA MERCEDES PIZANO PORTILLA</t>
  </si>
  <si>
    <t>229-2025</t>
  </si>
  <si>
    <t>185-2025</t>
  </si>
  <si>
    <t>216-2025</t>
  </si>
  <si>
    <t>DANNY ALEXANDER SANCHEZ ESTRADA</t>
  </si>
  <si>
    <t>246-2025</t>
  </si>
  <si>
    <t>210-2025</t>
  </si>
  <si>
    <t>ANDREA LILIANA LAGUNA  RUALES</t>
  </si>
  <si>
    <t>192-2025</t>
  </si>
  <si>
    <t>204-2025</t>
  </si>
  <si>
    <t>ZULY MARINA HIDALGO JOJOA</t>
  </si>
  <si>
    <t>247-2025</t>
  </si>
  <si>
    <t>211-2025</t>
  </si>
  <si>
    <t>ALEJANDRA MARLENY PATIÑO VALENCIA</t>
  </si>
  <si>
    <t>181-2025</t>
  </si>
  <si>
    <t>244-2025</t>
  </si>
  <si>
    <t>258-2025</t>
  </si>
  <si>
    <t>TANIA KARINA CUERO CASANOVA</t>
  </si>
  <si>
    <t>218-2025</t>
  </si>
  <si>
    <t>EDIER ERNEY CORDOBA ROJAS</t>
  </si>
  <si>
    <t>254-2025</t>
  </si>
  <si>
    <t>YEIMER DANILO CAEZ MORALES</t>
  </si>
  <si>
    <t>249-2025</t>
  </si>
  <si>
    <t>186-2025</t>
  </si>
  <si>
    <t>277-2025</t>
  </si>
  <si>
    <t>ANNY MAYERLINE NARVAEZ ÑAÑEZ</t>
  </si>
  <si>
    <t>250-2025</t>
  </si>
  <si>
    <t>JEISSON STEVEN BASANTE ERAZO</t>
  </si>
  <si>
    <t>189-2025</t>
  </si>
  <si>
    <t>188-2025</t>
  </si>
  <si>
    <t>177-2025</t>
  </si>
  <si>
    <t>201-2025</t>
  </si>
  <si>
    <t>187-2025</t>
  </si>
  <si>
    <t>DIANA MARIA ERASO ALAVA</t>
  </si>
  <si>
    <t>209-2025</t>
  </si>
  <si>
    <t>276-2025</t>
  </si>
  <si>
    <t>ANYELY ROCIO LOPEZ ROSERO</t>
  </si>
  <si>
    <t>226-2025</t>
  </si>
  <si>
    <t>214-2025</t>
  </si>
  <si>
    <t>HECTOR GERMAN OJEDA CERON</t>
  </si>
  <si>
    <t>178-2025</t>
  </si>
  <si>
    <t>240-2025</t>
  </si>
  <si>
    <t>233-2025</t>
  </si>
  <si>
    <t>238-2025</t>
  </si>
  <si>
    <t>JAQUELINE  MELO MOSQUERA</t>
  </si>
  <si>
    <t>270-2025</t>
  </si>
  <si>
    <t>223-2025</t>
  </si>
  <si>
    <t>BRIGIT ESNIT GARCIA MANCHABAJOY</t>
  </si>
  <si>
    <t>179-2025</t>
  </si>
  <si>
    <t>NICOLAS ALEJANDRO ROSERO MORILLO</t>
  </si>
  <si>
    <t>263-2025</t>
  </si>
  <si>
    <t>ANDREA  NATHALY ALAVA BOLAÑOS</t>
  </si>
  <si>
    <t>193-2025</t>
  </si>
  <si>
    <t>CAROL SILVANA PATIÑO VALENCIA</t>
  </si>
  <si>
    <t>271-2025</t>
  </si>
  <si>
    <t>CONSTANZA HAIDY UNIGARRO PAZ</t>
  </si>
  <si>
    <t>261-2025</t>
  </si>
  <si>
    <t>TANIA MARCELA DIAZ DIAZ</t>
  </si>
  <si>
    <t>302-2025</t>
  </si>
  <si>
    <t>266-2025</t>
  </si>
  <si>
    <t>228-2025</t>
  </si>
  <si>
    <t>EDWIN  PANTOJA OTERO</t>
  </si>
  <si>
    <t>221-2025</t>
  </si>
  <si>
    <t>NATHALY STEPHANIE MARTINEZ MARTINEZ</t>
  </si>
  <si>
    <t>267-2025</t>
  </si>
  <si>
    <t>NUVI GRACIELA CHAMORRO CORAL</t>
  </si>
  <si>
    <t>278-2025</t>
  </si>
  <si>
    <t>262-2025</t>
  </si>
  <si>
    <t>ADRIANA PATRICIA DUEÑAS SALAZAR</t>
  </si>
  <si>
    <t>217-2025</t>
  </si>
  <si>
    <t>MILENA ELIZABETH ORDOÐEZ ORTIZ</t>
  </si>
  <si>
    <t>265-2025</t>
  </si>
  <si>
    <t>JUAN PABLO MADROÑERO MUÑOZ</t>
  </si>
  <si>
    <t>282-2025</t>
  </si>
  <si>
    <t>245-2025</t>
  </si>
  <si>
    <t>242-2025</t>
  </si>
  <si>
    <t>202-2025</t>
  </si>
  <si>
    <t>227-2025</t>
  </si>
  <si>
    <t>219-2025</t>
  </si>
  <si>
    <t>PAGUAY GUANCHA MARIA INES</t>
  </si>
  <si>
    <t>199-2025</t>
  </si>
  <si>
    <t>200-2025</t>
  </si>
  <si>
    <t>279-2025</t>
  </si>
  <si>
    <t>CARLOS ANDRES PANTOJA BENAVIDES</t>
  </si>
  <si>
    <t>281-2025</t>
  </si>
  <si>
    <t>251-2025</t>
  </si>
  <si>
    <t>FRAN GIOVANNY GETIAL CHICAIZA</t>
  </si>
  <si>
    <t>274-2025</t>
  </si>
  <si>
    <t>PAOLA ANDREA MENESES ERAZO</t>
  </si>
  <si>
    <t>268-2025</t>
  </si>
  <si>
    <t>310-2025</t>
  </si>
  <si>
    <t>239-2025</t>
  </si>
  <si>
    <t>YEISON SMIT NUÑEZ ACOSTA</t>
  </si>
  <si>
    <t>184-2025</t>
  </si>
  <si>
    <t>224-2025</t>
  </si>
  <si>
    <t>TATIANA  ANDREA CRIOLLO GENOY</t>
  </si>
  <si>
    <t>252-2025</t>
  </si>
  <si>
    <t>LIGIA DEL CARMEN ERAZO GUERRERO</t>
  </si>
  <si>
    <t>225-2025</t>
  </si>
  <si>
    <t>YOLLDY LIZETH CABRERA FUERTES</t>
  </si>
  <si>
    <t>196-2025</t>
  </si>
  <si>
    <t xml:space="preserve">LINA MARIA PIZANO PEREZ </t>
  </si>
  <si>
    <t>MARILYN  ZAMBRANO OBANDO</t>
  </si>
  <si>
    <t>241-2025</t>
  </si>
  <si>
    <t>701-2024</t>
  </si>
  <si>
    <t>ID2139724657</t>
  </si>
  <si>
    <t>959-2024</t>
  </si>
  <si>
    <t>KAREN JULIANA ERAZO JURADO</t>
  </si>
  <si>
    <t>837-2024</t>
  </si>
  <si>
    <t>198-2025</t>
  </si>
  <si>
    <t>222-2025</t>
  </si>
  <si>
    <t>JANETH EMILSE DIAZ  ARCINIEGAS</t>
  </si>
  <si>
    <t>292-2025</t>
  </si>
  <si>
    <t>183-2025</t>
  </si>
  <si>
    <t>259-2025</t>
  </si>
  <si>
    <t>260-2025</t>
  </si>
  <si>
    <t>311-2025</t>
  </si>
  <si>
    <t>304-2025</t>
  </si>
  <si>
    <t>HAROLD CAMILO QUINTERO  GUEVARA</t>
  </si>
  <si>
    <t>309-2025</t>
  </si>
  <si>
    <t>JULIANA ANDREA PAZ JOJOA</t>
  </si>
  <si>
    <t>303-2025</t>
  </si>
  <si>
    <t>314-2025</t>
  </si>
  <si>
    <t>LADY CAROLINA TIBAQUIRA BALLESTEROS</t>
  </si>
  <si>
    <t>364-2025</t>
  </si>
  <si>
    <t>NELSY MARITZA JOJOA JOJOA</t>
  </si>
  <si>
    <t>346-2025</t>
  </si>
  <si>
    <t>PAOLA ANDREA RIOS TAPIA</t>
  </si>
  <si>
    <t>360-2025</t>
  </si>
  <si>
    <t>NATHALIA ELIZABETH TULCAN GAMBOA</t>
  </si>
  <si>
    <t>307-2025</t>
  </si>
  <si>
    <t>DIANA SOFIA PANTOJA RUANO</t>
  </si>
  <si>
    <t>363-2025</t>
  </si>
  <si>
    <t>359-2025</t>
  </si>
  <si>
    <t>358-2025</t>
  </si>
  <si>
    <t xml:space="preserve">PATRICIA MARIBEL MARTINEZ </t>
  </si>
  <si>
    <t>350-2025</t>
  </si>
  <si>
    <t>MARIA CAMILA PATIÑO DELGADO</t>
  </si>
  <si>
    <t>704-2024</t>
  </si>
  <si>
    <t>657-2024</t>
  </si>
  <si>
    <t>667-2024</t>
  </si>
  <si>
    <t>690-2024</t>
  </si>
  <si>
    <t>655-2024</t>
  </si>
  <si>
    <t>760-2024</t>
  </si>
  <si>
    <t>663-2024</t>
  </si>
  <si>
    <t>750-2024</t>
  </si>
  <si>
    <t>719-2024</t>
  </si>
  <si>
    <t>703-2024</t>
  </si>
  <si>
    <t>799-2024</t>
  </si>
  <si>
    <t>738-2024</t>
  </si>
  <si>
    <t>672-2024</t>
  </si>
  <si>
    <t>731-2024</t>
  </si>
  <si>
    <t>898-2024</t>
  </si>
  <si>
    <t>851-2024</t>
  </si>
  <si>
    <t>NIKOLE CAROLAY IBAÑEZ ALVAREZ</t>
  </si>
  <si>
    <t>945-2024</t>
  </si>
  <si>
    <t>TECNICA ELECTRO MEDICA S.A.</t>
  </si>
  <si>
    <t>741-2024</t>
  </si>
  <si>
    <t>819-2024</t>
  </si>
  <si>
    <t>KAREN NATALIA ACOSTA MUÑOZ</t>
  </si>
  <si>
    <t>822-2024</t>
  </si>
  <si>
    <t>LENY PATRICIA DELGADO BASTIDAS</t>
  </si>
  <si>
    <t>817-2024</t>
  </si>
  <si>
    <t>639-2024</t>
  </si>
  <si>
    <t>722-2024</t>
  </si>
  <si>
    <t>642-2024</t>
  </si>
  <si>
    <t>659-2024</t>
  </si>
  <si>
    <t>739-2024</t>
  </si>
  <si>
    <t>730-2024</t>
  </si>
  <si>
    <t>895-2024</t>
  </si>
  <si>
    <t>689-2024</t>
  </si>
  <si>
    <t>681-2024</t>
  </si>
  <si>
    <t>712-2024</t>
  </si>
  <si>
    <t>789-2024</t>
  </si>
  <si>
    <t>MUÑOZ CORDOBA PATRICIA</t>
  </si>
  <si>
    <t>888-2024</t>
  </si>
  <si>
    <t>889-2024</t>
  </si>
  <si>
    <t>890-2024</t>
  </si>
  <si>
    <t>652-2024</t>
  </si>
  <si>
    <t>759-2024</t>
  </si>
  <si>
    <t>777-2024</t>
  </si>
  <si>
    <t>796-2024</t>
  </si>
  <si>
    <t>629-2024</t>
  </si>
  <si>
    <t>698-2024</t>
  </si>
  <si>
    <t>891-2024</t>
  </si>
  <si>
    <t>647-2024</t>
  </si>
  <si>
    <t>646-2024</t>
  </si>
  <si>
    <t>775-2024</t>
  </si>
  <si>
    <t>638-2024</t>
  </si>
  <si>
    <t>947-2024</t>
  </si>
  <si>
    <t>ULTRA SCHALL DE COLOMBIA SAS</t>
  </si>
  <si>
    <t>961-2024</t>
  </si>
  <si>
    <t>ORTHOWELL SAS</t>
  </si>
  <si>
    <t>964-2024</t>
  </si>
  <si>
    <t>ALLERS SAS</t>
  </si>
  <si>
    <t>967-2024</t>
  </si>
  <si>
    <t>CLINIMEDICAL GROUP SAS</t>
  </si>
  <si>
    <t>792-2024</t>
  </si>
  <si>
    <t>JULIETH CAROLINA DIAZ FIGUEROA</t>
  </si>
  <si>
    <t>765-2024</t>
  </si>
  <si>
    <t>729-2024</t>
  </si>
  <si>
    <t>648-2024</t>
  </si>
  <si>
    <t>801-2024</t>
  </si>
  <si>
    <t>687-2024</t>
  </si>
  <si>
    <t>633-2024</t>
  </si>
  <si>
    <t>754-2024</t>
  </si>
  <si>
    <t>755-2024</t>
  </si>
  <si>
    <t>978-2024</t>
  </si>
  <si>
    <t>SOLUCIONES INTEGRALES DE INGENIERIA LR S.A.S</t>
  </si>
  <si>
    <t>820-2024</t>
  </si>
  <si>
    <t>EMILY  ROMERO MENDOZA</t>
  </si>
  <si>
    <t>713-2024</t>
  </si>
  <si>
    <t>640-2024</t>
  </si>
  <si>
    <t>836-2024</t>
  </si>
  <si>
    <t>795-2024</t>
  </si>
  <si>
    <t>776-2024</t>
  </si>
  <si>
    <t>637-2024</t>
  </si>
  <si>
    <t>840-2024</t>
  </si>
  <si>
    <t>697-2024</t>
  </si>
  <si>
    <t>PAOLA VIVIANA HIDALGO MARCILLO</t>
  </si>
  <si>
    <t>733-2024</t>
  </si>
  <si>
    <t>798-2024</t>
  </si>
  <si>
    <t>AYDA ISABEL MATABANCHOY BENAVIDES</t>
  </si>
  <si>
    <t>700-2024</t>
  </si>
  <si>
    <t>753-2024</t>
  </si>
  <si>
    <t>645-2024</t>
  </si>
  <si>
    <t>809-2024</t>
  </si>
  <si>
    <t>847-2024</t>
  </si>
  <si>
    <t>846-2024</t>
  </si>
  <si>
    <t>852-2024</t>
  </si>
  <si>
    <t>896-2024</t>
  </si>
  <si>
    <t>726-2024</t>
  </si>
  <si>
    <t>901-2024</t>
  </si>
  <si>
    <t>LADY VIVIANA CASTRO GUAUÑA</t>
  </si>
  <si>
    <t>913-2024</t>
  </si>
  <si>
    <t>812-2024</t>
  </si>
  <si>
    <t>842-2024</t>
  </si>
  <si>
    <t>651-2024</t>
  </si>
  <si>
    <t>811-2024</t>
  </si>
  <si>
    <t>653-2024</t>
  </si>
  <si>
    <t>963-2024</t>
  </si>
  <si>
    <t>ANGIE ALEXANDRA MORILLO PANTOJA</t>
  </si>
  <si>
    <t>857-2024</t>
  </si>
  <si>
    <t>802-2024</t>
  </si>
  <si>
    <t>778-2024</t>
  </si>
  <si>
    <t>LAUREN AZENITH CORAL SAMUDIO</t>
  </si>
  <si>
    <t>641-2024</t>
  </si>
  <si>
    <t>805-2024</t>
  </si>
  <si>
    <t>675-2024</t>
  </si>
  <si>
    <t>658-2024</t>
  </si>
  <si>
    <t>748-2024</t>
  </si>
  <si>
    <t>715-2024</t>
  </si>
  <si>
    <t>912-2024</t>
  </si>
  <si>
    <t>824-2024</t>
  </si>
  <si>
    <t>644-2024</t>
  </si>
  <si>
    <t>747-2024</t>
  </si>
  <si>
    <t>856-2024</t>
  </si>
  <si>
    <t>784-2024</t>
  </si>
  <si>
    <t>ADRIANA YADIRA MENESES CARVAJAL</t>
  </si>
  <si>
    <t>917-2024</t>
  </si>
  <si>
    <t>654-2024</t>
  </si>
  <si>
    <t>910-2024</t>
  </si>
  <si>
    <t>788-2024</t>
  </si>
  <si>
    <t>918-2024</t>
  </si>
  <si>
    <t>GABRIEL SEBASTIAN MORINELLY ROJAS</t>
  </si>
  <si>
    <t>835-2024</t>
  </si>
  <si>
    <t>911-2024</t>
  </si>
  <si>
    <t>914-2024</t>
  </si>
  <si>
    <t>770-2024</t>
  </si>
  <si>
    <t>949-2024</t>
  </si>
  <si>
    <t>CARINA DEL CARMEN PASICHANA YAQUENO</t>
  </si>
  <si>
    <t>951-2024</t>
  </si>
  <si>
    <t>JESSICA CAROLINA BENAVIDES GENOY</t>
  </si>
  <si>
    <t>744-2024</t>
  </si>
  <si>
    <t>915-2024</t>
  </si>
  <si>
    <t>DANIELA ALEXANDRA DIAZ GUERRERO</t>
  </si>
  <si>
    <t>679-2024</t>
  </si>
  <si>
    <t>923-2024</t>
  </si>
  <si>
    <t>806-2024</t>
  </si>
  <si>
    <t>828-2024</t>
  </si>
  <si>
    <t>688-2024</t>
  </si>
  <si>
    <t>957-2024</t>
  </si>
  <si>
    <t>708-2024</t>
  </si>
  <si>
    <t>661-2024</t>
  </si>
  <si>
    <t>880-2024</t>
  </si>
  <si>
    <t>CAMILO JAVIER OÑATE BUCHELI</t>
  </si>
  <si>
    <t>878-2024</t>
  </si>
  <si>
    <t>ANYELI KATHERINE CORAL MORA</t>
  </si>
  <si>
    <t>872-2024</t>
  </si>
  <si>
    <t>IVAN ALEXANDER BEJARANO RAMIREZ</t>
  </si>
  <si>
    <t>674-2024</t>
  </si>
  <si>
    <t>685-2024</t>
  </si>
  <si>
    <t>673-2024</t>
  </si>
  <si>
    <t>816-2024</t>
  </si>
  <si>
    <t>LADY MABEL CABRERA CORAL</t>
  </si>
  <si>
    <t>710-2024</t>
  </si>
  <si>
    <t>868-2024</t>
  </si>
  <si>
    <t>839-2024</t>
  </si>
  <si>
    <t>LIZETH YOVANA SUAREZ PORTILLA</t>
  </si>
  <si>
    <t>669-2024</t>
  </si>
  <si>
    <t>782-2024</t>
  </si>
  <si>
    <t>671-2024</t>
  </si>
  <si>
    <t>813-2024</t>
  </si>
  <si>
    <t>740-2024</t>
  </si>
  <si>
    <t>706-2024</t>
  </si>
  <si>
    <t>968-2024</t>
  </si>
  <si>
    <t>MARIA  VICTORIA TABLA  MARTINEZ</t>
  </si>
  <si>
    <t>906-2024</t>
  </si>
  <si>
    <t>714-2024</t>
  </si>
  <si>
    <t>956-2024</t>
  </si>
  <si>
    <t>LUZ ADRIANA CERON BASANTE</t>
  </si>
  <si>
    <t>783-2024</t>
  </si>
  <si>
    <t>725-2024</t>
  </si>
  <si>
    <t>665-2024</t>
  </si>
  <si>
    <t>699-2024</t>
  </si>
  <si>
    <t>728-2024</t>
  </si>
  <si>
    <t>761-2024</t>
  </si>
  <si>
    <t>803-2024</t>
  </si>
  <si>
    <t>869-2024</t>
  </si>
  <si>
    <t>LINA MARIA PIZANO PEREZ</t>
  </si>
  <si>
    <t>808-2024</t>
  </si>
  <si>
    <t>LAURA CAROLINA DELGADO BASTIDAS</t>
  </si>
  <si>
    <t>954-2024</t>
  </si>
  <si>
    <t>800-2024</t>
  </si>
  <si>
    <t>909-2024</t>
  </si>
  <si>
    <t>CLAUDIA EDILMA PAZ GUERRA</t>
  </si>
  <si>
    <t>834-2024</t>
  </si>
  <si>
    <t>717-2024</t>
  </si>
  <si>
    <t>873-2024</t>
  </si>
  <si>
    <t>694-2024</t>
  </si>
  <si>
    <t>931-2024</t>
  </si>
  <si>
    <t>MARIA  CAMILA JURADO PAZ</t>
  </si>
  <si>
    <t>939-2024</t>
  </si>
  <si>
    <t>ZANDRA YADIRA GOMEZ ZAMBRANO</t>
  </si>
  <si>
    <t>662-2024</t>
  </si>
  <si>
    <t>711-2024</t>
  </si>
  <si>
    <t>894-2024</t>
  </si>
  <si>
    <t>BASTIDAS MORA MYRIAM JANNETH</t>
  </si>
  <si>
    <t>757-2024</t>
  </si>
  <si>
    <t>844-2024</t>
  </si>
  <si>
    <t>787-2024</t>
  </si>
  <si>
    <t>933-2024</t>
  </si>
  <si>
    <t>JHON JAIRO GOMAJOA ACHICANOY</t>
  </si>
  <si>
    <t>702-2024</t>
  </si>
  <si>
    <t>727-2024</t>
  </si>
  <si>
    <t>771-2024</t>
  </si>
  <si>
    <t>720-2024</t>
  </si>
  <si>
    <t>785-2024</t>
  </si>
  <si>
    <t>876-2024</t>
  </si>
  <si>
    <t>786-2024</t>
  </si>
  <si>
    <t>818-2024</t>
  </si>
  <si>
    <t>745-2024</t>
  </si>
  <si>
    <t>723-2024</t>
  </si>
  <si>
    <t>962-2024</t>
  </si>
  <si>
    <t>LEODAN DANIEL NARVAEZ NARVAEZ</t>
  </si>
  <si>
    <t>680-2024</t>
  </si>
  <si>
    <t>682-2024</t>
  </si>
  <si>
    <t>908-2024</t>
  </si>
  <si>
    <t>833-2024</t>
  </si>
  <si>
    <t>932-2024</t>
  </si>
  <si>
    <t>ALEXA DAYANA CERON BRAVO</t>
  </si>
  <si>
    <t>736-2024</t>
  </si>
  <si>
    <t>743-2024</t>
  </si>
  <si>
    <t>686-2024</t>
  </si>
  <si>
    <t>737-2024</t>
  </si>
  <si>
    <t>821-2024</t>
  </si>
  <si>
    <t>884-2024</t>
  </si>
  <si>
    <t>825-2024</t>
  </si>
  <si>
    <t>VIVEROS BRAVO NORA</t>
  </si>
  <si>
    <t>779-2024</t>
  </si>
  <si>
    <t>885-2024</t>
  </si>
  <si>
    <t>718-2024</t>
  </si>
  <si>
    <t>832-2024</t>
  </si>
  <si>
    <t>YULI XIMENA TAPIA ORDOÑEZ</t>
  </si>
  <si>
    <t>656-2024</t>
  </si>
  <si>
    <t>865-2024</t>
  </si>
  <si>
    <t>LUISA FERNANDA MELO HIGIDIO</t>
  </si>
  <si>
    <t>864-2024</t>
  </si>
  <si>
    <t>854-2024</t>
  </si>
  <si>
    <t>ROSERO MIRANDA LEIDY LIZETH</t>
  </si>
  <si>
    <t>793-2024</t>
  </si>
  <si>
    <t>907-2024</t>
  </si>
  <si>
    <t>794-2024</t>
  </si>
  <si>
    <t>848-2024</t>
  </si>
  <si>
    <t>881-2024</t>
  </si>
  <si>
    <t>LISETH ELIANA BENAVIDES ARCOS</t>
  </si>
  <si>
    <t>814-2024</t>
  </si>
  <si>
    <t>926-2024</t>
  </si>
  <si>
    <t>860-2024</t>
  </si>
  <si>
    <t>MARIA ALEJANDRA BOTINA DELGADO</t>
  </si>
  <si>
    <t>886-2024</t>
  </si>
  <si>
    <t>732-2024</t>
  </si>
  <si>
    <t>838-2024</t>
  </si>
  <si>
    <t>666-2024</t>
  </si>
  <si>
    <t>749-2024</t>
  </si>
  <si>
    <t>709-2024</t>
  </si>
  <si>
    <t>823-2024</t>
  </si>
  <si>
    <t>950-2024</t>
  </si>
  <si>
    <t>ANDREA  LEONIZA IPIALES SOLARTE</t>
  </si>
  <si>
    <t>724-2024</t>
  </si>
  <si>
    <t>670-2024</t>
  </si>
  <si>
    <t>756-2024</t>
  </si>
  <si>
    <t>746-2024</t>
  </si>
  <si>
    <t>678-2024</t>
  </si>
  <si>
    <t>ANGELA LORENA LOPEZ  VALLEJO</t>
  </si>
  <si>
    <t>924-2024</t>
  </si>
  <si>
    <t>KARINA ELIZABETH MADROÐERO DELGADO</t>
  </si>
  <si>
    <t>841-2024</t>
  </si>
  <si>
    <t>684-2024</t>
  </si>
  <si>
    <t>810-2024</t>
  </si>
  <si>
    <t>827-2024</t>
  </si>
  <si>
    <t>649-2024</t>
  </si>
  <si>
    <t>797-2024</t>
  </si>
  <si>
    <t>691-2024</t>
  </si>
  <si>
    <t>960-2024</t>
  </si>
  <si>
    <t xml:space="preserve">MANOSALVA UNIGARRO PAULA ANDREA   </t>
  </si>
  <si>
    <t>635-2024</t>
  </si>
  <si>
    <t>751-2024</t>
  </si>
  <si>
    <t>859-2024</t>
  </si>
  <si>
    <t>893-2024</t>
  </si>
  <si>
    <t>762-2024</t>
  </si>
  <si>
    <t>636-2024</t>
  </si>
  <si>
    <t>900-2024</t>
  </si>
  <si>
    <t>871-2024</t>
  </si>
  <si>
    <t>KAROL IVONNE BURBANO ROSERO</t>
  </si>
  <si>
    <t>866-2024</t>
  </si>
  <si>
    <t>VIVIAN ROXANA JURADO BANDA</t>
  </si>
  <si>
    <t>764-2024</t>
  </si>
  <si>
    <t>928-2024</t>
  </si>
  <si>
    <t>YULI NATHALIA CALI RODRIGUEZ</t>
  </si>
  <si>
    <t>849-2024</t>
  </si>
  <si>
    <t>ANA MARCELA LOPEZ RUALES</t>
  </si>
  <si>
    <t>742-2024</t>
  </si>
  <si>
    <t>650-2024</t>
  </si>
  <si>
    <t>862-2024</t>
  </si>
  <si>
    <t>JESSICA STEFANNY FRANCO ERASO</t>
  </si>
  <si>
    <t>752-2024</t>
  </si>
  <si>
    <t>LIDA CRISTINA GUERRERO MIRAMAG</t>
  </si>
  <si>
    <t>677-2024</t>
  </si>
  <si>
    <t>858-2024</t>
  </si>
  <si>
    <t>INGRID RAQUEL MONCAYO  NARVAEZ</t>
  </si>
  <si>
    <t>930-2024</t>
  </si>
  <si>
    <t>867-2024</t>
  </si>
  <si>
    <t>BRIGITH VANESSA QUENGUAN CALDERON</t>
  </si>
  <si>
    <t>791-2024</t>
  </si>
  <si>
    <t>781-2024</t>
  </si>
  <si>
    <t>929-2024</t>
  </si>
  <si>
    <t>925-2024</t>
  </si>
  <si>
    <t>ALEJANDRA LUCIA BENAVIDES ZAMORA</t>
  </si>
  <si>
    <t>942-2024</t>
  </si>
  <si>
    <t>DANIEL  SALAZAR LOPEZ</t>
  </si>
  <si>
    <t>883-2024</t>
  </si>
  <si>
    <t>855-2024</t>
  </si>
  <si>
    <t>707-2024</t>
  </si>
  <si>
    <t>897-2024</t>
  </si>
  <si>
    <t>LAURA CATALINA MUÑOZ LUNA</t>
  </si>
  <si>
    <t>829-2024</t>
  </si>
  <si>
    <t>887-2024</t>
  </si>
  <si>
    <t>JOHNNY ALCIBIADES SOTOMAYOR PRECIADO</t>
  </si>
  <si>
    <t>695-2024</t>
  </si>
  <si>
    <t>1005-2024</t>
  </si>
  <si>
    <t>BUITRAGO ALZATE JERSON ALBEIRO</t>
  </si>
  <si>
    <t>815-2024</t>
  </si>
  <si>
    <t>882-2024</t>
  </si>
  <si>
    <t>DANIELA  DELGADO CHAMORRO</t>
  </si>
  <si>
    <t>927-2024</t>
  </si>
  <si>
    <t>ISABELA CATALINA CALDERON MERA</t>
  </si>
  <si>
    <t>902-2024</t>
  </si>
  <si>
    <t>CARLOS  ALBERTO ZAMBRANO VARGAS</t>
  </si>
  <si>
    <t>634-2024</t>
  </si>
  <si>
    <t>916-2024</t>
  </si>
  <si>
    <t>JULIANA ALEJANDRA BASTIDAS JOJOA</t>
  </si>
  <si>
    <t>853-2024</t>
  </si>
  <si>
    <t>850-2024</t>
  </si>
  <si>
    <t>643-2024</t>
  </si>
  <si>
    <t>693-2024</t>
  </si>
  <si>
    <t>879-2024</t>
  </si>
  <si>
    <t>NELSON FREDY ARCINIEGAS ORTIZ</t>
  </si>
  <si>
    <t>1030-2024</t>
  </si>
  <si>
    <t>MONICA  LOZANO BARBOSA</t>
  </si>
  <si>
    <t>843-2024</t>
  </si>
  <si>
    <t>877-2024</t>
  </si>
  <si>
    <t>990-2024</t>
  </si>
  <si>
    <t>JAVIER DARIO PANTOJA ROSERO</t>
  </si>
  <si>
    <t>790-2024</t>
  </si>
  <si>
    <t>780-2024</t>
  </si>
  <si>
    <t>HENRY HERNAN BARCO RAMOS</t>
  </si>
  <si>
    <t>875-2024</t>
  </si>
  <si>
    <t>WENDY ALEXANDRA PASTAS JIMENEZ</t>
  </si>
  <si>
    <t>958-2024</t>
  </si>
  <si>
    <t>JONATHAN DAVID NARVAEZ MUYUY</t>
  </si>
  <si>
    <t>1007-2024</t>
  </si>
  <si>
    <t>OMAR ALEXANDER ORTIZ PAZMIÑO</t>
  </si>
  <si>
    <t>845-2024</t>
  </si>
  <si>
    <t>ELIANA YORLENY BENAVIDES GUERRERO</t>
  </si>
  <si>
    <t>1001-2024</t>
  </si>
  <si>
    <t>MARIA CLAUDIA ZAMBRANO BOLAÑOS</t>
  </si>
  <si>
    <t>1021-2024</t>
  </si>
  <si>
    <t>AURA CECILIA POSADA BARRIOS</t>
  </si>
  <si>
    <t>831-2024</t>
  </si>
  <si>
    <t>1006-2024</t>
  </si>
  <si>
    <t>DIANA MARCELA MELO ERASO</t>
  </si>
  <si>
    <t>970-2024</t>
  </si>
  <si>
    <t>ALISSON STEF ROSERO RODRIGUEZ</t>
  </si>
  <si>
    <t>995-2024</t>
  </si>
  <si>
    <t>LAURA VIVIANA  LASSO GONZALEZ</t>
  </si>
  <si>
    <t>992-2024</t>
  </si>
  <si>
    <t>DIANA CAROLINA ESCOBAR ANDRADE</t>
  </si>
  <si>
    <t>1010-2024</t>
  </si>
  <si>
    <t>MARIANA ELIZABETH ROMO PANTOJA</t>
  </si>
  <si>
    <t>1004-2024</t>
  </si>
  <si>
    <t>CATALINA  MARTINEZ RAMOS</t>
  </si>
  <si>
    <t>996-2024</t>
  </si>
  <si>
    <t>GRECIA INES ANGEL DIOSA</t>
  </si>
  <si>
    <t>758-2024</t>
  </si>
  <si>
    <t>966-2024</t>
  </si>
  <si>
    <t>MONICA PATRICIA JOJOA BOTINA</t>
  </si>
  <si>
    <t>980-2024</t>
  </si>
  <si>
    <t>NAYIBI ROCIO MONCADA JATIVA</t>
  </si>
  <si>
    <t>988-2024</t>
  </si>
  <si>
    <t>DIANA LIZETH RAMOS  MENESES</t>
  </si>
  <si>
    <t>946-2024</t>
  </si>
  <si>
    <t>993-2024</t>
  </si>
  <si>
    <t>PAOLA XIMENA ERIRA TORRES</t>
  </si>
  <si>
    <t>1026-2024</t>
  </si>
  <si>
    <t>MONICA ALEXANDRA ORTIZ CABRERA</t>
  </si>
  <si>
    <t>984-2024</t>
  </si>
  <si>
    <t>LEIDY JOHANA MERA CONDE</t>
  </si>
  <si>
    <t>1015-2024</t>
  </si>
  <si>
    <t xml:space="preserve">JOHANA KATERINE GONZALEZ </t>
  </si>
  <si>
    <t>1045-2024</t>
  </si>
  <si>
    <t>INGRID ELIZABETH CASTILLO MONCAYO</t>
  </si>
  <si>
    <t>MARIBEL DEL CARMEN MAIGUAL MUÑOZ</t>
  </si>
  <si>
    <t>705-2024</t>
  </si>
  <si>
    <t>1031-2024</t>
  </si>
  <si>
    <t>NELCY VICTORIA GUSTIN FAJARDO</t>
  </si>
  <si>
    <t>830-2024</t>
  </si>
  <si>
    <t>986-2024</t>
  </si>
  <si>
    <t>987-2024</t>
  </si>
  <si>
    <t>1048-2024</t>
  </si>
  <si>
    <t xml:space="preserve">DIANA FERNANDA ORDOÑEZ </t>
  </si>
  <si>
    <t>804-2024</t>
  </si>
  <si>
    <t>1043-2024</t>
  </si>
  <si>
    <t>JIMENEZ CRIOLLO BICKE MARIBEL</t>
  </si>
  <si>
    <t>969-2024</t>
  </si>
  <si>
    <t xml:space="preserve">CALVACHE MARTINEZ CLAUDIA LUCY   </t>
  </si>
  <si>
    <t>1029-2024</t>
  </si>
  <si>
    <t>SONIA PATRICIA ERAZO RIVERA</t>
  </si>
  <si>
    <t>1000-2024</t>
  </si>
  <si>
    <t>TIMANA MAIGUAL MARCELA JAZMIN</t>
  </si>
  <si>
    <t>807-2024</t>
  </si>
  <si>
    <t>LUISA CAROLINA SANTACRUZ SANTACRUZ</t>
  </si>
  <si>
    <t>997-2024</t>
  </si>
  <si>
    <t>DEISY YOLANDA ADARMES MUÑOZ</t>
  </si>
  <si>
    <t>955-2024</t>
  </si>
  <si>
    <t>1053-2024</t>
  </si>
  <si>
    <t>CLARA INES APRAEZ GOMEZ</t>
  </si>
  <si>
    <t>668-2024</t>
  </si>
  <si>
    <t>899-2024</t>
  </si>
  <si>
    <t>1035-2024</t>
  </si>
  <si>
    <t>EDUARDO  MAURICIO NARVAEZ GUERRA</t>
  </si>
  <si>
    <t>1051-2024</t>
  </si>
  <si>
    <t>MARIA CAMILA ENRIQUEZ GUERRERO</t>
  </si>
  <si>
    <t>999-2024</t>
  </si>
  <si>
    <t xml:space="preserve">YADIRA ALEXANDRA CALVACHE </t>
  </si>
  <si>
    <t>989-2024</t>
  </si>
  <si>
    <t>1044-2024</t>
  </si>
  <si>
    <t>ANGELA JENNIFER VALLEJO PALACIOS</t>
  </si>
  <si>
    <t>1024-2024</t>
  </si>
  <si>
    <t>RICAURTE ENRIQUEZ FABIO HERNAN</t>
  </si>
  <si>
    <t>1034-2024</t>
  </si>
  <si>
    <t>TANIA ALEJANDRA BENAVIDES MARTINEZ</t>
  </si>
  <si>
    <t>1011-2024</t>
  </si>
  <si>
    <t>1012-2024</t>
  </si>
  <si>
    <t>1025-2024</t>
  </si>
  <si>
    <t>YURI LORENA MUÑOZ CANCIMANZE</t>
  </si>
  <si>
    <t>1013-2024</t>
  </si>
  <si>
    <t>991-2024</t>
  </si>
  <si>
    <t>JOSE DAVID GOMEZ BENAVIDES</t>
  </si>
  <si>
    <t>696-2024</t>
  </si>
  <si>
    <t>985-2024</t>
  </si>
  <si>
    <t>KAREN  CRISTINA MOSQUERA HERNANDEZ</t>
  </si>
  <si>
    <t>1032-2024</t>
  </si>
  <si>
    <t>975-2024</t>
  </si>
  <si>
    <t>1033-2024</t>
  </si>
  <si>
    <t>OSORIO GUERRERO ORFELINA DEL CARMEN</t>
  </si>
  <si>
    <t>1020-2024</t>
  </si>
  <si>
    <t>KATHERINE CAMILA URIBE BURBANO</t>
  </si>
  <si>
    <t>1002-2024</t>
  </si>
  <si>
    <t>ELSSY ISLANDI SOLARTE ORDOÑEZ</t>
  </si>
  <si>
    <t>1003-2024</t>
  </si>
  <si>
    <t>1037-2024</t>
  </si>
  <si>
    <t>YURI MABEL GUARANGUAY GUERRERO</t>
  </si>
  <si>
    <t>1052-2024</t>
  </si>
  <si>
    <t>YONATAN  MENA GRIJALBA</t>
  </si>
  <si>
    <t>935-2024</t>
  </si>
  <si>
    <t>JUDDY GABRIELA PIANDA PISCAL</t>
  </si>
  <si>
    <t>1055-2024</t>
  </si>
  <si>
    <t>974-2024</t>
  </si>
  <si>
    <t>MONICA NATALY PALACIOS  BASTIDAS</t>
  </si>
  <si>
    <t>1047-2024</t>
  </si>
  <si>
    <t>1054-2024</t>
  </si>
  <si>
    <t>JINNETH PAOLA LOPEZ AGUIRRE</t>
  </si>
  <si>
    <t>1084-2024</t>
  </si>
  <si>
    <t>MONICA PAOLA CHAMORRO CAICEDO</t>
  </si>
  <si>
    <t>1049-2024</t>
  </si>
  <si>
    <t>NICOLE ALEXANDRA CHACON GUERRERO</t>
  </si>
  <si>
    <t>921-2024</t>
  </si>
  <si>
    <t>ANGIE MARCELA PRECIADO QUIÑONES</t>
  </si>
  <si>
    <t>1008-2024</t>
  </si>
  <si>
    <t>DIANA CAROLINA CORAL LOPEZ</t>
  </si>
  <si>
    <t>981-2024</t>
  </si>
  <si>
    <t>1080-2024</t>
  </si>
  <si>
    <t>ANGIE MARISOL ESPAÑA BURGOS</t>
  </si>
  <si>
    <t>1050-2024</t>
  </si>
  <si>
    <t>BERTA ALICIA RUIZ</t>
  </si>
  <si>
    <t>1068-2024</t>
  </si>
  <si>
    <t>ZONIA ESMERALDA VILLOTA ARMERO</t>
  </si>
  <si>
    <t>1039-2024</t>
  </si>
  <si>
    <t>1058-2024</t>
  </si>
  <si>
    <t xml:space="preserve">MERCEDES OLIVIA POVEDA </t>
  </si>
  <si>
    <t>1018-2024</t>
  </si>
  <si>
    <t>PAOLA JHERALDYNE CASTILLO YELA</t>
  </si>
  <si>
    <t>1071-2024</t>
  </si>
  <si>
    <t>ADRIANA MARIA HIDALGO ENRIQUEZ</t>
  </si>
  <si>
    <t>1056-2024</t>
  </si>
  <si>
    <t>LUZ  ANGELICA CHILES CABRERA</t>
  </si>
  <si>
    <t>1042-2024</t>
  </si>
  <si>
    <t xml:space="preserve">ORTIZ BOTINA MARIANA DE JESUS   </t>
  </si>
  <si>
    <t>1017-2024</t>
  </si>
  <si>
    <t>1027-2024</t>
  </si>
  <si>
    <t>ROSERO BOLAÑOS JOHN JAIRO</t>
  </si>
  <si>
    <t>1022-2024</t>
  </si>
  <si>
    <t>375-2025</t>
  </si>
  <si>
    <t>ID2197624614</t>
  </si>
  <si>
    <t>466-2025</t>
  </si>
  <si>
    <t>450-2025</t>
  </si>
  <si>
    <t>442-2025</t>
  </si>
  <si>
    <t>ANA GLAIR ESTRADA CASTILLO</t>
  </si>
  <si>
    <t>471-2025</t>
  </si>
  <si>
    <t>443-2025</t>
  </si>
  <si>
    <t>494-2025</t>
  </si>
  <si>
    <t>NEIRA JIMENA CASTILLO ARMERO</t>
  </si>
  <si>
    <t>452-2025</t>
  </si>
  <si>
    <t>474-2025</t>
  </si>
  <si>
    <t>501-2025</t>
  </si>
  <si>
    <t>464-2025</t>
  </si>
  <si>
    <t>459-2025</t>
  </si>
  <si>
    <t>454-2025</t>
  </si>
  <si>
    <t>507-2025</t>
  </si>
  <si>
    <t>ANYI NATALY FARINANGO CHAVEZ</t>
  </si>
  <si>
    <t>467-2025</t>
  </si>
  <si>
    <t>461-2025</t>
  </si>
  <si>
    <t>510-2025</t>
  </si>
  <si>
    <t>PAULA ANDREA PRADO ACOSTA</t>
  </si>
  <si>
    <t>473-2025</t>
  </si>
  <si>
    <t>468-2025</t>
  </si>
  <si>
    <t>490-2025</t>
  </si>
  <si>
    <t>453-2025</t>
  </si>
  <si>
    <t>491-2025</t>
  </si>
  <si>
    <t>543-2025</t>
  </si>
  <si>
    <t>458-2025</t>
  </si>
  <si>
    <t>539-2025</t>
  </si>
  <si>
    <t>493-2025</t>
  </si>
  <si>
    <t>524-2025</t>
  </si>
  <si>
    <t>477-2025</t>
  </si>
  <si>
    <t>499-2025</t>
  </si>
  <si>
    <t>455-2025</t>
  </si>
  <si>
    <t>518-2025</t>
  </si>
  <si>
    <t>476-2025</t>
  </si>
  <si>
    <t>537-2025</t>
  </si>
  <si>
    <t>JESSICA GRACE HERNANDEZ RIASCOS</t>
  </si>
  <si>
    <t>517-2025</t>
  </si>
  <si>
    <t>513-2025</t>
  </si>
  <si>
    <t>516-2025</t>
  </si>
  <si>
    <t>495-2025</t>
  </si>
  <si>
    <t>536-2025</t>
  </si>
  <si>
    <t>521-2025</t>
  </si>
  <si>
    <t>509-2025</t>
  </si>
  <si>
    <t>472-2025</t>
  </si>
  <si>
    <t>489-2025</t>
  </si>
  <si>
    <t>465-2025</t>
  </si>
  <si>
    <t>JAVIER FERNANDO CHILANGUAD CABRERA</t>
  </si>
  <si>
    <t>478-2025</t>
  </si>
  <si>
    <t>527-2025</t>
  </si>
  <si>
    <t>480-2025</t>
  </si>
  <si>
    <t>482-2025</t>
  </si>
  <si>
    <t>483-2025</t>
  </si>
  <si>
    <t>573-2025</t>
  </si>
  <si>
    <t>568-2025</t>
  </si>
  <si>
    <t>572-2025</t>
  </si>
  <si>
    <t>552-2025</t>
  </si>
  <si>
    <t>504-2025</t>
  </si>
  <si>
    <t>592-2025</t>
  </si>
  <si>
    <t>606-2025</t>
  </si>
  <si>
    <t>565-2025</t>
  </si>
  <si>
    <t>498-2025</t>
  </si>
  <si>
    <t>575-2025</t>
  </si>
  <si>
    <t>ANA ALEJANDRA SALAZAR  RAMIREZ</t>
  </si>
  <si>
    <t>607-2025</t>
  </si>
  <si>
    <t>JERSON LEODAN LEITON TORO</t>
  </si>
  <si>
    <t>462-2025</t>
  </si>
  <si>
    <t>500-2025</t>
  </si>
  <si>
    <t>MIRYAM  ELIZABETH POPAYAN PASCUAZA</t>
  </si>
  <si>
    <t>514-2025</t>
  </si>
  <si>
    <t>502-2025</t>
  </si>
  <si>
    <t>541-2025</t>
  </si>
  <si>
    <t>463-2025</t>
  </si>
  <si>
    <t>550-2025</t>
  </si>
  <si>
    <t>545-2025</t>
  </si>
  <si>
    <t>533-2025</t>
  </si>
  <si>
    <t>MARGARITA ANDREA BENAVIDES NASPIRAN</t>
  </si>
  <si>
    <t>540-2025</t>
  </si>
  <si>
    <t>576-2025</t>
  </si>
  <si>
    <t>608-2025</t>
  </si>
  <si>
    <t>CARLOS EDUARDO BASTIDAS OBANDO</t>
  </si>
  <si>
    <t>605-2025</t>
  </si>
  <si>
    <t>DOLLY DIGNA DAVILA</t>
  </si>
  <si>
    <t>615-2025</t>
  </si>
  <si>
    <t>JULIET ELIANA MORENO LOPEZ</t>
  </si>
  <si>
    <t>594-2025</t>
  </si>
  <si>
    <t>557-2025</t>
  </si>
  <si>
    <t>DIANA MARCELA RODRIGUEZ MORA</t>
  </si>
  <si>
    <t>515-2025</t>
  </si>
  <si>
    <t>635-2025</t>
  </si>
  <si>
    <t>667-2025</t>
  </si>
  <si>
    <t>497-2025</t>
  </si>
  <si>
    <t>503-2025</t>
  </si>
  <si>
    <t>457-2025</t>
  </si>
  <si>
    <t>520-2025</t>
  </si>
  <si>
    <t>547-2025</t>
  </si>
  <si>
    <t>496-2025</t>
  </si>
  <si>
    <t>CALVACHE MARTINEZ CLAUDIA LUCY</t>
  </si>
  <si>
    <t>554-2025</t>
  </si>
  <si>
    <t>535-2025</t>
  </si>
  <si>
    <t>OLIVA ORTIZ LILIANA ANDREA</t>
  </si>
  <si>
    <t>553-2025</t>
  </si>
  <si>
    <t>548-2025</t>
  </si>
  <si>
    <t>544-2025</t>
  </si>
  <si>
    <t>479-2025</t>
  </si>
  <si>
    <t>481-2025</t>
  </si>
  <si>
    <t>564-2025</t>
  </si>
  <si>
    <t>LUCIA  PATRICIA URBANO VALLEJO</t>
  </si>
  <si>
    <t>484-2025</t>
  </si>
  <si>
    <t>637-2025</t>
  </si>
  <si>
    <t>556-2025</t>
  </si>
  <si>
    <t>633-2025</t>
  </si>
  <si>
    <t>654-2025</t>
  </si>
  <si>
    <t>525-2025</t>
  </si>
  <si>
    <t>655-2025</t>
  </si>
  <si>
    <t>549-2025</t>
  </si>
  <si>
    <t>MARIA EUGENIA ESTRADA ZAMBRANO</t>
  </si>
  <si>
    <t>590-2025</t>
  </si>
  <si>
    <t>MIRIAN SUVANY DAVID NARVAEZ</t>
  </si>
  <si>
    <t>660-2025</t>
  </si>
  <si>
    <t>601-2025</t>
  </si>
  <si>
    <t>522-2025</t>
  </si>
  <si>
    <t>487-2025</t>
  </si>
  <si>
    <t>GUIDO DUVAN RECALDE AREVALO</t>
  </si>
  <si>
    <t>530-2025</t>
  </si>
  <si>
    <t>TRANSPORTES ESPECIALES ACAR LTDA</t>
  </si>
  <si>
    <t>614-2025</t>
  </si>
  <si>
    <t>ADRIANA YESENIA BOTINA GUACAS</t>
  </si>
  <si>
    <t>643-2025</t>
  </si>
  <si>
    <t>NORA  VIVEROS BRAVO</t>
  </si>
  <si>
    <t>569-2025</t>
  </si>
  <si>
    <t>488-2025</t>
  </si>
  <si>
    <t>532-2025</t>
  </si>
  <si>
    <t>642-2025</t>
  </si>
  <si>
    <t>609-2025</t>
  </si>
  <si>
    <t>ANGY ELISABETH ROSERO LOPEZ</t>
  </si>
  <si>
    <t>631-2025</t>
  </si>
  <si>
    <t>475-2025</t>
  </si>
  <si>
    <t>LEYDI DEL ROSARIO CUACEZ NOGUERA</t>
  </si>
  <si>
    <t>580-2025</t>
  </si>
  <si>
    <t>PAULA ANDREA MANOSALVA UNIGARRO</t>
  </si>
  <si>
    <t>470-2025</t>
  </si>
  <si>
    <t>663-2025</t>
  </si>
  <si>
    <t>574-2025</t>
  </si>
  <si>
    <t>LUZ AMPARO ROMAN GUANCHA</t>
  </si>
  <si>
    <t>492-2025</t>
  </si>
  <si>
    <t>688-2025</t>
  </si>
  <si>
    <t>DIANA SOFIA PANTOJA RISUEÑO</t>
  </si>
  <si>
    <t>659-2025</t>
  </si>
  <si>
    <t>689-2025</t>
  </si>
  <si>
    <t>682-2025</t>
  </si>
  <si>
    <t>624-2025</t>
  </si>
  <si>
    <t>579-2025</t>
  </si>
  <si>
    <t>658-2025</t>
  </si>
  <si>
    <t>678-2025</t>
  </si>
  <si>
    <t>685-2025</t>
  </si>
  <si>
    <t>674-2025</t>
  </si>
  <si>
    <t>683-2025</t>
  </si>
  <si>
    <t>511-2025</t>
  </si>
  <si>
    <t>546-2025</t>
  </si>
  <si>
    <t>LICETH YAMIL TIMANA CAEZ</t>
  </si>
  <si>
    <t>679-2025</t>
  </si>
  <si>
    <t>604-2025</t>
  </si>
  <si>
    <t>661-2025</t>
  </si>
  <si>
    <t>662-2025</t>
  </si>
  <si>
    <t>588-2025</t>
  </si>
  <si>
    <t>ANGIE DANIELA JURADO NAVARRO</t>
  </si>
  <si>
    <t>636-2025</t>
  </si>
  <si>
    <t>534-2025</t>
  </si>
  <si>
    <t>RITA GUADALUPE CAICEDO NOGUERA</t>
  </si>
  <si>
    <t>542-2025</t>
  </si>
  <si>
    <t>LILIAN  SOLARTE GONZALEZ</t>
  </si>
  <si>
    <t>680-2025</t>
  </si>
  <si>
    <t>611-2025</t>
  </si>
  <si>
    <t>JHONATTAN ALEXANDER CASTELLANOS ANDRADE</t>
  </si>
  <si>
    <t>449-2025</t>
  </si>
  <si>
    <t>RUBY STELLA AREVALO BASTIDAS</t>
  </si>
  <si>
    <t>456-2025</t>
  </si>
  <si>
    <t>566-2025</t>
  </si>
  <si>
    <t>567-2025</t>
  </si>
  <si>
    <t>691-2025</t>
  </si>
  <si>
    <t>ALEXANDRA GONZALEZ HORTA</t>
  </si>
  <si>
    <t>555-2025</t>
  </si>
  <si>
    <t>486-2025</t>
  </si>
  <si>
    <t>2025-07-04</t>
  </si>
  <si>
    <t>2025-07-16</t>
  </si>
  <si>
    <t>2025-07-11</t>
  </si>
  <si>
    <t>2025-07-17</t>
  </si>
  <si>
    <t>2025-07-21</t>
  </si>
  <si>
    <t>2025-07-24</t>
  </si>
  <si>
    <t>2025-07-29</t>
  </si>
  <si>
    <t>2025-07-30</t>
  </si>
  <si>
    <t>2025-08-04</t>
  </si>
  <si>
    <t>2025-08-06</t>
  </si>
  <si>
    <t>2025-08-08</t>
  </si>
  <si>
    <t>2025-08-11</t>
  </si>
  <si>
    <t>2025-08-15</t>
  </si>
  <si>
    <t>2025-08-12</t>
  </si>
  <si>
    <t>2025-08-14</t>
  </si>
  <si>
    <t>2025-08-19</t>
  </si>
  <si>
    <t>2025-08-25</t>
  </si>
  <si>
    <t>2025-08-26</t>
  </si>
  <si>
    <t>2025-08-27</t>
  </si>
  <si>
    <t>2025-09-09</t>
  </si>
  <si>
    <t>2025-09-18</t>
  </si>
  <si>
    <t>2025-09-23</t>
  </si>
  <si>
    <t>2025-09-02</t>
  </si>
  <si>
    <t>2025-09-04</t>
  </si>
  <si>
    <t>2025-09-08</t>
  </si>
  <si>
    <t>2025-09-10</t>
  </si>
  <si>
    <t>2025-09-11</t>
  </si>
  <si>
    <t>2025-09-15</t>
  </si>
  <si>
    <t>1900-07-15</t>
  </si>
  <si>
    <t>2025-09-16</t>
  </si>
  <si>
    <t>2025-09-22</t>
  </si>
  <si>
    <t>2025-09-25</t>
  </si>
  <si>
    <t>2025-09-30</t>
  </si>
  <si>
    <t>2025-10-01</t>
  </si>
  <si>
    <t>2025-10-03</t>
  </si>
  <si>
    <t>2025-10-14</t>
  </si>
  <si>
    <t>2025-10-15</t>
  </si>
  <si>
    <t>2025-10-06</t>
  </si>
  <si>
    <t>2025-10-07</t>
  </si>
  <si>
    <t>2025-10-08</t>
  </si>
  <si>
    <t>2025-10-16</t>
  </si>
  <si>
    <t>2025-10-17</t>
  </si>
  <si>
    <t>2025-10-20</t>
  </si>
  <si>
    <t>2025-10-21</t>
  </si>
  <si>
    <t>2025-10-22</t>
  </si>
  <si>
    <t>2025-10-24</t>
  </si>
  <si>
    <t>2025-10-27</t>
  </si>
  <si>
    <t>2025-10-30</t>
  </si>
  <si>
    <t>2025001106</t>
  </si>
  <si>
    <t>2025001336</t>
  </si>
  <si>
    <t>2025001236</t>
  </si>
  <si>
    <t>2025001338</t>
  </si>
  <si>
    <t>2025001373</t>
  </si>
  <si>
    <t>2025001444</t>
  </si>
  <si>
    <t>2025001456</t>
  </si>
  <si>
    <t>2025001461</t>
  </si>
  <si>
    <t>2025001468</t>
  </si>
  <si>
    <t>2025001471</t>
  </si>
  <si>
    <t>2025001496</t>
  </si>
  <si>
    <t>2025001497</t>
  </si>
  <si>
    <t>2025001498</t>
  </si>
  <si>
    <t>2025001504</t>
  </si>
  <si>
    <t>2025001505</t>
  </si>
  <si>
    <t>2025001524</t>
  </si>
  <si>
    <t>2025001526</t>
  </si>
  <si>
    <t>2025001527</t>
  </si>
  <si>
    <t>2025001528</t>
  </si>
  <si>
    <t>2025001529</t>
  </si>
  <si>
    <t>2025001537</t>
  </si>
  <si>
    <t>2025001538</t>
  </si>
  <si>
    <t>2025001539</t>
  </si>
  <si>
    <t>2025001541</t>
  </si>
  <si>
    <t>2025001542</t>
  </si>
  <si>
    <t>2025001548</t>
  </si>
  <si>
    <t>2025001549</t>
  </si>
  <si>
    <t>2025001550</t>
  </si>
  <si>
    <t>2025001551</t>
  </si>
  <si>
    <t>2025001627</t>
  </si>
  <si>
    <t>2025001536</t>
  </si>
  <si>
    <t>2025001540</t>
  </si>
  <si>
    <t>2025001554</t>
  </si>
  <si>
    <t>2025001555</t>
  </si>
  <si>
    <t>2025001556</t>
  </si>
  <si>
    <t>2025001557</t>
  </si>
  <si>
    <t>2025001558</t>
  </si>
  <si>
    <t>2025001559</t>
  </si>
  <si>
    <t>2025001560</t>
  </si>
  <si>
    <t>2025001561</t>
  </si>
  <si>
    <t>2025001562</t>
  </si>
  <si>
    <t>2025001563</t>
  </si>
  <si>
    <t>2025001564</t>
  </si>
  <si>
    <t>2025001565</t>
  </si>
  <si>
    <t>2025001567</t>
  </si>
  <si>
    <t>2025001569</t>
  </si>
  <si>
    <t>2025001570</t>
  </si>
  <si>
    <t>2025001572</t>
  </si>
  <si>
    <t>2025001574</t>
  </si>
  <si>
    <t>2025001597</t>
  </si>
  <si>
    <t>2025001600</t>
  </si>
  <si>
    <t>2025001601</t>
  </si>
  <si>
    <t>2025001602</t>
  </si>
  <si>
    <t>2025001603</t>
  </si>
  <si>
    <t>2025001604</t>
  </si>
  <si>
    <t>2025001605</t>
  </si>
  <si>
    <t>2025001607</t>
  </si>
  <si>
    <t>2025001608</t>
  </si>
  <si>
    <t>2025001619</t>
  </si>
  <si>
    <t>2025001620</t>
  </si>
  <si>
    <t>2025001623</t>
  </si>
  <si>
    <t>2025001626</t>
  </si>
  <si>
    <t>2025001634</t>
  </si>
  <si>
    <t>2025001662</t>
  </si>
  <si>
    <t>2025001720</t>
  </si>
  <si>
    <t>2025001721</t>
  </si>
  <si>
    <t>2025001725</t>
  </si>
  <si>
    <t>2025001726</t>
  </si>
  <si>
    <t>2025001728</t>
  </si>
  <si>
    <t>2025001729</t>
  </si>
  <si>
    <t>2025001730</t>
  </si>
  <si>
    <t>2025001731</t>
  </si>
  <si>
    <t>2025001733</t>
  </si>
  <si>
    <t>2025001734</t>
  </si>
  <si>
    <t>2025001735</t>
  </si>
  <si>
    <t>2025001737</t>
  </si>
  <si>
    <t>2025001738</t>
  </si>
  <si>
    <t>2025001739</t>
  </si>
  <si>
    <t>2025001740</t>
  </si>
  <si>
    <t>2025001741</t>
  </si>
  <si>
    <t>2025001742</t>
  </si>
  <si>
    <t>2025001747</t>
  </si>
  <si>
    <t>2025001854</t>
  </si>
  <si>
    <t>2025001974</t>
  </si>
  <si>
    <t>2025002011</t>
  </si>
  <si>
    <t>2025001763</t>
  </si>
  <si>
    <t>2025001765</t>
  </si>
  <si>
    <t>2025001766</t>
  </si>
  <si>
    <t>2025001797</t>
  </si>
  <si>
    <t>2025001803</t>
  </si>
  <si>
    <t>2025001805</t>
  </si>
  <si>
    <t>2025001811</t>
  </si>
  <si>
    <t>2025001812</t>
  </si>
  <si>
    <t>2025001813</t>
  </si>
  <si>
    <t>2025001814</t>
  </si>
  <si>
    <t>2025001828</t>
  </si>
  <si>
    <t>2025001829</t>
  </si>
  <si>
    <t>2025001830</t>
  </si>
  <si>
    <t>2025001843</t>
  </si>
  <si>
    <t>2025001844</t>
  </si>
  <si>
    <t>2025001845</t>
  </si>
  <si>
    <t>2025001846</t>
  </si>
  <si>
    <t>2025001847</t>
  </si>
  <si>
    <t>2025001855</t>
  </si>
  <si>
    <t>2025001856</t>
  </si>
  <si>
    <t>2025001857</t>
  </si>
  <si>
    <t>2025001858</t>
  </si>
  <si>
    <t>2025001859</t>
  </si>
  <si>
    <t>2025001860</t>
  </si>
  <si>
    <t>2025001862</t>
  </si>
  <si>
    <t>2025001864</t>
  </si>
  <si>
    <t>2025001867</t>
  </si>
  <si>
    <t>2025001870</t>
  </si>
  <si>
    <t>2025001872</t>
  </si>
  <si>
    <t>2025001873</t>
  </si>
  <si>
    <t>2025001874</t>
  </si>
  <si>
    <t>2025001875</t>
  </si>
  <si>
    <t>2025001876</t>
  </si>
  <si>
    <t>2025001886</t>
  </si>
  <si>
    <t>2025001890</t>
  </si>
  <si>
    <t>2025001892</t>
  </si>
  <si>
    <t>2025001893</t>
  </si>
  <si>
    <t>2025001894</t>
  </si>
  <si>
    <t>2025001895</t>
  </si>
  <si>
    <t>2025001896</t>
  </si>
  <si>
    <t>2025001897</t>
  </si>
  <si>
    <t>2025001898</t>
  </si>
  <si>
    <t>2025001899</t>
  </si>
  <si>
    <t>2025001900</t>
  </si>
  <si>
    <t>2025001901</t>
  </si>
  <si>
    <t>2025001902</t>
  </si>
  <si>
    <t>2025001903</t>
  </si>
  <si>
    <t>2025001904</t>
  </si>
  <si>
    <t>2025001905</t>
  </si>
  <si>
    <t>2025001906</t>
  </si>
  <si>
    <t>2025001907</t>
  </si>
  <si>
    <t>2025001916</t>
  </si>
  <si>
    <t>2025001917</t>
  </si>
  <si>
    <t>2025001918</t>
  </si>
  <si>
    <t>2025001919</t>
  </si>
  <si>
    <t>2025001920</t>
  </si>
  <si>
    <t>2025001921</t>
  </si>
  <si>
    <t>2025001922</t>
  </si>
  <si>
    <t>2025001923</t>
  </si>
  <si>
    <t>2025001937</t>
  </si>
  <si>
    <t>2025001939</t>
  </si>
  <si>
    <t>2025001940</t>
  </si>
  <si>
    <t>2025001941</t>
  </si>
  <si>
    <t>2025001942</t>
  </si>
  <si>
    <t>2025001943</t>
  </si>
  <si>
    <t>2025001944</t>
  </si>
  <si>
    <t>2025001945</t>
  </si>
  <si>
    <t>2025001951</t>
  </si>
  <si>
    <t>2025001969</t>
  </si>
  <si>
    <t>2025001971</t>
  </si>
  <si>
    <t>2025001973</t>
  </si>
  <si>
    <t>2025001975</t>
  </si>
  <si>
    <t>2025001976</t>
  </si>
  <si>
    <t>2025001977</t>
  </si>
  <si>
    <t>2025001978</t>
  </si>
  <si>
    <t>2025001979</t>
  </si>
  <si>
    <t>2025001980</t>
  </si>
  <si>
    <t>2025001981</t>
  </si>
  <si>
    <t>2025001982</t>
  </si>
  <si>
    <t>2025001983</t>
  </si>
  <si>
    <t>2025001984</t>
  </si>
  <si>
    <t>2025001985</t>
  </si>
  <si>
    <t>2025001986</t>
  </si>
  <si>
    <t>2025001987</t>
  </si>
  <si>
    <t>2025001988</t>
  </si>
  <si>
    <t>2025001989</t>
  </si>
  <si>
    <t>2025001990</t>
  </si>
  <si>
    <t>2025001991</t>
  </si>
  <si>
    <t>2025001992</t>
  </si>
  <si>
    <t>2025001993</t>
  </si>
  <si>
    <t>2025001994</t>
  </si>
  <si>
    <t>2025001995</t>
  </si>
  <si>
    <t>2025001996</t>
  </si>
  <si>
    <t>2025001997</t>
  </si>
  <si>
    <t>2025002008</t>
  </si>
  <si>
    <t>2025002009</t>
  </si>
  <si>
    <t>2025002010</t>
  </si>
  <si>
    <t>2025002012</t>
  </si>
  <si>
    <t>2025002013</t>
  </si>
  <si>
    <t>2025002014</t>
  </si>
  <si>
    <t>2025002015</t>
  </si>
  <si>
    <t>2025002033</t>
  </si>
  <si>
    <t>2025002034</t>
  </si>
  <si>
    <t>2025002035</t>
  </si>
  <si>
    <t>2025002036</t>
  </si>
  <si>
    <t>2025002037</t>
  </si>
  <si>
    <t>2025002094</t>
  </si>
  <si>
    <t>2025002107</t>
  </si>
  <si>
    <t>2025002150</t>
  </si>
  <si>
    <t>2025002234</t>
  </si>
  <si>
    <t>2025002265</t>
  </si>
  <si>
    <t>2025002268</t>
  </si>
  <si>
    <t>2025002109</t>
  </si>
  <si>
    <t>2025002110</t>
  </si>
  <si>
    <t>2025002111</t>
  </si>
  <si>
    <t>2025002112</t>
  </si>
  <si>
    <t>2025002113</t>
  </si>
  <si>
    <t>2025002114</t>
  </si>
  <si>
    <t>2025002115</t>
  </si>
  <si>
    <t>2025002116</t>
  </si>
  <si>
    <t>2025002118</t>
  </si>
  <si>
    <t>2025002122</t>
  </si>
  <si>
    <t>2025002144</t>
  </si>
  <si>
    <t>2025002147</t>
  </si>
  <si>
    <t>2025002148</t>
  </si>
  <si>
    <t>2025002149</t>
  </si>
  <si>
    <t>2025002151</t>
  </si>
  <si>
    <t>2025002169</t>
  </si>
  <si>
    <t>2025002177</t>
  </si>
  <si>
    <t>2025002178</t>
  </si>
  <si>
    <t>2025002179</t>
  </si>
  <si>
    <t>2025002180</t>
  </si>
  <si>
    <t>2025002181</t>
  </si>
  <si>
    <t>2025002182</t>
  </si>
  <si>
    <t>2025002183</t>
  </si>
  <si>
    <t>2025002184</t>
  </si>
  <si>
    <t>2025002185</t>
  </si>
  <si>
    <t>2025002186</t>
  </si>
  <si>
    <t>2025002201</t>
  </si>
  <si>
    <t>2025002202</t>
  </si>
  <si>
    <t>2025002203</t>
  </si>
  <si>
    <t>2025002204</t>
  </si>
  <si>
    <t>2025002205</t>
  </si>
  <si>
    <t>2025002207</t>
  </si>
  <si>
    <t>2025002208</t>
  </si>
  <si>
    <t>2025002210</t>
  </si>
  <si>
    <t>2025002211</t>
  </si>
  <si>
    <t>2025002230</t>
  </si>
  <si>
    <t>2025002231</t>
  </si>
  <si>
    <t>2025002232</t>
  </si>
  <si>
    <t>2025002233</t>
  </si>
  <si>
    <t>2025002235</t>
  </si>
  <si>
    <t>2025002238</t>
  </si>
  <si>
    <t>2025002239</t>
  </si>
  <si>
    <t>2025002240</t>
  </si>
  <si>
    <t>2025002241</t>
  </si>
  <si>
    <t>2025002245</t>
  </si>
  <si>
    <t>2025002246</t>
  </si>
  <si>
    <t>2025002267</t>
  </si>
  <si>
    <t>2025002270</t>
  </si>
  <si>
    <t>2025002272</t>
  </si>
  <si>
    <t>2025002285</t>
  </si>
  <si>
    <t>2025002295</t>
  </si>
  <si>
    <t>2025002325</t>
  </si>
  <si>
    <t>2025002346</t>
  </si>
  <si>
    <t>2025002347</t>
  </si>
  <si>
    <t>2025002387</t>
  </si>
  <si>
    <t>2025002391</t>
  </si>
  <si>
    <t>2025002392</t>
  </si>
  <si>
    <t>2025002398</t>
  </si>
  <si>
    <t>2025002440</t>
  </si>
  <si>
    <t>2025002441</t>
  </si>
  <si>
    <t>2025002469</t>
  </si>
  <si>
    <t>2025002475</t>
  </si>
  <si>
    <t>2025002520</t>
  </si>
  <si>
    <t>2025002525</t>
  </si>
  <si>
    <t>ANA MILENA JACANAMIJOY TREJO</t>
  </si>
  <si>
    <t>1085330309</t>
  </si>
  <si>
    <t>LEYDI GISELLA BENAVIDES LOPEZ</t>
  </si>
  <si>
    <t>1085329980</t>
  </si>
  <si>
    <t>MARIA CAMILA JURADO
PAZ</t>
  </si>
  <si>
    <t>MARIA ISABEL VELASCO ROSERO</t>
  </si>
  <si>
    <t>27146489</t>
  </si>
  <si>
    <t xml:space="preserve"> NEIRA JIMENA CASTILLO ARMERO</t>
  </si>
  <si>
    <t xml:space="preserve"> ISABELA CATALINA CALDERON MERA</t>
  </si>
  <si>
    <t xml:space="preserve"> NICOLAS EMILIO MENA JOJOA</t>
  </si>
  <si>
    <t>900994364</t>
  </si>
  <si>
    <t xml:space="preserve"> FUNDACION CALIDAD DE VIDA Y ESPERANZA - FUNDAESP</t>
  </si>
  <si>
    <t>1085286476</t>
  </si>
  <si>
    <t>69028150</t>
  </si>
  <si>
    <t>80765093</t>
  </si>
  <si>
    <t>FRANCISCO RAFAEL ORTIZ BENITEZ</t>
  </si>
  <si>
    <t>1081594639</t>
  </si>
  <si>
    <t>36752202</t>
  </si>
  <si>
    <t xml:space="preserve"> PAULA ANDREA ROCHA
DELGADO</t>
  </si>
  <si>
    <t>ANA VICTORIA ORTEGA
GOMEZ</t>
  </si>
  <si>
    <t>1086222689</t>
  </si>
  <si>
    <t>1193271854</t>
  </si>
  <si>
    <t>59651018</t>
  </si>
  <si>
    <t xml:space="preserve"> DIANA MARÍA ERASO ALAVA</t>
  </si>
  <si>
    <t>1081592303</t>
  </si>
  <si>
    <t>MARILYN ZAMBRANO OBANDO</t>
  </si>
  <si>
    <t>1085343783</t>
  </si>
  <si>
    <t>MARIA ISABEL ALVAREZ CAICEDO,</t>
  </si>
  <si>
    <t>1233189234</t>
  </si>
  <si>
    <t>59310524</t>
  </si>
  <si>
    <t>CAROL SUVANY HERRERA ERAZO</t>
  </si>
  <si>
    <t>1085293105</t>
  </si>
  <si>
    <t>1085336362</t>
  </si>
  <si>
    <t>SOFIA ESMERALDA MEJIA ORTIZ</t>
  </si>
  <si>
    <t>1006946167</t>
  </si>
  <si>
    <t xml:space="preserve"> LIZETH MARCELA ORTIZ MUÑOZ</t>
  </si>
  <si>
    <t>1085317833</t>
  </si>
  <si>
    <t>JUAN ESTEBAN OBANDO ORDÓÑEZ</t>
  </si>
  <si>
    <t>1137624011</t>
  </si>
  <si>
    <t xml:space="preserve"> KAROL DAYANA TONGUINO TORO</t>
  </si>
  <si>
    <t>36759759</t>
  </si>
  <si>
    <t>1085283868</t>
  </si>
  <si>
    <t xml:space="preserve"> JESSICA GRACE HERNANDEZ RIASCOS</t>
  </si>
  <si>
    <t>98382500</t>
  </si>
  <si>
    <t>59834953</t>
  </si>
  <si>
    <t>PATRICIA YOLANDA PAZ DELGADO</t>
  </si>
  <si>
    <t>1010082397</t>
  </si>
  <si>
    <t>59837608</t>
  </si>
  <si>
    <t>CLARA MARIA ACOSTA</t>
  </si>
  <si>
    <t>1085255829</t>
  </si>
  <si>
    <t>JOHANA KATERINE GONZALEZ</t>
  </si>
  <si>
    <t>1193224810</t>
  </si>
  <si>
    <t>EVELYN FERNANDA ACOSTA CHICAIZA</t>
  </si>
  <si>
    <t>1085340885</t>
  </si>
  <si>
    <t>12974849</t>
  </si>
  <si>
    <t xml:space="preserve"> PABLO ERNESTO RIOBAMBA IPIALES</t>
  </si>
  <si>
    <t>27087475</t>
  </si>
  <si>
    <t>JANETH EMILSE DIAZ ARCINIEGAS</t>
  </si>
  <si>
    <t>1233191675</t>
  </si>
  <si>
    <t>37084285</t>
  </si>
  <si>
    <t>1085271641</t>
  </si>
  <si>
    <t>LISSETH MARISOL CUASTUMAL CASTRO</t>
  </si>
  <si>
    <t>1192717330</t>
  </si>
  <si>
    <t>1085275879</t>
  </si>
  <si>
    <t>1085269090</t>
  </si>
  <si>
    <t>1014212900</t>
  </si>
  <si>
    <t xml:space="preserve"> LADY CAROLINA TIBAQUIRA BALLESTEROS</t>
  </si>
  <si>
    <t>MYRIAM ADRIANA ZAMBRANO ONOFRE</t>
  </si>
  <si>
    <t>JEFFERSON RIGO LEITON RODRIGUEZ,</t>
  </si>
  <si>
    <t>1081272025</t>
  </si>
  <si>
    <t>1085315013</t>
  </si>
  <si>
    <t>ANA ALEJANDRA SALAZAR RAMIREZ</t>
  </si>
  <si>
    <t>1087006717</t>
  </si>
  <si>
    <t>MIRYAM ELIZABETH POPAYAN PASCUAZA</t>
  </si>
  <si>
    <t>1085339190</t>
  </si>
  <si>
    <t>1085286742</t>
  </si>
  <si>
    <t>97470681</t>
  </si>
  <si>
    <t>36757221</t>
  </si>
  <si>
    <t xml:space="preserve"> FANNY MARIELA
CORDOBA MORENO</t>
  </si>
  <si>
    <t>1081572043</t>
  </si>
  <si>
    <t>TATIANA ANDREA CRIOLLO GENOY</t>
  </si>
  <si>
    <t>59820414</t>
  </si>
  <si>
    <t>HAROLD CAMILO QUINTERO GUEVARA,</t>
  </si>
  <si>
    <t>1086329609</t>
  </si>
  <si>
    <t>LORENA DEL CARMEN OJEDA VASQUEZ</t>
  </si>
  <si>
    <t>1085299577</t>
  </si>
  <si>
    <t xml:space="preserve"> DIANA MARCELA RODRIGUEZ MORA</t>
  </si>
  <si>
    <t>1193202097</t>
  </si>
  <si>
    <t xml:space="preserve"> GRUPO JANER SAS</t>
  </si>
  <si>
    <t>1030606749</t>
  </si>
  <si>
    <t>ANGELA EDITH GONZALEZ PIANDA,</t>
  </si>
  <si>
    <t>1085286725</t>
  </si>
  <si>
    <t>27388522</t>
  </si>
  <si>
    <t>MAGDA YAMILE MIDEROS
MUÑOZ</t>
  </si>
  <si>
    <t>37087120</t>
  </si>
  <si>
    <t>59825948</t>
  </si>
  <si>
    <t>CLAUDIA LUCY CALVACHE MARTINEZ</t>
  </si>
  <si>
    <t>59836480</t>
  </si>
  <si>
    <t xml:space="preserve"> LILIANA ANDREA OLIVA ORTI</t>
  </si>
  <si>
    <t>ORFELIA DEL CARMEN OSORIO GUERRERO</t>
  </si>
  <si>
    <t>1085252263</t>
  </si>
  <si>
    <t xml:space="preserve"> DEISY JOHANNA BASTIDAS JOJOA</t>
  </si>
  <si>
    <t>1085300095</t>
  </si>
  <si>
    <t>59310853</t>
  </si>
  <si>
    <t>LUCIA PATRICIA URBANO VALLEJO</t>
  </si>
  <si>
    <t>1085310465</t>
  </si>
  <si>
    <t>YAMILE ALEJANDRA BOTINA RODRIGUEZ,</t>
  </si>
  <si>
    <t>1004235479</t>
  </si>
  <si>
    <t>1004592366</t>
  </si>
  <si>
    <t xml:space="preserve"> IBONNE ALEJANDRA SILVA ARAUJO,</t>
  </si>
  <si>
    <t>1085266584</t>
  </si>
  <si>
    <t>12990231</t>
  </si>
  <si>
    <t xml:space="preserve"> EDUARDO MAURICIO NARVAEZ
GUERRA</t>
  </si>
  <si>
    <t>1085261053</t>
  </si>
  <si>
    <t xml:space="preserve"> ISABEL CRISTINA SANTACRUZ MUÑOZ</t>
  </si>
  <si>
    <t>1004213964</t>
  </si>
  <si>
    <t>JENIFFER ARCOS GIL</t>
  </si>
  <si>
    <t>1082748420</t>
  </si>
  <si>
    <t>NATHALIA ROSERO RODRIGUEZ</t>
  </si>
  <si>
    <t xml:space="preserve"> CARLOS ANDRES PANTOJA BENAVIDES</t>
  </si>
  <si>
    <t>1087006619</t>
  </si>
  <si>
    <t>DUVAN RECALDE AREVALO</t>
  </si>
  <si>
    <t>805021222</t>
  </si>
  <si>
    <t>TRANSPORTES ESPECIALES ACAR SA</t>
  </si>
  <si>
    <t>1085304308</t>
  </si>
  <si>
    <t>27097745</t>
  </si>
  <si>
    <t>NORA VIVEROS BRAVO</t>
  </si>
  <si>
    <t xml:space="preserve"> YULI SUSANA CULCHA CUPACAN</t>
  </si>
  <si>
    <t xml:space="preserve"> DOLORES BERTINA BASANTE</t>
  </si>
  <si>
    <t>1084224968</t>
  </si>
  <si>
    <t xml:space="preserve">VIVIAN ROXANA JURADO BANDA, </t>
  </si>
  <si>
    <t>1084552048</t>
  </si>
  <si>
    <t>ANYI ELISABETH ROSERO LOPEZ</t>
  </si>
  <si>
    <t>1085253062</t>
  </si>
  <si>
    <t>LILIANA
MAYER BOTINA CRIOLLO</t>
  </si>
  <si>
    <t>59314458</t>
  </si>
  <si>
    <t>27088197</t>
  </si>
  <si>
    <t>LAURA CAROLINA DELGADO
BASTIDAS</t>
  </si>
  <si>
    <t>1085344795</t>
  </si>
  <si>
    <t>ANDRES ERNESTO BRAVO ALMEIDA</t>
  </si>
  <si>
    <t>27091114</t>
  </si>
  <si>
    <t>PAOLA ANDREA ESPINOSA BURBANO</t>
  </si>
  <si>
    <t>27087122</t>
  </si>
  <si>
    <t>1082747438</t>
  </si>
  <si>
    <t>59813323</t>
  </si>
  <si>
    <t>EDITH CRISTINA GARCIA JOJOA</t>
  </si>
  <si>
    <t>1085327836</t>
  </si>
  <si>
    <t>ANGELA ESTEFANYA NASPIRAN JOJOA</t>
  </si>
  <si>
    <t>59833899</t>
  </si>
  <si>
    <t>ANDREA LILIANA LAGUNA RUALES</t>
  </si>
  <si>
    <t>1193223736</t>
  </si>
  <si>
    <t>EMILY ROMERO MENDOZA</t>
  </si>
  <si>
    <t>1085325325</t>
  </si>
  <si>
    <t>AYDA ISABEL MATABANCHOY BENAVIDES,</t>
  </si>
  <si>
    <t>EDGAR ALBERTO RAMIREZ LOPEZ</t>
  </si>
  <si>
    <t>36861874</t>
  </si>
  <si>
    <t>59830040</t>
  </si>
  <si>
    <t xml:space="preserve"> ROBERT IVAN ORTEGA INSUASTY</t>
  </si>
  <si>
    <t>59828916</t>
  </si>
  <si>
    <t>ROCIO DEL PILAR RIVERA</t>
  </si>
  <si>
    <t>1085248939</t>
  </si>
  <si>
    <t>CARMEN LILIANA ARMERO RUIZ,</t>
  </si>
  <si>
    <t>1089483067</t>
  </si>
  <si>
    <t xml:space="preserve"> LILIAN SOLARTE GONZALEZ</t>
  </si>
  <si>
    <t>1086328142</t>
  </si>
  <si>
    <t>ZULY MARINA HIDALGO JOJOA,</t>
  </si>
  <si>
    <t>790-2025</t>
  </si>
  <si>
    <t>ID2087325712</t>
  </si>
  <si>
    <t>806-2025</t>
  </si>
  <si>
    <t>LUISA MARIA CERON RIVERA</t>
  </si>
  <si>
    <t>887-2025</t>
  </si>
  <si>
    <t>MARIA ALEJANDRA BOLAÐOS ACOSTA</t>
  </si>
  <si>
    <t>761-2025</t>
  </si>
  <si>
    <t>829-2025</t>
  </si>
  <si>
    <t>904-2025</t>
  </si>
  <si>
    <t>714-2025</t>
  </si>
  <si>
    <t>696-2025</t>
  </si>
  <si>
    <t>862-2025</t>
  </si>
  <si>
    <t>SULEIDY YARITZA GOMEZ GARCIA</t>
  </si>
  <si>
    <t>810-2025</t>
  </si>
  <si>
    <t>872-2025</t>
  </si>
  <si>
    <t>GLORIA JANETH BOTINA BURBANO</t>
  </si>
  <si>
    <t>850-2025</t>
  </si>
  <si>
    <t>832-2025</t>
  </si>
  <si>
    <t>DELGADO BUCHELY GENNY MILENA</t>
  </si>
  <si>
    <t>817-2025</t>
  </si>
  <si>
    <t>MARIA ALEJANDRA REALPE ALVEAR</t>
  </si>
  <si>
    <t>783-2025</t>
  </si>
  <si>
    <t>886-2025</t>
  </si>
  <si>
    <t>DEYBI GIOVANNI ESTRELLA ARMERO</t>
  </si>
  <si>
    <t>798-2025</t>
  </si>
  <si>
    <t>BRIGIT VERONICA ORDOÑEZ BURBANO</t>
  </si>
  <si>
    <t>765-2025</t>
  </si>
  <si>
    <t>876-2025</t>
  </si>
  <si>
    <t>808-2025</t>
  </si>
  <si>
    <t>789-2025</t>
  </si>
  <si>
    <t>812-2025</t>
  </si>
  <si>
    <t>821-2025</t>
  </si>
  <si>
    <t>869-2025</t>
  </si>
  <si>
    <t>895-2025</t>
  </si>
  <si>
    <t>MARITZA ROCIO OLIVA CRUZ</t>
  </si>
  <si>
    <t>865-2025</t>
  </si>
  <si>
    <t>781-2025</t>
  </si>
  <si>
    <t>787-2025</t>
  </si>
  <si>
    <t>795-2025</t>
  </si>
  <si>
    <t>804-2025</t>
  </si>
  <si>
    <t>827-2025</t>
  </si>
  <si>
    <t>773-2025</t>
  </si>
  <si>
    <t>920-2025</t>
  </si>
  <si>
    <t>MARIA FERNANDA BUCHELI TRUJILLO</t>
  </si>
  <si>
    <t>784-2025</t>
  </si>
  <si>
    <t>848-2025</t>
  </si>
  <si>
    <t>849-2025</t>
  </si>
  <si>
    <t>877-2025</t>
  </si>
  <si>
    <t>MARCELA JAZMIN TIMANA MAIGUAL</t>
  </si>
  <si>
    <t>816-2025</t>
  </si>
  <si>
    <t>910-2025</t>
  </si>
  <si>
    <t>774-2025</t>
  </si>
  <si>
    <t>888-2025</t>
  </si>
  <si>
    <t>LAURA ALEJANDRA BELALCAZAR NAVARRO</t>
  </si>
  <si>
    <t>906-2025</t>
  </si>
  <si>
    <t>KAREN TATIANA CIFUENTES CHAMORRO</t>
  </si>
  <si>
    <t>929-2025</t>
  </si>
  <si>
    <t>KARLA ALEJANDRA GAVILANES SANTACRUZ</t>
  </si>
  <si>
    <t>913-2025</t>
  </si>
  <si>
    <t>YOHANA KATERING PANTOJA MELO</t>
  </si>
  <si>
    <t>908-2025</t>
  </si>
  <si>
    <t>VALERIA VALENTINA PEREZ ROSERO</t>
  </si>
  <si>
    <t>916-2025</t>
  </si>
  <si>
    <t>GLORIA PATRICIA RAMOS ESPAÑA</t>
  </si>
  <si>
    <t>912-2025</t>
  </si>
  <si>
    <t>BRILLYD MAYERLI PEREZ LUCANO</t>
  </si>
  <si>
    <t>793-2025</t>
  </si>
  <si>
    <t>759-2025</t>
  </si>
  <si>
    <t>815-2025</t>
  </si>
  <si>
    <t>839-2025</t>
  </si>
  <si>
    <t>818-2025</t>
  </si>
  <si>
    <t>ROSA MARITZA UNIGARRO MONTILLA</t>
  </si>
  <si>
    <t>833-2025</t>
  </si>
  <si>
    <t>794-2025</t>
  </si>
  <si>
    <t>925-2025</t>
  </si>
  <si>
    <t>KEILY VANESSA ENRIQUEZ PINTA</t>
  </si>
  <si>
    <t>831-2025</t>
  </si>
  <si>
    <t>LIDA TATIANA BURBANO MUÑOZ</t>
  </si>
  <si>
    <t>811-2025</t>
  </si>
  <si>
    <t>834-2025</t>
  </si>
  <si>
    <t>SILVIA MATILDE GAVIRIA BENAVIDES</t>
  </si>
  <si>
    <t>826-2025</t>
  </si>
  <si>
    <t>749-2025</t>
  </si>
  <si>
    <t>RAYSSA CONSTANZA FRANCO ERASO</t>
  </si>
  <si>
    <t>775-2025</t>
  </si>
  <si>
    <t>726-2025</t>
  </si>
  <si>
    <t>744-2025</t>
  </si>
  <si>
    <t>DAVID  ALEJANDRO VILLACORTE BARCO</t>
  </si>
  <si>
    <t>859-2025</t>
  </si>
  <si>
    <t>MARIA ALEJANDRA DIAZ BURGOS</t>
  </si>
  <si>
    <t>822-2025</t>
  </si>
  <si>
    <t>853-2025</t>
  </si>
  <si>
    <t>ALBA LIGIA CIFUENTES ROSERO</t>
  </si>
  <si>
    <t>856-2025</t>
  </si>
  <si>
    <t>BOLAÑOS BOTINA JULY ADRIANA</t>
  </si>
  <si>
    <t>711-2025</t>
  </si>
  <si>
    <t>748-2025</t>
  </si>
  <si>
    <t>772-2025</t>
  </si>
  <si>
    <t>ANGIE VALERIA PAZ PAZ</t>
  </si>
  <si>
    <t>770-2025</t>
  </si>
  <si>
    <t>788-2025</t>
  </si>
  <si>
    <t>LEIDY PAOLA CANCHALA LOPEZ</t>
  </si>
  <si>
    <t>737-2025</t>
  </si>
  <si>
    <t>754-2025</t>
  </si>
  <si>
    <t>838-2025</t>
  </si>
  <si>
    <t>DAMARIS ROXANA BENAVIDES CAEZ</t>
  </si>
  <si>
    <t>807-2025</t>
  </si>
  <si>
    <t>723-2025</t>
  </si>
  <si>
    <t>785-2025</t>
  </si>
  <si>
    <t>ERIKA LIZETH CORDOBA ROSERO</t>
  </si>
  <si>
    <t>813-2025</t>
  </si>
  <si>
    <t>ESLENY  ERASO ARTEAGA</t>
  </si>
  <si>
    <t>803-2025</t>
  </si>
  <si>
    <t>DORANI VANESA BURBANO ANDRADE</t>
  </si>
  <si>
    <t>732-2025</t>
  </si>
  <si>
    <t>762-2025</t>
  </si>
  <si>
    <t>730-2025</t>
  </si>
  <si>
    <t>786-2025</t>
  </si>
  <si>
    <t>CARLOS MARIO ALVARADO ORDOÑEZ</t>
  </si>
  <si>
    <t>782-2025</t>
  </si>
  <si>
    <t>DORIS DEL CARMEN GOMEZ OVIEDO</t>
  </si>
  <si>
    <t>755-2025</t>
  </si>
  <si>
    <t>855-2025</t>
  </si>
  <si>
    <t>894-2025</t>
  </si>
  <si>
    <t>840-2025</t>
  </si>
  <si>
    <t>830-2025</t>
  </si>
  <si>
    <t>ANDREA DEL ROSARIO BUESAQUILLO MIRAMAG</t>
  </si>
  <si>
    <t>864-2025</t>
  </si>
  <si>
    <t>JESSICA ALEXANDRA GUERRERO LARREA</t>
  </si>
  <si>
    <t>757-2025</t>
  </si>
  <si>
    <t>DAYANA VANESSA CHAPAL MALLAMA</t>
  </si>
  <si>
    <t>871-2025</t>
  </si>
  <si>
    <t xml:space="preserve">MARTHA CECILIA TELLO </t>
  </si>
  <si>
    <t>742-2025</t>
  </si>
  <si>
    <t>KAROL LIZETH TREJO ZAMBRANO</t>
  </si>
  <si>
    <t>854-2025</t>
  </si>
  <si>
    <t>747-2025</t>
  </si>
  <si>
    <t>GUERRERO GARZON ANGIE PAOLA</t>
  </si>
  <si>
    <t>836-2025</t>
  </si>
  <si>
    <t>NAYIBE JACQUELINE TULCAN GAMBOA</t>
  </si>
  <si>
    <t>846-2025</t>
  </si>
  <si>
    <t>LUCIA DEL SOCORRO TULCAN MUÑOZ</t>
  </si>
  <si>
    <t>896-2025</t>
  </si>
  <si>
    <t>HERIKA VIVIANA VILLOTA VILLOTA</t>
  </si>
  <si>
    <t>828-2025</t>
  </si>
  <si>
    <t>YEZICA ALEJANDRA RIVAS PORTILLA</t>
  </si>
  <si>
    <t>843-2025</t>
  </si>
  <si>
    <t>860-2025</t>
  </si>
  <si>
    <t>ESTEFANIA  CORREA GUERRERO</t>
  </si>
  <si>
    <t>823-2025</t>
  </si>
  <si>
    <t>763-2025</t>
  </si>
  <si>
    <t>767-2025</t>
  </si>
  <si>
    <t>797-2025</t>
  </si>
  <si>
    <t>771-2025</t>
  </si>
  <si>
    <t>706-2025</t>
  </si>
  <si>
    <t>741-2025</t>
  </si>
  <si>
    <t>764-2025</t>
  </si>
  <si>
    <t>802-2025</t>
  </si>
  <si>
    <t>837-2025</t>
  </si>
  <si>
    <t>868-2025</t>
  </si>
  <si>
    <t>778-2025</t>
  </si>
  <si>
    <t>824-2025</t>
  </si>
  <si>
    <t>890-2025</t>
  </si>
  <si>
    <t>905-2025</t>
  </si>
  <si>
    <t>RUTH CAROLINE CORTES ORTIZ</t>
  </si>
  <si>
    <t>792-2025</t>
  </si>
  <si>
    <t>858-2025</t>
  </si>
  <si>
    <t>ANA MARIA INSUASTY FAJARDO</t>
  </si>
  <si>
    <t>875-2025</t>
  </si>
  <si>
    <t>YADDY  ALEJANDRA SOLARTE BASTIDAS</t>
  </si>
  <si>
    <t>805-2025</t>
  </si>
  <si>
    <t>847-2025</t>
  </si>
  <si>
    <t>YURANI NATALI BURBANO DIAZ</t>
  </si>
  <si>
    <t>899-2025</t>
  </si>
  <si>
    <t>ADRIANA MILENA DE LA CRUZ ROJAS</t>
  </si>
  <si>
    <t>819-2025</t>
  </si>
  <si>
    <t>885-2025</t>
  </si>
  <si>
    <t>MARIA ALEJANDRA GOMEZ OJEDA</t>
  </si>
  <si>
    <t>750-2025</t>
  </si>
  <si>
    <t>745-2025</t>
  </si>
  <si>
    <t>768-2025</t>
  </si>
  <si>
    <t>897-2025</t>
  </si>
  <si>
    <t>MARIA MILDRED MORENO MINDA</t>
  </si>
  <si>
    <t>740-2025</t>
  </si>
  <si>
    <t>898-2025</t>
  </si>
  <si>
    <t>ANGIE DANIELA RIASCOS ASCUNTAR</t>
  </si>
  <si>
    <t>743-2025</t>
  </si>
  <si>
    <t>921-2025</t>
  </si>
  <si>
    <t>AYDA MARGOTH QUENORAN QUENORAN</t>
  </si>
  <si>
    <t>777-2025</t>
  </si>
  <si>
    <t>844-2025</t>
  </si>
  <si>
    <t>SILVIA MARGENYS ENRIQUEZ RODRIGUEZ</t>
  </si>
  <si>
    <t>809-2025</t>
  </si>
  <si>
    <t>NATHALY NICOLE CHAPUES PAZ</t>
  </si>
  <si>
    <t>766-2025</t>
  </si>
  <si>
    <t>YULIANA  RODRIGUEZ GUAITARILLA</t>
  </si>
  <si>
    <t>842-2025</t>
  </si>
  <si>
    <t>NAYIBI ALEJANDRA TORRES ROSERO</t>
  </si>
  <si>
    <t>873-2025</t>
  </si>
  <si>
    <t>ELVIA DEL ROSARIO JUAJINOY NARVAEZ</t>
  </si>
  <si>
    <t>883-2025</t>
  </si>
  <si>
    <t>YARY ESTEPHANIA BOLAÑOS LUNA</t>
  </si>
  <si>
    <t>841-2025</t>
  </si>
  <si>
    <t>MARLY EMILY ORDOÑEZ MORCILLO</t>
  </si>
  <si>
    <t>861-2025</t>
  </si>
  <si>
    <t>JESSICA ANDREA NARVAEZ NOGUERA</t>
  </si>
  <si>
    <t>878-2025</t>
  </si>
  <si>
    <t>SANDRA  JULIETH  GOMEZ GOMEZ</t>
  </si>
  <si>
    <t>752-2025</t>
  </si>
  <si>
    <t>780-2025</t>
  </si>
  <si>
    <t>KAREN MARGARITA LOPEZ BRAND</t>
  </si>
  <si>
    <t>857-2025</t>
  </si>
  <si>
    <t>EDISON FAVER MARTINEZ LUNA</t>
  </si>
  <si>
    <t>791-2025</t>
  </si>
  <si>
    <t>JEIMY TATIANA RODRIGUEZ RODRIGUEZ</t>
  </si>
  <si>
    <t>927-2025</t>
  </si>
  <si>
    <t>MARCELA ALEJANDRA ZAMBRANO REVELO</t>
  </si>
  <si>
    <t>901-2025</t>
  </si>
  <si>
    <t>919-2025</t>
  </si>
  <si>
    <t>ANGIE SHIRLEY LOPEZ BOTINA</t>
  </si>
  <si>
    <t>923-2025</t>
  </si>
  <si>
    <t>GABRIELA ESTEFANIA PABON ORTIZ</t>
  </si>
  <si>
    <t>903-2025</t>
  </si>
  <si>
    <t>907-2025</t>
  </si>
  <si>
    <t>751-2025</t>
  </si>
  <si>
    <t>769-2025</t>
  </si>
  <si>
    <t>731-2025</t>
  </si>
  <si>
    <t>760-2025</t>
  </si>
  <si>
    <t>835-2025</t>
  </si>
  <si>
    <t>ALEXANDER GEOVANNI YELA ENRIQUEZ</t>
  </si>
  <si>
    <t>926-2025</t>
  </si>
  <si>
    <t>779-2025</t>
  </si>
  <si>
    <t>DANIELA FERNANDA BASTIDAS VILLOTA</t>
  </si>
  <si>
    <t>820-2025</t>
  </si>
  <si>
    <t>NORALY CECILIA PASUY PANTOJA</t>
  </si>
  <si>
    <t>909-2025</t>
  </si>
  <si>
    <t>851-2025</t>
  </si>
  <si>
    <t>YORLENY VALERIA CABRERA RIVERA</t>
  </si>
  <si>
    <t>924-2025</t>
  </si>
  <si>
    <t>928-2025</t>
  </si>
  <si>
    <t>SIRLEY DANIELA GAMBOA CHAVEZ</t>
  </si>
  <si>
    <t>776-2025</t>
  </si>
  <si>
    <t>917-2025</t>
  </si>
  <si>
    <t>DARY LORENA YASCUAL NARVAEZ</t>
  </si>
  <si>
    <t>900-2025</t>
  </si>
  <si>
    <t>MARIA JOSE ARMERO DIAZ</t>
  </si>
  <si>
    <t>1076-2025</t>
  </si>
  <si>
    <t>756-2025</t>
  </si>
  <si>
    <t>1087414586</t>
  </si>
  <si>
    <t>739-2025</t>
  </si>
  <si>
    <t>59312865</t>
  </si>
  <si>
    <t>1005829176</t>
  </si>
  <si>
    <t>1085343154</t>
  </si>
  <si>
    <t>1004547484</t>
  </si>
  <si>
    <t>1193424771</t>
  </si>
  <si>
    <t>1085347312</t>
  </si>
  <si>
    <t>1084552063</t>
  </si>
  <si>
    <t>37083086</t>
  </si>
  <si>
    <t>1087644986</t>
  </si>
  <si>
    <t>36757491</t>
  </si>
  <si>
    <t>1082749295</t>
  </si>
  <si>
    <t>1085317226</t>
  </si>
  <si>
    <t>1193292339</t>
  </si>
  <si>
    <t>845-2025</t>
  </si>
  <si>
    <t>1085333467</t>
  </si>
  <si>
    <t>CAMILO ALBERTO BURGOS GOYES</t>
  </si>
  <si>
    <t>1082749648</t>
  </si>
  <si>
    <t>1089458048</t>
  </si>
  <si>
    <t>874-2025</t>
  </si>
  <si>
    <t>1022426162</t>
  </si>
  <si>
    <t>1084227101</t>
  </si>
  <si>
    <t>1087960258</t>
  </si>
  <si>
    <t>1021-2025</t>
  </si>
  <si>
    <t>1004217048</t>
  </si>
  <si>
    <t>MELANY CATALINA CADENA YAMA</t>
  </si>
  <si>
    <t>960-2025</t>
  </si>
  <si>
    <t>1087645341</t>
  </si>
  <si>
    <t>1087413951</t>
  </si>
  <si>
    <t>1085296068</t>
  </si>
  <si>
    <t>1085318684</t>
  </si>
  <si>
    <t>1085335033</t>
  </si>
  <si>
    <t>59313711</t>
  </si>
  <si>
    <t>1053793750</t>
  </si>
  <si>
    <t>1085302942</t>
  </si>
  <si>
    <t>1233193882</t>
  </si>
  <si>
    <t>1085264667</t>
  </si>
  <si>
    <t>1233193769</t>
  </si>
  <si>
    <t>1086361969</t>
  </si>
  <si>
    <t>1085275473</t>
  </si>
  <si>
    <t>1085288636</t>
  </si>
  <si>
    <t>1086358836</t>
  </si>
  <si>
    <t>1233193191</t>
  </si>
  <si>
    <t>1085267332</t>
  </si>
  <si>
    <t>1084224761</t>
  </si>
  <si>
    <t>1004236159</t>
  </si>
  <si>
    <t>1085247449</t>
  </si>
  <si>
    <t>1084228089</t>
  </si>
  <si>
    <t>1085334279</t>
  </si>
  <si>
    <t>1081053045</t>
  </si>
  <si>
    <t>1089291166</t>
  </si>
  <si>
    <t>1083814276</t>
  </si>
  <si>
    <t>27090399</t>
  </si>
  <si>
    <t>1233188295</t>
  </si>
  <si>
    <t>1089846684</t>
  </si>
  <si>
    <t>1085274300</t>
  </si>
  <si>
    <t>1110594073</t>
  </si>
  <si>
    <t>1004564013</t>
  </si>
  <si>
    <t>27444591</t>
  </si>
  <si>
    <t>1089458776</t>
  </si>
  <si>
    <t>1086224204</t>
  </si>
  <si>
    <t>1193383306</t>
  </si>
  <si>
    <t>1039-2025</t>
  </si>
  <si>
    <t>1080040525</t>
  </si>
  <si>
    <t>SARA DANIELA ALAVA BURBANO</t>
  </si>
  <si>
    <t>1027-2025</t>
  </si>
  <si>
    <t>1233188221</t>
  </si>
  <si>
    <t>JENIFER ALEJANDRA ORTIZ CHATES</t>
  </si>
  <si>
    <t>1032-2025</t>
  </si>
  <si>
    <t>1085334752</t>
  </si>
  <si>
    <t>MARIA ALEJANDRA MORILLO LASSO</t>
  </si>
  <si>
    <t>1086330124</t>
  </si>
  <si>
    <t>1085284997</t>
  </si>
  <si>
    <t>1085260497</t>
  </si>
  <si>
    <t>1087960287</t>
  </si>
  <si>
    <t>1003-2025</t>
  </si>
  <si>
    <t>1081272656</t>
  </si>
  <si>
    <t>1066-2025</t>
  </si>
  <si>
    <t>27252200</t>
  </si>
  <si>
    <t>MONICA LORENA VILLOTA NARVAEZ</t>
  </si>
  <si>
    <t>1085265947</t>
  </si>
  <si>
    <t>1028-2025</t>
  </si>
  <si>
    <t>1137089036</t>
  </si>
  <si>
    <t>KAROL VALENTINA TULCAN CRIOLLO</t>
  </si>
  <si>
    <t>1049-2025</t>
  </si>
  <si>
    <t>1080693240</t>
  </si>
  <si>
    <t>SHARON CAMILA MINA GUSTIN</t>
  </si>
  <si>
    <t>30743783</t>
  </si>
  <si>
    <t>1063-2025</t>
  </si>
  <si>
    <t>36950892</t>
  </si>
  <si>
    <t>ADRIANA LORENA DIAZ MARTINEZ</t>
  </si>
  <si>
    <t>1085323163</t>
  </si>
  <si>
    <t>36756149</t>
  </si>
  <si>
    <t>1043-2025</t>
  </si>
  <si>
    <t>1004343043</t>
  </si>
  <si>
    <t>NICOL GEOVANNA GOMEZ CUMBAL</t>
  </si>
  <si>
    <t>1004131976</t>
  </si>
  <si>
    <t>1086328063</t>
  </si>
  <si>
    <t>37082272</t>
  </si>
  <si>
    <t>1086137686</t>
  </si>
  <si>
    <t>1012-2025</t>
  </si>
  <si>
    <t>1011-2025</t>
  </si>
  <si>
    <t>59829440</t>
  </si>
  <si>
    <t xml:space="preserve">MARTHA CECILIA ROA </t>
  </si>
  <si>
    <t>1005-2025</t>
  </si>
  <si>
    <t>36933095</t>
  </si>
  <si>
    <t>AURA VIRGINIA RIASCOS MORIANO</t>
  </si>
  <si>
    <t>1004709928</t>
  </si>
  <si>
    <t>1085263018</t>
  </si>
  <si>
    <t>1088734182</t>
  </si>
  <si>
    <t>1081052746</t>
  </si>
  <si>
    <t>36953590</t>
  </si>
  <si>
    <t>59310056</t>
  </si>
  <si>
    <t>27276869</t>
  </si>
  <si>
    <t>991-2025</t>
  </si>
  <si>
    <t>1081592742</t>
  </si>
  <si>
    <t xml:space="preserve">ANA MILENA MUÑOZ </t>
  </si>
  <si>
    <t>37087117</t>
  </si>
  <si>
    <t>1004543161</t>
  </si>
  <si>
    <t>1000-2025</t>
  </si>
  <si>
    <t>993-2025</t>
  </si>
  <si>
    <t>1123327071</t>
  </si>
  <si>
    <t>JULY VANESSA OYOLA LOPEZ</t>
  </si>
  <si>
    <t>1030-2025</t>
  </si>
  <si>
    <t>87060188</t>
  </si>
  <si>
    <t>JHONN ALEJANDRO CORAL GARCIA</t>
  </si>
  <si>
    <t>934-2025</t>
  </si>
  <si>
    <t>1085346528</t>
  </si>
  <si>
    <t>27082649</t>
  </si>
  <si>
    <t>59311295</t>
  </si>
  <si>
    <t>1004508406</t>
  </si>
  <si>
    <t>36758143</t>
  </si>
  <si>
    <t>1020-2025</t>
  </si>
  <si>
    <t>1233190640</t>
  </si>
  <si>
    <t>DEYSI KATHERINE JOJOA JOJOA</t>
  </si>
  <si>
    <t>1085277976</t>
  </si>
  <si>
    <t>992-2025</t>
  </si>
  <si>
    <t>1025-2025</t>
  </si>
  <si>
    <t>1085253462</t>
  </si>
  <si>
    <t>MARTHA ELIZABETH MIRAMAG CADENA</t>
  </si>
  <si>
    <t>1061-2025</t>
  </si>
  <si>
    <t>1086329800</t>
  </si>
  <si>
    <t>DAYRA JANNETH BOLAÑOS INSUASTY</t>
  </si>
  <si>
    <t>852-2025</t>
  </si>
  <si>
    <t>1088730615</t>
  </si>
  <si>
    <t>DANIELA CAROLINA NARVAEZ TORO</t>
  </si>
  <si>
    <t>1058-2025</t>
  </si>
  <si>
    <t>1085278004</t>
  </si>
  <si>
    <t>MARTHA YOLANDA ZAMBRANO OÑATE</t>
  </si>
  <si>
    <t>1053-2025</t>
  </si>
  <si>
    <t>1061794455</t>
  </si>
  <si>
    <t>PAOLA ANDREA MARTINEZ FLOREZ</t>
  </si>
  <si>
    <t>1047-2025</t>
  </si>
  <si>
    <t>98398376</t>
  </si>
  <si>
    <t>JOSE EDUARDO RUIZ PORTILLO</t>
  </si>
  <si>
    <t>1048-2025</t>
  </si>
  <si>
    <t>1137089268</t>
  </si>
  <si>
    <t>ANYELY VANESA BUESAQUILLO MATABANCHOY</t>
  </si>
  <si>
    <t>1065-2025</t>
  </si>
  <si>
    <t>1193405962</t>
  </si>
  <si>
    <t>EVELIN GISETH CONSTAIN LASSO</t>
  </si>
  <si>
    <t>1004134014</t>
  </si>
  <si>
    <t>947-2025</t>
  </si>
  <si>
    <t>1193035720</t>
  </si>
  <si>
    <t>1085315209</t>
  </si>
  <si>
    <t>983-2025</t>
  </si>
  <si>
    <t>1081272318</t>
  </si>
  <si>
    <t>959-2025</t>
  </si>
  <si>
    <t>1085275400</t>
  </si>
  <si>
    <t>SANDRA PATRICIA MALLAMA BOTINA</t>
  </si>
  <si>
    <t>968-2025</t>
  </si>
  <si>
    <t>37084258</t>
  </si>
  <si>
    <t>JANNETH ALEXANDRA BETANCOURT NARVAEZ</t>
  </si>
  <si>
    <t>970-2025</t>
  </si>
  <si>
    <t>1085293619</t>
  </si>
  <si>
    <t>948-2025</t>
  </si>
  <si>
    <t>1085313870</t>
  </si>
  <si>
    <t>1233192708</t>
  </si>
  <si>
    <t>966-2025</t>
  </si>
  <si>
    <t>1085331301</t>
  </si>
  <si>
    <t>ALBA  MONTENEGRO TERAN</t>
  </si>
  <si>
    <t>945-2025</t>
  </si>
  <si>
    <t>1193271485</t>
  </si>
  <si>
    <t>NATHALIA ESTEFANIA PANTOJA JACOME</t>
  </si>
  <si>
    <t>1085295583</t>
  </si>
  <si>
    <t>1193383314</t>
  </si>
  <si>
    <t>1087645723</t>
  </si>
  <si>
    <t>27456421</t>
  </si>
  <si>
    <t>1233189066</t>
  </si>
  <si>
    <t>1004726621</t>
  </si>
  <si>
    <t>1005977438</t>
  </si>
  <si>
    <t>1041-2025</t>
  </si>
  <si>
    <t>1055-2025</t>
  </si>
  <si>
    <t>27285974</t>
  </si>
  <si>
    <t>953-2025</t>
  </si>
  <si>
    <t>27105277</t>
  </si>
  <si>
    <t>MARYBELL LUCIA BENITEZ ROSERO</t>
  </si>
  <si>
    <t>1004-2025</t>
  </si>
  <si>
    <t>1085317085</t>
  </si>
  <si>
    <t>EDILIA ROSARIO ROSERO DELGADO</t>
  </si>
  <si>
    <t>1064-2025</t>
  </si>
  <si>
    <t>1085327677</t>
  </si>
  <si>
    <t>982-2025</t>
  </si>
  <si>
    <t>27222016</t>
  </si>
  <si>
    <t>ALBA JULIA RODRIGUEZ MORA</t>
  </si>
  <si>
    <t>1040-2025</t>
  </si>
  <si>
    <t>87065647</t>
  </si>
  <si>
    <t>1010010954</t>
  </si>
  <si>
    <t>999-2025</t>
  </si>
  <si>
    <t>1081052090</t>
  </si>
  <si>
    <t>977-2025</t>
  </si>
  <si>
    <t>59122805</t>
  </si>
  <si>
    <t>1084551863</t>
  </si>
  <si>
    <t>976-2025</t>
  </si>
  <si>
    <t>1004190984</t>
  </si>
  <si>
    <t>FERNANDA NATALY CRIOLLO OJEDA</t>
  </si>
  <si>
    <t>936-2025</t>
  </si>
  <si>
    <t>1082748032</t>
  </si>
  <si>
    <t>DAYRA ROCIO FLOREZ BETANCOUR</t>
  </si>
  <si>
    <t>1144172704</t>
  </si>
  <si>
    <t>1033-2025</t>
  </si>
  <si>
    <t>1085313195</t>
  </si>
  <si>
    <t>DIANA MILENA BOTINA JOSA</t>
  </si>
  <si>
    <t>59310291</t>
  </si>
  <si>
    <t>952-2025</t>
  </si>
  <si>
    <t>1081053820</t>
  </si>
  <si>
    <t>1026-2025</t>
  </si>
  <si>
    <t>27082650</t>
  </si>
  <si>
    <t>MARILU  CHAVEZ CHAVES</t>
  </si>
  <si>
    <t>1015-2025</t>
  </si>
  <si>
    <t>59314118</t>
  </si>
  <si>
    <t>MARIA ANACELI ROSERO RIAÑO</t>
  </si>
  <si>
    <t>1022-2025</t>
  </si>
  <si>
    <t>1081282855</t>
  </si>
  <si>
    <t>MARIA SOFIA CHAVEZ JOJOA</t>
  </si>
  <si>
    <t>951-2025</t>
  </si>
  <si>
    <t>37085864</t>
  </si>
  <si>
    <t>ANA VIVIANA BENAVIDES MORENO</t>
  </si>
  <si>
    <t>1050-2025</t>
  </si>
  <si>
    <t>1088975658</t>
  </si>
  <si>
    <t>ANYIE CAMILA CASTRO ARCOS</t>
  </si>
  <si>
    <t>1034-2025</t>
  </si>
  <si>
    <t>59313273</t>
  </si>
  <si>
    <t>AURA INES CHACHINOY POTOSI</t>
  </si>
  <si>
    <t>1080690337</t>
  </si>
  <si>
    <t>27549931</t>
  </si>
  <si>
    <t>901329717</t>
  </si>
  <si>
    <t>965-2025</t>
  </si>
  <si>
    <t>1081052779</t>
  </si>
  <si>
    <t>ALISSON YULIANA VELASCO CALDERON</t>
  </si>
  <si>
    <t>946-2025</t>
  </si>
  <si>
    <t>59816986</t>
  </si>
  <si>
    <t>1004437571</t>
  </si>
  <si>
    <t>59824313</t>
  </si>
  <si>
    <t>1038-2025</t>
  </si>
  <si>
    <t>1042-2025</t>
  </si>
  <si>
    <t>87030128</t>
  </si>
  <si>
    <t>1069-2025</t>
  </si>
  <si>
    <t>1007-2025</t>
  </si>
  <si>
    <t>1085334831</t>
  </si>
  <si>
    <t>ANTONY EDGARDO ACHICANOY NUPAN</t>
  </si>
  <si>
    <t>1031-2025</t>
  </si>
  <si>
    <t>87070742</t>
  </si>
  <si>
    <t>DAVID ANDRES BOTINA CRIOLLO</t>
  </si>
  <si>
    <t>963-2025</t>
  </si>
  <si>
    <t>930-2025</t>
  </si>
  <si>
    <t>1029-2025</t>
  </si>
  <si>
    <t>889-2025</t>
  </si>
  <si>
    <t>5930737</t>
  </si>
  <si>
    <t>958-2025</t>
  </si>
  <si>
    <t>1062-2025</t>
  </si>
  <si>
    <t>1085335069</t>
  </si>
  <si>
    <t>987-2025</t>
  </si>
  <si>
    <t>1233190311</t>
  </si>
  <si>
    <t>LINDA KATHERYNE ROSERO CARRILLO</t>
  </si>
  <si>
    <t>949-2025</t>
  </si>
  <si>
    <t>1013-2025</t>
  </si>
  <si>
    <t>938-2025</t>
  </si>
  <si>
    <t>1081572042</t>
  </si>
  <si>
    <t>ANGIE CAROLINA YAQUENO CRIOLLO</t>
  </si>
  <si>
    <t>998-2025</t>
  </si>
  <si>
    <t>1060-2025</t>
  </si>
  <si>
    <t>27253636</t>
  </si>
  <si>
    <t>GENITH CARMENZA CUASAPUD CUNDAR</t>
  </si>
  <si>
    <t>1085318201</t>
  </si>
  <si>
    <t>1086360022</t>
  </si>
  <si>
    <t>36950073</t>
  </si>
  <si>
    <t>933-2025</t>
  </si>
  <si>
    <t>52381227</t>
  </si>
  <si>
    <t xml:space="preserve">SANDRA MARCELA DOMINGUEZ </t>
  </si>
  <si>
    <t>937-2025</t>
  </si>
  <si>
    <t>1085323338</t>
  </si>
  <si>
    <t>JULIANA  BURBANO PAEZ</t>
  </si>
  <si>
    <t>931-2025</t>
  </si>
  <si>
    <t>1086360087</t>
  </si>
  <si>
    <t>JOHANA MARICELA MATABAJOY CABRERA</t>
  </si>
  <si>
    <t>939-2025</t>
  </si>
  <si>
    <t>1086361622</t>
  </si>
  <si>
    <t>MARIA ALEJANDRA DIAZ ORTEGA</t>
  </si>
  <si>
    <t>1010-2025</t>
  </si>
  <si>
    <t>59313415</t>
  </si>
  <si>
    <t>AURA NATALIA MAIGUAL TIMARAN</t>
  </si>
  <si>
    <t>962-2025</t>
  </si>
  <si>
    <t>1233188033</t>
  </si>
  <si>
    <t>JONATAN RICARDO ORTEGA ORTEGA</t>
  </si>
  <si>
    <t>1085272491</t>
  </si>
  <si>
    <t>980-2025</t>
  </si>
  <si>
    <t>1085317094</t>
  </si>
  <si>
    <t>DAISSY JOHANA YAQUENO YAQUENO</t>
  </si>
  <si>
    <t>955-2025</t>
  </si>
  <si>
    <t>1085298800</t>
  </si>
  <si>
    <t>BRENDA MICAELA PUENTE GONZALES</t>
  </si>
  <si>
    <t>1107-2025</t>
  </si>
  <si>
    <t>1081274779</t>
  </si>
  <si>
    <t>DENNYS DUBERNEY BUESAQUILLO CRIOLLO</t>
  </si>
  <si>
    <t>1167-2025</t>
  </si>
  <si>
    <t>1067-2025</t>
  </si>
  <si>
    <t>1009-2025</t>
  </si>
  <si>
    <t>27086745</t>
  </si>
  <si>
    <t>CARMEN  PATIÑO DE BENAVIDES</t>
  </si>
  <si>
    <t>1164-2025</t>
  </si>
  <si>
    <t>1085287296</t>
  </si>
  <si>
    <t>LILIANA LUCIA MAIGUAL MAIGUAL</t>
  </si>
  <si>
    <t>1150-2025</t>
  </si>
  <si>
    <t>1085331508</t>
  </si>
  <si>
    <t>1112-2025</t>
  </si>
  <si>
    <t>1085254153</t>
  </si>
  <si>
    <t>1165-2025</t>
  </si>
  <si>
    <t>1233192104</t>
  </si>
  <si>
    <t>DIEGO DAVID TORRES LUNA</t>
  </si>
  <si>
    <t>1140-2025</t>
  </si>
  <si>
    <t>1085307962</t>
  </si>
  <si>
    <t>DANIELA ALEJANDRA TOBAR  GOMEZ</t>
  </si>
  <si>
    <t>1151-2025</t>
  </si>
  <si>
    <t>1010141840</t>
  </si>
  <si>
    <t>DANIEL ESTEBAN ERASO SANTACRUZ</t>
  </si>
  <si>
    <t>1099-2025</t>
  </si>
  <si>
    <t>1124-2025</t>
  </si>
  <si>
    <t>1095-2025</t>
  </si>
  <si>
    <t>98391531</t>
  </si>
  <si>
    <t>1185-2025</t>
  </si>
  <si>
    <t>1089243630</t>
  </si>
  <si>
    <t>1143-2025</t>
  </si>
  <si>
    <t>1085246674</t>
  </si>
  <si>
    <t>MARIA TANIA NARVAEZ MARTINEZ</t>
  </si>
  <si>
    <t>1086-2025</t>
  </si>
  <si>
    <t>1086018841</t>
  </si>
  <si>
    <t>ROSA ALEJANDRA CABRERA CORTES</t>
  </si>
  <si>
    <t>LILIANA ANDREA OLIVA ORTIZ</t>
  </si>
  <si>
    <t>1106-2025</t>
  </si>
  <si>
    <t>1097-2025</t>
  </si>
  <si>
    <t>1122-2025</t>
  </si>
  <si>
    <t>12969231</t>
  </si>
  <si>
    <t>JOAN SEBASTIAN CORDOBA GARCIA</t>
  </si>
  <si>
    <t>1142-2025</t>
  </si>
  <si>
    <t>1088799080</t>
  </si>
  <si>
    <t>RUBY MARCELA AUCU PAREDES</t>
  </si>
  <si>
    <t>1115-2025</t>
  </si>
  <si>
    <t>1233193848</t>
  </si>
  <si>
    <t>GUSTAVO ALEJANDRO BENAVIDES GARCIA</t>
  </si>
  <si>
    <t>1133-2025</t>
  </si>
  <si>
    <t>1198-2025</t>
  </si>
  <si>
    <t>27436186</t>
  </si>
  <si>
    <t>1114-2025</t>
  </si>
  <si>
    <t>1088216350</t>
  </si>
  <si>
    <t>LEIDY VANESSA POTOSI GER</t>
  </si>
  <si>
    <t>1104-2025</t>
  </si>
  <si>
    <t>1085268450</t>
  </si>
  <si>
    <t>1155-2025</t>
  </si>
  <si>
    <t>1085324685</t>
  </si>
  <si>
    <t>1197-2025</t>
  </si>
  <si>
    <t>27549932</t>
  </si>
  <si>
    <t>MONICA ESPERANZA INSUASTY OBANDO</t>
  </si>
  <si>
    <t>1125-2025</t>
  </si>
  <si>
    <t>1082748783</t>
  </si>
  <si>
    <t>1126-2025</t>
  </si>
  <si>
    <t>1004190751</t>
  </si>
  <si>
    <t>MARLON DANIEL CONSTAIN DE LA CRUZ</t>
  </si>
  <si>
    <t>1149-2025</t>
  </si>
  <si>
    <t>1085312669</t>
  </si>
  <si>
    <t>LILIANA DEL CARMEN VERGARA BOTINA</t>
  </si>
  <si>
    <t>1113-2025</t>
  </si>
  <si>
    <t>37083933</t>
  </si>
  <si>
    <t>LISSETH YAMILE HUERTAS TENGANAN</t>
  </si>
  <si>
    <t>1184-2025</t>
  </si>
  <si>
    <t>36751255</t>
  </si>
  <si>
    <t>ADRIANA ROCIO MUÑOZ CORTES</t>
  </si>
  <si>
    <t>1016-2025</t>
  </si>
  <si>
    <t>900752343</t>
  </si>
  <si>
    <t>TRANSPORTES ESPECIALES GALERAS EXPRESS SAS</t>
  </si>
  <si>
    <t>1017-2025</t>
  </si>
  <si>
    <t>1084-2025</t>
  </si>
  <si>
    <t>1085270448</t>
  </si>
  <si>
    <t>LADY VIVIANA LUNA BOTINA</t>
  </si>
  <si>
    <t>1100-2025</t>
  </si>
  <si>
    <t>1119-2025</t>
  </si>
  <si>
    <t>1010099104</t>
  </si>
  <si>
    <t>ANGIE JULIANA QUISTANCHALA CASANOVA</t>
  </si>
  <si>
    <t>1128-2025</t>
  </si>
  <si>
    <t>ESPINOSA BURBANO PAOLA ANDREA</t>
  </si>
  <si>
    <t>1139-2025</t>
  </si>
  <si>
    <t>1233191133</t>
  </si>
  <si>
    <t>DANIELA ALEJANDRA ROSERO FLOREZ</t>
  </si>
  <si>
    <t>1160-2025</t>
  </si>
  <si>
    <t>1145-2025</t>
  </si>
  <si>
    <t>1085281002</t>
  </si>
  <si>
    <t>NATHALY YAMILE NARVAEZ ORTIZ</t>
  </si>
  <si>
    <t>36952916</t>
  </si>
  <si>
    <t>944-2025</t>
  </si>
  <si>
    <t>12961407</t>
  </si>
  <si>
    <t>1101-2025</t>
  </si>
  <si>
    <t>59815593</t>
  </si>
  <si>
    <t xml:space="preserve">OBANDO CAICEDO EDNA LILIANA   </t>
  </si>
  <si>
    <t>1148-2025</t>
  </si>
  <si>
    <t>1086331521</t>
  </si>
  <si>
    <t>RUDDY JERALDINE PINTA MARTINEZ</t>
  </si>
  <si>
    <t>1111-2025</t>
  </si>
  <si>
    <t>1010113730</t>
  </si>
  <si>
    <t>1098-2025</t>
  </si>
  <si>
    <t>36757715</t>
  </si>
  <si>
    <t>1018-2025</t>
  </si>
  <si>
    <t>1159-2025</t>
  </si>
  <si>
    <t>1085253512</t>
  </si>
  <si>
    <t xml:space="preserve">GINNA ALEJANDRA BENAVIDES </t>
  </si>
  <si>
    <t>1102-2025</t>
  </si>
  <si>
    <t>1129-2025</t>
  </si>
  <si>
    <t>1088-2025</t>
  </si>
  <si>
    <t>1085331558</t>
  </si>
  <si>
    <t>LINA MARIA DE LA CRUZ VIDAL</t>
  </si>
  <si>
    <t>1157-2025</t>
  </si>
  <si>
    <t>59312779</t>
  </si>
  <si>
    <t>SANDRA MAGALI CRIOLLO ENRIQUEZ</t>
  </si>
  <si>
    <t>1158-2025</t>
  </si>
  <si>
    <t>1086018206</t>
  </si>
  <si>
    <t>IVONNE GISELA DIAZ SANCHEZ</t>
  </si>
  <si>
    <t>1075-2025</t>
  </si>
  <si>
    <t>1103-2025</t>
  </si>
  <si>
    <t>1085338921</t>
  </si>
  <si>
    <t>KAREN YASMIN YELA BURBANO</t>
  </si>
  <si>
    <t>1105-2025</t>
  </si>
  <si>
    <t>1085275445</t>
  </si>
  <si>
    <t>PAULA CATHERINE CRIOLLO CUMBAL</t>
  </si>
  <si>
    <t>1121-2025</t>
  </si>
  <si>
    <t>13070247</t>
  </si>
  <si>
    <t>EDISON ARMANDO CAICEDO MORALES</t>
  </si>
  <si>
    <t>1194-2025</t>
  </si>
  <si>
    <t>1085246134</t>
  </si>
  <si>
    <t>1162-2025</t>
  </si>
  <si>
    <t>932-2025</t>
  </si>
  <si>
    <t>12754447</t>
  </si>
  <si>
    <t>ESTEBAN MAURICIO LOPEZ SOLARTE</t>
  </si>
  <si>
    <t>1108-2025</t>
  </si>
  <si>
    <t>1085281545</t>
  </si>
  <si>
    <t>1092-2025</t>
  </si>
  <si>
    <t>1123-2025</t>
  </si>
  <si>
    <t>1179-2025</t>
  </si>
  <si>
    <t>1193474724</t>
  </si>
  <si>
    <t>SARA ESTEFANIA FINLAY GARCIA</t>
  </si>
  <si>
    <t>1094-2025</t>
  </si>
  <si>
    <t>1081592769</t>
  </si>
  <si>
    <t>ADRIANA ALEJANDRA LEDESMA BETANCOURT</t>
  </si>
  <si>
    <t>1087-2025</t>
  </si>
  <si>
    <t>1233191359</t>
  </si>
  <si>
    <t>LUIS FERNANDO RODRIGUEZ MERINO</t>
  </si>
  <si>
    <t>941-2025</t>
  </si>
  <si>
    <t>1080041553</t>
  </si>
  <si>
    <t>LESLYE NATHALIA VILLOTA OVIEDO</t>
  </si>
  <si>
    <t>1187-2025</t>
  </si>
  <si>
    <t>MARIA FERNANDA NARVAEZ YEPEZ</t>
  </si>
  <si>
    <t>1256-2025</t>
  </si>
  <si>
    <t>MARLENI URBANO MARTINEZ</t>
  </si>
  <si>
    <t>118-2026</t>
  </si>
  <si>
    <t>071-2026</t>
  </si>
  <si>
    <t>091-2026</t>
  </si>
  <si>
    <t>096-2026</t>
  </si>
  <si>
    <t>089-2026</t>
  </si>
  <si>
    <t>047-2026</t>
  </si>
  <si>
    <t>049-2026</t>
  </si>
  <si>
    <t>087-2026</t>
  </si>
  <si>
    <t>114-2026</t>
  </si>
  <si>
    <t>078-2026</t>
  </si>
  <si>
    <t>094-2026</t>
  </si>
  <si>
    <t>095-2026</t>
  </si>
  <si>
    <t>125-2026</t>
  </si>
  <si>
    <t>077-2026</t>
  </si>
  <si>
    <t>075-2026</t>
  </si>
  <si>
    <t>085-2026</t>
  </si>
  <si>
    <t>057-2026</t>
  </si>
  <si>
    <t>097-2026</t>
  </si>
  <si>
    <t>080-2026</t>
  </si>
  <si>
    <t>064-2026</t>
  </si>
  <si>
    <t>067-2026</t>
  </si>
  <si>
    <t>092-2026</t>
  </si>
  <si>
    <t>052-2026</t>
  </si>
  <si>
    <t>088-2026</t>
  </si>
  <si>
    <t>065-2026</t>
  </si>
  <si>
    <t>072-2026</t>
  </si>
  <si>
    <t>084-2026</t>
  </si>
  <si>
    <t>110-2026</t>
  </si>
  <si>
    <t>081-2026</t>
  </si>
  <si>
    <t>113-2026</t>
  </si>
  <si>
    <t>100-2026</t>
  </si>
  <si>
    <t>107-2026</t>
  </si>
  <si>
    <t>123-2026</t>
  </si>
  <si>
    <t>046-2026</t>
  </si>
  <si>
    <t>011-2026</t>
  </si>
  <si>
    <t>093-2026</t>
  </si>
  <si>
    <t>102-2026</t>
  </si>
  <si>
    <t>109-2026</t>
  </si>
  <si>
    <t>056-2026</t>
  </si>
  <si>
    <t>059-2026</t>
  </si>
  <si>
    <t>060-2026</t>
  </si>
  <si>
    <t>266-2026</t>
  </si>
  <si>
    <t>281-2026</t>
  </si>
  <si>
    <t>168-2026</t>
  </si>
  <si>
    <t>101-2026</t>
  </si>
  <si>
    <t>090-2026</t>
  </si>
  <si>
    <t>074-2026</t>
  </si>
  <si>
    <t>068-2026</t>
  </si>
  <si>
    <t>173-2026</t>
  </si>
  <si>
    <t>053-2026</t>
  </si>
  <si>
    <t>209-2026</t>
  </si>
  <si>
    <t>157-2026</t>
  </si>
  <si>
    <t>261-2026</t>
  </si>
  <si>
    <t>111-2026</t>
  </si>
  <si>
    <t>082-2026</t>
  </si>
  <si>
    <t>083-2026</t>
  </si>
  <si>
    <t>048-2026</t>
  </si>
  <si>
    <t>023-2026</t>
  </si>
  <si>
    <t>058-2026</t>
  </si>
  <si>
    <t>104-2026</t>
  </si>
  <si>
    <t>079-2026</t>
  </si>
  <si>
    <t>050-2026</t>
  </si>
  <si>
    <t>069-2026</t>
  </si>
  <si>
    <t>070-2026</t>
  </si>
  <si>
    <t>103-2026</t>
  </si>
  <si>
    <t>045-2026</t>
  </si>
  <si>
    <t>066-2026</t>
  </si>
  <si>
    <t>306-2026</t>
  </si>
  <si>
    <t>149-2026</t>
  </si>
  <si>
    <t>014-2026</t>
  </si>
  <si>
    <t>051-2026</t>
  </si>
  <si>
    <t>299-2026</t>
  </si>
  <si>
    <t>271-2026</t>
  </si>
  <si>
    <t>220-2026</t>
  </si>
  <si>
    <t>250-2026</t>
  </si>
  <si>
    <t>063-2026</t>
  </si>
  <si>
    <t>190-2026</t>
  </si>
  <si>
    <t>062-2026</t>
  </si>
  <si>
    <t>055-2026</t>
  </si>
  <si>
    <t>073-2026</t>
  </si>
  <si>
    <t>217-2026</t>
  </si>
  <si>
    <t>252-2026</t>
  </si>
  <si>
    <t>180-2026</t>
  </si>
  <si>
    <t>291-2026</t>
  </si>
  <si>
    <t>1265-2025</t>
  </si>
  <si>
    <t>RUTH DEL CARMEN FAJARDO RIVERA</t>
  </si>
  <si>
    <t>192-2026</t>
  </si>
  <si>
    <t>178-2026</t>
  </si>
  <si>
    <t>158-2026</t>
  </si>
  <si>
    <t>169-2026</t>
  </si>
  <si>
    <t>814-2025</t>
  </si>
  <si>
    <t>DAVID ALEJANDRO BASTIDAS PEREZ</t>
  </si>
  <si>
    <t>187-2026</t>
  </si>
  <si>
    <t>181-2026</t>
  </si>
  <si>
    <t>248-2026</t>
  </si>
  <si>
    <t>242-2026</t>
  </si>
  <si>
    <t>246-2026</t>
  </si>
  <si>
    <t>161-2026</t>
  </si>
  <si>
    <t>164-2026</t>
  </si>
  <si>
    <t>292-2026</t>
  </si>
  <si>
    <t>333-2026</t>
  </si>
  <si>
    <t>307-2026</t>
  </si>
  <si>
    <t>099-2026</t>
  </si>
  <si>
    <t>208-2026</t>
  </si>
  <si>
    <t>086-2026</t>
  </si>
  <si>
    <t>315-2026</t>
  </si>
  <si>
    <t>256-2026</t>
  </si>
  <si>
    <t>174-2026</t>
  </si>
  <si>
    <t>283-2026</t>
  </si>
  <si>
    <t>215-2026</t>
  </si>
  <si>
    <t>175-2026</t>
  </si>
  <si>
    <t>borrar</t>
  </si>
  <si>
    <t>nuevo agregar</t>
  </si>
  <si>
    <t>ACTUALIZAR</t>
  </si>
  <si>
    <t>esta duplicado pero no hay problema esta por el mismo valor</t>
  </si>
  <si>
    <t>2025003871-</t>
  </si>
  <si>
    <t xml:space="preserve">solo actualizar la orden de pago </t>
  </si>
  <si>
    <t>solo actualizar la orden de pago  y falta un pago</t>
  </si>
  <si>
    <t>pagado</t>
  </si>
  <si>
    <t>31 de Octubre 2023</t>
  </si>
  <si>
    <t>6 de agosto 2024</t>
  </si>
  <si>
    <t>11 de Octubre 2024</t>
  </si>
  <si>
    <t>9 de mayo de 2025</t>
  </si>
  <si>
    <t>reintegros según pago</t>
  </si>
  <si>
    <t>res</t>
  </si>
  <si>
    <t>contratado</t>
  </si>
  <si>
    <t>reintegros según reporte</t>
  </si>
  <si>
    <t>diferencia</t>
  </si>
  <si>
    <t>reintegros según resolusion</t>
  </si>
  <si>
    <t>id</t>
  </si>
  <si>
    <t>SE ACTUALIZO</t>
  </si>
  <si>
    <t>ACTUALIZADO</t>
  </si>
  <si>
    <t>1085904098</t>
  </si>
  <si>
    <t>JORGEANDRESLOPEZVELAPANDORAESTUDIOGRAFICO</t>
  </si>
  <si>
    <t>351-2024</t>
  </si>
  <si>
    <t>448-2025</t>
  </si>
  <si>
    <t>438-2025</t>
  </si>
  <si>
    <t>USAMA TATICUAN LUZ EMILIA</t>
  </si>
  <si>
    <t>432-2025</t>
  </si>
  <si>
    <t>CARLOS ADRIAN MEDINA GUERRERO</t>
  </si>
  <si>
    <t>433-2025</t>
  </si>
  <si>
    <t>TABLA ANDRADE OLIVA ESPERANZA</t>
  </si>
  <si>
    <t>434-2025</t>
  </si>
  <si>
    <t>YANCARLO YAMIT PUCHANA RAMOS</t>
  </si>
  <si>
    <t>431-2025</t>
  </si>
  <si>
    <t>FANNY MIREYA LIMAS CUNDAR</t>
  </si>
  <si>
    <t>446-2025</t>
  </si>
  <si>
    <t>439-2025</t>
  </si>
  <si>
    <t>441-2025</t>
  </si>
  <si>
    <t>MORILLO SANTACRUZ ANGELA MARIA</t>
  </si>
  <si>
    <t>444-2025</t>
  </si>
  <si>
    <t>427-2025</t>
  </si>
  <si>
    <t>BOTINA VALLEJO SANDRA YANETH</t>
  </si>
  <si>
    <t>430-2025</t>
  </si>
  <si>
    <t>SANDRA PATRICIA GOMEZ SANCHEZ</t>
  </si>
  <si>
    <t>447-2025</t>
  </si>
  <si>
    <t>428-2025</t>
  </si>
  <si>
    <t>PAOLA ANDREA ROSAS MORA</t>
  </si>
  <si>
    <t>440-2025</t>
  </si>
  <si>
    <t>436-2025</t>
  </si>
  <si>
    <t>CARLOS ALBERTO ZAMBRANO VARGAS</t>
  </si>
  <si>
    <t>RENE MARTINEZ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</si>
</sst>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\ #,##0.00;[Red]\-&quot;$&quot;\ #,##0.00"/>
    <numFmt numFmtId="165" formatCode="&quot;$&quot;\ #,##0.00"/>
    <numFmt numFmtId="166" formatCode="yyyy\-mm\-dd"/>
    <numFmt numFmtId="167" formatCode="d/m/yyyy"/>
    <numFmt numFmtId="168" formatCode="yyyy\-mm\-dd;@"/>
    <numFmt numFmtId="169" formatCode="&quot;$&quot;#,##0.00"/>
  </numFmts>
  <fonts count="1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46">
    <xf numFmtId="0" fontId="0" fillId="0" borderId="0" xfId="0"/>
    <xf numFmtId="0" fontId="8" fillId="0" borderId="0" xfId="0" applyFont="1"/>
    <xf numFmtId="168" fontId="0" fillId="0" borderId="0" xfId="0" applyNumberFormat="1"/>
    <xf numFmtId="168" fontId="7" fillId="0" borderId="0" xfId="0" applyNumberFormat="1" applyFont="1"/>
    <xf numFmtId="0" fontId="5" fillId="0" borderId="0" xfId="0" applyFont="1"/>
    <xf numFmtId="169" fontId="7" fillId="0" borderId="0" xfId="0" applyNumberFormat="1" applyFont="1"/>
    <xf numFmtId="169" fontId="7" fillId="0" borderId="2" xfId="0" applyNumberFormat="1" applyFont="1" applyBorder="1"/>
    <xf numFmtId="167" fontId="8" fillId="0" borderId="0" xfId="0" applyNumberFormat="1" applyFont="1"/>
    <xf numFmtId="44" fontId="0" fillId="0" borderId="0" xfId="1" applyFont="1"/>
    <xf numFmtId="0" fontId="6" fillId="0" borderId="1" xfId="0" applyFont="1" applyBorder="1" applyAlignment="1">
      <alignment horizontal="center" vertical="top"/>
    </xf>
    <xf numFmtId="169" fontId="6" fillId="0" borderId="1" xfId="0" applyNumberFormat="1" applyFont="1" applyBorder="1" applyAlignment="1">
      <alignment horizontal="center" vertical="top"/>
    </xf>
    <xf numFmtId="169" fontId="0" fillId="0" borderId="0" xfId="0" applyNumberFormat="1"/>
    <xf numFmtId="0" fontId="10" fillId="0" borderId="0" xfId="0" applyFont="1"/>
    <xf numFmtId="166" fontId="7" fillId="0" borderId="0" xfId="0" applyNumberFormat="1" applyFont="1"/>
    <xf numFmtId="169" fontId="8" fillId="0" borderId="0" xfId="0" applyNumberFormat="1" applyFont="1"/>
    <xf numFmtId="168" fontId="7" fillId="0" borderId="2" xfId="0" applyNumberFormat="1" applyFont="1" applyBorder="1"/>
    <xf numFmtId="0" fontId="5" fillId="0" borderId="2" xfId="0" applyFont="1" applyBorder="1"/>
    <xf numFmtId="166" fontId="8" fillId="0" borderId="0" xfId="0" applyNumberFormat="1" applyFont="1"/>
    <xf numFmtId="0" fontId="9" fillId="0" borderId="0" xfId="0" applyFont="1"/>
    <xf numFmtId="49" fontId="0" fillId="0" borderId="0" xfId="0" applyNumberFormat="1"/>
    <xf numFmtId="168" fontId="5" fillId="0" borderId="0" xfId="0" applyNumberFormat="1" applyFont="1"/>
    <xf numFmtId="169" fontId="5" fillId="0" borderId="0" xfId="0" applyNumberFormat="1" applyFont="1"/>
    <xf numFmtId="166" fontId="11" fillId="0" borderId="0" xfId="0" applyNumberFormat="1" applyFont="1"/>
    <xf numFmtId="165" fontId="11" fillId="0" borderId="0" xfId="0" applyNumberFormat="1" applyFont="1"/>
    <xf numFmtId="0" fontId="11" fillId="0" borderId="0" xfId="0" applyFont="1"/>
    <xf numFmtId="14" fontId="0" fillId="0" borderId="0" xfId="0" applyNumberFormat="1"/>
    <xf numFmtId="165" fontId="0" fillId="0" borderId="0" xfId="0" applyNumberFormat="1"/>
    <xf numFmtId="0" fontId="4" fillId="0" borderId="0" xfId="0" applyFont="1"/>
    <xf numFmtId="14" fontId="4" fillId="0" borderId="0" xfId="0" applyNumberFormat="1" applyFont="1"/>
    <xf numFmtId="164" fontId="0" fillId="0" borderId="0" xfId="0" applyNumberFormat="1"/>
    <xf numFmtId="165" fontId="4" fillId="0" borderId="0" xfId="0" applyNumberFormat="1" applyFont="1"/>
    <xf numFmtId="168" fontId="6" fillId="0" borderId="1" xfId="0" applyNumberFormat="1" applyFont="1" applyBorder="1" applyAlignment="1">
      <alignment horizontal="center" vertical="top"/>
    </xf>
    <xf numFmtId="168" fontId="8" fillId="0" borderId="0" xfId="0" applyNumberFormat="1" applyFont="1"/>
    <xf numFmtId="168" fontId="11" fillId="0" borderId="0" xfId="0" applyNumberFormat="1" applyFont="1"/>
    <xf numFmtId="168" fontId="4" fillId="0" borderId="0" xfId="0" applyNumberFormat="1" applyFont="1"/>
    <xf numFmtId="0" fontId="3" fillId="0" borderId="0" xfId="0" applyFont="1"/>
    <xf numFmtId="0" fontId="14" fillId="0" borderId="0" xfId="0" applyFont="1"/>
    <xf numFmtId="169" fontId="11" fillId="0" borderId="0" xfId="0" applyNumberFormat="1" applyFont="1"/>
    <xf numFmtId="8" fontId="0" fillId="0" borderId="0" xfId="0" applyNumberFormat="1"/>
    <xf numFmtId="0" fontId="2" fillId="0" borderId="0" xfId="0" applyFont="1"/>
    <xf numFmtId="0" fontId="15" fillId="0" borderId="0" xfId="0" applyFont="1"/>
    <xf numFmtId="0" fontId="8" fillId="2" borderId="0" xfId="0" applyFont="1" applyFill="1"/>
    <xf numFmtId="0" fontId="0" fillId="2" borderId="0" xfId="0" applyFill="1"/>
    <xf numFmtId="0" fontId="5" fillId="2" borderId="0" xfId="0" applyFont="1" applyFill="1"/>
    <xf numFmtId="0" fontId="5" fillId="2" borderId="2" xfId="0" applyFont="1" applyFill="1" applyBorder="1"/>
    <xf numFmtId="0" fontId="1" fillId="0" borderId="0" xfId="0" applyFont="1"/>
  </cellXfs>
  <cellStyles count="2">
    <cellStyle name="Moneda" xfId="1" builtinId="4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APS%20AUTOMATIZACIONES\aps\automatizacion_looker_aps\contratacion_cruzada\bases\contratos_consolidado_real.xlsx" TargetMode="External"/><Relationship Id="rId1" Type="http://schemas.openxmlformats.org/officeDocument/2006/relationships/externalLinkPath" Target="contratos_consolidado_re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_17_4_2026"/>
      <sheetName val="873"/>
      <sheetName val="1976"/>
      <sheetName val="1397"/>
      <sheetName val="1778"/>
    </sheetNames>
    <sheetDataSet>
      <sheetData sheetId="0"/>
      <sheetData sheetId="1">
        <row r="2">
          <cell r="C2" t="str">
            <v>011-2026</v>
          </cell>
        </row>
        <row r="3">
          <cell r="C3" t="str">
            <v>014-2026</v>
          </cell>
        </row>
        <row r="4">
          <cell r="C4" t="str">
            <v>1164-2025</v>
          </cell>
        </row>
        <row r="5">
          <cell r="C5" t="str">
            <v>1159-2025</v>
          </cell>
        </row>
        <row r="6">
          <cell r="C6" t="str">
            <v>1157-2025</v>
          </cell>
        </row>
        <row r="7">
          <cell r="C7" t="str">
            <v>1149-2025</v>
          </cell>
        </row>
        <row r="8">
          <cell r="C8" t="str">
            <v>1133-2025</v>
          </cell>
        </row>
        <row r="9">
          <cell r="C9" t="str">
            <v>1113-2025</v>
          </cell>
        </row>
        <row r="10">
          <cell r="C10" t="str">
            <v>1111-2025</v>
          </cell>
        </row>
        <row r="11">
          <cell r="C11" t="str">
            <v>1108-2025</v>
          </cell>
        </row>
        <row r="12">
          <cell r="C12" t="str">
            <v>1107-2025</v>
          </cell>
        </row>
        <row r="13">
          <cell r="C13" t="str">
            <v>1105-2025</v>
          </cell>
        </row>
        <row r="14">
          <cell r="C14" t="str">
            <v>1104-2025</v>
          </cell>
        </row>
        <row r="15">
          <cell r="C15" t="str">
            <v>1101-2025</v>
          </cell>
        </row>
        <row r="16">
          <cell r="C16" t="str">
            <v>1098-2025</v>
          </cell>
        </row>
        <row r="17">
          <cell r="C17" t="str">
            <v>1198-2025</v>
          </cell>
        </row>
        <row r="18">
          <cell r="C18" t="str">
            <v>1197-2025</v>
          </cell>
        </row>
        <row r="19">
          <cell r="C19" t="str">
            <v>023-2026</v>
          </cell>
        </row>
        <row r="20">
          <cell r="C20" t="str">
            <v>045-2026</v>
          </cell>
        </row>
        <row r="21">
          <cell r="C21" t="str">
            <v>1185-2025</v>
          </cell>
        </row>
        <row r="22">
          <cell r="C22" t="str">
            <v>1184-2025</v>
          </cell>
        </row>
        <row r="23">
          <cell r="C23" t="str">
            <v>046-2026</v>
          </cell>
        </row>
        <row r="24">
          <cell r="C24" t="str">
            <v>999-2025</v>
          </cell>
        </row>
        <row r="25">
          <cell r="C25" t="str">
            <v>1039-2025</v>
          </cell>
        </row>
        <row r="26">
          <cell r="C26" t="str">
            <v>1034-2025</v>
          </cell>
        </row>
        <row r="27">
          <cell r="C27" t="str">
            <v>1033-2025</v>
          </cell>
        </row>
        <row r="28">
          <cell r="C28" t="str">
            <v>1032-2025</v>
          </cell>
        </row>
        <row r="29">
          <cell r="C29" t="str">
            <v>1030-2025</v>
          </cell>
        </row>
        <row r="30">
          <cell r="C30" t="str">
            <v>1028-2025</v>
          </cell>
        </row>
        <row r="31">
          <cell r="C31" t="str">
            <v>1027-2025</v>
          </cell>
        </row>
        <row r="32">
          <cell r="C32" t="str">
            <v>1026-2025</v>
          </cell>
        </row>
        <row r="33">
          <cell r="C33" t="str">
            <v>1025-2025</v>
          </cell>
        </row>
        <row r="34">
          <cell r="C34" t="str">
            <v>1022-2025</v>
          </cell>
        </row>
        <row r="35">
          <cell r="C35" t="str">
            <v>1021-2025</v>
          </cell>
        </row>
        <row r="36">
          <cell r="C36" t="str">
            <v>1020-2025</v>
          </cell>
        </row>
        <row r="37">
          <cell r="C37" t="str">
            <v>1015-2025</v>
          </cell>
        </row>
        <row r="38">
          <cell r="C38" t="str">
            <v>1013-2025</v>
          </cell>
        </row>
        <row r="39">
          <cell r="C39" t="str">
            <v>1011-2025</v>
          </cell>
        </row>
        <row r="40">
          <cell r="C40" t="str">
            <v>1009-2025</v>
          </cell>
        </row>
        <row r="41">
          <cell r="C41" t="str">
            <v>1007-2025</v>
          </cell>
        </row>
        <row r="42">
          <cell r="C42" t="str">
            <v>1005-2025</v>
          </cell>
        </row>
        <row r="43">
          <cell r="C43" t="str">
            <v>1004-2025</v>
          </cell>
        </row>
        <row r="44">
          <cell r="C44" t="str">
            <v>1003-2025</v>
          </cell>
        </row>
        <row r="45">
          <cell r="C45" t="str">
            <v>1000-2025</v>
          </cell>
        </row>
        <row r="46">
          <cell r="C46" t="str">
            <v>1167-2025</v>
          </cell>
        </row>
        <row r="47">
          <cell r="C47" t="str">
            <v>1165-2025</v>
          </cell>
        </row>
        <row r="48">
          <cell r="C48" t="str">
            <v>047-2026</v>
          </cell>
        </row>
        <row r="49">
          <cell r="C49" t="str">
            <v>048-2026</v>
          </cell>
        </row>
        <row r="50">
          <cell r="C50" t="str">
            <v>1160-2025</v>
          </cell>
        </row>
        <row r="51">
          <cell r="C51" t="str">
            <v>1155-2025</v>
          </cell>
        </row>
        <row r="52">
          <cell r="C52" t="str">
            <v>1150-2025</v>
          </cell>
        </row>
        <row r="53">
          <cell r="C53" t="str">
            <v>1145-2025</v>
          </cell>
        </row>
        <row r="54">
          <cell r="C54" t="str">
            <v>1143-2025</v>
          </cell>
        </row>
        <row r="55">
          <cell r="C55" t="str">
            <v>1142-2025</v>
          </cell>
        </row>
        <row r="56">
          <cell r="C56" t="str">
            <v>1139-2025</v>
          </cell>
        </row>
        <row r="57">
          <cell r="C57" t="str">
            <v>1129-2025</v>
          </cell>
        </row>
        <row r="58">
          <cell r="C58" t="str">
            <v>1128-2025</v>
          </cell>
        </row>
        <row r="59">
          <cell r="C59" t="str">
            <v>1126-2025</v>
          </cell>
        </row>
        <row r="60">
          <cell r="C60" t="str">
            <v>1125-2025</v>
          </cell>
        </row>
        <row r="61">
          <cell r="C61" t="str">
            <v>1124-2025</v>
          </cell>
        </row>
        <row r="62">
          <cell r="C62" t="str">
            <v>1123-2025</v>
          </cell>
        </row>
        <row r="63">
          <cell r="C63" t="str">
            <v>1119-2025</v>
          </cell>
        </row>
        <row r="64">
          <cell r="C64" t="str">
            <v>1114-2025</v>
          </cell>
        </row>
        <row r="65">
          <cell r="C65" t="str">
            <v>1106-2025</v>
          </cell>
        </row>
        <row r="66">
          <cell r="C66" t="str">
            <v>1103-2025</v>
          </cell>
        </row>
        <row r="67">
          <cell r="C67" t="str">
            <v>1102-2025</v>
          </cell>
        </row>
        <row r="68">
          <cell r="C68" t="str">
            <v>1100-2025</v>
          </cell>
        </row>
        <row r="69">
          <cell r="C69" t="str">
            <v>1099-2025</v>
          </cell>
        </row>
        <row r="70">
          <cell r="C70" t="str">
            <v>1097-2025</v>
          </cell>
        </row>
        <row r="71">
          <cell r="C71" t="str">
            <v>1095-2025</v>
          </cell>
        </row>
        <row r="72">
          <cell r="C72" t="str">
            <v>1094-2025</v>
          </cell>
        </row>
        <row r="73">
          <cell r="C73" t="str">
            <v>1092-2025</v>
          </cell>
        </row>
        <row r="74">
          <cell r="C74" t="str">
            <v>1088-2025</v>
          </cell>
        </row>
        <row r="75">
          <cell r="C75" t="str">
            <v>1086-2025</v>
          </cell>
        </row>
        <row r="76">
          <cell r="C76" t="str">
            <v>1084-2025</v>
          </cell>
        </row>
        <row r="77">
          <cell r="C77" t="str">
            <v>1069-2025</v>
          </cell>
        </row>
        <row r="78">
          <cell r="C78" t="str">
            <v>1067-2025</v>
          </cell>
        </row>
        <row r="79">
          <cell r="C79" t="str">
            <v>1065-2025</v>
          </cell>
        </row>
        <row r="80">
          <cell r="C80" t="str">
            <v>1064-2025</v>
          </cell>
        </row>
        <row r="81">
          <cell r="C81" t="str">
            <v>1063-2025</v>
          </cell>
        </row>
        <row r="82">
          <cell r="C82" t="str">
            <v>1061-2025</v>
          </cell>
        </row>
        <row r="83">
          <cell r="C83" t="str">
            <v>1060-2025</v>
          </cell>
        </row>
        <row r="84">
          <cell r="C84" t="str">
            <v>1055-2025</v>
          </cell>
        </row>
        <row r="85">
          <cell r="C85" t="str">
            <v>1050-2025</v>
          </cell>
        </row>
        <row r="86">
          <cell r="C86" t="str">
            <v>1049-2025</v>
          </cell>
        </row>
        <row r="87">
          <cell r="C87" t="str">
            <v>1048-2025</v>
          </cell>
        </row>
        <row r="88">
          <cell r="C88" t="str">
            <v>1043-2025</v>
          </cell>
        </row>
        <row r="89">
          <cell r="C89" t="str">
            <v>1042-2025</v>
          </cell>
        </row>
        <row r="90">
          <cell r="C90" t="str">
            <v>1038-2025</v>
          </cell>
        </row>
        <row r="91">
          <cell r="C91" t="str">
            <v>991-2025</v>
          </cell>
        </row>
        <row r="92">
          <cell r="C92" t="str">
            <v>983-2025</v>
          </cell>
        </row>
        <row r="93">
          <cell r="C93" t="str">
            <v>982-2025</v>
          </cell>
        </row>
        <row r="94">
          <cell r="C94" t="str">
            <v>980-2025</v>
          </cell>
        </row>
        <row r="95">
          <cell r="C95" t="str">
            <v>977-2025</v>
          </cell>
        </row>
        <row r="96">
          <cell r="C96" t="str">
            <v>049-2026</v>
          </cell>
        </row>
        <row r="97">
          <cell r="C97" t="str">
            <v>050-2026</v>
          </cell>
        </row>
        <row r="98">
          <cell r="C98" t="str">
            <v>051-2026</v>
          </cell>
        </row>
        <row r="99">
          <cell r="C99" t="str">
            <v>976-2025</v>
          </cell>
        </row>
        <row r="100">
          <cell r="C100" t="str">
            <v>965-2025</v>
          </cell>
        </row>
        <row r="101">
          <cell r="C101" t="str">
            <v>963-2025</v>
          </cell>
        </row>
        <row r="102">
          <cell r="C102" t="str">
            <v>960-2025</v>
          </cell>
        </row>
        <row r="103">
          <cell r="C103" t="str">
            <v>959-2025</v>
          </cell>
        </row>
        <row r="104">
          <cell r="C104" t="str">
            <v>958-2025</v>
          </cell>
        </row>
        <row r="105">
          <cell r="C105" t="str">
            <v>939-2025</v>
          </cell>
        </row>
        <row r="106">
          <cell r="C106" t="str">
            <v>938-2025</v>
          </cell>
        </row>
        <row r="107">
          <cell r="C107" t="str">
            <v>936-2025</v>
          </cell>
        </row>
        <row r="108">
          <cell r="C108" t="str">
            <v>934-2025</v>
          </cell>
        </row>
        <row r="109">
          <cell r="C109" t="str">
            <v>1194-2025</v>
          </cell>
        </row>
        <row r="110">
          <cell r="C110" t="str">
            <v>1179-2025</v>
          </cell>
        </row>
        <row r="111">
          <cell r="C111" t="str">
            <v>1029-2025</v>
          </cell>
        </row>
        <row r="112">
          <cell r="C112" t="str">
            <v>1121-2025</v>
          </cell>
        </row>
        <row r="113">
          <cell r="C113" t="str">
            <v>928-2025</v>
          </cell>
        </row>
        <row r="114">
          <cell r="C114" t="str">
            <v>926-2025</v>
          </cell>
        </row>
        <row r="115">
          <cell r="C115" t="str">
            <v>925-2025</v>
          </cell>
        </row>
        <row r="116">
          <cell r="C116" t="str">
            <v>924-2025</v>
          </cell>
        </row>
        <row r="117">
          <cell r="C117" t="str">
            <v>919-2025</v>
          </cell>
        </row>
        <row r="118">
          <cell r="C118" t="str">
            <v>917-2025</v>
          </cell>
        </row>
        <row r="119">
          <cell r="C119" t="str">
            <v>916-2025</v>
          </cell>
        </row>
        <row r="120">
          <cell r="C120" t="str">
            <v>912-2025</v>
          </cell>
        </row>
        <row r="121">
          <cell r="C121" t="str">
            <v>907-2025</v>
          </cell>
        </row>
        <row r="122">
          <cell r="C122" t="str">
            <v>903-2025</v>
          </cell>
        </row>
        <row r="123">
          <cell r="C123" t="str">
            <v>052-2026</v>
          </cell>
        </row>
        <row r="124">
          <cell r="C124" t="str">
            <v>901-2025</v>
          </cell>
        </row>
        <row r="125">
          <cell r="C125" t="str">
            <v>899-2025</v>
          </cell>
        </row>
        <row r="126">
          <cell r="C126" t="str">
            <v>897-2025</v>
          </cell>
        </row>
        <row r="127">
          <cell r="C127" t="str">
            <v>896-2025</v>
          </cell>
        </row>
        <row r="128">
          <cell r="C128" t="str">
            <v>894-2025</v>
          </cell>
        </row>
        <row r="129">
          <cell r="C129" t="str">
            <v>889-2025</v>
          </cell>
        </row>
        <row r="130">
          <cell r="C130" t="str">
            <v>887-2025</v>
          </cell>
        </row>
        <row r="131">
          <cell r="C131" t="str">
            <v>886-2025</v>
          </cell>
        </row>
        <row r="132">
          <cell r="C132" t="str">
            <v>885-2025</v>
          </cell>
        </row>
        <row r="133">
          <cell r="C133" t="str">
            <v>1062-2025</v>
          </cell>
        </row>
        <row r="134">
          <cell r="C134" t="str">
            <v>883-2025</v>
          </cell>
        </row>
        <row r="135">
          <cell r="C135" t="str">
            <v>877-2025</v>
          </cell>
        </row>
        <row r="136">
          <cell r="C136" t="str">
            <v>876-2025</v>
          </cell>
        </row>
        <row r="137">
          <cell r="C137" t="str">
            <v>873-2025</v>
          </cell>
        </row>
        <row r="138">
          <cell r="C138" t="str">
            <v>872-2025</v>
          </cell>
        </row>
        <row r="139">
          <cell r="C139" t="str">
            <v>869-2025</v>
          </cell>
        </row>
        <row r="140">
          <cell r="C140" t="str">
            <v>864-2025</v>
          </cell>
        </row>
        <row r="141">
          <cell r="C141" t="str">
            <v>859-2025</v>
          </cell>
        </row>
        <row r="142">
          <cell r="C142" t="str">
            <v>855-2025</v>
          </cell>
        </row>
        <row r="143">
          <cell r="C143" t="str">
            <v>854-2025</v>
          </cell>
        </row>
        <row r="144">
          <cell r="C144" t="str">
            <v>851-2025</v>
          </cell>
        </row>
        <row r="145">
          <cell r="C145" t="str">
            <v>849-2025</v>
          </cell>
        </row>
        <row r="146">
          <cell r="C146" t="str">
            <v>848-2025</v>
          </cell>
        </row>
        <row r="147">
          <cell r="C147" t="str">
            <v>842-2025</v>
          </cell>
        </row>
        <row r="148">
          <cell r="C148" t="str">
            <v>841-2025</v>
          </cell>
        </row>
        <row r="149">
          <cell r="C149" t="str">
            <v>840-2025</v>
          </cell>
        </row>
        <row r="150">
          <cell r="C150" t="str">
            <v>839-2025</v>
          </cell>
        </row>
        <row r="151">
          <cell r="C151" t="str">
            <v>837-2025</v>
          </cell>
        </row>
        <row r="152">
          <cell r="C152" t="str">
            <v>836-2025</v>
          </cell>
        </row>
        <row r="153">
          <cell r="C153" t="str">
            <v>830-2025</v>
          </cell>
        </row>
        <row r="154">
          <cell r="C154" t="str">
            <v>829-2025</v>
          </cell>
        </row>
        <row r="155">
          <cell r="C155" t="str">
            <v>828-2025</v>
          </cell>
        </row>
        <row r="156">
          <cell r="C156" t="str">
            <v>827-2025</v>
          </cell>
        </row>
        <row r="157">
          <cell r="C157" t="str">
            <v>826-2025</v>
          </cell>
        </row>
        <row r="158">
          <cell r="C158" t="str">
            <v>824-2025</v>
          </cell>
        </row>
        <row r="159">
          <cell r="C159" t="str">
            <v>821-2025</v>
          </cell>
        </row>
        <row r="160">
          <cell r="C160" t="str">
            <v>820-2025</v>
          </cell>
        </row>
        <row r="161">
          <cell r="C161" t="str">
            <v>816-2025</v>
          </cell>
        </row>
        <row r="162">
          <cell r="C162" t="str">
            <v>815-2025</v>
          </cell>
        </row>
        <row r="163">
          <cell r="C163" t="str">
            <v>813-2025</v>
          </cell>
        </row>
        <row r="164">
          <cell r="C164" t="str">
            <v>812-2025</v>
          </cell>
        </row>
        <row r="165">
          <cell r="C165" t="str">
            <v>811-2025</v>
          </cell>
        </row>
        <row r="166">
          <cell r="C166" t="str">
            <v>810-2025</v>
          </cell>
        </row>
        <row r="167">
          <cell r="C167" t="str">
            <v>809-2025</v>
          </cell>
        </row>
        <row r="168">
          <cell r="C168" t="str">
            <v>806-2025</v>
          </cell>
        </row>
        <row r="169">
          <cell r="C169" t="str">
            <v>804-2025</v>
          </cell>
        </row>
        <row r="170">
          <cell r="C170" t="str">
            <v>803-2025</v>
          </cell>
        </row>
        <row r="171">
          <cell r="C171" t="str">
            <v>802-2025</v>
          </cell>
        </row>
        <row r="172">
          <cell r="C172" t="str">
            <v>798-2025</v>
          </cell>
        </row>
        <row r="173">
          <cell r="C173" t="str">
            <v>797-2025</v>
          </cell>
        </row>
        <row r="174">
          <cell r="C174" t="str">
            <v>795-2025</v>
          </cell>
        </row>
        <row r="175">
          <cell r="C175" t="str">
            <v>794-2025</v>
          </cell>
        </row>
        <row r="176">
          <cell r="C176" t="str">
            <v>793-2025</v>
          </cell>
        </row>
        <row r="177">
          <cell r="C177" t="str">
            <v>791-2025</v>
          </cell>
        </row>
        <row r="178">
          <cell r="C178" t="str">
            <v>790-2025</v>
          </cell>
        </row>
        <row r="179">
          <cell r="C179" t="str">
            <v>784-2025</v>
          </cell>
        </row>
        <row r="180">
          <cell r="C180" t="str">
            <v>783-2025</v>
          </cell>
        </row>
        <row r="181">
          <cell r="C181" t="str">
            <v>782-2025</v>
          </cell>
        </row>
        <row r="182">
          <cell r="C182" t="str">
            <v>777-2025</v>
          </cell>
        </row>
        <row r="183">
          <cell r="C183" t="str">
            <v>774-2025</v>
          </cell>
        </row>
        <row r="184">
          <cell r="C184" t="str">
            <v>761-2025</v>
          </cell>
        </row>
        <row r="185">
          <cell r="C185" t="str">
            <v>759-2025</v>
          </cell>
        </row>
        <row r="186">
          <cell r="C186" t="str">
            <v>754-2025</v>
          </cell>
        </row>
        <row r="187">
          <cell r="C187" t="str">
            <v>743-2025</v>
          </cell>
        </row>
        <row r="188">
          <cell r="C188" t="str">
            <v>737-2025</v>
          </cell>
        </row>
        <row r="189">
          <cell r="C189" t="str">
            <v>732-2025</v>
          </cell>
        </row>
        <row r="190">
          <cell r="C190" t="str">
            <v>1162-2025</v>
          </cell>
        </row>
        <row r="191">
          <cell r="C191" t="str">
            <v>1112-2025</v>
          </cell>
        </row>
        <row r="192">
          <cell r="C192" t="str">
            <v>987-2025</v>
          </cell>
        </row>
        <row r="193">
          <cell r="C193" t="str">
            <v>970-2025</v>
          </cell>
        </row>
        <row r="194">
          <cell r="C194" t="str">
            <v>968-2025</v>
          </cell>
        </row>
        <row r="195">
          <cell r="C195" t="str">
            <v>966-2025</v>
          </cell>
        </row>
        <row r="196">
          <cell r="C196" t="str">
            <v>962-2025</v>
          </cell>
        </row>
        <row r="197">
          <cell r="C197" t="str">
            <v>953-2025</v>
          </cell>
        </row>
        <row r="198">
          <cell r="C198" t="str">
            <v>948-2025</v>
          </cell>
        </row>
        <row r="199">
          <cell r="C199" t="str">
            <v>946-2025</v>
          </cell>
        </row>
        <row r="200">
          <cell r="C200" t="str">
            <v>937-2025</v>
          </cell>
        </row>
        <row r="201">
          <cell r="C201" t="str">
            <v>933-2025</v>
          </cell>
        </row>
        <row r="202">
          <cell r="C202" t="str">
            <v>1158-2025</v>
          </cell>
        </row>
        <row r="203">
          <cell r="C203" t="str">
            <v>1151-2025</v>
          </cell>
        </row>
        <row r="204">
          <cell r="C204" t="str">
            <v>1148-2025</v>
          </cell>
        </row>
        <row r="205">
          <cell r="C205" t="str">
            <v>1140-2025</v>
          </cell>
        </row>
        <row r="206">
          <cell r="C206" t="str">
            <v>1122-2025</v>
          </cell>
        </row>
        <row r="207">
          <cell r="C207" t="str">
            <v>1115-2025</v>
          </cell>
        </row>
        <row r="208">
          <cell r="C208" t="str">
            <v>1066-2025</v>
          </cell>
        </row>
        <row r="209">
          <cell r="C209" t="str">
            <v>053-2026</v>
          </cell>
        </row>
        <row r="210">
          <cell r="C210" t="str">
            <v>1058-2025</v>
          </cell>
        </row>
        <row r="211">
          <cell r="C211" t="str">
            <v>992-2025</v>
          </cell>
        </row>
        <row r="212">
          <cell r="C212" t="str">
            <v>951-2025</v>
          </cell>
        </row>
        <row r="213">
          <cell r="C213" t="str">
            <v>949-2025</v>
          </cell>
        </row>
        <row r="214">
          <cell r="C214" t="str">
            <v>945-2025</v>
          </cell>
        </row>
        <row r="215">
          <cell r="C215" t="str">
            <v>931-2025</v>
          </cell>
        </row>
        <row r="216">
          <cell r="C216" t="str">
            <v>1012-2025</v>
          </cell>
        </row>
        <row r="217">
          <cell r="C217" t="str">
            <v>860-2025</v>
          </cell>
        </row>
        <row r="218">
          <cell r="C218" t="str">
            <v>858-2025</v>
          </cell>
        </row>
        <row r="219">
          <cell r="C219" t="str">
            <v>847-2025</v>
          </cell>
        </row>
        <row r="220">
          <cell r="C220" t="str">
            <v>838-2025</v>
          </cell>
        </row>
        <row r="221">
          <cell r="C221" t="str">
            <v>818-2025</v>
          </cell>
        </row>
        <row r="222">
          <cell r="C222" t="str">
            <v>792-2025</v>
          </cell>
        </row>
        <row r="223">
          <cell r="C223" t="str">
            <v>787-2025</v>
          </cell>
        </row>
        <row r="224">
          <cell r="C224" t="str">
            <v>776-2025</v>
          </cell>
        </row>
        <row r="225">
          <cell r="C225" t="str">
            <v>770-2025</v>
          </cell>
        </row>
        <row r="226">
          <cell r="C226" t="str">
            <v>769-2025</v>
          </cell>
        </row>
        <row r="227">
          <cell r="C227" t="str">
            <v>768-2025</v>
          </cell>
        </row>
        <row r="228">
          <cell r="C228" t="str">
            <v>766-2025</v>
          </cell>
        </row>
        <row r="229">
          <cell r="C229" t="str">
            <v>764-2025</v>
          </cell>
        </row>
        <row r="230">
          <cell r="C230" t="str">
            <v>756-2025</v>
          </cell>
        </row>
        <row r="231">
          <cell r="C231" t="str">
            <v>752-2025</v>
          </cell>
        </row>
        <row r="232">
          <cell r="C232" t="str">
            <v>749-2025</v>
          </cell>
        </row>
        <row r="233">
          <cell r="C233" t="str">
            <v>748-2025</v>
          </cell>
        </row>
        <row r="234">
          <cell r="C234" t="str">
            <v>747-2025</v>
          </cell>
        </row>
        <row r="235">
          <cell r="C235" t="str">
            <v>745-2025</v>
          </cell>
        </row>
        <row r="236">
          <cell r="C236" t="str">
            <v>742-2025</v>
          </cell>
        </row>
        <row r="237">
          <cell r="C237" t="str">
            <v>740-2025</v>
          </cell>
        </row>
        <row r="238">
          <cell r="C238" t="str">
            <v>055-2026</v>
          </cell>
        </row>
        <row r="239">
          <cell r="C239" t="str">
            <v>731-2025</v>
          </cell>
        </row>
        <row r="240">
          <cell r="C240" t="str">
            <v>730-2025</v>
          </cell>
        </row>
        <row r="241">
          <cell r="C241" t="str">
            <v>726-2025</v>
          </cell>
        </row>
        <row r="242">
          <cell r="C242" t="str">
            <v>714-2025</v>
          </cell>
        </row>
        <row r="243">
          <cell r="C243" t="str">
            <v>1053-2025</v>
          </cell>
        </row>
        <row r="244">
          <cell r="C244" t="str">
            <v>1047-2025</v>
          </cell>
        </row>
        <row r="245">
          <cell r="C245" t="str">
            <v>1040-2025</v>
          </cell>
        </row>
        <row r="246">
          <cell r="C246" t="str">
            <v>921-2025</v>
          </cell>
        </row>
        <row r="247">
          <cell r="C247" t="str">
            <v>910-2025</v>
          </cell>
        </row>
        <row r="248">
          <cell r="C248" t="str">
            <v>908-2025</v>
          </cell>
        </row>
        <row r="249">
          <cell r="C249" t="str">
            <v>904-2025</v>
          </cell>
        </row>
        <row r="250">
          <cell r="C250" t="str">
            <v>898-2025</v>
          </cell>
        </row>
        <row r="251">
          <cell r="C251" t="str">
            <v>890-2025</v>
          </cell>
        </row>
        <row r="252">
          <cell r="C252" t="str">
            <v>993-2025</v>
          </cell>
        </row>
        <row r="253">
          <cell r="C253" t="str">
            <v>944-2025</v>
          </cell>
        </row>
        <row r="254">
          <cell r="C254" t="str">
            <v>1010-2025</v>
          </cell>
        </row>
        <row r="255">
          <cell r="C255" t="str">
            <v>865-2025</v>
          </cell>
        </row>
        <row r="256">
          <cell r="C256" t="str">
            <v>862-2025</v>
          </cell>
        </row>
        <row r="257">
          <cell r="C257" t="str">
            <v>853-2025</v>
          </cell>
        </row>
        <row r="258">
          <cell r="C258" t="str">
            <v>850-2025</v>
          </cell>
        </row>
        <row r="259">
          <cell r="C259" t="str">
            <v>843-2025</v>
          </cell>
        </row>
        <row r="260">
          <cell r="C260" t="str">
            <v>834-2025</v>
          </cell>
        </row>
        <row r="261">
          <cell r="C261" t="str">
            <v>819-2025</v>
          </cell>
        </row>
        <row r="262">
          <cell r="C262" t="str">
            <v>817-2025</v>
          </cell>
        </row>
        <row r="263">
          <cell r="C263" t="str">
            <v>805-2025</v>
          </cell>
        </row>
        <row r="264">
          <cell r="C264" t="str">
            <v>789-2025</v>
          </cell>
        </row>
        <row r="265">
          <cell r="C265" t="str">
            <v>781-2025</v>
          </cell>
        </row>
        <row r="266">
          <cell r="C266" t="str">
            <v>778-2025</v>
          </cell>
        </row>
        <row r="267">
          <cell r="C267" t="str">
            <v>775-2025</v>
          </cell>
        </row>
        <row r="268">
          <cell r="C268" t="str">
            <v>773-2025</v>
          </cell>
        </row>
        <row r="269">
          <cell r="C269" t="str">
            <v>763-2025</v>
          </cell>
        </row>
        <row r="270">
          <cell r="C270" t="str">
            <v>760-2025</v>
          </cell>
        </row>
        <row r="271">
          <cell r="C271" t="str">
            <v>757-2025</v>
          </cell>
        </row>
        <row r="272">
          <cell r="C272" t="str">
            <v>741-2025</v>
          </cell>
        </row>
        <row r="273">
          <cell r="C273" t="str">
            <v>929-2025</v>
          </cell>
        </row>
        <row r="274">
          <cell r="C274" t="str">
            <v>927-2025</v>
          </cell>
        </row>
        <row r="275">
          <cell r="C275" t="str">
            <v>913-2025</v>
          </cell>
        </row>
        <row r="276">
          <cell r="C276" t="str">
            <v>906-2025</v>
          </cell>
        </row>
        <row r="277">
          <cell r="C277" t="str">
            <v>905-2025</v>
          </cell>
        </row>
        <row r="278">
          <cell r="C278" t="str">
            <v>900-2025</v>
          </cell>
        </row>
        <row r="279">
          <cell r="C279" t="str">
            <v>888-2025</v>
          </cell>
        </row>
        <row r="280">
          <cell r="C280" t="str">
            <v>875-2025</v>
          </cell>
        </row>
        <row r="281">
          <cell r="C281" t="str">
            <v>868-2025</v>
          </cell>
        </row>
        <row r="282">
          <cell r="C282" t="str">
            <v>833-2025</v>
          </cell>
        </row>
        <row r="283">
          <cell r="C283" t="str">
            <v>831-2025</v>
          </cell>
        </row>
        <row r="284">
          <cell r="C284" t="str">
            <v>822-2025</v>
          </cell>
        </row>
        <row r="285">
          <cell r="C285" t="str">
            <v>808-2025</v>
          </cell>
        </row>
        <row r="286">
          <cell r="C286" t="str">
            <v>807-2025</v>
          </cell>
        </row>
        <row r="287">
          <cell r="C287" t="str">
            <v>786-2025</v>
          </cell>
        </row>
        <row r="288">
          <cell r="C288" t="str">
            <v>780-2025</v>
          </cell>
        </row>
        <row r="289">
          <cell r="C289" t="str">
            <v>779-2025</v>
          </cell>
        </row>
        <row r="290">
          <cell r="C290" t="str">
            <v>772-2025</v>
          </cell>
        </row>
        <row r="291">
          <cell r="C291" t="str">
            <v>767-2025</v>
          </cell>
        </row>
        <row r="292">
          <cell r="C292" t="str">
            <v>762-2025</v>
          </cell>
        </row>
        <row r="293">
          <cell r="C293" t="str">
            <v>755-2025</v>
          </cell>
        </row>
        <row r="294">
          <cell r="C294" t="str">
            <v>750-2025</v>
          </cell>
        </row>
        <row r="295">
          <cell r="C295" t="str">
            <v>744-2025</v>
          </cell>
        </row>
        <row r="296">
          <cell r="C296" t="str">
            <v>723-2025</v>
          </cell>
        </row>
        <row r="297">
          <cell r="C297" t="str">
            <v>711-2025</v>
          </cell>
        </row>
        <row r="298">
          <cell r="C298" t="str">
            <v>706-2025</v>
          </cell>
        </row>
        <row r="299">
          <cell r="C299" t="str">
            <v>1017-2025</v>
          </cell>
        </row>
        <row r="300">
          <cell r="C300" t="str">
            <v>1031-2025</v>
          </cell>
        </row>
        <row r="301">
          <cell r="C301" t="str">
            <v>1087-2025</v>
          </cell>
        </row>
        <row r="302">
          <cell r="C302" t="str">
            <v>1075-2025</v>
          </cell>
        </row>
        <row r="303">
          <cell r="C303" t="str">
            <v>998-2025</v>
          </cell>
        </row>
        <row r="304">
          <cell r="C304" t="str">
            <v>947-2025</v>
          </cell>
        </row>
        <row r="305">
          <cell r="C305" t="str">
            <v>952-2025</v>
          </cell>
        </row>
        <row r="306">
          <cell r="C306" t="str">
            <v>941-2025</v>
          </cell>
        </row>
        <row r="307">
          <cell r="C307" t="str">
            <v>923-2025</v>
          </cell>
        </row>
        <row r="308">
          <cell r="C308" t="str">
            <v>909-2025</v>
          </cell>
        </row>
        <row r="309">
          <cell r="C309" t="str">
            <v>895-2025</v>
          </cell>
        </row>
        <row r="310">
          <cell r="C310" t="str">
            <v>878-2025</v>
          </cell>
        </row>
        <row r="311">
          <cell r="C311" t="str">
            <v>871-2025</v>
          </cell>
        </row>
        <row r="312">
          <cell r="C312" t="str">
            <v>056-2026</v>
          </cell>
        </row>
        <row r="313">
          <cell r="C313" t="str">
            <v>846-2025</v>
          </cell>
        </row>
        <row r="314">
          <cell r="C314" t="str">
            <v>844-2025</v>
          </cell>
        </row>
        <row r="315">
          <cell r="C315" t="str">
            <v>832-2025</v>
          </cell>
        </row>
        <row r="316">
          <cell r="C316" t="str">
            <v>765-2025</v>
          </cell>
        </row>
        <row r="317">
          <cell r="C317" t="str">
            <v>932-2025</v>
          </cell>
        </row>
        <row r="318">
          <cell r="C318" t="str">
            <v>852-2025</v>
          </cell>
        </row>
        <row r="319">
          <cell r="C319" t="str">
            <v>845-2025</v>
          </cell>
        </row>
        <row r="320">
          <cell r="C320" t="str">
            <v>771-2025</v>
          </cell>
        </row>
        <row r="321">
          <cell r="C321" t="str">
            <v>739-2025</v>
          </cell>
        </row>
        <row r="322">
          <cell r="C322" t="str">
            <v>930-2025</v>
          </cell>
        </row>
        <row r="323">
          <cell r="C323" t="str">
            <v>920-2025</v>
          </cell>
        </row>
        <row r="324">
          <cell r="C324" t="str">
            <v>955-2025</v>
          </cell>
        </row>
        <row r="325">
          <cell r="C325" t="str">
            <v>857-2025</v>
          </cell>
        </row>
        <row r="326">
          <cell r="C326" t="str">
            <v>856-2025</v>
          </cell>
        </row>
        <row r="327">
          <cell r="C327" t="str">
            <v>823-2025</v>
          </cell>
        </row>
        <row r="328">
          <cell r="C328" t="str">
            <v>788-2025</v>
          </cell>
        </row>
        <row r="329">
          <cell r="C329" t="str">
            <v>785-2025</v>
          </cell>
        </row>
        <row r="330">
          <cell r="C330" t="str">
            <v>751-2025</v>
          </cell>
        </row>
        <row r="331">
          <cell r="C331" t="str">
            <v>861-2025</v>
          </cell>
        </row>
        <row r="332">
          <cell r="C332" t="str">
            <v>057-2026</v>
          </cell>
        </row>
        <row r="333">
          <cell r="C333" t="str">
            <v>058-2026</v>
          </cell>
        </row>
        <row r="334">
          <cell r="C334" t="str">
            <v>059-2026</v>
          </cell>
        </row>
        <row r="335">
          <cell r="C335" t="str">
            <v>060-2026</v>
          </cell>
        </row>
        <row r="336">
          <cell r="C336" t="str">
            <v>835-2025</v>
          </cell>
        </row>
        <row r="337">
          <cell r="C337" t="str">
            <v>061-2026</v>
          </cell>
        </row>
        <row r="338">
          <cell r="C338" t="str">
            <v>062-2026</v>
          </cell>
        </row>
        <row r="339">
          <cell r="C339" t="str">
            <v>063-2026</v>
          </cell>
        </row>
        <row r="340">
          <cell r="C340" t="str">
            <v>064-2026</v>
          </cell>
        </row>
        <row r="341">
          <cell r="C341" t="str">
            <v>065-2026</v>
          </cell>
        </row>
        <row r="342">
          <cell r="C342" t="str">
            <v>066-2026</v>
          </cell>
        </row>
        <row r="343">
          <cell r="C343" t="str">
            <v>067-2026</v>
          </cell>
        </row>
        <row r="344">
          <cell r="C344" t="str">
            <v>068-2026</v>
          </cell>
        </row>
        <row r="345">
          <cell r="C345" t="str">
            <v>069-2026</v>
          </cell>
        </row>
        <row r="346">
          <cell r="C346" t="str">
            <v>070-2026</v>
          </cell>
        </row>
        <row r="347">
          <cell r="C347" t="str">
            <v>071-2026</v>
          </cell>
        </row>
        <row r="348">
          <cell r="C348" t="str">
            <v>072-2026</v>
          </cell>
        </row>
        <row r="349">
          <cell r="C349" t="str">
            <v>073-2026</v>
          </cell>
        </row>
        <row r="350">
          <cell r="C350" t="str">
            <v>074-2026</v>
          </cell>
        </row>
        <row r="351">
          <cell r="C351" t="str">
            <v>075-2026</v>
          </cell>
        </row>
        <row r="352">
          <cell r="C352" t="str">
            <v>076-2026</v>
          </cell>
        </row>
        <row r="353">
          <cell r="C353" t="str">
            <v>077-2026</v>
          </cell>
        </row>
        <row r="354">
          <cell r="C354" t="str">
            <v>078-2026</v>
          </cell>
        </row>
        <row r="355">
          <cell r="C355" t="str">
            <v>079-2026</v>
          </cell>
        </row>
        <row r="356">
          <cell r="C356" t="str">
            <v>080-2026</v>
          </cell>
        </row>
        <row r="357">
          <cell r="C357" t="str">
            <v>081-2026</v>
          </cell>
        </row>
        <row r="358">
          <cell r="C358" t="str">
            <v>082-2026</v>
          </cell>
        </row>
        <row r="359">
          <cell r="C359" t="str">
            <v>083-2026</v>
          </cell>
        </row>
        <row r="360">
          <cell r="C360" t="str">
            <v>084-2026</v>
          </cell>
        </row>
        <row r="361">
          <cell r="C361" t="str">
            <v>085-2026</v>
          </cell>
        </row>
        <row r="362">
          <cell r="C362" t="str">
            <v>086-2026</v>
          </cell>
        </row>
        <row r="363">
          <cell r="C363" t="str">
            <v>087-2026</v>
          </cell>
        </row>
        <row r="364">
          <cell r="C364" t="str">
            <v>088-2026</v>
          </cell>
        </row>
        <row r="365">
          <cell r="C365" t="str">
            <v>089-2026</v>
          </cell>
        </row>
        <row r="366">
          <cell r="C366" t="str">
            <v>090-2026</v>
          </cell>
        </row>
        <row r="367">
          <cell r="C367" t="str">
            <v>091-2026</v>
          </cell>
        </row>
        <row r="368">
          <cell r="C368" t="str">
            <v>092-2026</v>
          </cell>
        </row>
        <row r="369">
          <cell r="C369" t="str">
            <v>093-2026</v>
          </cell>
        </row>
        <row r="370">
          <cell r="C370" t="str">
            <v>096-2026</v>
          </cell>
        </row>
        <row r="371">
          <cell r="C371" t="str">
            <v>097-2026</v>
          </cell>
        </row>
        <row r="372">
          <cell r="C372" t="str">
            <v>098-2026</v>
          </cell>
        </row>
        <row r="373">
          <cell r="C373" t="str">
            <v>099-2026</v>
          </cell>
        </row>
        <row r="374">
          <cell r="C374" t="str">
            <v>100-2026</v>
          </cell>
        </row>
        <row r="375">
          <cell r="C375" t="str">
            <v>101-2026</v>
          </cell>
        </row>
        <row r="376">
          <cell r="C376" t="str">
            <v>102-2026</v>
          </cell>
        </row>
        <row r="377">
          <cell r="C377" t="str">
            <v>103-2026</v>
          </cell>
        </row>
        <row r="378">
          <cell r="C378" t="str">
            <v>104-2026</v>
          </cell>
        </row>
        <row r="379">
          <cell r="C379" t="str">
            <v>107-2026</v>
          </cell>
        </row>
        <row r="380">
          <cell r="C380" t="str">
            <v>108-2026</v>
          </cell>
        </row>
        <row r="381">
          <cell r="C381" t="str">
            <v>109-2026</v>
          </cell>
        </row>
        <row r="382">
          <cell r="C382" t="str">
            <v>110-2026</v>
          </cell>
        </row>
        <row r="383">
          <cell r="C383" t="str">
            <v>111-2026</v>
          </cell>
        </row>
        <row r="384">
          <cell r="C384" t="str">
            <v>112-2026</v>
          </cell>
        </row>
        <row r="385">
          <cell r="C385" t="str">
            <v>113-2026</v>
          </cell>
        </row>
        <row r="386">
          <cell r="C386" t="str">
            <v>114-2026</v>
          </cell>
        </row>
        <row r="387">
          <cell r="C387" t="str">
            <v>118-2026</v>
          </cell>
        </row>
        <row r="388">
          <cell r="C388" t="str">
            <v>123-2026</v>
          </cell>
        </row>
        <row r="389">
          <cell r="C389" t="str">
            <v>147-2026</v>
          </cell>
        </row>
        <row r="390">
          <cell r="C390" t="str">
            <v>148-2026</v>
          </cell>
        </row>
        <row r="391">
          <cell r="C391" t="str">
            <v>149-2026</v>
          </cell>
        </row>
        <row r="392">
          <cell r="C392" t="str">
            <v>150-2026</v>
          </cell>
        </row>
        <row r="393">
          <cell r="C393" t="str">
            <v>152-2026</v>
          </cell>
        </row>
        <row r="394">
          <cell r="C394" t="str">
            <v>154-2026</v>
          </cell>
        </row>
        <row r="395">
          <cell r="C395" t="str">
            <v>157-2026</v>
          </cell>
        </row>
        <row r="396">
          <cell r="C396" t="str">
            <v>158-2026</v>
          </cell>
        </row>
        <row r="397">
          <cell r="C397" t="str">
            <v>159-2026</v>
          </cell>
        </row>
        <row r="398">
          <cell r="C398" t="str">
            <v>160-2026</v>
          </cell>
        </row>
        <row r="399">
          <cell r="C399" t="str">
            <v>161-2026</v>
          </cell>
        </row>
        <row r="400">
          <cell r="C400" t="str">
            <v>162-2026</v>
          </cell>
        </row>
        <row r="401">
          <cell r="C401" t="str">
            <v>163-2026</v>
          </cell>
        </row>
        <row r="402">
          <cell r="C402" t="str">
            <v>164-2026</v>
          </cell>
        </row>
        <row r="403">
          <cell r="C403" t="str">
            <v>165-2026</v>
          </cell>
        </row>
        <row r="404">
          <cell r="C404" t="str">
            <v>166-2026</v>
          </cell>
        </row>
        <row r="405">
          <cell r="C405" t="str">
            <v>167-2026</v>
          </cell>
        </row>
        <row r="406">
          <cell r="C406" t="str">
            <v>168-2026</v>
          </cell>
        </row>
        <row r="407">
          <cell r="C407" t="str">
            <v>169-2026</v>
          </cell>
        </row>
        <row r="408">
          <cell r="C408" t="str">
            <v>170-2026</v>
          </cell>
        </row>
        <row r="409">
          <cell r="C409" t="str">
            <v>171-2026</v>
          </cell>
        </row>
        <row r="410">
          <cell r="C410" t="str">
            <v>172-2026</v>
          </cell>
        </row>
        <row r="411">
          <cell r="C411" t="str">
            <v>173-2026</v>
          </cell>
        </row>
        <row r="412">
          <cell r="C412" t="str">
            <v>174-2026</v>
          </cell>
        </row>
        <row r="413">
          <cell r="C413" t="str">
            <v>175-2026</v>
          </cell>
        </row>
        <row r="414">
          <cell r="C414" t="str">
            <v>176-2026</v>
          </cell>
        </row>
        <row r="415">
          <cell r="C415" t="str">
            <v>177-2026</v>
          </cell>
        </row>
        <row r="416">
          <cell r="C416" t="str">
            <v>178-2026</v>
          </cell>
        </row>
        <row r="417">
          <cell r="C417" t="str">
            <v>179-2026</v>
          </cell>
        </row>
        <row r="418">
          <cell r="C418" t="str">
            <v>180-2026</v>
          </cell>
        </row>
        <row r="419">
          <cell r="C419" t="str">
            <v>181-2026</v>
          </cell>
        </row>
        <row r="420">
          <cell r="C420" t="str">
            <v>182-2026</v>
          </cell>
        </row>
        <row r="421">
          <cell r="C421" t="str">
            <v>183-2026</v>
          </cell>
        </row>
        <row r="422">
          <cell r="C422" t="str">
            <v>184-2026</v>
          </cell>
        </row>
        <row r="423">
          <cell r="C423" t="str">
            <v>185-2026</v>
          </cell>
        </row>
        <row r="424">
          <cell r="C424" t="str">
            <v>186-2026</v>
          </cell>
        </row>
        <row r="425">
          <cell r="C425" t="str">
            <v>187-2026</v>
          </cell>
        </row>
        <row r="426">
          <cell r="C426" t="str">
            <v>188-2026</v>
          </cell>
        </row>
        <row r="427">
          <cell r="C427" t="str">
            <v>189-2026</v>
          </cell>
        </row>
        <row r="428">
          <cell r="C428" t="str">
            <v>190-2026</v>
          </cell>
        </row>
        <row r="429">
          <cell r="C429" t="str">
            <v>191-2026</v>
          </cell>
        </row>
        <row r="430">
          <cell r="C430" t="str">
            <v>192-2026</v>
          </cell>
        </row>
        <row r="431">
          <cell r="C431" t="str">
            <v>193-2026</v>
          </cell>
        </row>
        <row r="432">
          <cell r="C432" t="str">
            <v>194-2026</v>
          </cell>
        </row>
        <row r="433">
          <cell r="C433" t="str">
            <v>195-2026</v>
          </cell>
        </row>
        <row r="434">
          <cell r="C434" t="str">
            <v>196-2026</v>
          </cell>
        </row>
        <row r="435">
          <cell r="C435" t="str">
            <v>197-2026</v>
          </cell>
        </row>
        <row r="436">
          <cell r="C436" t="str">
            <v>198-2026</v>
          </cell>
        </row>
        <row r="437">
          <cell r="C437" t="str">
            <v>199-2026</v>
          </cell>
        </row>
        <row r="438">
          <cell r="C438" t="str">
            <v>200-2026</v>
          </cell>
        </row>
        <row r="439">
          <cell r="C439" t="str">
            <v>201-2026</v>
          </cell>
        </row>
        <row r="440">
          <cell r="C440" t="str">
            <v>202-2026</v>
          </cell>
        </row>
        <row r="441">
          <cell r="C441" t="str">
            <v>203-2026</v>
          </cell>
        </row>
        <row r="442">
          <cell r="C442" t="str">
            <v>204-2026</v>
          </cell>
        </row>
        <row r="443">
          <cell r="C443" t="str">
            <v>205-2026</v>
          </cell>
        </row>
        <row r="444">
          <cell r="C444" t="str">
            <v>206-2026</v>
          </cell>
        </row>
        <row r="445">
          <cell r="C445" t="str">
            <v>207-2026</v>
          </cell>
        </row>
        <row r="446">
          <cell r="C446" t="str">
            <v>208-2026</v>
          </cell>
        </row>
        <row r="447">
          <cell r="C447" t="str">
            <v>209-2026</v>
          </cell>
        </row>
        <row r="448">
          <cell r="C448" t="str">
            <v>210-2026</v>
          </cell>
        </row>
        <row r="449">
          <cell r="C449" t="str">
            <v>211-2026</v>
          </cell>
        </row>
        <row r="450">
          <cell r="C450" t="str">
            <v>212-2026</v>
          </cell>
        </row>
        <row r="451">
          <cell r="C451" t="str">
            <v>213-2026</v>
          </cell>
        </row>
        <row r="452">
          <cell r="C452" t="str">
            <v>214-2026</v>
          </cell>
        </row>
        <row r="453">
          <cell r="C453" t="str">
            <v>215-2026</v>
          </cell>
        </row>
        <row r="454">
          <cell r="C454" t="str">
            <v>216-2026</v>
          </cell>
        </row>
        <row r="455">
          <cell r="C455" t="str">
            <v>217-2026</v>
          </cell>
        </row>
        <row r="456">
          <cell r="C456" t="str">
            <v>218-2026</v>
          </cell>
        </row>
        <row r="457">
          <cell r="C457" t="str">
            <v>219-2026</v>
          </cell>
        </row>
        <row r="458">
          <cell r="C458" t="str">
            <v>220-2026</v>
          </cell>
        </row>
        <row r="459">
          <cell r="C459" t="str">
            <v>221-2026</v>
          </cell>
        </row>
        <row r="460">
          <cell r="C460" t="str">
            <v>222-2026</v>
          </cell>
        </row>
        <row r="461">
          <cell r="C461" t="str">
            <v>223-2026</v>
          </cell>
        </row>
        <row r="462">
          <cell r="C462" t="str">
            <v>224-2026</v>
          </cell>
        </row>
        <row r="463">
          <cell r="C463" t="str">
            <v>225-2026</v>
          </cell>
        </row>
        <row r="464">
          <cell r="C464" t="str">
            <v>226-2026</v>
          </cell>
        </row>
        <row r="465">
          <cell r="C465" t="str">
            <v>227-2026</v>
          </cell>
        </row>
        <row r="466">
          <cell r="C466" t="str">
            <v>228-2026</v>
          </cell>
        </row>
        <row r="467">
          <cell r="C467" t="str">
            <v>229-2026</v>
          </cell>
        </row>
        <row r="468">
          <cell r="C468" t="str">
            <v>230-2026</v>
          </cell>
        </row>
        <row r="469">
          <cell r="C469" t="str">
            <v>231-2026</v>
          </cell>
        </row>
        <row r="470">
          <cell r="C470" t="str">
            <v>232-2026</v>
          </cell>
        </row>
        <row r="471">
          <cell r="C471" t="str">
            <v>233-2026</v>
          </cell>
        </row>
        <row r="472">
          <cell r="C472" t="str">
            <v>234-2026</v>
          </cell>
        </row>
        <row r="473">
          <cell r="C473" t="str">
            <v>235-2026</v>
          </cell>
        </row>
        <row r="474">
          <cell r="C474" t="str">
            <v>236-2026</v>
          </cell>
        </row>
        <row r="475">
          <cell r="C475" t="str">
            <v>237-2026</v>
          </cell>
        </row>
        <row r="476">
          <cell r="C476" t="str">
            <v>238-2026</v>
          </cell>
        </row>
        <row r="477">
          <cell r="C477" t="str">
            <v>240-2026</v>
          </cell>
        </row>
        <row r="478">
          <cell r="C478" t="str">
            <v>241-2026</v>
          </cell>
        </row>
        <row r="479">
          <cell r="C479" t="str">
            <v>242-2026</v>
          </cell>
        </row>
        <row r="480">
          <cell r="C480" t="str">
            <v>243-2026</v>
          </cell>
        </row>
        <row r="481">
          <cell r="C481" t="str">
            <v>244-2026</v>
          </cell>
        </row>
        <row r="482">
          <cell r="C482" t="str">
            <v>245-2026</v>
          </cell>
        </row>
        <row r="483">
          <cell r="C483" t="str">
            <v>246-2026</v>
          </cell>
        </row>
        <row r="484">
          <cell r="C484" t="str">
            <v>248-2026</v>
          </cell>
        </row>
        <row r="485">
          <cell r="C485" t="str">
            <v>249-2026</v>
          </cell>
        </row>
        <row r="486">
          <cell r="C486" t="str">
            <v>250-2026</v>
          </cell>
        </row>
        <row r="487">
          <cell r="C487" t="str">
            <v>251-2026</v>
          </cell>
        </row>
        <row r="488">
          <cell r="C488" t="str">
            <v>252-2026</v>
          </cell>
        </row>
        <row r="489">
          <cell r="C489" t="str">
            <v>253-2026</v>
          </cell>
        </row>
        <row r="490">
          <cell r="C490" t="str">
            <v>254-2026</v>
          </cell>
        </row>
        <row r="491">
          <cell r="C491" t="str">
            <v>255-2026</v>
          </cell>
        </row>
        <row r="492">
          <cell r="C492" t="str">
            <v>256-2026</v>
          </cell>
        </row>
        <row r="493">
          <cell r="C493" t="str">
            <v>257-2026</v>
          </cell>
        </row>
        <row r="494">
          <cell r="C494" t="str">
            <v>258-2026</v>
          </cell>
        </row>
        <row r="495">
          <cell r="C495" t="str">
            <v>259-2026</v>
          </cell>
        </row>
        <row r="496">
          <cell r="C496" t="str">
            <v>260-2026</v>
          </cell>
        </row>
        <row r="497">
          <cell r="C497" t="str">
            <v>261-2026</v>
          </cell>
        </row>
        <row r="498">
          <cell r="C498" t="str">
            <v>262-2026</v>
          </cell>
        </row>
        <row r="499">
          <cell r="C499" t="str">
            <v>263-2026</v>
          </cell>
        </row>
        <row r="500">
          <cell r="C500" t="str">
            <v>264-2026</v>
          </cell>
        </row>
        <row r="501">
          <cell r="C501" t="str">
            <v>265-2026</v>
          </cell>
        </row>
        <row r="502">
          <cell r="C502" t="str">
            <v>266-2026</v>
          </cell>
        </row>
        <row r="503">
          <cell r="C503" t="str">
            <v>267-2026</v>
          </cell>
        </row>
        <row r="504">
          <cell r="C504" t="str">
            <v>268-2026</v>
          </cell>
        </row>
        <row r="505">
          <cell r="C505" t="str">
            <v>269-2026</v>
          </cell>
        </row>
        <row r="506">
          <cell r="C506" t="str">
            <v>270-2026</v>
          </cell>
        </row>
        <row r="507">
          <cell r="C507" t="str">
            <v>271-2026</v>
          </cell>
        </row>
        <row r="508">
          <cell r="C508" t="str">
            <v>273-2026</v>
          </cell>
        </row>
        <row r="509">
          <cell r="C509" t="str">
            <v>274-2026</v>
          </cell>
        </row>
        <row r="510">
          <cell r="C510" t="str">
            <v>275-2026</v>
          </cell>
        </row>
        <row r="511">
          <cell r="C511" t="str">
            <v>276-2026</v>
          </cell>
        </row>
        <row r="512">
          <cell r="C512" t="str">
            <v>277-2026</v>
          </cell>
        </row>
        <row r="513">
          <cell r="C513" t="str">
            <v>278-2026</v>
          </cell>
        </row>
        <row r="514">
          <cell r="C514" t="str">
            <v>279-2026</v>
          </cell>
        </row>
        <row r="515">
          <cell r="C515" t="str">
            <v>280-2026</v>
          </cell>
        </row>
        <row r="516">
          <cell r="C516" t="str">
            <v>281-2026</v>
          </cell>
        </row>
        <row r="517">
          <cell r="C517" t="str">
            <v>282-2026</v>
          </cell>
        </row>
        <row r="518">
          <cell r="C518" t="str">
            <v>283-2026</v>
          </cell>
        </row>
        <row r="519">
          <cell r="C519" t="str">
            <v>284-2026</v>
          </cell>
        </row>
        <row r="520">
          <cell r="C520" t="str">
            <v>285-2026</v>
          </cell>
        </row>
        <row r="521">
          <cell r="C521" t="str">
            <v>286-2026</v>
          </cell>
        </row>
        <row r="522">
          <cell r="C522" t="str">
            <v>287-2026</v>
          </cell>
        </row>
        <row r="523">
          <cell r="C523" t="str">
            <v>288-2026</v>
          </cell>
        </row>
        <row r="524">
          <cell r="C524" t="str">
            <v>289-2026</v>
          </cell>
        </row>
        <row r="525">
          <cell r="C525" t="str">
            <v>290-2026</v>
          </cell>
        </row>
        <row r="526">
          <cell r="C526" t="str">
            <v>291-2026</v>
          </cell>
        </row>
        <row r="527">
          <cell r="C527" t="str">
            <v>292-2026</v>
          </cell>
        </row>
        <row r="528">
          <cell r="C528" t="str">
            <v>293-2026</v>
          </cell>
        </row>
        <row r="529">
          <cell r="C529" t="str">
            <v>294-2026</v>
          </cell>
        </row>
        <row r="530">
          <cell r="C530" t="str">
            <v>295-2026</v>
          </cell>
        </row>
        <row r="531">
          <cell r="C531" t="str">
            <v>296-2026</v>
          </cell>
        </row>
        <row r="532">
          <cell r="C532" t="str">
            <v>297-2026</v>
          </cell>
        </row>
        <row r="533">
          <cell r="C533" t="str">
            <v>298-2026</v>
          </cell>
        </row>
        <row r="534">
          <cell r="C534" t="str">
            <v>299-2026</v>
          </cell>
        </row>
        <row r="535">
          <cell r="C535" t="str">
            <v>300-2026</v>
          </cell>
        </row>
        <row r="536">
          <cell r="C536" t="str">
            <v>301-2026</v>
          </cell>
        </row>
        <row r="537">
          <cell r="C537" t="str">
            <v>302-2026</v>
          </cell>
        </row>
        <row r="538">
          <cell r="C538" t="str">
            <v>303-2026</v>
          </cell>
        </row>
        <row r="539">
          <cell r="C539" t="str">
            <v>304-2026</v>
          </cell>
        </row>
        <row r="540">
          <cell r="C540" t="str">
            <v>305-2026</v>
          </cell>
        </row>
        <row r="541">
          <cell r="C541" t="str">
            <v>306-2026</v>
          </cell>
        </row>
        <row r="542">
          <cell r="C542" t="str">
            <v>307-2026</v>
          </cell>
        </row>
        <row r="543">
          <cell r="C543" t="str">
            <v>308-2026</v>
          </cell>
        </row>
        <row r="544">
          <cell r="C544" t="str">
            <v>309-2026</v>
          </cell>
        </row>
        <row r="545">
          <cell r="C545" t="str">
            <v>310-2026</v>
          </cell>
        </row>
        <row r="546">
          <cell r="C546" t="str">
            <v>311-2026</v>
          </cell>
        </row>
        <row r="547">
          <cell r="C547" t="str">
            <v>312-2026</v>
          </cell>
        </row>
        <row r="548">
          <cell r="C548" t="str">
            <v>313-2026</v>
          </cell>
        </row>
        <row r="549">
          <cell r="C549" t="str">
            <v>314-2026</v>
          </cell>
        </row>
        <row r="550">
          <cell r="C550" t="str">
            <v>315-2026</v>
          </cell>
        </row>
        <row r="551">
          <cell r="C551" t="str">
            <v>316-2026</v>
          </cell>
        </row>
        <row r="552">
          <cell r="C552" t="str">
            <v>317-2026</v>
          </cell>
        </row>
        <row r="553">
          <cell r="C553" t="str">
            <v>318-2026</v>
          </cell>
        </row>
        <row r="554">
          <cell r="C554" t="str">
            <v>319-2026</v>
          </cell>
        </row>
        <row r="555">
          <cell r="C555" t="str">
            <v>320-2026</v>
          </cell>
        </row>
        <row r="556">
          <cell r="C556" t="str">
            <v>321-2026</v>
          </cell>
        </row>
        <row r="557">
          <cell r="C557" t="str">
            <v>322-2026</v>
          </cell>
        </row>
        <row r="558">
          <cell r="C558" t="str">
            <v>323-2026</v>
          </cell>
        </row>
        <row r="559">
          <cell r="C559" t="str">
            <v>324-2026</v>
          </cell>
        </row>
        <row r="560">
          <cell r="C560" t="str">
            <v>325-2026</v>
          </cell>
        </row>
        <row r="561">
          <cell r="C561" t="str">
            <v>326-2026</v>
          </cell>
        </row>
        <row r="562">
          <cell r="C562" t="str">
            <v>327-2026</v>
          </cell>
        </row>
        <row r="563">
          <cell r="C563" t="str">
            <v>328-2026</v>
          </cell>
        </row>
        <row r="564">
          <cell r="C564" t="str">
            <v>329-2026</v>
          </cell>
        </row>
        <row r="565">
          <cell r="C565" t="str">
            <v>330-2026</v>
          </cell>
        </row>
        <row r="566">
          <cell r="C566" t="str">
            <v>331-2026</v>
          </cell>
        </row>
        <row r="567">
          <cell r="C567" t="str">
            <v>332-2026</v>
          </cell>
        </row>
        <row r="568">
          <cell r="C568" t="str">
            <v>333-2026</v>
          </cell>
        </row>
        <row r="569">
          <cell r="C569" t="str">
            <v>334-2026</v>
          </cell>
        </row>
        <row r="570">
          <cell r="C570" t="str">
            <v>336-2026</v>
          </cell>
        </row>
        <row r="571">
          <cell r="C571" t="str">
            <v>338-2026</v>
          </cell>
        </row>
        <row r="572">
          <cell r="C572" t="str">
            <v>339-2026</v>
          </cell>
        </row>
        <row r="573">
          <cell r="C573" t="str">
            <v>341-2026</v>
          </cell>
        </row>
        <row r="574">
          <cell r="C574" t="str">
            <v>342-2026</v>
          </cell>
        </row>
        <row r="575">
          <cell r="C575" t="str">
            <v>343-2026</v>
          </cell>
        </row>
        <row r="576">
          <cell r="C576" t="str">
            <v>345-2026</v>
          </cell>
        </row>
        <row r="577">
          <cell r="C577" t="str">
            <v>346-2026</v>
          </cell>
        </row>
        <row r="578">
          <cell r="C578" t="str">
            <v>347-2026</v>
          </cell>
        </row>
        <row r="579">
          <cell r="C579" t="str">
            <v>348-2026</v>
          </cell>
        </row>
        <row r="580">
          <cell r="C580" t="str">
            <v>349-2026</v>
          </cell>
        </row>
        <row r="581">
          <cell r="C581" t="str">
            <v>350-2026</v>
          </cell>
        </row>
        <row r="582">
          <cell r="C582" t="str">
            <v>351-2026</v>
          </cell>
        </row>
        <row r="583">
          <cell r="C583" t="str">
            <v>352-2026</v>
          </cell>
        </row>
        <row r="584">
          <cell r="C584" t="str">
            <v>353-2026</v>
          </cell>
        </row>
        <row r="585">
          <cell r="C585" t="str">
            <v>354-2026</v>
          </cell>
        </row>
        <row r="586">
          <cell r="C586" t="str">
            <v>355-2026</v>
          </cell>
        </row>
        <row r="587">
          <cell r="C587" t="str">
            <v>356-2026</v>
          </cell>
        </row>
        <row r="588">
          <cell r="C588" t="str">
            <v>357-2026</v>
          </cell>
        </row>
        <row r="589">
          <cell r="C589" t="str">
            <v>358-2026</v>
          </cell>
        </row>
        <row r="590">
          <cell r="C590" t="str">
            <v>359-2026</v>
          </cell>
        </row>
        <row r="591">
          <cell r="C591" t="str">
            <v>360-2026</v>
          </cell>
        </row>
        <row r="592">
          <cell r="C592" t="str">
            <v>361-2026</v>
          </cell>
        </row>
        <row r="593">
          <cell r="C593" t="str">
            <v>362-2026</v>
          </cell>
        </row>
        <row r="594">
          <cell r="C594" t="str">
            <v>363-2026</v>
          </cell>
        </row>
        <row r="595">
          <cell r="C595" t="str">
            <v>364-2026</v>
          </cell>
        </row>
        <row r="596">
          <cell r="C596" t="str">
            <v>365-2026</v>
          </cell>
        </row>
        <row r="597">
          <cell r="C597" t="str">
            <v>366-2026</v>
          </cell>
        </row>
        <row r="598">
          <cell r="C598" t="str">
            <v>367-2026</v>
          </cell>
        </row>
        <row r="599">
          <cell r="C599" t="str">
            <v>368-2026</v>
          </cell>
        </row>
        <row r="600">
          <cell r="C600" t="str">
            <v>369-2026</v>
          </cell>
        </row>
        <row r="601">
          <cell r="C601" t="str">
            <v>370-2026</v>
          </cell>
        </row>
        <row r="602">
          <cell r="C602" t="str">
            <v>371-2026</v>
          </cell>
        </row>
        <row r="603">
          <cell r="C603" t="str">
            <v>372-2026</v>
          </cell>
        </row>
        <row r="604">
          <cell r="C604" t="str">
            <v>375-2026</v>
          </cell>
        </row>
        <row r="605">
          <cell r="C605" t="str">
            <v>376-2026</v>
          </cell>
        </row>
        <row r="606">
          <cell r="C606" t="str">
            <v>377-2026</v>
          </cell>
        </row>
        <row r="607">
          <cell r="C607" t="str">
            <v>379-2026</v>
          </cell>
        </row>
        <row r="608">
          <cell r="C608" t="str">
            <v>380-2026</v>
          </cell>
        </row>
        <row r="609">
          <cell r="C609" t="str">
            <v>381-2026</v>
          </cell>
        </row>
        <row r="610">
          <cell r="C610" t="str">
            <v>382-2026</v>
          </cell>
        </row>
        <row r="611">
          <cell r="C611" t="str">
            <v>383-2026</v>
          </cell>
        </row>
        <row r="612">
          <cell r="C612" t="str">
            <v>384-2026</v>
          </cell>
        </row>
        <row r="613">
          <cell r="C613" t="str">
            <v>385-2026</v>
          </cell>
        </row>
        <row r="614">
          <cell r="C614" t="str">
            <v>387-2026</v>
          </cell>
        </row>
        <row r="615">
          <cell r="C615" t="str">
            <v>388-2026</v>
          </cell>
        </row>
        <row r="616">
          <cell r="C616" t="str">
            <v>389-2026</v>
          </cell>
        </row>
        <row r="617">
          <cell r="C617" t="str">
            <v>390-2026</v>
          </cell>
        </row>
        <row r="618">
          <cell r="C618" t="str">
            <v>392-2026</v>
          </cell>
        </row>
        <row r="619">
          <cell r="C619" t="str">
            <v>395-2026</v>
          </cell>
        </row>
        <row r="620">
          <cell r="C620" t="str">
            <v>397-2026</v>
          </cell>
        </row>
        <row r="621">
          <cell r="C621" t="str">
            <v>400-2026</v>
          </cell>
        </row>
        <row r="622">
          <cell r="C622" t="str">
            <v>402-2026</v>
          </cell>
        </row>
        <row r="623">
          <cell r="C623" t="str">
            <v>403-2026</v>
          </cell>
        </row>
        <row r="624">
          <cell r="C624" t="str">
            <v>404-2026</v>
          </cell>
        </row>
        <row r="625">
          <cell r="C625" t="str">
            <v>407-2026</v>
          </cell>
        </row>
        <row r="626">
          <cell r="C626" t="str">
            <v>412-2026</v>
          </cell>
        </row>
        <row r="627">
          <cell r="C627" t="str">
            <v>414-2026</v>
          </cell>
        </row>
        <row r="628">
          <cell r="C628" t="str">
            <v>420-2026</v>
          </cell>
        </row>
        <row r="629">
          <cell r="C629" t="str">
            <v>434-2026</v>
          </cell>
        </row>
        <row r="630">
          <cell r="C630" t="str">
            <v>435-2026</v>
          </cell>
        </row>
        <row r="631">
          <cell r="C631" t="str">
            <v>437-2026</v>
          </cell>
        </row>
        <row r="632">
          <cell r="C632" t="str">
            <v>438-2026</v>
          </cell>
        </row>
        <row r="633">
          <cell r="C633" t="str">
            <v>441-2026</v>
          </cell>
        </row>
        <row r="634">
          <cell r="C634" t="str">
            <v>444-2026</v>
          </cell>
        </row>
        <row r="635">
          <cell r="C635" t="str">
            <v>445-2026</v>
          </cell>
        </row>
        <row r="636">
          <cell r="C636" t="str">
            <v>446-2026</v>
          </cell>
        </row>
        <row r="637">
          <cell r="C637" t="str">
            <v>447-2026</v>
          </cell>
        </row>
        <row r="638">
          <cell r="C638" t="str">
            <v>448-2026</v>
          </cell>
        </row>
        <row r="639">
          <cell r="C639" t="str">
            <v>449-2026</v>
          </cell>
        </row>
        <row r="640">
          <cell r="C640" t="str">
            <v>450-2026</v>
          </cell>
        </row>
        <row r="641">
          <cell r="C641" t="str">
            <v>451-2026</v>
          </cell>
        </row>
        <row r="642">
          <cell r="C642" t="str">
            <v>452-2026</v>
          </cell>
        </row>
        <row r="643">
          <cell r="C643" t="str">
            <v>453-2026</v>
          </cell>
        </row>
        <row r="644">
          <cell r="C644" t="str">
            <v>454-2026</v>
          </cell>
        </row>
        <row r="645">
          <cell r="C645" t="str">
            <v>455-2026</v>
          </cell>
        </row>
        <row r="646">
          <cell r="C646" t="str">
            <v>456-2026</v>
          </cell>
        </row>
        <row r="647">
          <cell r="C647" t="str">
            <v>457-2026</v>
          </cell>
        </row>
        <row r="648">
          <cell r="C648" t="str">
            <v>458-2026</v>
          </cell>
        </row>
        <row r="649">
          <cell r="C649" t="str">
            <v>477-2026</v>
          </cell>
        </row>
        <row r="650">
          <cell r="C650" t="str">
            <v>495-2026</v>
          </cell>
        </row>
        <row r="651">
          <cell r="C651" t="str">
            <v>500-2026</v>
          </cell>
        </row>
        <row r="652">
          <cell r="C652" t="str">
            <v>506-2026</v>
          </cell>
        </row>
        <row r="653">
          <cell r="C653" t="str">
            <v>507-2026</v>
          </cell>
        </row>
        <row r="654">
          <cell r="C654" t="str">
            <v>508-2026</v>
          </cell>
        </row>
        <row r="655">
          <cell r="C655" t="str">
            <v>509-2026</v>
          </cell>
        </row>
        <row r="656">
          <cell r="C656" t="str">
            <v>512-2026</v>
          </cell>
        </row>
        <row r="657">
          <cell r="C657" t="str">
            <v>514-2026</v>
          </cell>
        </row>
        <row r="658">
          <cell r="C658" t="str">
            <v>515-2026</v>
          </cell>
        </row>
        <row r="659">
          <cell r="C659" t="str">
            <v>516-2026</v>
          </cell>
        </row>
        <row r="660">
          <cell r="C660" t="str">
            <v>523-2026</v>
          </cell>
        </row>
        <row r="661">
          <cell r="C661" t="str">
            <v>525-2026</v>
          </cell>
        </row>
        <row r="662">
          <cell r="C662" t="str">
            <v>526-2026</v>
          </cell>
        </row>
        <row r="663">
          <cell r="C663" t="str">
            <v>532-2026</v>
          </cell>
        </row>
        <row r="664">
          <cell r="C664" t="str">
            <v>533-2026</v>
          </cell>
        </row>
        <row r="665">
          <cell r="C665" t="str">
            <v>536-2026</v>
          </cell>
        </row>
        <row r="666">
          <cell r="C666" t="str">
            <v>537-2026</v>
          </cell>
        </row>
        <row r="667">
          <cell r="C667" t="str">
            <v>538-2026</v>
          </cell>
        </row>
        <row r="668">
          <cell r="C668" t="str">
            <v>540-2026</v>
          </cell>
        </row>
        <row r="669">
          <cell r="C669" t="str">
            <v>541-2026</v>
          </cell>
        </row>
        <row r="670">
          <cell r="C670" t="str">
            <v>542-2026</v>
          </cell>
        </row>
        <row r="671">
          <cell r="C671" t="str">
            <v>543-2026</v>
          </cell>
        </row>
        <row r="672">
          <cell r="C672" t="str">
            <v>544-2026</v>
          </cell>
        </row>
        <row r="673">
          <cell r="C673" t="str">
            <v>545-2026</v>
          </cell>
        </row>
        <row r="674">
          <cell r="C674" t="str">
            <v>549-2026</v>
          </cell>
        </row>
        <row r="675">
          <cell r="C675" t="str">
            <v>551-2026</v>
          </cell>
        </row>
        <row r="676">
          <cell r="C676" t="str">
            <v>552-2026</v>
          </cell>
        </row>
        <row r="677">
          <cell r="C677" t="str">
            <v>553-2026</v>
          </cell>
        </row>
        <row r="678">
          <cell r="C678" t="str">
            <v>555-2026</v>
          </cell>
        </row>
        <row r="679">
          <cell r="C679" t="str">
            <v>556-2026</v>
          </cell>
        </row>
        <row r="680">
          <cell r="C680" t="str">
            <v>557-2026</v>
          </cell>
        </row>
        <row r="681">
          <cell r="C681" t="str">
            <v>558-2026</v>
          </cell>
        </row>
        <row r="682">
          <cell r="C682" t="str">
            <v>561-2026</v>
          </cell>
        </row>
        <row r="683">
          <cell r="C683" t="str">
            <v>562-2026</v>
          </cell>
        </row>
        <row r="684">
          <cell r="C684" t="str">
            <v>563-2026</v>
          </cell>
        </row>
        <row r="685">
          <cell r="C685" t="str">
            <v>564-2026</v>
          </cell>
        </row>
        <row r="686">
          <cell r="C686" t="str">
            <v>565-2026</v>
          </cell>
        </row>
        <row r="687">
          <cell r="C687" t="str">
            <v>566-2026</v>
          </cell>
        </row>
        <row r="688">
          <cell r="C688" t="str">
            <v>568-2026</v>
          </cell>
        </row>
        <row r="689">
          <cell r="C689" t="str">
            <v>575-2026</v>
          </cell>
        </row>
        <row r="690">
          <cell r="C690" t="str">
            <v>578-2026</v>
          </cell>
        </row>
        <row r="691">
          <cell r="C691" t="str">
            <v>587-2026</v>
          </cell>
        </row>
        <row r="692">
          <cell r="C692" t="str">
            <v>589-2026</v>
          </cell>
        </row>
        <row r="693">
          <cell r="C693" t="str">
            <v>591-2026</v>
          </cell>
        </row>
        <row r="694">
          <cell r="C694" t="str">
            <v>593-2026</v>
          </cell>
        </row>
        <row r="695">
          <cell r="C695" t="str">
            <v>596-2026</v>
          </cell>
        </row>
        <row r="696">
          <cell r="C696" t="str">
            <v>597-2026</v>
          </cell>
        </row>
        <row r="697">
          <cell r="C697" t="str">
            <v>600-2026</v>
          </cell>
        </row>
        <row r="698">
          <cell r="C698" t="str">
            <v>603-2026</v>
          </cell>
        </row>
        <row r="699">
          <cell r="C699" t="str">
            <v>1016-2025</v>
          </cell>
        </row>
        <row r="700">
          <cell r="C700" t="str">
            <v>1018-2025</v>
          </cell>
        </row>
        <row r="701">
          <cell r="C701" t="str">
            <v>1041-2025</v>
          </cell>
        </row>
        <row r="702">
          <cell r="C702" t="str">
            <v>1076-2025</v>
          </cell>
        </row>
        <row r="703">
          <cell r="C703" t="str">
            <v>1187-2025</v>
          </cell>
        </row>
        <row r="704">
          <cell r="C704" t="str">
            <v>696-2025</v>
          </cell>
        </row>
        <row r="705">
          <cell r="C705" t="str">
            <v>874-2025</v>
          </cell>
        </row>
        <row r="706">
          <cell r="C706" t="str">
            <v>094-2026</v>
          </cell>
        </row>
        <row r="707">
          <cell r="C707" t="str">
            <v>095-2026</v>
          </cell>
        </row>
        <row r="708">
          <cell r="C708" t="str">
            <v>125-2026</v>
          </cell>
        </row>
        <row r="709">
          <cell r="C709" t="str">
            <v>1256-2025</v>
          </cell>
        </row>
        <row r="710">
          <cell r="C710" t="str">
            <v>1265-2025</v>
          </cell>
        </row>
        <row r="711">
          <cell r="C711" t="str">
            <v>1269-2025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F5F1F-895C-4B8D-8250-45172745A287}">
  <dimension ref="A1:K3406"/>
  <sheetViews>
    <sheetView tabSelected="1" topLeftCell="A3376" workbookViewId="0">
      <selection activeCell="D3384" sqref="D3384:G3409"/>
    </sheetView>
  </sheetViews>
  <sheetFormatPr baseColWidth="10" defaultColWidth="12.5703125" defaultRowHeight="15" customHeight="1" x14ac:dyDescent="0.25"/>
  <cols>
    <col min="1" max="1" width="10.42578125" style="2" bestFit="1" customWidth="1"/>
    <col min="2" max="2" width="12.42578125" bestFit="1" customWidth="1"/>
    <col min="3" max="3" width="21.140625" bestFit="1" customWidth="1"/>
    <col min="4" max="4" width="17.42578125" style="11" bestFit="1" customWidth="1"/>
    <col min="5" max="5" width="20" bestFit="1" customWidth="1"/>
    <col min="6" max="6" width="40" bestFit="1" customWidth="1"/>
    <col min="7" max="7" width="17.140625" bestFit="1" customWidth="1"/>
    <col min="8" max="8" width="11" bestFit="1" customWidth="1"/>
    <col min="9" max="9" width="49.42578125" bestFit="1" customWidth="1"/>
    <col min="10" max="10" width="13" style="26" bestFit="1" customWidth="1"/>
    <col min="11" max="26" width="10.5703125" customWidth="1"/>
  </cols>
  <sheetData>
    <row r="1" spans="1:11" ht="14.25" customHeight="1" x14ac:dyDescent="0.25">
      <c r="A1" s="31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</row>
    <row r="2" spans="1:11" x14ac:dyDescent="0.25">
      <c r="A2" s="2">
        <v>46007</v>
      </c>
      <c r="B2">
        <v>2025004086</v>
      </c>
      <c r="C2" s="35" t="s">
        <v>1268</v>
      </c>
      <c r="D2" s="11">
        <v>3000000</v>
      </c>
      <c r="E2">
        <v>1080690337</v>
      </c>
      <c r="F2" s="35" t="s">
        <v>1269</v>
      </c>
      <c r="G2" t="s">
        <v>1094</v>
      </c>
      <c r="H2" t="e">
        <f>VLOOKUP(C2,'[1]873'!$C$2:$C$711,1,0)</f>
        <v>#N/A</v>
      </c>
      <c r="J2"/>
    </row>
    <row r="3" spans="1:11" ht="14.25" customHeight="1" x14ac:dyDescent="0.25">
      <c r="A3" s="2">
        <v>46010</v>
      </c>
      <c r="B3">
        <v>2025003724</v>
      </c>
      <c r="C3" t="s">
        <v>1981</v>
      </c>
      <c r="D3" s="11">
        <v>6300000</v>
      </c>
      <c r="E3">
        <v>1085283868</v>
      </c>
      <c r="F3" t="s">
        <v>1131</v>
      </c>
      <c r="G3" t="s">
        <v>1755</v>
      </c>
      <c r="H3" t="str">
        <f>VLOOKUP(C3,'[1]873'!$C$2:$C$711,1,0)</f>
        <v>760-2025</v>
      </c>
    </row>
    <row r="4" spans="1:11" ht="14.25" customHeight="1" x14ac:dyDescent="0.25">
      <c r="A4" s="2">
        <v>46015</v>
      </c>
      <c r="B4">
        <v>2025004175</v>
      </c>
      <c r="C4" t="s">
        <v>1262</v>
      </c>
      <c r="D4" s="11">
        <v>3000000</v>
      </c>
      <c r="E4" s="35">
        <v>1086222977</v>
      </c>
      <c r="F4" s="35" t="s">
        <v>987</v>
      </c>
      <c r="G4" t="s">
        <v>1094</v>
      </c>
      <c r="H4" t="e">
        <f>VLOOKUP(C4,'[1]873'!$C$2:$C$711,1,0)</f>
        <v>#N/A</v>
      </c>
      <c r="I4" s="25"/>
      <c r="K4" s="27"/>
    </row>
    <row r="5" spans="1:11" ht="14.25" customHeight="1" x14ac:dyDescent="0.25">
      <c r="A5" s="2">
        <v>46011</v>
      </c>
      <c r="B5">
        <v>2025003825</v>
      </c>
      <c r="C5" t="s">
        <v>1838</v>
      </c>
      <c r="D5" s="11">
        <v>6300000</v>
      </c>
      <c r="E5">
        <v>1084228089</v>
      </c>
      <c r="F5" t="s">
        <v>1062</v>
      </c>
      <c r="G5" t="s">
        <v>1755</v>
      </c>
      <c r="H5" t="str">
        <f>VLOOKUP(C5,'[1]873'!$C$2:$C$711,1,0)</f>
        <v>775-2025</v>
      </c>
    </row>
    <row r="6" spans="1:11" ht="14.25" customHeight="1" x14ac:dyDescent="0.25">
      <c r="A6" s="2">
        <v>46011</v>
      </c>
      <c r="B6">
        <v>2025003838</v>
      </c>
      <c r="C6" t="s">
        <v>1898</v>
      </c>
      <c r="D6" s="11">
        <v>3150000</v>
      </c>
      <c r="E6">
        <v>59310056</v>
      </c>
      <c r="F6" t="s">
        <v>1899</v>
      </c>
      <c r="G6" t="s">
        <v>1755</v>
      </c>
      <c r="H6" t="str">
        <f>VLOOKUP(C6,'[1]873'!$C$2:$C$711,1,0)</f>
        <v>828-2025</v>
      </c>
    </row>
    <row r="7" spans="1:11" ht="14.25" customHeight="1" x14ac:dyDescent="0.25">
      <c r="A7" s="2">
        <v>46007</v>
      </c>
      <c r="B7" s="36">
        <v>2025003783</v>
      </c>
      <c r="C7" s="35" t="s">
        <v>1272</v>
      </c>
      <c r="D7" s="11">
        <v>3000000</v>
      </c>
      <c r="E7">
        <v>1080690337</v>
      </c>
      <c r="F7" t="s">
        <v>1086</v>
      </c>
      <c r="G7" t="s">
        <v>1094</v>
      </c>
      <c r="H7" t="e">
        <f>VLOOKUP(C7,'[1]873'!$C$2:$C$711,1,0)</f>
        <v>#N/A</v>
      </c>
      <c r="I7" s="28"/>
    </row>
    <row r="8" spans="1:11" ht="14.25" customHeight="1" x14ac:dyDescent="0.25">
      <c r="A8" s="2">
        <v>46011</v>
      </c>
      <c r="B8">
        <v>2025003850</v>
      </c>
      <c r="C8" t="s">
        <v>1946</v>
      </c>
      <c r="D8" s="11">
        <v>3150000</v>
      </c>
      <c r="E8">
        <v>1004236159</v>
      </c>
      <c r="F8" t="s">
        <v>1947</v>
      </c>
      <c r="G8" t="s">
        <v>1755</v>
      </c>
      <c r="H8" t="str">
        <f>VLOOKUP(C8,'[1]873'!$C$2:$C$711,1,0)</f>
        <v>809-2025</v>
      </c>
    </row>
    <row r="9" spans="1:11" ht="14.25" customHeight="1" x14ac:dyDescent="0.25">
      <c r="A9" s="2">
        <v>46011</v>
      </c>
      <c r="B9" s="40">
        <v>2025003787</v>
      </c>
      <c r="C9" s="39" t="s">
        <v>1278</v>
      </c>
      <c r="D9" s="11">
        <v>4750000</v>
      </c>
      <c r="E9">
        <v>1086332188</v>
      </c>
      <c r="F9" s="35" t="s">
        <v>2634</v>
      </c>
      <c r="G9" t="s">
        <v>1094</v>
      </c>
      <c r="H9" t="e">
        <f>VLOOKUP(C9,'[1]873'!$C$2:$C$711,1,0)</f>
        <v>#N/A</v>
      </c>
      <c r="I9" s="27"/>
    </row>
    <row r="10" spans="1:11" ht="14.25" customHeight="1" x14ac:dyDescent="0.25">
      <c r="A10" s="2">
        <v>46011</v>
      </c>
      <c r="B10">
        <v>2025003855</v>
      </c>
      <c r="C10" t="s">
        <v>1896</v>
      </c>
      <c r="D10" s="11">
        <v>3150000</v>
      </c>
      <c r="E10">
        <v>1086224204</v>
      </c>
      <c r="F10" t="s">
        <v>1897</v>
      </c>
      <c r="G10" t="s">
        <v>1755</v>
      </c>
      <c r="H10" t="str">
        <f>VLOOKUP(C10,'[1]873'!$C$2:$C$711,1,0)</f>
        <v>896-2025</v>
      </c>
    </row>
    <row r="11" spans="1:11" ht="14.25" customHeight="1" x14ac:dyDescent="0.25">
      <c r="A11" s="2">
        <v>46007</v>
      </c>
      <c r="B11">
        <v>2025003560</v>
      </c>
      <c r="C11" t="s">
        <v>1274</v>
      </c>
      <c r="D11" s="11">
        <v>12000000</v>
      </c>
      <c r="E11">
        <v>1085254626</v>
      </c>
      <c r="F11" t="s">
        <v>143</v>
      </c>
      <c r="G11" t="s">
        <v>1094</v>
      </c>
      <c r="H11" t="e">
        <f>VLOOKUP(C11,'[1]873'!$C$2:$C$711,1,0)</f>
        <v>#N/A</v>
      </c>
      <c r="I11" s="28"/>
    </row>
    <row r="12" spans="1:11" ht="14.25" customHeight="1" x14ac:dyDescent="0.25">
      <c r="A12" s="2">
        <v>46011</v>
      </c>
      <c r="B12">
        <v>2025003860</v>
      </c>
      <c r="C12" t="s">
        <v>2003</v>
      </c>
      <c r="D12" s="11">
        <v>4730000</v>
      </c>
      <c r="E12">
        <v>59312865</v>
      </c>
      <c r="F12" t="s">
        <v>127</v>
      </c>
      <c r="G12" t="s">
        <v>1755</v>
      </c>
      <c r="H12" t="str">
        <f>VLOOKUP(C12,'[1]873'!$C$2:$C$711,1,0)</f>
        <v>739-2025</v>
      </c>
    </row>
    <row r="13" spans="1:11" ht="14.25" customHeight="1" x14ac:dyDescent="0.25">
      <c r="A13" s="2">
        <v>46007</v>
      </c>
      <c r="B13">
        <v>2025003779</v>
      </c>
      <c r="C13" s="35" t="s">
        <v>1277</v>
      </c>
      <c r="D13" s="11">
        <v>9500000</v>
      </c>
      <c r="E13">
        <v>98398650</v>
      </c>
      <c r="F13" t="s">
        <v>2635</v>
      </c>
      <c r="G13" t="s">
        <v>1094</v>
      </c>
      <c r="H13" t="e">
        <f>VLOOKUP(C13,'[1]873'!$C$2:$C$711,1,0)</f>
        <v>#N/A</v>
      </c>
      <c r="I13" s="27"/>
    </row>
    <row r="14" spans="1:11" ht="14.25" customHeight="1" x14ac:dyDescent="0.25">
      <c r="A14" s="2">
        <v>46011</v>
      </c>
      <c r="B14">
        <v>2025003861</v>
      </c>
      <c r="C14" t="s">
        <v>2103</v>
      </c>
      <c r="D14" s="11">
        <v>6300000</v>
      </c>
      <c r="E14">
        <v>1085248939</v>
      </c>
      <c r="F14" t="s">
        <v>437</v>
      </c>
      <c r="G14" t="s">
        <v>1755</v>
      </c>
      <c r="H14" t="str">
        <f>VLOOKUP(C14,'[1]873'!$C$2:$C$711,1,0)</f>
        <v>1012-2025</v>
      </c>
    </row>
    <row r="15" spans="1:11" ht="14.25" customHeight="1" x14ac:dyDescent="0.25">
      <c r="A15" s="2">
        <v>46007</v>
      </c>
      <c r="B15">
        <v>2025003382</v>
      </c>
      <c r="C15" s="35" t="s">
        <v>1275</v>
      </c>
      <c r="D15" s="11">
        <v>2500000</v>
      </c>
      <c r="E15">
        <v>1075242334</v>
      </c>
      <c r="F15" t="s">
        <v>1276</v>
      </c>
      <c r="G15" t="s">
        <v>1094</v>
      </c>
      <c r="H15" t="e">
        <f>VLOOKUP(C15,'[1]873'!$C$2:$C$711,1,0)</f>
        <v>#N/A</v>
      </c>
    </row>
    <row r="16" spans="1:11" ht="14.25" customHeight="1" x14ac:dyDescent="0.25">
      <c r="A16" s="2">
        <v>46011</v>
      </c>
      <c r="B16">
        <v>2025003869</v>
      </c>
      <c r="C16" t="s">
        <v>1901</v>
      </c>
      <c r="D16" s="11">
        <v>4730000</v>
      </c>
      <c r="E16">
        <v>1005829176</v>
      </c>
      <c r="F16" t="s">
        <v>1902</v>
      </c>
      <c r="G16" t="s">
        <v>1755</v>
      </c>
      <c r="H16" t="str">
        <f>VLOOKUP(C16,'[1]873'!$C$2:$C$711,1,0)</f>
        <v>860-2025</v>
      </c>
    </row>
    <row r="17" spans="1:9" ht="14.25" customHeight="1" x14ac:dyDescent="0.25">
      <c r="A17" s="13">
        <v>46007</v>
      </c>
      <c r="B17">
        <v>2025003795</v>
      </c>
      <c r="C17" t="s">
        <v>1273</v>
      </c>
      <c r="D17" s="11">
        <v>6000000</v>
      </c>
      <c r="E17">
        <v>27436186</v>
      </c>
      <c r="F17" t="s">
        <v>496</v>
      </c>
      <c r="G17" t="s">
        <v>1094</v>
      </c>
      <c r="H17" t="e">
        <f>VLOOKUP(C17,'[1]873'!$C$2:$C$711,1,0)</f>
        <v>#N/A</v>
      </c>
      <c r="I17" s="27"/>
    </row>
    <row r="18" spans="1:9" ht="14.25" customHeight="1" x14ac:dyDescent="0.25">
      <c r="A18" s="2">
        <v>46011</v>
      </c>
      <c r="B18">
        <v>2025003871</v>
      </c>
      <c r="C18" t="s">
        <v>1844</v>
      </c>
      <c r="D18" s="11">
        <v>7800000</v>
      </c>
      <c r="E18">
        <v>37087120</v>
      </c>
      <c r="F18" t="s">
        <v>159</v>
      </c>
      <c r="G18" t="s">
        <v>1755</v>
      </c>
      <c r="H18" t="str">
        <f>VLOOKUP(C18,'[1]873'!$C$2:$C$711,1,0)</f>
        <v>822-2025</v>
      </c>
    </row>
    <row r="19" spans="1:9" ht="14.25" customHeight="1" x14ac:dyDescent="0.25">
      <c r="A19" s="3">
        <v>45391</v>
      </c>
      <c r="B19" s="41">
        <v>2024000388</v>
      </c>
      <c r="C19" s="1" t="s">
        <v>7</v>
      </c>
      <c r="D19" s="5">
        <v>64304701.039999999</v>
      </c>
      <c r="E19" s="1">
        <v>901329717</v>
      </c>
      <c r="F19" s="1" t="s">
        <v>8</v>
      </c>
      <c r="G19" s="1" t="s">
        <v>9</v>
      </c>
      <c r="H19" t="e">
        <f>VLOOKUP(C19,'[1]873'!$C$2:$C$711,1,0)</f>
        <v>#N/A</v>
      </c>
    </row>
    <row r="20" spans="1:9" ht="14.25" customHeight="1" x14ac:dyDescent="0.25">
      <c r="A20" s="3">
        <v>45419</v>
      </c>
      <c r="B20" s="41">
        <v>2024000517</v>
      </c>
      <c r="C20" s="1" t="s">
        <v>7</v>
      </c>
      <c r="D20" s="5">
        <v>64376700</v>
      </c>
      <c r="E20" s="1">
        <v>901329717</v>
      </c>
      <c r="F20" s="1" t="s">
        <v>8</v>
      </c>
      <c r="G20" s="1" t="s">
        <v>9</v>
      </c>
      <c r="H20" t="e">
        <f>VLOOKUP(C20,'[1]873'!$C$2:$C$711,1,0)</f>
        <v>#N/A</v>
      </c>
    </row>
    <row r="21" spans="1:9" ht="14.25" customHeight="1" x14ac:dyDescent="0.25">
      <c r="A21" s="3">
        <v>45441</v>
      </c>
      <c r="B21" s="41">
        <v>2024000589</v>
      </c>
      <c r="C21" s="1" t="s">
        <v>10</v>
      </c>
      <c r="D21" s="5">
        <v>2000000</v>
      </c>
      <c r="E21" s="1">
        <v>1085317833</v>
      </c>
      <c r="F21" s="1" t="s">
        <v>11</v>
      </c>
      <c r="G21" s="1" t="s">
        <v>9</v>
      </c>
      <c r="H21" t="e">
        <f>VLOOKUP(C21,'[1]873'!$C$2:$C$711,1,0)</f>
        <v>#N/A</v>
      </c>
    </row>
    <row r="22" spans="1:9" ht="14.25" customHeight="1" x14ac:dyDescent="0.25">
      <c r="A22" s="3">
        <v>45441</v>
      </c>
      <c r="B22" s="41">
        <v>2024000591</v>
      </c>
      <c r="C22" s="1" t="s">
        <v>12</v>
      </c>
      <c r="D22" s="5">
        <v>25496760</v>
      </c>
      <c r="E22" s="1">
        <v>98383086</v>
      </c>
      <c r="F22" s="1" t="s">
        <v>13</v>
      </c>
      <c r="G22" s="1" t="s">
        <v>9</v>
      </c>
      <c r="H22" t="e">
        <f>VLOOKUP(C22,'[1]873'!$C$2:$C$711,1,0)</f>
        <v>#N/A</v>
      </c>
    </row>
    <row r="23" spans="1:9" ht="14.25" customHeight="1" x14ac:dyDescent="0.25">
      <c r="A23" s="3">
        <v>45443</v>
      </c>
      <c r="B23" s="41">
        <v>2024000594</v>
      </c>
      <c r="C23" s="1" t="s">
        <v>14</v>
      </c>
      <c r="D23" s="5">
        <v>4825600</v>
      </c>
      <c r="E23" s="1">
        <v>1085338534</v>
      </c>
      <c r="F23" s="1" t="s">
        <v>15</v>
      </c>
      <c r="G23" s="1" t="s">
        <v>9</v>
      </c>
      <c r="H23" t="e">
        <f>VLOOKUP(C23,'[1]873'!$C$2:$C$711,1,0)</f>
        <v>#N/A</v>
      </c>
    </row>
    <row r="24" spans="1:9" ht="14.25" customHeight="1" x14ac:dyDescent="0.25">
      <c r="A24" s="3">
        <v>45443</v>
      </c>
      <c r="B24" s="41">
        <v>2024000595</v>
      </c>
      <c r="C24" s="1" t="s">
        <v>16</v>
      </c>
      <c r="D24" s="5">
        <v>2000000</v>
      </c>
      <c r="E24" s="1">
        <v>59830395</v>
      </c>
      <c r="F24" s="1" t="s">
        <v>17</v>
      </c>
      <c r="G24" s="1" t="s">
        <v>9</v>
      </c>
      <c r="H24" t="e">
        <f>VLOOKUP(C24,'[1]873'!$C$2:$C$711,1,0)</f>
        <v>#N/A</v>
      </c>
    </row>
    <row r="25" spans="1:9" ht="14.25" customHeight="1" x14ac:dyDescent="0.25">
      <c r="A25" s="3">
        <v>45443</v>
      </c>
      <c r="B25" s="41">
        <v>2024000596</v>
      </c>
      <c r="C25" s="1" t="s">
        <v>18</v>
      </c>
      <c r="D25" s="5">
        <v>6000000</v>
      </c>
      <c r="E25" s="1">
        <v>1089242085</v>
      </c>
      <c r="F25" s="1" t="s">
        <v>19</v>
      </c>
      <c r="G25" s="1" t="s">
        <v>9</v>
      </c>
      <c r="H25" t="e">
        <f>VLOOKUP(C25,'[1]873'!$C$2:$C$711,1,0)</f>
        <v>#N/A</v>
      </c>
    </row>
    <row r="26" spans="1:9" ht="14.25" customHeight="1" x14ac:dyDescent="0.25">
      <c r="A26" s="3">
        <v>45443</v>
      </c>
      <c r="B26" s="41">
        <v>2024000597</v>
      </c>
      <c r="C26" s="1" t="s">
        <v>20</v>
      </c>
      <c r="D26" s="5">
        <v>7500000</v>
      </c>
      <c r="E26" s="1">
        <v>1089244511</v>
      </c>
      <c r="F26" s="1" t="s">
        <v>21</v>
      </c>
      <c r="G26" s="1" t="s">
        <v>9</v>
      </c>
      <c r="H26" t="e">
        <f>VLOOKUP(C26,'[1]873'!$C$2:$C$711,1,0)</f>
        <v>#N/A</v>
      </c>
    </row>
    <row r="27" spans="1:9" ht="14.25" customHeight="1" x14ac:dyDescent="0.25">
      <c r="A27" s="3">
        <v>45443</v>
      </c>
      <c r="B27" s="41">
        <v>2024000598</v>
      </c>
      <c r="C27" s="1" t="s">
        <v>22</v>
      </c>
      <c r="D27" s="5">
        <v>4750000</v>
      </c>
      <c r="E27" s="1">
        <v>1085325342</v>
      </c>
      <c r="F27" s="1" t="s">
        <v>23</v>
      </c>
      <c r="G27" s="1" t="s">
        <v>9</v>
      </c>
      <c r="H27" t="e">
        <f>VLOOKUP(C27,'[1]873'!$C$2:$C$711,1,0)</f>
        <v>#N/A</v>
      </c>
    </row>
    <row r="28" spans="1:9" ht="14.25" customHeight="1" x14ac:dyDescent="0.25">
      <c r="A28" s="3">
        <v>45447</v>
      </c>
      <c r="B28" s="41">
        <v>2024000669</v>
      </c>
      <c r="C28" s="1" t="s">
        <v>36</v>
      </c>
      <c r="D28" s="5">
        <v>2000000</v>
      </c>
      <c r="E28" s="1">
        <v>27087122</v>
      </c>
      <c r="F28" s="1" t="s">
        <v>37</v>
      </c>
      <c r="G28" s="1" t="s">
        <v>9</v>
      </c>
      <c r="H28" t="e">
        <f>VLOOKUP(C28,'[1]873'!$C$2:$C$711,1,0)</f>
        <v>#N/A</v>
      </c>
    </row>
    <row r="29" spans="1:9" ht="14.25" customHeight="1" x14ac:dyDescent="0.25">
      <c r="A29" s="3">
        <v>45448</v>
      </c>
      <c r="B29" s="41">
        <v>2024000675</v>
      </c>
      <c r="C29" s="1" t="s">
        <v>376</v>
      </c>
      <c r="D29" s="5">
        <v>4825600</v>
      </c>
      <c r="E29" s="1">
        <v>37082349</v>
      </c>
      <c r="F29" s="1" t="s">
        <v>377</v>
      </c>
      <c r="G29" s="1" t="s">
        <v>9</v>
      </c>
      <c r="H29" t="e">
        <f>VLOOKUP(C29,'[1]873'!$C$2:$C$711,1,0)</f>
        <v>#N/A</v>
      </c>
    </row>
    <row r="30" spans="1:9" ht="14.25" customHeight="1" x14ac:dyDescent="0.25">
      <c r="A30" s="3">
        <v>45448</v>
      </c>
      <c r="B30" s="41">
        <v>2024000676</v>
      </c>
      <c r="C30" s="1" t="s">
        <v>378</v>
      </c>
      <c r="D30" s="5">
        <v>7500000</v>
      </c>
      <c r="E30" s="1">
        <v>1085332934</v>
      </c>
      <c r="F30" s="1" t="s">
        <v>379</v>
      </c>
      <c r="G30" s="1" t="s">
        <v>9</v>
      </c>
      <c r="H30" t="e">
        <f>VLOOKUP(C30,'[1]873'!$C$2:$C$711,1,0)</f>
        <v>#N/A</v>
      </c>
    </row>
    <row r="31" spans="1:9" ht="14.25" customHeight="1" x14ac:dyDescent="0.25">
      <c r="A31" s="3">
        <v>45448</v>
      </c>
      <c r="B31" s="41">
        <v>2024000677</v>
      </c>
      <c r="C31" s="1" t="s">
        <v>120</v>
      </c>
      <c r="D31" s="5">
        <v>2000000</v>
      </c>
      <c r="E31" s="1">
        <v>59834953</v>
      </c>
      <c r="F31" s="1" t="s">
        <v>121</v>
      </c>
      <c r="G31" s="1" t="s">
        <v>9</v>
      </c>
      <c r="H31" t="e">
        <f>VLOOKUP(C31,'[1]873'!$C$2:$C$711,1,0)</f>
        <v>#N/A</v>
      </c>
    </row>
    <row r="32" spans="1:9" ht="14.25" customHeight="1" x14ac:dyDescent="0.25">
      <c r="A32" s="3">
        <v>45448</v>
      </c>
      <c r="B32" s="41">
        <v>2024000678</v>
      </c>
      <c r="C32" s="1" t="s">
        <v>392</v>
      </c>
      <c r="D32" s="5">
        <v>7500000</v>
      </c>
      <c r="E32" s="1">
        <v>1085320661</v>
      </c>
      <c r="F32" s="1" t="s">
        <v>393</v>
      </c>
      <c r="G32" s="1" t="s">
        <v>9</v>
      </c>
      <c r="H32" t="e">
        <f>VLOOKUP(C32,'[1]873'!$C$2:$C$711,1,0)</f>
        <v>#N/A</v>
      </c>
    </row>
    <row r="33" spans="1:8" ht="14.25" customHeight="1" x14ac:dyDescent="0.25">
      <c r="A33" s="3">
        <v>45448</v>
      </c>
      <c r="B33" s="41">
        <v>2024000679</v>
      </c>
      <c r="C33" s="1" t="s">
        <v>178</v>
      </c>
      <c r="D33" s="5">
        <v>2000000</v>
      </c>
      <c r="E33" s="1">
        <v>1085250095</v>
      </c>
      <c r="F33" s="1" t="s">
        <v>179</v>
      </c>
      <c r="G33" s="1" t="s">
        <v>9</v>
      </c>
      <c r="H33" t="e">
        <f>VLOOKUP(C33,'[1]873'!$C$2:$C$711,1,0)</f>
        <v>#N/A</v>
      </c>
    </row>
    <row r="34" spans="1:8" ht="14.25" customHeight="1" x14ac:dyDescent="0.25">
      <c r="A34" s="3">
        <v>45448</v>
      </c>
      <c r="B34" s="41">
        <v>2024000681</v>
      </c>
      <c r="C34" s="1" t="s">
        <v>426</v>
      </c>
      <c r="D34" s="5">
        <v>2000000</v>
      </c>
      <c r="E34" s="1">
        <v>1085318688</v>
      </c>
      <c r="F34" s="1" t="s">
        <v>427</v>
      </c>
      <c r="G34" s="1" t="s">
        <v>9</v>
      </c>
      <c r="H34" t="e">
        <f>VLOOKUP(C34,'[1]873'!$C$2:$C$711,1,0)</f>
        <v>#N/A</v>
      </c>
    </row>
    <row r="35" spans="1:8" ht="14.25" customHeight="1" x14ac:dyDescent="0.25">
      <c r="A35" s="3">
        <v>45448</v>
      </c>
      <c r="B35" s="41">
        <v>2024000682</v>
      </c>
      <c r="C35" s="1" t="s">
        <v>124</v>
      </c>
      <c r="D35" s="5">
        <v>6000000</v>
      </c>
      <c r="E35" s="1">
        <v>36951002</v>
      </c>
      <c r="F35" s="1" t="s">
        <v>125</v>
      </c>
      <c r="G35" s="1" t="s">
        <v>9</v>
      </c>
      <c r="H35" t="e">
        <f>VLOOKUP(C35,'[1]873'!$C$2:$C$711,1,0)</f>
        <v>#N/A</v>
      </c>
    </row>
    <row r="36" spans="1:8" ht="14.25" customHeight="1" x14ac:dyDescent="0.25">
      <c r="A36" s="3">
        <v>45448</v>
      </c>
      <c r="B36" s="41">
        <v>2024000683</v>
      </c>
      <c r="C36" s="1" t="s">
        <v>416</v>
      </c>
      <c r="D36" s="5">
        <v>2000000</v>
      </c>
      <c r="E36" s="1">
        <v>1085302942</v>
      </c>
      <c r="F36" s="1" t="s">
        <v>417</v>
      </c>
      <c r="G36" s="1" t="s">
        <v>9</v>
      </c>
      <c r="H36" t="e">
        <f>VLOOKUP(C36,'[1]873'!$C$2:$C$711,1,0)</f>
        <v>#N/A</v>
      </c>
    </row>
    <row r="37" spans="1:8" ht="14.25" customHeight="1" x14ac:dyDescent="0.25">
      <c r="A37" s="3">
        <v>45448</v>
      </c>
      <c r="B37" s="41">
        <v>2024000684</v>
      </c>
      <c r="C37" s="1" t="s">
        <v>402</v>
      </c>
      <c r="D37" s="5">
        <v>2000000</v>
      </c>
      <c r="E37" s="1">
        <v>1004410201</v>
      </c>
      <c r="F37" s="1" t="s">
        <v>403</v>
      </c>
      <c r="G37" s="1" t="s">
        <v>9</v>
      </c>
      <c r="H37" t="e">
        <f>VLOOKUP(C37,'[1]873'!$C$2:$C$711,1,0)</f>
        <v>#N/A</v>
      </c>
    </row>
    <row r="38" spans="1:8" ht="14.25" customHeight="1" x14ac:dyDescent="0.25">
      <c r="A38" s="3">
        <v>45448</v>
      </c>
      <c r="B38" s="41">
        <v>2024000685</v>
      </c>
      <c r="C38" s="1" t="s">
        <v>44</v>
      </c>
      <c r="D38" s="5">
        <v>2000000</v>
      </c>
      <c r="E38" s="1">
        <v>1007356378</v>
      </c>
      <c r="F38" s="1" t="s">
        <v>45</v>
      </c>
      <c r="G38" s="1" t="s">
        <v>9</v>
      </c>
      <c r="H38" t="e">
        <f>VLOOKUP(C38,'[1]873'!$C$2:$C$711,1,0)</f>
        <v>#N/A</v>
      </c>
    </row>
    <row r="39" spans="1:8" ht="14.25" customHeight="1" x14ac:dyDescent="0.25">
      <c r="A39" s="3">
        <v>45448</v>
      </c>
      <c r="B39" s="41">
        <v>2024000686</v>
      </c>
      <c r="C39" s="1" t="s">
        <v>110</v>
      </c>
      <c r="D39" s="5">
        <v>2000000</v>
      </c>
      <c r="E39" s="1">
        <v>1085286725</v>
      </c>
      <c r="F39" s="1" t="s">
        <v>111</v>
      </c>
      <c r="G39" s="1" t="s">
        <v>9</v>
      </c>
      <c r="H39" t="e">
        <f>VLOOKUP(C39,'[1]873'!$C$2:$C$711,1,0)</f>
        <v>#N/A</v>
      </c>
    </row>
    <row r="40" spans="1:8" ht="14.25" customHeight="1" x14ac:dyDescent="0.25">
      <c r="A40" s="3">
        <v>45448</v>
      </c>
      <c r="B40" s="41">
        <v>2024000687</v>
      </c>
      <c r="C40" s="1" t="s">
        <v>408</v>
      </c>
      <c r="D40" s="5">
        <v>2000000</v>
      </c>
      <c r="E40" s="1">
        <v>1193224810</v>
      </c>
      <c r="F40" s="1" t="s">
        <v>409</v>
      </c>
      <c r="G40" s="1" t="s">
        <v>9</v>
      </c>
      <c r="H40" t="e">
        <f>VLOOKUP(C40,'[1]873'!$C$2:$C$711,1,0)</f>
        <v>#N/A</v>
      </c>
    </row>
    <row r="41" spans="1:8" ht="14.25" customHeight="1" x14ac:dyDescent="0.25">
      <c r="A41" s="3">
        <v>45449</v>
      </c>
      <c r="B41" s="41">
        <v>2024000705</v>
      </c>
      <c r="C41" s="1" t="s">
        <v>386</v>
      </c>
      <c r="D41" s="5">
        <v>2000000</v>
      </c>
      <c r="E41" s="1">
        <v>1030606749</v>
      </c>
      <c r="F41" s="1" t="s">
        <v>387</v>
      </c>
      <c r="G41" s="1" t="s">
        <v>9</v>
      </c>
      <c r="H41" t="e">
        <f>VLOOKUP(C41,'[1]873'!$C$2:$C$711,1,0)</f>
        <v>#N/A</v>
      </c>
    </row>
    <row r="42" spans="1:8" ht="14.25" customHeight="1" x14ac:dyDescent="0.25">
      <c r="A42" s="3">
        <v>45449</v>
      </c>
      <c r="B42" s="41">
        <v>2024000706</v>
      </c>
      <c r="C42" s="1" t="s">
        <v>92</v>
      </c>
      <c r="D42" s="5">
        <v>4825600</v>
      </c>
      <c r="E42" s="1">
        <v>1085291221</v>
      </c>
      <c r="F42" s="1" t="s">
        <v>93</v>
      </c>
      <c r="G42" s="1" t="s">
        <v>9</v>
      </c>
      <c r="H42" t="e">
        <f>VLOOKUP(C42,'[1]873'!$C$2:$C$711,1,0)</f>
        <v>#N/A</v>
      </c>
    </row>
    <row r="43" spans="1:8" ht="14.25" customHeight="1" x14ac:dyDescent="0.25">
      <c r="A43" s="3">
        <v>45449</v>
      </c>
      <c r="B43" s="41">
        <v>2024000712</v>
      </c>
      <c r="C43" s="1" t="s">
        <v>394</v>
      </c>
      <c r="D43" s="5">
        <v>2000000</v>
      </c>
      <c r="E43" s="1">
        <v>59837416</v>
      </c>
      <c r="F43" s="1" t="s">
        <v>395</v>
      </c>
      <c r="G43" s="1" t="s">
        <v>9</v>
      </c>
      <c r="H43" t="e">
        <f>VLOOKUP(C43,'[1]873'!$C$2:$C$711,1,0)</f>
        <v>#N/A</v>
      </c>
    </row>
    <row r="44" spans="1:8" ht="14.25" customHeight="1" x14ac:dyDescent="0.25">
      <c r="A44" s="3">
        <v>45449</v>
      </c>
      <c r="B44" s="41">
        <v>2024000713</v>
      </c>
      <c r="C44" s="1" t="s">
        <v>396</v>
      </c>
      <c r="D44" s="5">
        <v>2000000</v>
      </c>
      <c r="E44" s="1">
        <v>1004635031</v>
      </c>
      <c r="F44" s="1" t="s">
        <v>397</v>
      </c>
      <c r="G44" s="1" t="s">
        <v>9</v>
      </c>
      <c r="H44" t="e">
        <f>VLOOKUP(C44,'[1]873'!$C$2:$C$711,1,0)</f>
        <v>#N/A</v>
      </c>
    </row>
    <row r="45" spans="1:8" ht="14.25" customHeight="1" x14ac:dyDescent="0.25">
      <c r="A45" s="3">
        <v>45450</v>
      </c>
      <c r="B45" s="41">
        <v>2024000714</v>
      </c>
      <c r="C45" s="1" t="s">
        <v>414</v>
      </c>
      <c r="D45" s="5">
        <v>4750000</v>
      </c>
      <c r="E45" s="1">
        <v>59816986</v>
      </c>
      <c r="F45" s="1" t="s">
        <v>415</v>
      </c>
      <c r="G45" s="1" t="s">
        <v>9</v>
      </c>
      <c r="H45" t="e">
        <f>VLOOKUP(C45,'[1]873'!$C$2:$C$711,1,0)</f>
        <v>#N/A</v>
      </c>
    </row>
    <row r="46" spans="1:8" ht="14.25" customHeight="1" x14ac:dyDescent="0.25">
      <c r="A46" s="3">
        <v>45450</v>
      </c>
      <c r="B46" s="41">
        <v>2024000715</v>
      </c>
      <c r="C46" s="1" t="s">
        <v>160</v>
      </c>
      <c r="D46" s="5">
        <v>7500000</v>
      </c>
      <c r="E46" s="1">
        <v>1085304670</v>
      </c>
      <c r="F46" s="1" t="s">
        <v>161</v>
      </c>
      <c r="G46" s="1" t="s">
        <v>9</v>
      </c>
      <c r="H46" t="e">
        <f>VLOOKUP(C46,'[1]873'!$C$2:$C$711,1,0)</f>
        <v>#N/A</v>
      </c>
    </row>
    <row r="47" spans="1:8" ht="14.25" customHeight="1" x14ac:dyDescent="0.25">
      <c r="A47" s="3">
        <v>45450</v>
      </c>
      <c r="B47" s="41">
        <v>2024000716</v>
      </c>
      <c r="C47" s="1" t="s">
        <v>68</v>
      </c>
      <c r="D47" s="5">
        <v>7500000</v>
      </c>
      <c r="E47" s="1">
        <v>80765093</v>
      </c>
      <c r="F47" s="1" t="s">
        <v>69</v>
      </c>
      <c r="G47" s="1" t="s">
        <v>9</v>
      </c>
      <c r="H47" t="e">
        <f>VLOOKUP(C47,'[1]873'!$C$2:$C$711,1,0)</f>
        <v>#N/A</v>
      </c>
    </row>
    <row r="48" spans="1:8" ht="14.25" customHeight="1" x14ac:dyDescent="0.25">
      <c r="A48" s="3">
        <v>45450</v>
      </c>
      <c r="B48" s="41">
        <v>2024000717</v>
      </c>
      <c r="C48" s="1" t="s">
        <v>144</v>
      </c>
      <c r="D48" s="5">
        <v>6000000</v>
      </c>
      <c r="E48" s="1">
        <v>59837608</v>
      </c>
      <c r="F48" s="1" t="s">
        <v>145</v>
      </c>
      <c r="G48" s="1" t="s">
        <v>9</v>
      </c>
      <c r="H48" t="e">
        <f>VLOOKUP(C48,'[1]873'!$C$2:$C$711,1,0)</f>
        <v>#N/A</v>
      </c>
    </row>
    <row r="49" spans="1:8" ht="14.25" customHeight="1" x14ac:dyDescent="0.25">
      <c r="A49" s="3">
        <v>45450</v>
      </c>
      <c r="B49" s="41">
        <v>2024000718</v>
      </c>
      <c r="C49" s="1" t="s">
        <v>428</v>
      </c>
      <c r="D49" s="5">
        <v>4750000</v>
      </c>
      <c r="E49" s="1">
        <v>1085260497</v>
      </c>
      <c r="F49" s="1" t="s">
        <v>429</v>
      </c>
      <c r="G49" s="1" t="s">
        <v>9</v>
      </c>
      <c r="H49" t="e">
        <f>VLOOKUP(C49,'[1]873'!$C$2:$C$711,1,0)</f>
        <v>#N/A</v>
      </c>
    </row>
    <row r="50" spans="1:8" ht="14.25" customHeight="1" x14ac:dyDescent="0.25">
      <c r="A50" s="3">
        <v>45450</v>
      </c>
      <c r="B50" s="41">
        <v>2024000721</v>
      </c>
      <c r="C50" s="1" t="s">
        <v>236</v>
      </c>
      <c r="D50" s="5">
        <v>2000000</v>
      </c>
      <c r="E50" s="1">
        <v>1004234290</v>
      </c>
      <c r="F50" s="1" t="s">
        <v>237</v>
      </c>
      <c r="G50" s="1" t="s">
        <v>9</v>
      </c>
      <c r="H50" t="e">
        <f>VLOOKUP(C50,'[1]873'!$C$2:$C$711,1,0)</f>
        <v>#N/A</v>
      </c>
    </row>
    <row r="51" spans="1:8" ht="14.25" customHeight="1" x14ac:dyDescent="0.25">
      <c r="A51" s="3">
        <v>45450</v>
      </c>
      <c r="B51" s="41">
        <v>2024000722</v>
      </c>
      <c r="C51" s="1" t="s">
        <v>272</v>
      </c>
      <c r="D51" s="5">
        <v>4825600</v>
      </c>
      <c r="E51" s="1">
        <v>1085332406</v>
      </c>
      <c r="F51" s="1" t="s">
        <v>273</v>
      </c>
      <c r="G51" s="1" t="s">
        <v>9</v>
      </c>
      <c r="H51" t="e">
        <f>VLOOKUP(C51,'[1]873'!$C$2:$C$711,1,0)</f>
        <v>#N/A</v>
      </c>
    </row>
    <row r="52" spans="1:8" ht="14.25" customHeight="1" x14ac:dyDescent="0.25">
      <c r="A52" s="3">
        <v>45450</v>
      </c>
      <c r="B52" s="41">
        <v>2024000723</v>
      </c>
      <c r="C52" s="1" t="s">
        <v>404</v>
      </c>
      <c r="D52" s="5">
        <v>2000000</v>
      </c>
      <c r="E52" s="1">
        <v>1085288636</v>
      </c>
      <c r="F52" s="1" t="s">
        <v>405</v>
      </c>
      <c r="G52" s="1" t="s">
        <v>9</v>
      </c>
      <c r="H52" t="e">
        <f>VLOOKUP(C52,'[1]873'!$C$2:$C$711,1,0)</f>
        <v>#N/A</v>
      </c>
    </row>
    <row r="53" spans="1:8" ht="14.25" customHeight="1" x14ac:dyDescent="0.25">
      <c r="A53" s="3">
        <v>45454</v>
      </c>
      <c r="B53" s="41">
        <v>2024000747</v>
      </c>
      <c r="C53" s="1" t="s">
        <v>418</v>
      </c>
      <c r="D53" s="5">
        <v>2000000</v>
      </c>
      <c r="E53" s="1">
        <v>1085260568</v>
      </c>
      <c r="F53" s="1" t="s">
        <v>419</v>
      </c>
      <c r="G53" s="1" t="s">
        <v>9</v>
      </c>
      <c r="H53" t="e">
        <f>VLOOKUP(C53,'[1]873'!$C$2:$C$711,1,0)</f>
        <v>#N/A</v>
      </c>
    </row>
    <row r="54" spans="1:8" ht="14.25" customHeight="1" x14ac:dyDescent="0.25">
      <c r="A54" s="3">
        <v>45454</v>
      </c>
      <c r="B54" s="41">
        <v>2024000749</v>
      </c>
      <c r="C54" s="1" t="s">
        <v>420</v>
      </c>
      <c r="D54" s="5">
        <v>7500000</v>
      </c>
      <c r="E54" s="1">
        <v>1088599676</v>
      </c>
      <c r="F54" s="1" t="s">
        <v>421</v>
      </c>
      <c r="G54" s="1" t="s">
        <v>9</v>
      </c>
      <c r="H54" t="e">
        <f>VLOOKUP(C54,'[1]873'!$C$2:$C$711,1,0)</f>
        <v>#N/A</v>
      </c>
    </row>
    <row r="55" spans="1:8" ht="14.25" customHeight="1" x14ac:dyDescent="0.25">
      <c r="A55" s="3">
        <v>45454</v>
      </c>
      <c r="B55" s="41">
        <v>2024000750</v>
      </c>
      <c r="C55" s="1" t="s">
        <v>56</v>
      </c>
      <c r="D55" s="5">
        <v>4825600</v>
      </c>
      <c r="E55" s="1">
        <v>1193385736</v>
      </c>
      <c r="F55" s="1" t="s">
        <v>57</v>
      </c>
      <c r="G55" s="1" t="s">
        <v>9</v>
      </c>
      <c r="H55" t="e">
        <f>VLOOKUP(C55,'[1]873'!$C$2:$C$711,1,0)</f>
        <v>#N/A</v>
      </c>
    </row>
    <row r="56" spans="1:8" ht="14.25" customHeight="1" x14ac:dyDescent="0.25">
      <c r="A56" s="3">
        <v>45454</v>
      </c>
      <c r="B56" s="41">
        <v>2024000753</v>
      </c>
      <c r="C56" s="1" t="s">
        <v>268</v>
      </c>
      <c r="D56" s="5">
        <v>64141827</v>
      </c>
      <c r="E56" s="1">
        <v>900994364</v>
      </c>
      <c r="F56" s="1" t="s">
        <v>269</v>
      </c>
      <c r="G56" s="1" t="s">
        <v>9</v>
      </c>
      <c r="H56" t="e">
        <f>VLOOKUP(C56,'[1]873'!$C$2:$C$711,1,0)</f>
        <v>#N/A</v>
      </c>
    </row>
    <row r="57" spans="1:8" ht="14.25" customHeight="1" x14ac:dyDescent="0.25">
      <c r="A57" s="3">
        <v>45454</v>
      </c>
      <c r="B57" s="41">
        <v>2024000759</v>
      </c>
      <c r="C57" s="1" t="s">
        <v>118</v>
      </c>
      <c r="D57" s="5">
        <v>2000000</v>
      </c>
      <c r="E57" s="1">
        <v>37084285</v>
      </c>
      <c r="F57" s="1" t="s">
        <v>119</v>
      </c>
      <c r="G57" s="1" t="s">
        <v>9</v>
      </c>
      <c r="H57" t="e">
        <f>VLOOKUP(C57,'[1]873'!$C$2:$C$711,1,0)</f>
        <v>#N/A</v>
      </c>
    </row>
    <row r="58" spans="1:8" ht="14.25" customHeight="1" x14ac:dyDescent="0.25">
      <c r="A58" s="3">
        <v>45454</v>
      </c>
      <c r="B58" s="41">
        <v>2024000760</v>
      </c>
      <c r="C58" s="1" t="s">
        <v>390</v>
      </c>
      <c r="D58" s="5">
        <v>4750000</v>
      </c>
      <c r="E58" s="1">
        <v>36953206</v>
      </c>
      <c r="F58" s="1" t="s">
        <v>391</v>
      </c>
      <c r="G58" s="1" t="s">
        <v>9</v>
      </c>
      <c r="H58" t="e">
        <f>VLOOKUP(C58,'[1]873'!$C$2:$C$711,1,0)</f>
        <v>#N/A</v>
      </c>
    </row>
    <row r="59" spans="1:8" ht="14.25" customHeight="1" x14ac:dyDescent="0.25">
      <c r="A59" s="3">
        <v>45454</v>
      </c>
      <c r="B59" s="41">
        <v>2024000761</v>
      </c>
      <c r="C59" s="1" t="s">
        <v>174</v>
      </c>
      <c r="D59" s="5">
        <v>4825600</v>
      </c>
      <c r="E59" s="1">
        <v>1085283723</v>
      </c>
      <c r="F59" s="1" t="s">
        <v>175</v>
      </c>
      <c r="G59" s="1" t="s">
        <v>9</v>
      </c>
      <c r="H59" t="e">
        <f>VLOOKUP(C59,'[1]873'!$C$2:$C$711,1,0)</f>
        <v>#N/A</v>
      </c>
    </row>
    <row r="60" spans="1:8" ht="14.25" customHeight="1" x14ac:dyDescent="0.25">
      <c r="A60" s="3">
        <v>45454</v>
      </c>
      <c r="B60" s="41">
        <v>2024000762</v>
      </c>
      <c r="C60" s="1" t="s">
        <v>84</v>
      </c>
      <c r="D60" s="5">
        <v>2000000</v>
      </c>
      <c r="E60" s="1">
        <v>1085327701</v>
      </c>
      <c r="F60" s="1" t="s">
        <v>85</v>
      </c>
      <c r="G60" s="1" t="s">
        <v>9</v>
      </c>
      <c r="H60" t="e">
        <f>VLOOKUP(C60,'[1]873'!$C$2:$C$711,1,0)</f>
        <v>#N/A</v>
      </c>
    </row>
    <row r="61" spans="1:8" ht="14.25" customHeight="1" x14ac:dyDescent="0.25">
      <c r="A61" s="3">
        <v>45454</v>
      </c>
      <c r="B61" s="41">
        <v>2024000763</v>
      </c>
      <c r="C61" s="1" t="s">
        <v>264</v>
      </c>
      <c r="D61" s="5">
        <v>2000000</v>
      </c>
      <c r="E61" s="1">
        <v>1010085543</v>
      </c>
      <c r="F61" s="1" t="s">
        <v>265</v>
      </c>
      <c r="G61" s="1" t="s">
        <v>9</v>
      </c>
      <c r="H61" t="e">
        <f>VLOOKUP(C61,'[1]873'!$C$2:$C$711,1,0)</f>
        <v>#N/A</v>
      </c>
    </row>
    <row r="62" spans="1:8" ht="14.25" customHeight="1" x14ac:dyDescent="0.25">
      <c r="A62" s="3">
        <v>45455</v>
      </c>
      <c r="B62" s="41">
        <v>2024000764</v>
      </c>
      <c r="C62" s="1" t="s">
        <v>132</v>
      </c>
      <c r="D62" s="5">
        <v>4825600</v>
      </c>
      <c r="E62" s="1">
        <v>87062845</v>
      </c>
      <c r="F62" s="1" t="s">
        <v>133</v>
      </c>
      <c r="G62" s="1" t="s">
        <v>9</v>
      </c>
      <c r="H62" t="e">
        <f>VLOOKUP(C62,'[1]873'!$C$2:$C$711,1,0)</f>
        <v>#N/A</v>
      </c>
    </row>
    <row r="63" spans="1:8" ht="14.25" customHeight="1" x14ac:dyDescent="0.25">
      <c r="A63" s="3">
        <v>45455</v>
      </c>
      <c r="B63" s="41">
        <v>2024000765</v>
      </c>
      <c r="C63" s="1" t="s">
        <v>290</v>
      </c>
      <c r="D63" s="5">
        <v>2000000</v>
      </c>
      <c r="E63" s="1">
        <v>1085344082</v>
      </c>
      <c r="F63" s="1" t="s">
        <v>291</v>
      </c>
      <c r="G63" s="1" t="s">
        <v>9</v>
      </c>
      <c r="H63" t="e">
        <f>VLOOKUP(C63,'[1]873'!$C$2:$C$711,1,0)</f>
        <v>#N/A</v>
      </c>
    </row>
    <row r="64" spans="1:8" ht="14.25" customHeight="1" x14ac:dyDescent="0.25">
      <c r="A64" s="3">
        <v>45455</v>
      </c>
      <c r="B64" s="41">
        <v>2024000766</v>
      </c>
      <c r="C64" s="1" t="s">
        <v>52</v>
      </c>
      <c r="D64" s="5">
        <v>4825600</v>
      </c>
      <c r="E64" s="1">
        <v>30733517</v>
      </c>
      <c r="F64" s="1" t="s">
        <v>53</v>
      </c>
      <c r="G64" s="1" t="s">
        <v>9</v>
      </c>
      <c r="H64" t="e">
        <f>VLOOKUP(C64,'[1]873'!$C$2:$C$711,1,0)</f>
        <v>#N/A</v>
      </c>
    </row>
    <row r="65" spans="1:8" ht="14.25" customHeight="1" x14ac:dyDescent="0.25">
      <c r="A65" s="3">
        <v>45455</v>
      </c>
      <c r="B65" s="41">
        <v>2024000768</v>
      </c>
      <c r="C65" s="1" t="s">
        <v>134</v>
      </c>
      <c r="D65" s="5">
        <v>4750000</v>
      </c>
      <c r="E65" s="1">
        <v>59821282</v>
      </c>
      <c r="F65" s="1" t="s">
        <v>135</v>
      </c>
      <c r="G65" s="1" t="s">
        <v>9</v>
      </c>
      <c r="H65" t="e">
        <f>VLOOKUP(C65,'[1]873'!$C$2:$C$711,1,0)</f>
        <v>#N/A</v>
      </c>
    </row>
    <row r="66" spans="1:8" ht="14.25" customHeight="1" x14ac:dyDescent="0.25">
      <c r="A66" s="3">
        <v>45455</v>
      </c>
      <c r="B66" s="41">
        <v>2024000769</v>
      </c>
      <c r="C66" s="1" t="s">
        <v>176</v>
      </c>
      <c r="D66" s="5">
        <v>4825600</v>
      </c>
      <c r="E66" s="1">
        <v>27087851</v>
      </c>
      <c r="F66" s="1" t="s">
        <v>177</v>
      </c>
      <c r="G66" s="1" t="s">
        <v>9</v>
      </c>
      <c r="H66" t="e">
        <f>VLOOKUP(C66,'[1]873'!$C$2:$C$711,1,0)</f>
        <v>#N/A</v>
      </c>
    </row>
    <row r="67" spans="1:8" ht="14.25" customHeight="1" x14ac:dyDescent="0.25">
      <c r="A67" s="3">
        <v>45455</v>
      </c>
      <c r="B67" s="41">
        <v>2024000771</v>
      </c>
      <c r="C67" s="1" t="s">
        <v>46</v>
      </c>
      <c r="D67" s="5">
        <v>4750000</v>
      </c>
      <c r="E67" s="1">
        <v>1087414586</v>
      </c>
      <c r="F67" s="1" t="s">
        <v>47</v>
      </c>
      <c r="G67" s="1" t="s">
        <v>9</v>
      </c>
      <c r="H67" t="e">
        <f>VLOOKUP(C67,'[1]873'!$C$2:$C$711,1,0)</f>
        <v>#N/A</v>
      </c>
    </row>
    <row r="68" spans="1:8" ht="14.25" customHeight="1" x14ac:dyDescent="0.25">
      <c r="A68" s="3">
        <v>45455</v>
      </c>
      <c r="B68" s="41">
        <v>2024000772</v>
      </c>
      <c r="C68" s="1" t="s">
        <v>230</v>
      </c>
      <c r="D68" s="5">
        <v>7500000</v>
      </c>
      <c r="E68" s="1">
        <v>1085335767</v>
      </c>
      <c r="F68" s="1" t="s">
        <v>231</v>
      </c>
      <c r="G68" s="1" t="s">
        <v>9</v>
      </c>
      <c r="H68" t="e">
        <f>VLOOKUP(C68,'[1]873'!$C$2:$C$711,1,0)</f>
        <v>#N/A</v>
      </c>
    </row>
    <row r="69" spans="1:8" ht="14.25" customHeight="1" x14ac:dyDescent="0.25">
      <c r="A69" s="3">
        <v>45455</v>
      </c>
      <c r="B69" s="41">
        <v>2024000773</v>
      </c>
      <c r="C69" s="1" t="s">
        <v>116</v>
      </c>
      <c r="D69" s="5">
        <v>6000000</v>
      </c>
      <c r="E69" s="1">
        <v>1085275879</v>
      </c>
      <c r="F69" s="1" t="s">
        <v>117</v>
      </c>
      <c r="G69" s="1" t="s">
        <v>9</v>
      </c>
      <c r="H69" t="e">
        <f>VLOOKUP(C69,'[1]873'!$C$2:$C$711,1,0)</f>
        <v>#N/A</v>
      </c>
    </row>
    <row r="70" spans="1:8" ht="14.25" customHeight="1" x14ac:dyDescent="0.25">
      <c r="A70" s="3">
        <v>45455</v>
      </c>
      <c r="B70" s="41">
        <v>2024000774</v>
      </c>
      <c r="C70" s="1" t="s">
        <v>82</v>
      </c>
      <c r="D70" s="5">
        <v>7500000</v>
      </c>
      <c r="E70" s="1">
        <v>1085329230</v>
      </c>
      <c r="F70" s="1" t="s">
        <v>83</v>
      </c>
      <c r="G70" s="1" t="s">
        <v>9</v>
      </c>
      <c r="H70" t="e">
        <f>VLOOKUP(C70,'[1]873'!$C$2:$C$711,1,0)</f>
        <v>#N/A</v>
      </c>
    </row>
    <row r="71" spans="1:8" ht="14.25" customHeight="1" x14ac:dyDescent="0.25">
      <c r="A71" s="3">
        <v>45455</v>
      </c>
      <c r="B71" s="41">
        <v>2024000775</v>
      </c>
      <c r="C71" s="1" t="s">
        <v>328</v>
      </c>
      <c r="D71" s="5">
        <v>6000000</v>
      </c>
      <c r="E71" s="1">
        <v>97470681</v>
      </c>
      <c r="F71" s="1" t="s">
        <v>329</v>
      </c>
      <c r="G71" s="1" t="s">
        <v>9</v>
      </c>
      <c r="H71" t="e">
        <f>VLOOKUP(C71,'[1]873'!$C$2:$C$711,1,0)</f>
        <v>#N/A</v>
      </c>
    </row>
    <row r="72" spans="1:8" ht="14.25" customHeight="1" x14ac:dyDescent="0.25">
      <c r="A72" s="3">
        <v>45455</v>
      </c>
      <c r="B72" s="41">
        <v>2024000776</v>
      </c>
      <c r="C72" s="1" t="s">
        <v>156</v>
      </c>
      <c r="D72" s="5">
        <v>7500000</v>
      </c>
      <c r="E72" s="1">
        <v>12961661</v>
      </c>
      <c r="F72" s="1" t="s">
        <v>157</v>
      </c>
      <c r="G72" s="1" t="s">
        <v>9</v>
      </c>
      <c r="H72" t="e">
        <f>VLOOKUP(C72,'[1]873'!$C$2:$C$711,1,0)</f>
        <v>#N/A</v>
      </c>
    </row>
    <row r="73" spans="1:8" ht="14.25" customHeight="1" x14ac:dyDescent="0.25">
      <c r="A73" s="3">
        <v>45455</v>
      </c>
      <c r="B73" s="41">
        <v>2024000778</v>
      </c>
      <c r="C73" s="1" t="s">
        <v>192</v>
      </c>
      <c r="D73" s="5">
        <v>7500000</v>
      </c>
      <c r="E73" s="1">
        <v>1126004086</v>
      </c>
      <c r="F73" s="1" t="s">
        <v>193</v>
      </c>
      <c r="G73" s="1" t="s">
        <v>9</v>
      </c>
      <c r="H73" t="e">
        <f>VLOOKUP(C73,'[1]873'!$C$2:$C$711,1,0)</f>
        <v>#N/A</v>
      </c>
    </row>
    <row r="74" spans="1:8" ht="14.25" customHeight="1" x14ac:dyDescent="0.25">
      <c r="A74" s="3">
        <v>45455</v>
      </c>
      <c r="B74" s="41">
        <v>2024000779</v>
      </c>
      <c r="C74" s="1" t="s">
        <v>150</v>
      </c>
      <c r="D74" s="5">
        <v>4750000</v>
      </c>
      <c r="E74" s="1">
        <v>59824313</v>
      </c>
      <c r="F74" s="1" t="s">
        <v>151</v>
      </c>
      <c r="G74" s="1" t="s">
        <v>9</v>
      </c>
      <c r="H74" t="e">
        <f>VLOOKUP(C74,'[1]873'!$C$2:$C$711,1,0)</f>
        <v>#N/A</v>
      </c>
    </row>
    <row r="75" spans="1:8" ht="14.25" customHeight="1" x14ac:dyDescent="0.25">
      <c r="A75" s="3">
        <v>45455</v>
      </c>
      <c r="B75" s="41">
        <v>2024000781</v>
      </c>
      <c r="C75" s="1" t="s">
        <v>74</v>
      </c>
      <c r="D75" s="5">
        <v>2000000</v>
      </c>
      <c r="E75" s="1">
        <v>1085286742</v>
      </c>
      <c r="F75" s="1" t="s">
        <v>75</v>
      </c>
      <c r="G75" s="1" t="s">
        <v>9</v>
      </c>
      <c r="H75" t="e">
        <f>VLOOKUP(C75,'[1]873'!$C$2:$C$711,1,0)</f>
        <v>#N/A</v>
      </c>
    </row>
    <row r="76" spans="1:8" ht="14.25" customHeight="1" x14ac:dyDescent="0.25">
      <c r="A76" s="3">
        <v>45455</v>
      </c>
      <c r="B76" s="41">
        <v>2024000782</v>
      </c>
      <c r="C76" s="1" t="s">
        <v>104</v>
      </c>
      <c r="D76" s="5">
        <v>4750000</v>
      </c>
      <c r="E76" s="1">
        <v>1085303067</v>
      </c>
      <c r="F76" s="1" t="s">
        <v>105</v>
      </c>
      <c r="G76" s="1" t="s">
        <v>9</v>
      </c>
      <c r="H76" t="e">
        <f>VLOOKUP(C76,'[1]873'!$C$2:$C$711,1,0)</f>
        <v>#N/A</v>
      </c>
    </row>
    <row r="77" spans="1:8" ht="14.25" customHeight="1" x14ac:dyDescent="0.25">
      <c r="A77" s="3">
        <v>45455</v>
      </c>
      <c r="B77" s="41">
        <v>2024000783</v>
      </c>
      <c r="C77" s="1" t="s">
        <v>246</v>
      </c>
      <c r="D77" s="5">
        <v>4825600</v>
      </c>
      <c r="E77" s="1">
        <v>1085267184</v>
      </c>
      <c r="F77" s="1" t="s">
        <v>247</v>
      </c>
      <c r="G77" s="1" t="s">
        <v>9</v>
      </c>
      <c r="H77" t="e">
        <f>VLOOKUP(C77,'[1]873'!$C$2:$C$711,1,0)</f>
        <v>#N/A</v>
      </c>
    </row>
    <row r="78" spans="1:8" ht="14.25" customHeight="1" x14ac:dyDescent="0.25">
      <c r="A78" s="3">
        <v>45455</v>
      </c>
      <c r="B78" s="41">
        <v>2024000784</v>
      </c>
      <c r="C78" s="1" t="s">
        <v>154</v>
      </c>
      <c r="D78" s="5">
        <v>4750000</v>
      </c>
      <c r="E78" s="1">
        <v>1085293619</v>
      </c>
      <c r="F78" s="1" t="s">
        <v>155</v>
      </c>
      <c r="G78" s="1" t="s">
        <v>9</v>
      </c>
      <c r="H78" t="e">
        <f>VLOOKUP(C78,'[1]873'!$C$2:$C$711,1,0)</f>
        <v>#N/A</v>
      </c>
    </row>
    <row r="79" spans="1:8" ht="14.25" customHeight="1" x14ac:dyDescent="0.25">
      <c r="A79" s="3">
        <v>45455</v>
      </c>
      <c r="B79" s="41">
        <v>2024000785</v>
      </c>
      <c r="C79" s="1" t="s">
        <v>100</v>
      </c>
      <c r="D79" s="5">
        <v>2000000</v>
      </c>
      <c r="E79" s="1">
        <v>13070330</v>
      </c>
      <c r="F79" s="1" t="s">
        <v>101</v>
      </c>
      <c r="G79" s="1" t="s">
        <v>9</v>
      </c>
      <c r="H79" t="e">
        <f>VLOOKUP(C79,'[1]873'!$C$2:$C$711,1,0)</f>
        <v>#N/A</v>
      </c>
    </row>
    <row r="80" spans="1:8" ht="14.25" customHeight="1" x14ac:dyDescent="0.25">
      <c r="A80" s="3">
        <v>45456</v>
      </c>
      <c r="B80" s="41">
        <v>2024000788</v>
      </c>
      <c r="C80" s="1" t="s">
        <v>180</v>
      </c>
      <c r="D80" s="5">
        <v>2000000</v>
      </c>
      <c r="E80" s="1">
        <v>59828916</v>
      </c>
      <c r="F80" s="1" t="s">
        <v>181</v>
      </c>
      <c r="G80" s="1" t="s">
        <v>9</v>
      </c>
      <c r="H80" t="e">
        <f>VLOOKUP(C80,'[1]873'!$C$2:$C$711,1,0)</f>
        <v>#N/A</v>
      </c>
    </row>
    <row r="81" spans="1:8" ht="14.25" customHeight="1" x14ac:dyDescent="0.25">
      <c r="A81" s="3">
        <v>45456</v>
      </c>
      <c r="B81" s="41">
        <v>2024000789</v>
      </c>
      <c r="C81" s="1" t="s">
        <v>170</v>
      </c>
      <c r="D81" s="5">
        <v>2000000</v>
      </c>
      <c r="E81" s="1">
        <v>69028150</v>
      </c>
      <c r="F81" s="1" t="s">
        <v>171</v>
      </c>
      <c r="G81" s="1" t="s">
        <v>9</v>
      </c>
      <c r="H81" t="e">
        <f>VLOOKUP(C81,'[1]873'!$C$2:$C$711,1,0)</f>
        <v>#N/A</v>
      </c>
    </row>
    <row r="82" spans="1:8" ht="14.25" customHeight="1" x14ac:dyDescent="0.25">
      <c r="A82" s="3">
        <v>45456</v>
      </c>
      <c r="B82" s="41">
        <v>2024000790</v>
      </c>
      <c r="C82" s="1" t="s">
        <v>168</v>
      </c>
      <c r="D82" s="5">
        <v>4750000</v>
      </c>
      <c r="E82" s="1">
        <v>1085273424</v>
      </c>
      <c r="F82" s="1" t="s">
        <v>169</v>
      </c>
      <c r="G82" s="1" t="s">
        <v>9</v>
      </c>
      <c r="H82" t="e">
        <f>VLOOKUP(C82,'[1]873'!$C$2:$C$711,1,0)</f>
        <v>#N/A</v>
      </c>
    </row>
    <row r="83" spans="1:8" ht="14.25" customHeight="1" x14ac:dyDescent="0.25">
      <c r="A83" s="3">
        <v>45456</v>
      </c>
      <c r="B83" s="41">
        <v>2024000793</v>
      </c>
      <c r="C83" s="1" t="s">
        <v>200</v>
      </c>
      <c r="D83" s="5">
        <v>2000000</v>
      </c>
      <c r="E83" s="1">
        <v>1085300095</v>
      </c>
      <c r="F83" s="1" t="s">
        <v>201</v>
      </c>
      <c r="G83" s="1" t="s">
        <v>9</v>
      </c>
      <c r="H83" t="e">
        <f>VLOOKUP(C83,'[1]873'!$C$2:$C$711,1,0)</f>
        <v>#N/A</v>
      </c>
    </row>
    <row r="84" spans="1:8" ht="14.25" customHeight="1" x14ac:dyDescent="0.25">
      <c r="A84" s="3">
        <v>45456</v>
      </c>
      <c r="B84" s="41">
        <v>2024000794</v>
      </c>
      <c r="C84" s="1" t="s">
        <v>182</v>
      </c>
      <c r="D84" s="5">
        <v>2000000</v>
      </c>
      <c r="E84" s="1">
        <v>98382500</v>
      </c>
      <c r="F84" s="1" t="s">
        <v>183</v>
      </c>
      <c r="G84" s="1" t="s">
        <v>9</v>
      </c>
      <c r="H84" t="e">
        <f>VLOOKUP(C84,'[1]873'!$C$2:$C$711,1,0)</f>
        <v>#N/A</v>
      </c>
    </row>
    <row r="85" spans="1:8" ht="14.25" customHeight="1" x14ac:dyDescent="0.25">
      <c r="A85" s="3">
        <v>45456</v>
      </c>
      <c r="B85" s="41">
        <v>2024000795</v>
      </c>
      <c r="C85" s="1" t="s">
        <v>260</v>
      </c>
      <c r="D85" s="5">
        <v>6000000</v>
      </c>
      <c r="E85" s="1">
        <v>59820414</v>
      </c>
      <c r="F85" s="1" t="s">
        <v>261</v>
      </c>
      <c r="G85" s="1" t="s">
        <v>9</v>
      </c>
      <c r="H85" t="e">
        <f>VLOOKUP(C85,'[1]873'!$C$2:$C$711,1,0)</f>
        <v>#N/A</v>
      </c>
    </row>
    <row r="86" spans="1:8" ht="14.25" customHeight="1" x14ac:dyDescent="0.25">
      <c r="A86" s="3">
        <v>45456</v>
      </c>
      <c r="B86" s="41">
        <v>2024000797</v>
      </c>
      <c r="C86" s="1" t="s">
        <v>162</v>
      </c>
      <c r="D86" s="5">
        <v>7500000</v>
      </c>
      <c r="E86" s="1">
        <v>1193202097</v>
      </c>
      <c r="F86" s="1" t="s">
        <v>163</v>
      </c>
      <c r="G86" s="1" t="s">
        <v>9</v>
      </c>
      <c r="H86" t="e">
        <f>VLOOKUP(C86,'[1]873'!$C$2:$C$711,1,0)</f>
        <v>#N/A</v>
      </c>
    </row>
    <row r="87" spans="1:8" ht="14.25" customHeight="1" x14ac:dyDescent="0.25">
      <c r="A87" s="3">
        <v>45457</v>
      </c>
      <c r="B87" s="41">
        <v>2024000798</v>
      </c>
      <c r="C87" s="1" t="s">
        <v>186</v>
      </c>
      <c r="D87" s="5">
        <v>2000000</v>
      </c>
      <c r="E87" s="1">
        <v>1085296353</v>
      </c>
      <c r="F87" s="1" t="s">
        <v>187</v>
      </c>
      <c r="G87" s="1" t="s">
        <v>9</v>
      </c>
      <c r="H87" t="e">
        <f>VLOOKUP(C87,'[1]873'!$C$2:$C$711,1,0)</f>
        <v>#N/A</v>
      </c>
    </row>
    <row r="88" spans="1:8" ht="14.25" customHeight="1" x14ac:dyDescent="0.25">
      <c r="A88" s="3">
        <v>45457</v>
      </c>
      <c r="B88" s="41">
        <v>2024000799</v>
      </c>
      <c r="C88" s="1" t="s">
        <v>126</v>
      </c>
      <c r="D88" s="5">
        <v>4750000</v>
      </c>
      <c r="E88" s="1">
        <v>59312865</v>
      </c>
      <c r="F88" s="1" t="s">
        <v>127</v>
      </c>
      <c r="G88" s="1" t="s">
        <v>9</v>
      </c>
      <c r="H88" t="e">
        <f>VLOOKUP(C88,'[1]873'!$C$2:$C$711,1,0)</f>
        <v>#N/A</v>
      </c>
    </row>
    <row r="89" spans="1:8" ht="14.25" customHeight="1" x14ac:dyDescent="0.25">
      <c r="A89" s="3">
        <v>45457</v>
      </c>
      <c r="B89" s="41">
        <v>2024000800</v>
      </c>
      <c r="C89" s="1" t="s">
        <v>142</v>
      </c>
      <c r="D89" s="5">
        <v>6000000</v>
      </c>
      <c r="E89" s="1">
        <v>1085254626</v>
      </c>
      <c r="F89" s="1" t="s">
        <v>143</v>
      </c>
      <c r="G89" s="1" t="s">
        <v>9</v>
      </c>
      <c r="H89" t="e">
        <f>VLOOKUP(C89,'[1]873'!$C$2:$C$711,1,0)</f>
        <v>#N/A</v>
      </c>
    </row>
    <row r="90" spans="1:8" ht="14.25" customHeight="1" x14ac:dyDescent="0.25">
      <c r="A90" s="3">
        <v>45457</v>
      </c>
      <c r="B90" s="41">
        <v>2024000802</v>
      </c>
      <c r="C90" s="1" t="s">
        <v>362</v>
      </c>
      <c r="D90" s="5">
        <v>4825600</v>
      </c>
      <c r="E90" s="1">
        <v>1085321943</v>
      </c>
      <c r="F90" s="1" t="s">
        <v>363</v>
      </c>
      <c r="G90" s="1" t="s">
        <v>9</v>
      </c>
      <c r="H90" t="e">
        <f>VLOOKUP(C90,'[1]873'!$C$2:$C$711,1,0)</f>
        <v>#N/A</v>
      </c>
    </row>
    <row r="91" spans="1:8" ht="14.25" customHeight="1" x14ac:dyDescent="0.25">
      <c r="A91" s="3">
        <v>45457</v>
      </c>
      <c r="B91" s="41">
        <v>2024000804</v>
      </c>
      <c r="C91" s="1" t="s">
        <v>98</v>
      </c>
      <c r="D91" s="5">
        <v>4825600</v>
      </c>
      <c r="E91" s="1">
        <v>1085337969</v>
      </c>
      <c r="F91" s="1" t="s">
        <v>99</v>
      </c>
      <c r="G91" s="1" t="s">
        <v>9</v>
      </c>
      <c r="H91" t="e">
        <f>VLOOKUP(C91,'[1]873'!$C$2:$C$711,1,0)</f>
        <v>#N/A</v>
      </c>
    </row>
    <row r="92" spans="1:8" ht="14.25" customHeight="1" x14ac:dyDescent="0.25">
      <c r="A92" s="3">
        <v>45460</v>
      </c>
      <c r="B92" s="41">
        <v>2024000805</v>
      </c>
      <c r="C92" s="1" t="s">
        <v>366</v>
      </c>
      <c r="D92" s="5">
        <v>2000000</v>
      </c>
      <c r="E92" s="1">
        <v>1004508436</v>
      </c>
      <c r="F92" s="1" t="s">
        <v>367</v>
      </c>
      <c r="G92" s="1" t="s">
        <v>9</v>
      </c>
      <c r="H92" t="e">
        <f>VLOOKUP(C92,'[1]873'!$C$2:$C$711,1,0)</f>
        <v>#N/A</v>
      </c>
    </row>
    <row r="93" spans="1:8" ht="14.25" customHeight="1" x14ac:dyDescent="0.25">
      <c r="A93" s="3">
        <v>45461</v>
      </c>
      <c r="B93" s="41">
        <v>2024000806</v>
      </c>
      <c r="C93" s="1" t="s">
        <v>146</v>
      </c>
      <c r="D93" s="5">
        <v>2000000</v>
      </c>
      <c r="E93" s="1">
        <v>1085255972</v>
      </c>
      <c r="F93" s="1" t="s">
        <v>147</v>
      </c>
      <c r="G93" s="1" t="s">
        <v>9</v>
      </c>
      <c r="H93" t="e">
        <f>VLOOKUP(C93,'[1]873'!$C$2:$C$711,1,0)</f>
        <v>#N/A</v>
      </c>
    </row>
    <row r="94" spans="1:8" ht="14.25" customHeight="1" x14ac:dyDescent="0.25">
      <c r="A94" s="3">
        <v>45461</v>
      </c>
      <c r="B94" s="41">
        <v>2024000808</v>
      </c>
      <c r="C94" s="1" t="s">
        <v>296</v>
      </c>
      <c r="D94" s="5">
        <v>2000000</v>
      </c>
      <c r="E94" s="1">
        <v>59830040</v>
      </c>
      <c r="F94" s="1" t="s">
        <v>297</v>
      </c>
      <c r="G94" s="1" t="s">
        <v>9</v>
      </c>
      <c r="H94" t="e">
        <f>VLOOKUP(C94,'[1]873'!$C$2:$C$711,1,0)</f>
        <v>#N/A</v>
      </c>
    </row>
    <row r="95" spans="1:8" ht="14.25" customHeight="1" x14ac:dyDescent="0.25">
      <c r="A95" s="3">
        <v>45461</v>
      </c>
      <c r="B95" s="41">
        <v>2024000809</v>
      </c>
      <c r="C95" s="1" t="s">
        <v>238</v>
      </c>
      <c r="D95" s="5">
        <v>7500000</v>
      </c>
      <c r="E95" s="1">
        <v>1233189066</v>
      </c>
      <c r="F95" s="1" t="s">
        <v>239</v>
      </c>
      <c r="G95" s="1" t="s">
        <v>9</v>
      </c>
      <c r="H95" t="e">
        <f>VLOOKUP(C95,'[1]873'!$C$2:$C$711,1,0)</f>
        <v>#N/A</v>
      </c>
    </row>
    <row r="96" spans="1:8" ht="14.25" customHeight="1" x14ac:dyDescent="0.25">
      <c r="A96" s="3">
        <v>45462</v>
      </c>
      <c r="B96" s="41">
        <v>2024000815</v>
      </c>
      <c r="C96" s="1" t="s">
        <v>274</v>
      </c>
      <c r="D96" s="5">
        <v>4825600</v>
      </c>
      <c r="E96" s="1">
        <v>1085321578</v>
      </c>
      <c r="F96" s="1" t="s">
        <v>275</v>
      </c>
      <c r="G96" s="1" t="s">
        <v>9</v>
      </c>
      <c r="H96" t="e">
        <f>VLOOKUP(C96,'[1]873'!$C$2:$C$711,1,0)</f>
        <v>#N/A</v>
      </c>
    </row>
    <row r="97" spans="1:8" ht="14.25" customHeight="1" x14ac:dyDescent="0.25">
      <c r="A97" s="3">
        <v>45462</v>
      </c>
      <c r="B97" s="41">
        <v>2024000816</v>
      </c>
      <c r="C97" s="1" t="s">
        <v>270</v>
      </c>
      <c r="D97" s="5">
        <v>2000000</v>
      </c>
      <c r="E97" s="1">
        <v>36757522</v>
      </c>
      <c r="F97" s="1" t="s">
        <v>271</v>
      </c>
      <c r="G97" s="1" t="s">
        <v>9</v>
      </c>
      <c r="H97" t="e">
        <f>VLOOKUP(C97,'[1]873'!$C$2:$C$711,1,0)</f>
        <v>#N/A</v>
      </c>
    </row>
    <row r="98" spans="1:8" ht="14.25" customHeight="1" x14ac:dyDescent="0.25">
      <c r="A98" s="3">
        <v>45462</v>
      </c>
      <c r="B98" s="41">
        <v>2024000817</v>
      </c>
      <c r="C98" s="1" t="s">
        <v>194</v>
      </c>
      <c r="D98" s="5">
        <v>2000000</v>
      </c>
      <c r="E98" s="1">
        <v>1085316191</v>
      </c>
      <c r="F98" s="1" t="s">
        <v>195</v>
      </c>
      <c r="G98" s="1" t="s">
        <v>9</v>
      </c>
      <c r="H98" t="e">
        <f>VLOOKUP(C98,'[1]873'!$C$2:$C$711,1,0)</f>
        <v>#N/A</v>
      </c>
    </row>
    <row r="99" spans="1:8" ht="14.25" customHeight="1" x14ac:dyDescent="0.25">
      <c r="A99" s="3">
        <v>45462</v>
      </c>
      <c r="B99" s="41">
        <v>2024000818</v>
      </c>
      <c r="C99" s="1" t="s">
        <v>114</v>
      </c>
      <c r="D99" s="5">
        <v>2000000</v>
      </c>
      <c r="E99" s="1">
        <v>1085266584</v>
      </c>
      <c r="F99" s="1" t="s">
        <v>115</v>
      </c>
      <c r="G99" s="1" t="s">
        <v>9</v>
      </c>
      <c r="H99" t="e">
        <f>VLOOKUP(C99,'[1]873'!$C$2:$C$711,1,0)</f>
        <v>#N/A</v>
      </c>
    </row>
    <row r="100" spans="1:8" ht="14.25" customHeight="1" x14ac:dyDescent="0.25">
      <c r="A100" s="3">
        <v>45462</v>
      </c>
      <c r="B100" s="41">
        <v>2024000820</v>
      </c>
      <c r="C100" s="1" t="s">
        <v>158</v>
      </c>
      <c r="D100" s="5">
        <v>7500000</v>
      </c>
      <c r="E100" s="1">
        <v>37087120</v>
      </c>
      <c r="F100" s="1" t="s">
        <v>159</v>
      </c>
      <c r="G100" s="1" t="s">
        <v>9</v>
      </c>
      <c r="H100" t="e">
        <f>VLOOKUP(C100,'[1]873'!$C$2:$C$711,1,0)</f>
        <v>#N/A</v>
      </c>
    </row>
    <row r="101" spans="1:8" ht="14.25" customHeight="1" x14ac:dyDescent="0.25">
      <c r="A101" s="3">
        <v>45463</v>
      </c>
      <c r="B101" s="41">
        <v>2024000821</v>
      </c>
      <c r="C101" s="1" t="s">
        <v>248</v>
      </c>
      <c r="D101" s="5">
        <v>4750000</v>
      </c>
      <c r="E101" s="1">
        <v>1085330309</v>
      </c>
      <c r="F101" s="1" t="s">
        <v>249</v>
      </c>
      <c r="G101" s="1" t="s">
        <v>9</v>
      </c>
      <c r="H101" t="e">
        <f>VLOOKUP(C101,'[1]873'!$C$2:$C$711,1,0)</f>
        <v>#N/A</v>
      </c>
    </row>
    <row r="102" spans="1:8" ht="14.25" customHeight="1" x14ac:dyDescent="0.25">
      <c r="A102" s="3">
        <v>45463</v>
      </c>
      <c r="B102" s="41">
        <v>2024000822</v>
      </c>
      <c r="C102" s="1" t="s">
        <v>206</v>
      </c>
      <c r="D102" s="5">
        <v>2000000</v>
      </c>
      <c r="E102" s="1">
        <v>1004135064</v>
      </c>
      <c r="F102" s="1" t="s">
        <v>207</v>
      </c>
      <c r="G102" s="1" t="s">
        <v>9</v>
      </c>
      <c r="H102" t="e">
        <f>VLOOKUP(C102,'[1]873'!$C$2:$C$711,1,0)</f>
        <v>#N/A</v>
      </c>
    </row>
    <row r="103" spans="1:8" ht="14.25" customHeight="1" x14ac:dyDescent="0.25">
      <c r="A103" s="3">
        <v>45463</v>
      </c>
      <c r="B103" s="41">
        <v>2024000823</v>
      </c>
      <c r="C103" s="1" t="s">
        <v>208</v>
      </c>
      <c r="D103" s="5">
        <v>2000000</v>
      </c>
      <c r="E103" s="1">
        <v>1010082397</v>
      </c>
      <c r="F103" s="1" t="s">
        <v>209</v>
      </c>
      <c r="G103" s="1" t="s">
        <v>9</v>
      </c>
      <c r="H103" t="e">
        <f>VLOOKUP(C103,'[1]873'!$C$2:$C$711,1,0)</f>
        <v>#N/A</v>
      </c>
    </row>
    <row r="104" spans="1:8" ht="14.25" customHeight="1" x14ac:dyDescent="0.25">
      <c r="A104" s="3">
        <v>45463</v>
      </c>
      <c r="B104" s="41">
        <v>2024000824</v>
      </c>
      <c r="C104" s="1" t="s">
        <v>320</v>
      </c>
      <c r="D104" s="5">
        <v>2000000</v>
      </c>
      <c r="E104" s="1">
        <v>1085347540</v>
      </c>
      <c r="F104" s="1" t="s">
        <v>321</v>
      </c>
      <c r="G104" s="1" t="s">
        <v>9</v>
      </c>
      <c r="H104" t="e">
        <f>VLOOKUP(C104,'[1]873'!$C$2:$C$711,1,0)</f>
        <v>#N/A</v>
      </c>
    </row>
    <row r="105" spans="1:8" ht="14.25" customHeight="1" x14ac:dyDescent="0.25">
      <c r="A105" s="3">
        <v>45463</v>
      </c>
      <c r="B105" s="41">
        <v>2024000825</v>
      </c>
      <c r="C105" s="1" t="s">
        <v>148</v>
      </c>
      <c r="D105" s="5">
        <v>2000000</v>
      </c>
      <c r="E105" s="1">
        <v>1085339190</v>
      </c>
      <c r="F105" s="1" t="s">
        <v>149</v>
      </c>
      <c r="G105" s="1" t="s">
        <v>9</v>
      </c>
      <c r="H105" t="e">
        <f>VLOOKUP(C105,'[1]873'!$C$2:$C$711,1,0)</f>
        <v>#N/A</v>
      </c>
    </row>
    <row r="106" spans="1:8" ht="14.25" customHeight="1" x14ac:dyDescent="0.25">
      <c r="A106" s="3">
        <v>45467</v>
      </c>
      <c r="B106" s="41">
        <v>2024000850</v>
      </c>
      <c r="C106" s="1" t="s">
        <v>360</v>
      </c>
      <c r="D106" s="5">
        <v>7500000</v>
      </c>
      <c r="E106" s="1">
        <v>7603662</v>
      </c>
      <c r="F106" s="1" t="s">
        <v>361</v>
      </c>
      <c r="G106" s="1" t="s">
        <v>9</v>
      </c>
      <c r="H106" t="e">
        <f>VLOOKUP(C106,'[1]873'!$C$2:$C$711,1,0)</f>
        <v>#N/A</v>
      </c>
    </row>
    <row r="107" spans="1:8" ht="14.25" customHeight="1" x14ac:dyDescent="0.25">
      <c r="A107" s="3">
        <v>45467</v>
      </c>
      <c r="B107" s="41">
        <v>2024000851</v>
      </c>
      <c r="C107" s="1" t="s">
        <v>190</v>
      </c>
      <c r="D107" s="5">
        <v>2000000</v>
      </c>
      <c r="E107" s="1">
        <v>1193218691</v>
      </c>
      <c r="F107" s="1" t="s">
        <v>191</v>
      </c>
      <c r="G107" s="1" t="s">
        <v>9</v>
      </c>
      <c r="H107" t="e">
        <f>VLOOKUP(C107,'[1]873'!$C$2:$C$711,1,0)</f>
        <v>#N/A</v>
      </c>
    </row>
    <row r="108" spans="1:8" ht="14.25" customHeight="1" x14ac:dyDescent="0.25">
      <c r="A108" s="3">
        <v>45467</v>
      </c>
      <c r="B108" s="41">
        <v>2024000852</v>
      </c>
      <c r="C108" s="1" t="s">
        <v>234</v>
      </c>
      <c r="D108" s="5">
        <v>4750000</v>
      </c>
      <c r="E108" s="1">
        <v>1085318201</v>
      </c>
      <c r="F108" s="1" t="s">
        <v>235</v>
      </c>
      <c r="G108" s="1" t="s">
        <v>9</v>
      </c>
      <c r="H108" t="e">
        <f>VLOOKUP(C108,'[1]873'!$C$2:$C$711,1,0)</f>
        <v>#N/A</v>
      </c>
    </row>
    <row r="109" spans="1:8" ht="14.25" customHeight="1" x14ac:dyDescent="0.25">
      <c r="A109" s="3">
        <v>45467</v>
      </c>
      <c r="B109" s="41">
        <v>2024000853</v>
      </c>
      <c r="C109" s="1" t="s">
        <v>28</v>
      </c>
      <c r="D109" s="5">
        <v>4750000</v>
      </c>
      <c r="E109" s="1">
        <v>1085324546</v>
      </c>
      <c r="F109" s="1" t="s">
        <v>29</v>
      </c>
      <c r="G109" s="1" t="s">
        <v>9</v>
      </c>
      <c r="H109" t="e">
        <f>VLOOKUP(C109,'[1]873'!$C$2:$C$711,1,0)</f>
        <v>#N/A</v>
      </c>
    </row>
    <row r="110" spans="1:8" ht="14.25" customHeight="1" x14ac:dyDescent="0.25">
      <c r="A110" s="3">
        <v>45467</v>
      </c>
      <c r="B110" s="41">
        <v>2024000854</v>
      </c>
      <c r="C110" s="1" t="s">
        <v>348</v>
      </c>
      <c r="D110" s="5">
        <v>2000000</v>
      </c>
      <c r="E110" s="1">
        <v>27285974</v>
      </c>
      <c r="F110" s="1" t="s">
        <v>349</v>
      </c>
      <c r="G110" s="1" t="s">
        <v>9</v>
      </c>
      <c r="H110" t="e">
        <f>VLOOKUP(C110,'[1]873'!$C$2:$C$711,1,0)</f>
        <v>#N/A</v>
      </c>
    </row>
    <row r="111" spans="1:8" ht="14.25" customHeight="1" x14ac:dyDescent="0.25">
      <c r="A111" s="3">
        <v>45467</v>
      </c>
      <c r="B111" s="41">
        <v>2024000855</v>
      </c>
      <c r="C111" s="1" t="s">
        <v>210</v>
      </c>
      <c r="D111" s="5">
        <v>2000000</v>
      </c>
      <c r="E111" s="1">
        <v>1080040858</v>
      </c>
      <c r="F111" s="1" t="s">
        <v>211</v>
      </c>
      <c r="G111" s="1" t="s">
        <v>9</v>
      </c>
      <c r="H111" t="e">
        <f>VLOOKUP(C111,'[1]873'!$C$2:$C$711,1,0)</f>
        <v>#N/A</v>
      </c>
    </row>
    <row r="112" spans="1:8" ht="14.25" customHeight="1" x14ac:dyDescent="0.25">
      <c r="A112" s="3">
        <v>45467</v>
      </c>
      <c r="B112" s="41">
        <v>2024000856</v>
      </c>
      <c r="C112" s="1" t="s">
        <v>288</v>
      </c>
      <c r="D112" s="5">
        <v>2000000</v>
      </c>
      <c r="E112" s="1">
        <v>1004709928</v>
      </c>
      <c r="F112" s="1" t="s">
        <v>289</v>
      </c>
      <c r="G112" s="1" t="s">
        <v>9</v>
      </c>
      <c r="H112" t="e">
        <f>VLOOKUP(C112,'[1]873'!$C$2:$C$711,1,0)</f>
        <v>#N/A</v>
      </c>
    </row>
    <row r="113" spans="1:8" ht="14.25" customHeight="1" x14ac:dyDescent="0.25">
      <c r="A113" s="3">
        <v>45467</v>
      </c>
      <c r="B113" s="41">
        <v>2024000857</v>
      </c>
      <c r="C113" s="1" t="s">
        <v>354</v>
      </c>
      <c r="D113" s="5">
        <v>4750000</v>
      </c>
      <c r="E113" s="1">
        <v>1085318684</v>
      </c>
      <c r="F113" s="1" t="s">
        <v>355</v>
      </c>
      <c r="G113" s="1" t="s">
        <v>9</v>
      </c>
      <c r="H113" t="e">
        <f>VLOOKUP(C113,'[1]873'!$C$2:$C$711,1,0)</f>
        <v>#N/A</v>
      </c>
    </row>
    <row r="114" spans="1:8" ht="14.25" customHeight="1" x14ac:dyDescent="0.25">
      <c r="A114" s="3">
        <v>45467</v>
      </c>
      <c r="B114" s="41">
        <v>2024000858</v>
      </c>
      <c r="C114" s="1" t="s">
        <v>164</v>
      </c>
      <c r="D114" s="14">
        <v>22750000</v>
      </c>
      <c r="E114" s="1">
        <v>900633448</v>
      </c>
      <c r="F114" s="1" t="s">
        <v>165</v>
      </c>
      <c r="G114" s="1" t="s">
        <v>9</v>
      </c>
      <c r="H114" t="e">
        <f>VLOOKUP(C114,'[1]873'!$C$2:$C$711,1,0)</f>
        <v>#N/A</v>
      </c>
    </row>
    <row r="115" spans="1:8" ht="14.25" customHeight="1" x14ac:dyDescent="0.25">
      <c r="A115" s="3">
        <v>45469</v>
      </c>
      <c r="B115" s="41">
        <v>2024000934</v>
      </c>
      <c r="C115" s="1" t="s">
        <v>408</v>
      </c>
      <c r="D115" s="5">
        <v>2000000</v>
      </c>
      <c r="E115" s="1">
        <v>1193224810</v>
      </c>
      <c r="F115" s="1" t="s">
        <v>409</v>
      </c>
      <c r="G115" s="1" t="s">
        <v>9</v>
      </c>
      <c r="H115" t="e">
        <f>VLOOKUP(C115,'[1]873'!$C$2:$C$711,1,0)</f>
        <v>#N/A</v>
      </c>
    </row>
    <row r="116" spans="1:8" ht="14.25" customHeight="1" x14ac:dyDescent="0.25">
      <c r="A116" s="3">
        <v>45469</v>
      </c>
      <c r="B116" s="41">
        <v>2024000935</v>
      </c>
      <c r="C116" s="1" t="s">
        <v>20</v>
      </c>
      <c r="D116" s="5">
        <v>7500000</v>
      </c>
      <c r="E116" s="1">
        <v>1089244511</v>
      </c>
      <c r="F116" s="1" t="s">
        <v>21</v>
      </c>
      <c r="G116" s="1" t="s">
        <v>9</v>
      </c>
      <c r="H116" t="e">
        <f>VLOOKUP(C116,'[1]873'!$C$2:$C$711,1,0)</f>
        <v>#N/A</v>
      </c>
    </row>
    <row r="117" spans="1:8" ht="14.25" customHeight="1" x14ac:dyDescent="0.25">
      <c r="A117" s="3">
        <v>45469</v>
      </c>
      <c r="B117" s="41">
        <v>2024000937</v>
      </c>
      <c r="C117" s="1" t="s">
        <v>18</v>
      </c>
      <c r="D117" s="5">
        <v>6000000</v>
      </c>
      <c r="E117" s="1">
        <v>1089242085</v>
      </c>
      <c r="F117" s="1" t="s">
        <v>19</v>
      </c>
      <c r="G117" s="1" t="s">
        <v>9</v>
      </c>
      <c r="H117" t="e">
        <f>VLOOKUP(C117,'[1]873'!$C$2:$C$711,1,0)</f>
        <v>#N/A</v>
      </c>
    </row>
    <row r="118" spans="1:8" ht="14.25" customHeight="1" x14ac:dyDescent="0.25">
      <c r="A118" s="3">
        <v>45469</v>
      </c>
      <c r="B118" s="41">
        <v>2024000938</v>
      </c>
      <c r="C118" s="1" t="s">
        <v>352</v>
      </c>
      <c r="D118" s="5">
        <v>2000000</v>
      </c>
      <c r="E118" s="1">
        <v>1081592303</v>
      </c>
      <c r="F118" s="1" t="s">
        <v>353</v>
      </c>
      <c r="G118" s="1" t="s">
        <v>9</v>
      </c>
      <c r="H118" t="e">
        <f>VLOOKUP(C118,'[1]873'!$C$2:$C$711,1,0)</f>
        <v>#N/A</v>
      </c>
    </row>
    <row r="119" spans="1:8" ht="14.25" customHeight="1" x14ac:dyDescent="0.25">
      <c r="A119" s="3">
        <v>45470</v>
      </c>
      <c r="B119" s="41">
        <v>2024000941</v>
      </c>
      <c r="C119" s="1" t="s">
        <v>134</v>
      </c>
      <c r="D119" s="5">
        <v>4750000</v>
      </c>
      <c r="E119" s="1">
        <v>59821282</v>
      </c>
      <c r="F119" s="1" t="s">
        <v>135</v>
      </c>
      <c r="G119" s="1" t="s">
        <v>9</v>
      </c>
      <c r="H119" t="e">
        <f>VLOOKUP(C119,'[1]873'!$C$2:$C$711,1,0)</f>
        <v>#N/A</v>
      </c>
    </row>
    <row r="120" spans="1:8" ht="14.25" customHeight="1" x14ac:dyDescent="0.25">
      <c r="A120" s="3">
        <v>45470</v>
      </c>
      <c r="B120" s="41">
        <v>2024000942</v>
      </c>
      <c r="C120" s="1" t="s">
        <v>392</v>
      </c>
      <c r="D120" s="5">
        <v>7500000</v>
      </c>
      <c r="E120" s="1">
        <v>1085320661</v>
      </c>
      <c r="F120" s="1" t="s">
        <v>393</v>
      </c>
      <c r="G120" s="1" t="s">
        <v>9</v>
      </c>
      <c r="H120" t="e">
        <f>VLOOKUP(C120,'[1]873'!$C$2:$C$711,1,0)</f>
        <v>#N/A</v>
      </c>
    </row>
    <row r="121" spans="1:8" ht="14.25" customHeight="1" x14ac:dyDescent="0.25">
      <c r="A121" s="3">
        <v>45470</v>
      </c>
      <c r="B121" s="41">
        <v>2024000943</v>
      </c>
      <c r="C121" s="1" t="s">
        <v>92</v>
      </c>
      <c r="D121" s="5">
        <v>4825600</v>
      </c>
      <c r="E121" s="1">
        <v>1085291221</v>
      </c>
      <c r="F121" s="1" t="s">
        <v>93</v>
      </c>
      <c r="G121" s="1" t="s">
        <v>9</v>
      </c>
      <c r="H121" t="e">
        <f>VLOOKUP(C121,'[1]873'!$C$2:$C$711,1,0)</f>
        <v>#N/A</v>
      </c>
    </row>
    <row r="122" spans="1:8" ht="14.25" customHeight="1" x14ac:dyDescent="0.25">
      <c r="A122" s="3">
        <v>45470</v>
      </c>
      <c r="B122" s="41">
        <v>2024000944</v>
      </c>
      <c r="C122" s="1" t="s">
        <v>378</v>
      </c>
      <c r="D122" s="5">
        <v>7500000</v>
      </c>
      <c r="E122" s="1">
        <v>1085332934</v>
      </c>
      <c r="F122" s="1" t="s">
        <v>379</v>
      </c>
      <c r="G122" s="1" t="s">
        <v>9</v>
      </c>
      <c r="H122" t="e">
        <f>VLOOKUP(C122,'[1]873'!$C$2:$C$711,1,0)</f>
        <v>#N/A</v>
      </c>
    </row>
    <row r="123" spans="1:8" ht="14.25" customHeight="1" x14ac:dyDescent="0.25">
      <c r="A123" s="3">
        <v>45470</v>
      </c>
      <c r="B123" s="41">
        <v>2024000945</v>
      </c>
      <c r="C123" s="1" t="s">
        <v>426</v>
      </c>
      <c r="D123" s="5">
        <v>2000000</v>
      </c>
      <c r="E123" s="1">
        <v>1085318688</v>
      </c>
      <c r="F123" s="1" t="s">
        <v>427</v>
      </c>
      <c r="G123" s="1" t="s">
        <v>9</v>
      </c>
      <c r="H123" t="e">
        <f>VLOOKUP(C123,'[1]873'!$C$2:$C$711,1,0)</f>
        <v>#N/A</v>
      </c>
    </row>
    <row r="124" spans="1:8" ht="14.25" customHeight="1" x14ac:dyDescent="0.25">
      <c r="A124" s="3">
        <v>45470</v>
      </c>
      <c r="B124" s="41">
        <v>2024000946</v>
      </c>
      <c r="C124" s="1" t="s">
        <v>402</v>
      </c>
      <c r="D124" s="5">
        <v>2000000</v>
      </c>
      <c r="E124" s="1">
        <v>1004410201</v>
      </c>
      <c r="F124" s="1" t="s">
        <v>403</v>
      </c>
      <c r="G124" s="1" t="s">
        <v>9</v>
      </c>
      <c r="H124" t="e">
        <f>VLOOKUP(C124,'[1]873'!$C$2:$C$711,1,0)</f>
        <v>#N/A</v>
      </c>
    </row>
    <row r="125" spans="1:8" ht="14.25" customHeight="1" x14ac:dyDescent="0.25">
      <c r="A125" s="3">
        <v>45470</v>
      </c>
      <c r="B125" s="41">
        <v>2024000947</v>
      </c>
      <c r="C125" s="1" t="s">
        <v>330</v>
      </c>
      <c r="D125" s="5">
        <v>2000000</v>
      </c>
      <c r="E125" s="1">
        <v>1085313463</v>
      </c>
      <c r="F125" s="1" t="s">
        <v>331</v>
      </c>
      <c r="G125" s="1" t="s">
        <v>9</v>
      </c>
      <c r="H125" t="e">
        <f>VLOOKUP(C125,'[1]873'!$C$2:$C$711,1,0)</f>
        <v>#N/A</v>
      </c>
    </row>
    <row r="126" spans="1:8" ht="14.25" customHeight="1" x14ac:dyDescent="0.25">
      <c r="A126" s="3">
        <v>45470</v>
      </c>
      <c r="B126" s="41">
        <v>2024000948</v>
      </c>
      <c r="C126" s="1" t="s">
        <v>56</v>
      </c>
      <c r="D126" s="5">
        <v>4825600</v>
      </c>
      <c r="E126" s="1">
        <v>1193385736</v>
      </c>
      <c r="F126" s="1" t="s">
        <v>57</v>
      </c>
      <c r="G126" s="1" t="s">
        <v>9</v>
      </c>
      <c r="H126" t="e">
        <f>VLOOKUP(C126,'[1]873'!$C$2:$C$711,1,0)</f>
        <v>#N/A</v>
      </c>
    </row>
    <row r="127" spans="1:8" ht="14.25" customHeight="1" x14ac:dyDescent="0.25">
      <c r="A127" s="3">
        <v>45470</v>
      </c>
      <c r="B127" s="41">
        <v>2024000949</v>
      </c>
      <c r="C127" s="1" t="s">
        <v>44</v>
      </c>
      <c r="D127" s="5">
        <v>2000000</v>
      </c>
      <c r="E127" s="1">
        <v>1007356378</v>
      </c>
      <c r="F127" s="1" t="s">
        <v>45</v>
      </c>
      <c r="G127" s="1" t="s">
        <v>9</v>
      </c>
      <c r="H127" t="e">
        <f>VLOOKUP(C127,'[1]873'!$C$2:$C$711,1,0)</f>
        <v>#N/A</v>
      </c>
    </row>
    <row r="128" spans="1:8" ht="14.25" customHeight="1" x14ac:dyDescent="0.25">
      <c r="A128" s="3">
        <v>45470</v>
      </c>
      <c r="B128" s="41">
        <v>2024000950</v>
      </c>
      <c r="C128" s="1" t="s">
        <v>22</v>
      </c>
      <c r="D128" s="5">
        <v>4750000</v>
      </c>
      <c r="E128" s="1">
        <v>1085325342</v>
      </c>
      <c r="F128" s="1" t="s">
        <v>23</v>
      </c>
      <c r="G128" s="1" t="s">
        <v>9</v>
      </c>
      <c r="H128" t="e">
        <f>VLOOKUP(C128,'[1]873'!$C$2:$C$711,1,0)</f>
        <v>#N/A</v>
      </c>
    </row>
    <row r="129" spans="1:8" ht="14.25" customHeight="1" x14ac:dyDescent="0.25">
      <c r="A129" s="3">
        <v>45470</v>
      </c>
      <c r="B129" s="41">
        <v>2024000951</v>
      </c>
      <c r="C129" s="1" t="s">
        <v>404</v>
      </c>
      <c r="D129" s="5">
        <v>2000000</v>
      </c>
      <c r="E129" s="1">
        <v>1085288636</v>
      </c>
      <c r="F129" s="1" t="s">
        <v>405</v>
      </c>
      <c r="G129" s="1" t="s">
        <v>9</v>
      </c>
      <c r="H129" t="e">
        <f>VLOOKUP(C129,'[1]873'!$C$2:$C$711,1,0)</f>
        <v>#N/A</v>
      </c>
    </row>
    <row r="130" spans="1:8" ht="14.25" customHeight="1" x14ac:dyDescent="0.25">
      <c r="A130" s="3">
        <v>45470</v>
      </c>
      <c r="B130" s="41">
        <v>2024000952</v>
      </c>
      <c r="C130" s="1" t="s">
        <v>14</v>
      </c>
      <c r="D130" s="5">
        <v>4825600</v>
      </c>
      <c r="E130" s="1">
        <v>1085338534</v>
      </c>
      <c r="F130" s="1" t="s">
        <v>15</v>
      </c>
      <c r="G130" s="1" t="s">
        <v>9</v>
      </c>
      <c r="H130" t="e">
        <f>VLOOKUP(C130,'[1]873'!$C$2:$C$711,1,0)</f>
        <v>#N/A</v>
      </c>
    </row>
    <row r="131" spans="1:8" ht="14.25" customHeight="1" x14ac:dyDescent="0.25">
      <c r="A131" s="3">
        <v>45470</v>
      </c>
      <c r="B131" s="41">
        <v>2024000953</v>
      </c>
      <c r="C131" s="1" t="s">
        <v>386</v>
      </c>
      <c r="D131" s="5">
        <v>2000000</v>
      </c>
      <c r="E131" s="1">
        <v>1030606749</v>
      </c>
      <c r="F131" s="1" t="s">
        <v>387</v>
      </c>
      <c r="G131" s="1" t="s">
        <v>9</v>
      </c>
      <c r="H131" t="e">
        <f>VLOOKUP(C131,'[1]873'!$C$2:$C$711,1,0)</f>
        <v>#N/A</v>
      </c>
    </row>
    <row r="132" spans="1:8" ht="14.25" customHeight="1" x14ac:dyDescent="0.25">
      <c r="A132" s="3">
        <v>45470</v>
      </c>
      <c r="B132" s="41">
        <v>2024000954</v>
      </c>
      <c r="C132" s="1" t="s">
        <v>376</v>
      </c>
      <c r="D132" s="5">
        <v>4825600</v>
      </c>
      <c r="E132" s="1">
        <v>37082349</v>
      </c>
      <c r="F132" s="1" t="s">
        <v>377</v>
      </c>
      <c r="G132" s="1" t="s">
        <v>9</v>
      </c>
      <c r="H132" t="e">
        <f>VLOOKUP(C132,'[1]873'!$C$2:$C$711,1,0)</f>
        <v>#N/A</v>
      </c>
    </row>
    <row r="133" spans="1:8" ht="14.25" customHeight="1" x14ac:dyDescent="0.25">
      <c r="A133" s="3">
        <v>45470</v>
      </c>
      <c r="B133" s="41">
        <v>2024000955</v>
      </c>
      <c r="C133" s="1" t="s">
        <v>128</v>
      </c>
      <c r="D133" s="5">
        <v>4825600</v>
      </c>
      <c r="E133" s="1">
        <v>59310145</v>
      </c>
      <c r="F133" s="1" t="s">
        <v>129</v>
      </c>
      <c r="G133" s="1" t="s">
        <v>9</v>
      </c>
      <c r="H133" t="e">
        <f>VLOOKUP(C133,'[1]873'!$C$2:$C$711,1,0)</f>
        <v>#N/A</v>
      </c>
    </row>
    <row r="134" spans="1:8" ht="14.25" customHeight="1" x14ac:dyDescent="0.25">
      <c r="A134" s="3">
        <v>45470</v>
      </c>
      <c r="B134" s="41">
        <v>2024000956</v>
      </c>
      <c r="C134" s="1" t="s">
        <v>122</v>
      </c>
      <c r="D134" s="5">
        <v>2000000</v>
      </c>
      <c r="E134" s="1">
        <v>1004592366</v>
      </c>
      <c r="F134" s="1" t="s">
        <v>123</v>
      </c>
      <c r="G134" s="1" t="s">
        <v>9</v>
      </c>
      <c r="H134" t="e">
        <f>VLOOKUP(C134,'[1]873'!$C$2:$C$711,1,0)</f>
        <v>#N/A</v>
      </c>
    </row>
    <row r="135" spans="1:8" ht="14.25" customHeight="1" x14ac:dyDescent="0.25">
      <c r="A135" s="3">
        <v>45470</v>
      </c>
      <c r="B135" s="41">
        <v>2024000960</v>
      </c>
      <c r="C135" s="1" t="s">
        <v>84</v>
      </c>
      <c r="D135" s="5">
        <v>2000000</v>
      </c>
      <c r="E135" s="1">
        <v>1085327701</v>
      </c>
      <c r="F135" s="1" t="s">
        <v>85</v>
      </c>
      <c r="G135" s="1" t="s">
        <v>9</v>
      </c>
      <c r="H135" t="e">
        <f>VLOOKUP(C135,'[1]873'!$C$2:$C$711,1,0)</f>
        <v>#N/A</v>
      </c>
    </row>
    <row r="136" spans="1:8" ht="14.25" customHeight="1" x14ac:dyDescent="0.25">
      <c r="A136" s="3">
        <v>45470</v>
      </c>
      <c r="B136" s="41">
        <v>2024000961</v>
      </c>
      <c r="C136" s="1" t="s">
        <v>10</v>
      </c>
      <c r="D136" s="5">
        <v>2000000</v>
      </c>
      <c r="E136" s="1">
        <v>1085317833</v>
      </c>
      <c r="F136" s="1" t="s">
        <v>11</v>
      </c>
      <c r="G136" s="1" t="s">
        <v>9</v>
      </c>
      <c r="H136" t="e">
        <f>VLOOKUP(C136,'[1]873'!$C$2:$C$711,1,0)</f>
        <v>#N/A</v>
      </c>
    </row>
    <row r="137" spans="1:8" ht="14.25" customHeight="1" x14ac:dyDescent="0.25">
      <c r="A137" s="3">
        <v>45470</v>
      </c>
      <c r="B137" s="41">
        <v>2024000962</v>
      </c>
      <c r="C137" s="1" t="s">
        <v>294</v>
      </c>
      <c r="D137" s="5">
        <v>4825600</v>
      </c>
      <c r="E137" s="1">
        <v>1088730712</v>
      </c>
      <c r="F137" s="1" t="s">
        <v>295</v>
      </c>
      <c r="G137" s="1" t="s">
        <v>9</v>
      </c>
      <c r="H137" t="e">
        <f>VLOOKUP(C137,'[1]873'!$C$2:$C$711,1,0)</f>
        <v>#N/A</v>
      </c>
    </row>
    <row r="138" spans="1:8" ht="14.25" customHeight="1" x14ac:dyDescent="0.25">
      <c r="A138" s="3">
        <v>45470</v>
      </c>
      <c r="B138" s="41">
        <v>2024000963</v>
      </c>
      <c r="C138" s="1" t="s">
        <v>142</v>
      </c>
      <c r="D138" s="5">
        <v>6000000</v>
      </c>
      <c r="E138" s="1">
        <v>1085254626</v>
      </c>
      <c r="F138" s="1" t="s">
        <v>143</v>
      </c>
      <c r="G138" s="1" t="s">
        <v>9</v>
      </c>
      <c r="H138" t="e">
        <f>VLOOKUP(C138,'[1]873'!$C$2:$C$711,1,0)</f>
        <v>#N/A</v>
      </c>
    </row>
    <row r="139" spans="1:8" ht="14.25" customHeight="1" x14ac:dyDescent="0.25">
      <c r="A139" s="3">
        <v>45470</v>
      </c>
      <c r="B139" s="41">
        <v>2024000964</v>
      </c>
      <c r="C139" s="1" t="s">
        <v>410</v>
      </c>
      <c r="D139" s="5">
        <v>2000000</v>
      </c>
      <c r="E139" s="1">
        <v>36757213</v>
      </c>
      <c r="F139" s="1" t="s">
        <v>411</v>
      </c>
      <c r="G139" s="1" t="s">
        <v>9</v>
      </c>
      <c r="H139" t="e">
        <f>VLOOKUP(C139,'[1]873'!$C$2:$C$711,1,0)</f>
        <v>#N/A</v>
      </c>
    </row>
    <row r="140" spans="1:8" ht="14.25" customHeight="1" x14ac:dyDescent="0.25">
      <c r="A140" s="3">
        <v>45475</v>
      </c>
      <c r="B140" s="41">
        <v>2024000967</v>
      </c>
      <c r="C140" s="1" t="s">
        <v>410</v>
      </c>
      <c r="D140" s="5">
        <v>2000000</v>
      </c>
      <c r="E140" s="1">
        <v>36757213</v>
      </c>
      <c r="F140" s="1" t="s">
        <v>411</v>
      </c>
      <c r="G140" s="1" t="s">
        <v>9</v>
      </c>
      <c r="H140" t="e">
        <f>VLOOKUP(C140,'[1]873'!$C$2:$C$711,1,0)</f>
        <v>#N/A</v>
      </c>
    </row>
    <row r="141" spans="1:8" ht="14.25" customHeight="1" x14ac:dyDescent="0.25">
      <c r="A141" s="3">
        <v>45475</v>
      </c>
      <c r="B141" s="41">
        <v>2024000968</v>
      </c>
      <c r="C141" s="1" t="s">
        <v>46</v>
      </c>
      <c r="D141" s="5">
        <v>4750000</v>
      </c>
      <c r="E141" s="1">
        <v>1087414586</v>
      </c>
      <c r="F141" s="1" t="s">
        <v>47</v>
      </c>
      <c r="G141" s="1" t="s">
        <v>9</v>
      </c>
      <c r="H141" t="e">
        <f>VLOOKUP(C141,'[1]873'!$C$2:$C$711,1,0)</f>
        <v>#N/A</v>
      </c>
    </row>
    <row r="142" spans="1:8" ht="14.25" customHeight="1" x14ac:dyDescent="0.25">
      <c r="A142" s="3">
        <v>45475</v>
      </c>
      <c r="B142" s="41">
        <v>2024000969</v>
      </c>
      <c r="C142" s="1" t="s">
        <v>52</v>
      </c>
      <c r="D142" s="5">
        <v>4825600</v>
      </c>
      <c r="E142" s="1">
        <v>30733517</v>
      </c>
      <c r="F142" s="1" t="s">
        <v>53</v>
      </c>
      <c r="G142" s="1" t="s">
        <v>9</v>
      </c>
      <c r="H142" t="e">
        <f>VLOOKUP(C142,'[1]873'!$C$2:$C$711,1,0)</f>
        <v>#N/A</v>
      </c>
    </row>
    <row r="143" spans="1:8" ht="14.25" customHeight="1" x14ac:dyDescent="0.25">
      <c r="A143" s="3">
        <v>45475</v>
      </c>
      <c r="B143" s="41">
        <v>2024000970</v>
      </c>
      <c r="C143" s="1" t="s">
        <v>108</v>
      </c>
      <c r="D143" s="5">
        <v>2000000</v>
      </c>
      <c r="E143" s="1">
        <v>1004232508</v>
      </c>
      <c r="F143" s="1" t="s">
        <v>109</v>
      </c>
      <c r="G143" s="1" t="s">
        <v>9</v>
      </c>
      <c r="H143" t="e">
        <f>VLOOKUP(C143,'[1]873'!$C$2:$C$711,1,0)</f>
        <v>#N/A</v>
      </c>
    </row>
    <row r="144" spans="1:8" ht="14.25" customHeight="1" x14ac:dyDescent="0.25">
      <c r="A144" s="3">
        <v>45475</v>
      </c>
      <c r="B144" s="41">
        <v>2024000971</v>
      </c>
      <c r="C144" s="1" t="s">
        <v>364</v>
      </c>
      <c r="D144" s="5">
        <v>2000000</v>
      </c>
      <c r="E144" s="1">
        <v>1004726758</v>
      </c>
      <c r="F144" s="1" t="s">
        <v>365</v>
      </c>
      <c r="G144" s="1" t="s">
        <v>9</v>
      </c>
      <c r="H144" t="e">
        <f>VLOOKUP(C144,'[1]873'!$C$2:$C$711,1,0)</f>
        <v>#N/A</v>
      </c>
    </row>
    <row r="145" spans="1:8" ht="14.25" customHeight="1" x14ac:dyDescent="0.25">
      <c r="A145" s="3">
        <v>45475</v>
      </c>
      <c r="B145" s="41">
        <v>2024000972</v>
      </c>
      <c r="C145" s="1" t="s">
        <v>218</v>
      </c>
      <c r="D145" s="5">
        <v>2000000</v>
      </c>
      <c r="E145" s="1">
        <v>1010113730</v>
      </c>
      <c r="F145" s="1" t="s">
        <v>219</v>
      </c>
      <c r="G145" s="1" t="s">
        <v>9</v>
      </c>
      <c r="H145" t="e">
        <f>VLOOKUP(C145,'[1]873'!$C$2:$C$711,1,0)</f>
        <v>#N/A</v>
      </c>
    </row>
    <row r="146" spans="1:8" ht="14.25" customHeight="1" x14ac:dyDescent="0.25">
      <c r="A146" s="3">
        <v>45475</v>
      </c>
      <c r="B146" s="41">
        <v>2024000973</v>
      </c>
      <c r="C146" s="1" t="s">
        <v>48</v>
      </c>
      <c r="D146" s="5">
        <v>6000000</v>
      </c>
      <c r="E146" s="1">
        <v>27097289</v>
      </c>
      <c r="F146" s="1" t="s">
        <v>49</v>
      </c>
      <c r="G146" s="1" t="s">
        <v>9</v>
      </c>
      <c r="H146" t="e">
        <f>VLOOKUP(C146,'[1]873'!$C$2:$C$711,1,0)</f>
        <v>#N/A</v>
      </c>
    </row>
    <row r="147" spans="1:8" ht="14.25" customHeight="1" x14ac:dyDescent="0.25">
      <c r="A147" s="3">
        <v>45475</v>
      </c>
      <c r="B147" s="41">
        <v>2024000975</v>
      </c>
      <c r="C147" s="1" t="s">
        <v>106</v>
      </c>
      <c r="D147" s="5">
        <v>2000000</v>
      </c>
      <c r="E147" s="1">
        <v>36758143</v>
      </c>
      <c r="F147" s="1" t="s">
        <v>107</v>
      </c>
      <c r="G147" s="1" t="s">
        <v>9</v>
      </c>
      <c r="H147" t="e">
        <f>VLOOKUP(C147,'[1]873'!$C$2:$C$711,1,0)</f>
        <v>#N/A</v>
      </c>
    </row>
    <row r="148" spans="1:8" ht="14.25" customHeight="1" x14ac:dyDescent="0.25">
      <c r="A148" s="3">
        <v>45475</v>
      </c>
      <c r="B148" s="41">
        <v>2024000976</v>
      </c>
      <c r="C148" s="1" t="s">
        <v>236</v>
      </c>
      <c r="D148" s="5">
        <v>2000000</v>
      </c>
      <c r="E148" s="1">
        <v>1004234290</v>
      </c>
      <c r="F148" s="1" t="s">
        <v>237</v>
      </c>
      <c r="G148" s="1" t="s">
        <v>9</v>
      </c>
      <c r="H148" t="e">
        <f>VLOOKUP(C148,'[1]873'!$C$2:$C$711,1,0)</f>
        <v>#N/A</v>
      </c>
    </row>
    <row r="149" spans="1:8" ht="14.25" customHeight="1" x14ac:dyDescent="0.25">
      <c r="A149" s="3">
        <v>45475</v>
      </c>
      <c r="B149" s="41">
        <v>2024000977</v>
      </c>
      <c r="C149" s="1" t="s">
        <v>82</v>
      </c>
      <c r="D149" s="5">
        <v>7500000</v>
      </c>
      <c r="E149" s="1">
        <v>1085329230</v>
      </c>
      <c r="F149" s="1" t="s">
        <v>83</v>
      </c>
      <c r="G149" s="1" t="s">
        <v>9</v>
      </c>
      <c r="H149" t="e">
        <f>VLOOKUP(C149,'[1]873'!$C$2:$C$711,1,0)</f>
        <v>#N/A</v>
      </c>
    </row>
    <row r="150" spans="1:8" ht="14.25" customHeight="1" x14ac:dyDescent="0.25">
      <c r="A150" s="3">
        <v>45475</v>
      </c>
      <c r="B150" s="41">
        <v>2024000978</v>
      </c>
      <c r="C150" s="1" t="s">
        <v>272</v>
      </c>
      <c r="D150" s="5">
        <v>4825600</v>
      </c>
      <c r="E150" s="1">
        <v>1085332406</v>
      </c>
      <c r="F150" s="1" t="s">
        <v>273</v>
      </c>
      <c r="G150" s="1" t="s">
        <v>9</v>
      </c>
      <c r="H150" t="e">
        <f>VLOOKUP(C150,'[1]873'!$C$2:$C$711,1,0)</f>
        <v>#N/A</v>
      </c>
    </row>
    <row r="151" spans="1:8" ht="14.25" customHeight="1" x14ac:dyDescent="0.25">
      <c r="A151" s="3">
        <v>45475</v>
      </c>
      <c r="B151" s="41">
        <v>2024000979</v>
      </c>
      <c r="C151" s="1" t="s">
        <v>176</v>
      </c>
      <c r="D151" s="5">
        <v>4825600</v>
      </c>
      <c r="E151" s="1">
        <v>27087851</v>
      </c>
      <c r="F151" s="1" t="s">
        <v>177</v>
      </c>
      <c r="G151" s="1" t="s">
        <v>9</v>
      </c>
      <c r="H151" t="e">
        <f>VLOOKUP(C151,'[1]873'!$C$2:$C$711,1,0)</f>
        <v>#N/A</v>
      </c>
    </row>
    <row r="152" spans="1:8" ht="14.25" customHeight="1" x14ac:dyDescent="0.25">
      <c r="A152" s="3">
        <v>45475</v>
      </c>
      <c r="B152" s="41">
        <v>2024000980</v>
      </c>
      <c r="C152" s="1" t="s">
        <v>150</v>
      </c>
      <c r="D152" s="5">
        <v>4750000</v>
      </c>
      <c r="E152" s="1">
        <v>59824313</v>
      </c>
      <c r="F152" s="1" t="s">
        <v>151</v>
      </c>
      <c r="G152" s="1" t="s">
        <v>9</v>
      </c>
      <c r="H152" t="e">
        <f>VLOOKUP(C152,'[1]873'!$C$2:$C$711,1,0)</f>
        <v>#N/A</v>
      </c>
    </row>
    <row r="153" spans="1:8" ht="14.25" customHeight="1" x14ac:dyDescent="0.25">
      <c r="A153" s="3">
        <v>45475</v>
      </c>
      <c r="B153" s="41">
        <v>2024000981</v>
      </c>
      <c r="C153" s="1" t="s">
        <v>124</v>
      </c>
      <c r="D153" s="5">
        <v>6000000</v>
      </c>
      <c r="E153" s="1">
        <v>36951002</v>
      </c>
      <c r="F153" s="1" t="s">
        <v>125</v>
      </c>
      <c r="G153" s="1" t="s">
        <v>9</v>
      </c>
      <c r="H153" t="e">
        <f>VLOOKUP(C153,'[1]873'!$C$2:$C$711,1,0)</f>
        <v>#N/A</v>
      </c>
    </row>
    <row r="154" spans="1:8" ht="14.25" customHeight="1" x14ac:dyDescent="0.25">
      <c r="A154" s="3">
        <v>45475</v>
      </c>
      <c r="B154" s="41">
        <v>2024000982</v>
      </c>
      <c r="C154" s="1" t="s">
        <v>416</v>
      </c>
      <c r="D154" s="5">
        <v>2000000</v>
      </c>
      <c r="E154" s="1">
        <v>1085302942</v>
      </c>
      <c r="F154" s="1" t="s">
        <v>417</v>
      </c>
      <c r="G154" s="1" t="s">
        <v>9</v>
      </c>
      <c r="H154" t="e">
        <f>VLOOKUP(C154,'[1]873'!$C$2:$C$711,1,0)</f>
        <v>#N/A</v>
      </c>
    </row>
    <row r="155" spans="1:8" ht="14.25" customHeight="1" x14ac:dyDescent="0.25">
      <c r="A155" s="3">
        <v>45475</v>
      </c>
      <c r="B155" s="41">
        <v>2024000983</v>
      </c>
      <c r="C155" s="1" t="s">
        <v>396</v>
      </c>
      <c r="D155" s="5">
        <v>2000000</v>
      </c>
      <c r="E155" s="1">
        <v>1004635031</v>
      </c>
      <c r="F155" s="1" t="s">
        <v>397</v>
      </c>
      <c r="G155" s="1" t="s">
        <v>9</v>
      </c>
      <c r="H155" t="e">
        <f>VLOOKUP(C155,'[1]873'!$C$2:$C$711,1,0)</f>
        <v>#N/A</v>
      </c>
    </row>
    <row r="156" spans="1:8" ht="14.25" customHeight="1" x14ac:dyDescent="0.25">
      <c r="A156" s="3">
        <v>45475</v>
      </c>
      <c r="B156" s="41">
        <v>2024000984</v>
      </c>
      <c r="C156" s="1" t="s">
        <v>428</v>
      </c>
      <c r="D156" s="5">
        <v>4750000</v>
      </c>
      <c r="E156" s="1">
        <v>1085260497</v>
      </c>
      <c r="F156" s="1" t="s">
        <v>429</v>
      </c>
      <c r="G156" s="1" t="s">
        <v>9</v>
      </c>
      <c r="H156" t="e">
        <f>VLOOKUP(C156,'[1]873'!$C$2:$C$711,1,0)</f>
        <v>#N/A</v>
      </c>
    </row>
    <row r="157" spans="1:8" ht="14.25" customHeight="1" x14ac:dyDescent="0.25">
      <c r="A157" s="3">
        <v>45475</v>
      </c>
      <c r="B157" s="41">
        <v>2024000985</v>
      </c>
      <c r="C157" s="1" t="s">
        <v>36</v>
      </c>
      <c r="D157" s="5">
        <v>2000000</v>
      </c>
      <c r="E157" s="1">
        <v>27087122</v>
      </c>
      <c r="F157" s="1" t="s">
        <v>37</v>
      </c>
      <c r="G157" s="1" t="s">
        <v>9</v>
      </c>
      <c r="H157" t="e">
        <f>VLOOKUP(C157,'[1]873'!$C$2:$C$711,1,0)</f>
        <v>#N/A</v>
      </c>
    </row>
    <row r="158" spans="1:8" ht="14.25" customHeight="1" x14ac:dyDescent="0.25">
      <c r="A158" s="3">
        <v>45476</v>
      </c>
      <c r="B158" s="41">
        <v>2024000994</v>
      </c>
      <c r="C158" s="1" t="s">
        <v>334</v>
      </c>
      <c r="D158" s="5">
        <v>2000000</v>
      </c>
      <c r="E158" s="1">
        <v>1085261053</v>
      </c>
      <c r="F158" s="1" t="s">
        <v>335</v>
      </c>
      <c r="G158" s="1" t="s">
        <v>9</v>
      </c>
      <c r="H158" t="e">
        <f>VLOOKUP(C158,'[1]873'!$C$2:$C$711,1,0)</f>
        <v>#N/A</v>
      </c>
    </row>
    <row r="159" spans="1:8" ht="14.25" customHeight="1" x14ac:dyDescent="0.25">
      <c r="A159" s="3">
        <v>45476</v>
      </c>
      <c r="B159" s="41">
        <v>2024000995</v>
      </c>
      <c r="C159" s="1" t="s">
        <v>332</v>
      </c>
      <c r="D159" s="5">
        <v>4825600</v>
      </c>
      <c r="E159" s="1">
        <v>1085269530</v>
      </c>
      <c r="F159" s="1" t="s">
        <v>333</v>
      </c>
      <c r="G159" s="1" t="s">
        <v>9</v>
      </c>
      <c r="H159" t="e">
        <f>VLOOKUP(C159,'[1]873'!$C$2:$C$711,1,0)</f>
        <v>#N/A</v>
      </c>
    </row>
    <row r="160" spans="1:8" ht="14.25" customHeight="1" x14ac:dyDescent="0.25">
      <c r="A160" s="3">
        <v>45476</v>
      </c>
      <c r="B160" s="41">
        <v>2024000996</v>
      </c>
      <c r="C160" s="1" t="s">
        <v>178</v>
      </c>
      <c r="D160" s="5">
        <v>2000000</v>
      </c>
      <c r="E160" s="1">
        <v>1085250095</v>
      </c>
      <c r="F160" s="1" t="s">
        <v>179</v>
      </c>
      <c r="G160" s="1" t="s">
        <v>9</v>
      </c>
      <c r="H160" t="e">
        <f>VLOOKUP(C160,'[1]873'!$C$2:$C$711,1,0)</f>
        <v>#N/A</v>
      </c>
    </row>
    <row r="161" spans="1:8" ht="14.25" customHeight="1" x14ac:dyDescent="0.25">
      <c r="A161" s="3">
        <v>45476</v>
      </c>
      <c r="B161" s="41">
        <v>2024000997</v>
      </c>
      <c r="C161" s="1" t="s">
        <v>120</v>
      </c>
      <c r="D161" s="5">
        <v>2000000</v>
      </c>
      <c r="E161" s="1">
        <v>59834953</v>
      </c>
      <c r="F161" s="1" t="s">
        <v>121</v>
      </c>
      <c r="G161" s="1" t="s">
        <v>9</v>
      </c>
      <c r="H161" t="e">
        <f>VLOOKUP(C161,'[1]873'!$C$2:$C$711,1,0)</f>
        <v>#N/A</v>
      </c>
    </row>
    <row r="162" spans="1:8" ht="14.25" customHeight="1" x14ac:dyDescent="0.25">
      <c r="A162" s="3">
        <v>45476</v>
      </c>
      <c r="B162" s="41">
        <v>2024000998</v>
      </c>
      <c r="C162" s="1" t="s">
        <v>66</v>
      </c>
      <c r="D162" s="5">
        <v>2000000</v>
      </c>
      <c r="E162" s="1">
        <v>1193265360</v>
      </c>
      <c r="F162" s="1" t="s">
        <v>67</v>
      </c>
      <c r="G162" s="1" t="s">
        <v>9</v>
      </c>
      <c r="H162" t="e">
        <f>VLOOKUP(C162,'[1]873'!$C$2:$C$711,1,0)</f>
        <v>#N/A</v>
      </c>
    </row>
    <row r="163" spans="1:8" ht="14.25" customHeight="1" x14ac:dyDescent="0.25">
      <c r="A163" s="3">
        <v>45476</v>
      </c>
      <c r="B163" s="41">
        <v>2024000999</v>
      </c>
      <c r="C163" s="1" t="s">
        <v>112</v>
      </c>
      <c r="D163" s="5">
        <v>6000000</v>
      </c>
      <c r="E163" s="1">
        <v>1004213964</v>
      </c>
      <c r="F163" s="1" t="s">
        <v>113</v>
      </c>
      <c r="G163" s="1" t="s">
        <v>9</v>
      </c>
      <c r="H163" t="e">
        <f>VLOOKUP(C163,'[1]873'!$C$2:$C$711,1,0)</f>
        <v>#N/A</v>
      </c>
    </row>
    <row r="164" spans="1:8" ht="14.25" customHeight="1" x14ac:dyDescent="0.25">
      <c r="A164" s="3">
        <v>45476</v>
      </c>
      <c r="B164" s="41">
        <v>2024001000</v>
      </c>
      <c r="C164" s="1" t="s">
        <v>228</v>
      </c>
      <c r="D164" s="5">
        <v>2000000</v>
      </c>
      <c r="E164" s="1">
        <v>1193271854</v>
      </c>
      <c r="F164" s="1" t="s">
        <v>229</v>
      </c>
      <c r="G164" s="1" t="s">
        <v>9</v>
      </c>
      <c r="H164" t="e">
        <f>VLOOKUP(C164,'[1]873'!$C$2:$C$711,1,0)</f>
        <v>#N/A</v>
      </c>
    </row>
    <row r="165" spans="1:8" ht="14.25" customHeight="1" x14ac:dyDescent="0.25">
      <c r="A165" s="3">
        <v>45477</v>
      </c>
      <c r="B165" s="41">
        <v>2024001017</v>
      </c>
      <c r="C165" s="1" t="s">
        <v>94</v>
      </c>
      <c r="D165" s="5">
        <v>4750000</v>
      </c>
      <c r="E165" s="1">
        <v>1087413951</v>
      </c>
      <c r="F165" s="1" t="s">
        <v>95</v>
      </c>
      <c r="G165" s="1" t="s">
        <v>9</v>
      </c>
      <c r="H165" t="e">
        <f>VLOOKUP(C165,'[1]873'!$C$2:$C$711,1,0)</f>
        <v>#N/A</v>
      </c>
    </row>
    <row r="166" spans="1:8" ht="14.25" customHeight="1" x14ac:dyDescent="0.25">
      <c r="A166" s="3">
        <v>45477</v>
      </c>
      <c r="B166" s="41">
        <v>2024001018</v>
      </c>
      <c r="C166" s="1" t="s">
        <v>98</v>
      </c>
      <c r="D166" s="5">
        <v>4825600</v>
      </c>
      <c r="E166" s="1">
        <v>1085337969</v>
      </c>
      <c r="F166" s="1" t="s">
        <v>99</v>
      </c>
      <c r="G166" s="1" t="s">
        <v>9</v>
      </c>
      <c r="H166" t="e">
        <f>VLOOKUP(C166,'[1]873'!$C$2:$C$711,1,0)</f>
        <v>#N/A</v>
      </c>
    </row>
    <row r="167" spans="1:8" ht="14.25" customHeight="1" x14ac:dyDescent="0.25">
      <c r="A167" s="3">
        <v>45477</v>
      </c>
      <c r="B167" s="41">
        <v>2024001019</v>
      </c>
      <c r="C167" s="1" t="s">
        <v>420</v>
      </c>
      <c r="D167" s="5">
        <v>7500000</v>
      </c>
      <c r="E167" s="1">
        <v>1088599676</v>
      </c>
      <c r="F167" s="1" t="s">
        <v>421</v>
      </c>
      <c r="G167" s="1" t="s">
        <v>9</v>
      </c>
      <c r="H167" t="e">
        <f>VLOOKUP(C167,'[1]873'!$C$2:$C$711,1,0)</f>
        <v>#N/A</v>
      </c>
    </row>
    <row r="168" spans="1:8" ht="14.25" customHeight="1" x14ac:dyDescent="0.25">
      <c r="A168" s="3">
        <v>45477</v>
      </c>
      <c r="B168" s="41">
        <v>2024001020</v>
      </c>
      <c r="C168" s="1" t="s">
        <v>100</v>
      </c>
      <c r="D168" s="5">
        <v>2000000</v>
      </c>
      <c r="E168" s="1">
        <v>13070330</v>
      </c>
      <c r="F168" s="1" t="s">
        <v>101</v>
      </c>
      <c r="G168" s="1" t="s">
        <v>9</v>
      </c>
      <c r="H168" t="e">
        <f>VLOOKUP(C168,'[1]873'!$C$2:$C$711,1,0)</f>
        <v>#N/A</v>
      </c>
    </row>
    <row r="169" spans="1:8" ht="14.25" customHeight="1" x14ac:dyDescent="0.25">
      <c r="A169" s="3">
        <v>45477</v>
      </c>
      <c r="B169" s="41">
        <v>2024001021</v>
      </c>
      <c r="C169" s="1" t="s">
        <v>174</v>
      </c>
      <c r="D169" s="5">
        <v>4825600</v>
      </c>
      <c r="E169" s="1">
        <v>1085283723</v>
      </c>
      <c r="F169" s="1" t="s">
        <v>175</v>
      </c>
      <c r="G169" s="1" t="s">
        <v>9</v>
      </c>
      <c r="H169" t="e">
        <f>VLOOKUP(C169,'[1]873'!$C$2:$C$711,1,0)</f>
        <v>#N/A</v>
      </c>
    </row>
    <row r="170" spans="1:8" ht="14.25" customHeight="1" x14ac:dyDescent="0.25">
      <c r="A170" s="3">
        <v>45478</v>
      </c>
      <c r="B170" s="41">
        <v>2024001024</v>
      </c>
      <c r="C170" s="1" t="s">
        <v>76</v>
      </c>
      <c r="D170" s="5">
        <v>2000000</v>
      </c>
      <c r="E170" s="1">
        <v>1086362994</v>
      </c>
      <c r="F170" s="1" t="s">
        <v>77</v>
      </c>
      <c r="G170" s="1" t="s">
        <v>9</v>
      </c>
      <c r="H170" t="e">
        <f>VLOOKUP(C170,'[1]873'!$C$2:$C$711,1,0)</f>
        <v>#N/A</v>
      </c>
    </row>
    <row r="171" spans="1:8" ht="14.25" customHeight="1" x14ac:dyDescent="0.25">
      <c r="A171" s="3">
        <v>45478</v>
      </c>
      <c r="B171" s="41">
        <v>2024001025</v>
      </c>
      <c r="C171" s="1" t="s">
        <v>62</v>
      </c>
      <c r="D171" s="5">
        <v>7500000</v>
      </c>
      <c r="E171" s="1">
        <v>1006946167</v>
      </c>
      <c r="F171" s="1" t="s">
        <v>63</v>
      </c>
      <c r="G171" s="1" t="s">
        <v>9</v>
      </c>
      <c r="H171" t="e">
        <f>VLOOKUP(C171,'[1]873'!$C$2:$C$711,1,0)</f>
        <v>#N/A</v>
      </c>
    </row>
    <row r="172" spans="1:8" ht="14.25" customHeight="1" x14ac:dyDescent="0.25">
      <c r="A172" s="3">
        <v>45478</v>
      </c>
      <c r="B172" s="41">
        <v>2024001026</v>
      </c>
      <c r="C172" s="1" t="s">
        <v>72</v>
      </c>
      <c r="D172" s="5">
        <v>2000000</v>
      </c>
      <c r="E172" s="1">
        <v>1085323101</v>
      </c>
      <c r="F172" s="1" t="s">
        <v>73</v>
      </c>
      <c r="G172" s="1" t="s">
        <v>9</v>
      </c>
      <c r="H172" t="e">
        <f>VLOOKUP(C172,'[1]873'!$C$2:$C$711,1,0)</f>
        <v>#N/A</v>
      </c>
    </row>
    <row r="173" spans="1:8" ht="14.25" customHeight="1" x14ac:dyDescent="0.25">
      <c r="A173" s="3">
        <v>45478</v>
      </c>
      <c r="B173" s="41">
        <v>2024001027</v>
      </c>
      <c r="C173" s="1" t="s">
        <v>50</v>
      </c>
      <c r="D173" s="5">
        <v>2000000</v>
      </c>
      <c r="E173" s="1">
        <v>12974849</v>
      </c>
      <c r="F173" s="1" t="s">
        <v>51</v>
      </c>
      <c r="G173" s="1" t="s">
        <v>9</v>
      </c>
      <c r="H173" t="e">
        <f>VLOOKUP(C173,'[1]873'!$C$2:$C$711,1,0)</f>
        <v>#N/A</v>
      </c>
    </row>
    <row r="174" spans="1:8" ht="14.25" customHeight="1" x14ac:dyDescent="0.25">
      <c r="A174" s="3">
        <v>45478</v>
      </c>
      <c r="B174" s="41">
        <v>2024001028</v>
      </c>
      <c r="C174" s="1" t="s">
        <v>132</v>
      </c>
      <c r="D174" s="5">
        <v>4825600</v>
      </c>
      <c r="E174" s="1">
        <v>87062845</v>
      </c>
      <c r="F174" s="1" t="s">
        <v>133</v>
      </c>
      <c r="G174" s="1" t="s">
        <v>9</v>
      </c>
      <c r="H174" t="e">
        <f>VLOOKUP(C174,'[1]873'!$C$2:$C$711,1,0)</f>
        <v>#N/A</v>
      </c>
    </row>
    <row r="175" spans="1:8" ht="14.25" customHeight="1" x14ac:dyDescent="0.25">
      <c r="A175" s="3">
        <v>45478</v>
      </c>
      <c r="B175" s="41">
        <v>2024001029</v>
      </c>
      <c r="C175" s="1" t="s">
        <v>68</v>
      </c>
      <c r="D175" s="5">
        <v>7500000</v>
      </c>
      <c r="E175" s="1">
        <v>80765093</v>
      </c>
      <c r="F175" s="1" t="s">
        <v>69</v>
      </c>
      <c r="G175" s="1" t="s">
        <v>9</v>
      </c>
      <c r="H175" t="e">
        <f>VLOOKUP(C175,'[1]873'!$C$2:$C$711,1,0)</f>
        <v>#N/A</v>
      </c>
    </row>
    <row r="176" spans="1:8" ht="14.25" customHeight="1" x14ac:dyDescent="0.25">
      <c r="A176" s="3">
        <v>45478</v>
      </c>
      <c r="B176" s="41">
        <v>2024001030</v>
      </c>
      <c r="C176" s="1" t="s">
        <v>160</v>
      </c>
      <c r="D176" s="5">
        <v>7500000</v>
      </c>
      <c r="E176" s="1">
        <v>1085304670</v>
      </c>
      <c r="F176" s="1" t="s">
        <v>161</v>
      </c>
      <c r="G176" s="1" t="s">
        <v>9</v>
      </c>
      <c r="H176" t="e">
        <f>VLOOKUP(C176,'[1]873'!$C$2:$C$711,1,0)</f>
        <v>#N/A</v>
      </c>
    </row>
    <row r="177" spans="1:8" ht="14.25" customHeight="1" x14ac:dyDescent="0.25">
      <c r="A177" s="3">
        <v>45478</v>
      </c>
      <c r="B177" s="41">
        <v>2024001031</v>
      </c>
      <c r="C177" s="1" t="s">
        <v>414</v>
      </c>
      <c r="D177" s="5">
        <v>4750000</v>
      </c>
      <c r="E177" s="1">
        <v>59816986</v>
      </c>
      <c r="F177" s="1" t="s">
        <v>415</v>
      </c>
      <c r="G177" s="1" t="s">
        <v>9</v>
      </c>
      <c r="H177" t="e">
        <f>VLOOKUP(C177,'[1]873'!$C$2:$C$711,1,0)</f>
        <v>#N/A</v>
      </c>
    </row>
    <row r="178" spans="1:8" ht="14.25" customHeight="1" x14ac:dyDescent="0.25">
      <c r="A178" s="3">
        <v>45478</v>
      </c>
      <c r="B178" s="41">
        <v>2024001032</v>
      </c>
      <c r="C178" s="1" t="s">
        <v>74</v>
      </c>
      <c r="D178" s="5">
        <v>2000000</v>
      </c>
      <c r="E178" s="1">
        <v>1085286742</v>
      </c>
      <c r="F178" s="1" t="s">
        <v>75</v>
      </c>
      <c r="G178" s="1" t="s">
        <v>9</v>
      </c>
      <c r="H178" t="e">
        <f>VLOOKUP(C178,'[1]873'!$C$2:$C$711,1,0)</f>
        <v>#N/A</v>
      </c>
    </row>
    <row r="179" spans="1:8" ht="14.25" customHeight="1" x14ac:dyDescent="0.25">
      <c r="A179" s="3">
        <v>45481</v>
      </c>
      <c r="B179" s="41">
        <v>2024001039</v>
      </c>
      <c r="C179" s="1" t="s">
        <v>260</v>
      </c>
      <c r="D179" s="5">
        <v>6000000</v>
      </c>
      <c r="E179" s="1">
        <v>59820414</v>
      </c>
      <c r="F179" s="1" t="s">
        <v>261</v>
      </c>
      <c r="G179" s="1" t="s">
        <v>9</v>
      </c>
      <c r="H179" t="e">
        <f>VLOOKUP(C179,'[1]873'!$C$2:$C$711,1,0)</f>
        <v>#N/A</v>
      </c>
    </row>
    <row r="180" spans="1:8" ht="14.25" customHeight="1" x14ac:dyDescent="0.25">
      <c r="A180" s="3">
        <v>45481</v>
      </c>
      <c r="B180" s="41">
        <v>2024001040</v>
      </c>
      <c r="C180" s="1" t="s">
        <v>110</v>
      </c>
      <c r="D180" s="5">
        <v>2000000</v>
      </c>
      <c r="E180" s="1">
        <v>1085286725</v>
      </c>
      <c r="F180" s="1" t="s">
        <v>111</v>
      </c>
      <c r="G180" s="1" t="s">
        <v>9</v>
      </c>
      <c r="H180" t="e">
        <f>VLOOKUP(C180,'[1]873'!$C$2:$C$711,1,0)</f>
        <v>#N/A</v>
      </c>
    </row>
    <row r="181" spans="1:8" ht="14.25" customHeight="1" x14ac:dyDescent="0.25">
      <c r="A181" s="3">
        <v>45481</v>
      </c>
      <c r="B181" s="41">
        <v>2024001043</v>
      </c>
      <c r="C181" s="1" t="s">
        <v>148</v>
      </c>
      <c r="D181" s="5">
        <v>2000000</v>
      </c>
      <c r="E181" s="1">
        <v>1085339190</v>
      </c>
      <c r="F181" s="1" t="s">
        <v>149</v>
      </c>
      <c r="G181" s="1" t="s">
        <v>9</v>
      </c>
      <c r="H181" t="e">
        <f>VLOOKUP(C181,'[1]873'!$C$2:$C$711,1,0)</f>
        <v>#N/A</v>
      </c>
    </row>
    <row r="182" spans="1:8" ht="14.25" customHeight="1" x14ac:dyDescent="0.25">
      <c r="A182" s="3">
        <v>45481</v>
      </c>
      <c r="B182" s="41">
        <v>2024001044</v>
      </c>
      <c r="C182" s="1" t="s">
        <v>182</v>
      </c>
      <c r="D182" s="5">
        <v>2000000</v>
      </c>
      <c r="E182" s="1">
        <v>98382500</v>
      </c>
      <c r="F182" s="1" t="s">
        <v>183</v>
      </c>
      <c r="G182" s="1" t="s">
        <v>9</v>
      </c>
      <c r="H182" t="e">
        <f>VLOOKUP(C182,'[1]873'!$C$2:$C$711,1,0)</f>
        <v>#N/A</v>
      </c>
    </row>
    <row r="183" spans="1:8" ht="14.25" customHeight="1" x14ac:dyDescent="0.25">
      <c r="A183" s="3">
        <v>45482</v>
      </c>
      <c r="B183" s="41">
        <v>2024001045</v>
      </c>
      <c r="C183" s="1" t="s">
        <v>156</v>
      </c>
      <c r="D183" s="5">
        <v>7500000</v>
      </c>
      <c r="E183" s="1">
        <v>12961661</v>
      </c>
      <c r="F183" s="1" t="s">
        <v>157</v>
      </c>
      <c r="G183" s="1" t="s">
        <v>9</v>
      </c>
      <c r="H183" t="e">
        <f>VLOOKUP(C183,'[1]873'!$C$2:$C$711,1,0)</f>
        <v>#N/A</v>
      </c>
    </row>
    <row r="184" spans="1:8" ht="14.25" customHeight="1" x14ac:dyDescent="0.25">
      <c r="A184" s="3">
        <v>45482</v>
      </c>
      <c r="B184" s="41">
        <v>2024001048</v>
      </c>
      <c r="C184" s="1" t="s">
        <v>394</v>
      </c>
      <c r="D184" s="5">
        <v>2000000</v>
      </c>
      <c r="E184" s="1">
        <v>59837416</v>
      </c>
      <c r="F184" s="1" t="s">
        <v>395</v>
      </c>
      <c r="G184" s="1" t="s">
        <v>9</v>
      </c>
      <c r="H184" t="e">
        <f>VLOOKUP(C184,'[1]873'!$C$2:$C$711,1,0)</f>
        <v>#N/A</v>
      </c>
    </row>
    <row r="185" spans="1:8" ht="14.25" customHeight="1" x14ac:dyDescent="0.25">
      <c r="A185" s="3">
        <v>45482</v>
      </c>
      <c r="B185" s="41">
        <v>2024001049</v>
      </c>
      <c r="C185" s="1" t="s">
        <v>290</v>
      </c>
      <c r="D185" s="5">
        <v>2000000</v>
      </c>
      <c r="E185" s="1">
        <v>1085344082</v>
      </c>
      <c r="F185" s="1" t="s">
        <v>291</v>
      </c>
      <c r="G185" s="1" t="s">
        <v>9</v>
      </c>
      <c r="H185" t="e">
        <f>VLOOKUP(C185,'[1]873'!$C$2:$C$711,1,0)</f>
        <v>#N/A</v>
      </c>
    </row>
    <row r="186" spans="1:8" ht="14.25" customHeight="1" x14ac:dyDescent="0.25">
      <c r="A186" s="3">
        <v>45482</v>
      </c>
      <c r="B186" s="41">
        <v>2024001050</v>
      </c>
      <c r="C186" s="1" t="s">
        <v>168</v>
      </c>
      <c r="D186" s="5">
        <v>4750000</v>
      </c>
      <c r="E186" s="1">
        <v>1085273424</v>
      </c>
      <c r="F186" s="1" t="s">
        <v>169</v>
      </c>
      <c r="G186" s="1" t="s">
        <v>9</v>
      </c>
      <c r="H186" t="e">
        <f>VLOOKUP(C186,'[1]873'!$C$2:$C$711,1,0)</f>
        <v>#N/A</v>
      </c>
    </row>
    <row r="187" spans="1:8" ht="14.25" customHeight="1" x14ac:dyDescent="0.25">
      <c r="A187" s="3">
        <v>45482</v>
      </c>
      <c r="B187" s="41">
        <v>2024001051</v>
      </c>
      <c r="C187" s="1" t="s">
        <v>232</v>
      </c>
      <c r="D187" s="5">
        <v>2000000</v>
      </c>
      <c r="E187" s="1">
        <v>1014857280</v>
      </c>
      <c r="F187" s="1" t="s">
        <v>233</v>
      </c>
      <c r="G187" s="1" t="s">
        <v>9</v>
      </c>
      <c r="H187" t="e">
        <f>VLOOKUP(C187,'[1]873'!$C$2:$C$711,1,0)</f>
        <v>#N/A</v>
      </c>
    </row>
    <row r="188" spans="1:8" ht="14.25" customHeight="1" x14ac:dyDescent="0.25">
      <c r="A188" s="3">
        <v>45482</v>
      </c>
      <c r="B188" s="41">
        <v>2024001053</v>
      </c>
      <c r="C188" s="1" t="s">
        <v>144</v>
      </c>
      <c r="D188" s="5">
        <v>6000000</v>
      </c>
      <c r="E188" s="1">
        <v>59837608</v>
      </c>
      <c r="F188" s="1" t="s">
        <v>145</v>
      </c>
      <c r="G188" s="1" t="s">
        <v>9</v>
      </c>
      <c r="H188" t="e">
        <f>VLOOKUP(C188,'[1]873'!$C$2:$C$711,1,0)</f>
        <v>#N/A</v>
      </c>
    </row>
    <row r="189" spans="1:8" ht="14.25" customHeight="1" x14ac:dyDescent="0.25">
      <c r="A189" s="3">
        <v>45482</v>
      </c>
      <c r="B189" s="41">
        <v>2024001054</v>
      </c>
      <c r="C189" s="1" t="s">
        <v>266</v>
      </c>
      <c r="D189" s="5">
        <v>4750000</v>
      </c>
      <c r="E189" s="1">
        <v>1193383306</v>
      </c>
      <c r="F189" s="1" t="s">
        <v>267</v>
      </c>
      <c r="G189" s="1" t="s">
        <v>9</v>
      </c>
      <c r="H189" t="e">
        <f>VLOOKUP(C189,'[1]873'!$C$2:$C$711,1,0)</f>
        <v>#N/A</v>
      </c>
    </row>
    <row r="190" spans="1:8" ht="14.25" customHeight="1" x14ac:dyDescent="0.25">
      <c r="A190" s="3">
        <v>45482</v>
      </c>
      <c r="B190" s="41">
        <v>2024001055</v>
      </c>
      <c r="C190" s="1" t="s">
        <v>60</v>
      </c>
      <c r="D190" s="5">
        <v>7500000</v>
      </c>
      <c r="E190" s="1">
        <v>1085321192</v>
      </c>
      <c r="F190" s="1" t="s">
        <v>61</v>
      </c>
      <c r="G190" s="1" t="s">
        <v>9</v>
      </c>
      <c r="H190" t="e">
        <f>VLOOKUP(C190,'[1]873'!$C$2:$C$711,1,0)</f>
        <v>#N/A</v>
      </c>
    </row>
    <row r="191" spans="1:8" ht="14.25" customHeight="1" x14ac:dyDescent="0.25">
      <c r="A191" s="3">
        <v>45482</v>
      </c>
      <c r="B191" s="41">
        <v>2024001057</v>
      </c>
      <c r="C191" s="1" t="s">
        <v>164</v>
      </c>
      <c r="D191" s="14">
        <v>82250000</v>
      </c>
      <c r="E191" s="1">
        <v>900633448</v>
      </c>
      <c r="F191" s="1" t="s">
        <v>165</v>
      </c>
      <c r="G191" s="1" t="s">
        <v>9</v>
      </c>
      <c r="H191" t="e">
        <f>VLOOKUP(C191,'[1]873'!$C$2:$C$711,1,0)</f>
        <v>#N/A</v>
      </c>
    </row>
    <row r="192" spans="1:8" ht="14.25" customHeight="1" x14ac:dyDescent="0.25">
      <c r="A192" s="3">
        <v>45482</v>
      </c>
      <c r="B192" s="41">
        <v>2024001059</v>
      </c>
      <c r="C192" s="1" t="s">
        <v>220</v>
      </c>
      <c r="D192" s="5">
        <v>4750000</v>
      </c>
      <c r="E192" s="1">
        <v>1085345772</v>
      </c>
      <c r="F192" s="1" t="s">
        <v>221</v>
      </c>
      <c r="G192" s="1" t="s">
        <v>9</v>
      </c>
      <c r="H192" t="e">
        <f>VLOOKUP(C192,'[1]873'!$C$2:$C$711,1,0)</f>
        <v>#N/A</v>
      </c>
    </row>
    <row r="193" spans="1:8" ht="14.25" customHeight="1" x14ac:dyDescent="0.25">
      <c r="A193" s="3">
        <v>45483</v>
      </c>
      <c r="B193" s="41">
        <v>2024001065</v>
      </c>
      <c r="C193" s="1" t="s">
        <v>226</v>
      </c>
      <c r="D193" s="5">
        <v>2000000</v>
      </c>
      <c r="E193" s="1">
        <v>1085338575</v>
      </c>
      <c r="F193" s="1" t="s">
        <v>227</v>
      </c>
      <c r="G193" s="1" t="s">
        <v>9</v>
      </c>
      <c r="H193" t="e">
        <f>VLOOKUP(C193,'[1]873'!$C$2:$C$711,1,0)</f>
        <v>#N/A</v>
      </c>
    </row>
    <row r="194" spans="1:8" ht="14.25" customHeight="1" x14ac:dyDescent="0.25">
      <c r="A194" s="3">
        <v>45483</v>
      </c>
      <c r="B194" s="41">
        <v>2024001067</v>
      </c>
      <c r="C194" s="1" t="s">
        <v>158</v>
      </c>
      <c r="D194" s="5">
        <v>7500000</v>
      </c>
      <c r="E194" s="1">
        <v>37087120</v>
      </c>
      <c r="F194" s="1" t="s">
        <v>159</v>
      </c>
      <c r="G194" s="1" t="s">
        <v>9</v>
      </c>
      <c r="H194" t="e">
        <f>VLOOKUP(C194,'[1]873'!$C$2:$C$711,1,0)</f>
        <v>#N/A</v>
      </c>
    </row>
    <row r="195" spans="1:8" ht="14.25" customHeight="1" x14ac:dyDescent="0.25">
      <c r="A195" s="3">
        <v>45483</v>
      </c>
      <c r="B195" s="41">
        <v>2024001069</v>
      </c>
      <c r="C195" s="1" t="s">
        <v>128</v>
      </c>
      <c r="D195" s="5">
        <v>4825600</v>
      </c>
      <c r="E195" s="1">
        <v>59310145</v>
      </c>
      <c r="F195" s="1" t="s">
        <v>129</v>
      </c>
      <c r="G195" s="1" t="s">
        <v>9</v>
      </c>
      <c r="H195" t="e">
        <f>VLOOKUP(C195,'[1]873'!$C$2:$C$711,1,0)</f>
        <v>#N/A</v>
      </c>
    </row>
    <row r="196" spans="1:8" ht="14.25" customHeight="1" x14ac:dyDescent="0.25">
      <c r="A196" s="3">
        <v>45484</v>
      </c>
      <c r="B196" s="41">
        <v>2024001071</v>
      </c>
      <c r="C196" s="1" t="s">
        <v>116</v>
      </c>
      <c r="D196" s="5">
        <v>6000000</v>
      </c>
      <c r="E196" s="1">
        <v>1085275879</v>
      </c>
      <c r="F196" s="1" t="s">
        <v>117</v>
      </c>
      <c r="G196" s="1" t="s">
        <v>9</v>
      </c>
      <c r="H196" t="e">
        <f>VLOOKUP(C196,'[1]873'!$C$2:$C$711,1,0)</f>
        <v>#N/A</v>
      </c>
    </row>
    <row r="197" spans="1:8" ht="14.25" customHeight="1" x14ac:dyDescent="0.25">
      <c r="A197" s="3">
        <v>45484</v>
      </c>
      <c r="B197" s="41">
        <v>2024001072</v>
      </c>
      <c r="C197" s="1" t="s">
        <v>230</v>
      </c>
      <c r="D197" s="5">
        <v>7500000</v>
      </c>
      <c r="E197" s="1">
        <v>1085335767</v>
      </c>
      <c r="F197" s="1" t="s">
        <v>231</v>
      </c>
      <c r="G197" s="1" t="s">
        <v>9</v>
      </c>
      <c r="H197" t="e">
        <f>VLOOKUP(C197,'[1]873'!$C$2:$C$711,1,0)</f>
        <v>#N/A</v>
      </c>
    </row>
    <row r="198" spans="1:8" ht="14.25" customHeight="1" x14ac:dyDescent="0.25">
      <c r="A198" s="3">
        <v>45484</v>
      </c>
      <c r="B198" s="41">
        <v>2024001073</v>
      </c>
      <c r="C198" s="1" t="s">
        <v>162</v>
      </c>
      <c r="D198" s="5">
        <v>7500000</v>
      </c>
      <c r="E198" s="1">
        <v>1193202097</v>
      </c>
      <c r="F198" s="1" t="s">
        <v>163</v>
      </c>
      <c r="G198" s="1" t="s">
        <v>9</v>
      </c>
      <c r="H198" t="e">
        <f>VLOOKUP(C198,'[1]873'!$C$2:$C$711,1,0)</f>
        <v>#N/A</v>
      </c>
    </row>
    <row r="199" spans="1:8" ht="14.25" customHeight="1" x14ac:dyDescent="0.25">
      <c r="A199" s="3">
        <v>45484</v>
      </c>
      <c r="B199" s="41">
        <v>2024001074</v>
      </c>
      <c r="C199" s="1" t="s">
        <v>206</v>
      </c>
      <c r="D199" s="5">
        <v>2000000</v>
      </c>
      <c r="E199" s="1">
        <v>1004135064</v>
      </c>
      <c r="F199" s="1" t="s">
        <v>207</v>
      </c>
      <c r="G199" s="1" t="s">
        <v>9</v>
      </c>
      <c r="H199" t="e">
        <f>VLOOKUP(C199,'[1]873'!$C$2:$C$711,1,0)</f>
        <v>#N/A</v>
      </c>
    </row>
    <row r="200" spans="1:8" ht="14.25" customHeight="1" x14ac:dyDescent="0.25">
      <c r="A200" s="3">
        <v>45484</v>
      </c>
      <c r="B200" s="41">
        <v>2024001075</v>
      </c>
      <c r="C200" s="1" t="s">
        <v>208</v>
      </c>
      <c r="D200" s="5">
        <v>2000000</v>
      </c>
      <c r="E200" s="1">
        <v>1010082397</v>
      </c>
      <c r="F200" s="1" t="s">
        <v>209</v>
      </c>
      <c r="G200" s="1" t="s">
        <v>9</v>
      </c>
      <c r="H200" t="e">
        <f>VLOOKUP(C200,'[1]873'!$C$2:$C$711,1,0)</f>
        <v>#N/A</v>
      </c>
    </row>
    <row r="201" spans="1:8" ht="14.25" customHeight="1" x14ac:dyDescent="0.25">
      <c r="A201" s="3">
        <v>45484</v>
      </c>
      <c r="B201" s="41">
        <v>2024001076</v>
      </c>
      <c r="C201" s="1" t="s">
        <v>126</v>
      </c>
      <c r="D201" s="5">
        <v>4750000</v>
      </c>
      <c r="E201" s="1">
        <v>59312865</v>
      </c>
      <c r="F201" s="1" t="s">
        <v>127</v>
      </c>
      <c r="G201" s="1" t="s">
        <v>9</v>
      </c>
      <c r="H201" t="e">
        <f>VLOOKUP(C201,'[1]873'!$C$2:$C$711,1,0)</f>
        <v>#N/A</v>
      </c>
    </row>
    <row r="202" spans="1:8" ht="14.25" customHeight="1" x14ac:dyDescent="0.25">
      <c r="A202" s="3">
        <v>45484</v>
      </c>
      <c r="B202" s="41">
        <v>2024001077</v>
      </c>
      <c r="C202" s="1" t="s">
        <v>186</v>
      </c>
      <c r="D202" s="5">
        <v>2000000</v>
      </c>
      <c r="E202" s="1">
        <v>1085296353</v>
      </c>
      <c r="F202" s="1" t="s">
        <v>187</v>
      </c>
      <c r="G202" s="1" t="s">
        <v>9</v>
      </c>
      <c r="H202" t="e">
        <f>VLOOKUP(C202,'[1]873'!$C$2:$C$711,1,0)</f>
        <v>#N/A</v>
      </c>
    </row>
    <row r="203" spans="1:8" ht="14.25" customHeight="1" x14ac:dyDescent="0.25">
      <c r="A203" s="3">
        <v>45484</v>
      </c>
      <c r="B203" s="41">
        <v>2024001078</v>
      </c>
      <c r="C203" s="1" t="s">
        <v>118</v>
      </c>
      <c r="D203" s="5">
        <v>2000000</v>
      </c>
      <c r="E203" s="1">
        <v>37084285</v>
      </c>
      <c r="F203" s="1" t="s">
        <v>119</v>
      </c>
      <c r="G203" s="1" t="s">
        <v>9</v>
      </c>
      <c r="H203" t="e">
        <f>VLOOKUP(C203,'[1]873'!$C$2:$C$711,1,0)</f>
        <v>#N/A</v>
      </c>
    </row>
    <row r="204" spans="1:8" ht="14.25" customHeight="1" x14ac:dyDescent="0.25">
      <c r="A204" s="3">
        <v>45485</v>
      </c>
      <c r="B204" s="41">
        <v>2024001079</v>
      </c>
      <c r="C204" s="1" t="s">
        <v>264</v>
      </c>
      <c r="D204" s="5">
        <v>2000000</v>
      </c>
      <c r="E204" s="1">
        <v>1010085543</v>
      </c>
      <c r="F204" s="1" t="s">
        <v>265</v>
      </c>
      <c r="G204" s="1" t="s">
        <v>9</v>
      </c>
      <c r="H204" t="e">
        <f>VLOOKUP(C204,'[1]873'!$C$2:$C$711,1,0)</f>
        <v>#N/A</v>
      </c>
    </row>
    <row r="205" spans="1:8" ht="14.25" customHeight="1" x14ac:dyDescent="0.25">
      <c r="A205" s="3">
        <v>45485</v>
      </c>
      <c r="B205" s="41">
        <v>2024001080</v>
      </c>
      <c r="C205" s="1" t="s">
        <v>238</v>
      </c>
      <c r="D205" s="5">
        <v>7500000</v>
      </c>
      <c r="E205" s="1">
        <v>1233189066</v>
      </c>
      <c r="F205" s="1" t="s">
        <v>239</v>
      </c>
      <c r="G205" s="1" t="s">
        <v>9</v>
      </c>
      <c r="H205" t="e">
        <f>VLOOKUP(C205,'[1]873'!$C$2:$C$711,1,0)</f>
        <v>#N/A</v>
      </c>
    </row>
    <row r="206" spans="1:8" ht="14.25" customHeight="1" x14ac:dyDescent="0.25">
      <c r="A206" s="3">
        <v>45485</v>
      </c>
      <c r="B206" s="41">
        <v>2024001083</v>
      </c>
      <c r="C206" s="1" t="s">
        <v>154</v>
      </c>
      <c r="D206" s="5">
        <v>4750000</v>
      </c>
      <c r="E206" s="1">
        <v>1085293619</v>
      </c>
      <c r="F206" s="1" t="s">
        <v>155</v>
      </c>
      <c r="G206" s="1" t="s">
        <v>9</v>
      </c>
      <c r="H206" t="e">
        <f>VLOOKUP(C206,'[1]873'!$C$2:$C$711,1,0)</f>
        <v>#N/A</v>
      </c>
    </row>
    <row r="207" spans="1:8" ht="14.25" customHeight="1" x14ac:dyDescent="0.25">
      <c r="A207" s="3">
        <v>45485</v>
      </c>
      <c r="B207" s="41">
        <v>2024001084</v>
      </c>
      <c r="C207" s="1" t="s">
        <v>200</v>
      </c>
      <c r="D207" s="5">
        <v>2000000</v>
      </c>
      <c r="E207" s="1">
        <v>1085300095</v>
      </c>
      <c r="F207" s="1" t="s">
        <v>201</v>
      </c>
      <c r="G207" s="1" t="s">
        <v>9</v>
      </c>
      <c r="H207" t="e">
        <f>VLOOKUP(C207,'[1]873'!$C$2:$C$711,1,0)</f>
        <v>#N/A</v>
      </c>
    </row>
    <row r="208" spans="1:8" ht="14.25" customHeight="1" x14ac:dyDescent="0.25">
      <c r="A208" s="3">
        <v>45485</v>
      </c>
      <c r="B208" s="41">
        <v>2024001085</v>
      </c>
      <c r="C208" s="1" t="s">
        <v>184</v>
      </c>
      <c r="D208" s="5">
        <v>2000000</v>
      </c>
      <c r="E208" s="1">
        <v>87070661</v>
      </c>
      <c r="F208" s="1" t="s">
        <v>185</v>
      </c>
      <c r="G208" s="1" t="s">
        <v>9</v>
      </c>
      <c r="H208" t="e">
        <f>VLOOKUP(C208,'[1]873'!$C$2:$C$711,1,0)</f>
        <v>#N/A</v>
      </c>
    </row>
    <row r="209" spans="1:8" ht="14.25" customHeight="1" x14ac:dyDescent="0.25">
      <c r="A209" s="3">
        <v>45485</v>
      </c>
      <c r="B209" s="41">
        <v>2024001086</v>
      </c>
      <c r="C209" s="1" t="s">
        <v>210</v>
      </c>
      <c r="D209" s="5">
        <v>2000000</v>
      </c>
      <c r="E209" s="1">
        <v>1080040858</v>
      </c>
      <c r="F209" s="1" t="s">
        <v>211</v>
      </c>
      <c r="G209" s="1" t="s">
        <v>9</v>
      </c>
      <c r="H209" t="e">
        <f>VLOOKUP(C209,'[1]873'!$C$2:$C$711,1,0)</f>
        <v>#N/A</v>
      </c>
    </row>
    <row r="210" spans="1:8" ht="14.25" customHeight="1" x14ac:dyDescent="0.25">
      <c r="A210" s="3">
        <v>45485</v>
      </c>
      <c r="B210" s="41">
        <v>2024001087</v>
      </c>
      <c r="C210" s="1" t="s">
        <v>234</v>
      </c>
      <c r="D210" s="5">
        <v>4750000</v>
      </c>
      <c r="E210" s="1">
        <v>1085318201</v>
      </c>
      <c r="F210" s="1" t="s">
        <v>235</v>
      </c>
      <c r="G210" s="1" t="s">
        <v>9</v>
      </c>
      <c r="H210" t="e">
        <f>VLOOKUP(C210,'[1]873'!$C$2:$C$711,1,0)</f>
        <v>#N/A</v>
      </c>
    </row>
    <row r="211" spans="1:8" ht="14.25" customHeight="1" x14ac:dyDescent="0.25">
      <c r="A211" s="3">
        <v>45485</v>
      </c>
      <c r="B211" s="41">
        <v>2024001088</v>
      </c>
      <c r="C211" s="1" t="s">
        <v>276</v>
      </c>
      <c r="D211" s="5">
        <v>2000000</v>
      </c>
      <c r="E211" s="1">
        <v>1192717330</v>
      </c>
      <c r="F211" s="1" t="s">
        <v>277</v>
      </c>
      <c r="G211" s="1" t="s">
        <v>9</v>
      </c>
      <c r="H211" t="e">
        <f>VLOOKUP(C211,'[1]873'!$C$2:$C$711,1,0)</f>
        <v>#N/A</v>
      </c>
    </row>
    <row r="212" spans="1:8" ht="14.25" customHeight="1" x14ac:dyDescent="0.25">
      <c r="A212" s="3">
        <v>45488</v>
      </c>
      <c r="B212" s="41">
        <v>2024001090</v>
      </c>
      <c r="C212" s="1" t="s">
        <v>250</v>
      </c>
      <c r="D212" s="5">
        <v>2000000</v>
      </c>
      <c r="E212" s="1">
        <v>1085271641</v>
      </c>
      <c r="F212" s="1" t="s">
        <v>251</v>
      </c>
      <c r="G212" s="1" t="s">
        <v>9</v>
      </c>
      <c r="H212" t="e">
        <f>VLOOKUP(C212,'[1]873'!$C$2:$C$711,1,0)</f>
        <v>#N/A</v>
      </c>
    </row>
    <row r="213" spans="1:8" ht="14.25" customHeight="1" x14ac:dyDescent="0.25">
      <c r="A213" s="3">
        <v>45488</v>
      </c>
      <c r="B213" s="41">
        <v>2024001091</v>
      </c>
      <c r="C213" s="1" t="s">
        <v>328</v>
      </c>
      <c r="D213" s="5">
        <v>6000000</v>
      </c>
      <c r="E213" s="1">
        <v>97470681</v>
      </c>
      <c r="F213" s="1" t="s">
        <v>329</v>
      </c>
      <c r="G213" s="1" t="s">
        <v>9</v>
      </c>
      <c r="H213" t="e">
        <f>VLOOKUP(C213,'[1]873'!$C$2:$C$711,1,0)</f>
        <v>#N/A</v>
      </c>
    </row>
    <row r="214" spans="1:8" ht="14.25" customHeight="1" x14ac:dyDescent="0.25">
      <c r="A214" s="3">
        <v>45488</v>
      </c>
      <c r="B214" s="41">
        <v>2024001092</v>
      </c>
      <c r="C214" s="1" t="s">
        <v>288</v>
      </c>
      <c r="D214" s="5">
        <v>2000000</v>
      </c>
      <c r="E214" s="1">
        <v>1004709928</v>
      </c>
      <c r="F214" s="1" t="s">
        <v>289</v>
      </c>
      <c r="G214" s="1" t="s">
        <v>9</v>
      </c>
      <c r="H214" t="e">
        <f>VLOOKUP(C214,'[1]873'!$C$2:$C$711,1,0)</f>
        <v>#N/A</v>
      </c>
    </row>
    <row r="215" spans="1:8" ht="14.25" customHeight="1" x14ac:dyDescent="0.25">
      <c r="A215" s="3">
        <v>45488</v>
      </c>
      <c r="B215" s="41">
        <v>2024001093</v>
      </c>
      <c r="C215" s="1" t="s">
        <v>362</v>
      </c>
      <c r="D215" s="5">
        <v>4825600</v>
      </c>
      <c r="E215" s="1">
        <v>1085321943</v>
      </c>
      <c r="F215" s="1" t="s">
        <v>363</v>
      </c>
      <c r="G215" s="1" t="s">
        <v>9</v>
      </c>
      <c r="H215" t="e">
        <f>VLOOKUP(C215,'[1]873'!$C$2:$C$711,1,0)</f>
        <v>#N/A</v>
      </c>
    </row>
    <row r="216" spans="1:8" ht="14.25" customHeight="1" x14ac:dyDescent="0.25">
      <c r="A216" s="3">
        <v>45488</v>
      </c>
      <c r="B216" s="41">
        <v>2024001094</v>
      </c>
      <c r="C216" s="1" t="s">
        <v>114</v>
      </c>
      <c r="D216" s="5">
        <v>2000000</v>
      </c>
      <c r="E216" s="1">
        <v>1085266584</v>
      </c>
      <c r="F216" s="1" t="s">
        <v>115</v>
      </c>
      <c r="G216" s="1" t="s">
        <v>9</v>
      </c>
      <c r="H216" t="e">
        <f>VLOOKUP(C216,'[1]873'!$C$2:$C$711,1,0)</f>
        <v>#N/A</v>
      </c>
    </row>
    <row r="217" spans="1:8" ht="14.25" customHeight="1" x14ac:dyDescent="0.25">
      <c r="A217" s="3">
        <v>45488</v>
      </c>
      <c r="B217" s="41">
        <v>2024001095</v>
      </c>
      <c r="C217" s="1" t="s">
        <v>146</v>
      </c>
      <c r="D217" s="5">
        <v>2000000</v>
      </c>
      <c r="E217" s="1">
        <v>1085255972</v>
      </c>
      <c r="F217" s="1" t="s">
        <v>147</v>
      </c>
      <c r="G217" s="1" t="s">
        <v>9</v>
      </c>
      <c r="H217" t="e">
        <f>VLOOKUP(C217,'[1]873'!$C$2:$C$711,1,0)</f>
        <v>#N/A</v>
      </c>
    </row>
    <row r="218" spans="1:8" ht="14.25" customHeight="1" x14ac:dyDescent="0.25">
      <c r="A218" s="3">
        <v>45488</v>
      </c>
      <c r="B218" s="41">
        <v>2024001096</v>
      </c>
      <c r="C218" s="1" t="s">
        <v>330</v>
      </c>
      <c r="D218" s="5">
        <v>2000000</v>
      </c>
      <c r="E218" s="1">
        <v>1085313463</v>
      </c>
      <c r="F218" s="1" t="s">
        <v>331</v>
      </c>
      <c r="G218" s="1" t="s">
        <v>9</v>
      </c>
      <c r="H218" t="e">
        <f>VLOOKUP(C218,'[1]873'!$C$2:$C$711,1,0)</f>
        <v>#N/A</v>
      </c>
    </row>
    <row r="219" spans="1:8" ht="14.25" customHeight="1" x14ac:dyDescent="0.25">
      <c r="A219" s="3">
        <v>45489</v>
      </c>
      <c r="B219" s="41">
        <v>2024001100</v>
      </c>
      <c r="C219" s="1" t="s">
        <v>270</v>
      </c>
      <c r="D219" s="5">
        <v>2000000</v>
      </c>
      <c r="E219" s="1">
        <v>36757522</v>
      </c>
      <c r="F219" s="1" t="s">
        <v>271</v>
      </c>
      <c r="G219" s="1" t="s">
        <v>9</v>
      </c>
      <c r="H219" t="e">
        <f>VLOOKUP(C219,'[1]873'!$C$2:$C$711,1,0)</f>
        <v>#N/A</v>
      </c>
    </row>
    <row r="220" spans="1:8" ht="14.25" customHeight="1" x14ac:dyDescent="0.25">
      <c r="A220" s="3">
        <v>45489</v>
      </c>
      <c r="B220" s="41">
        <v>2024001101</v>
      </c>
      <c r="C220" s="1" t="s">
        <v>274</v>
      </c>
      <c r="D220" s="5">
        <v>4850600</v>
      </c>
      <c r="E220" s="1">
        <v>1085321578</v>
      </c>
      <c r="F220" s="1" t="s">
        <v>275</v>
      </c>
      <c r="G220" s="1" t="s">
        <v>9</v>
      </c>
      <c r="H220" t="e">
        <f>VLOOKUP(C220,'[1]873'!$C$2:$C$711,1,0)</f>
        <v>#N/A</v>
      </c>
    </row>
    <row r="221" spans="1:8" ht="14.25" customHeight="1" x14ac:dyDescent="0.25">
      <c r="A221" s="3">
        <v>45489</v>
      </c>
      <c r="B221" s="41">
        <v>2024001102</v>
      </c>
      <c r="C221" s="1" t="s">
        <v>248</v>
      </c>
      <c r="D221" s="5">
        <v>4750000</v>
      </c>
      <c r="E221" s="1">
        <v>1085330309</v>
      </c>
      <c r="F221" s="1" t="s">
        <v>249</v>
      </c>
      <c r="G221" s="1" t="s">
        <v>9</v>
      </c>
      <c r="H221" t="e">
        <f>VLOOKUP(C221,'[1]873'!$C$2:$C$711,1,0)</f>
        <v>#N/A</v>
      </c>
    </row>
    <row r="222" spans="1:8" ht="14.25" customHeight="1" x14ac:dyDescent="0.25">
      <c r="A222" s="3">
        <v>45490</v>
      </c>
      <c r="B222" s="41">
        <v>2024001134</v>
      </c>
      <c r="C222" s="1" t="s">
        <v>332</v>
      </c>
      <c r="D222" s="5">
        <v>4825600</v>
      </c>
      <c r="E222" s="1">
        <v>1085269530</v>
      </c>
      <c r="F222" s="1" t="s">
        <v>333</v>
      </c>
      <c r="G222" s="1" t="s">
        <v>9</v>
      </c>
      <c r="H222" t="e">
        <f>VLOOKUP(C222,'[1]873'!$C$2:$C$711,1,0)</f>
        <v>#N/A</v>
      </c>
    </row>
    <row r="223" spans="1:8" ht="14.25" customHeight="1" x14ac:dyDescent="0.25">
      <c r="A223" s="3">
        <v>45490</v>
      </c>
      <c r="B223" s="41">
        <v>2024001135</v>
      </c>
      <c r="C223" s="1" t="s">
        <v>170</v>
      </c>
      <c r="D223" s="5">
        <v>2000000</v>
      </c>
      <c r="E223" s="1">
        <v>69028150</v>
      </c>
      <c r="F223" s="1" t="s">
        <v>171</v>
      </c>
      <c r="G223" s="1" t="s">
        <v>9</v>
      </c>
      <c r="H223" t="e">
        <f>VLOOKUP(C223,'[1]873'!$C$2:$C$711,1,0)</f>
        <v>#N/A</v>
      </c>
    </row>
    <row r="224" spans="1:8" ht="14.25" customHeight="1" x14ac:dyDescent="0.25">
      <c r="A224" s="3">
        <v>45490</v>
      </c>
      <c r="B224" s="41">
        <v>2024001136</v>
      </c>
      <c r="C224" s="1" t="s">
        <v>214</v>
      </c>
      <c r="D224" s="5">
        <v>2000000</v>
      </c>
      <c r="E224" s="1">
        <v>1085327677</v>
      </c>
      <c r="F224" s="1" t="s">
        <v>215</v>
      </c>
      <c r="G224" s="1" t="s">
        <v>9</v>
      </c>
      <c r="H224" t="e">
        <f>VLOOKUP(C224,'[1]873'!$C$2:$C$711,1,0)</f>
        <v>#N/A</v>
      </c>
    </row>
    <row r="225" spans="1:8" ht="14.25" customHeight="1" x14ac:dyDescent="0.25">
      <c r="A225" s="3">
        <v>45490</v>
      </c>
      <c r="B225" s="41">
        <v>2024001137</v>
      </c>
      <c r="C225" s="1" t="s">
        <v>196</v>
      </c>
      <c r="D225" s="5">
        <v>2000000</v>
      </c>
      <c r="E225" s="1">
        <v>1089243630</v>
      </c>
      <c r="F225" s="1" t="s">
        <v>197</v>
      </c>
      <c r="G225" s="1" t="s">
        <v>9</v>
      </c>
      <c r="H225" t="e">
        <f>VLOOKUP(C225,'[1]873'!$C$2:$C$711,1,0)</f>
        <v>#N/A</v>
      </c>
    </row>
    <row r="226" spans="1:8" ht="14.25" customHeight="1" x14ac:dyDescent="0.25">
      <c r="A226" s="3">
        <v>45490</v>
      </c>
      <c r="B226" s="41">
        <v>2024001151</v>
      </c>
      <c r="C226" s="1" t="s">
        <v>222</v>
      </c>
      <c r="D226" s="5">
        <v>4750000</v>
      </c>
      <c r="E226" s="1">
        <v>87060703</v>
      </c>
      <c r="F226" s="1" t="s">
        <v>223</v>
      </c>
      <c r="G226" s="1" t="s">
        <v>9</v>
      </c>
      <c r="H226" t="e">
        <f>VLOOKUP(C226,'[1]873'!$C$2:$C$711,1,0)</f>
        <v>#N/A</v>
      </c>
    </row>
    <row r="227" spans="1:8" ht="14.25" customHeight="1" x14ac:dyDescent="0.25">
      <c r="A227" s="3">
        <v>45490</v>
      </c>
      <c r="B227" s="41">
        <v>2024001152</v>
      </c>
      <c r="C227" s="1" t="s">
        <v>334</v>
      </c>
      <c r="D227" s="5">
        <v>2000000</v>
      </c>
      <c r="E227" s="1">
        <v>1085261053</v>
      </c>
      <c r="F227" s="1" t="s">
        <v>335</v>
      </c>
      <c r="G227" s="1" t="s">
        <v>9</v>
      </c>
      <c r="H227" t="e">
        <f>VLOOKUP(C227,'[1]873'!$C$2:$C$711,1,0)</f>
        <v>#N/A</v>
      </c>
    </row>
    <row r="228" spans="1:8" ht="14.25" customHeight="1" x14ac:dyDescent="0.25">
      <c r="A228" s="3">
        <v>45491</v>
      </c>
      <c r="B228" s="41">
        <v>2024001154</v>
      </c>
      <c r="C228" s="1" t="s">
        <v>268</v>
      </c>
      <c r="D228" s="5">
        <v>64916175</v>
      </c>
      <c r="E228" s="1">
        <v>900994364</v>
      </c>
      <c r="F228" s="1" t="s">
        <v>269</v>
      </c>
      <c r="G228" s="1" t="s">
        <v>9</v>
      </c>
      <c r="H228" t="e">
        <f>VLOOKUP(C228,'[1]873'!$C$2:$C$711,1,0)</f>
        <v>#N/A</v>
      </c>
    </row>
    <row r="229" spans="1:8" ht="14.25" customHeight="1" x14ac:dyDescent="0.25">
      <c r="A229" s="3">
        <v>45491</v>
      </c>
      <c r="B229" s="41">
        <v>2024001155</v>
      </c>
      <c r="C229" s="1" t="s">
        <v>104</v>
      </c>
      <c r="D229" s="5">
        <v>4750000</v>
      </c>
      <c r="E229" s="1">
        <v>1085303067</v>
      </c>
      <c r="F229" s="1" t="s">
        <v>105</v>
      </c>
      <c r="G229" s="1" t="s">
        <v>9</v>
      </c>
      <c r="H229" t="e">
        <f>VLOOKUP(C229,'[1]873'!$C$2:$C$711,1,0)</f>
        <v>#N/A</v>
      </c>
    </row>
    <row r="230" spans="1:8" ht="14.25" customHeight="1" x14ac:dyDescent="0.25">
      <c r="A230" s="3">
        <v>45491</v>
      </c>
      <c r="B230" s="41">
        <v>2024001156</v>
      </c>
      <c r="C230" s="1" t="s">
        <v>190</v>
      </c>
      <c r="D230" s="5">
        <v>2000000</v>
      </c>
      <c r="E230" s="1">
        <v>1193218691</v>
      </c>
      <c r="F230" s="1" t="s">
        <v>191</v>
      </c>
      <c r="G230" s="1" t="s">
        <v>9</v>
      </c>
      <c r="H230" t="e">
        <f>VLOOKUP(C230,'[1]873'!$C$2:$C$711,1,0)</f>
        <v>#N/A</v>
      </c>
    </row>
    <row r="231" spans="1:8" ht="14.25" customHeight="1" x14ac:dyDescent="0.25">
      <c r="A231" s="3">
        <v>45491</v>
      </c>
      <c r="B231" s="41">
        <v>2024001157</v>
      </c>
      <c r="C231" s="1" t="s">
        <v>194</v>
      </c>
      <c r="D231" s="5">
        <v>2000000</v>
      </c>
      <c r="E231" s="1">
        <v>1085316191</v>
      </c>
      <c r="F231" s="1" t="s">
        <v>195</v>
      </c>
      <c r="G231" s="1" t="s">
        <v>9</v>
      </c>
      <c r="H231" t="e">
        <f>VLOOKUP(C231,'[1]873'!$C$2:$C$711,1,0)</f>
        <v>#N/A</v>
      </c>
    </row>
    <row r="232" spans="1:8" ht="14.25" customHeight="1" x14ac:dyDescent="0.25">
      <c r="A232" s="3">
        <v>45491</v>
      </c>
      <c r="B232" s="41">
        <v>2024001158</v>
      </c>
      <c r="C232" s="1" t="s">
        <v>202</v>
      </c>
      <c r="D232" s="5">
        <v>2000000</v>
      </c>
      <c r="E232" s="1">
        <v>27211504</v>
      </c>
      <c r="F232" s="1" t="s">
        <v>203</v>
      </c>
      <c r="G232" s="1" t="s">
        <v>9</v>
      </c>
      <c r="H232" t="e">
        <f>VLOOKUP(C232,'[1]873'!$C$2:$C$711,1,0)</f>
        <v>#N/A</v>
      </c>
    </row>
    <row r="233" spans="1:8" ht="14.25" customHeight="1" x14ac:dyDescent="0.25">
      <c r="A233" s="3">
        <v>45491</v>
      </c>
      <c r="B233" s="41">
        <v>2024001160</v>
      </c>
      <c r="C233" s="1" t="s">
        <v>14</v>
      </c>
      <c r="D233" s="5">
        <v>4825600</v>
      </c>
      <c r="E233" s="1">
        <v>1085338534</v>
      </c>
      <c r="F233" s="1" t="s">
        <v>15</v>
      </c>
      <c r="G233" s="1" t="s">
        <v>9</v>
      </c>
      <c r="H233" t="e">
        <f>VLOOKUP(C233,'[1]873'!$C$2:$C$711,1,0)</f>
        <v>#N/A</v>
      </c>
    </row>
    <row r="234" spans="1:8" ht="14.25" customHeight="1" x14ac:dyDescent="0.25">
      <c r="A234" s="3">
        <v>45491</v>
      </c>
      <c r="B234" s="41">
        <v>2024001161</v>
      </c>
      <c r="C234" s="1" t="s">
        <v>180</v>
      </c>
      <c r="D234" s="5">
        <v>2000000</v>
      </c>
      <c r="E234" s="1">
        <v>59828916</v>
      </c>
      <c r="F234" s="1" t="s">
        <v>181</v>
      </c>
      <c r="G234" s="1" t="s">
        <v>9</v>
      </c>
      <c r="H234" t="e">
        <f>VLOOKUP(C234,'[1]873'!$C$2:$C$711,1,0)</f>
        <v>#N/A</v>
      </c>
    </row>
    <row r="235" spans="1:8" ht="14.25" customHeight="1" x14ac:dyDescent="0.25">
      <c r="A235" s="3">
        <v>45492</v>
      </c>
      <c r="B235" s="41">
        <v>2024001163</v>
      </c>
      <c r="C235" s="1" t="s">
        <v>350</v>
      </c>
      <c r="D235" s="5">
        <v>4750000</v>
      </c>
      <c r="E235" s="1">
        <v>1233192618</v>
      </c>
      <c r="F235" s="1" t="s">
        <v>351</v>
      </c>
      <c r="G235" s="1" t="s">
        <v>9</v>
      </c>
      <c r="H235" t="e">
        <f>VLOOKUP(C235,'[1]873'!$C$2:$C$711,1,0)</f>
        <v>#N/A</v>
      </c>
    </row>
    <row r="236" spans="1:8" ht="14.25" customHeight="1" x14ac:dyDescent="0.25">
      <c r="A236" s="3">
        <v>45495</v>
      </c>
      <c r="B236" s="41">
        <v>2024001167</v>
      </c>
      <c r="C236" s="1" t="s">
        <v>390</v>
      </c>
      <c r="D236" s="5">
        <v>4750000</v>
      </c>
      <c r="E236" s="1">
        <v>36953206</v>
      </c>
      <c r="F236" s="1" t="s">
        <v>391</v>
      </c>
      <c r="G236" s="1" t="s">
        <v>9</v>
      </c>
      <c r="H236" t="e">
        <f>VLOOKUP(C236,'[1]873'!$C$2:$C$711,1,0)</f>
        <v>#N/A</v>
      </c>
    </row>
    <row r="237" spans="1:8" ht="14.25" customHeight="1" x14ac:dyDescent="0.25">
      <c r="A237" s="3">
        <v>45495</v>
      </c>
      <c r="B237" s="41">
        <v>2024001168</v>
      </c>
      <c r="C237" s="1" t="s">
        <v>378</v>
      </c>
      <c r="D237" s="5">
        <v>7500000</v>
      </c>
      <c r="E237" s="1">
        <v>1085332934</v>
      </c>
      <c r="F237" s="1" t="s">
        <v>379</v>
      </c>
      <c r="G237" s="1" t="s">
        <v>9</v>
      </c>
      <c r="H237" t="e">
        <f>VLOOKUP(C237,'[1]873'!$C$2:$C$711,1,0)</f>
        <v>#N/A</v>
      </c>
    </row>
    <row r="238" spans="1:8" ht="14.25" customHeight="1" x14ac:dyDescent="0.25">
      <c r="A238" s="3">
        <v>45495</v>
      </c>
      <c r="B238" s="41">
        <v>2024001169</v>
      </c>
      <c r="C238" s="1" t="s">
        <v>218</v>
      </c>
      <c r="D238" s="5">
        <v>2000000</v>
      </c>
      <c r="E238" s="1">
        <v>1010113730</v>
      </c>
      <c r="F238" s="1" t="s">
        <v>219</v>
      </c>
      <c r="G238" s="1" t="s">
        <v>9</v>
      </c>
      <c r="H238" t="e">
        <f>VLOOKUP(C238,'[1]873'!$C$2:$C$711,1,0)</f>
        <v>#N/A</v>
      </c>
    </row>
    <row r="239" spans="1:8" ht="14.25" customHeight="1" x14ac:dyDescent="0.25">
      <c r="A239" s="3">
        <v>45495</v>
      </c>
      <c r="B239" s="41">
        <v>2024001170</v>
      </c>
      <c r="C239" s="1" t="s">
        <v>212</v>
      </c>
      <c r="D239" s="5">
        <v>2000000</v>
      </c>
      <c r="E239" s="1">
        <v>5930737</v>
      </c>
      <c r="F239" s="1" t="s">
        <v>213</v>
      </c>
      <c r="G239" s="1" t="s">
        <v>9</v>
      </c>
      <c r="H239" t="e">
        <f>VLOOKUP(C239,'[1]873'!$C$2:$C$711,1,0)</f>
        <v>#N/A</v>
      </c>
    </row>
    <row r="240" spans="1:8" ht="14.25" customHeight="1" x14ac:dyDescent="0.25">
      <c r="A240" s="3">
        <v>45495</v>
      </c>
      <c r="B240" s="41">
        <v>2024001171</v>
      </c>
      <c r="C240" s="1" t="s">
        <v>240</v>
      </c>
      <c r="D240" s="5">
        <v>4825600</v>
      </c>
      <c r="E240" s="1">
        <v>1085289739</v>
      </c>
      <c r="F240" s="1" t="s">
        <v>241</v>
      </c>
      <c r="G240" s="1" t="s">
        <v>9</v>
      </c>
      <c r="H240" t="e">
        <f>VLOOKUP(C240,'[1]873'!$C$2:$C$711,1,0)</f>
        <v>#N/A</v>
      </c>
    </row>
    <row r="241" spans="1:8" ht="14.25" customHeight="1" x14ac:dyDescent="0.25">
      <c r="A241" s="3">
        <v>45496</v>
      </c>
      <c r="B241" s="41">
        <v>2024001177</v>
      </c>
      <c r="C241" s="1" t="s">
        <v>320</v>
      </c>
      <c r="D241" s="5">
        <v>2000000</v>
      </c>
      <c r="E241" s="1">
        <v>1085347540</v>
      </c>
      <c r="F241" s="1" t="s">
        <v>321</v>
      </c>
      <c r="G241" s="1" t="s">
        <v>9</v>
      </c>
      <c r="H241" t="e">
        <f>VLOOKUP(C241,'[1]873'!$C$2:$C$711,1,0)</f>
        <v>#N/A</v>
      </c>
    </row>
    <row r="242" spans="1:8" ht="14.25" customHeight="1" x14ac:dyDescent="0.25">
      <c r="A242" s="3">
        <v>45496</v>
      </c>
      <c r="B242" s="41">
        <v>2024001178</v>
      </c>
      <c r="C242" s="1" t="s">
        <v>358</v>
      </c>
      <c r="D242" s="5">
        <v>7500000</v>
      </c>
      <c r="E242" s="1">
        <v>1085345430</v>
      </c>
      <c r="F242" s="1" t="s">
        <v>359</v>
      </c>
      <c r="G242" s="1" t="s">
        <v>9</v>
      </c>
      <c r="H242" t="e">
        <f>VLOOKUP(C242,'[1]873'!$C$2:$C$711,1,0)</f>
        <v>#N/A</v>
      </c>
    </row>
    <row r="243" spans="1:8" ht="14.25" customHeight="1" x14ac:dyDescent="0.25">
      <c r="A243" s="3">
        <v>45496</v>
      </c>
      <c r="B243" s="41">
        <v>2024001179</v>
      </c>
      <c r="C243" s="1" t="s">
        <v>242</v>
      </c>
      <c r="D243" s="5">
        <v>2000000</v>
      </c>
      <c r="E243" s="1">
        <v>1137624011</v>
      </c>
      <c r="F243" s="1" t="s">
        <v>243</v>
      </c>
      <c r="G243" s="1" t="s">
        <v>9</v>
      </c>
      <c r="H243" t="e">
        <f>VLOOKUP(C243,'[1]873'!$C$2:$C$711,1,0)</f>
        <v>#N/A</v>
      </c>
    </row>
    <row r="244" spans="1:8" ht="14.25" customHeight="1" x14ac:dyDescent="0.25">
      <c r="A244" s="3">
        <v>45496</v>
      </c>
      <c r="B244" s="41">
        <v>2024001184</v>
      </c>
      <c r="C244" s="1" t="s">
        <v>392</v>
      </c>
      <c r="D244" s="5">
        <v>7500000</v>
      </c>
      <c r="E244" s="1">
        <v>1085320661</v>
      </c>
      <c r="F244" s="1" t="s">
        <v>393</v>
      </c>
      <c r="G244" s="1" t="s">
        <v>9</v>
      </c>
      <c r="H244" t="e">
        <f>VLOOKUP(C244,'[1]873'!$C$2:$C$711,1,0)</f>
        <v>#N/A</v>
      </c>
    </row>
    <row r="245" spans="1:8" ht="14.25" customHeight="1" x14ac:dyDescent="0.25">
      <c r="A245" s="3">
        <v>45496</v>
      </c>
      <c r="B245" s="41">
        <v>2024001186</v>
      </c>
      <c r="C245" s="1" t="s">
        <v>296</v>
      </c>
      <c r="D245" s="5">
        <v>2000000</v>
      </c>
      <c r="E245" s="1">
        <v>59830040</v>
      </c>
      <c r="F245" s="1" t="s">
        <v>297</v>
      </c>
      <c r="G245" s="1" t="s">
        <v>9</v>
      </c>
      <c r="H245" t="e">
        <f>VLOOKUP(C245,'[1]873'!$C$2:$C$711,1,0)</f>
        <v>#N/A</v>
      </c>
    </row>
    <row r="246" spans="1:8" ht="14.25" customHeight="1" x14ac:dyDescent="0.25">
      <c r="A246" s="3">
        <v>45497</v>
      </c>
      <c r="B246" s="41">
        <v>2024001193</v>
      </c>
      <c r="C246" s="1" t="s">
        <v>416</v>
      </c>
      <c r="D246" s="5">
        <v>2000000</v>
      </c>
      <c r="E246" s="1">
        <v>1085302942</v>
      </c>
      <c r="F246" s="1" t="s">
        <v>417</v>
      </c>
      <c r="G246" s="1" t="s">
        <v>9</v>
      </c>
      <c r="H246" t="e">
        <f>VLOOKUP(C246,'[1]873'!$C$2:$C$711,1,0)</f>
        <v>#N/A</v>
      </c>
    </row>
    <row r="247" spans="1:8" ht="14.25" customHeight="1" x14ac:dyDescent="0.25">
      <c r="A247" s="3">
        <v>45497</v>
      </c>
      <c r="B247" s="41">
        <v>2024001194</v>
      </c>
      <c r="C247" s="1" t="s">
        <v>396</v>
      </c>
      <c r="D247" s="5">
        <v>2000000</v>
      </c>
      <c r="E247" s="1">
        <v>1004635031</v>
      </c>
      <c r="F247" s="1" t="s">
        <v>397</v>
      </c>
      <c r="G247" s="1" t="s">
        <v>9</v>
      </c>
      <c r="H247" t="e">
        <f>VLOOKUP(C247,'[1]873'!$C$2:$C$711,1,0)</f>
        <v>#N/A</v>
      </c>
    </row>
    <row r="248" spans="1:8" ht="14.25" customHeight="1" x14ac:dyDescent="0.25">
      <c r="A248" s="3">
        <v>45497</v>
      </c>
      <c r="B248" s="41">
        <v>2024001195</v>
      </c>
      <c r="C248" s="1" t="s">
        <v>246</v>
      </c>
      <c r="D248" s="5">
        <v>4825600</v>
      </c>
      <c r="E248" s="1">
        <v>1085267184</v>
      </c>
      <c r="F248" s="1" t="s">
        <v>247</v>
      </c>
      <c r="G248" s="1" t="s">
        <v>9</v>
      </c>
      <c r="H248" t="e">
        <f>VLOOKUP(C248,'[1]873'!$C$2:$C$711,1,0)</f>
        <v>#N/A</v>
      </c>
    </row>
    <row r="249" spans="1:8" ht="14.25" customHeight="1" x14ac:dyDescent="0.25">
      <c r="A249" s="3">
        <v>45498</v>
      </c>
      <c r="B249" s="41">
        <v>2024001210</v>
      </c>
      <c r="C249" s="1" t="s">
        <v>262</v>
      </c>
      <c r="D249" s="5">
        <v>2000000</v>
      </c>
      <c r="E249" s="1">
        <v>36752202</v>
      </c>
      <c r="F249" s="1" t="s">
        <v>263</v>
      </c>
      <c r="G249" s="1" t="s">
        <v>9</v>
      </c>
      <c r="H249" t="e">
        <f>VLOOKUP(C249,'[1]873'!$C$2:$C$711,1,0)</f>
        <v>#N/A</v>
      </c>
    </row>
    <row r="250" spans="1:8" ht="14.25" customHeight="1" x14ac:dyDescent="0.25">
      <c r="A250" s="3">
        <v>45502</v>
      </c>
      <c r="B250" s="41">
        <v>2024001279</v>
      </c>
      <c r="C250" s="1" t="s">
        <v>376</v>
      </c>
      <c r="D250" s="5">
        <v>4825600</v>
      </c>
      <c r="E250" s="1">
        <v>37082349</v>
      </c>
      <c r="F250" s="1" t="s">
        <v>377</v>
      </c>
      <c r="G250" s="1" t="s">
        <v>9</v>
      </c>
      <c r="H250" t="e">
        <f>VLOOKUP(C250,'[1]873'!$C$2:$C$711,1,0)</f>
        <v>#N/A</v>
      </c>
    </row>
    <row r="251" spans="1:8" ht="14.25" customHeight="1" x14ac:dyDescent="0.25">
      <c r="A251" s="3">
        <v>45502</v>
      </c>
      <c r="B251" s="41">
        <v>2024001280</v>
      </c>
      <c r="C251" s="1" t="s">
        <v>428</v>
      </c>
      <c r="D251" s="5">
        <v>4750000</v>
      </c>
      <c r="E251" s="1">
        <v>1085260497</v>
      </c>
      <c r="F251" s="1" t="s">
        <v>429</v>
      </c>
      <c r="G251" s="1" t="s">
        <v>9</v>
      </c>
      <c r="H251" t="e">
        <f>VLOOKUP(C251,'[1]873'!$C$2:$C$711,1,0)</f>
        <v>#N/A</v>
      </c>
    </row>
    <row r="252" spans="1:8" ht="14.25" customHeight="1" x14ac:dyDescent="0.25">
      <c r="A252" s="3">
        <v>45502</v>
      </c>
      <c r="B252" s="41">
        <v>2024001281</v>
      </c>
      <c r="C252" s="1" t="s">
        <v>386</v>
      </c>
      <c r="D252" s="5">
        <v>2000000</v>
      </c>
      <c r="E252" s="1">
        <v>1030606749</v>
      </c>
      <c r="F252" s="1" t="s">
        <v>387</v>
      </c>
      <c r="G252" s="1" t="s">
        <v>9</v>
      </c>
      <c r="H252" t="e">
        <f>VLOOKUP(C252,'[1]873'!$C$2:$C$711,1,0)</f>
        <v>#N/A</v>
      </c>
    </row>
    <row r="253" spans="1:8" ht="14.25" customHeight="1" x14ac:dyDescent="0.25">
      <c r="A253" s="3">
        <v>45502</v>
      </c>
      <c r="B253" s="41">
        <v>2024001282</v>
      </c>
      <c r="C253" s="1" t="s">
        <v>414</v>
      </c>
      <c r="D253" s="5">
        <v>4750000</v>
      </c>
      <c r="E253" s="1">
        <v>59816986</v>
      </c>
      <c r="F253" s="1" t="s">
        <v>415</v>
      </c>
      <c r="G253" s="1" t="s">
        <v>9</v>
      </c>
      <c r="H253" t="e">
        <f>VLOOKUP(C253,'[1]873'!$C$2:$C$711,1,0)</f>
        <v>#N/A</v>
      </c>
    </row>
    <row r="254" spans="1:8" ht="14.25" customHeight="1" x14ac:dyDescent="0.25">
      <c r="A254" s="3">
        <v>45502</v>
      </c>
      <c r="B254" s="41">
        <v>2024001283</v>
      </c>
      <c r="C254" s="1" t="s">
        <v>352</v>
      </c>
      <c r="D254" s="5">
        <v>2000000</v>
      </c>
      <c r="E254" s="1">
        <v>1081592303</v>
      </c>
      <c r="F254" s="1" t="s">
        <v>353</v>
      </c>
      <c r="G254" s="1" t="s">
        <v>9</v>
      </c>
      <c r="H254" t="e">
        <f>VLOOKUP(C254,'[1]873'!$C$2:$C$711,1,0)</f>
        <v>#N/A</v>
      </c>
    </row>
    <row r="255" spans="1:8" ht="14.25" customHeight="1" x14ac:dyDescent="0.25">
      <c r="A255" s="3">
        <v>45502</v>
      </c>
      <c r="B255" s="41">
        <v>2024001284</v>
      </c>
      <c r="C255" s="1" t="s">
        <v>24</v>
      </c>
      <c r="D255" s="5">
        <v>6000000</v>
      </c>
      <c r="E255" s="1">
        <v>37013610</v>
      </c>
      <c r="F255" s="1" t="s">
        <v>25</v>
      </c>
      <c r="G255" s="1" t="s">
        <v>9</v>
      </c>
      <c r="H255" t="e">
        <f>VLOOKUP(C255,'[1]873'!$C$2:$C$711,1,0)</f>
        <v>#N/A</v>
      </c>
    </row>
    <row r="256" spans="1:8" ht="14.25" customHeight="1" x14ac:dyDescent="0.25">
      <c r="A256" s="3">
        <v>45502</v>
      </c>
      <c r="B256" s="41">
        <v>2024001285</v>
      </c>
      <c r="C256" s="1" t="s">
        <v>102</v>
      </c>
      <c r="D256" s="5">
        <v>2000000</v>
      </c>
      <c r="E256" s="1">
        <v>59813323</v>
      </c>
      <c r="F256" s="1" t="s">
        <v>103</v>
      </c>
      <c r="G256" s="1" t="s">
        <v>9</v>
      </c>
      <c r="H256" t="e">
        <f>VLOOKUP(C256,'[1]873'!$C$2:$C$711,1,0)</f>
        <v>#N/A</v>
      </c>
    </row>
    <row r="257" spans="1:8" ht="14.25" customHeight="1" x14ac:dyDescent="0.25">
      <c r="A257" s="3">
        <v>45502</v>
      </c>
      <c r="B257" s="41">
        <v>2024001286</v>
      </c>
      <c r="C257" s="1" t="s">
        <v>360</v>
      </c>
      <c r="D257" s="5">
        <v>7500000</v>
      </c>
      <c r="E257" s="1">
        <v>7603662</v>
      </c>
      <c r="F257" s="1" t="s">
        <v>361</v>
      </c>
      <c r="G257" s="1" t="s">
        <v>9</v>
      </c>
      <c r="H257" t="e">
        <f>VLOOKUP(C257,'[1]873'!$C$2:$C$711,1,0)</f>
        <v>#N/A</v>
      </c>
    </row>
    <row r="258" spans="1:8" ht="14.25" customHeight="1" x14ac:dyDescent="0.25">
      <c r="A258" s="3">
        <v>45502</v>
      </c>
      <c r="B258" s="41">
        <v>2024001288</v>
      </c>
      <c r="C258" s="1" t="s">
        <v>366</v>
      </c>
      <c r="D258" s="5">
        <v>2000000</v>
      </c>
      <c r="E258" s="1">
        <v>1004508436</v>
      </c>
      <c r="F258" s="1" t="s">
        <v>367</v>
      </c>
      <c r="G258" s="1" t="s">
        <v>9</v>
      </c>
      <c r="H258" t="e">
        <f>VLOOKUP(C258,'[1]873'!$C$2:$C$711,1,0)</f>
        <v>#N/A</v>
      </c>
    </row>
    <row r="259" spans="1:8" ht="14.25" customHeight="1" x14ac:dyDescent="0.25">
      <c r="A259" s="3">
        <v>45502</v>
      </c>
      <c r="B259" s="41">
        <v>2024001289</v>
      </c>
      <c r="C259" s="1" t="s">
        <v>96</v>
      </c>
      <c r="D259" s="5">
        <v>2000000</v>
      </c>
      <c r="E259" s="1">
        <v>59178610</v>
      </c>
      <c r="F259" s="1" t="s">
        <v>97</v>
      </c>
      <c r="G259" s="1" t="s">
        <v>9</v>
      </c>
      <c r="H259" t="e">
        <f>VLOOKUP(C259,'[1]873'!$C$2:$C$711,1,0)</f>
        <v>#N/A</v>
      </c>
    </row>
    <row r="260" spans="1:8" ht="14.25" customHeight="1" x14ac:dyDescent="0.25">
      <c r="A260" s="3">
        <v>45502</v>
      </c>
      <c r="B260" s="41">
        <v>2024001290</v>
      </c>
      <c r="C260" s="1" t="s">
        <v>10</v>
      </c>
      <c r="D260" s="5">
        <v>2000000</v>
      </c>
      <c r="E260" s="1">
        <v>1085317833</v>
      </c>
      <c r="F260" s="1" t="s">
        <v>11</v>
      </c>
      <c r="G260" s="1" t="s">
        <v>9</v>
      </c>
      <c r="H260" t="e">
        <f>VLOOKUP(C260,'[1]873'!$C$2:$C$711,1,0)</f>
        <v>#N/A</v>
      </c>
    </row>
    <row r="261" spans="1:8" ht="14.25" customHeight="1" x14ac:dyDescent="0.25">
      <c r="A261" s="3">
        <v>45502</v>
      </c>
      <c r="B261" s="41">
        <v>2024001291</v>
      </c>
      <c r="C261" s="1" t="s">
        <v>336</v>
      </c>
      <c r="D261" s="5">
        <v>6000000</v>
      </c>
      <c r="E261" s="1">
        <v>1010010954</v>
      </c>
      <c r="F261" s="1" t="s">
        <v>337</v>
      </c>
      <c r="G261" s="1" t="s">
        <v>9</v>
      </c>
      <c r="H261" t="e">
        <f>VLOOKUP(C261,'[1]873'!$C$2:$C$711,1,0)</f>
        <v>#N/A</v>
      </c>
    </row>
    <row r="262" spans="1:8" ht="14.25" customHeight="1" x14ac:dyDescent="0.25">
      <c r="A262" s="3">
        <v>45502</v>
      </c>
      <c r="B262" s="41">
        <v>2024001292</v>
      </c>
      <c r="C262" s="1" t="s">
        <v>380</v>
      </c>
      <c r="D262" s="5">
        <v>2000000</v>
      </c>
      <c r="E262" s="1">
        <v>1085324107</v>
      </c>
      <c r="F262" s="1" t="s">
        <v>381</v>
      </c>
      <c r="G262" s="1" t="s">
        <v>9</v>
      </c>
      <c r="H262" t="e">
        <f>VLOOKUP(C262,'[1]873'!$C$2:$C$711,1,0)</f>
        <v>#N/A</v>
      </c>
    </row>
    <row r="263" spans="1:8" ht="14.25" customHeight="1" x14ac:dyDescent="0.25">
      <c r="A263" s="3">
        <v>45502</v>
      </c>
      <c r="B263" s="41">
        <v>2024001293</v>
      </c>
      <c r="C263" s="1" t="s">
        <v>380</v>
      </c>
      <c r="D263" s="5">
        <v>2000000</v>
      </c>
      <c r="E263" s="1">
        <v>1085324107</v>
      </c>
      <c r="F263" s="1" t="s">
        <v>381</v>
      </c>
      <c r="G263" s="1" t="s">
        <v>9</v>
      </c>
      <c r="H263" t="e">
        <f>VLOOKUP(C263,'[1]873'!$C$2:$C$711,1,0)</f>
        <v>#N/A</v>
      </c>
    </row>
    <row r="264" spans="1:8" ht="14.25" customHeight="1" x14ac:dyDescent="0.25">
      <c r="A264" s="3">
        <v>45503</v>
      </c>
      <c r="B264" s="41">
        <v>2024001301</v>
      </c>
      <c r="C264" s="1" t="s">
        <v>420</v>
      </c>
      <c r="D264" s="5">
        <v>7500000</v>
      </c>
      <c r="E264" s="1">
        <v>1088599676</v>
      </c>
      <c r="F264" s="1" t="s">
        <v>421</v>
      </c>
      <c r="G264" s="1" t="s">
        <v>9</v>
      </c>
      <c r="H264" t="e">
        <f>VLOOKUP(C264,'[1]873'!$C$2:$C$711,1,0)</f>
        <v>#N/A</v>
      </c>
    </row>
    <row r="265" spans="1:8" ht="14.25" customHeight="1" x14ac:dyDescent="0.25">
      <c r="A265" s="3">
        <v>45503</v>
      </c>
      <c r="B265" s="41">
        <v>2024001302</v>
      </c>
      <c r="C265" s="1" t="s">
        <v>408</v>
      </c>
      <c r="D265" s="5">
        <v>2000000</v>
      </c>
      <c r="E265" s="1">
        <v>1193224810</v>
      </c>
      <c r="F265" s="1" t="s">
        <v>409</v>
      </c>
      <c r="G265" s="1" t="s">
        <v>9</v>
      </c>
      <c r="H265" t="e">
        <f>VLOOKUP(C265,'[1]873'!$C$2:$C$711,1,0)</f>
        <v>#N/A</v>
      </c>
    </row>
    <row r="266" spans="1:8" ht="14.25" customHeight="1" x14ac:dyDescent="0.25">
      <c r="A266" s="3">
        <v>45503</v>
      </c>
      <c r="B266" s="41">
        <v>2024001303</v>
      </c>
      <c r="C266" s="1" t="s">
        <v>294</v>
      </c>
      <c r="D266" s="5">
        <v>4825600</v>
      </c>
      <c r="E266" s="1">
        <v>1088730712</v>
      </c>
      <c r="F266" s="1" t="s">
        <v>295</v>
      </c>
      <c r="G266" s="1" t="s">
        <v>9</v>
      </c>
      <c r="H266" t="e">
        <f>VLOOKUP(C266,'[1]873'!$C$2:$C$711,1,0)</f>
        <v>#N/A</v>
      </c>
    </row>
    <row r="267" spans="1:8" ht="14.25" customHeight="1" x14ac:dyDescent="0.25">
      <c r="A267" s="3">
        <v>45503</v>
      </c>
      <c r="B267" s="41">
        <v>2024001304</v>
      </c>
      <c r="C267" s="1" t="s">
        <v>298</v>
      </c>
      <c r="D267" s="5">
        <v>4825600</v>
      </c>
      <c r="E267" s="1">
        <v>12983807</v>
      </c>
      <c r="F267" s="1" t="s">
        <v>299</v>
      </c>
      <c r="G267" s="1" t="s">
        <v>9</v>
      </c>
      <c r="H267" t="e">
        <f>VLOOKUP(C267,'[1]873'!$C$2:$C$711,1,0)</f>
        <v>#N/A</v>
      </c>
    </row>
    <row r="268" spans="1:8" ht="14.25" customHeight="1" x14ac:dyDescent="0.25">
      <c r="A268" s="3">
        <v>45503</v>
      </c>
      <c r="B268" s="41">
        <v>2024001305</v>
      </c>
      <c r="C268" s="1" t="s">
        <v>348</v>
      </c>
      <c r="D268" s="5">
        <v>2000000</v>
      </c>
      <c r="E268" s="1">
        <v>27285974</v>
      </c>
      <c r="F268" s="1" t="s">
        <v>349</v>
      </c>
      <c r="G268" s="1" t="s">
        <v>9</v>
      </c>
      <c r="H268" t="e">
        <f>VLOOKUP(C268,'[1]873'!$C$2:$C$711,1,0)</f>
        <v>#N/A</v>
      </c>
    </row>
    <row r="269" spans="1:8" ht="14.25" customHeight="1" x14ac:dyDescent="0.25">
      <c r="A269" s="3">
        <v>45503</v>
      </c>
      <c r="B269" s="41">
        <v>2024001306</v>
      </c>
      <c r="C269" s="1" t="s">
        <v>426</v>
      </c>
      <c r="D269" s="5">
        <v>2000000</v>
      </c>
      <c r="E269" s="1">
        <v>1085318688</v>
      </c>
      <c r="F269" s="1" t="s">
        <v>427</v>
      </c>
      <c r="G269" s="1" t="s">
        <v>9</v>
      </c>
      <c r="H269" t="e">
        <f>VLOOKUP(C269,'[1]873'!$C$2:$C$711,1,0)</f>
        <v>#N/A</v>
      </c>
    </row>
    <row r="270" spans="1:8" ht="14.25" customHeight="1" x14ac:dyDescent="0.25">
      <c r="A270" s="3">
        <v>45504</v>
      </c>
      <c r="B270" s="41">
        <v>2024001307</v>
      </c>
      <c r="C270" s="1" t="s">
        <v>244</v>
      </c>
      <c r="D270" s="5">
        <v>4825600</v>
      </c>
      <c r="E270" s="1">
        <v>30732782</v>
      </c>
      <c r="F270" s="1" t="s">
        <v>245</v>
      </c>
      <c r="G270" s="1" t="s">
        <v>9</v>
      </c>
      <c r="H270" t="e">
        <f>VLOOKUP(C270,'[1]873'!$C$2:$C$711,1,0)</f>
        <v>#N/A</v>
      </c>
    </row>
    <row r="271" spans="1:8" ht="14.25" customHeight="1" x14ac:dyDescent="0.25">
      <c r="A271" s="3">
        <v>45504</v>
      </c>
      <c r="B271" s="41">
        <v>2024001308</v>
      </c>
      <c r="C271" s="1" t="s">
        <v>418</v>
      </c>
      <c r="D271" s="5">
        <v>2000000</v>
      </c>
      <c r="E271" s="1">
        <v>1085260568</v>
      </c>
      <c r="F271" s="1" t="s">
        <v>419</v>
      </c>
      <c r="G271" s="1" t="s">
        <v>9</v>
      </c>
      <c r="H271" t="e">
        <f>VLOOKUP(C271,'[1]873'!$C$2:$C$711,1,0)</f>
        <v>#N/A</v>
      </c>
    </row>
    <row r="272" spans="1:8" ht="14.25" customHeight="1" x14ac:dyDescent="0.25">
      <c r="A272" s="3">
        <v>45504</v>
      </c>
      <c r="B272" s="41">
        <v>2024001309</v>
      </c>
      <c r="C272" s="1" t="s">
        <v>402</v>
      </c>
      <c r="D272" s="5">
        <v>2000000</v>
      </c>
      <c r="E272" s="1">
        <v>1004410201</v>
      </c>
      <c r="F272" s="1" t="s">
        <v>403</v>
      </c>
      <c r="G272" s="1" t="s">
        <v>9</v>
      </c>
      <c r="H272" t="e">
        <f>VLOOKUP(C272,'[1]873'!$C$2:$C$711,1,0)</f>
        <v>#N/A</v>
      </c>
    </row>
    <row r="273" spans="1:8" ht="14.25" customHeight="1" x14ac:dyDescent="0.25">
      <c r="A273" s="3">
        <v>45504</v>
      </c>
      <c r="B273" s="41">
        <v>2024001310</v>
      </c>
      <c r="C273" s="1" t="s">
        <v>404</v>
      </c>
      <c r="D273" s="5">
        <v>2000000</v>
      </c>
      <c r="E273" s="1">
        <v>1085288636</v>
      </c>
      <c r="F273" s="1" t="s">
        <v>405</v>
      </c>
      <c r="G273" s="1" t="s">
        <v>9</v>
      </c>
      <c r="H273" t="e">
        <f>VLOOKUP(C273,'[1]873'!$C$2:$C$711,1,0)</f>
        <v>#N/A</v>
      </c>
    </row>
    <row r="274" spans="1:8" ht="14.25" customHeight="1" x14ac:dyDescent="0.25">
      <c r="A274" s="3">
        <v>45504</v>
      </c>
      <c r="B274" s="41">
        <v>2024001311</v>
      </c>
      <c r="C274" s="1" t="s">
        <v>394</v>
      </c>
      <c r="D274" s="5">
        <v>2000000</v>
      </c>
      <c r="E274" s="1">
        <v>59837416</v>
      </c>
      <c r="F274" s="1" t="s">
        <v>395</v>
      </c>
      <c r="G274" s="1" t="s">
        <v>9</v>
      </c>
      <c r="H274" t="e">
        <f>VLOOKUP(C274,'[1]873'!$C$2:$C$711,1,0)</f>
        <v>#N/A</v>
      </c>
    </row>
    <row r="275" spans="1:8" ht="14.25" customHeight="1" x14ac:dyDescent="0.25">
      <c r="A275" s="3">
        <v>45504</v>
      </c>
      <c r="B275" s="41">
        <v>2024001315</v>
      </c>
      <c r="C275" s="1" t="s">
        <v>364</v>
      </c>
      <c r="D275" s="5">
        <v>2000000</v>
      </c>
      <c r="E275" s="1">
        <v>1004726758</v>
      </c>
      <c r="F275" s="1" t="s">
        <v>365</v>
      </c>
      <c r="G275" s="1" t="s">
        <v>9</v>
      </c>
      <c r="H275" t="e">
        <f>VLOOKUP(C275,'[1]873'!$C$2:$C$711,1,0)</f>
        <v>#N/A</v>
      </c>
    </row>
    <row r="276" spans="1:8" ht="14.25" customHeight="1" x14ac:dyDescent="0.25">
      <c r="A276" s="3">
        <v>45504</v>
      </c>
      <c r="B276" s="41">
        <v>2024001316</v>
      </c>
      <c r="C276" s="1" t="s">
        <v>342</v>
      </c>
      <c r="D276" s="5">
        <v>6000000</v>
      </c>
      <c r="E276" s="1">
        <v>36954410</v>
      </c>
      <c r="F276" s="1" t="s">
        <v>343</v>
      </c>
      <c r="G276" s="1" t="s">
        <v>9</v>
      </c>
      <c r="H276" t="e">
        <f>VLOOKUP(C276,'[1]873'!$C$2:$C$711,1,0)</f>
        <v>#N/A</v>
      </c>
    </row>
    <row r="277" spans="1:8" ht="14.25" customHeight="1" x14ac:dyDescent="0.25">
      <c r="A277" s="3">
        <v>45504</v>
      </c>
      <c r="B277" s="41">
        <v>2024001317</v>
      </c>
      <c r="C277" s="1" t="s">
        <v>354</v>
      </c>
      <c r="D277" s="5">
        <v>4750000</v>
      </c>
      <c r="E277" s="1">
        <v>1085318684</v>
      </c>
      <c r="F277" s="1" t="s">
        <v>355</v>
      </c>
      <c r="G277" s="1" t="s">
        <v>9</v>
      </c>
      <c r="H277" t="e">
        <f>VLOOKUP(C277,'[1]873'!$C$2:$C$711,1,0)</f>
        <v>#N/A</v>
      </c>
    </row>
    <row r="278" spans="1:8" ht="14.25" customHeight="1" x14ac:dyDescent="0.25">
      <c r="A278" s="3">
        <v>45505</v>
      </c>
      <c r="B278" s="41">
        <v>2024001318</v>
      </c>
      <c r="C278" s="1" t="s">
        <v>24</v>
      </c>
      <c r="D278" s="5">
        <v>6000000</v>
      </c>
      <c r="E278" s="1">
        <v>37013610</v>
      </c>
      <c r="F278" s="1" t="s">
        <v>25</v>
      </c>
      <c r="G278" s="1" t="s">
        <v>9</v>
      </c>
      <c r="H278" t="e">
        <f>VLOOKUP(C278,'[1]873'!$C$2:$C$711,1,0)</f>
        <v>#N/A</v>
      </c>
    </row>
    <row r="279" spans="1:8" ht="14.25" customHeight="1" x14ac:dyDescent="0.25">
      <c r="A279" s="3">
        <v>45505</v>
      </c>
      <c r="B279" s="41">
        <v>2024001319</v>
      </c>
      <c r="C279" s="1" t="s">
        <v>26</v>
      </c>
      <c r="D279" s="5">
        <v>6000000</v>
      </c>
      <c r="E279" s="1">
        <v>1085292185</v>
      </c>
      <c r="F279" s="1" t="s">
        <v>27</v>
      </c>
      <c r="G279" s="1" t="s">
        <v>9</v>
      </c>
      <c r="H279" t="e">
        <f>VLOOKUP(C279,'[1]873'!$C$2:$C$711,1,0)</f>
        <v>#N/A</v>
      </c>
    </row>
    <row r="280" spans="1:8" ht="14.25" customHeight="1" x14ac:dyDescent="0.25">
      <c r="A280" s="3">
        <v>45505</v>
      </c>
      <c r="B280" s="41">
        <v>2024001321</v>
      </c>
      <c r="C280" s="1" t="s">
        <v>28</v>
      </c>
      <c r="D280" s="5">
        <v>4750000</v>
      </c>
      <c r="E280" s="1">
        <v>1085324546</v>
      </c>
      <c r="F280" s="1" t="s">
        <v>29</v>
      </c>
      <c r="G280" s="1" t="s">
        <v>9</v>
      </c>
      <c r="H280" t="e">
        <f>VLOOKUP(C280,'[1]873'!$C$2:$C$711,1,0)</f>
        <v>#N/A</v>
      </c>
    </row>
    <row r="281" spans="1:8" ht="14.25" customHeight="1" x14ac:dyDescent="0.25">
      <c r="A281" s="3">
        <v>45505</v>
      </c>
      <c r="B281" s="41">
        <v>2024001322</v>
      </c>
      <c r="C281" s="1" t="s">
        <v>30</v>
      </c>
      <c r="D281" s="5">
        <v>6000000</v>
      </c>
      <c r="E281" s="1">
        <v>1085253062</v>
      </c>
      <c r="F281" s="1" t="s">
        <v>31</v>
      </c>
      <c r="G281" s="1" t="s">
        <v>9</v>
      </c>
      <c r="H281" t="e">
        <f>VLOOKUP(C281,'[1]873'!$C$2:$C$711,1,0)</f>
        <v>#N/A</v>
      </c>
    </row>
    <row r="282" spans="1:8" ht="14.25" customHeight="1" x14ac:dyDescent="0.25">
      <c r="A282" s="3">
        <v>45505</v>
      </c>
      <c r="B282" s="41">
        <v>2024001323</v>
      </c>
      <c r="C282" s="1" t="s">
        <v>32</v>
      </c>
      <c r="D282" s="5">
        <v>2000000</v>
      </c>
      <c r="E282" s="1">
        <v>1085252263</v>
      </c>
      <c r="F282" s="1" t="s">
        <v>33</v>
      </c>
      <c r="G282" s="1" t="s">
        <v>9</v>
      </c>
      <c r="H282" t="e">
        <f>VLOOKUP(C282,'[1]873'!$C$2:$C$711,1,0)</f>
        <v>#N/A</v>
      </c>
    </row>
    <row r="283" spans="1:8" ht="14.25" customHeight="1" x14ac:dyDescent="0.25">
      <c r="A283" s="3">
        <v>45509</v>
      </c>
      <c r="B283" s="41">
        <v>2024001336</v>
      </c>
      <c r="C283" s="1" t="s">
        <v>34</v>
      </c>
      <c r="D283" s="5">
        <v>2000000</v>
      </c>
      <c r="E283" s="1">
        <v>1085331508</v>
      </c>
      <c r="F283" s="1" t="s">
        <v>35</v>
      </c>
      <c r="G283" s="1" t="s">
        <v>9</v>
      </c>
      <c r="H283" t="e">
        <f>VLOOKUP(C283,'[1]873'!$C$2:$C$711,1,0)</f>
        <v>#N/A</v>
      </c>
    </row>
    <row r="284" spans="1:8" ht="14.25" customHeight="1" x14ac:dyDescent="0.25">
      <c r="A284" s="3">
        <v>45509</v>
      </c>
      <c r="B284" s="41">
        <v>2024001337</v>
      </c>
      <c r="C284" s="1" t="s">
        <v>36</v>
      </c>
      <c r="D284" s="5">
        <v>2000000</v>
      </c>
      <c r="E284" s="1">
        <v>27087122</v>
      </c>
      <c r="F284" s="1" t="s">
        <v>37</v>
      </c>
      <c r="G284" s="1" t="s">
        <v>9</v>
      </c>
      <c r="H284" t="e">
        <f>VLOOKUP(C284,'[1]873'!$C$2:$C$711,1,0)</f>
        <v>#N/A</v>
      </c>
    </row>
    <row r="285" spans="1:8" ht="14.25" customHeight="1" x14ac:dyDescent="0.25">
      <c r="A285" s="3">
        <v>45509</v>
      </c>
      <c r="B285" s="41">
        <v>2024001338</v>
      </c>
      <c r="C285" s="1" t="s">
        <v>38</v>
      </c>
      <c r="D285" s="5">
        <v>2000000</v>
      </c>
      <c r="E285" s="1">
        <v>1193385397</v>
      </c>
      <c r="F285" s="1" t="s">
        <v>39</v>
      </c>
      <c r="G285" s="1" t="s">
        <v>9</v>
      </c>
      <c r="H285" t="e">
        <f>VLOOKUP(C285,'[1]873'!$C$2:$C$711,1,0)</f>
        <v>#N/A</v>
      </c>
    </row>
    <row r="286" spans="1:8" ht="14.25" customHeight="1" x14ac:dyDescent="0.25">
      <c r="A286" s="3">
        <v>45509</v>
      </c>
      <c r="B286" s="41">
        <v>2024001340</v>
      </c>
      <c r="C286" s="1" t="s">
        <v>40</v>
      </c>
      <c r="D286" s="5">
        <v>7500000</v>
      </c>
      <c r="E286" s="1">
        <v>1085336362</v>
      </c>
      <c r="F286" s="1" t="s">
        <v>41</v>
      </c>
      <c r="G286" s="1" t="s">
        <v>9</v>
      </c>
      <c r="H286" t="e">
        <f>VLOOKUP(C286,'[1]873'!$C$2:$C$711,1,0)</f>
        <v>#N/A</v>
      </c>
    </row>
    <row r="287" spans="1:8" ht="14.25" customHeight="1" x14ac:dyDescent="0.25">
      <c r="A287" s="3">
        <v>45509</v>
      </c>
      <c r="B287" s="41">
        <v>2024001341</v>
      </c>
      <c r="C287" s="1" t="s">
        <v>42</v>
      </c>
      <c r="D287" s="5">
        <v>7500000</v>
      </c>
      <c r="E287" s="1">
        <v>87065647</v>
      </c>
      <c r="F287" s="1" t="s">
        <v>43</v>
      </c>
      <c r="G287" s="1" t="s">
        <v>9</v>
      </c>
      <c r="H287" t="e">
        <f>VLOOKUP(C287,'[1]873'!$C$2:$C$711,1,0)</f>
        <v>#N/A</v>
      </c>
    </row>
    <row r="288" spans="1:8" ht="14.25" customHeight="1" x14ac:dyDescent="0.25">
      <c r="A288" s="3">
        <v>45509</v>
      </c>
      <c r="B288" s="41">
        <v>2024001342</v>
      </c>
      <c r="C288" s="1" t="s">
        <v>44</v>
      </c>
      <c r="D288" s="5">
        <v>2000000</v>
      </c>
      <c r="E288" s="1">
        <v>1007356378</v>
      </c>
      <c r="F288" s="1" t="s">
        <v>45</v>
      </c>
      <c r="G288" s="1" t="s">
        <v>9</v>
      </c>
      <c r="H288" t="e">
        <f>VLOOKUP(C288,'[1]873'!$C$2:$C$711,1,0)</f>
        <v>#N/A</v>
      </c>
    </row>
    <row r="289" spans="1:8" ht="14.25" customHeight="1" x14ac:dyDescent="0.25">
      <c r="A289" s="3">
        <v>45509</v>
      </c>
      <c r="B289" s="41">
        <v>2024001343</v>
      </c>
      <c r="C289" s="1" t="s">
        <v>46</v>
      </c>
      <c r="D289" s="5">
        <v>4750000</v>
      </c>
      <c r="E289" s="1">
        <v>1087414586</v>
      </c>
      <c r="F289" s="1" t="s">
        <v>47</v>
      </c>
      <c r="G289" s="1" t="s">
        <v>9</v>
      </c>
      <c r="H289" t="e">
        <f>VLOOKUP(C289,'[1]873'!$C$2:$C$711,1,0)</f>
        <v>#N/A</v>
      </c>
    </row>
    <row r="290" spans="1:8" ht="14.25" customHeight="1" x14ac:dyDescent="0.25">
      <c r="A290" s="3">
        <v>45509</v>
      </c>
      <c r="B290" s="41">
        <v>2024001344</v>
      </c>
      <c r="C290" s="1" t="s">
        <v>48</v>
      </c>
      <c r="D290" s="5">
        <v>6000000</v>
      </c>
      <c r="E290" s="1">
        <v>27097289</v>
      </c>
      <c r="F290" s="1" t="s">
        <v>49</v>
      </c>
      <c r="G290" s="1" t="s">
        <v>9</v>
      </c>
      <c r="H290" t="e">
        <f>VLOOKUP(C290,'[1]873'!$C$2:$C$711,1,0)</f>
        <v>#N/A</v>
      </c>
    </row>
    <row r="291" spans="1:8" ht="14.25" customHeight="1" x14ac:dyDescent="0.25">
      <c r="A291" s="3">
        <v>45509</v>
      </c>
      <c r="B291" s="41">
        <v>2024001345</v>
      </c>
      <c r="C291" s="1" t="s">
        <v>50</v>
      </c>
      <c r="D291" s="5">
        <v>2000000</v>
      </c>
      <c r="E291" s="1">
        <v>12974849</v>
      </c>
      <c r="F291" s="1" t="s">
        <v>51</v>
      </c>
      <c r="G291" s="1" t="s">
        <v>9</v>
      </c>
      <c r="H291" t="e">
        <f>VLOOKUP(C291,'[1]873'!$C$2:$C$711,1,0)</f>
        <v>#N/A</v>
      </c>
    </row>
    <row r="292" spans="1:8" ht="14.25" customHeight="1" x14ac:dyDescent="0.25">
      <c r="A292" s="3">
        <v>45509</v>
      </c>
      <c r="B292" s="41">
        <v>2024001346</v>
      </c>
      <c r="C292" s="1" t="s">
        <v>52</v>
      </c>
      <c r="D292" s="5">
        <v>4825600</v>
      </c>
      <c r="E292" s="1">
        <v>30733517</v>
      </c>
      <c r="F292" s="1" t="s">
        <v>53</v>
      </c>
      <c r="G292" s="1" t="s">
        <v>9</v>
      </c>
      <c r="H292" t="e">
        <f>VLOOKUP(C292,'[1]873'!$C$2:$C$711,1,0)</f>
        <v>#N/A</v>
      </c>
    </row>
    <row r="293" spans="1:8" ht="14.25" customHeight="1" x14ac:dyDescent="0.25">
      <c r="A293" s="3">
        <v>45509</v>
      </c>
      <c r="B293" s="41">
        <v>2024001347</v>
      </c>
      <c r="C293" s="1" t="s">
        <v>54</v>
      </c>
      <c r="D293" s="5">
        <v>6000000</v>
      </c>
      <c r="E293" s="1">
        <v>1085246134</v>
      </c>
      <c r="F293" s="1" t="s">
        <v>55</v>
      </c>
      <c r="G293" s="1" t="s">
        <v>9</v>
      </c>
      <c r="H293" t="e">
        <f>VLOOKUP(C293,'[1]873'!$C$2:$C$711,1,0)</f>
        <v>#N/A</v>
      </c>
    </row>
    <row r="294" spans="1:8" ht="14.25" customHeight="1" x14ac:dyDescent="0.25">
      <c r="A294" s="3">
        <v>45510</v>
      </c>
      <c r="B294" s="41">
        <v>2024001349</v>
      </c>
      <c r="C294" s="1" t="s">
        <v>56</v>
      </c>
      <c r="D294" s="5">
        <v>4825600</v>
      </c>
      <c r="E294" s="1">
        <v>1193385736</v>
      </c>
      <c r="F294" s="1" t="s">
        <v>57</v>
      </c>
      <c r="G294" s="1" t="s">
        <v>9</v>
      </c>
      <c r="H294" t="e">
        <f>VLOOKUP(C294,'[1]873'!$C$2:$C$711,1,0)</f>
        <v>#N/A</v>
      </c>
    </row>
    <row r="295" spans="1:8" ht="14.25" customHeight="1" x14ac:dyDescent="0.25">
      <c r="A295" s="3">
        <v>45510</v>
      </c>
      <c r="B295" s="41">
        <v>2024001357</v>
      </c>
      <c r="C295" s="1" t="s">
        <v>58</v>
      </c>
      <c r="D295" s="5">
        <v>2000000</v>
      </c>
      <c r="E295" s="1">
        <v>1081272025</v>
      </c>
      <c r="F295" s="1" t="s">
        <v>59</v>
      </c>
      <c r="G295" s="1" t="s">
        <v>9</v>
      </c>
      <c r="H295" t="e">
        <f>VLOOKUP(C295,'[1]873'!$C$2:$C$711,1,0)</f>
        <v>#N/A</v>
      </c>
    </row>
    <row r="296" spans="1:8" ht="14.25" customHeight="1" x14ac:dyDescent="0.25">
      <c r="A296" s="3">
        <v>45510</v>
      </c>
      <c r="B296" s="41">
        <v>2024001358</v>
      </c>
      <c r="C296" s="1" t="s">
        <v>60</v>
      </c>
      <c r="D296" s="5">
        <v>7500000</v>
      </c>
      <c r="E296" s="1">
        <v>1085321192</v>
      </c>
      <c r="F296" s="1" t="s">
        <v>61</v>
      </c>
      <c r="G296" s="1" t="s">
        <v>9</v>
      </c>
      <c r="H296" t="e">
        <f>VLOOKUP(C296,'[1]873'!$C$2:$C$711,1,0)</f>
        <v>#N/A</v>
      </c>
    </row>
    <row r="297" spans="1:8" ht="14.25" customHeight="1" x14ac:dyDescent="0.25">
      <c r="A297" s="3">
        <v>45510</v>
      </c>
      <c r="B297" s="41">
        <v>2024001360</v>
      </c>
      <c r="C297" s="1" t="s">
        <v>62</v>
      </c>
      <c r="D297" s="5">
        <v>7500000</v>
      </c>
      <c r="E297" s="1">
        <v>1006946167</v>
      </c>
      <c r="F297" s="1" t="s">
        <v>63</v>
      </c>
      <c r="G297" s="1" t="s">
        <v>9</v>
      </c>
      <c r="H297" t="e">
        <f>VLOOKUP(C297,'[1]873'!$C$2:$C$711,1,0)</f>
        <v>#N/A</v>
      </c>
    </row>
    <row r="298" spans="1:8" ht="14.25" customHeight="1" x14ac:dyDescent="0.25">
      <c r="A298" s="3">
        <v>45512</v>
      </c>
      <c r="B298" s="41">
        <v>2024001364</v>
      </c>
      <c r="C298" s="1" t="s">
        <v>64</v>
      </c>
      <c r="D298" s="5">
        <v>2000000</v>
      </c>
      <c r="E298" s="1">
        <v>59310524</v>
      </c>
      <c r="F298" s="1" t="s">
        <v>65</v>
      </c>
      <c r="G298" s="1" t="s">
        <v>9</v>
      </c>
      <c r="H298" t="e">
        <f>VLOOKUP(C298,'[1]873'!$C$2:$C$711,1,0)</f>
        <v>#N/A</v>
      </c>
    </row>
    <row r="299" spans="1:8" ht="14.25" customHeight="1" x14ac:dyDescent="0.25">
      <c r="A299" s="3">
        <v>45512</v>
      </c>
      <c r="B299" s="41">
        <v>2024001365</v>
      </c>
      <c r="C299" s="1" t="s">
        <v>66</v>
      </c>
      <c r="D299" s="5">
        <v>2000000</v>
      </c>
      <c r="E299" s="1">
        <v>1193265360</v>
      </c>
      <c r="F299" s="1" t="s">
        <v>67</v>
      </c>
      <c r="G299" s="1" t="s">
        <v>9</v>
      </c>
      <c r="H299" t="e">
        <f>VLOOKUP(C299,'[1]873'!$C$2:$C$711,1,0)</f>
        <v>#N/A</v>
      </c>
    </row>
    <row r="300" spans="1:8" ht="14.25" customHeight="1" x14ac:dyDescent="0.25">
      <c r="A300" s="3">
        <v>45512</v>
      </c>
      <c r="B300" s="41">
        <v>2024001366</v>
      </c>
      <c r="C300" s="1" t="s">
        <v>68</v>
      </c>
      <c r="D300" s="5">
        <v>7500000</v>
      </c>
      <c r="E300" s="1">
        <v>80765093</v>
      </c>
      <c r="F300" s="1" t="s">
        <v>69</v>
      </c>
      <c r="G300" s="1" t="s">
        <v>9</v>
      </c>
      <c r="H300" t="e">
        <f>VLOOKUP(C300,'[1]873'!$C$2:$C$711,1,0)</f>
        <v>#N/A</v>
      </c>
    </row>
    <row r="301" spans="1:8" ht="14.25" customHeight="1" x14ac:dyDescent="0.25">
      <c r="A301" s="3">
        <v>45512</v>
      </c>
      <c r="B301" s="41">
        <v>2024001367</v>
      </c>
      <c r="C301" s="1" t="s">
        <v>70</v>
      </c>
      <c r="D301" s="5">
        <v>2000000</v>
      </c>
      <c r="E301" s="1">
        <v>59314601</v>
      </c>
      <c r="F301" s="1" t="s">
        <v>71</v>
      </c>
      <c r="G301" s="1" t="s">
        <v>9</v>
      </c>
      <c r="H301" t="e">
        <f>VLOOKUP(C301,'[1]873'!$C$2:$C$711,1,0)</f>
        <v>#N/A</v>
      </c>
    </row>
    <row r="302" spans="1:8" ht="14.25" customHeight="1" x14ac:dyDescent="0.25">
      <c r="A302" s="3">
        <v>45512</v>
      </c>
      <c r="B302" s="41">
        <v>2024001368</v>
      </c>
      <c r="C302" s="1" t="s">
        <v>72</v>
      </c>
      <c r="D302" s="5">
        <v>2000000</v>
      </c>
      <c r="E302" s="1">
        <v>1085323101</v>
      </c>
      <c r="F302" s="1" t="s">
        <v>73</v>
      </c>
      <c r="G302" s="1" t="s">
        <v>9</v>
      </c>
      <c r="H302" t="e">
        <f>VLOOKUP(C302,'[1]873'!$C$2:$C$711,1,0)</f>
        <v>#N/A</v>
      </c>
    </row>
    <row r="303" spans="1:8" ht="14.25" customHeight="1" x14ac:dyDescent="0.25">
      <c r="A303" s="3">
        <v>45512</v>
      </c>
      <c r="B303" s="41">
        <v>2024001369</v>
      </c>
      <c r="C303" s="1" t="s">
        <v>74</v>
      </c>
      <c r="D303" s="5">
        <v>2000000</v>
      </c>
      <c r="E303" s="1">
        <v>1085286742</v>
      </c>
      <c r="F303" s="1" t="s">
        <v>75</v>
      </c>
      <c r="G303" s="1" t="s">
        <v>9</v>
      </c>
      <c r="H303" t="e">
        <f>VLOOKUP(C303,'[1]873'!$C$2:$C$711,1,0)</f>
        <v>#N/A</v>
      </c>
    </row>
    <row r="304" spans="1:8" ht="14.25" customHeight="1" x14ac:dyDescent="0.25">
      <c r="A304" s="3">
        <v>45512</v>
      </c>
      <c r="B304" s="41">
        <v>2024001370</v>
      </c>
      <c r="C304" s="1" t="s">
        <v>76</v>
      </c>
      <c r="D304" s="5">
        <v>2000000</v>
      </c>
      <c r="E304" s="1">
        <v>1086362994</v>
      </c>
      <c r="F304" s="1" t="s">
        <v>77</v>
      </c>
      <c r="G304" s="1" t="s">
        <v>9</v>
      </c>
      <c r="H304" t="e">
        <f>VLOOKUP(C304,'[1]873'!$C$2:$C$711,1,0)</f>
        <v>#N/A</v>
      </c>
    </row>
    <row r="305" spans="1:8" ht="14.25" customHeight="1" x14ac:dyDescent="0.25">
      <c r="A305" s="3">
        <v>45512</v>
      </c>
      <c r="B305" s="41">
        <v>2024001371</v>
      </c>
      <c r="C305" s="1" t="s">
        <v>78</v>
      </c>
      <c r="D305" s="5">
        <v>2000000</v>
      </c>
      <c r="E305" s="1">
        <v>1085326198</v>
      </c>
      <c r="F305" s="1" t="s">
        <v>79</v>
      </c>
      <c r="G305" s="1" t="s">
        <v>9</v>
      </c>
      <c r="H305" t="e">
        <f>VLOOKUP(C305,'[1]873'!$C$2:$C$711,1,0)</f>
        <v>#N/A</v>
      </c>
    </row>
    <row r="306" spans="1:8" ht="14.25" customHeight="1" x14ac:dyDescent="0.25">
      <c r="A306" s="3">
        <v>45512</v>
      </c>
      <c r="B306" s="41">
        <v>2024001372</v>
      </c>
      <c r="C306" s="1" t="s">
        <v>80</v>
      </c>
      <c r="D306" s="5">
        <v>2000000</v>
      </c>
      <c r="E306" s="1">
        <v>1088799034</v>
      </c>
      <c r="F306" s="1" t="s">
        <v>81</v>
      </c>
      <c r="G306" s="1" t="s">
        <v>9</v>
      </c>
      <c r="H306" t="e">
        <f>VLOOKUP(C306,'[1]873'!$C$2:$C$711,1,0)</f>
        <v>#N/A</v>
      </c>
    </row>
    <row r="307" spans="1:8" ht="14.25" customHeight="1" x14ac:dyDescent="0.25">
      <c r="A307" s="3">
        <v>45512</v>
      </c>
      <c r="B307" s="41">
        <v>2024001373</v>
      </c>
      <c r="C307" s="1" t="s">
        <v>82</v>
      </c>
      <c r="D307" s="5">
        <v>7500000</v>
      </c>
      <c r="E307" s="1">
        <v>1085329230</v>
      </c>
      <c r="F307" s="1" t="s">
        <v>83</v>
      </c>
      <c r="G307" s="1" t="s">
        <v>9</v>
      </c>
      <c r="H307" t="e">
        <f>VLOOKUP(C307,'[1]873'!$C$2:$C$711,1,0)</f>
        <v>#N/A</v>
      </c>
    </row>
    <row r="308" spans="1:8" ht="14.25" customHeight="1" x14ac:dyDescent="0.25">
      <c r="A308" s="3">
        <v>45512</v>
      </c>
      <c r="B308" s="41">
        <v>2024001374</v>
      </c>
      <c r="C308" s="1" t="s">
        <v>84</v>
      </c>
      <c r="D308" s="5">
        <v>2000000</v>
      </c>
      <c r="E308" s="1">
        <v>1085327701</v>
      </c>
      <c r="F308" s="1" t="s">
        <v>85</v>
      </c>
      <c r="G308" s="1" t="s">
        <v>9</v>
      </c>
      <c r="H308" t="e">
        <f>VLOOKUP(C308,'[1]873'!$C$2:$C$711,1,0)</f>
        <v>#N/A</v>
      </c>
    </row>
    <row r="309" spans="1:8" ht="14.25" customHeight="1" x14ac:dyDescent="0.25">
      <c r="A309" s="3">
        <v>45512</v>
      </c>
      <c r="B309" s="41">
        <v>2024001375</v>
      </c>
      <c r="C309" s="1" t="s">
        <v>86</v>
      </c>
      <c r="D309" s="5">
        <v>2000000</v>
      </c>
      <c r="E309" s="1">
        <v>1233189234</v>
      </c>
      <c r="F309" s="1" t="s">
        <v>87</v>
      </c>
      <c r="G309" s="1" t="s">
        <v>9</v>
      </c>
      <c r="H309" t="e">
        <f>VLOOKUP(C309,'[1]873'!$C$2:$C$711,1,0)</f>
        <v>#N/A</v>
      </c>
    </row>
    <row r="310" spans="1:8" ht="14.25" customHeight="1" x14ac:dyDescent="0.25">
      <c r="A310" s="3">
        <v>45512</v>
      </c>
      <c r="B310" s="41">
        <v>2024001376</v>
      </c>
      <c r="C310" s="1" t="s">
        <v>88</v>
      </c>
      <c r="D310" s="5">
        <v>6000000</v>
      </c>
      <c r="E310" s="1">
        <v>1085337232</v>
      </c>
      <c r="F310" s="1" t="s">
        <v>89</v>
      </c>
      <c r="G310" s="1" t="s">
        <v>9</v>
      </c>
      <c r="H310" t="e">
        <f>VLOOKUP(C310,'[1]873'!$C$2:$C$711,1,0)</f>
        <v>#N/A</v>
      </c>
    </row>
    <row r="311" spans="1:8" ht="14.25" customHeight="1" x14ac:dyDescent="0.25">
      <c r="A311" s="3">
        <v>45512</v>
      </c>
      <c r="B311" s="41">
        <v>2024001377</v>
      </c>
      <c r="C311" s="1" t="s">
        <v>90</v>
      </c>
      <c r="D311" s="5">
        <v>4750000</v>
      </c>
      <c r="E311" s="1">
        <v>1085263018</v>
      </c>
      <c r="F311" s="1" t="s">
        <v>91</v>
      </c>
      <c r="G311" s="1" t="s">
        <v>9</v>
      </c>
      <c r="H311" t="e">
        <f>VLOOKUP(C311,'[1]873'!$C$2:$C$711,1,0)</f>
        <v>#N/A</v>
      </c>
    </row>
    <row r="312" spans="1:8" ht="14.25" customHeight="1" x14ac:dyDescent="0.25">
      <c r="A312" s="3">
        <v>45512</v>
      </c>
      <c r="B312" s="41">
        <v>2024001378</v>
      </c>
      <c r="C312" s="1" t="s">
        <v>92</v>
      </c>
      <c r="D312" s="5">
        <v>4825600</v>
      </c>
      <c r="E312" s="1">
        <v>1085291221</v>
      </c>
      <c r="F312" s="1" t="s">
        <v>93</v>
      </c>
      <c r="G312" s="1" t="s">
        <v>9</v>
      </c>
      <c r="H312" t="e">
        <f>VLOOKUP(C312,'[1]873'!$C$2:$C$711,1,0)</f>
        <v>#N/A</v>
      </c>
    </row>
    <row r="313" spans="1:8" ht="14.25" customHeight="1" x14ac:dyDescent="0.25">
      <c r="A313" s="3">
        <v>45512</v>
      </c>
      <c r="B313" s="41">
        <v>2024001379</v>
      </c>
      <c r="C313" s="1" t="s">
        <v>94</v>
      </c>
      <c r="D313" s="5">
        <v>4750000</v>
      </c>
      <c r="E313" s="1">
        <v>1087413951</v>
      </c>
      <c r="F313" s="1" t="s">
        <v>95</v>
      </c>
      <c r="G313" s="1" t="s">
        <v>9</v>
      </c>
      <c r="H313" t="e">
        <f>VLOOKUP(C313,'[1]873'!$C$2:$C$711,1,0)</f>
        <v>#N/A</v>
      </c>
    </row>
    <row r="314" spans="1:8" ht="14.25" customHeight="1" x14ac:dyDescent="0.25">
      <c r="A314" s="3">
        <v>45512</v>
      </c>
      <c r="B314" s="41">
        <v>2024001380</v>
      </c>
      <c r="C314" s="1" t="s">
        <v>96</v>
      </c>
      <c r="D314" s="5">
        <v>2000000</v>
      </c>
      <c r="E314" s="1">
        <v>59178610</v>
      </c>
      <c r="F314" s="1" t="s">
        <v>97</v>
      </c>
      <c r="G314" s="1" t="s">
        <v>9</v>
      </c>
      <c r="H314" t="e">
        <f>VLOOKUP(C314,'[1]873'!$C$2:$C$711,1,0)</f>
        <v>#N/A</v>
      </c>
    </row>
    <row r="315" spans="1:8" ht="14.25" customHeight="1" x14ac:dyDescent="0.25">
      <c r="A315" s="3">
        <v>45513</v>
      </c>
      <c r="B315" s="41">
        <v>2024001392</v>
      </c>
      <c r="C315" s="1" t="s">
        <v>98</v>
      </c>
      <c r="D315" s="5">
        <v>4825600</v>
      </c>
      <c r="E315" s="1">
        <v>1085337969</v>
      </c>
      <c r="F315" s="1" t="s">
        <v>99</v>
      </c>
      <c r="G315" s="1" t="s">
        <v>9</v>
      </c>
      <c r="H315" t="e">
        <f>VLOOKUP(C315,'[1]873'!$C$2:$C$711,1,0)</f>
        <v>#N/A</v>
      </c>
    </row>
    <row r="316" spans="1:8" ht="14.25" customHeight="1" x14ac:dyDescent="0.25">
      <c r="A316" s="3">
        <v>45513</v>
      </c>
      <c r="B316" s="41">
        <v>2024001393</v>
      </c>
      <c r="C316" s="1" t="s">
        <v>100</v>
      </c>
      <c r="D316" s="5">
        <v>2000000</v>
      </c>
      <c r="E316" s="1">
        <v>13070330</v>
      </c>
      <c r="F316" s="1" t="s">
        <v>101</v>
      </c>
      <c r="G316" s="1" t="s">
        <v>9</v>
      </c>
      <c r="H316" t="e">
        <f>VLOOKUP(C316,'[1]873'!$C$2:$C$711,1,0)</f>
        <v>#N/A</v>
      </c>
    </row>
    <row r="317" spans="1:8" ht="14.25" customHeight="1" x14ac:dyDescent="0.25">
      <c r="A317" s="3">
        <v>45513</v>
      </c>
      <c r="B317" s="41">
        <v>2024001394</v>
      </c>
      <c r="C317" s="1" t="s">
        <v>102</v>
      </c>
      <c r="D317" s="5">
        <v>2000000</v>
      </c>
      <c r="E317" s="1">
        <v>59813323</v>
      </c>
      <c r="F317" s="1" t="s">
        <v>103</v>
      </c>
      <c r="G317" s="1" t="s">
        <v>9</v>
      </c>
      <c r="H317" t="e">
        <f>VLOOKUP(C317,'[1]873'!$C$2:$C$711,1,0)</f>
        <v>#N/A</v>
      </c>
    </row>
    <row r="318" spans="1:8" ht="14.25" customHeight="1" x14ac:dyDescent="0.25">
      <c r="A318" s="3">
        <v>45513</v>
      </c>
      <c r="B318" s="41">
        <v>2024001395</v>
      </c>
      <c r="C318" s="1" t="s">
        <v>104</v>
      </c>
      <c r="D318" s="5">
        <v>4750000</v>
      </c>
      <c r="E318" s="1">
        <v>1085303067</v>
      </c>
      <c r="F318" s="1" t="s">
        <v>105</v>
      </c>
      <c r="G318" s="1" t="s">
        <v>9</v>
      </c>
      <c r="H318" t="e">
        <f>VLOOKUP(C318,'[1]873'!$C$2:$C$711,1,0)</f>
        <v>#N/A</v>
      </c>
    </row>
    <row r="319" spans="1:8" ht="14.25" customHeight="1" x14ac:dyDescent="0.25">
      <c r="A319" s="3">
        <v>45513</v>
      </c>
      <c r="B319" s="41">
        <v>2024001396</v>
      </c>
      <c r="C319" s="1" t="s">
        <v>106</v>
      </c>
      <c r="D319" s="5">
        <v>2000000</v>
      </c>
      <c r="E319" s="1">
        <v>36758143</v>
      </c>
      <c r="F319" s="1" t="s">
        <v>107</v>
      </c>
      <c r="G319" s="1" t="s">
        <v>9</v>
      </c>
      <c r="H319" t="e">
        <f>VLOOKUP(C319,'[1]873'!$C$2:$C$711,1,0)</f>
        <v>#N/A</v>
      </c>
    </row>
    <row r="320" spans="1:8" ht="14.25" customHeight="1" x14ac:dyDescent="0.25">
      <c r="A320" s="3">
        <v>45513</v>
      </c>
      <c r="B320" s="41">
        <v>2024001397</v>
      </c>
      <c r="C320" s="1" t="s">
        <v>108</v>
      </c>
      <c r="D320" s="5">
        <v>2000000</v>
      </c>
      <c r="E320" s="1">
        <v>1004232508</v>
      </c>
      <c r="F320" s="1" t="s">
        <v>109</v>
      </c>
      <c r="G320" s="1" t="s">
        <v>9</v>
      </c>
      <c r="H320" t="e">
        <f>VLOOKUP(C320,'[1]873'!$C$2:$C$711,1,0)</f>
        <v>#N/A</v>
      </c>
    </row>
    <row r="321" spans="1:8" ht="14.25" customHeight="1" x14ac:dyDescent="0.25">
      <c r="A321" s="3">
        <v>45513</v>
      </c>
      <c r="B321" s="41">
        <v>2024001398</v>
      </c>
      <c r="C321" s="1" t="s">
        <v>110</v>
      </c>
      <c r="D321" s="5">
        <v>2000000</v>
      </c>
      <c r="E321" s="1">
        <v>1085286725</v>
      </c>
      <c r="F321" s="1" t="s">
        <v>111</v>
      </c>
      <c r="G321" s="1" t="s">
        <v>9</v>
      </c>
      <c r="H321" t="e">
        <f>VLOOKUP(C321,'[1]873'!$C$2:$C$711,1,0)</f>
        <v>#N/A</v>
      </c>
    </row>
    <row r="322" spans="1:8" ht="14.25" customHeight="1" x14ac:dyDescent="0.25">
      <c r="A322" s="3">
        <v>45513</v>
      </c>
      <c r="B322" s="41">
        <v>2024001399</v>
      </c>
      <c r="C322" s="1" t="s">
        <v>112</v>
      </c>
      <c r="D322" s="5">
        <v>6000000</v>
      </c>
      <c r="E322" s="1">
        <v>1004213964</v>
      </c>
      <c r="F322" s="1" t="s">
        <v>113</v>
      </c>
      <c r="G322" s="1" t="s">
        <v>9</v>
      </c>
      <c r="H322" t="e">
        <f>VLOOKUP(C322,'[1]873'!$C$2:$C$711,1,0)</f>
        <v>#N/A</v>
      </c>
    </row>
    <row r="323" spans="1:8" ht="14.25" customHeight="1" x14ac:dyDescent="0.25">
      <c r="A323" s="3">
        <v>45513</v>
      </c>
      <c r="B323" s="41">
        <v>2024001400</v>
      </c>
      <c r="C323" s="1" t="s">
        <v>114</v>
      </c>
      <c r="D323" s="5">
        <v>2000000</v>
      </c>
      <c r="E323" s="1">
        <v>1085266584</v>
      </c>
      <c r="F323" s="1" t="s">
        <v>115</v>
      </c>
      <c r="G323" s="1" t="s">
        <v>9</v>
      </c>
      <c r="H323" t="e">
        <f>VLOOKUP(C323,'[1]873'!$C$2:$C$711,1,0)</f>
        <v>#N/A</v>
      </c>
    </row>
    <row r="324" spans="1:8" ht="14.25" customHeight="1" x14ac:dyDescent="0.25">
      <c r="A324" s="3">
        <v>45513</v>
      </c>
      <c r="B324" s="41">
        <v>2024001401</v>
      </c>
      <c r="C324" s="1" t="s">
        <v>116</v>
      </c>
      <c r="D324" s="5">
        <v>6000000</v>
      </c>
      <c r="E324" s="1">
        <v>1085275879</v>
      </c>
      <c r="F324" s="1" t="s">
        <v>117</v>
      </c>
      <c r="G324" s="1" t="s">
        <v>9</v>
      </c>
      <c r="H324" t="e">
        <f>VLOOKUP(C324,'[1]873'!$C$2:$C$711,1,0)</f>
        <v>#N/A</v>
      </c>
    </row>
    <row r="325" spans="1:8" ht="14.25" customHeight="1" x14ac:dyDescent="0.25">
      <c r="A325" s="3">
        <v>45513</v>
      </c>
      <c r="B325" s="41">
        <v>2024001402</v>
      </c>
      <c r="C325" s="1" t="s">
        <v>118</v>
      </c>
      <c r="D325" s="5">
        <v>2000000</v>
      </c>
      <c r="E325" s="1">
        <v>37084285</v>
      </c>
      <c r="F325" s="1" t="s">
        <v>119</v>
      </c>
      <c r="G325" s="1" t="s">
        <v>9</v>
      </c>
      <c r="H325" t="e">
        <f>VLOOKUP(C325,'[1]873'!$C$2:$C$711,1,0)</f>
        <v>#N/A</v>
      </c>
    </row>
    <row r="326" spans="1:8" ht="14.25" customHeight="1" x14ac:dyDescent="0.25">
      <c r="A326" s="3">
        <v>45513</v>
      </c>
      <c r="B326" s="41">
        <v>2024001403</v>
      </c>
      <c r="C326" s="1" t="s">
        <v>120</v>
      </c>
      <c r="D326" s="5">
        <v>2000000</v>
      </c>
      <c r="E326" s="1">
        <v>59834953</v>
      </c>
      <c r="F326" s="1" t="s">
        <v>121</v>
      </c>
      <c r="G326" s="1" t="s">
        <v>9</v>
      </c>
      <c r="H326" t="e">
        <f>VLOOKUP(C326,'[1]873'!$C$2:$C$711,1,0)</f>
        <v>#N/A</v>
      </c>
    </row>
    <row r="327" spans="1:8" ht="14.25" customHeight="1" x14ac:dyDescent="0.25">
      <c r="A327" s="3">
        <v>45516</v>
      </c>
      <c r="B327" s="41">
        <v>2024001404</v>
      </c>
      <c r="C327" s="1" t="s">
        <v>122</v>
      </c>
      <c r="D327" s="5">
        <v>2000000</v>
      </c>
      <c r="E327" s="1">
        <v>1004592366</v>
      </c>
      <c r="F327" s="1" t="s">
        <v>123</v>
      </c>
      <c r="G327" s="1" t="s">
        <v>9</v>
      </c>
      <c r="H327" t="e">
        <f>VLOOKUP(C327,'[1]873'!$C$2:$C$711,1,0)</f>
        <v>#N/A</v>
      </c>
    </row>
    <row r="328" spans="1:8" ht="14.25" customHeight="1" x14ac:dyDescent="0.25">
      <c r="A328" s="3">
        <v>45516</v>
      </c>
      <c r="B328" s="41">
        <v>2024001405</v>
      </c>
      <c r="C328" s="1" t="s">
        <v>124</v>
      </c>
      <c r="D328" s="5">
        <v>6000000</v>
      </c>
      <c r="E328" s="1">
        <v>36951002</v>
      </c>
      <c r="F328" s="1" t="s">
        <v>125</v>
      </c>
      <c r="G328" s="1" t="s">
        <v>9</v>
      </c>
      <c r="H328" t="e">
        <f>VLOOKUP(C328,'[1]873'!$C$2:$C$711,1,0)</f>
        <v>#N/A</v>
      </c>
    </row>
    <row r="329" spans="1:8" ht="14.25" customHeight="1" x14ac:dyDescent="0.25">
      <c r="A329" s="3">
        <v>45516</v>
      </c>
      <c r="B329" s="41">
        <v>2024001406</v>
      </c>
      <c r="C329" s="1" t="s">
        <v>126</v>
      </c>
      <c r="D329" s="5">
        <v>4750000</v>
      </c>
      <c r="E329" s="1">
        <v>59312865</v>
      </c>
      <c r="F329" s="1" t="s">
        <v>127</v>
      </c>
      <c r="G329" s="1" t="s">
        <v>9</v>
      </c>
      <c r="H329" t="e">
        <f>VLOOKUP(C329,'[1]873'!$C$2:$C$711,1,0)</f>
        <v>#N/A</v>
      </c>
    </row>
    <row r="330" spans="1:8" ht="14.25" customHeight="1" x14ac:dyDescent="0.25">
      <c r="A330" s="3">
        <v>45516</v>
      </c>
      <c r="B330" s="41">
        <v>2024001407</v>
      </c>
      <c r="C330" s="1" t="s">
        <v>128</v>
      </c>
      <c r="D330" s="5">
        <v>4825600</v>
      </c>
      <c r="E330" s="1">
        <v>59310145</v>
      </c>
      <c r="F330" s="1" t="s">
        <v>129</v>
      </c>
      <c r="G330" s="1" t="s">
        <v>9</v>
      </c>
      <c r="H330" t="e">
        <f>VLOOKUP(C330,'[1]873'!$C$2:$C$711,1,0)</f>
        <v>#N/A</v>
      </c>
    </row>
    <row r="331" spans="1:8" ht="14.25" customHeight="1" x14ac:dyDescent="0.25">
      <c r="A331" s="3">
        <v>45516</v>
      </c>
      <c r="B331" s="41">
        <v>2024001408</v>
      </c>
      <c r="C331" s="1" t="s">
        <v>130</v>
      </c>
      <c r="D331" s="5">
        <v>4825600</v>
      </c>
      <c r="E331" s="1">
        <v>1087643211</v>
      </c>
      <c r="F331" s="1" t="s">
        <v>131</v>
      </c>
      <c r="G331" s="1" t="s">
        <v>9</v>
      </c>
      <c r="H331" t="e">
        <f>VLOOKUP(C331,'[1]873'!$C$2:$C$711,1,0)</f>
        <v>#N/A</v>
      </c>
    </row>
    <row r="332" spans="1:8" ht="14.25" customHeight="1" x14ac:dyDescent="0.25">
      <c r="A332" s="3">
        <v>45516</v>
      </c>
      <c r="B332" s="41">
        <v>2024001409</v>
      </c>
      <c r="C332" s="1" t="s">
        <v>132</v>
      </c>
      <c r="D332" s="5">
        <v>4825600</v>
      </c>
      <c r="E332" s="1">
        <v>87062845</v>
      </c>
      <c r="F332" s="1" t="s">
        <v>133</v>
      </c>
      <c r="G332" s="1" t="s">
        <v>9</v>
      </c>
      <c r="H332" t="e">
        <f>VLOOKUP(C332,'[1]873'!$C$2:$C$711,1,0)</f>
        <v>#N/A</v>
      </c>
    </row>
    <row r="333" spans="1:8" ht="14.25" customHeight="1" x14ac:dyDescent="0.25">
      <c r="A333" s="3">
        <v>45516</v>
      </c>
      <c r="B333" s="41">
        <v>2024001410</v>
      </c>
      <c r="C333" s="1" t="s">
        <v>134</v>
      </c>
      <c r="D333" s="5">
        <v>4750000</v>
      </c>
      <c r="E333" s="1">
        <v>59821282</v>
      </c>
      <c r="F333" s="1" t="s">
        <v>135</v>
      </c>
      <c r="G333" s="1" t="s">
        <v>9</v>
      </c>
      <c r="H333" t="e">
        <f>VLOOKUP(C333,'[1]873'!$C$2:$C$711,1,0)</f>
        <v>#N/A</v>
      </c>
    </row>
    <row r="334" spans="1:8" ht="14.25" customHeight="1" x14ac:dyDescent="0.25">
      <c r="A334" s="3">
        <v>45516</v>
      </c>
      <c r="B334" s="41">
        <v>2024001411</v>
      </c>
      <c r="C334" s="1" t="s">
        <v>136</v>
      </c>
      <c r="D334" s="5">
        <v>7500000</v>
      </c>
      <c r="E334" s="1">
        <v>1151934571</v>
      </c>
      <c r="F334" s="1" t="s">
        <v>137</v>
      </c>
      <c r="G334" s="1" t="s">
        <v>9</v>
      </c>
      <c r="H334" t="e">
        <f>VLOOKUP(C334,'[1]873'!$C$2:$C$711,1,0)</f>
        <v>#N/A</v>
      </c>
    </row>
    <row r="335" spans="1:8" ht="14.25" customHeight="1" x14ac:dyDescent="0.25">
      <c r="A335" s="3">
        <v>45516</v>
      </c>
      <c r="B335" s="41">
        <v>2024001412</v>
      </c>
      <c r="C335" s="1" t="s">
        <v>138</v>
      </c>
      <c r="D335" s="5">
        <v>2000000</v>
      </c>
      <c r="E335" s="1">
        <v>1085295383</v>
      </c>
      <c r="F335" s="1" t="s">
        <v>139</v>
      </c>
      <c r="G335" s="1" t="s">
        <v>9</v>
      </c>
      <c r="H335" t="e">
        <f>VLOOKUP(C335,'[1]873'!$C$2:$C$711,1,0)</f>
        <v>#N/A</v>
      </c>
    </row>
    <row r="336" spans="1:8" ht="14.25" customHeight="1" x14ac:dyDescent="0.25">
      <c r="A336" s="3">
        <v>45516</v>
      </c>
      <c r="B336" s="41">
        <v>2024001413</v>
      </c>
      <c r="C336" s="1" t="s">
        <v>140</v>
      </c>
      <c r="D336" s="5">
        <v>4825600</v>
      </c>
      <c r="E336" s="1">
        <v>59314451</v>
      </c>
      <c r="F336" s="1" t="s">
        <v>141</v>
      </c>
      <c r="G336" s="1" t="s">
        <v>9</v>
      </c>
      <c r="H336" t="e">
        <f>VLOOKUP(C336,'[1]873'!$C$2:$C$711,1,0)</f>
        <v>#N/A</v>
      </c>
    </row>
    <row r="337" spans="1:8" ht="14.25" customHeight="1" x14ac:dyDescent="0.25">
      <c r="A337" s="3">
        <v>45517</v>
      </c>
      <c r="B337" s="41">
        <v>2024001435</v>
      </c>
      <c r="C337" s="1" t="s">
        <v>164</v>
      </c>
      <c r="D337" s="14">
        <v>120050000</v>
      </c>
      <c r="E337" s="1">
        <v>900633448</v>
      </c>
      <c r="F337" s="1" t="s">
        <v>165</v>
      </c>
      <c r="G337" s="1" t="s">
        <v>9</v>
      </c>
      <c r="H337" t="e">
        <f>VLOOKUP(C337,'[1]873'!$C$2:$C$711,1,0)</f>
        <v>#N/A</v>
      </c>
    </row>
    <row r="338" spans="1:8" ht="14.25" customHeight="1" x14ac:dyDescent="0.25">
      <c r="A338" s="3">
        <v>45517</v>
      </c>
      <c r="B338" s="41">
        <v>2024001441</v>
      </c>
      <c r="C338" s="1" t="s">
        <v>142</v>
      </c>
      <c r="D338" s="5">
        <v>6000000</v>
      </c>
      <c r="E338" s="1">
        <v>1085254626</v>
      </c>
      <c r="F338" s="1" t="s">
        <v>143</v>
      </c>
      <c r="G338" s="1" t="s">
        <v>9</v>
      </c>
      <c r="H338" t="e">
        <f>VLOOKUP(C338,'[1]873'!$C$2:$C$711,1,0)</f>
        <v>#N/A</v>
      </c>
    </row>
    <row r="339" spans="1:8" ht="14.25" customHeight="1" x14ac:dyDescent="0.25">
      <c r="A339" s="3">
        <v>45517</v>
      </c>
      <c r="B339" s="41">
        <v>2024001442</v>
      </c>
      <c r="C339" s="1" t="s">
        <v>144</v>
      </c>
      <c r="D339" s="5">
        <v>6000000</v>
      </c>
      <c r="E339" s="1">
        <v>59837608</v>
      </c>
      <c r="F339" s="1" t="s">
        <v>145</v>
      </c>
      <c r="G339" s="1" t="s">
        <v>9</v>
      </c>
      <c r="H339" t="e">
        <f>VLOOKUP(C339,'[1]873'!$C$2:$C$711,1,0)</f>
        <v>#N/A</v>
      </c>
    </row>
    <row r="340" spans="1:8" ht="14.25" customHeight="1" x14ac:dyDescent="0.25">
      <c r="A340" s="3">
        <v>45517</v>
      </c>
      <c r="B340" s="41">
        <v>2024001443</v>
      </c>
      <c r="C340" s="1" t="s">
        <v>146</v>
      </c>
      <c r="D340" s="5">
        <v>2000000</v>
      </c>
      <c r="E340" s="1">
        <v>1085255972</v>
      </c>
      <c r="F340" s="1" t="s">
        <v>147</v>
      </c>
      <c r="G340" s="1" t="s">
        <v>9</v>
      </c>
      <c r="H340" t="e">
        <f>VLOOKUP(C340,'[1]873'!$C$2:$C$711,1,0)</f>
        <v>#N/A</v>
      </c>
    </row>
    <row r="341" spans="1:8" ht="14.25" customHeight="1" x14ac:dyDescent="0.25">
      <c r="A341" s="3">
        <v>45517</v>
      </c>
      <c r="B341" s="41">
        <v>2024001444</v>
      </c>
      <c r="C341" s="1" t="s">
        <v>148</v>
      </c>
      <c r="D341" s="5">
        <v>2000000</v>
      </c>
      <c r="E341" s="1">
        <v>1085339190</v>
      </c>
      <c r="F341" s="1" t="s">
        <v>149</v>
      </c>
      <c r="G341" s="1" t="s">
        <v>9</v>
      </c>
      <c r="H341" t="e">
        <f>VLOOKUP(C341,'[1]873'!$C$2:$C$711,1,0)</f>
        <v>#N/A</v>
      </c>
    </row>
    <row r="342" spans="1:8" ht="14.25" customHeight="1" x14ac:dyDescent="0.25">
      <c r="A342" s="3">
        <v>45517</v>
      </c>
      <c r="B342" s="41">
        <v>2024001445</v>
      </c>
      <c r="C342" s="1" t="s">
        <v>150</v>
      </c>
      <c r="D342" s="5">
        <v>4750000</v>
      </c>
      <c r="E342" s="1">
        <v>59824313</v>
      </c>
      <c r="F342" s="1" t="s">
        <v>151</v>
      </c>
      <c r="G342" s="1" t="s">
        <v>9</v>
      </c>
      <c r="H342" t="e">
        <f>VLOOKUP(C342,'[1]873'!$C$2:$C$711,1,0)</f>
        <v>#N/A</v>
      </c>
    </row>
    <row r="343" spans="1:8" ht="14.25" customHeight="1" x14ac:dyDescent="0.25">
      <c r="A343" s="3">
        <v>45517</v>
      </c>
      <c r="B343" s="41">
        <v>2024001446</v>
      </c>
      <c r="C343" s="1" t="s">
        <v>152</v>
      </c>
      <c r="D343" s="5">
        <v>2000000</v>
      </c>
      <c r="E343" s="1">
        <v>1144206777</v>
      </c>
      <c r="F343" s="1" t="s">
        <v>153</v>
      </c>
      <c r="G343" s="1" t="s">
        <v>9</v>
      </c>
      <c r="H343" t="e">
        <f>VLOOKUP(C343,'[1]873'!$C$2:$C$711,1,0)</f>
        <v>#N/A</v>
      </c>
    </row>
    <row r="344" spans="1:8" ht="14.25" customHeight="1" x14ac:dyDescent="0.25">
      <c r="A344" s="3">
        <v>45517</v>
      </c>
      <c r="B344" s="41">
        <v>2024001447</v>
      </c>
      <c r="C344" s="1" t="s">
        <v>154</v>
      </c>
      <c r="D344" s="5">
        <v>4750000</v>
      </c>
      <c r="E344" s="1">
        <v>1085293619</v>
      </c>
      <c r="F344" s="1" t="s">
        <v>155</v>
      </c>
      <c r="G344" s="1" t="s">
        <v>9</v>
      </c>
      <c r="H344" t="e">
        <f>VLOOKUP(C344,'[1]873'!$C$2:$C$711,1,0)</f>
        <v>#N/A</v>
      </c>
    </row>
    <row r="345" spans="1:8" ht="14.25" customHeight="1" x14ac:dyDescent="0.25">
      <c r="A345" s="3">
        <v>45517</v>
      </c>
      <c r="B345" s="41">
        <v>2024001448</v>
      </c>
      <c r="C345" s="1" t="s">
        <v>156</v>
      </c>
      <c r="D345" s="5">
        <v>7500000</v>
      </c>
      <c r="E345" s="1">
        <v>12961661</v>
      </c>
      <c r="F345" s="1" t="s">
        <v>157</v>
      </c>
      <c r="G345" s="1" t="s">
        <v>9</v>
      </c>
      <c r="H345" t="e">
        <f>VLOOKUP(C345,'[1]873'!$C$2:$C$711,1,0)</f>
        <v>#N/A</v>
      </c>
    </row>
    <row r="346" spans="1:8" ht="14.25" customHeight="1" x14ac:dyDescent="0.25">
      <c r="A346" s="3">
        <v>45517</v>
      </c>
      <c r="B346" s="41">
        <v>2024001449</v>
      </c>
      <c r="C346" s="1" t="s">
        <v>158</v>
      </c>
      <c r="D346" s="5">
        <v>7500000</v>
      </c>
      <c r="E346" s="1">
        <v>37087120</v>
      </c>
      <c r="F346" s="1" t="s">
        <v>159</v>
      </c>
      <c r="G346" s="1" t="s">
        <v>9</v>
      </c>
      <c r="H346" t="e">
        <f>VLOOKUP(C346,'[1]873'!$C$2:$C$711,1,0)</f>
        <v>#N/A</v>
      </c>
    </row>
    <row r="347" spans="1:8" ht="14.25" customHeight="1" x14ac:dyDescent="0.25">
      <c r="A347" s="3">
        <v>45517</v>
      </c>
      <c r="B347" s="41">
        <v>2024001450</v>
      </c>
      <c r="C347" s="1" t="s">
        <v>160</v>
      </c>
      <c r="D347" s="5">
        <v>7500000</v>
      </c>
      <c r="E347" s="1">
        <v>1085304670</v>
      </c>
      <c r="F347" s="1" t="s">
        <v>161</v>
      </c>
      <c r="G347" s="1" t="s">
        <v>9</v>
      </c>
      <c r="H347" t="e">
        <f>VLOOKUP(C347,'[1]873'!$C$2:$C$711,1,0)</f>
        <v>#N/A</v>
      </c>
    </row>
    <row r="348" spans="1:8" ht="14.25" customHeight="1" x14ac:dyDescent="0.25">
      <c r="A348" s="3">
        <v>45517</v>
      </c>
      <c r="B348" s="41">
        <v>2024001451</v>
      </c>
      <c r="C348" s="1" t="s">
        <v>162</v>
      </c>
      <c r="D348" s="5">
        <v>7500000</v>
      </c>
      <c r="E348" s="1">
        <v>1193202097</v>
      </c>
      <c r="F348" s="1" t="s">
        <v>163</v>
      </c>
      <c r="G348" s="1" t="s">
        <v>9</v>
      </c>
      <c r="H348" t="e">
        <f>VLOOKUP(C348,'[1]873'!$C$2:$C$711,1,0)</f>
        <v>#N/A</v>
      </c>
    </row>
    <row r="349" spans="1:8" ht="14.25" customHeight="1" x14ac:dyDescent="0.25">
      <c r="A349" s="3">
        <v>45517</v>
      </c>
      <c r="B349" s="41">
        <v>2024001452</v>
      </c>
      <c r="C349" s="1" t="s">
        <v>20</v>
      </c>
      <c r="D349" s="5">
        <v>7500000</v>
      </c>
      <c r="E349" s="1">
        <v>1089244511</v>
      </c>
      <c r="F349" s="1" t="s">
        <v>21</v>
      </c>
      <c r="G349" s="1" t="s">
        <v>9</v>
      </c>
      <c r="H349" t="e">
        <f>VLOOKUP(C349,'[1]873'!$C$2:$C$711,1,0)</f>
        <v>#N/A</v>
      </c>
    </row>
    <row r="350" spans="1:8" ht="14.25" customHeight="1" x14ac:dyDescent="0.25">
      <c r="A350" s="3">
        <v>45518</v>
      </c>
      <c r="B350" s="41">
        <v>2024001456</v>
      </c>
      <c r="C350" s="1" t="s">
        <v>166</v>
      </c>
      <c r="D350" s="5">
        <v>2000000</v>
      </c>
      <c r="E350" s="1">
        <v>1081052552</v>
      </c>
      <c r="F350" s="1" t="s">
        <v>167</v>
      </c>
      <c r="G350" s="1" t="s">
        <v>9</v>
      </c>
      <c r="H350" t="e">
        <f>VLOOKUP(C350,'[1]873'!$C$2:$C$711,1,0)</f>
        <v>#N/A</v>
      </c>
    </row>
    <row r="351" spans="1:8" ht="14.25" customHeight="1" x14ac:dyDescent="0.25">
      <c r="A351" s="3">
        <v>45518</v>
      </c>
      <c r="B351" s="41">
        <v>2024001457</v>
      </c>
      <c r="C351" s="1" t="s">
        <v>168</v>
      </c>
      <c r="D351" s="5">
        <v>4750000</v>
      </c>
      <c r="E351" s="1">
        <v>1085273424</v>
      </c>
      <c r="F351" s="1" t="s">
        <v>169</v>
      </c>
      <c r="G351" s="1" t="s">
        <v>9</v>
      </c>
      <c r="H351" t="e">
        <f>VLOOKUP(C351,'[1]873'!$C$2:$C$711,1,0)</f>
        <v>#N/A</v>
      </c>
    </row>
    <row r="352" spans="1:8" ht="14.25" customHeight="1" x14ac:dyDescent="0.25">
      <c r="A352" s="3">
        <v>45518</v>
      </c>
      <c r="B352" s="41">
        <v>2024001458</v>
      </c>
      <c r="C352" s="1" t="s">
        <v>170</v>
      </c>
      <c r="D352" s="5">
        <v>2000000</v>
      </c>
      <c r="E352" s="1">
        <v>69028150</v>
      </c>
      <c r="F352" s="1" t="s">
        <v>171</v>
      </c>
      <c r="G352" s="1" t="s">
        <v>9</v>
      </c>
      <c r="H352" t="e">
        <f>VLOOKUP(C352,'[1]873'!$C$2:$C$711,1,0)</f>
        <v>#N/A</v>
      </c>
    </row>
    <row r="353" spans="1:8" ht="14.25" customHeight="1" x14ac:dyDescent="0.25">
      <c r="A353" s="3">
        <v>45518</v>
      </c>
      <c r="B353" s="41">
        <v>2024001459</v>
      </c>
      <c r="C353" s="1" t="s">
        <v>172</v>
      </c>
      <c r="D353" s="5">
        <v>2000000</v>
      </c>
      <c r="E353" s="1">
        <v>59833702</v>
      </c>
      <c r="F353" s="1" t="s">
        <v>173</v>
      </c>
      <c r="G353" s="1" t="s">
        <v>9</v>
      </c>
      <c r="H353" t="e">
        <f>VLOOKUP(C353,'[1]873'!$C$2:$C$711,1,0)</f>
        <v>#N/A</v>
      </c>
    </row>
    <row r="354" spans="1:8" ht="14.25" customHeight="1" x14ac:dyDescent="0.25">
      <c r="A354" s="3">
        <v>45518</v>
      </c>
      <c r="B354" s="41">
        <v>2024001460</v>
      </c>
      <c r="C354" s="1" t="s">
        <v>174</v>
      </c>
      <c r="D354" s="5">
        <v>4825600</v>
      </c>
      <c r="E354" s="1">
        <v>1085283723</v>
      </c>
      <c r="F354" s="1" t="s">
        <v>175</v>
      </c>
      <c r="G354" s="1" t="s">
        <v>9</v>
      </c>
      <c r="H354" t="e">
        <f>VLOOKUP(C354,'[1]873'!$C$2:$C$711,1,0)</f>
        <v>#N/A</v>
      </c>
    </row>
    <row r="355" spans="1:8" ht="14.25" customHeight="1" x14ac:dyDescent="0.25">
      <c r="A355" s="3">
        <v>45518</v>
      </c>
      <c r="B355" s="41">
        <v>2024001463</v>
      </c>
      <c r="C355" s="1" t="s">
        <v>24</v>
      </c>
      <c r="D355" s="5">
        <v>6000000</v>
      </c>
      <c r="E355" s="1">
        <v>37013610</v>
      </c>
      <c r="F355" s="1" t="s">
        <v>25</v>
      </c>
      <c r="G355" s="1" t="s">
        <v>9</v>
      </c>
      <c r="H355" t="e">
        <f>VLOOKUP(C355,'[1]873'!$C$2:$C$711,1,0)</f>
        <v>#N/A</v>
      </c>
    </row>
    <row r="356" spans="1:8" ht="14.25" customHeight="1" x14ac:dyDescent="0.25">
      <c r="A356" s="3">
        <v>45518</v>
      </c>
      <c r="B356" s="41">
        <v>2024001464</v>
      </c>
      <c r="C356" s="1" t="s">
        <v>176</v>
      </c>
      <c r="D356" s="5">
        <v>4825600</v>
      </c>
      <c r="E356" s="1">
        <v>27087851</v>
      </c>
      <c r="F356" s="1" t="s">
        <v>177</v>
      </c>
      <c r="G356" s="1" t="s">
        <v>9</v>
      </c>
      <c r="H356" t="e">
        <f>VLOOKUP(C356,'[1]873'!$C$2:$C$711,1,0)</f>
        <v>#N/A</v>
      </c>
    </row>
    <row r="357" spans="1:8" ht="14.25" customHeight="1" x14ac:dyDescent="0.25">
      <c r="A357" s="3">
        <v>45518</v>
      </c>
      <c r="B357" s="41">
        <v>2024001465</v>
      </c>
      <c r="C357" s="1" t="s">
        <v>178</v>
      </c>
      <c r="D357" s="5">
        <v>2000000</v>
      </c>
      <c r="E357" s="1">
        <v>1085250095</v>
      </c>
      <c r="F357" s="1" t="s">
        <v>179</v>
      </c>
      <c r="G357" s="1" t="s">
        <v>9</v>
      </c>
      <c r="H357" t="e">
        <f>VLOOKUP(C357,'[1]873'!$C$2:$C$711,1,0)</f>
        <v>#N/A</v>
      </c>
    </row>
    <row r="358" spans="1:8" ht="14.25" customHeight="1" x14ac:dyDescent="0.25">
      <c r="A358" s="3">
        <v>45518</v>
      </c>
      <c r="B358" s="41">
        <v>2024001466</v>
      </c>
      <c r="C358" s="1" t="s">
        <v>180</v>
      </c>
      <c r="D358" s="5">
        <v>2000000</v>
      </c>
      <c r="E358" s="1">
        <v>59828916</v>
      </c>
      <c r="F358" s="1" t="s">
        <v>181</v>
      </c>
      <c r="G358" s="1" t="s">
        <v>9</v>
      </c>
      <c r="H358" t="e">
        <f>VLOOKUP(C358,'[1]873'!$C$2:$C$711,1,0)</f>
        <v>#N/A</v>
      </c>
    </row>
    <row r="359" spans="1:8" ht="14.25" customHeight="1" x14ac:dyDescent="0.25">
      <c r="A359" s="3">
        <v>45518</v>
      </c>
      <c r="B359" s="41">
        <v>2024001467</v>
      </c>
      <c r="C359" s="1" t="s">
        <v>182</v>
      </c>
      <c r="D359" s="5">
        <v>2000000</v>
      </c>
      <c r="E359" s="1">
        <v>98382500</v>
      </c>
      <c r="F359" s="1" t="s">
        <v>183</v>
      </c>
      <c r="G359" s="1" t="s">
        <v>9</v>
      </c>
      <c r="H359" t="e">
        <f>VLOOKUP(C359,'[1]873'!$C$2:$C$711,1,0)</f>
        <v>#N/A</v>
      </c>
    </row>
    <row r="360" spans="1:8" ht="14.25" customHeight="1" x14ac:dyDescent="0.25">
      <c r="A360" s="3">
        <v>45519</v>
      </c>
      <c r="B360" s="41">
        <v>2024001483</v>
      </c>
      <c r="C360" s="1" t="s">
        <v>184</v>
      </c>
      <c r="D360" s="5">
        <v>2000000</v>
      </c>
      <c r="E360" s="1">
        <v>87070661</v>
      </c>
      <c r="F360" s="1" t="s">
        <v>185</v>
      </c>
      <c r="G360" s="1" t="s">
        <v>9</v>
      </c>
      <c r="H360" t="e">
        <f>VLOOKUP(C360,'[1]873'!$C$2:$C$711,1,0)</f>
        <v>#N/A</v>
      </c>
    </row>
    <row r="361" spans="1:8" ht="14.25" customHeight="1" x14ac:dyDescent="0.25">
      <c r="A361" s="3">
        <v>45519</v>
      </c>
      <c r="B361" s="41">
        <v>2024001484</v>
      </c>
      <c r="C361" s="1" t="s">
        <v>186</v>
      </c>
      <c r="D361" s="5">
        <v>2000000</v>
      </c>
      <c r="E361" s="1">
        <v>1085296353</v>
      </c>
      <c r="F361" s="1" t="s">
        <v>187</v>
      </c>
      <c r="G361" s="1" t="s">
        <v>9</v>
      </c>
      <c r="H361" t="e">
        <f>VLOOKUP(C361,'[1]873'!$C$2:$C$711,1,0)</f>
        <v>#N/A</v>
      </c>
    </row>
    <row r="362" spans="1:8" ht="14.25" customHeight="1" x14ac:dyDescent="0.25">
      <c r="A362" s="3">
        <v>45519</v>
      </c>
      <c r="B362" s="41">
        <v>2024001485</v>
      </c>
      <c r="C362" s="1" t="s">
        <v>18</v>
      </c>
      <c r="D362" s="5">
        <v>6000000</v>
      </c>
      <c r="E362" s="1">
        <v>1089242085</v>
      </c>
      <c r="F362" s="1" t="s">
        <v>19</v>
      </c>
      <c r="G362" s="1" t="s">
        <v>9</v>
      </c>
      <c r="H362" t="e">
        <f>VLOOKUP(C362,'[1]873'!$C$2:$C$711,1,0)</f>
        <v>#N/A</v>
      </c>
    </row>
    <row r="363" spans="1:8" ht="14.25" customHeight="1" x14ac:dyDescent="0.25">
      <c r="A363" s="3">
        <v>45519</v>
      </c>
      <c r="B363" s="41">
        <v>2024001486</v>
      </c>
      <c r="C363" s="1" t="s">
        <v>188</v>
      </c>
      <c r="D363" s="5">
        <v>2000000</v>
      </c>
      <c r="E363" s="1">
        <v>1081595853</v>
      </c>
      <c r="F363" s="1" t="s">
        <v>189</v>
      </c>
      <c r="G363" s="1" t="s">
        <v>9</v>
      </c>
      <c r="H363" t="e">
        <f>VLOOKUP(C363,'[1]873'!$C$2:$C$711,1,0)</f>
        <v>#N/A</v>
      </c>
    </row>
    <row r="364" spans="1:8" ht="14.25" customHeight="1" x14ac:dyDescent="0.25">
      <c r="A364" s="3">
        <v>45519</v>
      </c>
      <c r="B364" s="41">
        <v>2024001487</v>
      </c>
      <c r="C364" s="1" t="s">
        <v>190</v>
      </c>
      <c r="D364" s="5">
        <v>2000000</v>
      </c>
      <c r="E364" s="1">
        <v>1193218691</v>
      </c>
      <c r="F364" s="1" t="s">
        <v>191</v>
      </c>
      <c r="G364" s="1" t="s">
        <v>9</v>
      </c>
      <c r="H364" t="e">
        <f>VLOOKUP(C364,'[1]873'!$C$2:$C$711,1,0)</f>
        <v>#N/A</v>
      </c>
    </row>
    <row r="365" spans="1:8" ht="14.25" customHeight="1" x14ac:dyDescent="0.25">
      <c r="A365" s="3">
        <v>45519</v>
      </c>
      <c r="B365" s="41">
        <v>2024001488</v>
      </c>
      <c r="C365" s="1" t="s">
        <v>192</v>
      </c>
      <c r="D365" s="5">
        <v>7500000</v>
      </c>
      <c r="E365" s="1">
        <v>1126004086</v>
      </c>
      <c r="F365" s="1" t="s">
        <v>193</v>
      </c>
      <c r="G365" s="1" t="s">
        <v>9</v>
      </c>
      <c r="H365" t="e">
        <f>VLOOKUP(C365,'[1]873'!$C$2:$C$711,1,0)</f>
        <v>#N/A</v>
      </c>
    </row>
    <row r="366" spans="1:8" ht="14.25" customHeight="1" x14ac:dyDescent="0.25">
      <c r="A366" s="3">
        <v>45525</v>
      </c>
      <c r="B366" s="41">
        <v>2024001495</v>
      </c>
      <c r="C366" s="1" t="s">
        <v>194</v>
      </c>
      <c r="D366" s="5">
        <v>2000000</v>
      </c>
      <c r="E366" s="1">
        <v>1085316191</v>
      </c>
      <c r="F366" s="1" t="s">
        <v>195</v>
      </c>
      <c r="G366" s="1" t="s">
        <v>9</v>
      </c>
      <c r="H366" t="e">
        <f>VLOOKUP(C366,'[1]873'!$C$2:$C$711,1,0)</f>
        <v>#N/A</v>
      </c>
    </row>
    <row r="367" spans="1:8" ht="14.25" customHeight="1" x14ac:dyDescent="0.25">
      <c r="A367" s="3">
        <v>45525</v>
      </c>
      <c r="B367" s="41">
        <v>2024001496</v>
      </c>
      <c r="C367" s="1" t="s">
        <v>196</v>
      </c>
      <c r="D367" s="5">
        <v>2000000</v>
      </c>
      <c r="E367" s="1">
        <v>1089243630</v>
      </c>
      <c r="F367" s="1" t="s">
        <v>197</v>
      </c>
      <c r="G367" s="1" t="s">
        <v>9</v>
      </c>
      <c r="H367" t="e">
        <f>VLOOKUP(C367,'[1]873'!$C$2:$C$711,1,0)</f>
        <v>#N/A</v>
      </c>
    </row>
    <row r="368" spans="1:8" ht="14.25" customHeight="1" x14ac:dyDescent="0.25">
      <c r="A368" s="3">
        <v>45525</v>
      </c>
      <c r="B368" s="41">
        <v>2024001498</v>
      </c>
      <c r="C368" s="1" t="s">
        <v>198</v>
      </c>
      <c r="D368" s="5">
        <v>2000000</v>
      </c>
      <c r="E368" s="1">
        <v>30737741</v>
      </c>
      <c r="F368" s="1" t="s">
        <v>199</v>
      </c>
      <c r="G368" s="1" t="s">
        <v>9</v>
      </c>
      <c r="H368" t="e">
        <f>VLOOKUP(C368,'[1]873'!$C$2:$C$711,1,0)</f>
        <v>#N/A</v>
      </c>
    </row>
    <row r="369" spans="1:8" ht="14.25" customHeight="1" x14ac:dyDescent="0.25">
      <c r="A369" s="3">
        <v>45525</v>
      </c>
      <c r="B369" s="41">
        <v>2024001500</v>
      </c>
      <c r="C369" s="1" t="s">
        <v>200</v>
      </c>
      <c r="D369" s="5">
        <v>2000000</v>
      </c>
      <c r="E369" s="1">
        <v>1085300095</v>
      </c>
      <c r="F369" s="1" t="s">
        <v>201</v>
      </c>
      <c r="G369" s="1" t="s">
        <v>9</v>
      </c>
      <c r="H369" t="e">
        <f>VLOOKUP(C369,'[1]873'!$C$2:$C$711,1,0)</f>
        <v>#N/A</v>
      </c>
    </row>
    <row r="370" spans="1:8" ht="14.25" customHeight="1" x14ac:dyDescent="0.25">
      <c r="A370" s="3">
        <v>45525</v>
      </c>
      <c r="B370" s="41">
        <v>2024001501</v>
      </c>
      <c r="C370" s="1" t="s">
        <v>202</v>
      </c>
      <c r="D370" s="5">
        <v>2000000</v>
      </c>
      <c r="E370" s="1">
        <v>27211504</v>
      </c>
      <c r="F370" s="1" t="s">
        <v>203</v>
      </c>
      <c r="G370" s="1" t="s">
        <v>9</v>
      </c>
      <c r="H370" t="e">
        <f>VLOOKUP(C370,'[1]873'!$C$2:$C$711,1,0)</f>
        <v>#N/A</v>
      </c>
    </row>
    <row r="371" spans="1:8" ht="14.25" customHeight="1" x14ac:dyDescent="0.25">
      <c r="A371" s="3">
        <v>45525</v>
      </c>
      <c r="B371" s="41">
        <v>2024001502</v>
      </c>
      <c r="C371" s="1" t="s">
        <v>204</v>
      </c>
      <c r="D371" s="5">
        <v>2000000</v>
      </c>
      <c r="E371" s="1">
        <v>13072447</v>
      </c>
      <c r="F371" s="1" t="s">
        <v>205</v>
      </c>
      <c r="G371" s="1" t="s">
        <v>9</v>
      </c>
      <c r="H371" t="e">
        <f>VLOOKUP(C371,'[1]873'!$C$2:$C$711,1,0)</f>
        <v>#N/A</v>
      </c>
    </row>
    <row r="372" spans="1:8" ht="14.25" customHeight="1" x14ac:dyDescent="0.25">
      <c r="A372" s="3">
        <v>45525</v>
      </c>
      <c r="B372" s="41">
        <v>2024001503</v>
      </c>
      <c r="C372" s="1" t="s">
        <v>206</v>
      </c>
      <c r="D372" s="5">
        <v>2000000</v>
      </c>
      <c r="E372" s="1">
        <v>1004135064</v>
      </c>
      <c r="F372" s="1" t="s">
        <v>207</v>
      </c>
      <c r="G372" s="1" t="s">
        <v>9</v>
      </c>
      <c r="H372" t="e">
        <f>VLOOKUP(C372,'[1]873'!$C$2:$C$711,1,0)</f>
        <v>#N/A</v>
      </c>
    </row>
    <row r="373" spans="1:8" ht="14.25" customHeight="1" x14ac:dyDescent="0.25">
      <c r="A373" s="3">
        <v>45525</v>
      </c>
      <c r="B373" s="41">
        <v>2024001504</v>
      </c>
      <c r="C373" s="1" t="s">
        <v>208</v>
      </c>
      <c r="D373" s="5">
        <v>2000000</v>
      </c>
      <c r="E373" s="1">
        <v>1010082397</v>
      </c>
      <c r="F373" s="1" t="s">
        <v>209</v>
      </c>
      <c r="G373" s="1" t="s">
        <v>9</v>
      </c>
      <c r="H373" t="e">
        <f>VLOOKUP(C373,'[1]873'!$C$2:$C$711,1,0)</f>
        <v>#N/A</v>
      </c>
    </row>
    <row r="374" spans="1:8" ht="14.25" customHeight="1" x14ac:dyDescent="0.25">
      <c r="A374" s="3">
        <v>45525</v>
      </c>
      <c r="B374" s="41">
        <v>2024001505</v>
      </c>
      <c r="C374" s="1" t="s">
        <v>32</v>
      </c>
      <c r="D374" s="5">
        <v>2000000</v>
      </c>
      <c r="E374" s="1">
        <v>1085252263</v>
      </c>
      <c r="F374" s="1" t="s">
        <v>33</v>
      </c>
      <c r="G374" s="1" t="s">
        <v>9</v>
      </c>
      <c r="H374" t="e">
        <f>VLOOKUP(C374,'[1]873'!$C$2:$C$711,1,0)</f>
        <v>#N/A</v>
      </c>
    </row>
    <row r="375" spans="1:8" ht="14.25" customHeight="1" x14ac:dyDescent="0.25">
      <c r="A375" s="3">
        <v>45525</v>
      </c>
      <c r="B375" s="41">
        <v>2024001506</v>
      </c>
      <c r="C375" s="1" t="s">
        <v>210</v>
      </c>
      <c r="D375" s="5">
        <v>2000000</v>
      </c>
      <c r="E375" s="1">
        <v>1080040858</v>
      </c>
      <c r="F375" s="1" t="s">
        <v>211</v>
      </c>
      <c r="G375" s="1" t="s">
        <v>9</v>
      </c>
      <c r="H375" t="e">
        <f>VLOOKUP(C375,'[1]873'!$C$2:$C$711,1,0)</f>
        <v>#N/A</v>
      </c>
    </row>
    <row r="376" spans="1:8" ht="14.25" customHeight="1" x14ac:dyDescent="0.25">
      <c r="A376" s="3">
        <v>45525</v>
      </c>
      <c r="B376" s="41">
        <v>2024001507</v>
      </c>
      <c r="C376" s="1" t="s">
        <v>212</v>
      </c>
      <c r="D376" s="5">
        <v>2000000</v>
      </c>
      <c r="E376" s="1">
        <v>5930737</v>
      </c>
      <c r="F376" s="1" t="s">
        <v>213</v>
      </c>
      <c r="G376" s="1" t="s">
        <v>9</v>
      </c>
      <c r="H376" t="e">
        <f>VLOOKUP(C376,'[1]873'!$C$2:$C$711,1,0)</f>
        <v>#N/A</v>
      </c>
    </row>
    <row r="377" spans="1:8" ht="14.25" customHeight="1" x14ac:dyDescent="0.25">
      <c r="A377" s="3">
        <v>45525</v>
      </c>
      <c r="B377" s="41">
        <v>2024001508</v>
      </c>
      <c r="C377" s="1" t="s">
        <v>214</v>
      </c>
      <c r="D377" s="5">
        <v>2000000</v>
      </c>
      <c r="E377" s="1">
        <v>1085327677</v>
      </c>
      <c r="F377" s="1" t="s">
        <v>215</v>
      </c>
      <c r="G377" s="1" t="s">
        <v>9</v>
      </c>
      <c r="H377" t="e">
        <f>VLOOKUP(C377,'[1]873'!$C$2:$C$711,1,0)</f>
        <v>#N/A</v>
      </c>
    </row>
    <row r="378" spans="1:8" ht="14.25" customHeight="1" x14ac:dyDescent="0.25">
      <c r="A378" s="3">
        <v>45525</v>
      </c>
      <c r="B378" s="41">
        <v>2024001509</v>
      </c>
      <c r="C378" s="1" t="s">
        <v>216</v>
      </c>
      <c r="D378" s="5">
        <v>6000000</v>
      </c>
      <c r="E378" s="1">
        <v>27109314</v>
      </c>
      <c r="F378" s="1" t="s">
        <v>217</v>
      </c>
      <c r="G378" s="1" t="s">
        <v>9</v>
      </c>
      <c r="H378" t="e">
        <f>VLOOKUP(C378,'[1]873'!$C$2:$C$711,1,0)</f>
        <v>#N/A</v>
      </c>
    </row>
    <row r="379" spans="1:8" ht="14.25" customHeight="1" x14ac:dyDescent="0.25">
      <c r="A379" s="3">
        <v>45525</v>
      </c>
      <c r="B379" s="41">
        <v>2024001510</v>
      </c>
      <c r="C379" s="1" t="s">
        <v>218</v>
      </c>
      <c r="D379" s="5">
        <v>2000000</v>
      </c>
      <c r="E379" s="1">
        <v>1010113730</v>
      </c>
      <c r="F379" s="1" t="s">
        <v>219</v>
      </c>
      <c r="G379" s="1" t="s">
        <v>9</v>
      </c>
      <c r="H379" t="e">
        <f>VLOOKUP(C379,'[1]873'!$C$2:$C$711,1,0)</f>
        <v>#N/A</v>
      </c>
    </row>
    <row r="380" spans="1:8" ht="14.25" customHeight="1" x14ac:dyDescent="0.25">
      <c r="A380" s="3">
        <v>45525</v>
      </c>
      <c r="B380" s="41">
        <v>2024001511</v>
      </c>
      <c r="C380" s="1" t="s">
        <v>220</v>
      </c>
      <c r="D380" s="5">
        <v>4750000</v>
      </c>
      <c r="E380" s="1">
        <v>1085345772</v>
      </c>
      <c r="F380" s="1" t="s">
        <v>221</v>
      </c>
      <c r="G380" s="1" t="s">
        <v>9</v>
      </c>
      <c r="H380" t="e">
        <f>VLOOKUP(C380,'[1]873'!$C$2:$C$711,1,0)</f>
        <v>#N/A</v>
      </c>
    </row>
    <row r="381" spans="1:8" ht="14.25" customHeight="1" x14ac:dyDescent="0.25">
      <c r="A381" s="3">
        <v>45525</v>
      </c>
      <c r="B381" s="41">
        <v>2024001512</v>
      </c>
      <c r="C381" s="1" t="s">
        <v>222</v>
      </c>
      <c r="D381" s="5">
        <v>4750000</v>
      </c>
      <c r="E381" s="1">
        <v>87060703</v>
      </c>
      <c r="F381" s="1" t="s">
        <v>223</v>
      </c>
      <c r="G381" s="1" t="s">
        <v>9</v>
      </c>
      <c r="H381" t="e">
        <f>VLOOKUP(C381,'[1]873'!$C$2:$C$711,1,0)</f>
        <v>#N/A</v>
      </c>
    </row>
    <row r="382" spans="1:8" ht="14.25" customHeight="1" x14ac:dyDescent="0.25">
      <c r="A382" s="3">
        <v>45525</v>
      </c>
      <c r="B382" s="41">
        <v>2024001513</v>
      </c>
      <c r="C382" s="1" t="s">
        <v>224</v>
      </c>
      <c r="D382" s="5">
        <v>2000000</v>
      </c>
      <c r="E382" s="1">
        <v>12750863</v>
      </c>
      <c r="F382" s="1" t="s">
        <v>225</v>
      </c>
      <c r="G382" s="1" t="s">
        <v>9</v>
      </c>
      <c r="H382" t="e">
        <f>VLOOKUP(C382,'[1]873'!$C$2:$C$711,1,0)</f>
        <v>#N/A</v>
      </c>
    </row>
    <row r="383" spans="1:8" ht="14.25" customHeight="1" x14ac:dyDescent="0.25">
      <c r="A383" s="3">
        <v>45525</v>
      </c>
      <c r="B383" s="41">
        <v>2024001514</v>
      </c>
      <c r="C383" s="1" t="s">
        <v>252</v>
      </c>
      <c r="D383" s="5">
        <v>4750000</v>
      </c>
      <c r="E383" s="1">
        <v>1087422930</v>
      </c>
      <c r="F383" s="1" t="s">
        <v>253</v>
      </c>
      <c r="G383" s="1" t="s">
        <v>9</v>
      </c>
      <c r="H383" t="e">
        <f>VLOOKUP(C383,'[1]873'!$C$2:$C$711,1,0)</f>
        <v>#N/A</v>
      </c>
    </row>
    <row r="384" spans="1:8" ht="14.25" customHeight="1" x14ac:dyDescent="0.25">
      <c r="A384" s="3">
        <v>45525</v>
      </c>
      <c r="B384" s="41">
        <v>2024001515</v>
      </c>
      <c r="C384" s="1" t="s">
        <v>226</v>
      </c>
      <c r="D384" s="5">
        <v>2000000</v>
      </c>
      <c r="E384" s="1">
        <v>1085338575</v>
      </c>
      <c r="F384" s="1" t="s">
        <v>227</v>
      </c>
      <c r="G384" s="1" t="s">
        <v>9</v>
      </c>
      <c r="H384" t="e">
        <f>VLOOKUP(C384,'[1]873'!$C$2:$C$711,1,0)</f>
        <v>#N/A</v>
      </c>
    </row>
    <row r="385" spans="1:8" ht="14.25" customHeight="1" x14ac:dyDescent="0.25">
      <c r="A385" s="3">
        <v>45525</v>
      </c>
      <c r="B385" s="41">
        <v>2024001516</v>
      </c>
      <c r="C385" s="1" t="s">
        <v>228</v>
      </c>
      <c r="D385" s="5">
        <v>2000000</v>
      </c>
      <c r="E385" s="1">
        <v>1193271854</v>
      </c>
      <c r="F385" s="1" t="s">
        <v>229</v>
      </c>
      <c r="G385" s="1" t="s">
        <v>9</v>
      </c>
      <c r="H385" t="e">
        <f>VLOOKUP(C385,'[1]873'!$C$2:$C$711,1,0)</f>
        <v>#N/A</v>
      </c>
    </row>
    <row r="386" spans="1:8" ht="14.25" customHeight="1" x14ac:dyDescent="0.25">
      <c r="A386" s="3">
        <v>45525</v>
      </c>
      <c r="B386" s="41">
        <v>2024001517</v>
      </c>
      <c r="C386" s="1" t="s">
        <v>230</v>
      </c>
      <c r="D386" s="5">
        <v>7500000</v>
      </c>
      <c r="E386" s="1">
        <v>1085335767</v>
      </c>
      <c r="F386" s="1" t="s">
        <v>231</v>
      </c>
      <c r="G386" s="1" t="s">
        <v>9</v>
      </c>
      <c r="H386" t="e">
        <f>VLOOKUP(C386,'[1]873'!$C$2:$C$711,1,0)</f>
        <v>#N/A</v>
      </c>
    </row>
    <row r="387" spans="1:8" ht="14.25" customHeight="1" x14ac:dyDescent="0.25">
      <c r="A387" s="3">
        <v>45525</v>
      </c>
      <c r="B387" s="41">
        <v>2024001518</v>
      </c>
      <c r="C387" s="1" t="s">
        <v>232</v>
      </c>
      <c r="D387" s="5">
        <v>2000000</v>
      </c>
      <c r="E387" s="1">
        <v>1014857280</v>
      </c>
      <c r="F387" s="1" t="s">
        <v>233</v>
      </c>
      <c r="G387" s="1" t="s">
        <v>9</v>
      </c>
      <c r="H387" t="e">
        <f>VLOOKUP(C387,'[1]873'!$C$2:$C$711,1,0)</f>
        <v>#N/A</v>
      </c>
    </row>
    <row r="388" spans="1:8" ht="14.25" customHeight="1" x14ac:dyDescent="0.25">
      <c r="A388" s="3">
        <v>45525</v>
      </c>
      <c r="B388" s="41">
        <v>2024001519</v>
      </c>
      <c r="C388" s="1" t="s">
        <v>234</v>
      </c>
      <c r="D388" s="5">
        <v>4750000</v>
      </c>
      <c r="E388" s="1">
        <v>1085318201</v>
      </c>
      <c r="F388" s="1" t="s">
        <v>235</v>
      </c>
      <c r="G388" s="1" t="s">
        <v>9</v>
      </c>
      <c r="H388" t="e">
        <f>VLOOKUP(C388,'[1]873'!$C$2:$C$711,1,0)</f>
        <v>#N/A</v>
      </c>
    </row>
    <row r="389" spans="1:8" ht="14.25" customHeight="1" x14ac:dyDescent="0.25">
      <c r="A389" s="3">
        <v>45525</v>
      </c>
      <c r="B389" s="41">
        <v>2024001520</v>
      </c>
      <c r="C389" s="1" t="s">
        <v>236</v>
      </c>
      <c r="D389" s="5">
        <v>2000000</v>
      </c>
      <c r="E389" s="1">
        <v>1004234290</v>
      </c>
      <c r="F389" s="1" t="s">
        <v>237</v>
      </c>
      <c r="G389" s="1" t="s">
        <v>9</v>
      </c>
      <c r="H389" t="e">
        <f>VLOOKUP(C389,'[1]873'!$C$2:$C$711,1,0)</f>
        <v>#N/A</v>
      </c>
    </row>
    <row r="390" spans="1:8" ht="14.25" customHeight="1" x14ac:dyDescent="0.25">
      <c r="A390" s="3">
        <v>45525</v>
      </c>
      <c r="B390" s="41">
        <v>2024001521</v>
      </c>
      <c r="C390" s="1" t="s">
        <v>238</v>
      </c>
      <c r="D390" s="5">
        <v>7500000</v>
      </c>
      <c r="E390" s="1">
        <v>1233189066</v>
      </c>
      <c r="F390" s="1" t="s">
        <v>239</v>
      </c>
      <c r="G390" s="1" t="s">
        <v>9</v>
      </c>
      <c r="H390" t="e">
        <f>VLOOKUP(C390,'[1]873'!$C$2:$C$711,1,0)</f>
        <v>#N/A</v>
      </c>
    </row>
    <row r="391" spans="1:8" ht="14.25" customHeight="1" x14ac:dyDescent="0.25">
      <c r="A391" s="3">
        <v>45525</v>
      </c>
      <c r="B391" s="41">
        <v>2024001522</v>
      </c>
      <c r="C391" s="1" t="s">
        <v>240</v>
      </c>
      <c r="D391" s="5">
        <v>4825600</v>
      </c>
      <c r="E391" s="1">
        <v>1085289739</v>
      </c>
      <c r="F391" s="1" t="s">
        <v>241</v>
      </c>
      <c r="G391" s="1" t="s">
        <v>9</v>
      </c>
      <c r="H391" t="e">
        <f>VLOOKUP(C391,'[1]873'!$C$2:$C$711,1,0)</f>
        <v>#N/A</v>
      </c>
    </row>
    <row r="392" spans="1:8" ht="14.25" customHeight="1" x14ac:dyDescent="0.25">
      <c r="A392" s="3">
        <v>45525</v>
      </c>
      <c r="B392" s="41">
        <v>2024001523</v>
      </c>
      <c r="C392" s="1" t="s">
        <v>242</v>
      </c>
      <c r="D392" s="5">
        <v>2000000</v>
      </c>
      <c r="E392" s="1">
        <v>1137624011</v>
      </c>
      <c r="F392" s="1" t="s">
        <v>243</v>
      </c>
      <c r="G392" s="1" t="s">
        <v>9</v>
      </c>
      <c r="H392" t="e">
        <f>VLOOKUP(C392,'[1]873'!$C$2:$C$711,1,0)</f>
        <v>#N/A</v>
      </c>
    </row>
    <row r="393" spans="1:8" ht="14.25" customHeight="1" x14ac:dyDescent="0.25">
      <c r="A393" s="3">
        <v>45525</v>
      </c>
      <c r="B393" s="41">
        <v>2024001524</v>
      </c>
      <c r="C393" s="1" t="s">
        <v>244</v>
      </c>
      <c r="D393" s="5">
        <v>4825600</v>
      </c>
      <c r="E393" s="1">
        <v>30732782</v>
      </c>
      <c r="F393" s="1" t="s">
        <v>245</v>
      </c>
      <c r="G393" s="1" t="s">
        <v>9</v>
      </c>
      <c r="H393" t="e">
        <f>VLOOKUP(C393,'[1]873'!$C$2:$C$711,1,0)</f>
        <v>#N/A</v>
      </c>
    </row>
    <row r="394" spans="1:8" ht="14.25" customHeight="1" x14ac:dyDescent="0.25">
      <c r="A394" s="3">
        <v>45525</v>
      </c>
      <c r="B394" s="41">
        <v>2024001525</v>
      </c>
      <c r="C394" s="1" t="s">
        <v>246</v>
      </c>
      <c r="D394" s="5">
        <v>4825600</v>
      </c>
      <c r="E394" s="1">
        <v>1085267184</v>
      </c>
      <c r="F394" s="1" t="s">
        <v>247</v>
      </c>
      <c r="G394" s="1" t="s">
        <v>9</v>
      </c>
      <c r="H394" t="e">
        <f>VLOOKUP(C394,'[1]873'!$C$2:$C$711,1,0)</f>
        <v>#N/A</v>
      </c>
    </row>
    <row r="395" spans="1:8" ht="14.25" customHeight="1" x14ac:dyDescent="0.25">
      <c r="A395" s="3">
        <v>45525</v>
      </c>
      <c r="B395" s="41">
        <v>2024001526</v>
      </c>
      <c r="C395" s="1" t="s">
        <v>248</v>
      </c>
      <c r="D395" s="5">
        <v>4750000</v>
      </c>
      <c r="E395" s="1">
        <v>1085330309</v>
      </c>
      <c r="F395" s="1" t="s">
        <v>249</v>
      </c>
      <c r="G395" s="1" t="s">
        <v>9</v>
      </c>
      <c r="H395" t="e">
        <f>VLOOKUP(C395,'[1]873'!$C$2:$C$711,1,0)</f>
        <v>#N/A</v>
      </c>
    </row>
    <row r="396" spans="1:8" ht="14.25" customHeight="1" x14ac:dyDescent="0.25">
      <c r="A396" s="3">
        <v>45525</v>
      </c>
      <c r="B396" s="41">
        <v>2024001527</v>
      </c>
      <c r="C396" s="1" t="s">
        <v>250</v>
      </c>
      <c r="D396" s="5">
        <v>2000000</v>
      </c>
      <c r="E396" s="1">
        <v>1085271641</v>
      </c>
      <c r="F396" s="1" t="s">
        <v>251</v>
      </c>
      <c r="G396" s="1" t="s">
        <v>9</v>
      </c>
      <c r="H396" t="e">
        <f>VLOOKUP(C396,'[1]873'!$C$2:$C$711,1,0)</f>
        <v>#N/A</v>
      </c>
    </row>
    <row r="397" spans="1:8" ht="14.25" customHeight="1" x14ac:dyDescent="0.25">
      <c r="A397" s="3">
        <v>45525</v>
      </c>
      <c r="B397" s="41">
        <v>2024001529</v>
      </c>
      <c r="C397" s="1" t="s">
        <v>78</v>
      </c>
      <c r="D397" s="5">
        <v>2000000</v>
      </c>
      <c r="E397" s="1">
        <v>1085326198</v>
      </c>
      <c r="F397" s="1" t="s">
        <v>79</v>
      </c>
      <c r="G397" s="1" t="s">
        <v>9</v>
      </c>
      <c r="H397" t="e">
        <f>VLOOKUP(C397,'[1]873'!$C$2:$C$711,1,0)</f>
        <v>#N/A</v>
      </c>
    </row>
    <row r="398" spans="1:8" ht="14.25" customHeight="1" x14ac:dyDescent="0.25">
      <c r="A398" s="3">
        <v>45525</v>
      </c>
      <c r="B398" s="41">
        <v>2024001531</v>
      </c>
      <c r="C398" s="1" t="s">
        <v>268</v>
      </c>
      <c r="D398" s="5">
        <v>64529002</v>
      </c>
      <c r="E398" s="1">
        <v>900994364</v>
      </c>
      <c r="F398" s="1" t="s">
        <v>269</v>
      </c>
      <c r="G398" s="1" t="s">
        <v>9</v>
      </c>
      <c r="H398" t="e">
        <f>VLOOKUP(C398,'[1]873'!$C$2:$C$711,1,0)</f>
        <v>#N/A</v>
      </c>
    </row>
    <row r="399" spans="1:8" ht="14.25" customHeight="1" x14ac:dyDescent="0.25">
      <c r="A399" s="3">
        <v>45525</v>
      </c>
      <c r="B399" s="41">
        <v>2024001532</v>
      </c>
      <c r="C399" s="1" t="s">
        <v>80</v>
      </c>
      <c r="D399" s="5">
        <v>2000000</v>
      </c>
      <c r="E399" s="1">
        <v>1088799034</v>
      </c>
      <c r="F399" s="1" t="s">
        <v>81</v>
      </c>
      <c r="G399" s="1" t="s">
        <v>9</v>
      </c>
      <c r="H399" t="e">
        <f>VLOOKUP(C399,'[1]873'!$C$2:$C$711,1,0)</f>
        <v>#N/A</v>
      </c>
    </row>
    <row r="400" spans="1:8" ht="14.25" customHeight="1" x14ac:dyDescent="0.25">
      <c r="A400" s="3">
        <v>45525</v>
      </c>
      <c r="B400" s="41">
        <v>2024001533</v>
      </c>
      <c r="C400" s="1" t="s">
        <v>254</v>
      </c>
      <c r="D400" s="5">
        <v>2000000</v>
      </c>
      <c r="E400" s="1">
        <v>1085330237</v>
      </c>
      <c r="F400" s="1" t="s">
        <v>255</v>
      </c>
      <c r="G400" s="1" t="s">
        <v>9</v>
      </c>
      <c r="H400" t="e">
        <f>VLOOKUP(C400,'[1]873'!$C$2:$C$711,1,0)</f>
        <v>#N/A</v>
      </c>
    </row>
    <row r="401" spans="1:8" ht="14.25" customHeight="1" x14ac:dyDescent="0.25">
      <c r="A401" s="3">
        <v>45525</v>
      </c>
      <c r="B401" s="41">
        <v>2024001534</v>
      </c>
      <c r="C401" s="1" t="s">
        <v>256</v>
      </c>
      <c r="D401" s="5">
        <v>2000000</v>
      </c>
      <c r="E401" s="1">
        <v>37087268</v>
      </c>
      <c r="F401" s="1" t="s">
        <v>257</v>
      </c>
      <c r="G401" s="1" t="s">
        <v>9</v>
      </c>
      <c r="H401" t="e">
        <f>VLOOKUP(C401,'[1]873'!$C$2:$C$711,1,0)</f>
        <v>#N/A</v>
      </c>
    </row>
    <row r="402" spans="1:8" ht="14.25" customHeight="1" x14ac:dyDescent="0.25">
      <c r="A402" s="3">
        <v>45525</v>
      </c>
      <c r="B402" s="41">
        <v>2024001535</v>
      </c>
      <c r="C402" s="1" t="s">
        <v>258</v>
      </c>
      <c r="D402" s="5">
        <v>2000000</v>
      </c>
      <c r="E402" s="1">
        <v>1085320930</v>
      </c>
      <c r="F402" s="1" t="s">
        <v>259</v>
      </c>
      <c r="G402" s="1" t="s">
        <v>9</v>
      </c>
      <c r="H402" t="e">
        <f>VLOOKUP(C402,'[1]873'!$C$2:$C$711,1,0)</f>
        <v>#N/A</v>
      </c>
    </row>
    <row r="403" spans="1:8" ht="14.25" customHeight="1" x14ac:dyDescent="0.25">
      <c r="A403" s="3">
        <v>45525</v>
      </c>
      <c r="B403" s="41">
        <v>2024001542</v>
      </c>
      <c r="C403" s="1" t="s">
        <v>138</v>
      </c>
      <c r="D403" s="5">
        <v>2000000</v>
      </c>
      <c r="E403" s="1">
        <v>1085295383</v>
      </c>
      <c r="F403" s="1" t="s">
        <v>139</v>
      </c>
      <c r="G403" s="1" t="s">
        <v>9</v>
      </c>
      <c r="H403" t="e">
        <f>VLOOKUP(C403,'[1]873'!$C$2:$C$711,1,0)</f>
        <v>#N/A</v>
      </c>
    </row>
    <row r="404" spans="1:8" ht="14.25" customHeight="1" x14ac:dyDescent="0.25">
      <c r="A404" s="3">
        <v>45525</v>
      </c>
      <c r="B404" s="41">
        <v>2024001544</v>
      </c>
      <c r="C404" s="1" t="s">
        <v>260</v>
      </c>
      <c r="D404" s="5">
        <v>6000000</v>
      </c>
      <c r="E404" s="1">
        <v>59820414</v>
      </c>
      <c r="F404" s="1" t="s">
        <v>261</v>
      </c>
      <c r="G404" s="1" t="s">
        <v>9</v>
      </c>
      <c r="H404" t="e">
        <f>VLOOKUP(C404,'[1]873'!$C$2:$C$711,1,0)</f>
        <v>#N/A</v>
      </c>
    </row>
    <row r="405" spans="1:8" ht="14.25" customHeight="1" x14ac:dyDescent="0.25">
      <c r="A405" s="3">
        <v>45525</v>
      </c>
      <c r="B405" s="41">
        <v>2024001546</v>
      </c>
      <c r="C405" s="1" t="s">
        <v>262</v>
      </c>
      <c r="D405" s="5">
        <v>2000000</v>
      </c>
      <c r="E405" s="1">
        <v>36752202</v>
      </c>
      <c r="F405" s="1" t="s">
        <v>263</v>
      </c>
      <c r="G405" s="1" t="s">
        <v>9</v>
      </c>
      <c r="H405" t="e">
        <f>VLOOKUP(C405,'[1]873'!$C$2:$C$711,1,0)</f>
        <v>#N/A</v>
      </c>
    </row>
    <row r="406" spans="1:8" ht="14.25" customHeight="1" x14ac:dyDescent="0.25">
      <c r="A406" s="3">
        <v>45525</v>
      </c>
      <c r="B406" s="41">
        <v>2024001549</v>
      </c>
      <c r="C406" s="1" t="s">
        <v>264</v>
      </c>
      <c r="D406" s="5">
        <v>2000000</v>
      </c>
      <c r="E406" s="1">
        <v>1010085543</v>
      </c>
      <c r="F406" s="1" t="s">
        <v>265</v>
      </c>
      <c r="G406" s="1" t="s">
        <v>9</v>
      </c>
      <c r="H406" t="e">
        <f>VLOOKUP(C406,'[1]873'!$C$2:$C$711,1,0)</f>
        <v>#N/A</v>
      </c>
    </row>
    <row r="407" spans="1:8" ht="14.25" customHeight="1" x14ac:dyDescent="0.25">
      <c r="A407" s="3">
        <v>45525</v>
      </c>
      <c r="B407" s="41">
        <v>2024001551</v>
      </c>
      <c r="C407" s="1" t="s">
        <v>266</v>
      </c>
      <c r="D407" s="5">
        <v>4750000</v>
      </c>
      <c r="E407" s="1">
        <v>1193383306</v>
      </c>
      <c r="F407" s="1" t="s">
        <v>267</v>
      </c>
      <c r="G407" s="1" t="s">
        <v>9</v>
      </c>
      <c r="H407" t="e">
        <f>VLOOKUP(C407,'[1]873'!$C$2:$C$711,1,0)</f>
        <v>#N/A</v>
      </c>
    </row>
    <row r="408" spans="1:8" ht="14.25" customHeight="1" x14ac:dyDescent="0.25">
      <c r="A408" s="3">
        <v>45526</v>
      </c>
      <c r="B408" s="41">
        <v>2024001554</v>
      </c>
      <c r="C408" s="1" t="s">
        <v>270</v>
      </c>
      <c r="D408" s="5">
        <v>2000000</v>
      </c>
      <c r="E408" s="1">
        <v>36757522</v>
      </c>
      <c r="F408" s="1" t="s">
        <v>271</v>
      </c>
      <c r="G408" s="1" t="s">
        <v>9</v>
      </c>
      <c r="H408" t="e">
        <f>VLOOKUP(C408,'[1]873'!$C$2:$C$711,1,0)</f>
        <v>#N/A</v>
      </c>
    </row>
    <row r="409" spans="1:8" ht="14.25" customHeight="1" x14ac:dyDescent="0.25">
      <c r="A409" s="3">
        <v>45526</v>
      </c>
      <c r="B409" s="41">
        <v>2024001555</v>
      </c>
      <c r="C409" s="1" t="s">
        <v>272</v>
      </c>
      <c r="D409" s="5">
        <v>4825600</v>
      </c>
      <c r="E409" s="1">
        <v>1085332406</v>
      </c>
      <c r="F409" s="1" t="s">
        <v>273</v>
      </c>
      <c r="G409" s="1" t="s">
        <v>9</v>
      </c>
      <c r="H409" t="e">
        <f>VLOOKUP(C409,'[1]873'!$C$2:$C$711,1,0)</f>
        <v>#N/A</v>
      </c>
    </row>
    <row r="410" spans="1:8" ht="14.25" customHeight="1" x14ac:dyDescent="0.25">
      <c r="A410" s="3">
        <v>45526</v>
      </c>
      <c r="B410" s="41">
        <v>2024001556</v>
      </c>
      <c r="C410" s="1" t="s">
        <v>122</v>
      </c>
      <c r="D410" s="5">
        <v>2000000</v>
      </c>
      <c r="E410" s="1">
        <v>1004592366</v>
      </c>
      <c r="F410" s="1" t="s">
        <v>123</v>
      </c>
      <c r="G410" s="1" t="s">
        <v>9</v>
      </c>
      <c r="H410" t="e">
        <f>VLOOKUP(C410,'[1]873'!$C$2:$C$711,1,0)</f>
        <v>#N/A</v>
      </c>
    </row>
    <row r="411" spans="1:8" ht="14.25" customHeight="1" x14ac:dyDescent="0.25">
      <c r="A411" s="3">
        <v>45526</v>
      </c>
      <c r="B411" s="41">
        <v>2024001557</v>
      </c>
      <c r="C411" s="1" t="s">
        <v>274</v>
      </c>
      <c r="D411" s="5">
        <v>4800600</v>
      </c>
      <c r="E411" s="1">
        <v>1085321578</v>
      </c>
      <c r="F411" s="1" t="s">
        <v>275</v>
      </c>
      <c r="G411" s="1" t="s">
        <v>9</v>
      </c>
      <c r="H411" t="e">
        <f>VLOOKUP(C411,'[1]873'!$C$2:$C$711,1,0)</f>
        <v>#N/A</v>
      </c>
    </row>
    <row r="412" spans="1:8" ht="14.25" customHeight="1" x14ac:dyDescent="0.25">
      <c r="A412" s="3">
        <v>45526</v>
      </c>
      <c r="B412" s="41">
        <v>2024001558</v>
      </c>
      <c r="C412" s="1" t="s">
        <v>276</v>
      </c>
      <c r="D412" s="5">
        <v>2000000</v>
      </c>
      <c r="E412" s="1">
        <v>1192717330</v>
      </c>
      <c r="F412" s="1" t="s">
        <v>277</v>
      </c>
      <c r="G412" s="1" t="s">
        <v>9</v>
      </c>
      <c r="H412" t="e">
        <f>VLOOKUP(C412,'[1]873'!$C$2:$C$711,1,0)</f>
        <v>#N/A</v>
      </c>
    </row>
    <row r="413" spans="1:8" ht="14.25" customHeight="1" x14ac:dyDescent="0.25">
      <c r="A413" s="3">
        <v>45526</v>
      </c>
      <c r="B413" s="41">
        <v>2024001559</v>
      </c>
      <c r="C413" s="1" t="s">
        <v>278</v>
      </c>
      <c r="D413" s="5">
        <v>2000000</v>
      </c>
      <c r="E413" s="1">
        <v>1233189896</v>
      </c>
      <c r="F413" s="1" t="s">
        <v>279</v>
      </c>
      <c r="G413" s="1" t="s">
        <v>9</v>
      </c>
      <c r="H413" t="e">
        <f>VLOOKUP(C413,'[1]873'!$C$2:$C$711,1,0)</f>
        <v>#N/A</v>
      </c>
    </row>
    <row r="414" spans="1:8" ht="14.25" customHeight="1" x14ac:dyDescent="0.25">
      <c r="A414" s="3">
        <v>45526</v>
      </c>
      <c r="B414" s="41">
        <v>2024001561</v>
      </c>
      <c r="C414" s="1" t="s">
        <v>280</v>
      </c>
      <c r="D414" s="5">
        <v>2000000</v>
      </c>
      <c r="E414" s="1">
        <v>59830219</v>
      </c>
      <c r="F414" s="1" t="s">
        <v>281</v>
      </c>
      <c r="G414" s="1" t="s">
        <v>9</v>
      </c>
      <c r="H414" t="e">
        <f>VLOOKUP(C414,'[1]873'!$C$2:$C$711,1,0)</f>
        <v>#N/A</v>
      </c>
    </row>
    <row r="415" spans="1:8" ht="14.25" customHeight="1" x14ac:dyDescent="0.25">
      <c r="A415" s="3">
        <v>45526</v>
      </c>
      <c r="B415" s="41">
        <v>2024001562</v>
      </c>
      <c r="C415" s="1" t="s">
        <v>282</v>
      </c>
      <c r="D415" s="5">
        <v>2000000</v>
      </c>
      <c r="E415" s="1">
        <v>1085327836</v>
      </c>
      <c r="F415" s="1" t="s">
        <v>283</v>
      </c>
      <c r="G415" s="1" t="s">
        <v>9</v>
      </c>
      <c r="H415" t="e">
        <f>VLOOKUP(C415,'[1]873'!$C$2:$C$711,1,0)</f>
        <v>#N/A</v>
      </c>
    </row>
    <row r="416" spans="1:8" ht="14.25" customHeight="1" x14ac:dyDescent="0.25">
      <c r="A416" s="3">
        <v>45526</v>
      </c>
      <c r="B416" s="41">
        <v>2024001563</v>
      </c>
      <c r="C416" s="1" t="s">
        <v>22</v>
      </c>
      <c r="D416" s="5">
        <v>4750000</v>
      </c>
      <c r="E416" s="1">
        <v>1085325342</v>
      </c>
      <c r="F416" s="1" t="s">
        <v>23</v>
      </c>
      <c r="G416" s="1" t="s">
        <v>9</v>
      </c>
      <c r="H416" t="e">
        <f>VLOOKUP(C416,'[1]873'!$C$2:$C$711,1,0)</f>
        <v>#N/A</v>
      </c>
    </row>
    <row r="417" spans="1:8" ht="14.25" customHeight="1" x14ac:dyDescent="0.25">
      <c r="A417" s="3">
        <v>45526</v>
      </c>
      <c r="B417" s="41">
        <v>2024001564</v>
      </c>
      <c r="C417" s="1" t="s">
        <v>284</v>
      </c>
      <c r="D417" s="5">
        <v>2000000</v>
      </c>
      <c r="E417" s="1">
        <v>27094521</v>
      </c>
      <c r="F417" s="1" t="s">
        <v>285</v>
      </c>
      <c r="G417" s="1" t="s">
        <v>9</v>
      </c>
      <c r="H417" t="e">
        <f>VLOOKUP(C417,'[1]873'!$C$2:$C$711,1,0)</f>
        <v>#N/A</v>
      </c>
    </row>
    <row r="418" spans="1:8" ht="14.25" customHeight="1" x14ac:dyDescent="0.25">
      <c r="A418" s="3">
        <v>45526</v>
      </c>
      <c r="B418" s="41">
        <v>2024001565</v>
      </c>
      <c r="C418" s="1" t="s">
        <v>286</v>
      </c>
      <c r="D418" s="5">
        <v>2000000</v>
      </c>
      <c r="E418" s="1">
        <v>1085338232</v>
      </c>
      <c r="F418" s="1" t="s">
        <v>287</v>
      </c>
      <c r="G418" s="1" t="s">
        <v>9</v>
      </c>
      <c r="H418" t="e">
        <f>VLOOKUP(C418,'[1]873'!$C$2:$C$711,1,0)</f>
        <v>#N/A</v>
      </c>
    </row>
    <row r="419" spans="1:8" ht="14.25" customHeight="1" x14ac:dyDescent="0.25">
      <c r="A419" s="3">
        <v>45526</v>
      </c>
      <c r="B419" s="41">
        <v>2024001566</v>
      </c>
      <c r="C419" s="1" t="s">
        <v>288</v>
      </c>
      <c r="D419" s="5">
        <v>2000000</v>
      </c>
      <c r="E419" s="1">
        <v>1004709928</v>
      </c>
      <c r="F419" s="1" t="s">
        <v>289</v>
      </c>
      <c r="G419" s="1" t="s">
        <v>9</v>
      </c>
      <c r="H419" t="e">
        <f>VLOOKUP(C419,'[1]873'!$C$2:$C$711,1,0)</f>
        <v>#N/A</v>
      </c>
    </row>
    <row r="420" spans="1:8" ht="14.25" customHeight="1" x14ac:dyDescent="0.25">
      <c r="A420" s="3">
        <v>45526</v>
      </c>
      <c r="B420" s="41">
        <v>2024001567</v>
      </c>
      <c r="C420" s="1" t="s">
        <v>290</v>
      </c>
      <c r="D420" s="5">
        <v>2000000</v>
      </c>
      <c r="E420" s="1">
        <v>1085344082</v>
      </c>
      <c r="F420" s="1" t="s">
        <v>291</v>
      </c>
      <c r="G420" s="1" t="s">
        <v>9</v>
      </c>
      <c r="H420" t="e">
        <f>VLOOKUP(C420,'[1]873'!$C$2:$C$711,1,0)</f>
        <v>#N/A</v>
      </c>
    </row>
    <row r="421" spans="1:8" ht="14.25" customHeight="1" x14ac:dyDescent="0.25">
      <c r="A421" s="3">
        <v>45526</v>
      </c>
      <c r="B421" s="41">
        <v>2024001568</v>
      </c>
      <c r="C421" s="1" t="s">
        <v>292</v>
      </c>
      <c r="D421" s="5">
        <v>2000000</v>
      </c>
      <c r="E421" s="1">
        <v>1085330079</v>
      </c>
      <c r="F421" s="1" t="s">
        <v>293</v>
      </c>
      <c r="G421" s="1" t="s">
        <v>9</v>
      </c>
      <c r="H421" t="e">
        <f>VLOOKUP(C421,'[1]873'!$C$2:$C$711,1,0)</f>
        <v>#N/A</v>
      </c>
    </row>
    <row r="422" spans="1:8" ht="14.25" customHeight="1" x14ac:dyDescent="0.25">
      <c r="A422" s="3">
        <v>45526</v>
      </c>
      <c r="B422" s="41">
        <v>2024001569</v>
      </c>
      <c r="C422" s="1" t="s">
        <v>294</v>
      </c>
      <c r="D422" s="5">
        <v>4825600</v>
      </c>
      <c r="E422" s="1">
        <v>1088730712</v>
      </c>
      <c r="F422" s="1" t="s">
        <v>295</v>
      </c>
      <c r="G422" s="1" t="s">
        <v>9</v>
      </c>
      <c r="H422" t="e">
        <f>VLOOKUP(C422,'[1]873'!$C$2:$C$711,1,0)</f>
        <v>#N/A</v>
      </c>
    </row>
    <row r="423" spans="1:8" ht="14.25" customHeight="1" x14ac:dyDescent="0.25">
      <c r="A423" s="3">
        <v>45526</v>
      </c>
      <c r="B423" s="41">
        <v>2024001571</v>
      </c>
      <c r="C423" s="1" t="s">
        <v>296</v>
      </c>
      <c r="D423" s="5">
        <v>2000000</v>
      </c>
      <c r="E423" s="1">
        <v>59830040</v>
      </c>
      <c r="F423" s="1" t="s">
        <v>297</v>
      </c>
      <c r="G423" s="1" t="s">
        <v>9</v>
      </c>
      <c r="H423" t="e">
        <f>VLOOKUP(C423,'[1]873'!$C$2:$C$711,1,0)</f>
        <v>#N/A</v>
      </c>
    </row>
    <row r="424" spans="1:8" ht="14.25" customHeight="1" x14ac:dyDescent="0.25">
      <c r="A424" s="3">
        <v>45526</v>
      </c>
      <c r="B424" s="41">
        <v>2024001572</v>
      </c>
      <c r="C424" s="1" t="s">
        <v>298</v>
      </c>
      <c r="D424" s="5">
        <v>4825600</v>
      </c>
      <c r="E424" s="1">
        <v>12983807</v>
      </c>
      <c r="F424" s="1" t="s">
        <v>299</v>
      </c>
      <c r="G424" s="1" t="s">
        <v>9</v>
      </c>
      <c r="H424" t="e">
        <f>VLOOKUP(C424,'[1]873'!$C$2:$C$711,1,0)</f>
        <v>#N/A</v>
      </c>
    </row>
    <row r="425" spans="1:8" ht="14.25" customHeight="1" x14ac:dyDescent="0.25">
      <c r="A425" s="3">
        <v>45526</v>
      </c>
      <c r="B425" s="41">
        <v>2024001573</v>
      </c>
      <c r="C425" s="1" t="s">
        <v>26</v>
      </c>
      <c r="D425" s="5">
        <v>6000000</v>
      </c>
      <c r="E425" s="1">
        <v>1085292185</v>
      </c>
      <c r="F425" s="1" t="s">
        <v>27</v>
      </c>
      <c r="G425" s="1" t="s">
        <v>9</v>
      </c>
      <c r="H425" t="e">
        <f>VLOOKUP(C425,'[1]873'!$C$2:$C$711,1,0)</f>
        <v>#N/A</v>
      </c>
    </row>
    <row r="426" spans="1:8" ht="14.25" customHeight="1" x14ac:dyDescent="0.25">
      <c r="A426" s="3">
        <v>45526</v>
      </c>
      <c r="B426" s="41">
        <v>2024001575</v>
      </c>
      <c r="C426" s="1" t="s">
        <v>300</v>
      </c>
      <c r="D426" s="5">
        <v>2000000</v>
      </c>
      <c r="E426" s="1">
        <v>1085325718</v>
      </c>
      <c r="F426" s="1" t="s">
        <v>301</v>
      </c>
      <c r="G426" s="1" t="s">
        <v>9</v>
      </c>
      <c r="H426" t="e">
        <f>VLOOKUP(C426,'[1]873'!$C$2:$C$711,1,0)</f>
        <v>#N/A</v>
      </c>
    </row>
    <row r="427" spans="1:8" ht="14.25" customHeight="1" x14ac:dyDescent="0.25">
      <c r="A427" s="3">
        <v>45526</v>
      </c>
      <c r="B427" s="41">
        <v>2024001576</v>
      </c>
      <c r="C427" s="1" t="s">
        <v>300</v>
      </c>
      <c r="D427" s="5">
        <v>2000000</v>
      </c>
      <c r="E427" s="1">
        <v>1085325718</v>
      </c>
      <c r="F427" s="1" t="s">
        <v>301</v>
      </c>
      <c r="G427" s="1" t="s">
        <v>9</v>
      </c>
      <c r="H427" t="e">
        <f>VLOOKUP(C427,'[1]873'!$C$2:$C$711,1,0)</f>
        <v>#N/A</v>
      </c>
    </row>
    <row r="428" spans="1:8" ht="14.25" customHeight="1" x14ac:dyDescent="0.25">
      <c r="A428" s="3">
        <v>45526</v>
      </c>
      <c r="B428" s="41">
        <v>2024001577</v>
      </c>
      <c r="C428" s="1" t="s">
        <v>302</v>
      </c>
      <c r="D428" s="5">
        <v>2000000</v>
      </c>
      <c r="E428" s="1">
        <v>1085251468</v>
      </c>
      <c r="F428" s="1" t="s">
        <v>303</v>
      </c>
      <c r="G428" s="1" t="s">
        <v>9</v>
      </c>
      <c r="H428" t="e">
        <f>VLOOKUP(C428,'[1]873'!$C$2:$C$711,1,0)</f>
        <v>#N/A</v>
      </c>
    </row>
    <row r="429" spans="1:8" ht="14.25" customHeight="1" x14ac:dyDescent="0.25">
      <c r="A429" s="3">
        <v>45526</v>
      </c>
      <c r="B429" s="41">
        <v>2024001578</v>
      </c>
      <c r="C429" s="1" t="s">
        <v>70</v>
      </c>
      <c r="D429" s="5">
        <v>2000000</v>
      </c>
      <c r="E429" s="1">
        <v>59314601</v>
      </c>
      <c r="F429" s="1" t="s">
        <v>71</v>
      </c>
      <c r="G429" s="1" t="s">
        <v>9</v>
      </c>
      <c r="H429" t="e">
        <f>VLOOKUP(C429,'[1]873'!$C$2:$C$711,1,0)</f>
        <v>#N/A</v>
      </c>
    </row>
    <row r="430" spans="1:8" ht="14.25" customHeight="1" x14ac:dyDescent="0.25">
      <c r="A430" s="3">
        <v>45526</v>
      </c>
      <c r="B430" s="41">
        <v>2024001579</v>
      </c>
      <c r="C430" s="1" t="s">
        <v>34</v>
      </c>
      <c r="D430" s="5">
        <v>2000000</v>
      </c>
      <c r="E430" s="1">
        <v>1085331508</v>
      </c>
      <c r="F430" s="1" t="s">
        <v>35</v>
      </c>
      <c r="G430" s="1" t="s">
        <v>9</v>
      </c>
      <c r="H430" t="e">
        <f>VLOOKUP(C430,'[1]873'!$C$2:$C$711,1,0)</f>
        <v>#N/A</v>
      </c>
    </row>
    <row r="431" spans="1:8" ht="14.25" customHeight="1" x14ac:dyDescent="0.25">
      <c r="A431" s="3">
        <v>45526</v>
      </c>
      <c r="B431" s="41">
        <v>2024001581</v>
      </c>
      <c r="C431" s="1" t="s">
        <v>304</v>
      </c>
      <c r="D431" s="5">
        <v>2000000</v>
      </c>
      <c r="E431" s="1">
        <v>1086016308</v>
      </c>
      <c r="F431" s="1" t="s">
        <v>305</v>
      </c>
      <c r="G431" s="1" t="s">
        <v>9</v>
      </c>
      <c r="H431" t="e">
        <f>VLOOKUP(C431,'[1]873'!$C$2:$C$711,1,0)</f>
        <v>#N/A</v>
      </c>
    </row>
    <row r="432" spans="1:8" ht="14.25" customHeight="1" x14ac:dyDescent="0.25">
      <c r="A432" s="3">
        <v>45526</v>
      </c>
      <c r="B432" s="41">
        <v>2024001583</v>
      </c>
      <c r="C432" s="1" t="s">
        <v>306</v>
      </c>
      <c r="D432" s="5">
        <v>2000000</v>
      </c>
      <c r="E432" s="1">
        <v>1085310465</v>
      </c>
      <c r="F432" s="1" t="s">
        <v>307</v>
      </c>
      <c r="G432" s="1" t="s">
        <v>9</v>
      </c>
      <c r="H432" t="e">
        <f>VLOOKUP(C432,'[1]873'!$C$2:$C$711,1,0)</f>
        <v>#N/A</v>
      </c>
    </row>
    <row r="433" spans="1:8" ht="14.25" customHeight="1" x14ac:dyDescent="0.25">
      <c r="A433" s="3">
        <v>45530</v>
      </c>
      <c r="B433" s="41">
        <v>2024001599</v>
      </c>
      <c r="C433" s="1" t="s">
        <v>308</v>
      </c>
      <c r="D433" s="5">
        <v>7500000</v>
      </c>
      <c r="E433" s="1">
        <v>12961407</v>
      </c>
      <c r="F433" s="1" t="s">
        <v>309</v>
      </c>
      <c r="G433" s="1" t="s">
        <v>9</v>
      </c>
      <c r="H433" t="e">
        <f>VLOOKUP(C433,'[1]873'!$C$2:$C$711,1,0)</f>
        <v>#N/A</v>
      </c>
    </row>
    <row r="434" spans="1:8" ht="14.25" customHeight="1" x14ac:dyDescent="0.25">
      <c r="A434" s="3">
        <v>45530</v>
      </c>
      <c r="B434" s="41">
        <v>2024001600</v>
      </c>
      <c r="C434" s="1" t="s">
        <v>310</v>
      </c>
      <c r="D434" s="5">
        <v>6000000</v>
      </c>
      <c r="E434" s="1">
        <v>59836926</v>
      </c>
      <c r="F434" s="1" t="s">
        <v>311</v>
      </c>
      <c r="G434" s="1" t="s">
        <v>9</v>
      </c>
      <c r="H434" t="e">
        <f>VLOOKUP(C434,'[1]873'!$C$2:$C$711,1,0)</f>
        <v>#N/A</v>
      </c>
    </row>
    <row r="435" spans="1:8" ht="14.25" customHeight="1" x14ac:dyDescent="0.25">
      <c r="A435" s="3">
        <v>45530</v>
      </c>
      <c r="B435" s="41">
        <v>2024001601</v>
      </c>
      <c r="C435" s="1" t="s">
        <v>312</v>
      </c>
      <c r="D435" s="5">
        <v>2000000</v>
      </c>
      <c r="E435" s="1">
        <v>36757715</v>
      </c>
      <c r="F435" s="1" t="s">
        <v>313</v>
      </c>
      <c r="G435" s="1" t="s">
        <v>9</v>
      </c>
      <c r="H435" t="e">
        <f>VLOOKUP(C435,'[1]873'!$C$2:$C$711,1,0)</f>
        <v>#N/A</v>
      </c>
    </row>
    <row r="436" spans="1:8" ht="14.25" customHeight="1" x14ac:dyDescent="0.25">
      <c r="A436" s="3">
        <v>45530</v>
      </c>
      <c r="B436" s="41">
        <v>2024001602</v>
      </c>
      <c r="C436" s="1" t="s">
        <v>314</v>
      </c>
      <c r="D436" s="5">
        <v>2000000</v>
      </c>
      <c r="E436" s="1">
        <v>1085337465</v>
      </c>
      <c r="F436" s="1" t="s">
        <v>315</v>
      </c>
      <c r="G436" s="1" t="s">
        <v>9</v>
      </c>
      <c r="H436" t="e">
        <f>VLOOKUP(C436,'[1]873'!$C$2:$C$711,1,0)</f>
        <v>#N/A</v>
      </c>
    </row>
    <row r="437" spans="1:8" ht="14.25" customHeight="1" x14ac:dyDescent="0.25">
      <c r="A437" s="3">
        <v>45530</v>
      </c>
      <c r="B437" s="41">
        <v>2024001603</v>
      </c>
      <c r="C437" s="1" t="s">
        <v>316</v>
      </c>
      <c r="D437" s="5">
        <v>2000000</v>
      </c>
      <c r="E437" s="1">
        <v>1193265831</v>
      </c>
      <c r="F437" s="1" t="s">
        <v>317</v>
      </c>
      <c r="G437" s="1" t="s">
        <v>9</v>
      </c>
      <c r="H437" t="e">
        <f>VLOOKUP(C437,'[1]873'!$C$2:$C$711,1,0)</f>
        <v>#N/A</v>
      </c>
    </row>
    <row r="438" spans="1:8" ht="14.25" customHeight="1" x14ac:dyDescent="0.25">
      <c r="A438" s="3">
        <v>45530</v>
      </c>
      <c r="B438" s="41">
        <v>2024001604</v>
      </c>
      <c r="C438" s="1" t="s">
        <v>318</v>
      </c>
      <c r="D438" s="5">
        <v>2000000</v>
      </c>
      <c r="E438" s="1">
        <v>1081052090</v>
      </c>
      <c r="F438" s="1" t="s">
        <v>319</v>
      </c>
      <c r="G438" s="1" t="s">
        <v>9</v>
      </c>
      <c r="H438" t="e">
        <f>VLOOKUP(C438,'[1]873'!$C$2:$C$711,1,0)</f>
        <v>#N/A</v>
      </c>
    </row>
    <row r="439" spans="1:8" ht="14.25" customHeight="1" x14ac:dyDescent="0.25">
      <c r="A439" s="3">
        <v>45530</v>
      </c>
      <c r="B439" s="41">
        <v>2024001605</v>
      </c>
      <c r="C439" s="1" t="s">
        <v>30</v>
      </c>
      <c r="D439" s="5">
        <v>6000000</v>
      </c>
      <c r="E439" s="1">
        <v>1085253062</v>
      </c>
      <c r="F439" s="1" t="s">
        <v>31</v>
      </c>
      <c r="G439" s="1" t="s">
        <v>9</v>
      </c>
      <c r="H439" t="e">
        <f>VLOOKUP(C439,'[1]873'!$C$2:$C$711,1,0)</f>
        <v>#N/A</v>
      </c>
    </row>
    <row r="440" spans="1:8" ht="14.25" customHeight="1" x14ac:dyDescent="0.25">
      <c r="A440" s="3">
        <v>45530</v>
      </c>
      <c r="B440" s="41">
        <v>2024001606</v>
      </c>
      <c r="C440" s="1" t="s">
        <v>320</v>
      </c>
      <c r="D440" s="5">
        <v>2000000</v>
      </c>
      <c r="E440" s="1">
        <v>1085347540</v>
      </c>
      <c r="F440" s="1" t="s">
        <v>321</v>
      </c>
      <c r="G440" s="1" t="s">
        <v>9</v>
      </c>
      <c r="H440" t="e">
        <f>VLOOKUP(C440,'[1]873'!$C$2:$C$711,1,0)</f>
        <v>#N/A</v>
      </c>
    </row>
    <row r="441" spans="1:8" ht="14.25" customHeight="1" x14ac:dyDescent="0.25">
      <c r="A441" s="3">
        <v>45530</v>
      </c>
      <c r="B441" s="41">
        <v>2024001607</v>
      </c>
      <c r="C441" s="1" t="s">
        <v>28</v>
      </c>
      <c r="D441" s="5">
        <v>4750000</v>
      </c>
      <c r="E441" s="1">
        <v>1085324546</v>
      </c>
      <c r="F441" s="1" t="s">
        <v>29</v>
      </c>
      <c r="G441" s="1" t="s">
        <v>9</v>
      </c>
      <c r="H441" t="e">
        <f>VLOOKUP(C441,'[1]873'!$C$2:$C$711,1,0)</f>
        <v>#N/A</v>
      </c>
    </row>
    <row r="442" spans="1:8" ht="14.25" customHeight="1" x14ac:dyDescent="0.25">
      <c r="A442" s="3">
        <v>45531</v>
      </c>
      <c r="B442" s="41">
        <v>2024001610</v>
      </c>
      <c r="C442" s="1" t="s">
        <v>322</v>
      </c>
      <c r="D442" s="5">
        <v>2625000</v>
      </c>
      <c r="E442" s="1">
        <v>1085904098</v>
      </c>
      <c r="F442" s="1" t="s">
        <v>323</v>
      </c>
      <c r="G442" s="1" t="s">
        <v>9</v>
      </c>
      <c r="H442" t="e">
        <f>VLOOKUP(C442,'[1]873'!$C$2:$C$711,1,0)</f>
        <v>#N/A</v>
      </c>
    </row>
    <row r="443" spans="1:8" ht="14.25" customHeight="1" x14ac:dyDescent="0.25">
      <c r="A443" s="3">
        <v>45531</v>
      </c>
      <c r="B443" s="41">
        <v>2024001613</v>
      </c>
      <c r="C443" s="1" t="s">
        <v>324</v>
      </c>
      <c r="D443" s="5">
        <v>2000000</v>
      </c>
      <c r="E443" s="1">
        <v>1085290651</v>
      </c>
      <c r="F443" s="1" t="s">
        <v>325</v>
      </c>
      <c r="G443" s="1" t="s">
        <v>9</v>
      </c>
      <c r="H443" t="e">
        <f>VLOOKUP(C443,'[1]873'!$C$2:$C$711,1,0)</f>
        <v>#N/A</v>
      </c>
    </row>
    <row r="444" spans="1:8" ht="14.25" customHeight="1" x14ac:dyDescent="0.25">
      <c r="A444" s="3">
        <v>45531</v>
      </c>
      <c r="B444" s="41">
        <v>2024001614</v>
      </c>
      <c r="C444" s="1" t="s">
        <v>326</v>
      </c>
      <c r="D444" s="5">
        <v>2000000</v>
      </c>
      <c r="E444" s="1">
        <v>1085314075</v>
      </c>
      <c r="F444" s="1" t="s">
        <v>327</v>
      </c>
      <c r="G444" s="1" t="s">
        <v>9</v>
      </c>
      <c r="H444" t="e">
        <f>VLOOKUP(C444,'[1]873'!$C$2:$C$711,1,0)</f>
        <v>#N/A</v>
      </c>
    </row>
    <row r="445" spans="1:8" ht="14.25" customHeight="1" x14ac:dyDescent="0.25">
      <c r="A445" s="3">
        <v>45531</v>
      </c>
      <c r="B445" s="41">
        <v>2024001615</v>
      </c>
      <c r="C445" s="1" t="s">
        <v>328</v>
      </c>
      <c r="D445" s="5">
        <v>6000000</v>
      </c>
      <c r="E445" s="1">
        <v>97470681</v>
      </c>
      <c r="F445" s="1" t="s">
        <v>329</v>
      </c>
      <c r="G445" s="1" t="s">
        <v>9</v>
      </c>
      <c r="H445" t="e">
        <f>VLOOKUP(C445,'[1]873'!$C$2:$C$711,1,0)</f>
        <v>#N/A</v>
      </c>
    </row>
    <row r="446" spans="1:8" ht="14.25" customHeight="1" x14ac:dyDescent="0.25">
      <c r="A446" s="3">
        <v>45531</v>
      </c>
      <c r="B446" s="41">
        <v>2024001616</v>
      </c>
      <c r="C446" s="1" t="s">
        <v>38</v>
      </c>
      <c r="D446" s="5">
        <v>2000000</v>
      </c>
      <c r="E446" s="1">
        <v>1193385397</v>
      </c>
      <c r="F446" s="1" t="s">
        <v>39</v>
      </c>
      <c r="G446" s="1" t="s">
        <v>9</v>
      </c>
      <c r="H446" t="e">
        <f>VLOOKUP(C446,'[1]873'!$C$2:$C$711,1,0)</f>
        <v>#N/A</v>
      </c>
    </row>
    <row r="447" spans="1:8" ht="14.25" customHeight="1" x14ac:dyDescent="0.25">
      <c r="A447" s="3">
        <v>45531</v>
      </c>
      <c r="B447" s="41">
        <v>2024001617</v>
      </c>
      <c r="C447" s="1" t="s">
        <v>58</v>
      </c>
      <c r="D447" s="5">
        <v>2000000</v>
      </c>
      <c r="E447" s="1">
        <v>1081272025</v>
      </c>
      <c r="F447" s="1" t="s">
        <v>59</v>
      </c>
      <c r="G447" s="1" t="s">
        <v>9</v>
      </c>
      <c r="H447" t="e">
        <f>VLOOKUP(C447,'[1]873'!$C$2:$C$711,1,0)</f>
        <v>#N/A</v>
      </c>
    </row>
    <row r="448" spans="1:8" ht="14.25" customHeight="1" x14ac:dyDescent="0.25">
      <c r="A448" s="3">
        <v>45531</v>
      </c>
      <c r="B448" s="41">
        <v>2024001618</v>
      </c>
      <c r="C448" s="1" t="s">
        <v>330</v>
      </c>
      <c r="D448" s="5">
        <v>2000000</v>
      </c>
      <c r="E448" s="1">
        <v>1085313463</v>
      </c>
      <c r="F448" s="1" t="s">
        <v>331</v>
      </c>
      <c r="G448" s="1" t="s">
        <v>9</v>
      </c>
      <c r="H448" t="e">
        <f>VLOOKUP(C448,'[1]873'!$C$2:$C$711,1,0)</f>
        <v>#N/A</v>
      </c>
    </row>
    <row r="449" spans="1:8" ht="14.25" customHeight="1" x14ac:dyDescent="0.25">
      <c r="A449" s="3">
        <v>45531</v>
      </c>
      <c r="B449" s="41">
        <v>2024001619</v>
      </c>
      <c r="C449" s="1" t="s">
        <v>332</v>
      </c>
      <c r="D449" s="5">
        <v>4825600</v>
      </c>
      <c r="E449" s="1">
        <v>1085269530</v>
      </c>
      <c r="F449" s="1" t="s">
        <v>333</v>
      </c>
      <c r="G449" s="1" t="s">
        <v>9</v>
      </c>
      <c r="H449" t="e">
        <f>VLOOKUP(C449,'[1]873'!$C$2:$C$711,1,0)</f>
        <v>#N/A</v>
      </c>
    </row>
    <row r="450" spans="1:8" ht="14.25" customHeight="1" x14ac:dyDescent="0.25">
      <c r="A450" s="3">
        <v>45531</v>
      </c>
      <c r="B450" s="41">
        <v>2024001620</v>
      </c>
      <c r="C450" s="1" t="s">
        <v>334</v>
      </c>
      <c r="D450" s="5">
        <v>2000000</v>
      </c>
      <c r="E450" s="1">
        <v>1085261053</v>
      </c>
      <c r="F450" s="1" t="s">
        <v>335</v>
      </c>
      <c r="G450" s="1" t="s">
        <v>9</v>
      </c>
      <c r="H450" t="e">
        <f>VLOOKUP(C450,'[1]873'!$C$2:$C$711,1,0)</f>
        <v>#N/A</v>
      </c>
    </row>
    <row r="451" spans="1:8" ht="14.25" customHeight="1" x14ac:dyDescent="0.25">
      <c r="A451" s="3">
        <v>45531</v>
      </c>
      <c r="B451" s="41">
        <v>2024001621</v>
      </c>
      <c r="C451" s="1" t="s">
        <v>336</v>
      </c>
      <c r="D451" s="5">
        <v>6000000</v>
      </c>
      <c r="E451" s="1">
        <v>1010010954</v>
      </c>
      <c r="F451" s="1" t="s">
        <v>337</v>
      </c>
      <c r="G451" s="1" t="s">
        <v>9</v>
      </c>
      <c r="H451" t="e">
        <f>VLOOKUP(C451,'[1]873'!$C$2:$C$711,1,0)</f>
        <v>#N/A</v>
      </c>
    </row>
    <row r="452" spans="1:8" ht="14.25" customHeight="1" x14ac:dyDescent="0.25">
      <c r="A452" s="3">
        <v>45531</v>
      </c>
      <c r="B452" s="41">
        <v>2024001622</v>
      </c>
      <c r="C452" s="1" t="s">
        <v>338</v>
      </c>
      <c r="D452" s="5">
        <v>2000000</v>
      </c>
      <c r="E452" s="1">
        <v>1081273343</v>
      </c>
      <c r="F452" s="1" t="s">
        <v>339</v>
      </c>
      <c r="G452" s="1" t="s">
        <v>9</v>
      </c>
      <c r="H452" t="e">
        <f>VLOOKUP(C452,'[1]873'!$C$2:$C$711,1,0)</f>
        <v>#N/A</v>
      </c>
    </row>
    <row r="453" spans="1:8" ht="14.25" customHeight="1" x14ac:dyDescent="0.25">
      <c r="A453" s="3">
        <v>45531</v>
      </c>
      <c r="B453" s="41">
        <v>2024001623</v>
      </c>
      <c r="C453" s="1" t="s">
        <v>340</v>
      </c>
      <c r="D453" s="5">
        <v>2000000</v>
      </c>
      <c r="E453" s="1">
        <v>36759281</v>
      </c>
      <c r="F453" s="1" t="s">
        <v>341</v>
      </c>
      <c r="G453" s="1" t="s">
        <v>9</v>
      </c>
      <c r="H453" t="e">
        <f>VLOOKUP(C453,'[1]873'!$C$2:$C$711,1,0)</f>
        <v>#N/A</v>
      </c>
    </row>
    <row r="454" spans="1:8" ht="14.25" customHeight="1" x14ac:dyDescent="0.25">
      <c r="A454" s="3">
        <v>45531</v>
      </c>
      <c r="B454" s="41">
        <v>2024001624</v>
      </c>
      <c r="C454" s="1" t="s">
        <v>342</v>
      </c>
      <c r="D454" s="5">
        <v>6000000</v>
      </c>
      <c r="E454" s="1">
        <v>36954410</v>
      </c>
      <c r="F454" s="1" t="s">
        <v>343</v>
      </c>
      <c r="G454" s="1" t="s">
        <v>9</v>
      </c>
      <c r="H454" t="e">
        <f>VLOOKUP(C454,'[1]873'!$C$2:$C$711,1,0)</f>
        <v>#N/A</v>
      </c>
    </row>
    <row r="455" spans="1:8" ht="14.25" customHeight="1" x14ac:dyDescent="0.25">
      <c r="A455" s="3">
        <v>45532</v>
      </c>
      <c r="B455" s="41">
        <v>2024001625</v>
      </c>
      <c r="C455" s="1" t="s">
        <v>344</v>
      </c>
      <c r="D455" s="5">
        <v>2000000</v>
      </c>
      <c r="E455" s="1">
        <v>27309586</v>
      </c>
      <c r="F455" s="1" t="s">
        <v>345</v>
      </c>
      <c r="G455" s="1" t="s">
        <v>9</v>
      </c>
      <c r="H455" t="e">
        <f>VLOOKUP(C455,'[1]873'!$C$2:$C$711,1,0)</f>
        <v>#N/A</v>
      </c>
    </row>
    <row r="456" spans="1:8" ht="14.25" customHeight="1" x14ac:dyDescent="0.25">
      <c r="A456" s="3">
        <v>45532</v>
      </c>
      <c r="B456" s="41">
        <v>2024001626</v>
      </c>
      <c r="C456" s="1" t="s">
        <v>346</v>
      </c>
      <c r="D456" s="5">
        <v>2000000</v>
      </c>
      <c r="E456" s="1">
        <v>1004535115</v>
      </c>
      <c r="F456" s="1" t="s">
        <v>347</v>
      </c>
      <c r="G456" s="1" t="s">
        <v>9</v>
      </c>
      <c r="H456" t="e">
        <f>VLOOKUP(C456,'[1]873'!$C$2:$C$711,1,0)</f>
        <v>#N/A</v>
      </c>
    </row>
    <row r="457" spans="1:8" ht="14.25" customHeight="1" x14ac:dyDescent="0.25">
      <c r="A457" s="3">
        <v>45532</v>
      </c>
      <c r="B457" s="41">
        <v>2024001628</v>
      </c>
      <c r="C457" s="1" t="s">
        <v>348</v>
      </c>
      <c r="D457" s="5">
        <v>2000000</v>
      </c>
      <c r="E457" s="1">
        <v>27285974</v>
      </c>
      <c r="F457" s="1" t="s">
        <v>349</v>
      </c>
      <c r="G457" s="1" t="s">
        <v>9</v>
      </c>
      <c r="H457" t="e">
        <f>VLOOKUP(C457,'[1]873'!$C$2:$C$711,1,0)</f>
        <v>#N/A</v>
      </c>
    </row>
    <row r="458" spans="1:8" ht="14.25" customHeight="1" x14ac:dyDescent="0.25">
      <c r="A458" s="3">
        <v>45532</v>
      </c>
      <c r="B458" s="41">
        <v>2024001629</v>
      </c>
      <c r="C458" s="1" t="s">
        <v>350</v>
      </c>
      <c r="D458" s="5">
        <v>4750000</v>
      </c>
      <c r="E458" s="1">
        <v>1233192618</v>
      </c>
      <c r="F458" s="1" t="s">
        <v>351</v>
      </c>
      <c r="G458" s="1" t="s">
        <v>9</v>
      </c>
      <c r="H458" t="e">
        <f>VLOOKUP(C458,'[1]873'!$C$2:$C$711,1,0)</f>
        <v>#N/A</v>
      </c>
    </row>
    <row r="459" spans="1:8" ht="14.25" customHeight="1" x14ac:dyDescent="0.25">
      <c r="A459" s="3">
        <v>45532</v>
      </c>
      <c r="B459" s="41">
        <v>2024001630</v>
      </c>
      <c r="C459" s="1" t="s">
        <v>94</v>
      </c>
      <c r="D459" s="5">
        <v>4750000</v>
      </c>
      <c r="E459" s="1">
        <v>1087413951</v>
      </c>
      <c r="F459" s="1" t="s">
        <v>95</v>
      </c>
      <c r="G459" s="1" t="s">
        <v>9</v>
      </c>
      <c r="H459" t="e">
        <f>VLOOKUP(C459,'[1]873'!$C$2:$C$711,1,0)</f>
        <v>#N/A</v>
      </c>
    </row>
    <row r="460" spans="1:8" ht="14.25" customHeight="1" x14ac:dyDescent="0.25">
      <c r="A460" s="3">
        <v>45532</v>
      </c>
      <c r="B460" s="41">
        <v>2024001632</v>
      </c>
      <c r="C460" s="1" t="s">
        <v>352</v>
      </c>
      <c r="D460" s="5">
        <v>2000000</v>
      </c>
      <c r="E460" s="1">
        <v>1081592303</v>
      </c>
      <c r="F460" s="1" t="s">
        <v>353</v>
      </c>
      <c r="G460" s="1" t="s">
        <v>9</v>
      </c>
      <c r="H460" t="e">
        <f>VLOOKUP(C460,'[1]873'!$C$2:$C$711,1,0)</f>
        <v>#N/A</v>
      </c>
    </row>
    <row r="461" spans="1:8" ht="14.25" customHeight="1" x14ac:dyDescent="0.25">
      <c r="A461" s="3">
        <v>45532</v>
      </c>
      <c r="B461" s="41">
        <v>2024001633</v>
      </c>
      <c r="C461" s="1" t="s">
        <v>86</v>
      </c>
      <c r="D461" s="5">
        <v>2000000</v>
      </c>
      <c r="E461" s="1">
        <v>1233189234</v>
      </c>
      <c r="F461" s="1" t="s">
        <v>87</v>
      </c>
      <c r="G461" s="1" t="s">
        <v>9</v>
      </c>
      <c r="H461" t="e">
        <f>VLOOKUP(C461,'[1]873'!$C$2:$C$711,1,0)</f>
        <v>#N/A</v>
      </c>
    </row>
    <row r="462" spans="1:8" ht="14.25" customHeight="1" x14ac:dyDescent="0.25">
      <c r="A462" s="3">
        <v>45532</v>
      </c>
      <c r="B462" s="41">
        <v>2024001634</v>
      </c>
      <c r="C462" s="1" t="s">
        <v>354</v>
      </c>
      <c r="D462" s="5">
        <v>4750000</v>
      </c>
      <c r="E462" s="1">
        <v>1085318684</v>
      </c>
      <c r="F462" s="1" t="s">
        <v>355</v>
      </c>
      <c r="G462" s="1" t="s">
        <v>9</v>
      </c>
      <c r="H462" t="e">
        <f>VLOOKUP(C462,'[1]873'!$C$2:$C$711,1,0)</f>
        <v>#N/A</v>
      </c>
    </row>
    <row r="463" spans="1:8" ht="14.25" customHeight="1" x14ac:dyDescent="0.25">
      <c r="A463" s="3">
        <v>45532</v>
      </c>
      <c r="B463" s="41">
        <v>2024001636</v>
      </c>
      <c r="C463" s="1" t="s">
        <v>356</v>
      </c>
      <c r="D463" s="5">
        <v>2000000</v>
      </c>
      <c r="E463" s="1">
        <v>27090145</v>
      </c>
      <c r="F463" s="1" t="s">
        <v>357</v>
      </c>
      <c r="G463" s="1" t="s">
        <v>9</v>
      </c>
      <c r="H463" t="e">
        <f>VLOOKUP(C463,'[1]873'!$C$2:$C$711,1,0)</f>
        <v>#N/A</v>
      </c>
    </row>
    <row r="464" spans="1:8" ht="14.25" customHeight="1" x14ac:dyDescent="0.25">
      <c r="A464" s="3">
        <v>45532</v>
      </c>
      <c r="B464" s="41">
        <v>2024001637</v>
      </c>
      <c r="C464" s="1" t="s">
        <v>358</v>
      </c>
      <c r="D464" s="5">
        <v>7500000</v>
      </c>
      <c r="E464" s="1">
        <v>1085345430</v>
      </c>
      <c r="F464" s="1" t="s">
        <v>359</v>
      </c>
      <c r="G464" s="1" t="s">
        <v>9</v>
      </c>
      <c r="H464" t="e">
        <f>VLOOKUP(C464,'[1]873'!$C$2:$C$711,1,0)</f>
        <v>#N/A</v>
      </c>
    </row>
    <row r="465" spans="1:8" ht="14.25" customHeight="1" x14ac:dyDescent="0.25">
      <c r="A465" s="3">
        <v>45532</v>
      </c>
      <c r="B465" s="41">
        <v>2024001638</v>
      </c>
      <c r="C465" s="1" t="s">
        <v>360</v>
      </c>
      <c r="D465" s="5">
        <v>7500000</v>
      </c>
      <c r="E465" s="1">
        <v>7603662</v>
      </c>
      <c r="F465" s="1" t="s">
        <v>361</v>
      </c>
      <c r="G465" s="1" t="s">
        <v>9</v>
      </c>
      <c r="H465" t="e">
        <f>VLOOKUP(C465,'[1]873'!$C$2:$C$711,1,0)</f>
        <v>#N/A</v>
      </c>
    </row>
    <row r="466" spans="1:8" ht="14.25" customHeight="1" x14ac:dyDescent="0.25">
      <c r="A466" s="3">
        <v>45532</v>
      </c>
      <c r="B466" s="41">
        <v>2024001639</v>
      </c>
      <c r="C466" s="1" t="s">
        <v>42</v>
      </c>
      <c r="D466" s="5">
        <v>7500000</v>
      </c>
      <c r="E466" s="1">
        <v>87065647</v>
      </c>
      <c r="F466" s="1" t="s">
        <v>43</v>
      </c>
      <c r="G466" s="1" t="s">
        <v>9</v>
      </c>
      <c r="H466" t="e">
        <f>VLOOKUP(C466,'[1]873'!$C$2:$C$711,1,0)</f>
        <v>#N/A</v>
      </c>
    </row>
    <row r="467" spans="1:8" ht="14.25" customHeight="1" x14ac:dyDescent="0.25">
      <c r="A467" s="3">
        <v>45532</v>
      </c>
      <c r="B467" s="41">
        <v>2024001641</v>
      </c>
      <c r="C467" s="1" t="s">
        <v>152</v>
      </c>
      <c r="D467" s="5">
        <v>2000000</v>
      </c>
      <c r="E467" s="1">
        <v>1144206777</v>
      </c>
      <c r="F467" s="1" t="s">
        <v>153</v>
      </c>
      <c r="G467" s="1" t="s">
        <v>9</v>
      </c>
      <c r="H467" t="e">
        <f>VLOOKUP(C467,'[1]873'!$C$2:$C$711,1,0)</f>
        <v>#N/A</v>
      </c>
    </row>
    <row r="468" spans="1:8" ht="14.25" customHeight="1" x14ac:dyDescent="0.25">
      <c r="A468" s="3">
        <v>45532</v>
      </c>
      <c r="B468" s="41">
        <v>2024001642</v>
      </c>
      <c r="C468" s="1" t="s">
        <v>40</v>
      </c>
      <c r="D468" s="5">
        <v>7500000</v>
      </c>
      <c r="E468" s="1">
        <v>1085336362</v>
      </c>
      <c r="F468" s="1" t="s">
        <v>41</v>
      </c>
      <c r="G468" s="1" t="s">
        <v>9</v>
      </c>
      <c r="H468" t="e">
        <f>VLOOKUP(C468,'[1]873'!$C$2:$C$711,1,0)</f>
        <v>#N/A</v>
      </c>
    </row>
    <row r="469" spans="1:8" ht="14.25" customHeight="1" x14ac:dyDescent="0.25">
      <c r="A469" s="3">
        <v>45533</v>
      </c>
      <c r="B469" s="41">
        <v>2024001646</v>
      </c>
      <c r="C469" s="1" t="s">
        <v>362</v>
      </c>
      <c r="D469" s="5">
        <v>4825600</v>
      </c>
      <c r="E469" s="1">
        <v>1085321943</v>
      </c>
      <c r="F469" s="1" t="s">
        <v>363</v>
      </c>
      <c r="G469" s="1" t="s">
        <v>9</v>
      </c>
      <c r="H469" t="e">
        <f>VLOOKUP(C469,'[1]873'!$C$2:$C$711,1,0)</f>
        <v>#N/A</v>
      </c>
    </row>
    <row r="470" spans="1:8" ht="14.25" customHeight="1" x14ac:dyDescent="0.25">
      <c r="A470" s="3">
        <v>45533</v>
      </c>
      <c r="B470" s="41">
        <v>2024001647</v>
      </c>
      <c r="C470" s="1" t="s">
        <v>364</v>
      </c>
      <c r="D470" s="5">
        <v>2000000</v>
      </c>
      <c r="E470" s="1">
        <v>1004726758</v>
      </c>
      <c r="F470" s="1" t="s">
        <v>365</v>
      </c>
      <c r="G470" s="1" t="s">
        <v>9</v>
      </c>
      <c r="H470" t="e">
        <f>VLOOKUP(C470,'[1]873'!$C$2:$C$711,1,0)</f>
        <v>#N/A</v>
      </c>
    </row>
    <row r="471" spans="1:8" ht="14.25" customHeight="1" x14ac:dyDescent="0.25">
      <c r="A471" s="3">
        <v>45533</v>
      </c>
      <c r="B471" s="41">
        <v>2024001648</v>
      </c>
      <c r="C471" s="1" t="s">
        <v>366</v>
      </c>
      <c r="D471" s="5">
        <v>2000000</v>
      </c>
      <c r="E471" s="1">
        <v>1004508436</v>
      </c>
      <c r="F471" s="1" t="s">
        <v>367</v>
      </c>
      <c r="G471" s="1" t="s">
        <v>9</v>
      </c>
      <c r="H471" t="e">
        <f>VLOOKUP(C471,'[1]873'!$C$2:$C$711,1,0)</f>
        <v>#N/A</v>
      </c>
    </row>
    <row r="472" spans="1:8" ht="14.25" customHeight="1" x14ac:dyDescent="0.25">
      <c r="A472" s="3">
        <v>45533</v>
      </c>
      <c r="B472" s="41">
        <v>2024001649</v>
      </c>
      <c r="C472" s="1" t="s">
        <v>368</v>
      </c>
      <c r="D472" s="5">
        <v>2000000</v>
      </c>
      <c r="E472" s="1">
        <v>1085338135</v>
      </c>
      <c r="F472" s="1" t="s">
        <v>369</v>
      </c>
      <c r="G472" s="1" t="s">
        <v>9</v>
      </c>
      <c r="H472" t="e">
        <f>VLOOKUP(C472,'[1]873'!$C$2:$C$711,1,0)</f>
        <v>#N/A</v>
      </c>
    </row>
    <row r="473" spans="1:8" ht="14.25" customHeight="1" x14ac:dyDescent="0.25">
      <c r="A473" s="3">
        <v>45533</v>
      </c>
      <c r="B473" s="41">
        <v>2024001650</v>
      </c>
      <c r="C473" s="1" t="s">
        <v>370</v>
      </c>
      <c r="D473" s="5">
        <v>2000000</v>
      </c>
      <c r="E473" s="1">
        <v>1085269090</v>
      </c>
      <c r="F473" s="1" t="s">
        <v>371</v>
      </c>
      <c r="G473" s="1" t="s">
        <v>9</v>
      </c>
      <c r="H473" t="e">
        <f>VLOOKUP(C473,'[1]873'!$C$2:$C$711,1,0)</f>
        <v>#N/A</v>
      </c>
    </row>
    <row r="474" spans="1:8" ht="14.25" customHeight="1" x14ac:dyDescent="0.25">
      <c r="A474" s="3">
        <v>45537</v>
      </c>
      <c r="B474" s="41">
        <v>2024001654</v>
      </c>
      <c r="C474" s="1" t="s">
        <v>192</v>
      </c>
      <c r="D474" s="5">
        <v>7500000</v>
      </c>
      <c r="E474" s="1">
        <v>1126004086</v>
      </c>
      <c r="F474" s="1" t="s">
        <v>193</v>
      </c>
      <c r="G474" s="1" t="s">
        <v>9</v>
      </c>
      <c r="H474" t="e">
        <f>VLOOKUP(C474,'[1]873'!$C$2:$C$711,1,0)</f>
        <v>#N/A</v>
      </c>
    </row>
    <row r="475" spans="1:8" ht="14.25" customHeight="1" x14ac:dyDescent="0.25">
      <c r="A475" s="3">
        <v>45537</v>
      </c>
      <c r="B475" s="41">
        <v>2024001665</v>
      </c>
      <c r="C475" s="1" t="s">
        <v>112</v>
      </c>
      <c r="D475" s="5">
        <v>6000000</v>
      </c>
      <c r="E475" s="1">
        <v>1004213964</v>
      </c>
      <c r="F475" s="1" t="s">
        <v>113</v>
      </c>
      <c r="G475" s="1" t="s">
        <v>9</v>
      </c>
      <c r="H475" t="e">
        <f>VLOOKUP(C475,'[1]873'!$C$2:$C$711,1,0)</f>
        <v>#N/A</v>
      </c>
    </row>
    <row r="476" spans="1:8" ht="14.25" customHeight="1" x14ac:dyDescent="0.25">
      <c r="A476" s="3">
        <v>45537</v>
      </c>
      <c r="B476" s="41">
        <v>2024001670</v>
      </c>
      <c r="C476" s="1" t="s">
        <v>372</v>
      </c>
      <c r="D476" s="5">
        <v>2000000</v>
      </c>
      <c r="E476" s="1">
        <v>59311646</v>
      </c>
      <c r="F476" s="1" t="s">
        <v>373</v>
      </c>
      <c r="G476" s="1" t="s">
        <v>9</v>
      </c>
      <c r="H476" t="e">
        <f>VLOOKUP(C476,'[1]873'!$C$2:$C$711,1,0)</f>
        <v>#N/A</v>
      </c>
    </row>
    <row r="477" spans="1:8" ht="14.25" customHeight="1" x14ac:dyDescent="0.25">
      <c r="A477" s="3">
        <v>45538</v>
      </c>
      <c r="B477" s="41">
        <v>2024001685</v>
      </c>
      <c r="C477" s="1" t="s">
        <v>54</v>
      </c>
      <c r="D477" s="5">
        <v>6000000</v>
      </c>
      <c r="E477" s="1">
        <v>1085246134</v>
      </c>
      <c r="F477" s="1" t="s">
        <v>55</v>
      </c>
      <c r="G477" s="1" t="s">
        <v>9</v>
      </c>
      <c r="H477" t="e">
        <f>VLOOKUP(C477,'[1]873'!$C$2:$C$711,1,0)</f>
        <v>#N/A</v>
      </c>
    </row>
    <row r="478" spans="1:8" ht="14.25" customHeight="1" x14ac:dyDescent="0.25">
      <c r="A478" s="3">
        <v>45538</v>
      </c>
      <c r="B478" s="41">
        <v>2024001686</v>
      </c>
      <c r="C478" s="1" t="s">
        <v>374</v>
      </c>
      <c r="D478" s="5">
        <v>2000000</v>
      </c>
      <c r="E478" s="1">
        <v>1085289798</v>
      </c>
      <c r="F478" s="1" t="s">
        <v>375</v>
      </c>
      <c r="G478" s="1" t="s">
        <v>9</v>
      </c>
      <c r="H478" t="e">
        <f>VLOOKUP(C478,'[1]873'!$C$2:$C$711,1,0)</f>
        <v>#N/A</v>
      </c>
    </row>
    <row r="479" spans="1:8" ht="14.25" customHeight="1" x14ac:dyDescent="0.25">
      <c r="A479" s="3">
        <v>45538</v>
      </c>
      <c r="B479" s="41">
        <v>2024001687</v>
      </c>
      <c r="C479" s="1" t="s">
        <v>212</v>
      </c>
      <c r="D479" s="5">
        <v>2000000</v>
      </c>
      <c r="E479" s="1">
        <v>5930737</v>
      </c>
      <c r="F479" s="1" t="s">
        <v>213</v>
      </c>
      <c r="G479" s="1" t="s">
        <v>9</v>
      </c>
      <c r="H479" t="e">
        <f>VLOOKUP(C479,'[1]873'!$C$2:$C$711,1,0)</f>
        <v>#N/A</v>
      </c>
    </row>
    <row r="480" spans="1:8" ht="14.25" customHeight="1" x14ac:dyDescent="0.25">
      <c r="A480" s="3">
        <v>45538</v>
      </c>
      <c r="B480" s="41">
        <v>2024001688</v>
      </c>
      <c r="C480" s="1" t="s">
        <v>376</v>
      </c>
      <c r="D480" s="5">
        <v>4825600</v>
      </c>
      <c r="E480" s="1">
        <v>37082349</v>
      </c>
      <c r="F480" s="1" t="s">
        <v>377</v>
      </c>
      <c r="G480" s="1" t="s">
        <v>9</v>
      </c>
      <c r="H480" t="e">
        <f>VLOOKUP(C480,'[1]873'!$C$2:$C$711,1,0)</f>
        <v>#N/A</v>
      </c>
    </row>
    <row r="481" spans="1:8" ht="14.25" customHeight="1" x14ac:dyDescent="0.25">
      <c r="A481" s="3">
        <v>45539</v>
      </c>
      <c r="B481" s="41">
        <v>2024001694</v>
      </c>
      <c r="C481" s="1" t="s">
        <v>56</v>
      </c>
      <c r="D481" s="5">
        <v>4825600</v>
      </c>
      <c r="E481" s="1">
        <v>1193385736</v>
      </c>
      <c r="F481" s="1" t="s">
        <v>57</v>
      </c>
      <c r="G481" s="1" t="s">
        <v>9</v>
      </c>
      <c r="H481" t="e">
        <f>VLOOKUP(C481,'[1]873'!$C$2:$C$711,1,0)</f>
        <v>#N/A</v>
      </c>
    </row>
    <row r="482" spans="1:8" ht="14.25" customHeight="1" x14ac:dyDescent="0.25">
      <c r="A482" s="3">
        <v>45539</v>
      </c>
      <c r="B482" s="41">
        <v>2024001695</v>
      </c>
      <c r="C482" s="1" t="s">
        <v>226</v>
      </c>
      <c r="D482" s="5">
        <v>2000000</v>
      </c>
      <c r="E482" s="1">
        <v>1085338575</v>
      </c>
      <c r="F482" s="1" t="s">
        <v>227</v>
      </c>
      <c r="G482" s="1" t="s">
        <v>9</v>
      </c>
      <c r="H482" t="e">
        <f>VLOOKUP(C482,'[1]873'!$C$2:$C$711,1,0)</f>
        <v>#N/A</v>
      </c>
    </row>
    <row r="483" spans="1:8" ht="14.25" customHeight="1" x14ac:dyDescent="0.25">
      <c r="A483" s="3">
        <v>45539</v>
      </c>
      <c r="B483" s="41">
        <v>2024001696</v>
      </c>
      <c r="C483" s="1" t="s">
        <v>72</v>
      </c>
      <c r="D483" s="5">
        <v>2000000</v>
      </c>
      <c r="E483" s="1">
        <v>1085323101</v>
      </c>
      <c r="F483" s="1" t="s">
        <v>73</v>
      </c>
      <c r="G483" s="1" t="s">
        <v>9</v>
      </c>
      <c r="H483" t="e">
        <f>VLOOKUP(C483,'[1]873'!$C$2:$C$711,1,0)</f>
        <v>#N/A</v>
      </c>
    </row>
    <row r="484" spans="1:8" ht="14.25" customHeight="1" x14ac:dyDescent="0.25">
      <c r="A484" s="3">
        <v>45539</v>
      </c>
      <c r="B484" s="41">
        <v>2024001697</v>
      </c>
      <c r="C484" s="1" t="s">
        <v>90</v>
      </c>
      <c r="D484" s="5">
        <v>4750000</v>
      </c>
      <c r="E484" s="1">
        <v>1085263018</v>
      </c>
      <c r="F484" s="1" t="s">
        <v>91</v>
      </c>
      <c r="G484" s="1" t="s">
        <v>9</v>
      </c>
      <c r="H484" t="e">
        <f>VLOOKUP(C484,'[1]873'!$C$2:$C$711,1,0)</f>
        <v>#N/A</v>
      </c>
    </row>
    <row r="485" spans="1:8" ht="14.25" customHeight="1" x14ac:dyDescent="0.25">
      <c r="A485" s="3">
        <v>45539</v>
      </c>
      <c r="B485" s="41">
        <v>2024001698</v>
      </c>
      <c r="C485" s="1" t="s">
        <v>50</v>
      </c>
      <c r="D485" s="5">
        <v>2000000</v>
      </c>
      <c r="E485" s="1">
        <v>12974849</v>
      </c>
      <c r="F485" s="1" t="s">
        <v>51</v>
      </c>
      <c r="G485" s="1" t="s">
        <v>9</v>
      </c>
      <c r="H485" t="e">
        <f>VLOOKUP(C485,'[1]873'!$C$2:$C$711,1,0)</f>
        <v>#N/A</v>
      </c>
    </row>
    <row r="486" spans="1:8" ht="14.25" customHeight="1" x14ac:dyDescent="0.25">
      <c r="A486" s="3">
        <v>45539</v>
      </c>
      <c r="B486" s="41">
        <v>2024001699</v>
      </c>
      <c r="C486" s="1" t="s">
        <v>378</v>
      </c>
      <c r="D486" s="5">
        <v>7500000</v>
      </c>
      <c r="E486" s="1">
        <v>1085332934</v>
      </c>
      <c r="F486" s="1" t="s">
        <v>379</v>
      </c>
      <c r="G486" s="1" t="s">
        <v>9</v>
      </c>
      <c r="H486" t="e">
        <f>VLOOKUP(C486,'[1]873'!$C$2:$C$711,1,0)</f>
        <v>#N/A</v>
      </c>
    </row>
    <row r="487" spans="1:8" ht="14.25" customHeight="1" x14ac:dyDescent="0.25">
      <c r="A487" s="3">
        <v>45539</v>
      </c>
      <c r="B487" s="41">
        <v>2024001700</v>
      </c>
      <c r="C487" s="1" t="s">
        <v>60</v>
      </c>
      <c r="D487" s="5">
        <v>7500000</v>
      </c>
      <c r="E487" s="1">
        <v>1085321192</v>
      </c>
      <c r="F487" s="1" t="s">
        <v>61</v>
      </c>
      <c r="G487" s="1" t="s">
        <v>9</v>
      </c>
      <c r="H487" t="e">
        <f>VLOOKUP(C487,'[1]873'!$C$2:$C$711,1,0)</f>
        <v>#N/A</v>
      </c>
    </row>
    <row r="488" spans="1:8" ht="14.25" customHeight="1" x14ac:dyDescent="0.25">
      <c r="A488" s="3">
        <v>45539</v>
      </c>
      <c r="B488" s="41">
        <v>2024001701</v>
      </c>
      <c r="C488" s="1" t="s">
        <v>14</v>
      </c>
      <c r="D488" s="5">
        <v>4825600</v>
      </c>
      <c r="E488" s="1">
        <v>1085338534</v>
      </c>
      <c r="F488" s="1" t="s">
        <v>15</v>
      </c>
      <c r="G488" s="1" t="s">
        <v>9</v>
      </c>
      <c r="H488" t="e">
        <f>VLOOKUP(C488,'[1]873'!$C$2:$C$711,1,0)</f>
        <v>#N/A</v>
      </c>
    </row>
    <row r="489" spans="1:8" ht="14.25" customHeight="1" x14ac:dyDescent="0.25">
      <c r="A489" s="3">
        <v>45539</v>
      </c>
      <c r="B489" s="41">
        <v>2024001702</v>
      </c>
      <c r="C489" s="1" t="s">
        <v>106</v>
      </c>
      <c r="D489" s="5">
        <v>2000000</v>
      </c>
      <c r="E489" s="1">
        <v>36758143</v>
      </c>
      <c r="F489" s="1" t="s">
        <v>107</v>
      </c>
      <c r="G489" s="1" t="s">
        <v>9</v>
      </c>
      <c r="H489" t="e">
        <f>VLOOKUP(C489,'[1]873'!$C$2:$C$711,1,0)</f>
        <v>#N/A</v>
      </c>
    </row>
    <row r="490" spans="1:8" ht="14.25" customHeight="1" x14ac:dyDescent="0.25">
      <c r="A490" s="3">
        <v>45539</v>
      </c>
      <c r="B490" s="41">
        <v>2024001703</v>
      </c>
      <c r="C490" s="1" t="s">
        <v>108</v>
      </c>
      <c r="D490" s="5">
        <v>2000000</v>
      </c>
      <c r="E490" s="1">
        <v>1004232508</v>
      </c>
      <c r="F490" s="1" t="s">
        <v>109</v>
      </c>
      <c r="G490" s="1" t="s">
        <v>9</v>
      </c>
      <c r="H490" t="e">
        <f>VLOOKUP(C490,'[1]873'!$C$2:$C$711,1,0)</f>
        <v>#N/A</v>
      </c>
    </row>
    <row r="491" spans="1:8" ht="14.25" customHeight="1" x14ac:dyDescent="0.25">
      <c r="A491" s="3">
        <v>45539</v>
      </c>
      <c r="B491" s="41">
        <v>2024001704</v>
      </c>
      <c r="C491" s="1" t="s">
        <v>46</v>
      </c>
      <c r="D491" s="5">
        <v>4750000</v>
      </c>
      <c r="E491" s="1">
        <v>1087414586</v>
      </c>
      <c r="F491" s="1" t="s">
        <v>47</v>
      </c>
      <c r="G491" s="1" t="s">
        <v>9</v>
      </c>
      <c r="H491" t="e">
        <f>VLOOKUP(C491,'[1]873'!$C$2:$C$711,1,0)</f>
        <v>#N/A</v>
      </c>
    </row>
    <row r="492" spans="1:8" ht="14.25" customHeight="1" x14ac:dyDescent="0.25">
      <c r="A492" s="3">
        <v>45539</v>
      </c>
      <c r="B492" s="41">
        <v>2024001705</v>
      </c>
      <c r="C492" s="1" t="s">
        <v>380</v>
      </c>
      <c r="D492" s="5">
        <v>2000000</v>
      </c>
      <c r="E492" s="1">
        <v>1085324107</v>
      </c>
      <c r="F492" s="1" t="s">
        <v>381</v>
      </c>
      <c r="G492" s="1" t="s">
        <v>9</v>
      </c>
      <c r="H492" t="e">
        <f>VLOOKUP(C492,'[1]873'!$C$2:$C$711,1,0)</f>
        <v>#N/A</v>
      </c>
    </row>
    <row r="493" spans="1:8" ht="14.25" customHeight="1" x14ac:dyDescent="0.25">
      <c r="A493" s="3">
        <v>45539</v>
      </c>
      <c r="B493" s="41">
        <v>2024001706</v>
      </c>
      <c r="C493" s="1" t="s">
        <v>382</v>
      </c>
      <c r="D493" s="5">
        <v>2000000</v>
      </c>
      <c r="E493" s="1">
        <v>36753698</v>
      </c>
      <c r="F493" s="1" t="s">
        <v>383</v>
      </c>
      <c r="G493" s="1" t="s">
        <v>9</v>
      </c>
      <c r="H493" t="e">
        <f>VLOOKUP(C493,'[1]873'!$C$2:$C$711,1,0)</f>
        <v>#N/A</v>
      </c>
    </row>
    <row r="494" spans="1:8" ht="14.25" customHeight="1" x14ac:dyDescent="0.25">
      <c r="A494" s="3">
        <v>45539</v>
      </c>
      <c r="B494" s="41">
        <v>2024001707</v>
      </c>
      <c r="C494" s="1" t="s">
        <v>160</v>
      </c>
      <c r="D494" s="5">
        <v>7500000</v>
      </c>
      <c r="E494" s="1">
        <v>1085304670</v>
      </c>
      <c r="F494" s="1" t="s">
        <v>161</v>
      </c>
      <c r="G494" s="1" t="s">
        <v>9</v>
      </c>
      <c r="H494" t="e">
        <f>VLOOKUP(C494,'[1]873'!$C$2:$C$711,1,0)</f>
        <v>#N/A</v>
      </c>
    </row>
    <row r="495" spans="1:8" ht="14.25" customHeight="1" x14ac:dyDescent="0.25">
      <c r="A495" s="3">
        <v>45539</v>
      </c>
      <c r="B495" s="41">
        <v>2024001708</v>
      </c>
      <c r="C495" s="1" t="s">
        <v>228</v>
      </c>
      <c r="D495" s="5">
        <v>2000000</v>
      </c>
      <c r="E495" s="1">
        <v>1193271854</v>
      </c>
      <c r="F495" s="1" t="s">
        <v>229</v>
      </c>
      <c r="G495" s="1" t="s">
        <v>9</v>
      </c>
      <c r="H495" t="e">
        <f>VLOOKUP(C495,'[1]873'!$C$2:$C$711,1,0)</f>
        <v>#N/A</v>
      </c>
    </row>
    <row r="496" spans="1:8" ht="14.25" customHeight="1" x14ac:dyDescent="0.25">
      <c r="A496" s="3">
        <v>45539</v>
      </c>
      <c r="B496" s="41">
        <v>2024001709</v>
      </c>
      <c r="C496" s="1" t="s">
        <v>48</v>
      </c>
      <c r="D496" s="5">
        <v>6000000</v>
      </c>
      <c r="E496" s="1">
        <v>27097289</v>
      </c>
      <c r="F496" s="1" t="s">
        <v>49</v>
      </c>
      <c r="G496" s="1" t="s">
        <v>9</v>
      </c>
      <c r="H496" t="e">
        <f>VLOOKUP(C496,'[1]873'!$C$2:$C$711,1,0)</f>
        <v>#N/A</v>
      </c>
    </row>
    <row r="497" spans="1:8" ht="14.25" customHeight="1" x14ac:dyDescent="0.25">
      <c r="A497" s="3">
        <v>45539</v>
      </c>
      <c r="B497" s="41">
        <v>2024001710</v>
      </c>
      <c r="C497" s="1" t="s">
        <v>68</v>
      </c>
      <c r="D497" s="5">
        <v>7500000</v>
      </c>
      <c r="E497" s="1">
        <v>80765093</v>
      </c>
      <c r="F497" s="1" t="s">
        <v>69</v>
      </c>
      <c r="G497" s="1" t="s">
        <v>9</v>
      </c>
      <c r="H497" t="e">
        <f>VLOOKUP(C497,'[1]873'!$C$2:$C$711,1,0)</f>
        <v>#N/A</v>
      </c>
    </row>
    <row r="498" spans="1:8" ht="14.25" customHeight="1" x14ac:dyDescent="0.25">
      <c r="A498" s="3">
        <v>45539</v>
      </c>
      <c r="B498" s="41">
        <v>2024001711</v>
      </c>
      <c r="C498" s="1" t="s">
        <v>82</v>
      </c>
      <c r="D498" s="5">
        <v>7500000</v>
      </c>
      <c r="E498" s="1">
        <v>1085329230</v>
      </c>
      <c r="F498" s="1" t="s">
        <v>83</v>
      </c>
      <c r="G498" s="1" t="s">
        <v>9</v>
      </c>
      <c r="H498" t="e">
        <f>VLOOKUP(C498,'[1]873'!$C$2:$C$711,1,0)</f>
        <v>#N/A</v>
      </c>
    </row>
    <row r="499" spans="1:8" ht="14.25" customHeight="1" x14ac:dyDescent="0.25">
      <c r="A499" s="3">
        <v>45540</v>
      </c>
      <c r="B499" s="41">
        <v>2024001716</v>
      </c>
      <c r="C499" s="1" t="s">
        <v>18</v>
      </c>
      <c r="D499" s="5">
        <v>6000000</v>
      </c>
      <c r="E499" s="1">
        <v>1089242085</v>
      </c>
      <c r="F499" s="1" t="s">
        <v>19</v>
      </c>
      <c r="G499" s="1" t="s">
        <v>9</v>
      </c>
      <c r="H499" t="e">
        <f>VLOOKUP(C499,'[1]873'!$C$2:$C$711,1,0)</f>
        <v>#N/A</v>
      </c>
    </row>
    <row r="500" spans="1:8" ht="14.25" customHeight="1" x14ac:dyDescent="0.25">
      <c r="A500" s="3">
        <v>45540</v>
      </c>
      <c r="B500" s="41">
        <v>2024001718</v>
      </c>
      <c r="C500" s="1" t="s">
        <v>384</v>
      </c>
      <c r="D500" s="5">
        <v>6000000</v>
      </c>
      <c r="E500" s="1">
        <v>1085286476</v>
      </c>
      <c r="F500" s="1" t="s">
        <v>385</v>
      </c>
      <c r="G500" s="1" t="s">
        <v>9</v>
      </c>
      <c r="H500" t="e">
        <f>VLOOKUP(C500,'[1]873'!$C$2:$C$711,1,0)</f>
        <v>#N/A</v>
      </c>
    </row>
    <row r="501" spans="1:8" ht="14.25" customHeight="1" x14ac:dyDescent="0.25">
      <c r="A501" s="3">
        <v>45540</v>
      </c>
      <c r="B501" s="41">
        <v>2024001719</v>
      </c>
      <c r="C501" s="1" t="s">
        <v>96</v>
      </c>
      <c r="D501" s="5">
        <v>2000000</v>
      </c>
      <c r="E501" s="1">
        <v>59178610</v>
      </c>
      <c r="F501" s="1" t="s">
        <v>97</v>
      </c>
      <c r="G501" s="1" t="s">
        <v>9</v>
      </c>
      <c r="H501" t="e">
        <f>VLOOKUP(C501,'[1]873'!$C$2:$C$711,1,0)</f>
        <v>#N/A</v>
      </c>
    </row>
    <row r="502" spans="1:8" ht="14.25" customHeight="1" x14ac:dyDescent="0.25">
      <c r="A502" s="3">
        <v>45540</v>
      </c>
      <c r="B502" s="41">
        <v>2024001720</v>
      </c>
      <c r="C502" s="1" t="s">
        <v>386</v>
      </c>
      <c r="D502" s="5">
        <v>2000000</v>
      </c>
      <c r="E502" s="1">
        <v>1030606749</v>
      </c>
      <c r="F502" s="1" t="s">
        <v>387</v>
      </c>
      <c r="G502" s="1" t="s">
        <v>9</v>
      </c>
      <c r="H502" t="e">
        <f>VLOOKUP(C502,'[1]873'!$C$2:$C$711,1,0)</f>
        <v>#N/A</v>
      </c>
    </row>
    <row r="503" spans="1:8" ht="14.25" customHeight="1" x14ac:dyDescent="0.25">
      <c r="A503" s="3">
        <v>45540</v>
      </c>
      <c r="B503" s="41">
        <v>2024001721</v>
      </c>
      <c r="C503" s="1" t="s">
        <v>272</v>
      </c>
      <c r="D503" s="5">
        <v>4825600</v>
      </c>
      <c r="E503" s="1">
        <v>1085332406</v>
      </c>
      <c r="F503" s="1" t="s">
        <v>273</v>
      </c>
      <c r="G503" s="1" t="s">
        <v>9</v>
      </c>
      <c r="H503" t="e">
        <f>VLOOKUP(C503,'[1]873'!$C$2:$C$711,1,0)</f>
        <v>#N/A</v>
      </c>
    </row>
    <row r="504" spans="1:8" ht="14.25" customHeight="1" x14ac:dyDescent="0.25">
      <c r="A504" s="3">
        <v>45540</v>
      </c>
      <c r="B504" s="41">
        <v>2024001728</v>
      </c>
      <c r="C504" s="1" t="s">
        <v>388</v>
      </c>
      <c r="D504" s="5">
        <v>6000000</v>
      </c>
      <c r="E504" s="1">
        <v>1085289928</v>
      </c>
      <c r="F504" s="1" t="s">
        <v>389</v>
      </c>
      <c r="G504" s="1" t="s">
        <v>9</v>
      </c>
      <c r="H504" t="e">
        <f>VLOOKUP(C504,'[1]873'!$C$2:$C$711,1,0)</f>
        <v>#N/A</v>
      </c>
    </row>
    <row r="505" spans="1:8" ht="14.25" customHeight="1" x14ac:dyDescent="0.25">
      <c r="A505" s="3">
        <v>45540</v>
      </c>
      <c r="B505" s="41">
        <v>2024001729</v>
      </c>
      <c r="C505" s="1" t="s">
        <v>130</v>
      </c>
      <c r="D505" s="5">
        <v>4825600</v>
      </c>
      <c r="E505" s="1">
        <v>1087643211</v>
      </c>
      <c r="F505" s="1" t="s">
        <v>131</v>
      </c>
      <c r="G505" s="1" t="s">
        <v>9</v>
      </c>
      <c r="H505" t="e">
        <f>VLOOKUP(C505,'[1]873'!$C$2:$C$711,1,0)</f>
        <v>#N/A</v>
      </c>
    </row>
    <row r="506" spans="1:8" ht="14.25" customHeight="1" x14ac:dyDescent="0.25">
      <c r="A506" s="3">
        <v>45540</v>
      </c>
      <c r="B506" s="41">
        <v>2024001731</v>
      </c>
      <c r="C506" s="1" t="s">
        <v>66</v>
      </c>
      <c r="D506" s="5">
        <v>2000000</v>
      </c>
      <c r="E506" s="1">
        <v>1193265360</v>
      </c>
      <c r="F506" s="1" t="s">
        <v>67</v>
      </c>
      <c r="G506" s="1" t="s">
        <v>9</v>
      </c>
      <c r="H506" t="e">
        <f>VLOOKUP(C506,'[1]873'!$C$2:$C$711,1,0)</f>
        <v>#N/A</v>
      </c>
    </row>
    <row r="507" spans="1:8" ht="14.25" customHeight="1" x14ac:dyDescent="0.25">
      <c r="A507" s="3">
        <v>45540</v>
      </c>
      <c r="B507" s="41">
        <v>2024001732</v>
      </c>
      <c r="C507" s="1" t="s">
        <v>120</v>
      </c>
      <c r="D507" s="5">
        <v>2000000</v>
      </c>
      <c r="E507" s="1">
        <v>59834953</v>
      </c>
      <c r="F507" s="1" t="s">
        <v>121</v>
      </c>
      <c r="G507" s="1" t="s">
        <v>9</v>
      </c>
      <c r="H507" t="e">
        <f>VLOOKUP(C507,'[1]873'!$C$2:$C$711,1,0)</f>
        <v>#N/A</v>
      </c>
    </row>
    <row r="508" spans="1:8" ht="14.25" customHeight="1" x14ac:dyDescent="0.25">
      <c r="A508" s="3">
        <v>45540</v>
      </c>
      <c r="B508" s="41">
        <v>2024001734</v>
      </c>
      <c r="C508" s="1" t="s">
        <v>240</v>
      </c>
      <c r="D508" s="5">
        <v>4825600</v>
      </c>
      <c r="E508" s="1">
        <v>1085289739</v>
      </c>
      <c r="F508" s="1" t="s">
        <v>241</v>
      </c>
      <c r="G508" s="1" t="s">
        <v>9</v>
      </c>
      <c r="H508" t="e">
        <f>VLOOKUP(C508,'[1]873'!$C$2:$C$711,1,0)</f>
        <v>#N/A</v>
      </c>
    </row>
    <row r="509" spans="1:8" ht="14.25" customHeight="1" x14ac:dyDescent="0.25">
      <c r="A509" s="3">
        <v>45540</v>
      </c>
      <c r="B509" s="41">
        <v>2024001735</v>
      </c>
      <c r="C509" s="1" t="s">
        <v>216</v>
      </c>
      <c r="D509" s="5">
        <v>6000000</v>
      </c>
      <c r="E509" s="1">
        <v>27109314</v>
      </c>
      <c r="F509" s="1" t="s">
        <v>217</v>
      </c>
      <c r="G509" s="1" t="s">
        <v>9</v>
      </c>
      <c r="H509" t="e">
        <f>VLOOKUP(C509,'[1]873'!$C$2:$C$711,1,0)</f>
        <v>#N/A</v>
      </c>
    </row>
    <row r="510" spans="1:8" ht="14.25" customHeight="1" x14ac:dyDescent="0.25">
      <c r="A510" s="3">
        <v>45540</v>
      </c>
      <c r="B510" s="41">
        <v>2024001736</v>
      </c>
      <c r="C510" s="1" t="s">
        <v>390</v>
      </c>
      <c r="D510" s="5">
        <v>4750000</v>
      </c>
      <c r="E510" s="1">
        <v>36953206</v>
      </c>
      <c r="F510" s="1" t="s">
        <v>391</v>
      </c>
      <c r="G510" s="1" t="s">
        <v>9</v>
      </c>
      <c r="H510" t="e">
        <f>VLOOKUP(C510,'[1]873'!$C$2:$C$711,1,0)</f>
        <v>#N/A</v>
      </c>
    </row>
    <row r="511" spans="1:8" ht="14.25" customHeight="1" x14ac:dyDescent="0.25">
      <c r="A511" s="3">
        <v>45540</v>
      </c>
      <c r="B511" s="41">
        <v>2024001737</v>
      </c>
      <c r="C511" s="1" t="s">
        <v>168</v>
      </c>
      <c r="D511" s="5">
        <v>4750000</v>
      </c>
      <c r="E511" s="1">
        <v>1085273424</v>
      </c>
      <c r="F511" s="1" t="s">
        <v>169</v>
      </c>
      <c r="G511" s="1" t="s">
        <v>9</v>
      </c>
      <c r="H511" t="e">
        <f>VLOOKUP(C511,'[1]873'!$C$2:$C$711,1,0)</f>
        <v>#N/A</v>
      </c>
    </row>
    <row r="512" spans="1:8" ht="14.25" customHeight="1" x14ac:dyDescent="0.25">
      <c r="A512" s="3">
        <v>45540</v>
      </c>
      <c r="B512" s="41">
        <v>2024001738</v>
      </c>
      <c r="C512" s="1" t="s">
        <v>392</v>
      </c>
      <c r="D512" s="5">
        <v>7500000</v>
      </c>
      <c r="E512" s="1">
        <v>1085320661</v>
      </c>
      <c r="F512" s="1" t="s">
        <v>393</v>
      </c>
      <c r="G512" s="1" t="s">
        <v>9</v>
      </c>
      <c r="H512" t="e">
        <f>VLOOKUP(C512,'[1]873'!$C$2:$C$711,1,0)</f>
        <v>#N/A</v>
      </c>
    </row>
    <row r="513" spans="1:8" ht="14.25" customHeight="1" x14ac:dyDescent="0.25">
      <c r="A513" s="3">
        <v>45540</v>
      </c>
      <c r="B513" s="41">
        <v>2024001739</v>
      </c>
      <c r="C513" s="1" t="s">
        <v>144</v>
      </c>
      <c r="D513" s="5">
        <v>6000000</v>
      </c>
      <c r="E513" s="1">
        <v>59837608</v>
      </c>
      <c r="F513" s="1" t="s">
        <v>145</v>
      </c>
      <c r="G513" s="1" t="s">
        <v>9</v>
      </c>
      <c r="H513" t="e">
        <f>VLOOKUP(C513,'[1]873'!$C$2:$C$711,1,0)</f>
        <v>#N/A</v>
      </c>
    </row>
    <row r="514" spans="1:8" ht="14.25" customHeight="1" x14ac:dyDescent="0.25">
      <c r="A514" s="3">
        <v>45541</v>
      </c>
      <c r="B514" s="41">
        <v>2024001749</v>
      </c>
      <c r="C514" s="1" t="s">
        <v>394</v>
      </c>
      <c r="D514" s="5">
        <v>2000000</v>
      </c>
      <c r="E514" s="1">
        <v>59837416</v>
      </c>
      <c r="F514" s="1" t="s">
        <v>395</v>
      </c>
      <c r="G514" s="1" t="s">
        <v>9</v>
      </c>
      <c r="H514" t="e">
        <f>VLOOKUP(C514,'[1]873'!$C$2:$C$711,1,0)</f>
        <v>#N/A</v>
      </c>
    </row>
    <row r="515" spans="1:8" ht="14.25" customHeight="1" x14ac:dyDescent="0.25">
      <c r="A515" s="3">
        <v>45541</v>
      </c>
      <c r="B515" s="41">
        <v>2024001750</v>
      </c>
      <c r="C515" s="1" t="s">
        <v>186</v>
      </c>
      <c r="D515" s="5">
        <v>2000000</v>
      </c>
      <c r="E515" s="1">
        <v>1085296353</v>
      </c>
      <c r="F515" s="1" t="s">
        <v>187</v>
      </c>
      <c r="G515" s="1" t="s">
        <v>9</v>
      </c>
      <c r="H515" t="e">
        <f>VLOOKUP(C515,'[1]873'!$C$2:$C$711,1,0)</f>
        <v>#N/A</v>
      </c>
    </row>
    <row r="516" spans="1:8" ht="14.25" customHeight="1" x14ac:dyDescent="0.25">
      <c r="A516" s="3">
        <v>45541</v>
      </c>
      <c r="B516" s="41">
        <v>2024001751</v>
      </c>
      <c r="C516" s="1" t="s">
        <v>126</v>
      </c>
      <c r="D516" s="5">
        <v>4750000</v>
      </c>
      <c r="E516" s="1">
        <v>59312865</v>
      </c>
      <c r="F516" s="1" t="s">
        <v>127</v>
      </c>
      <c r="G516" s="1" t="s">
        <v>9</v>
      </c>
      <c r="H516" t="e">
        <f>VLOOKUP(C516,'[1]873'!$C$2:$C$711,1,0)</f>
        <v>#N/A</v>
      </c>
    </row>
    <row r="517" spans="1:8" ht="14.25" customHeight="1" x14ac:dyDescent="0.25">
      <c r="A517" s="3">
        <v>45541</v>
      </c>
      <c r="B517" s="41">
        <v>2024001753</v>
      </c>
      <c r="C517" s="1" t="s">
        <v>132</v>
      </c>
      <c r="D517" s="5">
        <v>4825600</v>
      </c>
      <c r="E517" s="1">
        <v>87062845</v>
      </c>
      <c r="F517" s="1" t="s">
        <v>133</v>
      </c>
      <c r="G517" s="1" t="s">
        <v>9</v>
      </c>
      <c r="H517" t="e">
        <f>VLOOKUP(C517,'[1]873'!$C$2:$C$711,1,0)</f>
        <v>#N/A</v>
      </c>
    </row>
    <row r="518" spans="1:8" ht="14.25" customHeight="1" x14ac:dyDescent="0.25">
      <c r="A518" s="3">
        <v>45541</v>
      </c>
      <c r="B518" s="41">
        <v>2024001754</v>
      </c>
      <c r="C518" s="1" t="s">
        <v>396</v>
      </c>
      <c r="D518" s="5">
        <v>2000000</v>
      </c>
      <c r="E518" s="1">
        <v>1004635031</v>
      </c>
      <c r="F518" s="1" t="s">
        <v>397</v>
      </c>
      <c r="G518" s="1" t="s">
        <v>9</v>
      </c>
      <c r="H518" t="e">
        <f>VLOOKUP(C518,'[1]873'!$C$2:$C$711,1,0)</f>
        <v>#N/A</v>
      </c>
    </row>
    <row r="519" spans="1:8" ht="14.25" customHeight="1" x14ac:dyDescent="0.25">
      <c r="A519" s="3">
        <v>45541</v>
      </c>
      <c r="B519" s="41">
        <v>2024001755</v>
      </c>
      <c r="C519" s="1" t="s">
        <v>310</v>
      </c>
      <c r="D519" s="5">
        <v>6000000</v>
      </c>
      <c r="E519" s="1">
        <v>59836926</v>
      </c>
      <c r="F519" s="1" t="s">
        <v>311</v>
      </c>
      <c r="G519" s="1" t="s">
        <v>9</v>
      </c>
      <c r="H519" t="e">
        <f>VLOOKUP(C519,'[1]873'!$C$2:$C$711,1,0)</f>
        <v>#N/A</v>
      </c>
    </row>
    <row r="520" spans="1:8" ht="14.25" customHeight="1" x14ac:dyDescent="0.25">
      <c r="A520" s="3">
        <v>45541</v>
      </c>
      <c r="B520" s="41">
        <v>2024001756</v>
      </c>
      <c r="C520" s="1" t="s">
        <v>176</v>
      </c>
      <c r="D520" s="5">
        <v>4825600</v>
      </c>
      <c r="E520" s="1">
        <v>27087851</v>
      </c>
      <c r="F520" s="1" t="s">
        <v>177</v>
      </c>
      <c r="G520" s="1" t="s">
        <v>9</v>
      </c>
      <c r="H520" t="e">
        <f>VLOOKUP(C520,'[1]873'!$C$2:$C$711,1,0)</f>
        <v>#N/A</v>
      </c>
    </row>
    <row r="521" spans="1:8" ht="14.25" customHeight="1" x14ac:dyDescent="0.25">
      <c r="A521" s="3">
        <v>45541</v>
      </c>
      <c r="B521" s="41">
        <v>2024001757</v>
      </c>
      <c r="C521" s="1" t="s">
        <v>84</v>
      </c>
      <c r="D521" s="5">
        <v>2000000</v>
      </c>
      <c r="E521" s="1">
        <v>1085327701</v>
      </c>
      <c r="F521" s="1" t="s">
        <v>85</v>
      </c>
      <c r="G521" s="1" t="s">
        <v>9</v>
      </c>
      <c r="H521" t="e">
        <f>VLOOKUP(C521,'[1]873'!$C$2:$C$711,1,0)</f>
        <v>#N/A</v>
      </c>
    </row>
    <row r="522" spans="1:8" ht="14.25" customHeight="1" x14ac:dyDescent="0.25">
      <c r="A522" s="3">
        <v>45541</v>
      </c>
      <c r="B522" s="41">
        <v>2024001758</v>
      </c>
      <c r="C522" s="1" t="s">
        <v>136</v>
      </c>
      <c r="D522" s="5">
        <v>7500000</v>
      </c>
      <c r="E522" s="1">
        <v>1151934571</v>
      </c>
      <c r="F522" s="1" t="s">
        <v>137</v>
      </c>
      <c r="G522" s="1" t="s">
        <v>9</v>
      </c>
      <c r="H522" t="e">
        <f>VLOOKUP(C522,'[1]873'!$C$2:$C$711,1,0)</f>
        <v>#N/A</v>
      </c>
    </row>
    <row r="523" spans="1:8" ht="14.25" customHeight="1" x14ac:dyDescent="0.25">
      <c r="A523" s="3">
        <v>45541</v>
      </c>
      <c r="B523" s="41">
        <v>2024001760</v>
      </c>
      <c r="C523" s="1" t="s">
        <v>398</v>
      </c>
      <c r="D523" s="5">
        <v>2000000</v>
      </c>
      <c r="E523" s="1">
        <v>98392455</v>
      </c>
      <c r="F523" s="1" t="s">
        <v>399</v>
      </c>
      <c r="G523" s="1" t="s">
        <v>9</v>
      </c>
      <c r="H523" t="e">
        <f>VLOOKUP(C523,'[1]873'!$C$2:$C$711,1,0)</f>
        <v>#N/A</v>
      </c>
    </row>
    <row r="524" spans="1:8" ht="14.25" customHeight="1" x14ac:dyDescent="0.25">
      <c r="A524" s="3">
        <v>45545</v>
      </c>
      <c r="B524" s="41">
        <v>2024001781</v>
      </c>
      <c r="C524" s="1" t="s">
        <v>76</v>
      </c>
      <c r="D524" s="5">
        <v>2000000</v>
      </c>
      <c r="E524" s="1">
        <v>1086362994</v>
      </c>
      <c r="F524" s="1" t="s">
        <v>77</v>
      </c>
      <c r="G524" s="1" t="s">
        <v>9</v>
      </c>
      <c r="H524" t="e">
        <f>VLOOKUP(C524,'[1]873'!$C$2:$C$711,1,0)</f>
        <v>#N/A</v>
      </c>
    </row>
    <row r="525" spans="1:8" ht="14.25" customHeight="1" x14ac:dyDescent="0.25">
      <c r="A525" s="3">
        <v>45545</v>
      </c>
      <c r="B525" s="41">
        <v>2024001782</v>
      </c>
      <c r="C525" s="1" t="s">
        <v>102</v>
      </c>
      <c r="D525" s="5">
        <v>2000000</v>
      </c>
      <c r="E525" s="1">
        <v>59813323</v>
      </c>
      <c r="F525" s="1" t="s">
        <v>103</v>
      </c>
      <c r="G525" s="1" t="s">
        <v>9</v>
      </c>
      <c r="H525" t="e">
        <f>VLOOKUP(C525,'[1]873'!$C$2:$C$711,1,0)</f>
        <v>#N/A</v>
      </c>
    </row>
    <row r="526" spans="1:8" ht="14.25" customHeight="1" x14ac:dyDescent="0.25">
      <c r="A526" s="3">
        <v>45545</v>
      </c>
      <c r="B526" s="41">
        <v>2024001783</v>
      </c>
      <c r="C526" s="1" t="s">
        <v>10</v>
      </c>
      <c r="D526" s="5">
        <v>2000000</v>
      </c>
      <c r="E526" s="1">
        <v>1085317833</v>
      </c>
      <c r="F526" s="1" t="s">
        <v>11</v>
      </c>
      <c r="G526" s="1" t="s">
        <v>9</v>
      </c>
      <c r="H526" t="e">
        <f>VLOOKUP(C526,'[1]873'!$C$2:$C$711,1,0)</f>
        <v>#N/A</v>
      </c>
    </row>
    <row r="527" spans="1:8" ht="14.25" customHeight="1" x14ac:dyDescent="0.25">
      <c r="A527" s="3">
        <v>45545</v>
      </c>
      <c r="B527" s="41">
        <v>2024001784</v>
      </c>
      <c r="C527" s="1" t="s">
        <v>116</v>
      </c>
      <c r="D527" s="5">
        <v>6000000</v>
      </c>
      <c r="E527" s="1">
        <v>1085275879</v>
      </c>
      <c r="F527" s="1" t="s">
        <v>117</v>
      </c>
      <c r="G527" s="1" t="s">
        <v>9</v>
      </c>
      <c r="H527" t="e">
        <f>VLOOKUP(C527,'[1]873'!$C$2:$C$711,1,0)</f>
        <v>#N/A</v>
      </c>
    </row>
    <row r="528" spans="1:8" ht="14.25" customHeight="1" x14ac:dyDescent="0.25">
      <c r="A528" s="3">
        <v>45545</v>
      </c>
      <c r="B528" s="41">
        <v>2024001785</v>
      </c>
      <c r="C528" s="1" t="s">
        <v>62</v>
      </c>
      <c r="D528" s="5">
        <v>7500000</v>
      </c>
      <c r="E528" s="1">
        <v>1006946167</v>
      </c>
      <c r="F528" s="1" t="s">
        <v>63</v>
      </c>
      <c r="G528" s="1" t="s">
        <v>9</v>
      </c>
      <c r="H528" t="e">
        <f>VLOOKUP(C528,'[1]873'!$C$2:$C$711,1,0)</f>
        <v>#N/A</v>
      </c>
    </row>
    <row r="529" spans="1:8" ht="14.25" customHeight="1" x14ac:dyDescent="0.25">
      <c r="A529" s="3">
        <v>45545</v>
      </c>
      <c r="B529" s="41">
        <v>2024001786</v>
      </c>
      <c r="C529" s="1" t="s">
        <v>266</v>
      </c>
      <c r="D529" s="5">
        <v>4750000</v>
      </c>
      <c r="E529" s="1">
        <v>1193383306</v>
      </c>
      <c r="F529" s="1" t="s">
        <v>267</v>
      </c>
      <c r="G529" s="1" t="s">
        <v>9</v>
      </c>
      <c r="H529" t="e">
        <f>VLOOKUP(C529,'[1]873'!$C$2:$C$711,1,0)</f>
        <v>#N/A</v>
      </c>
    </row>
    <row r="530" spans="1:8" ht="14.25" customHeight="1" x14ac:dyDescent="0.25">
      <c r="A530" s="3">
        <v>45545</v>
      </c>
      <c r="B530" s="41">
        <v>2024001787</v>
      </c>
      <c r="C530" s="1" t="s">
        <v>236</v>
      </c>
      <c r="D530" s="5">
        <v>2000000</v>
      </c>
      <c r="E530" s="1">
        <v>1004234290</v>
      </c>
      <c r="F530" s="1" t="s">
        <v>237</v>
      </c>
      <c r="G530" s="1" t="s">
        <v>9</v>
      </c>
      <c r="H530" t="e">
        <f>VLOOKUP(C530,'[1]873'!$C$2:$C$711,1,0)</f>
        <v>#N/A</v>
      </c>
    </row>
    <row r="531" spans="1:8" ht="14.25" customHeight="1" x14ac:dyDescent="0.25">
      <c r="A531" s="3">
        <v>45546</v>
      </c>
      <c r="B531" s="41">
        <v>2024001792</v>
      </c>
      <c r="C531" s="1" t="s">
        <v>92</v>
      </c>
      <c r="D531" s="5">
        <v>4825600</v>
      </c>
      <c r="E531" s="1">
        <v>1085291221</v>
      </c>
      <c r="F531" s="1" t="s">
        <v>93</v>
      </c>
      <c r="G531" s="1" t="s">
        <v>9</v>
      </c>
      <c r="H531" t="e">
        <f>VLOOKUP(C531,'[1]873'!$C$2:$C$711,1,0)</f>
        <v>#N/A</v>
      </c>
    </row>
    <row r="532" spans="1:8" ht="14.25" customHeight="1" x14ac:dyDescent="0.25">
      <c r="A532" s="3">
        <v>45546</v>
      </c>
      <c r="B532" s="41">
        <v>2024001794</v>
      </c>
      <c r="C532" s="1" t="s">
        <v>400</v>
      </c>
      <c r="D532" s="5">
        <v>7500000</v>
      </c>
      <c r="E532" s="1">
        <v>1085296958</v>
      </c>
      <c r="F532" s="1" t="s">
        <v>401</v>
      </c>
      <c r="G532" s="1" t="s">
        <v>9</v>
      </c>
      <c r="H532" t="e">
        <f>VLOOKUP(C532,'[1]873'!$C$2:$C$711,1,0)</f>
        <v>#N/A</v>
      </c>
    </row>
    <row r="533" spans="1:8" ht="14.25" customHeight="1" x14ac:dyDescent="0.25">
      <c r="A533" s="3">
        <v>45546</v>
      </c>
      <c r="B533" s="41">
        <v>2024001796</v>
      </c>
      <c r="C533" s="1" t="s">
        <v>264</v>
      </c>
      <c r="D533" s="5">
        <v>2000000</v>
      </c>
      <c r="E533" s="1">
        <v>1010085543</v>
      </c>
      <c r="F533" s="1" t="s">
        <v>265</v>
      </c>
      <c r="G533" s="1" t="s">
        <v>9</v>
      </c>
      <c r="H533" t="e">
        <f>VLOOKUP(C533,'[1]873'!$C$2:$C$711,1,0)</f>
        <v>#N/A</v>
      </c>
    </row>
    <row r="534" spans="1:8" ht="14.25" customHeight="1" x14ac:dyDescent="0.25">
      <c r="A534" s="3">
        <v>45546</v>
      </c>
      <c r="B534" s="41">
        <v>2024001797</v>
      </c>
      <c r="C534" s="1" t="s">
        <v>402</v>
      </c>
      <c r="D534" s="5">
        <v>2000000</v>
      </c>
      <c r="E534" s="1">
        <v>1004410201</v>
      </c>
      <c r="F534" s="1" t="s">
        <v>403</v>
      </c>
      <c r="G534" s="1" t="s">
        <v>9</v>
      </c>
      <c r="H534" t="e">
        <f>VLOOKUP(C534,'[1]873'!$C$2:$C$711,1,0)</f>
        <v>#N/A</v>
      </c>
    </row>
    <row r="535" spans="1:8" ht="14.25" customHeight="1" x14ac:dyDescent="0.25">
      <c r="A535" s="3">
        <v>45546</v>
      </c>
      <c r="B535" s="41">
        <v>2024001798</v>
      </c>
      <c r="C535" s="1" t="s">
        <v>134</v>
      </c>
      <c r="D535" s="5">
        <v>4750000</v>
      </c>
      <c r="E535" s="1">
        <v>59821282</v>
      </c>
      <c r="F535" s="1" t="s">
        <v>135</v>
      </c>
      <c r="G535" s="1" t="s">
        <v>9</v>
      </c>
      <c r="H535" t="e">
        <f>VLOOKUP(C535,'[1]873'!$C$2:$C$711,1,0)</f>
        <v>#N/A</v>
      </c>
    </row>
    <row r="536" spans="1:8" ht="14.25" customHeight="1" x14ac:dyDescent="0.25">
      <c r="A536" s="3">
        <v>45546</v>
      </c>
      <c r="B536" s="41">
        <v>2024001799</v>
      </c>
      <c r="C536" s="1" t="s">
        <v>404</v>
      </c>
      <c r="D536" s="5">
        <v>2000000</v>
      </c>
      <c r="E536" s="1">
        <v>1085288636</v>
      </c>
      <c r="F536" s="1" t="s">
        <v>405</v>
      </c>
      <c r="G536" s="1" t="s">
        <v>9</v>
      </c>
      <c r="H536" t="e">
        <f>VLOOKUP(C536,'[1]873'!$C$2:$C$711,1,0)</f>
        <v>#N/A</v>
      </c>
    </row>
    <row r="537" spans="1:8" ht="14.25" customHeight="1" x14ac:dyDescent="0.25">
      <c r="A537" s="3">
        <v>45546</v>
      </c>
      <c r="B537" s="41">
        <v>2024001800</v>
      </c>
      <c r="C537" s="1" t="s">
        <v>64</v>
      </c>
      <c r="D537" s="5">
        <v>2000000</v>
      </c>
      <c r="E537" s="1">
        <v>59310524</v>
      </c>
      <c r="F537" s="1" t="s">
        <v>65</v>
      </c>
      <c r="G537" s="1" t="s">
        <v>9</v>
      </c>
      <c r="H537" t="e">
        <f>VLOOKUP(C537,'[1]873'!$C$2:$C$711,1,0)</f>
        <v>#N/A</v>
      </c>
    </row>
    <row r="538" spans="1:8" ht="14.25" customHeight="1" x14ac:dyDescent="0.25">
      <c r="A538" s="3">
        <v>45546</v>
      </c>
      <c r="B538" s="41">
        <v>2024001801</v>
      </c>
      <c r="C538" s="1" t="s">
        <v>156</v>
      </c>
      <c r="D538" s="5">
        <v>7500000</v>
      </c>
      <c r="E538" s="1">
        <v>12961661</v>
      </c>
      <c r="F538" s="1" t="s">
        <v>157</v>
      </c>
      <c r="G538" s="1" t="s">
        <v>9</v>
      </c>
      <c r="H538" t="e">
        <f>VLOOKUP(C538,'[1]873'!$C$2:$C$711,1,0)</f>
        <v>#N/A</v>
      </c>
    </row>
    <row r="539" spans="1:8" ht="14.25" customHeight="1" x14ac:dyDescent="0.25">
      <c r="A539" s="3">
        <v>45546</v>
      </c>
      <c r="B539" s="41">
        <v>2024001802</v>
      </c>
      <c r="C539" s="1" t="s">
        <v>164</v>
      </c>
      <c r="D539" s="14">
        <v>124950000</v>
      </c>
      <c r="E539" s="1">
        <v>900633448</v>
      </c>
      <c r="F539" s="1" t="s">
        <v>165</v>
      </c>
      <c r="G539" s="1" t="s">
        <v>9</v>
      </c>
      <c r="H539" t="e">
        <f>VLOOKUP(C539,'[1]873'!$C$2:$C$711,1,0)</f>
        <v>#N/A</v>
      </c>
    </row>
    <row r="540" spans="1:8" ht="14.25" customHeight="1" x14ac:dyDescent="0.25">
      <c r="A540" s="3">
        <v>45546</v>
      </c>
      <c r="B540" s="41">
        <v>2024001803</v>
      </c>
      <c r="C540" s="1" t="s">
        <v>406</v>
      </c>
      <c r="D540" s="5">
        <v>2000000</v>
      </c>
      <c r="E540" s="1">
        <v>59311233</v>
      </c>
      <c r="F540" s="1" t="s">
        <v>407</v>
      </c>
      <c r="G540" s="1" t="s">
        <v>9</v>
      </c>
      <c r="H540" t="e">
        <f>VLOOKUP(C540,'[1]873'!$C$2:$C$711,1,0)</f>
        <v>#N/A</v>
      </c>
    </row>
    <row r="541" spans="1:8" ht="14.25" customHeight="1" x14ac:dyDescent="0.25">
      <c r="A541" s="3">
        <v>45546</v>
      </c>
      <c r="B541" s="41">
        <v>2024001804</v>
      </c>
      <c r="C541" s="1" t="s">
        <v>408</v>
      </c>
      <c r="D541" s="5">
        <v>2000000</v>
      </c>
      <c r="E541" s="1">
        <v>1193224810</v>
      </c>
      <c r="F541" s="1" t="s">
        <v>409</v>
      </c>
      <c r="G541" s="1" t="s">
        <v>9</v>
      </c>
      <c r="H541" t="e">
        <f>VLOOKUP(C541,'[1]873'!$C$2:$C$711,1,0)</f>
        <v>#N/A</v>
      </c>
    </row>
    <row r="542" spans="1:8" ht="14.25" customHeight="1" x14ac:dyDescent="0.25">
      <c r="A542" s="3">
        <v>45546</v>
      </c>
      <c r="B542" s="41">
        <v>2024001805</v>
      </c>
      <c r="C542" s="1" t="s">
        <v>190</v>
      </c>
      <c r="D542" s="5">
        <v>2000000</v>
      </c>
      <c r="E542" s="1">
        <v>1193218691</v>
      </c>
      <c r="F542" s="1" t="s">
        <v>191</v>
      </c>
      <c r="G542" s="1" t="s">
        <v>9</v>
      </c>
      <c r="H542" t="e">
        <f>VLOOKUP(C542,'[1]873'!$C$2:$C$711,1,0)</f>
        <v>#N/A</v>
      </c>
    </row>
    <row r="543" spans="1:8" ht="14.25" customHeight="1" x14ac:dyDescent="0.25">
      <c r="A543" s="3">
        <v>45546</v>
      </c>
      <c r="B543" s="41">
        <v>2024001806</v>
      </c>
      <c r="C543" s="1" t="s">
        <v>222</v>
      </c>
      <c r="D543" s="5">
        <v>4750000</v>
      </c>
      <c r="E543" s="1">
        <v>87060703</v>
      </c>
      <c r="F543" s="1" t="s">
        <v>223</v>
      </c>
      <c r="G543" s="1" t="s">
        <v>9</v>
      </c>
      <c r="H543" t="e">
        <f>VLOOKUP(C543,'[1]873'!$C$2:$C$711,1,0)</f>
        <v>#N/A</v>
      </c>
    </row>
    <row r="544" spans="1:8" ht="14.25" customHeight="1" x14ac:dyDescent="0.25">
      <c r="A544" s="3">
        <v>45546</v>
      </c>
      <c r="B544" s="41">
        <v>2024001807</v>
      </c>
      <c r="C544" s="1" t="s">
        <v>150</v>
      </c>
      <c r="D544" s="5">
        <v>4750000</v>
      </c>
      <c r="E544" s="1">
        <v>59824313</v>
      </c>
      <c r="F544" s="1" t="s">
        <v>151</v>
      </c>
      <c r="G544" s="1" t="s">
        <v>9</v>
      </c>
      <c r="H544" t="e">
        <f>VLOOKUP(C544,'[1]873'!$C$2:$C$711,1,0)</f>
        <v>#N/A</v>
      </c>
    </row>
    <row r="545" spans="1:8" ht="14.25" customHeight="1" x14ac:dyDescent="0.25">
      <c r="A545" s="3">
        <v>45547</v>
      </c>
      <c r="B545" s="41">
        <v>2024001813</v>
      </c>
      <c r="C545" s="1" t="s">
        <v>410</v>
      </c>
      <c r="D545" s="5">
        <v>4000000</v>
      </c>
      <c r="E545" s="1">
        <v>36757213</v>
      </c>
      <c r="F545" s="1" t="s">
        <v>411</v>
      </c>
      <c r="G545" s="1" t="s">
        <v>9</v>
      </c>
      <c r="H545" t="e">
        <f>VLOOKUP(C545,'[1]873'!$C$2:$C$711,1,0)</f>
        <v>#N/A</v>
      </c>
    </row>
    <row r="546" spans="1:8" ht="14.25" customHeight="1" x14ac:dyDescent="0.25">
      <c r="A546" s="3">
        <v>45547</v>
      </c>
      <c r="B546" s="41">
        <v>2024001815</v>
      </c>
      <c r="C546" s="1" t="s">
        <v>204</v>
      </c>
      <c r="D546" s="5">
        <v>2000000</v>
      </c>
      <c r="E546" s="1">
        <v>13072447</v>
      </c>
      <c r="F546" s="1" t="s">
        <v>205</v>
      </c>
      <c r="G546" s="1" t="s">
        <v>9</v>
      </c>
      <c r="H546" t="e">
        <f>VLOOKUP(C546,'[1]873'!$C$2:$C$711,1,0)</f>
        <v>#N/A</v>
      </c>
    </row>
    <row r="547" spans="1:8" ht="14.25" customHeight="1" x14ac:dyDescent="0.25">
      <c r="A547" s="3">
        <v>45547</v>
      </c>
      <c r="B547" s="41">
        <v>2024001816</v>
      </c>
      <c r="C547" s="1" t="s">
        <v>52</v>
      </c>
      <c r="D547" s="5">
        <v>4825600</v>
      </c>
      <c r="E547" s="1">
        <v>30733517</v>
      </c>
      <c r="F547" s="1" t="s">
        <v>53</v>
      </c>
      <c r="G547" s="1" t="s">
        <v>9</v>
      </c>
      <c r="H547" t="e">
        <f>VLOOKUP(C547,'[1]873'!$C$2:$C$711,1,0)</f>
        <v>#N/A</v>
      </c>
    </row>
    <row r="548" spans="1:8" ht="14.25" customHeight="1" x14ac:dyDescent="0.25">
      <c r="A548" s="3">
        <v>45547</v>
      </c>
      <c r="B548" s="41">
        <v>2024001817</v>
      </c>
      <c r="C548" s="1" t="s">
        <v>20</v>
      </c>
      <c r="D548" s="5">
        <v>7500000</v>
      </c>
      <c r="E548" s="1">
        <v>1089244511</v>
      </c>
      <c r="F548" s="1" t="s">
        <v>21</v>
      </c>
      <c r="G548" s="1" t="s">
        <v>9</v>
      </c>
      <c r="H548" t="e">
        <f>VLOOKUP(C548,'[1]873'!$C$2:$C$711,1,0)</f>
        <v>#N/A</v>
      </c>
    </row>
    <row r="549" spans="1:8" ht="14.25" customHeight="1" x14ac:dyDescent="0.25">
      <c r="A549" s="3">
        <v>45547</v>
      </c>
      <c r="B549" s="41">
        <v>2024001818</v>
      </c>
      <c r="C549" s="1" t="s">
        <v>412</v>
      </c>
      <c r="D549" s="5">
        <v>2000000</v>
      </c>
      <c r="E549" s="1">
        <v>1004215136</v>
      </c>
      <c r="F549" s="1" t="s">
        <v>413</v>
      </c>
      <c r="G549" s="1" t="s">
        <v>9</v>
      </c>
      <c r="H549" t="e">
        <f>VLOOKUP(C549,'[1]873'!$C$2:$C$711,1,0)</f>
        <v>#N/A</v>
      </c>
    </row>
    <row r="550" spans="1:8" ht="14.25" customHeight="1" x14ac:dyDescent="0.25">
      <c r="A550" s="3">
        <v>45547</v>
      </c>
      <c r="B550" s="41">
        <v>2024001819</v>
      </c>
      <c r="C550" s="1" t="s">
        <v>238</v>
      </c>
      <c r="D550" s="5">
        <v>7500000</v>
      </c>
      <c r="E550" s="1">
        <v>1233189066</v>
      </c>
      <c r="F550" s="1" t="s">
        <v>239</v>
      </c>
      <c r="G550" s="1" t="s">
        <v>9</v>
      </c>
      <c r="H550" t="e">
        <f>VLOOKUP(C550,'[1]873'!$C$2:$C$711,1,0)</f>
        <v>#N/A</v>
      </c>
    </row>
    <row r="551" spans="1:8" ht="14.25" customHeight="1" x14ac:dyDescent="0.25">
      <c r="A551" s="3">
        <v>45547</v>
      </c>
      <c r="B551" s="41">
        <v>2024001820</v>
      </c>
      <c r="C551" s="1" t="s">
        <v>188</v>
      </c>
      <c r="D551" s="5">
        <v>2000000</v>
      </c>
      <c r="E551" s="1">
        <v>1081595853</v>
      </c>
      <c r="F551" s="1" t="s">
        <v>189</v>
      </c>
      <c r="G551" s="1" t="s">
        <v>9</v>
      </c>
      <c r="H551" t="e">
        <f>VLOOKUP(C551,'[1]873'!$C$2:$C$711,1,0)</f>
        <v>#N/A</v>
      </c>
    </row>
    <row r="552" spans="1:8" ht="14.25" customHeight="1" x14ac:dyDescent="0.25">
      <c r="A552" s="3">
        <v>45547</v>
      </c>
      <c r="B552" s="41">
        <v>2024001821</v>
      </c>
      <c r="C552" s="1" t="s">
        <v>200</v>
      </c>
      <c r="D552" s="5">
        <v>2000000</v>
      </c>
      <c r="E552" s="1">
        <v>1085300095</v>
      </c>
      <c r="F552" s="1" t="s">
        <v>201</v>
      </c>
      <c r="G552" s="1" t="s">
        <v>9</v>
      </c>
      <c r="H552" t="e">
        <f>VLOOKUP(C552,'[1]873'!$C$2:$C$711,1,0)</f>
        <v>#N/A</v>
      </c>
    </row>
    <row r="553" spans="1:8" ht="14.25" customHeight="1" x14ac:dyDescent="0.25">
      <c r="A553" s="3">
        <v>45547</v>
      </c>
      <c r="B553" s="41">
        <v>2024001822</v>
      </c>
      <c r="C553" s="1" t="s">
        <v>44</v>
      </c>
      <c r="D553" s="5">
        <v>2000000</v>
      </c>
      <c r="E553" s="1">
        <v>1007356378</v>
      </c>
      <c r="F553" s="1" t="s">
        <v>45</v>
      </c>
      <c r="G553" s="1" t="s">
        <v>9</v>
      </c>
      <c r="H553" t="e">
        <f>VLOOKUP(C553,'[1]873'!$C$2:$C$711,1,0)</f>
        <v>#N/A</v>
      </c>
    </row>
    <row r="554" spans="1:8" ht="14.25" customHeight="1" x14ac:dyDescent="0.25">
      <c r="A554" s="3">
        <v>45548</v>
      </c>
      <c r="B554" s="41">
        <v>2024001823</v>
      </c>
      <c r="C554" s="1" t="s">
        <v>282</v>
      </c>
      <c r="D554" s="5">
        <v>2000000</v>
      </c>
      <c r="E554" s="1">
        <v>1085327836</v>
      </c>
      <c r="F554" s="1" t="s">
        <v>283</v>
      </c>
      <c r="G554" s="1" t="s">
        <v>9</v>
      </c>
      <c r="H554" t="e">
        <f>VLOOKUP(C554,'[1]873'!$C$2:$C$711,1,0)</f>
        <v>#N/A</v>
      </c>
    </row>
    <row r="555" spans="1:8" ht="14.25" customHeight="1" x14ac:dyDescent="0.25">
      <c r="A555" s="3">
        <v>45548</v>
      </c>
      <c r="B555" s="41">
        <v>2024001824</v>
      </c>
      <c r="C555" s="1" t="s">
        <v>278</v>
      </c>
      <c r="D555" s="5">
        <v>2000000</v>
      </c>
      <c r="E555" s="1">
        <v>1233189896</v>
      </c>
      <c r="F555" s="1" t="s">
        <v>279</v>
      </c>
      <c r="G555" s="1" t="s">
        <v>9</v>
      </c>
      <c r="H555" t="e">
        <f>VLOOKUP(C555,'[1]873'!$C$2:$C$711,1,0)</f>
        <v>#N/A</v>
      </c>
    </row>
    <row r="556" spans="1:8" ht="14.25" customHeight="1" x14ac:dyDescent="0.25">
      <c r="A556" s="3">
        <v>45548</v>
      </c>
      <c r="B556" s="41">
        <v>2024001825</v>
      </c>
      <c r="C556" s="1" t="s">
        <v>276</v>
      </c>
      <c r="D556" s="5">
        <v>2000000</v>
      </c>
      <c r="E556" s="1">
        <v>1192717330</v>
      </c>
      <c r="F556" s="1" t="s">
        <v>277</v>
      </c>
      <c r="G556" s="1" t="s">
        <v>9</v>
      </c>
      <c r="H556" t="e">
        <f>VLOOKUP(C556,'[1]873'!$C$2:$C$711,1,0)</f>
        <v>#N/A</v>
      </c>
    </row>
    <row r="557" spans="1:8" ht="14.25" customHeight="1" x14ac:dyDescent="0.25">
      <c r="A557" s="3">
        <v>45548</v>
      </c>
      <c r="B557" s="41">
        <v>2024001826</v>
      </c>
      <c r="C557" s="1" t="s">
        <v>202</v>
      </c>
      <c r="D557" s="5">
        <v>2000000</v>
      </c>
      <c r="E557" s="1">
        <v>27211504</v>
      </c>
      <c r="F557" s="1" t="s">
        <v>203</v>
      </c>
      <c r="G557" s="1" t="s">
        <v>9</v>
      </c>
      <c r="H557" t="e">
        <f>VLOOKUP(C557,'[1]873'!$C$2:$C$711,1,0)</f>
        <v>#N/A</v>
      </c>
    </row>
    <row r="558" spans="1:8" ht="14.25" customHeight="1" x14ac:dyDescent="0.25">
      <c r="A558" s="3">
        <v>45548</v>
      </c>
      <c r="B558" s="41">
        <v>2024001827</v>
      </c>
      <c r="C558" s="1" t="s">
        <v>170</v>
      </c>
      <c r="D558" s="5">
        <v>2000000</v>
      </c>
      <c r="E558" s="1">
        <v>69028150</v>
      </c>
      <c r="F558" s="1" t="s">
        <v>171</v>
      </c>
      <c r="G558" s="1" t="s">
        <v>9</v>
      </c>
      <c r="H558" t="e">
        <f>VLOOKUP(C558,'[1]873'!$C$2:$C$711,1,0)</f>
        <v>#N/A</v>
      </c>
    </row>
    <row r="559" spans="1:8" ht="14.25" customHeight="1" x14ac:dyDescent="0.25">
      <c r="A559" s="3">
        <v>45548</v>
      </c>
      <c r="B559" s="41">
        <v>2024001828</v>
      </c>
      <c r="C559" s="1" t="s">
        <v>208</v>
      </c>
      <c r="D559" s="5">
        <v>2000000</v>
      </c>
      <c r="E559" s="1">
        <v>1010082397</v>
      </c>
      <c r="F559" s="1" t="s">
        <v>209</v>
      </c>
      <c r="G559" s="1" t="s">
        <v>9</v>
      </c>
      <c r="H559" t="e">
        <f>VLOOKUP(C559,'[1]873'!$C$2:$C$711,1,0)</f>
        <v>#N/A</v>
      </c>
    </row>
    <row r="560" spans="1:8" ht="14.25" customHeight="1" x14ac:dyDescent="0.25">
      <c r="A560" s="3">
        <v>45548</v>
      </c>
      <c r="B560" s="41">
        <v>2024001829</v>
      </c>
      <c r="C560" s="1" t="s">
        <v>210</v>
      </c>
      <c r="D560" s="5">
        <v>2000000</v>
      </c>
      <c r="E560" s="1">
        <v>1080040858</v>
      </c>
      <c r="F560" s="1" t="s">
        <v>211</v>
      </c>
      <c r="G560" s="1" t="s">
        <v>9</v>
      </c>
      <c r="H560" t="e">
        <f>VLOOKUP(C560,'[1]873'!$C$2:$C$711,1,0)</f>
        <v>#N/A</v>
      </c>
    </row>
    <row r="561" spans="1:8" ht="14.25" customHeight="1" x14ac:dyDescent="0.25">
      <c r="A561" s="3">
        <v>45551</v>
      </c>
      <c r="B561" s="41">
        <v>2024001830</v>
      </c>
      <c r="C561" s="1" t="s">
        <v>114</v>
      </c>
      <c r="D561" s="5">
        <v>2000000</v>
      </c>
      <c r="E561" s="1">
        <v>1085266584</v>
      </c>
      <c r="F561" s="1" t="s">
        <v>115</v>
      </c>
      <c r="G561" s="1" t="s">
        <v>9</v>
      </c>
      <c r="H561" t="e">
        <f>VLOOKUP(C561,'[1]873'!$C$2:$C$711,1,0)</f>
        <v>#N/A</v>
      </c>
    </row>
    <row r="562" spans="1:8" ht="14.25" customHeight="1" x14ac:dyDescent="0.25">
      <c r="A562" s="3">
        <v>45551</v>
      </c>
      <c r="B562" s="41">
        <v>2024001831</v>
      </c>
      <c r="C562" s="1" t="s">
        <v>74</v>
      </c>
      <c r="D562" s="5">
        <v>2000000</v>
      </c>
      <c r="E562" s="1">
        <v>1085286742</v>
      </c>
      <c r="F562" s="1" t="s">
        <v>75</v>
      </c>
      <c r="G562" s="1" t="s">
        <v>9</v>
      </c>
      <c r="H562" t="e">
        <f>VLOOKUP(C562,'[1]873'!$C$2:$C$711,1,0)</f>
        <v>#N/A</v>
      </c>
    </row>
    <row r="563" spans="1:8" ht="14.25" customHeight="1" x14ac:dyDescent="0.25">
      <c r="A563" s="3">
        <v>45551</v>
      </c>
      <c r="B563" s="41">
        <v>2024001832</v>
      </c>
      <c r="C563" s="1" t="s">
        <v>98</v>
      </c>
      <c r="D563" s="5">
        <v>4825600</v>
      </c>
      <c r="E563" s="1">
        <v>1085337969</v>
      </c>
      <c r="F563" s="1" t="s">
        <v>99</v>
      </c>
      <c r="G563" s="1" t="s">
        <v>9</v>
      </c>
      <c r="H563" t="e">
        <f>VLOOKUP(C563,'[1]873'!$C$2:$C$711,1,0)</f>
        <v>#N/A</v>
      </c>
    </row>
    <row r="564" spans="1:8" ht="14.25" customHeight="1" x14ac:dyDescent="0.25">
      <c r="A564" s="3">
        <v>45551</v>
      </c>
      <c r="B564" s="41">
        <v>2024001833</v>
      </c>
      <c r="C564" s="1" t="s">
        <v>100</v>
      </c>
      <c r="D564" s="5">
        <v>2000000</v>
      </c>
      <c r="E564" s="1">
        <v>13070330</v>
      </c>
      <c r="F564" s="1" t="s">
        <v>101</v>
      </c>
      <c r="G564" s="1" t="s">
        <v>9</v>
      </c>
      <c r="H564" t="e">
        <f>VLOOKUP(C564,'[1]873'!$C$2:$C$711,1,0)</f>
        <v>#N/A</v>
      </c>
    </row>
    <row r="565" spans="1:8" ht="14.25" customHeight="1" x14ac:dyDescent="0.25">
      <c r="A565" s="3">
        <v>45551</v>
      </c>
      <c r="B565" s="41">
        <v>2024001834</v>
      </c>
      <c r="C565" s="1" t="s">
        <v>260</v>
      </c>
      <c r="D565" s="5">
        <v>6000000</v>
      </c>
      <c r="E565" s="1">
        <v>59820414</v>
      </c>
      <c r="F565" s="1" t="s">
        <v>261</v>
      </c>
      <c r="G565" s="1" t="s">
        <v>9</v>
      </c>
      <c r="H565" t="e">
        <f>VLOOKUP(C565,'[1]873'!$C$2:$C$711,1,0)</f>
        <v>#N/A</v>
      </c>
    </row>
    <row r="566" spans="1:8" ht="14.25" customHeight="1" x14ac:dyDescent="0.25">
      <c r="A566" s="3">
        <v>45551</v>
      </c>
      <c r="B566" s="41">
        <v>2024001835</v>
      </c>
      <c r="C566" s="1" t="s">
        <v>182</v>
      </c>
      <c r="D566" s="5">
        <v>2000000</v>
      </c>
      <c r="E566" s="1">
        <v>98382500</v>
      </c>
      <c r="F566" s="1" t="s">
        <v>183</v>
      </c>
      <c r="G566" s="1" t="s">
        <v>9</v>
      </c>
      <c r="H566" t="e">
        <f>VLOOKUP(C566,'[1]873'!$C$2:$C$711,1,0)</f>
        <v>#N/A</v>
      </c>
    </row>
    <row r="567" spans="1:8" ht="14.25" customHeight="1" x14ac:dyDescent="0.25">
      <c r="A567" s="3">
        <v>45551</v>
      </c>
      <c r="B567" s="41">
        <v>2024001836</v>
      </c>
      <c r="C567" s="1" t="s">
        <v>180</v>
      </c>
      <c r="D567" s="5">
        <v>2000000</v>
      </c>
      <c r="E567" s="1">
        <v>59828916</v>
      </c>
      <c r="F567" s="1" t="s">
        <v>181</v>
      </c>
      <c r="G567" s="1" t="s">
        <v>9</v>
      </c>
      <c r="H567" t="e">
        <f>VLOOKUP(C567,'[1]873'!$C$2:$C$711,1,0)</f>
        <v>#N/A</v>
      </c>
    </row>
    <row r="568" spans="1:8" ht="14.25" customHeight="1" x14ac:dyDescent="0.25">
      <c r="A568" s="3">
        <v>45551</v>
      </c>
      <c r="B568" s="41">
        <v>2024001837</v>
      </c>
      <c r="C568" s="1" t="s">
        <v>250</v>
      </c>
      <c r="D568" s="5">
        <v>2000000</v>
      </c>
      <c r="E568" s="1">
        <v>1085271641</v>
      </c>
      <c r="F568" s="1" t="s">
        <v>251</v>
      </c>
      <c r="G568" s="1" t="s">
        <v>9</v>
      </c>
      <c r="H568" t="e">
        <f>VLOOKUP(C568,'[1]873'!$C$2:$C$711,1,0)</f>
        <v>#N/A</v>
      </c>
    </row>
    <row r="569" spans="1:8" ht="14.25" customHeight="1" x14ac:dyDescent="0.25">
      <c r="A569" s="3">
        <v>45551</v>
      </c>
      <c r="B569" s="41">
        <v>2024001838</v>
      </c>
      <c r="C569" s="1" t="s">
        <v>414</v>
      </c>
      <c r="D569" s="5">
        <v>4750000</v>
      </c>
      <c r="E569" s="1">
        <v>59816986</v>
      </c>
      <c r="F569" s="1" t="s">
        <v>415</v>
      </c>
      <c r="G569" s="1" t="s">
        <v>9</v>
      </c>
      <c r="H569" t="e">
        <f>VLOOKUP(C569,'[1]873'!$C$2:$C$711,1,0)</f>
        <v>#N/A</v>
      </c>
    </row>
    <row r="570" spans="1:8" ht="14.25" customHeight="1" x14ac:dyDescent="0.25">
      <c r="A570" s="3">
        <v>45551</v>
      </c>
      <c r="B570" s="41">
        <v>2024001839</v>
      </c>
      <c r="C570" s="1" t="s">
        <v>104</v>
      </c>
      <c r="D570" s="5">
        <v>4750000</v>
      </c>
      <c r="E570" s="1">
        <v>1085303067</v>
      </c>
      <c r="F570" s="1" t="s">
        <v>105</v>
      </c>
      <c r="G570" s="1" t="s">
        <v>9</v>
      </c>
      <c r="H570" t="e">
        <f>VLOOKUP(C570,'[1]873'!$C$2:$C$711,1,0)</f>
        <v>#N/A</v>
      </c>
    </row>
    <row r="571" spans="1:8" ht="14.25" customHeight="1" x14ac:dyDescent="0.25">
      <c r="A571" s="3">
        <v>45551</v>
      </c>
      <c r="B571" s="41">
        <v>2024001840</v>
      </c>
      <c r="C571" s="1" t="s">
        <v>178</v>
      </c>
      <c r="D571" s="5">
        <v>2000000</v>
      </c>
      <c r="E571" s="1">
        <v>1085250095</v>
      </c>
      <c r="F571" s="1" t="s">
        <v>179</v>
      </c>
      <c r="G571" s="1" t="s">
        <v>9</v>
      </c>
      <c r="H571" t="e">
        <f>VLOOKUP(C571,'[1]873'!$C$2:$C$711,1,0)</f>
        <v>#N/A</v>
      </c>
    </row>
    <row r="572" spans="1:8" ht="14.25" customHeight="1" x14ac:dyDescent="0.25">
      <c r="A572" s="3">
        <v>45551</v>
      </c>
      <c r="B572" s="41">
        <v>2024001841</v>
      </c>
      <c r="C572" s="1" t="s">
        <v>416</v>
      </c>
      <c r="D572" s="5">
        <v>2000000</v>
      </c>
      <c r="E572" s="1">
        <v>1085302942</v>
      </c>
      <c r="F572" s="1" t="s">
        <v>417</v>
      </c>
      <c r="G572" s="1" t="s">
        <v>9</v>
      </c>
      <c r="H572" t="e">
        <f>VLOOKUP(C572,'[1]873'!$C$2:$C$711,1,0)</f>
        <v>#N/A</v>
      </c>
    </row>
    <row r="573" spans="1:8" ht="14.25" customHeight="1" x14ac:dyDescent="0.25">
      <c r="A573" s="3">
        <v>45552</v>
      </c>
      <c r="B573" s="41">
        <v>2024001844</v>
      </c>
      <c r="C573" s="1" t="s">
        <v>162</v>
      </c>
      <c r="D573" s="5">
        <v>7500000</v>
      </c>
      <c r="E573" s="1">
        <v>1193202097</v>
      </c>
      <c r="F573" s="1" t="s">
        <v>163</v>
      </c>
      <c r="G573" s="1" t="s">
        <v>9</v>
      </c>
      <c r="H573" t="e">
        <f>VLOOKUP(C573,'[1]873'!$C$2:$C$711,1,0)</f>
        <v>#N/A</v>
      </c>
    </row>
    <row r="574" spans="1:8" ht="14.25" customHeight="1" x14ac:dyDescent="0.25">
      <c r="A574" s="3">
        <v>45552</v>
      </c>
      <c r="B574" s="41">
        <v>2024001845</v>
      </c>
      <c r="C574" s="1" t="s">
        <v>288</v>
      </c>
      <c r="D574" s="5">
        <v>2000000</v>
      </c>
      <c r="E574" s="1">
        <v>1004709928</v>
      </c>
      <c r="F574" s="1" t="s">
        <v>289</v>
      </c>
      <c r="G574" s="1" t="s">
        <v>9</v>
      </c>
      <c r="H574" t="e">
        <f>VLOOKUP(C574,'[1]873'!$C$2:$C$711,1,0)</f>
        <v>#N/A</v>
      </c>
    </row>
    <row r="575" spans="1:8" ht="14.25" customHeight="1" x14ac:dyDescent="0.25">
      <c r="A575" s="3">
        <v>45552</v>
      </c>
      <c r="B575" s="41">
        <v>2024001846</v>
      </c>
      <c r="C575" s="1" t="s">
        <v>374</v>
      </c>
      <c r="D575" s="5">
        <v>2000000</v>
      </c>
      <c r="E575" s="1">
        <v>1085289798</v>
      </c>
      <c r="F575" s="1" t="s">
        <v>375</v>
      </c>
      <c r="G575" s="1" t="s">
        <v>9</v>
      </c>
      <c r="H575" t="e">
        <f>VLOOKUP(C575,'[1]873'!$C$2:$C$711,1,0)</f>
        <v>#N/A</v>
      </c>
    </row>
    <row r="576" spans="1:8" ht="14.25" customHeight="1" x14ac:dyDescent="0.25">
      <c r="A576" s="3">
        <v>45552</v>
      </c>
      <c r="B576" s="41">
        <v>2024001847</v>
      </c>
      <c r="C576" s="1" t="s">
        <v>206</v>
      </c>
      <c r="D576" s="5">
        <v>2000000</v>
      </c>
      <c r="E576" s="1">
        <v>1004135064</v>
      </c>
      <c r="F576" s="1" t="s">
        <v>207</v>
      </c>
      <c r="G576" s="1" t="s">
        <v>9</v>
      </c>
      <c r="H576" t="e">
        <f>VLOOKUP(C576,'[1]873'!$C$2:$C$711,1,0)</f>
        <v>#N/A</v>
      </c>
    </row>
    <row r="577" spans="1:8" ht="14.25" customHeight="1" x14ac:dyDescent="0.25">
      <c r="A577" s="3">
        <v>45552</v>
      </c>
      <c r="B577" s="41">
        <v>2024001852</v>
      </c>
      <c r="C577" s="1" t="s">
        <v>88</v>
      </c>
      <c r="D577" s="5">
        <v>6000000</v>
      </c>
      <c r="E577" s="1">
        <v>1085337232</v>
      </c>
      <c r="F577" s="1" t="s">
        <v>89</v>
      </c>
      <c r="G577" s="1" t="s">
        <v>9</v>
      </c>
      <c r="H577" t="e">
        <f>VLOOKUP(C577,'[1]873'!$C$2:$C$711,1,0)</f>
        <v>#N/A</v>
      </c>
    </row>
    <row r="578" spans="1:8" ht="14.25" customHeight="1" x14ac:dyDescent="0.25">
      <c r="A578" s="3">
        <v>45552</v>
      </c>
      <c r="B578" s="41">
        <v>2024001853</v>
      </c>
      <c r="C578" s="1" t="s">
        <v>318</v>
      </c>
      <c r="D578" s="5">
        <v>2000000</v>
      </c>
      <c r="E578" s="1">
        <v>1081052090</v>
      </c>
      <c r="F578" s="1" t="s">
        <v>319</v>
      </c>
      <c r="G578" s="1" t="s">
        <v>9</v>
      </c>
      <c r="H578" t="e">
        <f>VLOOKUP(C578,'[1]873'!$C$2:$C$711,1,0)</f>
        <v>#N/A</v>
      </c>
    </row>
    <row r="579" spans="1:8" ht="14.25" customHeight="1" x14ac:dyDescent="0.25">
      <c r="A579" s="3">
        <v>45552</v>
      </c>
      <c r="B579" s="41">
        <v>2024001854</v>
      </c>
      <c r="C579" s="1" t="s">
        <v>418</v>
      </c>
      <c r="D579" s="5">
        <v>2000000</v>
      </c>
      <c r="E579" s="1">
        <v>1085260568</v>
      </c>
      <c r="F579" s="1" t="s">
        <v>419</v>
      </c>
      <c r="G579" s="1" t="s">
        <v>9</v>
      </c>
      <c r="H579" t="e">
        <f>VLOOKUP(C579,'[1]873'!$C$2:$C$711,1,0)</f>
        <v>#N/A</v>
      </c>
    </row>
    <row r="580" spans="1:8" ht="14.25" customHeight="1" x14ac:dyDescent="0.25">
      <c r="A580" s="3">
        <v>45552</v>
      </c>
      <c r="B580" s="41">
        <v>2024001855</v>
      </c>
      <c r="C580" s="1" t="s">
        <v>308</v>
      </c>
      <c r="D580" s="5">
        <v>7500000</v>
      </c>
      <c r="E580" s="1">
        <v>12961407</v>
      </c>
      <c r="F580" s="1" t="s">
        <v>309</v>
      </c>
      <c r="G580" s="1" t="s">
        <v>9</v>
      </c>
      <c r="H580" t="e">
        <f>VLOOKUP(C580,'[1]873'!$C$2:$C$711,1,0)</f>
        <v>#N/A</v>
      </c>
    </row>
    <row r="581" spans="1:8" ht="14.25" customHeight="1" x14ac:dyDescent="0.25">
      <c r="A581" s="3">
        <v>45552</v>
      </c>
      <c r="B581" s="41">
        <v>2024001856</v>
      </c>
      <c r="C581" s="1" t="s">
        <v>140</v>
      </c>
      <c r="D581" s="5">
        <v>4825600</v>
      </c>
      <c r="E581" s="1">
        <v>59314451</v>
      </c>
      <c r="F581" s="1" t="s">
        <v>141</v>
      </c>
      <c r="G581" s="1" t="s">
        <v>9</v>
      </c>
      <c r="H581" t="e">
        <f>VLOOKUP(C581,'[1]873'!$C$2:$C$711,1,0)</f>
        <v>#N/A</v>
      </c>
    </row>
    <row r="582" spans="1:8" ht="14.25" customHeight="1" x14ac:dyDescent="0.25">
      <c r="A582" s="3">
        <v>45552</v>
      </c>
      <c r="B582" s="41">
        <v>2024001857</v>
      </c>
      <c r="C582" s="1" t="s">
        <v>280</v>
      </c>
      <c r="D582" s="5">
        <v>2000000</v>
      </c>
      <c r="E582" s="1">
        <v>59830219</v>
      </c>
      <c r="F582" s="1" t="s">
        <v>281</v>
      </c>
      <c r="G582" s="1" t="s">
        <v>9</v>
      </c>
      <c r="H582" t="e">
        <f>VLOOKUP(C582,'[1]873'!$C$2:$C$711,1,0)</f>
        <v>#N/A</v>
      </c>
    </row>
    <row r="583" spans="1:8" ht="14.25" customHeight="1" x14ac:dyDescent="0.25">
      <c r="A583" s="3">
        <v>45552</v>
      </c>
      <c r="B583" s="41">
        <v>2024001858</v>
      </c>
      <c r="C583" s="1" t="s">
        <v>146</v>
      </c>
      <c r="D583" s="5">
        <v>2000000</v>
      </c>
      <c r="E583" s="1">
        <v>1085255972</v>
      </c>
      <c r="F583" s="1" t="s">
        <v>147</v>
      </c>
      <c r="G583" s="1" t="s">
        <v>9</v>
      </c>
      <c r="H583" t="e">
        <f>VLOOKUP(C583,'[1]873'!$C$2:$C$711,1,0)</f>
        <v>#N/A</v>
      </c>
    </row>
    <row r="584" spans="1:8" ht="14.25" customHeight="1" x14ac:dyDescent="0.25">
      <c r="A584" s="3">
        <v>45552</v>
      </c>
      <c r="B584" s="41">
        <v>2024001859</v>
      </c>
      <c r="C584" s="1" t="s">
        <v>370</v>
      </c>
      <c r="D584" s="5">
        <v>2000000</v>
      </c>
      <c r="E584" s="1">
        <v>1085269090</v>
      </c>
      <c r="F584" s="1" t="s">
        <v>371</v>
      </c>
      <c r="G584" s="1" t="s">
        <v>9</v>
      </c>
      <c r="H584" t="e">
        <f>VLOOKUP(C584,'[1]873'!$C$2:$C$711,1,0)</f>
        <v>#N/A</v>
      </c>
    </row>
    <row r="585" spans="1:8" ht="14.25" customHeight="1" x14ac:dyDescent="0.25">
      <c r="A585" s="3">
        <v>45552</v>
      </c>
      <c r="B585" s="41">
        <v>2024001860</v>
      </c>
      <c r="C585" s="1" t="s">
        <v>256</v>
      </c>
      <c r="D585" s="5">
        <v>2000000</v>
      </c>
      <c r="E585" s="1">
        <v>37087268</v>
      </c>
      <c r="F585" s="1" t="s">
        <v>257</v>
      </c>
      <c r="G585" s="1" t="s">
        <v>9</v>
      </c>
      <c r="H585" t="e">
        <f>VLOOKUP(C585,'[1]873'!$C$2:$C$711,1,0)</f>
        <v>#N/A</v>
      </c>
    </row>
    <row r="586" spans="1:8" ht="14.25" customHeight="1" x14ac:dyDescent="0.25">
      <c r="A586" s="3">
        <v>45553</v>
      </c>
      <c r="B586" s="41">
        <v>2024001861</v>
      </c>
      <c r="C586" s="1" t="s">
        <v>174</v>
      </c>
      <c r="D586" s="5">
        <v>4825600</v>
      </c>
      <c r="E586" s="1">
        <v>1085283723</v>
      </c>
      <c r="F586" s="1" t="s">
        <v>175</v>
      </c>
      <c r="G586" s="1" t="s">
        <v>9</v>
      </c>
      <c r="H586" t="e">
        <f>VLOOKUP(C586,'[1]873'!$C$2:$C$711,1,0)</f>
        <v>#N/A</v>
      </c>
    </row>
    <row r="587" spans="1:8" ht="14.25" customHeight="1" x14ac:dyDescent="0.25">
      <c r="A587" s="3">
        <v>45553</v>
      </c>
      <c r="B587" s="41">
        <v>2024001862</v>
      </c>
      <c r="C587" s="1" t="s">
        <v>420</v>
      </c>
      <c r="D587" s="5">
        <v>7500000</v>
      </c>
      <c r="E587" s="1">
        <v>1088599676</v>
      </c>
      <c r="F587" s="1" t="s">
        <v>421</v>
      </c>
      <c r="G587" s="1" t="s">
        <v>9</v>
      </c>
      <c r="H587" t="e">
        <f>VLOOKUP(C587,'[1]873'!$C$2:$C$711,1,0)</f>
        <v>#N/A</v>
      </c>
    </row>
    <row r="588" spans="1:8" ht="14.25" customHeight="1" x14ac:dyDescent="0.25">
      <c r="A588" s="3">
        <v>45553</v>
      </c>
      <c r="B588" s="41">
        <v>2024001863</v>
      </c>
      <c r="C588" s="1" t="s">
        <v>118</v>
      </c>
      <c r="D588" s="5">
        <v>2000000</v>
      </c>
      <c r="E588" s="1">
        <v>37084285</v>
      </c>
      <c r="F588" s="1" t="s">
        <v>119</v>
      </c>
      <c r="G588" s="1" t="s">
        <v>9</v>
      </c>
      <c r="H588" t="e">
        <f>VLOOKUP(C588,'[1]873'!$C$2:$C$711,1,0)</f>
        <v>#N/A</v>
      </c>
    </row>
    <row r="589" spans="1:8" ht="14.25" customHeight="1" x14ac:dyDescent="0.25">
      <c r="A589" s="3">
        <v>45553</v>
      </c>
      <c r="B589" s="41">
        <v>2024001864</v>
      </c>
      <c r="C589" s="1" t="s">
        <v>290</v>
      </c>
      <c r="D589" s="5">
        <v>2000000</v>
      </c>
      <c r="E589" s="1">
        <v>1085344082</v>
      </c>
      <c r="F589" s="1" t="s">
        <v>291</v>
      </c>
      <c r="G589" s="1" t="s">
        <v>9</v>
      </c>
      <c r="H589" t="e">
        <f>VLOOKUP(C589,'[1]873'!$C$2:$C$711,1,0)</f>
        <v>#N/A</v>
      </c>
    </row>
    <row r="590" spans="1:8" ht="14.25" customHeight="1" x14ac:dyDescent="0.25">
      <c r="A590" s="3">
        <v>45553</v>
      </c>
      <c r="B590" s="41">
        <v>2024001865</v>
      </c>
      <c r="C590" s="1" t="s">
        <v>244</v>
      </c>
      <c r="D590" s="5">
        <v>4825600</v>
      </c>
      <c r="E590" s="1">
        <v>30732782</v>
      </c>
      <c r="F590" s="1" t="s">
        <v>245</v>
      </c>
      <c r="G590" s="1" t="s">
        <v>9</v>
      </c>
      <c r="H590" t="e">
        <f>VLOOKUP(C590,'[1]873'!$C$2:$C$711,1,0)</f>
        <v>#N/A</v>
      </c>
    </row>
    <row r="591" spans="1:8" ht="14.25" customHeight="1" x14ac:dyDescent="0.25">
      <c r="A591" s="3">
        <v>45553</v>
      </c>
      <c r="B591" s="41">
        <v>2024001866</v>
      </c>
      <c r="C591" s="1" t="s">
        <v>248</v>
      </c>
      <c r="D591" s="5">
        <v>4750000</v>
      </c>
      <c r="E591" s="1">
        <v>1085330309</v>
      </c>
      <c r="F591" s="1" t="s">
        <v>249</v>
      </c>
      <c r="G591" s="1" t="s">
        <v>9</v>
      </c>
      <c r="H591" t="e">
        <f>VLOOKUP(C591,'[1]873'!$C$2:$C$711,1,0)</f>
        <v>#N/A</v>
      </c>
    </row>
    <row r="592" spans="1:8" ht="14.25" customHeight="1" x14ac:dyDescent="0.25">
      <c r="A592" s="3">
        <v>45553</v>
      </c>
      <c r="B592" s="41">
        <v>2024001867</v>
      </c>
      <c r="C592" s="1" t="s">
        <v>184</v>
      </c>
      <c r="D592" s="5">
        <v>2000000</v>
      </c>
      <c r="E592" s="1">
        <v>87070661</v>
      </c>
      <c r="F592" s="1" t="s">
        <v>185</v>
      </c>
      <c r="G592" s="1" t="s">
        <v>9</v>
      </c>
      <c r="H592" t="e">
        <f>VLOOKUP(C592,'[1]873'!$C$2:$C$711,1,0)</f>
        <v>#N/A</v>
      </c>
    </row>
    <row r="593" spans="1:8" ht="14.25" customHeight="1" x14ac:dyDescent="0.25">
      <c r="A593" s="3">
        <v>45553</v>
      </c>
      <c r="B593" s="41">
        <v>2024001868</v>
      </c>
      <c r="C593" s="1" t="s">
        <v>232</v>
      </c>
      <c r="D593" s="5">
        <v>2000000</v>
      </c>
      <c r="E593" s="1">
        <v>1014857280</v>
      </c>
      <c r="F593" s="1" t="s">
        <v>233</v>
      </c>
      <c r="G593" s="1" t="s">
        <v>9</v>
      </c>
      <c r="H593" t="e">
        <f>VLOOKUP(C593,'[1]873'!$C$2:$C$711,1,0)</f>
        <v>#N/A</v>
      </c>
    </row>
    <row r="594" spans="1:8" ht="14.25" customHeight="1" x14ac:dyDescent="0.25">
      <c r="A594" s="3">
        <v>45553</v>
      </c>
      <c r="B594" s="41">
        <v>2024001869</v>
      </c>
      <c r="C594" s="1" t="s">
        <v>252</v>
      </c>
      <c r="D594" s="5">
        <v>4750000</v>
      </c>
      <c r="E594" s="1">
        <v>1087422930</v>
      </c>
      <c r="F594" s="1" t="s">
        <v>253</v>
      </c>
      <c r="G594" s="1" t="s">
        <v>9</v>
      </c>
      <c r="H594" t="e">
        <f>VLOOKUP(C594,'[1]873'!$C$2:$C$711,1,0)</f>
        <v>#N/A</v>
      </c>
    </row>
    <row r="595" spans="1:8" ht="14.25" customHeight="1" x14ac:dyDescent="0.25">
      <c r="A595" s="3">
        <v>45553</v>
      </c>
      <c r="B595" s="41">
        <v>2024001870</v>
      </c>
      <c r="C595" s="1" t="s">
        <v>230</v>
      </c>
      <c r="D595" s="5">
        <v>7500000</v>
      </c>
      <c r="E595" s="1">
        <v>1085335767</v>
      </c>
      <c r="F595" s="1" t="s">
        <v>231</v>
      </c>
      <c r="G595" s="1" t="s">
        <v>9</v>
      </c>
      <c r="H595" t="e">
        <f>VLOOKUP(C595,'[1]873'!$C$2:$C$711,1,0)</f>
        <v>#N/A</v>
      </c>
    </row>
    <row r="596" spans="1:8" ht="14.25" customHeight="1" x14ac:dyDescent="0.25">
      <c r="A596" s="3">
        <v>45553</v>
      </c>
      <c r="B596" s="41">
        <v>2024001873</v>
      </c>
      <c r="C596" s="1" t="s">
        <v>356</v>
      </c>
      <c r="D596" s="5">
        <v>2000000</v>
      </c>
      <c r="E596" s="1">
        <v>27090145</v>
      </c>
      <c r="F596" s="1" t="s">
        <v>357</v>
      </c>
      <c r="G596" s="1" t="s">
        <v>9</v>
      </c>
      <c r="H596" t="e">
        <f>VLOOKUP(C596,'[1]873'!$C$2:$C$711,1,0)</f>
        <v>#N/A</v>
      </c>
    </row>
    <row r="597" spans="1:8" ht="14.25" customHeight="1" x14ac:dyDescent="0.25">
      <c r="A597" s="3">
        <v>45553</v>
      </c>
      <c r="B597" s="41">
        <v>2024001874</v>
      </c>
      <c r="C597" s="1" t="s">
        <v>300</v>
      </c>
      <c r="D597" s="5">
        <v>2000000</v>
      </c>
      <c r="E597" s="1">
        <v>1085325718</v>
      </c>
      <c r="F597" s="1" t="s">
        <v>301</v>
      </c>
      <c r="G597" s="1" t="s">
        <v>9</v>
      </c>
      <c r="H597" t="e">
        <f>VLOOKUP(C597,'[1]873'!$C$2:$C$711,1,0)</f>
        <v>#N/A</v>
      </c>
    </row>
    <row r="598" spans="1:8" ht="14.25" customHeight="1" x14ac:dyDescent="0.25">
      <c r="A598" s="3">
        <v>45553</v>
      </c>
      <c r="B598" s="41">
        <v>2024001875</v>
      </c>
      <c r="C598" s="1" t="s">
        <v>254</v>
      </c>
      <c r="D598" s="5">
        <v>2000000</v>
      </c>
      <c r="E598" s="1">
        <v>1085330237</v>
      </c>
      <c r="F598" s="1" t="s">
        <v>255</v>
      </c>
      <c r="G598" s="1" t="s">
        <v>9</v>
      </c>
      <c r="H598" t="e">
        <f>VLOOKUP(C598,'[1]873'!$C$2:$C$711,1,0)</f>
        <v>#N/A</v>
      </c>
    </row>
    <row r="599" spans="1:8" ht="14.25" customHeight="1" x14ac:dyDescent="0.25">
      <c r="A599" s="3">
        <v>45553</v>
      </c>
      <c r="B599" s="41">
        <v>2024001876</v>
      </c>
      <c r="C599" s="1" t="s">
        <v>128</v>
      </c>
      <c r="D599" s="5">
        <v>4825600</v>
      </c>
      <c r="E599" s="1">
        <v>59310145</v>
      </c>
      <c r="F599" s="1" t="s">
        <v>129</v>
      </c>
      <c r="G599" s="1" t="s">
        <v>9</v>
      </c>
      <c r="H599" t="e">
        <f>VLOOKUP(C599,'[1]873'!$C$2:$C$711,1,0)</f>
        <v>#N/A</v>
      </c>
    </row>
    <row r="600" spans="1:8" ht="14.25" customHeight="1" x14ac:dyDescent="0.25">
      <c r="A600" s="3">
        <v>45553</v>
      </c>
      <c r="B600" s="41">
        <v>2024001877</v>
      </c>
      <c r="C600" s="1" t="s">
        <v>78</v>
      </c>
      <c r="D600" s="5">
        <v>2000000</v>
      </c>
      <c r="E600" s="1">
        <v>1085326198</v>
      </c>
      <c r="F600" s="1" t="s">
        <v>79</v>
      </c>
      <c r="G600" s="1" t="s">
        <v>9</v>
      </c>
      <c r="H600" t="e">
        <f>VLOOKUP(C600,'[1]873'!$C$2:$C$711,1,0)</f>
        <v>#N/A</v>
      </c>
    </row>
    <row r="601" spans="1:8" ht="14.25" customHeight="1" x14ac:dyDescent="0.25">
      <c r="A601" s="3">
        <v>45553</v>
      </c>
      <c r="B601" s="41">
        <v>2024001878</v>
      </c>
      <c r="C601" s="1" t="s">
        <v>154</v>
      </c>
      <c r="D601" s="5">
        <v>4750000</v>
      </c>
      <c r="E601" s="1">
        <v>1085293619</v>
      </c>
      <c r="F601" s="1" t="s">
        <v>155</v>
      </c>
      <c r="G601" s="1" t="s">
        <v>9</v>
      </c>
      <c r="H601" t="e">
        <f>VLOOKUP(C601,'[1]873'!$C$2:$C$711,1,0)</f>
        <v>#N/A</v>
      </c>
    </row>
    <row r="602" spans="1:8" ht="14.25" customHeight="1" x14ac:dyDescent="0.25">
      <c r="A602" s="3">
        <v>45553</v>
      </c>
      <c r="B602" s="41">
        <v>2024001879</v>
      </c>
      <c r="C602" s="1" t="s">
        <v>218</v>
      </c>
      <c r="D602" s="5">
        <v>2000000</v>
      </c>
      <c r="E602" s="1">
        <v>1010113730</v>
      </c>
      <c r="F602" s="1" t="s">
        <v>219</v>
      </c>
      <c r="G602" s="1" t="s">
        <v>9</v>
      </c>
      <c r="H602" t="e">
        <f>VLOOKUP(C602,'[1]873'!$C$2:$C$711,1,0)</f>
        <v>#N/A</v>
      </c>
    </row>
    <row r="603" spans="1:8" ht="14.25" customHeight="1" x14ac:dyDescent="0.25">
      <c r="A603" s="3">
        <v>45553</v>
      </c>
      <c r="B603" s="41">
        <v>2024001880</v>
      </c>
      <c r="C603" s="1" t="s">
        <v>306</v>
      </c>
      <c r="D603" s="5">
        <v>2000000</v>
      </c>
      <c r="E603" s="1">
        <v>1085310465</v>
      </c>
      <c r="F603" s="1" t="s">
        <v>307</v>
      </c>
      <c r="G603" s="1" t="s">
        <v>9</v>
      </c>
      <c r="H603" t="e">
        <f>VLOOKUP(C603,'[1]873'!$C$2:$C$711,1,0)</f>
        <v>#N/A</v>
      </c>
    </row>
    <row r="604" spans="1:8" ht="14.25" customHeight="1" x14ac:dyDescent="0.25">
      <c r="A604" s="3">
        <v>45553</v>
      </c>
      <c r="B604" s="41">
        <v>2024001881</v>
      </c>
      <c r="C604" s="1" t="s">
        <v>302</v>
      </c>
      <c r="D604" s="5">
        <v>2000000</v>
      </c>
      <c r="E604" s="1">
        <v>1085251468</v>
      </c>
      <c r="F604" s="1" t="s">
        <v>303</v>
      </c>
      <c r="G604" s="1" t="s">
        <v>9</v>
      </c>
      <c r="H604" t="e">
        <f>VLOOKUP(C604,'[1]873'!$C$2:$C$711,1,0)</f>
        <v>#N/A</v>
      </c>
    </row>
    <row r="605" spans="1:8" ht="14.25" customHeight="1" x14ac:dyDescent="0.25">
      <c r="A605" s="3">
        <v>45553</v>
      </c>
      <c r="B605" s="41">
        <v>2024001882</v>
      </c>
      <c r="C605" s="1" t="s">
        <v>194</v>
      </c>
      <c r="D605" s="5">
        <v>2000000</v>
      </c>
      <c r="E605" s="1">
        <v>1085316191</v>
      </c>
      <c r="F605" s="1" t="s">
        <v>195</v>
      </c>
      <c r="G605" s="1" t="s">
        <v>9</v>
      </c>
      <c r="H605" t="e">
        <f>VLOOKUP(C605,'[1]873'!$C$2:$C$711,1,0)</f>
        <v>#N/A</v>
      </c>
    </row>
    <row r="606" spans="1:8" ht="14.25" customHeight="1" x14ac:dyDescent="0.25">
      <c r="A606" s="3">
        <v>45553</v>
      </c>
      <c r="B606" s="41">
        <v>2024001883</v>
      </c>
      <c r="C606" s="1" t="s">
        <v>270</v>
      </c>
      <c r="D606" s="5">
        <v>2000000</v>
      </c>
      <c r="E606" s="1">
        <v>36757522</v>
      </c>
      <c r="F606" s="1" t="s">
        <v>271</v>
      </c>
      <c r="G606" s="1" t="s">
        <v>9</v>
      </c>
      <c r="H606" t="e">
        <f>VLOOKUP(C606,'[1]873'!$C$2:$C$711,1,0)</f>
        <v>#N/A</v>
      </c>
    </row>
    <row r="607" spans="1:8" ht="14.25" customHeight="1" x14ac:dyDescent="0.25">
      <c r="A607" s="3">
        <v>45553</v>
      </c>
      <c r="B607" s="41">
        <v>2024001884</v>
      </c>
      <c r="C607" s="1" t="s">
        <v>338</v>
      </c>
      <c r="D607" s="5">
        <v>2000000</v>
      </c>
      <c r="E607" s="1">
        <v>1081273343</v>
      </c>
      <c r="F607" s="1" t="s">
        <v>339</v>
      </c>
      <c r="G607" s="1" t="s">
        <v>9</v>
      </c>
      <c r="H607" t="e">
        <f>VLOOKUP(C607,'[1]873'!$C$2:$C$711,1,0)</f>
        <v>#N/A</v>
      </c>
    </row>
    <row r="608" spans="1:8" ht="14.25" customHeight="1" x14ac:dyDescent="0.25">
      <c r="A608" s="3">
        <v>45554</v>
      </c>
      <c r="B608" s="41">
        <v>2024001885</v>
      </c>
      <c r="C608" s="1" t="s">
        <v>242</v>
      </c>
      <c r="D608" s="5">
        <v>2000000</v>
      </c>
      <c r="E608" s="1">
        <v>1137624011</v>
      </c>
      <c r="F608" s="1" t="s">
        <v>243</v>
      </c>
      <c r="G608" s="1" t="s">
        <v>9</v>
      </c>
      <c r="H608" t="e">
        <f>VLOOKUP(C608,'[1]873'!$C$2:$C$711,1,0)</f>
        <v>#N/A</v>
      </c>
    </row>
    <row r="609" spans="1:8" ht="14.25" customHeight="1" x14ac:dyDescent="0.25">
      <c r="A609" s="3">
        <v>45554</v>
      </c>
      <c r="B609" s="41">
        <v>2024001886</v>
      </c>
      <c r="C609" s="1" t="s">
        <v>286</v>
      </c>
      <c r="D609" s="5">
        <v>2000000</v>
      </c>
      <c r="E609" s="1">
        <v>1085338232</v>
      </c>
      <c r="F609" s="1" t="s">
        <v>287</v>
      </c>
      <c r="G609" s="1" t="s">
        <v>9</v>
      </c>
      <c r="H609" t="e">
        <f>VLOOKUP(C609,'[1]873'!$C$2:$C$711,1,0)</f>
        <v>#N/A</v>
      </c>
    </row>
    <row r="610" spans="1:8" ht="14.25" customHeight="1" x14ac:dyDescent="0.25">
      <c r="A610" s="3">
        <v>45554</v>
      </c>
      <c r="B610" s="41">
        <v>2024001887</v>
      </c>
      <c r="C610" s="1" t="s">
        <v>372</v>
      </c>
      <c r="D610" s="5">
        <v>2000000</v>
      </c>
      <c r="E610" s="1">
        <v>59311646</v>
      </c>
      <c r="F610" s="1" t="s">
        <v>373</v>
      </c>
      <c r="G610" s="1" t="s">
        <v>9</v>
      </c>
      <c r="H610" t="e">
        <f>VLOOKUP(C610,'[1]873'!$C$2:$C$711,1,0)</f>
        <v>#N/A</v>
      </c>
    </row>
    <row r="611" spans="1:8" ht="14.25" customHeight="1" x14ac:dyDescent="0.25">
      <c r="A611" s="3">
        <v>45554</v>
      </c>
      <c r="B611" s="41">
        <v>2024001888</v>
      </c>
      <c r="C611" s="1" t="s">
        <v>316</v>
      </c>
      <c r="D611" s="5">
        <v>2000000</v>
      </c>
      <c r="E611" s="1">
        <v>1193265831</v>
      </c>
      <c r="F611" s="1" t="s">
        <v>317</v>
      </c>
      <c r="G611" s="1" t="s">
        <v>9</v>
      </c>
      <c r="H611" t="e">
        <f>VLOOKUP(C611,'[1]873'!$C$2:$C$711,1,0)</f>
        <v>#N/A</v>
      </c>
    </row>
    <row r="612" spans="1:8" ht="14.25" customHeight="1" x14ac:dyDescent="0.25">
      <c r="A612" s="3">
        <v>45554</v>
      </c>
      <c r="B612" s="41">
        <v>2024001889</v>
      </c>
      <c r="C612" s="1" t="s">
        <v>422</v>
      </c>
      <c r="D612" s="5">
        <v>2000000</v>
      </c>
      <c r="E612" s="1">
        <v>12751390</v>
      </c>
      <c r="F612" s="1" t="s">
        <v>423</v>
      </c>
      <c r="G612" s="1" t="s">
        <v>9</v>
      </c>
      <c r="H612" t="e">
        <f>VLOOKUP(C612,'[1]873'!$C$2:$C$711,1,0)</f>
        <v>#N/A</v>
      </c>
    </row>
    <row r="613" spans="1:8" ht="14.25" customHeight="1" x14ac:dyDescent="0.25">
      <c r="A613" s="3">
        <v>45554</v>
      </c>
      <c r="B613" s="41">
        <v>2024001890</v>
      </c>
      <c r="C613" s="1" t="s">
        <v>124</v>
      </c>
      <c r="D613" s="5">
        <v>6000000</v>
      </c>
      <c r="E613" s="1">
        <v>36951002</v>
      </c>
      <c r="F613" s="1" t="s">
        <v>125</v>
      </c>
      <c r="G613" s="1" t="s">
        <v>9</v>
      </c>
      <c r="H613" t="e">
        <f>VLOOKUP(C613,'[1]873'!$C$2:$C$711,1,0)</f>
        <v>#N/A</v>
      </c>
    </row>
    <row r="614" spans="1:8" ht="14.25" customHeight="1" x14ac:dyDescent="0.25">
      <c r="A614" s="3">
        <v>45555</v>
      </c>
      <c r="B614" s="41">
        <v>2024001898</v>
      </c>
      <c r="C614" s="1" t="s">
        <v>424</v>
      </c>
      <c r="D614" s="5">
        <v>6000000</v>
      </c>
      <c r="E614" s="1">
        <v>79724257</v>
      </c>
      <c r="F614" s="1" t="s">
        <v>425</v>
      </c>
      <c r="G614" s="1" t="s">
        <v>9</v>
      </c>
      <c r="H614" t="e">
        <f>VLOOKUP(C614,'[1]873'!$C$2:$C$711,1,0)</f>
        <v>#N/A</v>
      </c>
    </row>
    <row r="615" spans="1:8" ht="14.25" customHeight="1" x14ac:dyDescent="0.25">
      <c r="A615" s="3">
        <v>45555</v>
      </c>
      <c r="B615" s="41">
        <v>2024001906</v>
      </c>
      <c r="C615" s="1" t="s">
        <v>268</v>
      </c>
      <c r="D615" s="5">
        <v>64141827</v>
      </c>
      <c r="E615" s="1">
        <v>900994364</v>
      </c>
      <c r="F615" s="1" t="s">
        <v>269</v>
      </c>
      <c r="G615" s="1" t="s">
        <v>9</v>
      </c>
      <c r="H615" t="e">
        <f>VLOOKUP(C615,'[1]873'!$C$2:$C$711,1,0)</f>
        <v>#N/A</v>
      </c>
    </row>
    <row r="616" spans="1:8" ht="14.25" customHeight="1" x14ac:dyDescent="0.25">
      <c r="A616" s="3">
        <v>45558</v>
      </c>
      <c r="B616" s="41">
        <v>2024001920</v>
      </c>
      <c r="C616" s="1" t="s">
        <v>172</v>
      </c>
      <c r="D616" s="5">
        <v>2000000</v>
      </c>
      <c r="E616" s="1">
        <v>59833702</v>
      </c>
      <c r="F616" s="1" t="s">
        <v>173</v>
      </c>
      <c r="G616" s="1" t="s">
        <v>9</v>
      </c>
      <c r="H616" t="e">
        <f>VLOOKUP(C616,'[1]873'!$C$2:$C$711,1,0)</f>
        <v>#N/A</v>
      </c>
    </row>
    <row r="617" spans="1:8" ht="14.25" customHeight="1" x14ac:dyDescent="0.25">
      <c r="A617" s="3">
        <v>45558</v>
      </c>
      <c r="B617" s="41">
        <v>2024001921</v>
      </c>
      <c r="C617" s="1" t="s">
        <v>330</v>
      </c>
      <c r="D617" s="5">
        <v>2000000</v>
      </c>
      <c r="E617" s="1">
        <v>1085313463</v>
      </c>
      <c r="F617" s="1" t="s">
        <v>331</v>
      </c>
      <c r="G617" s="1" t="s">
        <v>9</v>
      </c>
      <c r="H617" t="e">
        <f>VLOOKUP(C617,'[1]873'!$C$2:$C$711,1,0)</f>
        <v>#N/A</v>
      </c>
    </row>
    <row r="618" spans="1:8" ht="14.25" customHeight="1" x14ac:dyDescent="0.25">
      <c r="A618" s="3">
        <v>45558</v>
      </c>
      <c r="B618" s="41">
        <v>2024001922</v>
      </c>
      <c r="C618" s="1" t="s">
        <v>362</v>
      </c>
      <c r="D618" s="5">
        <v>4825600</v>
      </c>
      <c r="E618" s="1">
        <v>1085321943</v>
      </c>
      <c r="F618" s="1" t="s">
        <v>363</v>
      </c>
      <c r="G618" s="1" t="s">
        <v>9</v>
      </c>
      <c r="H618" t="e">
        <f>VLOOKUP(C618,'[1]873'!$C$2:$C$711,1,0)</f>
        <v>#N/A</v>
      </c>
    </row>
    <row r="619" spans="1:8" ht="14.25" customHeight="1" x14ac:dyDescent="0.25">
      <c r="A619" s="3">
        <v>45558</v>
      </c>
      <c r="B619" s="41">
        <v>2024001923</v>
      </c>
      <c r="C619" s="1" t="s">
        <v>348</v>
      </c>
      <c r="D619" s="5">
        <v>2000000</v>
      </c>
      <c r="E619" s="1">
        <v>27285974</v>
      </c>
      <c r="F619" s="1" t="s">
        <v>349</v>
      </c>
      <c r="G619" s="1" t="s">
        <v>9</v>
      </c>
      <c r="H619" t="e">
        <f>VLOOKUP(C619,'[1]873'!$C$2:$C$711,1,0)</f>
        <v>#N/A</v>
      </c>
    </row>
    <row r="620" spans="1:8" ht="14.25" customHeight="1" x14ac:dyDescent="0.25">
      <c r="A620" s="3">
        <v>45558</v>
      </c>
      <c r="B620" s="41">
        <v>2024001924</v>
      </c>
      <c r="C620" s="1" t="s">
        <v>220</v>
      </c>
      <c r="D620" s="5">
        <v>4750000</v>
      </c>
      <c r="E620" s="1">
        <v>1085345772</v>
      </c>
      <c r="F620" s="1" t="s">
        <v>221</v>
      </c>
      <c r="G620" s="1" t="s">
        <v>9</v>
      </c>
      <c r="H620" t="e">
        <f>VLOOKUP(C620,'[1]873'!$C$2:$C$711,1,0)</f>
        <v>#N/A</v>
      </c>
    </row>
    <row r="621" spans="1:8" ht="14.25" customHeight="1" x14ac:dyDescent="0.25">
      <c r="A621" s="3">
        <v>45558</v>
      </c>
      <c r="B621" s="41">
        <v>2024001925</v>
      </c>
      <c r="C621" s="1" t="s">
        <v>292</v>
      </c>
      <c r="D621" s="5">
        <v>2000000</v>
      </c>
      <c r="E621" s="1">
        <v>1085330079</v>
      </c>
      <c r="F621" s="1" t="s">
        <v>293</v>
      </c>
      <c r="G621" s="1" t="s">
        <v>9</v>
      </c>
      <c r="H621" t="e">
        <f>VLOOKUP(C621,'[1]873'!$C$2:$C$711,1,0)</f>
        <v>#N/A</v>
      </c>
    </row>
    <row r="622" spans="1:8" ht="14.25" customHeight="1" x14ac:dyDescent="0.25">
      <c r="A622" s="3">
        <v>45558</v>
      </c>
      <c r="B622" s="41">
        <v>2024001926</v>
      </c>
      <c r="C622" s="1" t="s">
        <v>426</v>
      </c>
      <c r="D622" s="5">
        <v>2000000</v>
      </c>
      <c r="E622" s="1">
        <v>1085318688</v>
      </c>
      <c r="F622" s="1" t="s">
        <v>427</v>
      </c>
      <c r="G622" s="1" t="s">
        <v>9</v>
      </c>
      <c r="H622" t="e">
        <f>VLOOKUP(C622,'[1]873'!$C$2:$C$711,1,0)</f>
        <v>#N/A</v>
      </c>
    </row>
    <row r="623" spans="1:8" ht="14.25" customHeight="1" x14ac:dyDescent="0.25">
      <c r="A623" s="3">
        <v>45558</v>
      </c>
      <c r="B623" s="41">
        <v>2024001927</v>
      </c>
      <c r="C623" s="1" t="s">
        <v>148</v>
      </c>
      <c r="D623" s="5">
        <v>2000000</v>
      </c>
      <c r="E623" s="1">
        <v>1085339190</v>
      </c>
      <c r="F623" s="1" t="s">
        <v>149</v>
      </c>
      <c r="G623" s="1" t="s">
        <v>9</v>
      </c>
      <c r="H623" t="e">
        <f>VLOOKUP(C623,'[1]873'!$C$2:$C$711,1,0)</f>
        <v>#N/A</v>
      </c>
    </row>
    <row r="624" spans="1:8" ht="14.25" customHeight="1" x14ac:dyDescent="0.25">
      <c r="A624" s="3">
        <v>45558</v>
      </c>
      <c r="B624" s="41">
        <v>2024001928</v>
      </c>
      <c r="C624" s="1" t="s">
        <v>262</v>
      </c>
      <c r="D624" s="5">
        <v>2000000</v>
      </c>
      <c r="E624" s="1">
        <v>36752202</v>
      </c>
      <c r="F624" s="1" t="s">
        <v>263</v>
      </c>
      <c r="G624" s="1" t="s">
        <v>9</v>
      </c>
      <c r="H624" t="e">
        <f>VLOOKUP(C624,'[1]873'!$C$2:$C$711,1,0)</f>
        <v>#N/A</v>
      </c>
    </row>
    <row r="625" spans="1:8" ht="14.25" customHeight="1" x14ac:dyDescent="0.25">
      <c r="A625" s="3">
        <v>45558</v>
      </c>
      <c r="B625" s="41">
        <v>2024001929</v>
      </c>
      <c r="C625" s="1" t="s">
        <v>24</v>
      </c>
      <c r="D625" s="5">
        <v>6000000</v>
      </c>
      <c r="E625" s="1">
        <v>37013610</v>
      </c>
      <c r="F625" s="1" t="s">
        <v>25</v>
      </c>
      <c r="G625" s="1" t="s">
        <v>9</v>
      </c>
      <c r="H625" t="e">
        <f>VLOOKUP(C625,'[1]873'!$C$2:$C$711,1,0)</f>
        <v>#N/A</v>
      </c>
    </row>
    <row r="626" spans="1:8" ht="14.25" customHeight="1" x14ac:dyDescent="0.25">
      <c r="A626" s="3">
        <v>45558</v>
      </c>
      <c r="B626" s="41">
        <v>2024001930</v>
      </c>
      <c r="C626" s="1" t="s">
        <v>158</v>
      </c>
      <c r="D626" s="5">
        <v>7500000</v>
      </c>
      <c r="E626" s="1">
        <v>37087120</v>
      </c>
      <c r="F626" s="1" t="s">
        <v>159</v>
      </c>
      <c r="G626" s="1" t="s">
        <v>9</v>
      </c>
      <c r="H626" t="e">
        <f>VLOOKUP(C626,'[1]873'!$C$2:$C$711,1,0)</f>
        <v>#N/A</v>
      </c>
    </row>
    <row r="627" spans="1:8" ht="14.25" customHeight="1" x14ac:dyDescent="0.25">
      <c r="A627" s="3">
        <v>45558</v>
      </c>
      <c r="B627" s="41">
        <v>2024001931</v>
      </c>
      <c r="C627" s="1" t="s">
        <v>234</v>
      </c>
      <c r="D627" s="5">
        <v>4750000</v>
      </c>
      <c r="E627" s="1">
        <v>1085318201</v>
      </c>
      <c r="F627" s="1" t="s">
        <v>235</v>
      </c>
      <c r="G627" s="1" t="s">
        <v>9</v>
      </c>
      <c r="H627" t="e">
        <f>VLOOKUP(C627,'[1]873'!$C$2:$C$711,1,0)</f>
        <v>#N/A</v>
      </c>
    </row>
    <row r="628" spans="1:8" ht="14.25" customHeight="1" x14ac:dyDescent="0.25">
      <c r="A628" s="3">
        <v>45558</v>
      </c>
      <c r="B628" s="41">
        <v>2024001932</v>
      </c>
      <c r="C628" s="1" t="s">
        <v>294</v>
      </c>
      <c r="D628" s="5">
        <v>4825600</v>
      </c>
      <c r="E628" s="1">
        <v>1088730712</v>
      </c>
      <c r="F628" s="1" t="s">
        <v>295</v>
      </c>
      <c r="G628" s="1" t="s">
        <v>9</v>
      </c>
      <c r="H628" t="e">
        <f>VLOOKUP(C628,'[1]873'!$C$2:$C$711,1,0)</f>
        <v>#N/A</v>
      </c>
    </row>
    <row r="629" spans="1:8" ht="14.25" customHeight="1" x14ac:dyDescent="0.25">
      <c r="A629" s="3">
        <v>45559</v>
      </c>
      <c r="B629" s="41">
        <v>2024001934</v>
      </c>
      <c r="C629" s="1" t="s">
        <v>214</v>
      </c>
      <c r="D629" s="5">
        <v>2000000</v>
      </c>
      <c r="E629" s="1">
        <v>1085327677</v>
      </c>
      <c r="F629" s="1" t="s">
        <v>215</v>
      </c>
      <c r="G629" s="1" t="s">
        <v>9</v>
      </c>
      <c r="H629" t="e">
        <f>VLOOKUP(C629,'[1]873'!$C$2:$C$711,1,0)</f>
        <v>#N/A</v>
      </c>
    </row>
    <row r="630" spans="1:8" ht="14.25" customHeight="1" x14ac:dyDescent="0.25">
      <c r="A630" s="3">
        <v>45559</v>
      </c>
      <c r="B630" s="41">
        <v>2024001935</v>
      </c>
      <c r="C630" s="1" t="s">
        <v>224</v>
      </c>
      <c r="D630" s="5">
        <v>2000000</v>
      </c>
      <c r="E630" s="1">
        <v>12750863</v>
      </c>
      <c r="F630" s="1" t="s">
        <v>225</v>
      </c>
      <c r="G630" s="1" t="s">
        <v>9</v>
      </c>
      <c r="H630" t="e">
        <f>VLOOKUP(C630,'[1]873'!$C$2:$C$711,1,0)</f>
        <v>#N/A</v>
      </c>
    </row>
    <row r="631" spans="1:8" ht="14.25" customHeight="1" x14ac:dyDescent="0.25">
      <c r="A631" s="3">
        <v>45559</v>
      </c>
      <c r="B631" s="41">
        <v>2024001936</v>
      </c>
      <c r="C631" s="1" t="s">
        <v>314</v>
      </c>
      <c r="D631" s="5">
        <v>2000000</v>
      </c>
      <c r="E631" s="1">
        <v>1085337465</v>
      </c>
      <c r="F631" s="1" t="s">
        <v>315</v>
      </c>
      <c r="G631" s="1" t="s">
        <v>9</v>
      </c>
      <c r="H631" t="e">
        <f>VLOOKUP(C631,'[1]873'!$C$2:$C$711,1,0)</f>
        <v>#N/A</v>
      </c>
    </row>
    <row r="632" spans="1:8" ht="14.25" customHeight="1" x14ac:dyDescent="0.25">
      <c r="A632" s="3">
        <v>45559</v>
      </c>
      <c r="B632" s="41">
        <v>2024001937</v>
      </c>
      <c r="C632" s="1" t="s">
        <v>196</v>
      </c>
      <c r="D632" s="5">
        <v>2000000</v>
      </c>
      <c r="E632" s="1">
        <v>1089243630</v>
      </c>
      <c r="F632" s="1" t="s">
        <v>197</v>
      </c>
      <c r="G632" s="1" t="s">
        <v>9</v>
      </c>
      <c r="H632" t="e">
        <f>VLOOKUP(C632,'[1]873'!$C$2:$C$711,1,0)</f>
        <v>#N/A</v>
      </c>
    </row>
    <row r="633" spans="1:8" ht="14.25" customHeight="1" x14ac:dyDescent="0.25">
      <c r="A633" s="3">
        <v>45559</v>
      </c>
      <c r="B633" s="41">
        <v>2024001938</v>
      </c>
      <c r="C633" s="1" t="s">
        <v>326</v>
      </c>
      <c r="D633" s="5">
        <v>2000000</v>
      </c>
      <c r="E633" s="1">
        <v>1085314075</v>
      </c>
      <c r="F633" s="1" t="s">
        <v>327</v>
      </c>
      <c r="G633" s="1" t="s">
        <v>9</v>
      </c>
      <c r="H633" t="e">
        <f>VLOOKUP(C633,'[1]873'!$C$2:$C$711,1,0)</f>
        <v>#N/A</v>
      </c>
    </row>
    <row r="634" spans="1:8" ht="14.25" customHeight="1" x14ac:dyDescent="0.25">
      <c r="A634" s="3">
        <v>45559</v>
      </c>
      <c r="B634" s="41">
        <v>2024001939</v>
      </c>
      <c r="C634" s="1" t="s">
        <v>40</v>
      </c>
      <c r="D634" s="5">
        <v>7500000</v>
      </c>
      <c r="E634" s="1">
        <v>1085336362</v>
      </c>
      <c r="F634" s="1" t="s">
        <v>41</v>
      </c>
      <c r="G634" s="1" t="s">
        <v>9</v>
      </c>
      <c r="H634" t="e">
        <f>VLOOKUP(C634,'[1]873'!$C$2:$C$711,1,0)</f>
        <v>#N/A</v>
      </c>
    </row>
    <row r="635" spans="1:8" ht="14.25" customHeight="1" x14ac:dyDescent="0.25">
      <c r="A635" s="3">
        <v>45559</v>
      </c>
      <c r="B635" s="41">
        <v>2024001941</v>
      </c>
      <c r="C635" s="1" t="s">
        <v>320</v>
      </c>
      <c r="D635" s="5">
        <v>2000000</v>
      </c>
      <c r="E635" s="1">
        <v>1085347540</v>
      </c>
      <c r="F635" s="1" t="s">
        <v>321</v>
      </c>
      <c r="G635" s="1" t="s">
        <v>9</v>
      </c>
      <c r="H635" t="e">
        <f>VLOOKUP(C635,'[1]873'!$C$2:$C$711,1,0)</f>
        <v>#N/A</v>
      </c>
    </row>
    <row r="636" spans="1:8" ht="14.25" customHeight="1" x14ac:dyDescent="0.25">
      <c r="A636" s="3">
        <v>45559</v>
      </c>
      <c r="B636" s="41">
        <v>2024001942</v>
      </c>
      <c r="C636" s="1" t="s">
        <v>344</v>
      </c>
      <c r="D636" s="5">
        <v>2000000</v>
      </c>
      <c r="E636" s="1">
        <v>27309586</v>
      </c>
      <c r="F636" s="1" t="s">
        <v>345</v>
      </c>
      <c r="G636" s="1" t="s">
        <v>9</v>
      </c>
      <c r="H636" t="e">
        <f>VLOOKUP(C636,'[1]873'!$C$2:$C$711,1,0)</f>
        <v>#N/A</v>
      </c>
    </row>
    <row r="637" spans="1:8" ht="14.25" customHeight="1" x14ac:dyDescent="0.25">
      <c r="A637" s="3">
        <v>45559</v>
      </c>
      <c r="B637" s="41">
        <v>2024001943</v>
      </c>
      <c r="C637" s="1" t="s">
        <v>304</v>
      </c>
      <c r="D637" s="5">
        <v>2000000</v>
      </c>
      <c r="E637" s="1">
        <v>1086016308</v>
      </c>
      <c r="F637" s="1" t="s">
        <v>305</v>
      </c>
      <c r="G637" s="1" t="s">
        <v>9</v>
      </c>
      <c r="H637" t="e">
        <f>VLOOKUP(C637,'[1]873'!$C$2:$C$711,1,0)</f>
        <v>#N/A</v>
      </c>
    </row>
    <row r="638" spans="1:8" ht="14.25" customHeight="1" x14ac:dyDescent="0.25">
      <c r="A638" s="3">
        <v>45559</v>
      </c>
      <c r="B638" s="41">
        <v>2024001944</v>
      </c>
      <c r="C638" s="1" t="s">
        <v>428</v>
      </c>
      <c r="D638" s="5">
        <v>4750000</v>
      </c>
      <c r="E638" s="1">
        <v>1085260497</v>
      </c>
      <c r="F638" s="1" t="s">
        <v>429</v>
      </c>
      <c r="G638" s="1" t="s">
        <v>9</v>
      </c>
      <c r="H638" t="e">
        <f>VLOOKUP(C638,'[1]873'!$C$2:$C$711,1,0)</f>
        <v>#N/A</v>
      </c>
    </row>
    <row r="639" spans="1:8" ht="14.25" customHeight="1" x14ac:dyDescent="0.25">
      <c r="A639" s="3">
        <v>45559</v>
      </c>
      <c r="B639" s="41">
        <v>2024001945</v>
      </c>
      <c r="C639" s="1" t="s">
        <v>284</v>
      </c>
      <c r="D639" s="5">
        <v>2000000</v>
      </c>
      <c r="E639" s="1">
        <v>27094521</v>
      </c>
      <c r="F639" s="1" t="s">
        <v>285</v>
      </c>
      <c r="G639" s="1" t="s">
        <v>9</v>
      </c>
      <c r="H639" t="e">
        <f>VLOOKUP(C639,'[1]873'!$C$2:$C$711,1,0)</f>
        <v>#N/A</v>
      </c>
    </row>
    <row r="640" spans="1:8" ht="14.25" customHeight="1" x14ac:dyDescent="0.25">
      <c r="A640" s="3">
        <v>45561</v>
      </c>
      <c r="B640" s="41">
        <v>2024001953</v>
      </c>
      <c r="C640" s="1" t="s">
        <v>274</v>
      </c>
      <c r="D640" s="5">
        <v>4825600</v>
      </c>
      <c r="E640" s="1">
        <v>1085321578</v>
      </c>
      <c r="F640" s="1" t="s">
        <v>275</v>
      </c>
      <c r="G640" s="1" t="s">
        <v>9</v>
      </c>
      <c r="H640" t="e">
        <f>VLOOKUP(C640,'[1]873'!$C$2:$C$711,1,0)</f>
        <v>#N/A</v>
      </c>
    </row>
    <row r="641" spans="1:8" ht="14.25" customHeight="1" x14ac:dyDescent="0.25">
      <c r="A641" s="3">
        <v>45561</v>
      </c>
      <c r="B641" s="41">
        <v>2024001954</v>
      </c>
      <c r="C641" s="1" t="s">
        <v>430</v>
      </c>
      <c r="D641" s="5">
        <v>2000000</v>
      </c>
      <c r="E641" s="1">
        <v>1081053820</v>
      </c>
      <c r="F641" s="1" t="s">
        <v>431</v>
      </c>
      <c r="G641" s="1" t="s">
        <v>9</v>
      </c>
      <c r="H641" t="e">
        <f>VLOOKUP(C641,'[1]873'!$C$2:$C$711,1,0)</f>
        <v>#N/A</v>
      </c>
    </row>
    <row r="642" spans="1:8" ht="14.25" customHeight="1" x14ac:dyDescent="0.25">
      <c r="A642" s="3">
        <v>45561</v>
      </c>
      <c r="B642" s="41">
        <v>2024001955</v>
      </c>
      <c r="C642" s="1" t="s">
        <v>38</v>
      </c>
      <c r="D642" s="5">
        <v>2000000</v>
      </c>
      <c r="E642" s="1">
        <v>1193385397</v>
      </c>
      <c r="F642" s="1" t="s">
        <v>39</v>
      </c>
      <c r="G642" s="1" t="s">
        <v>9</v>
      </c>
      <c r="H642" t="e">
        <f>VLOOKUP(C642,'[1]873'!$C$2:$C$711,1,0)</f>
        <v>#N/A</v>
      </c>
    </row>
    <row r="643" spans="1:8" ht="14.25" customHeight="1" x14ac:dyDescent="0.25">
      <c r="A643" s="3">
        <v>45561</v>
      </c>
      <c r="B643" s="41">
        <v>2024001956</v>
      </c>
      <c r="C643" s="1" t="s">
        <v>34</v>
      </c>
      <c r="D643" s="5">
        <v>2000000</v>
      </c>
      <c r="E643" s="1">
        <v>1085331508</v>
      </c>
      <c r="F643" s="1" t="s">
        <v>35</v>
      </c>
      <c r="G643" s="1" t="s">
        <v>9</v>
      </c>
      <c r="H643" t="e">
        <f>VLOOKUP(C643,'[1]873'!$C$2:$C$711,1,0)</f>
        <v>#N/A</v>
      </c>
    </row>
    <row r="644" spans="1:8" ht="14.25" customHeight="1" x14ac:dyDescent="0.25">
      <c r="A644" s="3">
        <v>45561</v>
      </c>
      <c r="B644" s="41">
        <v>2024001957</v>
      </c>
      <c r="C644" s="1" t="s">
        <v>32</v>
      </c>
      <c r="D644" s="5">
        <v>2000000</v>
      </c>
      <c r="E644" s="1">
        <v>1085252263</v>
      </c>
      <c r="F644" s="1" t="s">
        <v>33</v>
      </c>
      <c r="G644" s="1" t="s">
        <v>9</v>
      </c>
      <c r="H644" t="e">
        <f>VLOOKUP(C644,'[1]873'!$C$2:$C$711,1,0)</f>
        <v>#N/A</v>
      </c>
    </row>
    <row r="645" spans="1:8" ht="14.25" customHeight="1" x14ac:dyDescent="0.25">
      <c r="A645" s="3">
        <v>45561</v>
      </c>
      <c r="B645" s="41">
        <v>2024001958</v>
      </c>
      <c r="C645" s="1" t="s">
        <v>30</v>
      </c>
      <c r="D645" s="5">
        <v>6000000</v>
      </c>
      <c r="E645" s="1">
        <v>1085253062</v>
      </c>
      <c r="F645" s="1" t="s">
        <v>31</v>
      </c>
      <c r="G645" s="1" t="s">
        <v>9</v>
      </c>
      <c r="H645" t="e">
        <f>VLOOKUP(C645,'[1]873'!$C$2:$C$711,1,0)</f>
        <v>#N/A</v>
      </c>
    </row>
    <row r="646" spans="1:8" ht="14.25" customHeight="1" x14ac:dyDescent="0.25">
      <c r="A646" s="3">
        <v>45561</v>
      </c>
      <c r="B646" s="41">
        <v>2024001959</v>
      </c>
      <c r="C646" s="1" t="s">
        <v>336</v>
      </c>
      <c r="D646" s="5">
        <v>6000000</v>
      </c>
      <c r="E646" s="1">
        <v>1010010954</v>
      </c>
      <c r="F646" s="1" t="s">
        <v>337</v>
      </c>
      <c r="G646" s="1" t="s">
        <v>9</v>
      </c>
      <c r="H646" t="e">
        <f>VLOOKUP(C646,'[1]873'!$C$2:$C$711,1,0)</f>
        <v>#N/A</v>
      </c>
    </row>
    <row r="647" spans="1:8" ht="14.25" customHeight="1" x14ac:dyDescent="0.25">
      <c r="A647" s="3">
        <v>45561</v>
      </c>
      <c r="B647" s="41">
        <v>2024001960</v>
      </c>
      <c r="C647" s="1" t="s">
        <v>346</v>
      </c>
      <c r="D647" s="5">
        <v>2000000</v>
      </c>
      <c r="E647" s="1">
        <v>1004535115</v>
      </c>
      <c r="F647" s="1" t="s">
        <v>347</v>
      </c>
      <c r="G647" s="1" t="s">
        <v>9</v>
      </c>
      <c r="H647" t="e">
        <f>VLOOKUP(C647,'[1]873'!$C$2:$C$711,1,0)</f>
        <v>#N/A</v>
      </c>
    </row>
    <row r="648" spans="1:8" ht="14.25" customHeight="1" x14ac:dyDescent="0.25">
      <c r="A648" s="3">
        <v>45561</v>
      </c>
      <c r="B648" s="41">
        <v>2024001961</v>
      </c>
      <c r="C648" s="1" t="s">
        <v>298</v>
      </c>
      <c r="D648" s="5">
        <v>4825600</v>
      </c>
      <c r="E648" s="1">
        <v>12983807</v>
      </c>
      <c r="F648" s="1" t="s">
        <v>299</v>
      </c>
      <c r="G648" s="1" t="s">
        <v>9</v>
      </c>
      <c r="H648" t="e">
        <f>VLOOKUP(C648,'[1]873'!$C$2:$C$711,1,0)</f>
        <v>#N/A</v>
      </c>
    </row>
    <row r="649" spans="1:8" ht="14.25" customHeight="1" x14ac:dyDescent="0.25">
      <c r="A649" s="3">
        <v>45561</v>
      </c>
      <c r="B649" s="41">
        <v>2024001962</v>
      </c>
      <c r="C649" s="1" t="s">
        <v>350</v>
      </c>
      <c r="D649" s="5">
        <v>4750000</v>
      </c>
      <c r="E649" s="1">
        <v>1233192618</v>
      </c>
      <c r="F649" s="1" t="s">
        <v>351</v>
      </c>
      <c r="G649" s="1" t="s">
        <v>9</v>
      </c>
      <c r="H649" t="e">
        <f>VLOOKUP(C649,'[1]873'!$C$2:$C$711,1,0)</f>
        <v>#N/A</v>
      </c>
    </row>
    <row r="650" spans="1:8" ht="14.25" customHeight="1" x14ac:dyDescent="0.25">
      <c r="A650" s="3">
        <v>45561</v>
      </c>
      <c r="B650" s="41">
        <v>2024001963</v>
      </c>
      <c r="C650" s="1" t="s">
        <v>70</v>
      </c>
      <c r="D650" s="5">
        <v>2000000</v>
      </c>
      <c r="E650" s="1">
        <v>59314601</v>
      </c>
      <c r="F650" s="1" t="s">
        <v>71</v>
      </c>
      <c r="G650" s="1" t="s">
        <v>9</v>
      </c>
      <c r="H650" t="e">
        <f>VLOOKUP(C650,'[1]873'!$C$2:$C$711,1,0)</f>
        <v>#N/A</v>
      </c>
    </row>
    <row r="651" spans="1:8" ht="14.25" customHeight="1" x14ac:dyDescent="0.25">
      <c r="A651" s="3">
        <v>45561</v>
      </c>
      <c r="B651" s="41">
        <v>2024001964</v>
      </c>
      <c r="C651" s="1" t="s">
        <v>324</v>
      </c>
      <c r="D651" s="5">
        <v>2000000</v>
      </c>
      <c r="E651" s="1">
        <v>1085290651</v>
      </c>
      <c r="F651" s="1" t="s">
        <v>325</v>
      </c>
      <c r="G651" s="1" t="s">
        <v>9</v>
      </c>
      <c r="H651" t="e">
        <f>VLOOKUP(C651,'[1]873'!$C$2:$C$711,1,0)</f>
        <v>#N/A</v>
      </c>
    </row>
    <row r="652" spans="1:8" ht="14.25" customHeight="1" x14ac:dyDescent="0.25">
      <c r="A652" s="3">
        <v>45561</v>
      </c>
      <c r="B652" s="41">
        <v>2024001965</v>
      </c>
      <c r="C652" s="1" t="s">
        <v>296</v>
      </c>
      <c r="D652" s="5">
        <v>2000000</v>
      </c>
      <c r="E652" s="1">
        <v>59830040</v>
      </c>
      <c r="F652" s="1" t="s">
        <v>297</v>
      </c>
      <c r="G652" s="1" t="s">
        <v>9</v>
      </c>
      <c r="H652" t="e">
        <f>VLOOKUP(C652,'[1]873'!$C$2:$C$711,1,0)</f>
        <v>#N/A</v>
      </c>
    </row>
    <row r="653" spans="1:8" ht="14.25" customHeight="1" x14ac:dyDescent="0.25">
      <c r="A653" s="3">
        <v>45561</v>
      </c>
      <c r="B653" s="41">
        <v>2024001966</v>
      </c>
      <c r="C653" s="1" t="s">
        <v>138</v>
      </c>
      <c r="D653" s="5">
        <v>2000000</v>
      </c>
      <c r="E653" s="1">
        <v>1085295383</v>
      </c>
      <c r="F653" s="1" t="s">
        <v>139</v>
      </c>
      <c r="G653" s="1" t="s">
        <v>9</v>
      </c>
      <c r="H653" t="e">
        <f>VLOOKUP(C653,'[1]873'!$C$2:$C$711,1,0)</f>
        <v>#N/A</v>
      </c>
    </row>
    <row r="654" spans="1:8" ht="14.25" customHeight="1" x14ac:dyDescent="0.25">
      <c r="A654" s="3">
        <v>45561</v>
      </c>
      <c r="B654" s="41">
        <v>2024001967</v>
      </c>
      <c r="C654" s="1" t="s">
        <v>334</v>
      </c>
      <c r="D654" s="5">
        <v>2000000</v>
      </c>
      <c r="E654" s="1">
        <v>1085261053</v>
      </c>
      <c r="F654" s="1" t="s">
        <v>335</v>
      </c>
      <c r="G654" s="1" t="s">
        <v>9</v>
      </c>
      <c r="H654" t="e">
        <f>VLOOKUP(C654,'[1]873'!$C$2:$C$711,1,0)</f>
        <v>#N/A</v>
      </c>
    </row>
    <row r="655" spans="1:8" ht="14.25" customHeight="1" x14ac:dyDescent="0.25">
      <c r="A655" s="3">
        <v>45561</v>
      </c>
      <c r="B655" s="41">
        <v>2024001968</v>
      </c>
      <c r="C655" s="1" t="s">
        <v>342</v>
      </c>
      <c r="D655" s="5">
        <v>6000000</v>
      </c>
      <c r="E655" s="1">
        <v>36954410</v>
      </c>
      <c r="F655" s="1" t="s">
        <v>343</v>
      </c>
      <c r="G655" s="1" t="s">
        <v>9</v>
      </c>
      <c r="H655" t="e">
        <f>VLOOKUP(C655,'[1]873'!$C$2:$C$711,1,0)</f>
        <v>#N/A</v>
      </c>
    </row>
    <row r="656" spans="1:8" ht="14.25" customHeight="1" x14ac:dyDescent="0.25">
      <c r="A656" s="3">
        <v>45561</v>
      </c>
      <c r="B656" s="41">
        <v>2024001969</v>
      </c>
      <c r="C656" s="1" t="s">
        <v>36</v>
      </c>
      <c r="D656" s="5">
        <v>2000000</v>
      </c>
      <c r="E656" s="1">
        <v>27087122</v>
      </c>
      <c r="F656" s="1" t="s">
        <v>37</v>
      </c>
      <c r="G656" s="1" t="s">
        <v>9</v>
      </c>
      <c r="H656" t="e">
        <f>VLOOKUP(C656,'[1]873'!$C$2:$C$711,1,0)</f>
        <v>#N/A</v>
      </c>
    </row>
    <row r="657" spans="1:8" ht="14.25" customHeight="1" x14ac:dyDescent="0.25">
      <c r="A657" s="3">
        <v>45561</v>
      </c>
      <c r="B657" s="41">
        <v>2024001970</v>
      </c>
      <c r="C657" s="1" t="s">
        <v>312</v>
      </c>
      <c r="D657" s="5">
        <v>2000000</v>
      </c>
      <c r="E657" s="1">
        <v>36757715</v>
      </c>
      <c r="F657" s="1" t="s">
        <v>313</v>
      </c>
      <c r="G657" s="1" t="s">
        <v>9</v>
      </c>
      <c r="H657" t="e">
        <f>VLOOKUP(C657,'[1]873'!$C$2:$C$711,1,0)</f>
        <v>#N/A</v>
      </c>
    </row>
    <row r="658" spans="1:8" ht="14.25" customHeight="1" x14ac:dyDescent="0.25">
      <c r="A658" s="3">
        <v>45561</v>
      </c>
      <c r="B658" s="41">
        <v>2024001971</v>
      </c>
      <c r="C658" s="1" t="s">
        <v>122</v>
      </c>
      <c r="D658" s="5">
        <v>2000000</v>
      </c>
      <c r="E658" s="1">
        <v>1004592366</v>
      </c>
      <c r="F658" s="1" t="s">
        <v>123</v>
      </c>
      <c r="G658" s="1" t="s">
        <v>9</v>
      </c>
      <c r="H658" t="e">
        <f>VLOOKUP(C658,'[1]873'!$C$2:$C$711,1,0)</f>
        <v>#N/A</v>
      </c>
    </row>
    <row r="659" spans="1:8" ht="14.25" customHeight="1" x14ac:dyDescent="0.25">
      <c r="A659" s="3">
        <v>45561</v>
      </c>
      <c r="B659" s="41">
        <v>2024001972</v>
      </c>
      <c r="C659" s="1" t="s">
        <v>360</v>
      </c>
      <c r="D659" s="5">
        <v>7500000</v>
      </c>
      <c r="E659" s="1">
        <v>7603662</v>
      </c>
      <c r="F659" s="1" t="s">
        <v>361</v>
      </c>
      <c r="G659" s="1" t="s">
        <v>9</v>
      </c>
      <c r="H659" t="e">
        <f>VLOOKUP(C659,'[1]873'!$C$2:$C$711,1,0)</f>
        <v>#N/A</v>
      </c>
    </row>
    <row r="660" spans="1:8" ht="14.25" customHeight="1" x14ac:dyDescent="0.25">
      <c r="A660" s="3">
        <v>45561</v>
      </c>
      <c r="B660" s="41">
        <v>2024001976</v>
      </c>
      <c r="C660" s="1" t="s">
        <v>110</v>
      </c>
      <c r="D660" s="5">
        <v>2000000</v>
      </c>
      <c r="E660" s="1">
        <v>1085286725</v>
      </c>
      <c r="F660" s="1" t="s">
        <v>111</v>
      </c>
      <c r="G660" s="1" t="s">
        <v>9</v>
      </c>
      <c r="H660" t="e">
        <f>VLOOKUP(C660,'[1]873'!$C$2:$C$711,1,0)</f>
        <v>#N/A</v>
      </c>
    </row>
    <row r="661" spans="1:8" ht="14.25" customHeight="1" x14ac:dyDescent="0.25">
      <c r="A661" s="3">
        <v>45561</v>
      </c>
      <c r="B661" s="41">
        <v>2024001977</v>
      </c>
      <c r="C661" s="1" t="s">
        <v>112</v>
      </c>
      <c r="D661" s="5">
        <v>6000000</v>
      </c>
      <c r="E661" s="1">
        <v>1004213964</v>
      </c>
      <c r="F661" s="1" t="s">
        <v>113</v>
      </c>
      <c r="G661" s="1" t="s">
        <v>9</v>
      </c>
      <c r="H661" t="e">
        <f>VLOOKUP(C661,'[1]873'!$C$2:$C$711,1,0)</f>
        <v>#N/A</v>
      </c>
    </row>
    <row r="662" spans="1:8" ht="14.25" customHeight="1" x14ac:dyDescent="0.25">
      <c r="A662" s="3">
        <v>45561</v>
      </c>
      <c r="B662" s="41">
        <v>2024001978</v>
      </c>
      <c r="C662" s="1" t="s">
        <v>354</v>
      </c>
      <c r="D662" s="5">
        <v>4750000</v>
      </c>
      <c r="E662" s="1">
        <v>1085318684</v>
      </c>
      <c r="F662" s="1" t="s">
        <v>355</v>
      </c>
      <c r="G662" s="1" t="s">
        <v>9</v>
      </c>
      <c r="H662" t="e">
        <f>VLOOKUP(C662,'[1]873'!$C$2:$C$711,1,0)</f>
        <v>#N/A</v>
      </c>
    </row>
    <row r="663" spans="1:8" ht="14.25" customHeight="1" x14ac:dyDescent="0.25">
      <c r="A663" s="3">
        <v>45561</v>
      </c>
      <c r="B663" s="41">
        <v>2024001979</v>
      </c>
      <c r="C663" s="1" t="s">
        <v>42</v>
      </c>
      <c r="D663" s="5">
        <v>7500000</v>
      </c>
      <c r="E663" s="1">
        <v>87065647</v>
      </c>
      <c r="F663" s="1" t="s">
        <v>43</v>
      </c>
      <c r="G663" s="1" t="s">
        <v>9</v>
      </c>
      <c r="H663" t="e">
        <f>VLOOKUP(C663,'[1]873'!$C$2:$C$711,1,0)</f>
        <v>#N/A</v>
      </c>
    </row>
    <row r="664" spans="1:8" ht="14.25" customHeight="1" x14ac:dyDescent="0.25">
      <c r="A664" s="3">
        <v>45561</v>
      </c>
      <c r="B664" s="41">
        <v>2024001980</v>
      </c>
      <c r="C664" s="1" t="s">
        <v>142</v>
      </c>
      <c r="D664" s="5">
        <v>6000000</v>
      </c>
      <c r="E664" s="1">
        <v>1085254626</v>
      </c>
      <c r="F664" s="1" t="s">
        <v>143</v>
      </c>
      <c r="G664" s="1" t="s">
        <v>9</v>
      </c>
      <c r="H664" t="e">
        <f>VLOOKUP(C664,'[1]873'!$C$2:$C$711,1,0)</f>
        <v>#N/A</v>
      </c>
    </row>
    <row r="665" spans="1:8" ht="14.25" customHeight="1" x14ac:dyDescent="0.25">
      <c r="A665" s="3">
        <v>45561</v>
      </c>
      <c r="B665" s="41">
        <v>2024001981</v>
      </c>
      <c r="C665" s="1" t="s">
        <v>258</v>
      </c>
      <c r="D665" s="5">
        <v>2000000</v>
      </c>
      <c r="E665" s="1">
        <v>1085320930</v>
      </c>
      <c r="F665" s="1" t="s">
        <v>259</v>
      </c>
      <c r="G665" s="1" t="s">
        <v>9</v>
      </c>
      <c r="H665" t="e">
        <f>VLOOKUP(C665,'[1]873'!$C$2:$C$711,1,0)</f>
        <v>#N/A</v>
      </c>
    </row>
    <row r="666" spans="1:8" ht="14.25" customHeight="1" x14ac:dyDescent="0.25">
      <c r="A666" s="3">
        <v>45561</v>
      </c>
      <c r="B666" s="41">
        <v>2024001982</v>
      </c>
      <c r="C666" s="1" t="s">
        <v>86</v>
      </c>
      <c r="D666" s="5">
        <v>2000000</v>
      </c>
      <c r="E666" s="1">
        <v>1233189234</v>
      </c>
      <c r="F666" s="1" t="s">
        <v>87</v>
      </c>
      <c r="G666" s="1" t="s">
        <v>9</v>
      </c>
      <c r="H666" t="e">
        <f>VLOOKUP(C666,'[1]873'!$C$2:$C$711,1,0)</f>
        <v>#N/A</v>
      </c>
    </row>
    <row r="667" spans="1:8" ht="14.25" customHeight="1" x14ac:dyDescent="0.25">
      <c r="A667" s="3">
        <v>45561</v>
      </c>
      <c r="B667" s="41">
        <v>2024001983</v>
      </c>
      <c r="C667" s="1" t="s">
        <v>28</v>
      </c>
      <c r="D667" s="5">
        <v>4750000</v>
      </c>
      <c r="E667" s="1">
        <v>1085324546</v>
      </c>
      <c r="F667" s="1" t="s">
        <v>29</v>
      </c>
      <c r="G667" s="1" t="s">
        <v>9</v>
      </c>
      <c r="H667" t="e">
        <f>VLOOKUP(C667,'[1]873'!$C$2:$C$711,1,0)</f>
        <v>#N/A</v>
      </c>
    </row>
    <row r="668" spans="1:8" ht="14.25" customHeight="1" x14ac:dyDescent="0.25">
      <c r="A668" s="3">
        <v>45561</v>
      </c>
      <c r="B668" s="41">
        <v>2024001984</v>
      </c>
      <c r="C668" s="1" t="s">
        <v>72</v>
      </c>
      <c r="D668" s="5">
        <v>2000000</v>
      </c>
      <c r="E668" s="1">
        <v>1085323101</v>
      </c>
      <c r="F668" s="1" t="s">
        <v>73</v>
      </c>
      <c r="G668" s="1" t="s">
        <v>9</v>
      </c>
      <c r="H668" t="e">
        <f>VLOOKUP(C668,'[1]873'!$C$2:$C$711,1,0)</f>
        <v>#N/A</v>
      </c>
    </row>
    <row r="669" spans="1:8" ht="14.25" customHeight="1" x14ac:dyDescent="0.25">
      <c r="A669" s="3">
        <v>45565</v>
      </c>
      <c r="B669" s="41">
        <v>2024001993</v>
      </c>
      <c r="C669" s="1" t="s">
        <v>80</v>
      </c>
      <c r="D669" s="5">
        <v>2000000</v>
      </c>
      <c r="E669" s="1">
        <v>1088799034</v>
      </c>
      <c r="F669" s="1" t="s">
        <v>81</v>
      </c>
      <c r="G669" s="1" t="s">
        <v>9</v>
      </c>
      <c r="H669" t="e">
        <f>VLOOKUP(C669,'[1]873'!$C$2:$C$711,1,0)</f>
        <v>#N/A</v>
      </c>
    </row>
    <row r="670" spans="1:8" ht="14.25" customHeight="1" x14ac:dyDescent="0.25">
      <c r="A670" s="3">
        <v>45565</v>
      </c>
      <c r="B670" s="41">
        <v>2024001994</v>
      </c>
      <c r="C670" s="1" t="s">
        <v>310</v>
      </c>
      <c r="D670" s="5">
        <v>6000000</v>
      </c>
      <c r="E670" s="1">
        <v>59836926</v>
      </c>
      <c r="F670" s="1" t="s">
        <v>311</v>
      </c>
      <c r="G670" s="1" t="s">
        <v>9</v>
      </c>
      <c r="H670" t="e">
        <f>VLOOKUP(C670,'[1]873'!$C$2:$C$711,1,0)</f>
        <v>#N/A</v>
      </c>
    </row>
    <row r="671" spans="1:8" ht="14.25" customHeight="1" x14ac:dyDescent="0.25">
      <c r="A671" s="3">
        <v>45565</v>
      </c>
      <c r="B671" s="41">
        <v>2024001995</v>
      </c>
      <c r="C671" s="1" t="s">
        <v>340</v>
      </c>
      <c r="D671" s="5">
        <v>2000000</v>
      </c>
      <c r="E671" s="1">
        <v>36759281</v>
      </c>
      <c r="F671" s="1" t="s">
        <v>341</v>
      </c>
      <c r="G671" s="1" t="s">
        <v>9</v>
      </c>
      <c r="H671" t="e">
        <f>VLOOKUP(C671,'[1]873'!$C$2:$C$711,1,0)</f>
        <v>#N/A</v>
      </c>
    </row>
    <row r="672" spans="1:8" ht="14.25" customHeight="1" x14ac:dyDescent="0.25">
      <c r="A672" s="3">
        <v>45565</v>
      </c>
      <c r="B672" s="41">
        <v>2024001996</v>
      </c>
      <c r="C672" s="1" t="s">
        <v>432</v>
      </c>
      <c r="D672" s="5">
        <v>9506000</v>
      </c>
      <c r="E672" s="1">
        <v>1061696504</v>
      </c>
      <c r="F672" s="1" t="s">
        <v>433</v>
      </c>
      <c r="G672" s="1" t="s">
        <v>9</v>
      </c>
      <c r="H672" t="e">
        <f>VLOOKUP(C672,'[1]873'!$C$2:$C$711,1,0)</f>
        <v>#N/A</v>
      </c>
    </row>
    <row r="673" spans="1:8" ht="14.25" customHeight="1" x14ac:dyDescent="0.25">
      <c r="A673" s="3">
        <v>45566</v>
      </c>
      <c r="B673" s="41">
        <v>2024002002</v>
      </c>
      <c r="C673" s="1" t="s">
        <v>90</v>
      </c>
      <c r="D673" s="5">
        <v>4750000</v>
      </c>
      <c r="E673" s="1">
        <v>1085263018</v>
      </c>
      <c r="F673" s="1" t="s">
        <v>91</v>
      </c>
      <c r="G673" s="1" t="s">
        <v>9</v>
      </c>
      <c r="H673" t="e">
        <f>VLOOKUP(C673,'[1]873'!$C$2:$C$711,1,0)</f>
        <v>#N/A</v>
      </c>
    </row>
    <row r="674" spans="1:8" ht="14.25" customHeight="1" x14ac:dyDescent="0.25">
      <c r="A674" s="3">
        <v>45566</v>
      </c>
      <c r="B674" s="41">
        <v>2024002003</v>
      </c>
      <c r="C674" s="1" t="s">
        <v>328</v>
      </c>
      <c r="D674" s="5">
        <v>6000000</v>
      </c>
      <c r="E674" s="1">
        <v>97470681</v>
      </c>
      <c r="F674" s="1" t="s">
        <v>329</v>
      </c>
      <c r="G674" s="1" t="s">
        <v>9</v>
      </c>
      <c r="H674" t="e">
        <f>VLOOKUP(C674,'[1]873'!$C$2:$C$711,1,0)</f>
        <v>#N/A</v>
      </c>
    </row>
    <row r="675" spans="1:8" ht="14.25" customHeight="1" x14ac:dyDescent="0.25">
      <c r="A675" s="3">
        <v>45566</v>
      </c>
      <c r="B675" s="41">
        <v>2024002005</v>
      </c>
      <c r="C675" s="1" t="s">
        <v>58</v>
      </c>
      <c r="D675" s="5">
        <v>2000000</v>
      </c>
      <c r="E675" s="1">
        <v>1081272025</v>
      </c>
      <c r="F675" s="1" t="s">
        <v>59</v>
      </c>
      <c r="G675" s="1" t="s">
        <v>9</v>
      </c>
      <c r="H675" t="e">
        <f>VLOOKUP(C675,'[1]873'!$C$2:$C$711,1,0)</f>
        <v>#N/A</v>
      </c>
    </row>
    <row r="676" spans="1:8" ht="14.25" customHeight="1" x14ac:dyDescent="0.25">
      <c r="A676" s="3">
        <v>45566</v>
      </c>
      <c r="B676" s="41">
        <v>2024002006</v>
      </c>
      <c r="C676" s="1" t="s">
        <v>94</v>
      </c>
      <c r="D676" s="5">
        <v>4750000</v>
      </c>
      <c r="E676" s="1">
        <v>1087413951</v>
      </c>
      <c r="F676" s="1" t="s">
        <v>95</v>
      </c>
      <c r="G676" s="1" t="s">
        <v>9</v>
      </c>
      <c r="H676" t="e">
        <f>VLOOKUP(C676,'[1]873'!$C$2:$C$711,1,0)</f>
        <v>#N/A</v>
      </c>
    </row>
    <row r="677" spans="1:8" ht="14.25" customHeight="1" x14ac:dyDescent="0.25">
      <c r="A677" s="3">
        <v>45567</v>
      </c>
      <c r="B677" s="41">
        <v>2024002009</v>
      </c>
      <c r="C677" s="1" t="s">
        <v>108</v>
      </c>
      <c r="D677" s="5">
        <v>2000000</v>
      </c>
      <c r="E677" s="1">
        <v>1004232508</v>
      </c>
      <c r="F677" s="1" t="s">
        <v>109</v>
      </c>
      <c r="G677" s="1" t="s">
        <v>9</v>
      </c>
      <c r="H677" t="e">
        <f>VLOOKUP(C677,'[1]873'!$C$2:$C$711,1,0)</f>
        <v>#N/A</v>
      </c>
    </row>
    <row r="678" spans="1:8" ht="14.25" customHeight="1" x14ac:dyDescent="0.25">
      <c r="A678" s="3">
        <v>45567</v>
      </c>
      <c r="B678" s="41">
        <v>2024002011</v>
      </c>
      <c r="C678" s="1" t="s">
        <v>66</v>
      </c>
      <c r="D678" s="5">
        <v>2000000</v>
      </c>
      <c r="E678" s="1">
        <v>1193265360</v>
      </c>
      <c r="F678" s="1" t="s">
        <v>67</v>
      </c>
      <c r="G678" s="1" t="s">
        <v>9</v>
      </c>
      <c r="H678" t="e">
        <f>VLOOKUP(C678,'[1]873'!$C$2:$C$711,1,0)</f>
        <v>#N/A</v>
      </c>
    </row>
    <row r="679" spans="1:8" ht="14.25" customHeight="1" x14ac:dyDescent="0.25">
      <c r="A679" s="3">
        <v>45567</v>
      </c>
      <c r="B679" s="41">
        <v>2024002012</v>
      </c>
      <c r="C679" s="1" t="s">
        <v>50</v>
      </c>
      <c r="D679" s="5">
        <v>2000000</v>
      </c>
      <c r="E679" s="1">
        <v>12974849</v>
      </c>
      <c r="F679" s="1" t="s">
        <v>51</v>
      </c>
      <c r="G679" s="1" t="s">
        <v>9</v>
      </c>
      <c r="H679" t="e">
        <f>VLOOKUP(C679,'[1]873'!$C$2:$C$711,1,0)</f>
        <v>#N/A</v>
      </c>
    </row>
    <row r="680" spans="1:8" ht="14.25" customHeight="1" x14ac:dyDescent="0.25">
      <c r="A680" s="3">
        <v>45567</v>
      </c>
      <c r="B680" s="41">
        <v>2024002014</v>
      </c>
      <c r="C680" s="1" t="s">
        <v>246</v>
      </c>
      <c r="D680" s="5">
        <v>4825600</v>
      </c>
      <c r="E680" s="1">
        <v>1085267184</v>
      </c>
      <c r="F680" s="1" t="s">
        <v>247</v>
      </c>
      <c r="G680" s="1" t="s">
        <v>9</v>
      </c>
      <c r="H680" t="e">
        <f>VLOOKUP(C680,'[1]873'!$C$2:$C$711,1,0)</f>
        <v>#N/A</v>
      </c>
    </row>
    <row r="681" spans="1:8" ht="14.25" customHeight="1" x14ac:dyDescent="0.25">
      <c r="A681" s="3">
        <v>45568</v>
      </c>
      <c r="B681" s="41">
        <v>2024002029</v>
      </c>
      <c r="C681" s="1" t="s">
        <v>222</v>
      </c>
      <c r="D681" s="5">
        <v>4750000</v>
      </c>
      <c r="E681" s="1">
        <v>87060703</v>
      </c>
      <c r="F681" s="1" t="s">
        <v>223</v>
      </c>
      <c r="G681" s="1" t="s">
        <v>9</v>
      </c>
      <c r="H681" t="e">
        <f>VLOOKUP(C681,'[1]873'!$C$2:$C$711,1,0)</f>
        <v>#N/A</v>
      </c>
    </row>
    <row r="682" spans="1:8" ht="14.25" customHeight="1" x14ac:dyDescent="0.25">
      <c r="A682" s="3">
        <v>45568</v>
      </c>
      <c r="B682" s="41">
        <v>2024002030</v>
      </c>
      <c r="C682" s="1" t="s">
        <v>106</v>
      </c>
      <c r="D682" s="5">
        <v>2000000</v>
      </c>
      <c r="E682" s="1">
        <v>36758143</v>
      </c>
      <c r="F682" s="1" t="s">
        <v>107</v>
      </c>
      <c r="G682" s="1" t="s">
        <v>9</v>
      </c>
      <c r="H682" t="e">
        <f>VLOOKUP(C682,'[1]873'!$C$2:$C$711,1,0)</f>
        <v>#N/A</v>
      </c>
    </row>
    <row r="683" spans="1:8" ht="14.25" customHeight="1" x14ac:dyDescent="0.25">
      <c r="A683" s="3">
        <v>45568</v>
      </c>
      <c r="B683" s="41">
        <v>2024002031</v>
      </c>
      <c r="C683" s="1" t="s">
        <v>130</v>
      </c>
      <c r="D683" s="5">
        <v>4825600</v>
      </c>
      <c r="E683" s="1">
        <v>1087643211</v>
      </c>
      <c r="F683" s="1" t="s">
        <v>131</v>
      </c>
      <c r="G683" s="1" t="s">
        <v>9</v>
      </c>
      <c r="H683" t="e">
        <f>VLOOKUP(C683,'[1]873'!$C$2:$C$711,1,0)</f>
        <v>#N/A</v>
      </c>
    </row>
    <row r="684" spans="1:8" ht="14.25" customHeight="1" x14ac:dyDescent="0.25">
      <c r="A684" s="3">
        <v>45573</v>
      </c>
      <c r="B684" s="41">
        <v>2024002068</v>
      </c>
      <c r="C684" s="1" t="s">
        <v>172</v>
      </c>
      <c r="D684" s="5">
        <v>2000000</v>
      </c>
      <c r="E684" s="1">
        <v>59833702</v>
      </c>
      <c r="F684" s="1" t="s">
        <v>173</v>
      </c>
      <c r="G684" s="1" t="s">
        <v>9</v>
      </c>
      <c r="H684" t="e">
        <f>VLOOKUP(C684,'[1]873'!$C$2:$C$711,1,0)</f>
        <v>#N/A</v>
      </c>
    </row>
    <row r="685" spans="1:8" ht="14.25" customHeight="1" x14ac:dyDescent="0.25">
      <c r="A685" s="3">
        <v>45573</v>
      </c>
      <c r="B685" s="41">
        <v>2024002069</v>
      </c>
      <c r="C685" s="1" t="s">
        <v>198</v>
      </c>
      <c r="D685" s="5">
        <v>2000000</v>
      </c>
      <c r="E685" s="1">
        <v>30737741</v>
      </c>
      <c r="F685" s="1" t="s">
        <v>199</v>
      </c>
      <c r="G685" s="1" t="s">
        <v>9</v>
      </c>
      <c r="H685" t="e">
        <f>VLOOKUP(C685,'[1]873'!$C$2:$C$711,1,0)</f>
        <v>#N/A</v>
      </c>
    </row>
    <row r="686" spans="1:8" ht="14.25" customHeight="1" x14ac:dyDescent="0.25">
      <c r="A686" s="3">
        <v>45573</v>
      </c>
      <c r="B686" s="41">
        <v>2024002070</v>
      </c>
      <c r="C686" s="1" t="s">
        <v>332</v>
      </c>
      <c r="D686" s="5">
        <v>4825600</v>
      </c>
      <c r="E686" s="1">
        <v>1085269530</v>
      </c>
      <c r="F686" s="1" t="s">
        <v>333</v>
      </c>
      <c r="G686" s="1" t="s">
        <v>9</v>
      </c>
      <c r="H686" t="e">
        <f>VLOOKUP(C686,'[1]873'!$C$2:$C$711,1,0)</f>
        <v>#N/A</v>
      </c>
    </row>
    <row r="687" spans="1:8" ht="14.25" customHeight="1" x14ac:dyDescent="0.25">
      <c r="A687" s="3">
        <v>45573</v>
      </c>
      <c r="B687" s="41">
        <v>2024002071</v>
      </c>
      <c r="C687" s="1" t="s">
        <v>364</v>
      </c>
      <c r="D687" s="5">
        <v>2000000</v>
      </c>
      <c r="E687" s="1">
        <v>1004726758</v>
      </c>
      <c r="F687" s="1" t="s">
        <v>365</v>
      </c>
      <c r="G687" s="1" t="s">
        <v>9</v>
      </c>
      <c r="H687" t="e">
        <f>VLOOKUP(C687,'[1]873'!$C$2:$C$711,1,0)</f>
        <v>#N/A</v>
      </c>
    </row>
    <row r="688" spans="1:8" ht="14.25" customHeight="1" x14ac:dyDescent="0.25">
      <c r="A688" s="3">
        <v>45573</v>
      </c>
      <c r="B688" s="41">
        <v>2024002072</v>
      </c>
      <c r="C688" s="1" t="s">
        <v>382</v>
      </c>
      <c r="D688" s="5">
        <v>2000000</v>
      </c>
      <c r="E688" s="1">
        <v>36753698</v>
      </c>
      <c r="F688" s="1" t="s">
        <v>383</v>
      </c>
      <c r="G688" s="1" t="s">
        <v>9</v>
      </c>
      <c r="H688" t="e">
        <f>VLOOKUP(C688,'[1]873'!$C$2:$C$711,1,0)</f>
        <v>#N/A</v>
      </c>
    </row>
    <row r="689" spans="1:8" ht="14.25" customHeight="1" x14ac:dyDescent="0.25">
      <c r="A689" s="3">
        <v>45573</v>
      </c>
      <c r="B689" s="41">
        <v>2024002074</v>
      </c>
      <c r="C689" s="1" t="s">
        <v>368</v>
      </c>
      <c r="D689" s="5">
        <v>2000000</v>
      </c>
      <c r="E689" s="1">
        <v>1085338135</v>
      </c>
      <c r="F689" s="1" t="s">
        <v>369</v>
      </c>
      <c r="G689" s="1" t="s">
        <v>9</v>
      </c>
      <c r="H689" t="e">
        <f>VLOOKUP(C689,'[1]873'!$C$2:$C$711,1,0)</f>
        <v>#N/A</v>
      </c>
    </row>
    <row r="690" spans="1:8" ht="14.25" customHeight="1" x14ac:dyDescent="0.25">
      <c r="A690" s="3">
        <v>45573</v>
      </c>
      <c r="B690" s="41">
        <v>2024002075</v>
      </c>
      <c r="C690" s="1" t="s">
        <v>152</v>
      </c>
      <c r="D690" s="5">
        <v>2000000</v>
      </c>
      <c r="E690" s="1">
        <v>1144206777</v>
      </c>
      <c r="F690" s="1" t="s">
        <v>153</v>
      </c>
      <c r="G690" s="1" t="s">
        <v>9</v>
      </c>
      <c r="H690" t="e">
        <f>VLOOKUP(C690,'[1]873'!$C$2:$C$711,1,0)</f>
        <v>#N/A</v>
      </c>
    </row>
    <row r="691" spans="1:8" ht="14.25" customHeight="1" x14ac:dyDescent="0.25">
      <c r="A691" s="3">
        <v>45573</v>
      </c>
      <c r="B691" s="41">
        <v>2024002076</v>
      </c>
      <c r="C691" s="1" t="s">
        <v>228</v>
      </c>
      <c r="D691" s="5">
        <v>2000000</v>
      </c>
      <c r="E691" s="1">
        <v>1193271854</v>
      </c>
      <c r="F691" s="1" t="s">
        <v>229</v>
      </c>
      <c r="G691" s="1" t="s">
        <v>9</v>
      </c>
      <c r="H691" t="e">
        <f>VLOOKUP(C691,'[1]873'!$C$2:$C$711,1,0)</f>
        <v>#N/A</v>
      </c>
    </row>
    <row r="692" spans="1:8" ht="14.25" customHeight="1" x14ac:dyDescent="0.25">
      <c r="A692" s="3">
        <v>45573</v>
      </c>
      <c r="B692" s="41">
        <v>2024002077</v>
      </c>
      <c r="C692" s="1" t="s">
        <v>418</v>
      </c>
      <c r="D692" s="5">
        <v>2000000</v>
      </c>
      <c r="E692" s="1">
        <v>1085260568</v>
      </c>
      <c r="F692" s="1" t="s">
        <v>419</v>
      </c>
      <c r="G692" s="1" t="s">
        <v>9</v>
      </c>
      <c r="H692" t="e">
        <f>VLOOKUP(C692,'[1]873'!$C$2:$C$711,1,0)</f>
        <v>#N/A</v>
      </c>
    </row>
    <row r="693" spans="1:8" ht="14.25" customHeight="1" x14ac:dyDescent="0.25">
      <c r="A693" s="3">
        <v>45573</v>
      </c>
      <c r="B693" s="41">
        <v>2024002081</v>
      </c>
      <c r="C693" s="1" t="s">
        <v>140</v>
      </c>
      <c r="D693" s="5">
        <v>4825600</v>
      </c>
      <c r="E693" s="1">
        <v>59314451</v>
      </c>
      <c r="F693" s="1" t="s">
        <v>141</v>
      </c>
      <c r="G693" s="1" t="s">
        <v>9</v>
      </c>
      <c r="H693" t="e">
        <f>VLOOKUP(C693,'[1]873'!$C$2:$C$711,1,0)</f>
        <v>#N/A</v>
      </c>
    </row>
    <row r="694" spans="1:8" ht="14.25" customHeight="1" x14ac:dyDescent="0.25">
      <c r="A694" s="3">
        <v>45573</v>
      </c>
      <c r="B694" s="41">
        <v>2024002082</v>
      </c>
      <c r="C694" s="1" t="s">
        <v>26</v>
      </c>
      <c r="D694" s="5">
        <v>6000000</v>
      </c>
      <c r="E694" s="1">
        <v>1085292185</v>
      </c>
      <c r="F694" s="1" t="s">
        <v>27</v>
      </c>
      <c r="G694" s="1" t="s">
        <v>9</v>
      </c>
      <c r="H694" t="e">
        <f>VLOOKUP(C694,'[1]873'!$C$2:$C$711,1,0)</f>
        <v>#N/A</v>
      </c>
    </row>
    <row r="695" spans="1:8" ht="14.25" customHeight="1" x14ac:dyDescent="0.25">
      <c r="A695" s="3">
        <v>45573</v>
      </c>
      <c r="B695" s="41">
        <v>2024002083</v>
      </c>
      <c r="C695" s="1" t="s">
        <v>390</v>
      </c>
      <c r="D695" s="5">
        <v>4750000</v>
      </c>
      <c r="E695" s="1">
        <v>36953206</v>
      </c>
      <c r="F695" s="1" t="s">
        <v>391</v>
      </c>
      <c r="G695" s="1" t="s">
        <v>9</v>
      </c>
      <c r="H695" t="e">
        <f>VLOOKUP(C695,'[1]873'!$C$2:$C$711,1,0)</f>
        <v>#N/A</v>
      </c>
    </row>
    <row r="696" spans="1:8" ht="14.25" customHeight="1" x14ac:dyDescent="0.25">
      <c r="A696" s="3">
        <v>45574</v>
      </c>
      <c r="B696" s="41">
        <v>2024002084</v>
      </c>
      <c r="C696" s="1" t="s">
        <v>212</v>
      </c>
      <c r="D696" s="5">
        <v>2000000</v>
      </c>
      <c r="E696" s="1">
        <v>5930737</v>
      </c>
      <c r="F696" s="1" t="s">
        <v>213</v>
      </c>
      <c r="G696" s="1" t="s">
        <v>9</v>
      </c>
      <c r="H696" t="e">
        <f>VLOOKUP(C696,'[1]873'!$C$2:$C$711,1,0)</f>
        <v>#N/A</v>
      </c>
    </row>
    <row r="697" spans="1:8" ht="14.25" customHeight="1" x14ac:dyDescent="0.25">
      <c r="A697" s="3">
        <v>45573</v>
      </c>
      <c r="B697" s="41">
        <v>2024002085</v>
      </c>
      <c r="C697" s="1" t="s">
        <v>60</v>
      </c>
      <c r="D697" s="5">
        <v>7500000</v>
      </c>
      <c r="E697" s="1">
        <v>1085321192</v>
      </c>
      <c r="F697" s="1" t="s">
        <v>61</v>
      </c>
      <c r="G697" s="1" t="s">
        <v>9</v>
      </c>
      <c r="H697" t="e">
        <f>VLOOKUP(C697,'[1]873'!$C$2:$C$711,1,0)</f>
        <v>#N/A</v>
      </c>
    </row>
    <row r="698" spans="1:8" ht="14.25" customHeight="1" x14ac:dyDescent="0.25">
      <c r="A698" s="3">
        <v>45573</v>
      </c>
      <c r="B698" s="41">
        <v>2024002086</v>
      </c>
      <c r="C698" s="1" t="s">
        <v>216</v>
      </c>
      <c r="D698" s="5">
        <v>6000000</v>
      </c>
      <c r="E698" s="1">
        <v>27109314</v>
      </c>
      <c r="F698" s="1" t="s">
        <v>217</v>
      </c>
      <c r="G698" s="1" t="s">
        <v>9</v>
      </c>
      <c r="H698" t="e">
        <f>VLOOKUP(C698,'[1]873'!$C$2:$C$711,1,0)</f>
        <v>#N/A</v>
      </c>
    </row>
    <row r="699" spans="1:8" ht="14.25" customHeight="1" x14ac:dyDescent="0.25">
      <c r="A699" s="3">
        <v>45574</v>
      </c>
      <c r="B699" s="41">
        <v>2024002087</v>
      </c>
      <c r="C699" s="1" t="s">
        <v>48</v>
      </c>
      <c r="D699" s="5">
        <v>6000000</v>
      </c>
      <c r="E699" s="1">
        <v>27097289</v>
      </c>
      <c r="F699" s="1" t="s">
        <v>49</v>
      </c>
      <c r="G699" s="1" t="s">
        <v>9</v>
      </c>
      <c r="H699" t="e">
        <f>VLOOKUP(C699,'[1]873'!$C$2:$C$711,1,0)</f>
        <v>#N/A</v>
      </c>
    </row>
    <row r="700" spans="1:8" ht="14.25" customHeight="1" x14ac:dyDescent="0.25">
      <c r="A700" s="3">
        <v>45573</v>
      </c>
      <c r="B700" s="41">
        <v>2024002088</v>
      </c>
      <c r="C700" s="1" t="s">
        <v>22</v>
      </c>
      <c r="D700" s="5">
        <v>4750000</v>
      </c>
      <c r="E700" s="1">
        <v>1085325342</v>
      </c>
      <c r="F700" s="1" t="s">
        <v>23</v>
      </c>
      <c r="G700" s="1" t="s">
        <v>9</v>
      </c>
      <c r="H700" t="e">
        <f>VLOOKUP(C700,'[1]873'!$C$2:$C$711,1,0)</f>
        <v>#N/A</v>
      </c>
    </row>
    <row r="701" spans="1:8" ht="14.25" customHeight="1" x14ac:dyDescent="0.25">
      <c r="A701" s="3">
        <v>45573</v>
      </c>
      <c r="B701" s="41">
        <v>2024002089</v>
      </c>
      <c r="C701" s="1" t="s">
        <v>88</v>
      </c>
      <c r="D701" s="5">
        <v>6000000</v>
      </c>
      <c r="E701" s="1">
        <v>1085337232</v>
      </c>
      <c r="F701" s="1" t="s">
        <v>89</v>
      </c>
      <c r="G701" s="1" t="s">
        <v>9</v>
      </c>
      <c r="H701" t="e">
        <f>VLOOKUP(C701,'[1]873'!$C$2:$C$711,1,0)</f>
        <v>#N/A</v>
      </c>
    </row>
    <row r="702" spans="1:8" ht="14.25" customHeight="1" x14ac:dyDescent="0.25">
      <c r="A702" s="3">
        <v>45573</v>
      </c>
      <c r="B702" s="41">
        <v>2024002090</v>
      </c>
      <c r="C702" s="1" t="s">
        <v>424</v>
      </c>
      <c r="D702" s="5">
        <v>6000000</v>
      </c>
      <c r="E702" s="1">
        <v>79724257</v>
      </c>
      <c r="F702" s="1" t="s">
        <v>425</v>
      </c>
      <c r="G702" s="1" t="s">
        <v>9</v>
      </c>
      <c r="H702" t="e">
        <f>VLOOKUP(C702,'[1]873'!$C$2:$C$711,1,0)</f>
        <v>#N/A</v>
      </c>
    </row>
    <row r="703" spans="1:8" ht="14.25" customHeight="1" x14ac:dyDescent="0.25">
      <c r="A703" s="3">
        <v>45573</v>
      </c>
      <c r="B703" s="41">
        <v>2024002091</v>
      </c>
      <c r="C703" s="1" t="s">
        <v>184</v>
      </c>
      <c r="D703" s="5">
        <v>2000000</v>
      </c>
      <c r="E703" s="1">
        <v>87070661</v>
      </c>
      <c r="F703" s="1" t="s">
        <v>185</v>
      </c>
      <c r="G703" s="1" t="s">
        <v>9</v>
      </c>
      <c r="H703" t="e">
        <f>VLOOKUP(C703,'[1]873'!$C$2:$C$711,1,0)</f>
        <v>#N/A</v>
      </c>
    </row>
    <row r="704" spans="1:8" ht="14.25" customHeight="1" x14ac:dyDescent="0.25">
      <c r="A704" s="3">
        <v>45573</v>
      </c>
      <c r="B704" s="41">
        <v>2024002092</v>
      </c>
      <c r="C704" s="1" t="s">
        <v>136</v>
      </c>
      <c r="D704" s="5">
        <v>7500000</v>
      </c>
      <c r="E704" s="1">
        <v>1151934571</v>
      </c>
      <c r="F704" s="1" t="s">
        <v>137</v>
      </c>
      <c r="G704" s="1" t="s">
        <v>9</v>
      </c>
      <c r="H704" t="e">
        <f>VLOOKUP(C704,'[1]873'!$C$2:$C$711,1,0)</f>
        <v>#N/A</v>
      </c>
    </row>
    <row r="705" spans="1:8" ht="14.25" customHeight="1" x14ac:dyDescent="0.25">
      <c r="A705" s="3">
        <v>45573</v>
      </c>
      <c r="B705" s="41">
        <v>2024002094</v>
      </c>
      <c r="C705" s="1" t="s">
        <v>308</v>
      </c>
      <c r="D705" s="5">
        <v>7500000</v>
      </c>
      <c r="E705" s="1">
        <v>12961407</v>
      </c>
      <c r="F705" s="1" t="s">
        <v>309</v>
      </c>
      <c r="G705" s="1" t="s">
        <v>9</v>
      </c>
      <c r="H705" t="e">
        <f>VLOOKUP(C705,'[1]873'!$C$2:$C$711,1,0)</f>
        <v>#N/A</v>
      </c>
    </row>
    <row r="706" spans="1:8" ht="14.25" customHeight="1" x14ac:dyDescent="0.25">
      <c r="A706" s="3">
        <v>45574</v>
      </c>
      <c r="B706" s="41">
        <v>2024002114</v>
      </c>
      <c r="C706" s="1" t="s">
        <v>266</v>
      </c>
      <c r="D706" s="5">
        <v>4750000</v>
      </c>
      <c r="E706" s="1">
        <v>1193383306</v>
      </c>
      <c r="F706" s="1" t="s">
        <v>267</v>
      </c>
      <c r="G706" s="1" t="s">
        <v>9</v>
      </c>
      <c r="H706" t="e">
        <f>VLOOKUP(C706,'[1]873'!$C$2:$C$711,1,0)</f>
        <v>#N/A</v>
      </c>
    </row>
    <row r="707" spans="1:8" ht="14.25" customHeight="1" x14ac:dyDescent="0.25">
      <c r="A707" s="3">
        <v>45574</v>
      </c>
      <c r="B707" s="41">
        <v>2024002115</v>
      </c>
      <c r="C707" s="1" t="s">
        <v>352</v>
      </c>
      <c r="D707" s="5">
        <v>2000000</v>
      </c>
      <c r="E707" s="1">
        <v>1081592303</v>
      </c>
      <c r="F707" s="1" t="s">
        <v>353</v>
      </c>
      <c r="G707" s="1" t="s">
        <v>9</v>
      </c>
      <c r="H707" t="e">
        <f>VLOOKUP(C707,'[1]873'!$C$2:$C$711,1,0)</f>
        <v>#N/A</v>
      </c>
    </row>
    <row r="708" spans="1:8" ht="14.25" customHeight="1" x14ac:dyDescent="0.25">
      <c r="A708" s="3">
        <v>45574</v>
      </c>
      <c r="B708" s="41">
        <v>2024002116</v>
      </c>
      <c r="C708" s="1" t="s">
        <v>62</v>
      </c>
      <c r="D708" s="5">
        <v>7500000</v>
      </c>
      <c r="E708" s="1">
        <v>1006946167</v>
      </c>
      <c r="F708" s="1" t="s">
        <v>63</v>
      </c>
      <c r="G708" s="1" t="s">
        <v>9</v>
      </c>
      <c r="H708" t="e">
        <f>VLOOKUP(C708,'[1]873'!$C$2:$C$711,1,0)</f>
        <v>#N/A</v>
      </c>
    </row>
    <row r="709" spans="1:8" ht="14.25" customHeight="1" x14ac:dyDescent="0.25">
      <c r="A709" s="3">
        <v>45574</v>
      </c>
      <c r="B709" s="41">
        <v>2024002117</v>
      </c>
      <c r="C709" s="1" t="s">
        <v>226</v>
      </c>
      <c r="D709" s="5">
        <v>2000000</v>
      </c>
      <c r="E709" s="1">
        <v>1085338575</v>
      </c>
      <c r="F709" s="1" t="s">
        <v>227</v>
      </c>
      <c r="G709" s="1" t="s">
        <v>9</v>
      </c>
      <c r="H709" t="e">
        <f>VLOOKUP(C709,'[1]873'!$C$2:$C$711,1,0)</f>
        <v>#N/A</v>
      </c>
    </row>
    <row r="710" spans="1:8" ht="14.25" customHeight="1" x14ac:dyDescent="0.25">
      <c r="A710" s="3">
        <v>45574</v>
      </c>
      <c r="B710" s="41">
        <v>2024002118</v>
      </c>
      <c r="C710" s="1" t="s">
        <v>64</v>
      </c>
      <c r="D710" s="5">
        <v>2000000</v>
      </c>
      <c r="E710" s="1">
        <v>59310524</v>
      </c>
      <c r="F710" s="1" t="s">
        <v>65</v>
      </c>
      <c r="G710" s="1" t="s">
        <v>9</v>
      </c>
      <c r="H710" t="e">
        <f>VLOOKUP(C710,'[1]873'!$C$2:$C$711,1,0)</f>
        <v>#N/A</v>
      </c>
    </row>
    <row r="711" spans="1:8" ht="14.25" customHeight="1" x14ac:dyDescent="0.25">
      <c r="A711" s="3">
        <v>45576</v>
      </c>
      <c r="B711" s="41">
        <v>2024002119</v>
      </c>
      <c r="C711" s="1" t="s">
        <v>424</v>
      </c>
      <c r="D711" s="5">
        <v>6000000</v>
      </c>
      <c r="E711" s="1">
        <v>79724257</v>
      </c>
      <c r="F711" s="1" t="s">
        <v>425</v>
      </c>
      <c r="G711" s="1" t="s">
        <v>9</v>
      </c>
      <c r="H711" t="e">
        <f>VLOOKUP(C711,'[1]873'!$C$2:$C$711,1,0)</f>
        <v>#N/A</v>
      </c>
    </row>
    <row r="712" spans="1:8" ht="14.25" customHeight="1" x14ac:dyDescent="0.25">
      <c r="A712" s="3">
        <v>45575</v>
      </c>
      <c r="B712" s="41">
        <v>2024002126</v>
      </c>
      <c r="C712" s="1" t="s">
        <v>164</v>
      </c>
      <c r="D712" s="14">
        <v>39900000</v>
      </c>
      <c r="E712" s="1">
        <v>900633448</v>
      </c>
      <c r="F712" s="1" t="s">
        <v>165</v>
      </c>
      <c r="G712" s="1" t="s">
        <v>9</v>
      </c>
      <c r="H712" t="e">
        <f>VLOOKUP(C712,'[1]873'!$C$2:$C$711,1,0)</f>
        <v>#N/A</v>
      </c>
    </row>
    <row r="713" spans="1:8" ht="14.25" customHeight="1" x14ac:dyDescent="0.25">
      <c r="A713" s="3">
        <v>45576</v>
      </c>
      <c r="B713" s="41">
        <v>2024002130</v>
      </c>
      <c r="C713" s="1" t="s">
        <v>96</v>
      </c>
      <c r="D713" s="5">
        <v>2000000</v>
      </c>
      <c r="E713" s="1">
        <v>59178610</v>
      </c>
      <c r="F713" s="1" t="s">
        <v>97</v>
      </c>
      <c r="G713" s="1" t="s">
        <v>9</v>
      </c>
      <c r="H713" t="e">
        <f>VLOOKUP(C713,'[1]873'!$C$2:$C$711,1,0)</f>
        <v>#N/A</v>
      </c>
    </row>
    <row r="714" spans="1:8" ht="14.25" customHeight="1" x14ac:dyDescent="0.25">
      <c r="A714" s="3">
        <v>45576</v>
      </c>
      <c r="B714" s="41">
        <v>2024002131</v>
      </c>
      <c r="C714" s="1" t="s">
        <v>252</v>
      </c>
      <c r="D714" s="5">
        <v>4750000</v>
      </c>
      <c r="E714" s="1">
        <v>1087422930</v>
      </c>
      <c r="F714" s="1" t="s">
        <v>253</v>
      </c>
      <c r="G714" s="1" t="s">
        <v>9</v>
      </c>
      <c r="H714" t="e">
        <f>VLOOKUP(C714,'[1]873'!$C$2:$C$711,1,0)</f>
        <v>#N/A</v>
      </c>
    </row>
    <row r="715" spans="1:8" ht="14.25" customHeight="1" x14ac:dyDescent="0.25">
      <c r="A715" s="3">
        <v>45576</v>
      </c>
      <c r="B715" s="41">
        <v>2024002132</v>
      </c>
      <c r="C715" s="1" t="s">
        <v>240</v>
      </c>
      <c r="D715" s="5">
        <v>4825600</v>
      </c>
      <c r="E715" s="1">
        <v>1085289739</v>
      </c>
      <c r="F715" s="1" t="s">
        <v>241</v>
      </c>
      <c r="G715" s="1" t="s">
        <v>9</v>
      </c>
      <c r="H715" t="e">
        <f>VLOOKUP(C715,'[1]873'!$C$2:$C$711,1,0)</f>
        <v>#N/A</v>
      </c>
    </row>
    <row r="716" spans="1:8" ht="14.25" customHeight="1" x14ac:dyDescent="0.25">
      <c r="A716" s="3">
        <v>45580</v>
      </c>
      <c r="B716" s="41">
        <v>2024002136</v>
      </c>
      <c r="C716" s="1" t="s">
        <v>102</v>
      </c>
      <c r="D716" s="5">
        <v>2000000</v>
      </c>
      <c r="E716" s="1">
        <v>59813323</v>
      </c>
      <c r="F716" s="1" t="s">
        <v>103</v>
      </c>
      <c r="G716" s="1" t="s">
        <v>9</v>
      </c>
      <c r="H716" t="e">
        <f>VLOOKUP(C716,'[1]873'!$C$2:$C$711,1,0)</f>
        <v>#N/A</v>
      </c>
    </row>
    <row r="717" spans="1:8" ht="14.25" customHeight="1" x14ac:dyDescent="0.25">
      <c r="A717" s="3">
        <v>45580</v>
      </c>
      <c r="B717" s="41">
        <v>2024002137</v>
      </c>
      <c r="C717" s="1" t="s">
        <v>54</v>
      </c>
      <c r="D717" s="5">
        <v>6000000</v>
      </c>
      <c r="E717" s="1">
        <v>1085246134</v>
      </c>
      <c r="F717" s="1" t="s">
        <v>55</v>
      </c>
      <c r="G717" s="1" t="s">
        <v>9</v>
      </c>
      <c r="H717" t="e">
        <f>VLOOKUP(C717,'[1]873'!$C$2:$C$711,1,0)</f>
        <v>#N/A</v>
      </c>
    </row>
    <row r="718" spans="1:8" ht="14.25" customHeight="1" x14ac:dyDescent="0.25">
      <c r="A718" s="3">
        <v>45582</v>
      </c>
      <c r="B718" s="41">
        <v>2024002143</v>
      </c>
      <c r="C718" s="1" t="s">
        <v>434</v>
      </c>
      <c r="D718" s="5">
        <v>7500000</v>
      </c>
      <c r="E718" s="1">
        <v>1193279435</v>
      </c>
      <c r="F718" s="1" t="s">
        <v>435</v>
      </c>
      <c r="G718" s="1" t="s">
        <v>9</v>
      </c>
      <c r="H718" t="e">
        <f>VLOOKUP(C718,'[1]873'!$C$2:$C$711,1,0)</f>
        <v>#N/A</v>
      </c>
    </row>
    <row r="719" spans="1:8" ht="14.25" customHeight="1" x14ac:dyDescent="0.25">
      <c r="A719" s="3">
        <v>45582</v>
      </c>
      <c r="B719" s="41">
        <v>2024002144</v>
      </c>
      <c r="C719" s="1" t="s">
        <v>436</v>
      </c>
      <c r="D719" s="5">
        <v>6000000</v>
      </c>
      <c r="E719" s="1">
        <v>1085248939</v>
      </c>
      <c r="F719" s="1" t="s">
        <v>437</v>
      </c>
      <c r="G719" s="1" t="s">
        <v>9</v>
      </c>
      <c r="H719" t="e">
        <f>VLOOKUP(C719,'[1]873'!$C$2:$C$711,1,0)</f>
        <v>#N/A</v>
      </c>
    </row>
    <row r="720" spans="1:8" ht="14.25" customHeight="1" x14ac:dyDescent="0.25">
      <c r="A720" s="3">
        <v>45582</v>
      </c>
      <c r="B720" s="41">
        <v>2024002145</v>
      </c>
      <c r="C720" s="1" t="s">
        <v>436</v>
      </c>
      <c r="D720" s="5">
        <v>6000000</v>
      </c>
      <c r="E720" s="1">
        <v>1085248939</v>
      </c>
      <c r="F720" s="1" t="s">
        <v>437</v>
      </c>
      <c r="G720" s="1" t="s">
        <v>9</v>
      </c>
      <c r="H720" t="e">
        <f>VLOOKUP(C720,'[1]873'!$C$2:$C$711,1,0)</f>
        <v>#N/A</v>
      </c>
    </row>
    <row r="721" spans="1:8" ht="14.25" customHeight="1" x14ac:dyDescent="0.25">
      <c r="A721" s="3">
        <v>45582</v>
      </c>
      <c r="B721" s="41">
        <v>2024002146</v>
      </c>
      <c r="C721" s="1" t="s">
        <v>436</v>
      </c>
      <c r="D721" s="5">
        <v>6000000</v>
      </c>
      <c r="E721" s="1">
        <v>1085248939</v>
      </c>
      <c r="F721" s="1" t="s">
        <v>437</v>
      </c>
      <c r="G721" s="1" t="s">
        <v>9</v>
      </c>
      <c r="H721" t="e">
        <f>VLOOKUP(C721,'[1]873'!$C$2:$C$711,1,0)</f>
        <v>#N/A</v>
      </c>
    </row>
    <row r="722" spans="1:8" ht="14.25" customHeight="1" x14ac:dyDescent="0.25">
      <c r="A722" s="3">
        <v>45582</v>
      </c>
      <c r="B722" s="41">
        <v>2024002147</v>
      </c>
      <c r="C722" s="1" t="s">
        <v>358</v>
      </c>
      <c r="D722" s="5">
        <v>7500000</v>
      </c>
      <c r="E722" s="1">
        <v>1085345430</v>
      </c>
      <c r="F722" s="1" t="s">
        <v>359</v>
      </c>
      <c r="G722" s="1" t="s">
        <v>9</v>
      </c>
      <c r="H722" t="e">
        <f>VLOOKUP(C722,'[1]873'!$C$2:$C$711,1,0)</f>
        <v>#N/A</v>
      </c>
    </row>
    <row r="723" spans="1:8" ht="14.25" customHeight="1" x14ac:dyDescent="0.25">
      <c r="A723" s="3">
        <v>45582</v>
      </c>
      <c r="B723" s="41">
        <v>2024002148</v>
      </c>
      <c r="C723" s="1" t="s">
        <v>232</v>
      </c>
      <c r="D723" s="5">
        <v>2000000</v>
      </c>
      <c r="E723" s="1">
        <v>1014857280</v>
      </c>
      <c r="F723" s="1" t="s">
        <v>233</v>
      </c>
      <c r="G723" s="1" t="s">
        <v>9</v>
      </c>
      <c r="H723" t="e">
        <f>VLOOKUP(C723,'[1]873'!$C$2:$C$711,1,0)</f>
        <v>#N/A</v>
      </c>
    </row>
    <row r="724" spans="1:8" ht="14.25" customHeight="1" x14ac:dyDescent="0.25">
      <c r="A724" s="3">
        <v>45582</v>
      </c>
      <c r="B724" s="41">
        <v>2024002153</v>
      </c>
      <c r="C724" s="1" t="s">
        <v>366</v>
      </c>
      <c r="D724" s="5">
        <v>2000000</v>
      </c>
      <c r="E724" s="1">
        <v>1004508436</v>
      </c>
      <c r="F724" s="1" t="s">
        <v>367</v>
      </c>
      <c r="G724" s="1" t="s">
        <v>9</v>
      </c>
      <c r="H724" t="e">
        <f>VLOOKUP(C724,'[1]873'!$C$2:$C$711,1,0)</f>
        <v>#N/A</v>
      </c>
    </row>
    <row r="725" spans="1:8" ht="14.25" customHeight="1" x14ac:dyDescent="0.25">
      <c r="A725" s="3">
        <v>45582</v>
      </c>
      <c r="B725" s="41">
        <v>2024002154</v>
      </c>
      <c r="C725" s="1" t="s">
        <v>300</v>
      </c>
      <c r="D725" s="5">
        <v>2000000</v>
      </c>
      <c r="E725" s="1">
        <v>1085325718</v>
      </c>
      <c r="F725" s="1" t="s">
        <v>301</v>
      </c>
      <c r="G725" s="1" t="s">
        <v>9</v>
      </c>
      <c r="H725" t="e">
        <f>VLOOKUP(C725,'[1]873'!$C$2:$C$711,1,0)</f>
        <v>#N/A</v>
      </c>
    </row>
    <row r="726" spans="1:8" ht="14.25" customHeight="1" x14ac:dyDescent="0.25">
      <c r="A726" s="3">
        <v>45587</v>
      </c>
      <c r="B726" s="41">
        <v>2024002211</v>
      </c>
      <c r="C726" s="1" t="s">
        <v>166</v>
      </c>
      <c r="D726" s="5">
        <v>733333.33</v>
      </c>
      <c r="E726" s="1">
        <v>1081052552</v>
      </c>
      <c r="F726" s="1" t="s">
        <v>167</v>
      </c>
      <c r="G726" s="1" t="s">
        <v>9</v>
      </c>
      <c r="H726" t="e">
        <f>VLOOKUP(C726,'[1]873'!$C$2:$C$711,1,0)</f>
        <v>#N/A</v>
      </c>
    </row>
    <row r="727" spans="1:8" ht="14.25" customHeight="1" x14ac:dyDescent="0.25">
      <c r="A727" s="3">
        <v>45588</v>
      </c>
      <c r="B727" s="41">
        <v>2024002213</v>
      </c>
      <c r="C727" s="1" t="s">
        <v>76</v>
      </c>
      <c r="D727" s="5">
        <v>2000000</v>
      </c>
      <c r="E727" s="1">
        <v>1086362994</v>
      </c>
      <c r="F727" s="1" t="s">
        <v>77</v>
      </c>
      <c r="G727" s="1" t="s">
        <v>9</v>
      </c>
      <c r="H727" t="e">
        <f>VLOOKUP(C727,'[1]873'!$C$2:$C$711,1,0)</f>
        <v>#N/A</v>
      </c>
    </row>
    <row r="728" spans="1:8" ht="14.25" customHeight="1" x14ac:dyDescent="0.25">
      <c r="A728" s="3">
        <v>45594</v>
      </c>
      <c r="B728" s="43">
        <v>2024002292</v>
      </c>
      <c r="C728" s="4" t="s">
        <v>598</v>
      </c>
      <c r="D728" s="5">
        <v>106805500</v>
      </c>
      <c r="E728" s="4">
        <v>900994364</v>
      </c>
      <c r="F728" s="4" t="s">
        <v>269</v>
      </c>
      <c r="G728" t="s">
        <v>565</v>
      </c>
      <c r="H728" t="e">
        <f>VLOOKUP(C728,'[1]873'!$C$2:$C$711,1,0)</f>
        <v>#N/A</v>
      </c>
    </row>
    <row r="729" spans="1:8" ht="14.25" customHeight="1" x14ac:dyDescent="0.25">
      <c r="A729" s="3">
        <v>45595</v>
      </c>
      <c r="B729" s="41">
        <v>2024002306</v>
      </c>
      <c r="C729" s="1" t="s">
        <v>380</v>
      </c>
      <c r="D729" s="5">
        <v>2000000</v>
      </c>
      <c r="E729" s="1">
        <v>1085324107</v>
      </c>
      <c r="F729" s="1" t="s">
        <v>381</v>
      </c>
      <c r="G729" s="1" t="s">
        <v>9</v>
      </c>
      <c r="H729" t="e">
        <f>VLOOKUP(C729,'[1]873'!$C$2:$C$711,1,0)</f>
        <v>#N/A</v>
      </c>
    </row>
    <row r="730" spans="1:8" ht="14.25" customHeight="1" x14ac:dyDescent="0.25">
      <c r="A730" s="3">
        <v>45595</v>
      </c>
      <c r="B730" s="41">
        <v>2024002307</v>
      </c>
      <c r="C730" s="1" t="s">
        <v>380</v>
      </c>
      <c r="D730" s="5">
        <v>1000000</v>
      </c>
      <c r="E730" s="1">
        <v>1085324107</v>
      </c>
      <c r="F730" s="1" t="s">
        <v>381</v>
      </c>
      <c r="G730" s="1" t="s">
        <v>9</v>
      </c>
      <c r="H730" t="e">
        <f>VLOOKUP(C730,'[1]873'!$C$2:$C$711,1,0)</f>
        <v>#N/A</v>
      </c>
    </row>
    <row r="731" spans="1:8" ht="14.25" customHeight="1" x14ac:dyDescent="0.25">
      <c r="A731" s="3">
        <v>45604</v>
      </c>
      <c r="B731" s="43">
        <v>2024002372</v>
      </c>
      <c r="C731" s="4" t="s">
        <v>599</v>
      </c>
      <c r="D731" s="5">
        <v>7540000</v>
      </c>
      <c r="E731" s="4">
        <v>1085304670</v>
      </c>
      <c r="F731" s="4" t="s">
        <v>161</v>
      </c>
      <c r="G731" t="s">
        <v>565</v>
      </c>
      <c r="H731" t="e">
        <f>VLOOKUP(C731,'[1]873'!$C$2:$C$711,1,0)</f>
        <v>#N/A</v>
      </c>
    </row>
    <row r="732" spans="1:8" ht="14.25" customHeight="1" x14ac:dyDescent="0.25">
      <c r="A732" s="3">
        <v>45609</v>
      </c>
      <c r="B732" s="43">
        <v>2024002374</v>
      </c>
      <c r="C732" s="4" t="s">
        <v>600</v>
      </c>
      <c r="D732" s="5">
        <v>6000000</v>
      </c>
      <c r="E732" s="4">
        <v>59820414</v>
      </c>
      <c r="F732" s="4" t="s">
        <v>261</v>
      </c>
      <c r="G732" t="s">
        <v>565</v>
      </c>
      <c r="H732" t="e">
        <f>VLOOKUP(C732,'[1]873'!$C$2:$C$711,1,0)</f>
        <v>#N/A</v>
      </c>
    </row>
    <row r="733" spans="1:8" ht="14.25" customHeight="1" x14ac:dyDescent="0.25">
      <c r="A733" s="3">
        <v>45610</v>
      </c>
      <c r="B733" s="43">
        <v>2024002398</v>
      </c>
      <c r="C733" s="4" t="s">
        <v>601</v>
      </c>
      <c r="D733" s="5">
        <v>6000000</v>
      </c>
      <c r="E733" s="4">
        <v>27097289</v>
      </c>
      <c r="F733" s="4" t="s">
        <v>49</v>
      </c>
      <c r="G733" t="s">
        <v>565</v>
      </c>
      <c r="H733" t="e">
        <f>VLOOKUP(C733,'[1]873'!$C$2:$C$711,1,0)</f>
        <v>#N/A</v>
      </c>
    </row>
    <row r="734" spans="1:8" ht="14.25" customHeight="1" x14ac:dyDescent="0.25">
      <c r="A734" s="3">
        <v>45610</v>
      </c>
      <c r="B734" s="43">
        <v>2024002400</v>
      </c>
      <c r="C734" s="4" t="s">
        <v>602</v>
      </c>
      <c r="D734" s="5">
        <v>7540000</v>
      </c>
      <c r="E734" s="4">
        <v>1151934571</v>
      </c>
      <c r="F734" s="4" t="s">
        <v>137</v>
      </c>
      <c r="G734" t="s">
        <v>565</v>
      </c>
      <c r="H734" t="e">
        <f>VLOOKUP(C734,'[1]873'!$C$2:$C$711,1,0)</f>
        <v>#N/A</v>
      </c>
    </row>
    <row r="735" spans="1:8" ht="14.25" customHeight="1" x14ac:dyDescent="0.25">
      <c r="A735" s="3">
        <v>45610</v>
      </c>
      <c r="B735" s="43">
        <v>2024002401</v>
      </c>
      <c r="C735" s="4" t="s">
        <v>603</v>
      </c>
      <c r="D735" s="5">
        <v>6000000</v>
      </c>
      <c r="E735" s="4">
        <v>1085286476</v>
      </c>
      <c r="F735" s="4" t="s">
        <v>385</v>
      </c>
      <c r="G735" t="s">
        <v>565</v>
      </c>
      <c r="H735" t="e">
        <f>VLOOKUP(C735,'[1]873'!$C$2:$C$711,1,0)</f>
        <v>#N/A</v>
      </c>
    </row>
    <row r="736" spans="1:8" ht="14.25" customHeight="1" x14ac:dyDescent="0.25">
      <c r="A736" s="3">
        <v>45610</v>
      </c>
      <c r="B736" s="43">
        <v>2024002404</v>
      </c>
      <c r="C736" s="4" t="s">
        <v>604</v>
      </c>
      <c r="D736" s="5">
        <v>7540000</v>
      </c>
      <c r="E736" s="4">
        <v>1085336362</v>
      </c>
      <c r="F736" s="4" t="s">
        <v>41</v>
      </c>
      <c r="G736" t="s">
        <v>565</v>
      </c>
      <c r="H736" t="e">
        <f>VLOOKUP(C736,'[1]873'!$C$2:$C$711,1,0)</f>
        <v>#N/A</v>
      </c>
    </row>
    <row r="737" spans="1:8" ht="14.25" customHeight="1" x14ac:dyDescent="0.25">
      <c r="A737" s="3">
        <v>45610</v>
      </c>
      <c r="B737" s="43">
        <v>2024002406</v>
      </c>
      <c r="C737" s="4" t="s">
        <v>605</v>
      </c>
      <c r="D737" s="5">
        <v>3000000</v>
      </c>
      <c r="E737" s="4">
        <v>1085326198</v>
      </c>
      <c r="F737" s="4" t="s">
        <v>79</v>
      </c>
      <c r="G737" t="s">
        <v>565</v>
      </c>
      <c r="H737" t="e">
        <f>VLOOKUP(C737,'[1]873'!$C$2:$C$711,1,0)</f>
        <v>#N/A</v>
      </c>
    </row>
    <row r="738" spans="1:8" ht="14.25" customHeight="1" x14ac:dyDescent="0.25">
      <c r="A738" s="3">
        <v>45610</v>
      </c>
      <c r="B738" s="43">
        <v>2024002407</v>
      </c>
      <c r="C738" s="4" t="s">
        <v>606</v>
      </c>
      <c r="D738" s="5">
        <v>3000000</v>
      </c>
      <c r="E738" s="4">
        <v>1088799034</v>
      </c>
      <c r="F738" s="4" t="s">
        <v>81</v>
      </c>
      <c r="G738" t="s">
        <v>565</v>
      </c>
      <c r="H738" t="e">
        <f>VLOOKUP(C738,'[1]873'!$C$2:$C$711,1,0)</f>
        <v>#N/A</v>
      </c>
    </row>
    <row r="739" spans="1:8" ht="14.25" customHeight="1" x14ac:dyDescent="0.25">
      <c r="A739" s="3">
        <v>45610</v>
      </c>
      <c r="B739" s="43">
        <v>2024002408</v>
      </c>
      <c r="C739" s="4" t="s">
        <v>607</v>
      </c>
      <c r="D739" s="5">
        <v>3000000</v>
      </c>
      <c r="E739" s="4">
        <v>1085295383</v>
      </c>
      <c r="F739" s="4" t="s">
        <v>139</v>
      </c>
      <c r="G739" t="s">
        <v>565</v>
      </c>
      <c r="H739" t="e">
        <f>VLOOKUP(C739,'[1]873'!$C$2:$C$711,1,0)</f>
        <v>#N/A</v>
      </c>
    </row>
    <row r="740" spans="1:8" ht="14.25" customHeight="1" x14ac:dyDescent="0.25">
      <c r="A740" s="3">
        <v>45610</v>
      </c>
      <c r="B740" s="43">
        <v>2024002410</v>
      </c>
      <c r="C740" s="4" t="s">
        <v>608</v>
      </c>
      <c r="D740" s="5">
        <v>3000000</v>
      </c>
      <c r="E740" s="4">
        <v>1085331508</v>
      </c>
      <c r="F740" s="4" t="s">
        <v>35</v>
      </c>
      <c r="G740" t="s">
        <v>565</v>
      </c>
      <c r="H740" t="e">
        <f>VLOOKUP(C740,'[1]873'!$C$2:$C$711,1,0)</f>
        <v>#N/A</v>
      </c>
    </row>
    <row r="741" spans="1:8" ht="14.25" customHeight="1" x14ac:dyDescent="0.25">
      <c r="A741" s="3">
        <v>45610</v>
      </c>
      <c r="B741" s="43">
        <v>2024002411</v>
      </c>
      <c r="C741" s="4" t="s">
        <v>609</v>
      </c>
      <c r="D741" s="5">
        <v>6000000</v>
      </c>
      <c r="E741" s="4">
        <v>1085275879</v>
      </c>
      <c r="F741" s="4" t="s">
        <v>117</v>
      </c>
      <c r="G741" t="s">
        <v>565</v>
      </c>
      <c r="H741" t="e">
        <f>VLOOKUP(C741,'[1]873'!$C$2:$C$711,1,0)</f>
        <v>#N/A</v>
      </c>
    </row>
    <row r="742" spans="1:8" ht="14.25" customHeight="1" x14ac:dyDescent="0.25">
      <c r="A742" s="3">
        <v>45610</v>
      </c>
      <c r="B742" s="43">
        <v>2024002415</v>
      </c>
      <c r="C742" s="4" t="s">
        <v>610</v>
      </c>
      <c r="D742" s="5">
        <v>6000000</v>
      </c>
      <c r="E742" s="4">
        <v>1085254626</v>
      </c>
      <c r="F742" s="4" t="s">
        <v>143</v>
      </c>
      <c r="G742" t="s">
        <v>565</v>
      </c>
      <c r="H742" t="e">
        <f>VLOOKUP(C742,'[1]873'!$C$2:$C$711,1,0)</f>
        <v>#N/A</v>
      </c>
    </row>
    <row r="743" spans="1:8" ht="14.25" customHeight="1" x14ac:dyDescent="0.25">
      <c r="A743" s="3">
        <v>45610</v>
      </c>
      <c r="B743" s="43">
        <v>2024002416</v>
      </c>
      <c r="C743" s="4" t="s">
        <v>611</v>
      </c>
      <c r="D743" s="5">
        <v>3000000</v>
      </c>
      <c r="E743" s="4">
        <v>1085261053</v>
      </c>
      <c r="F743" s="4" t="s">
        <v>335</v>
      </c>
      <c r="G743" t="s">
        <v>565</v>
      </c>
      <c r="H743" t="e">
        <f>VLOOKUP(C743,'[1]873'!$C$2:$C$711,1,0)</f>
        <v>#N/A</v>
      </c>
    </row>
    <row r="744" spans="1:8" ht="14.25" customHeight="1" x14ac:dyDescent="0.25">
      <c r="A744" s="3">
        <v>45610</v>
      </c>
      <c r="B744" s="43">
        <v>2024002417</v>
      </c>
      <c r="C744" s="4" t="s">
        <v>612</v>
      </c>
      <c r="D744" s="5">
        <v>4750000</v>
      </c>
      <c r="E744" s="4">
        <v>27087475</v>
      </c>
      <c r="F744" s="4" t="s">
        <v>571</v>
      </c>
      <c r="G744" t="s">
        <v>565</v>
      </c>
      <c r="H744" t="e">
        <f>VLOOKUP(C744,'[1]873'!$C$2:$C$711,1,0)</f>
        <v>#N/A</v>
      </c>
    </row>
    <row r="745" spans="1:8" ht="14.25" customHeight="1" x14ac:dyDescent="0.25">
      <c r="A745" s="3">
        <v>45610</v>
      </c>
      <c r="B745" s="43">
        <v>2024002418</v>
      </c>
      <c r="C745" s="4" t="s">
        <v>613</v>
      </c>
      <c r="D745" s="5">
        <v>6000000</v>
      </c>
      <c r="E745" s="4">
        <v>1085313872</v>
      </c>
      <c r="F745" s="4" t="s">
        <v>614</v>
      </c>
      <c r="G745" t="s">
        <v>565</v>
      </c>
      <c r="H745" t="e">
        <f>VLOOKUP(C745,'[1]873'!$C$2:$C$711,1,0)</f>
        <v>#N/A</v>
      </c>
    </row>
    <row r="746" spans="1:8" ht="14.25" customHeight="1" x14ac:dyDescent="0.25">
      <c r="A746" s="3">
        <v>45611</v>
      </c>
      <c r="B746" s="43">
        <v>2024002427</v>
      </c>
      <c r="C746" s="4" t="s">
        <v>615</v>
      </c>
      <c r="D746" s="5">
        <v>9853200</v>
      </c>
      <c r="E746" s="4">
        <v>830004892</v>
      </c>
      <c r="F746" s="4" t="s">
        <v>616</v>
      </c>
      <c r="G746" t="s">
        <v>565</v>
      </c>
      <c r="H746" t="e">
        <f>VLOOKUP(C746,'[1]873'!$C$2:$C$711,1,0)</f>
        <v>#N/A</v>
      </c>
    </row>
    <row r="747" spans="1:8" ht="14.25" customHeight="1" x14ac:dyDescent="0.25">
      <c r="A747" s="3">
        <v>45614</v>
      </c>
      <c r="B747" s="43">
        <v>2024002440</v>
      </c>
      <c r="C747" s="4" t="s">
        <v>617</v>
      </c>
      <c r="D747" s="5">
        <v>6000000</v>
      </c>
      <c r="E747" s="4">
        <v>1082748420</v>
      </c>
      <c r="F747" s="4" t="s">
        <v>450</v>
      </c>
      <c r="G747" t="s">
        <v>565</v>
      </c>
      <c r="H747" t="e">
        <f>VLOOKUP(C747,'[1]873'!$C$2:$C$711,1,0)</f>
        <v>#N/A</v>
      </c>
    </row>
    <row r="748" spans="1:8" ht="14.25" customHeight="1" x14ac:dyDescent="0.25">
      <c r="A748" s="3">
        <v>45614</v>
      </c>
      <c r="B748" s="43">
        <v>2024002441</v>
      </c>
      <c r="C748" s="4" t="s">
        <v>618</v>
      </c>
      <c r="D748" s="5">
        <v>6000000</v>
      </c>
      <c r="E748" s="4">
        <v>1085320275</v>
      </c>
      <c r="F748" s="4" t="s">
        <v>619</v>
      </c>
      <c r="G748" t="s">
        <v>565</v>
      </c>
      <c r="H748" t="e">
        <f>VLOOKUP(C748,'[1]873'!$C$2:$C$711,1,0)</f>
        <v>#N/A</v>
      </c>
    </row>
    <row r="749" spans="1:8" ht="14.25" customHeight="1" x14ac:dyDescent="0.25">
      <c r="A749" s="3">
        <v>45614</v>
      </c>
      <c r="B749" s="43">
        <v>2024002442</v>
      </c>
      <c r="C749" s="4" t="s">
        <v>620</v>
      </c>
      <c r="D749" s="5">
        <v>4825000</v>
      </c>
      <c r="E749" s="4">
        <v>1085273986</v>
      </c>
      <c r="F749" s="4" t="s">
        <v>621</v>
      </c>
      <c r="G749" t="s">
        <v>565</v>
      </c>
      <c r="H749" t="e">
        <f>VLOOKUP(C749,'[1]873'!$C$2:$C$711,1,0)</f>
        <v>#N/A</v>
      </c>
    </row>
    <row r="750" spans="1:8" ht="14.25" customHeight="1" x14ac:dyDescent="0.25">
      <c r="A750" s="3">
        <v>45614</v>
      </c>
      <c r="B750" s="43">
        <v>2024002443</v>
      </c>
      <c r="C750" s="4" t="s">
        <v>622</v>
      </c>
      <c r="D750" s="5">
        <v>4825000</v>
      </c>
      <c r="E750" s="4">
        <v>1085283723</v>
      </c>
      <c r="F750" s="4" t="s">
        <v>175</v>
      </c>
      <c r="G750" t="s">
        <v>565</v>
      </c>
      <c r="H750" t="e">
        <f>VLOOKUP(C750,'[1]873'!$C$2:$C$711,1,0)</f>
        <v>#N/A</v>
      </c>
    </row>
    <row r="751" spans="1:8" ht="14.25" customHeight="1" x14ac:dyDescent="0.25">
      <c r="A751" s="3">
        <v>45614</v>
      </c>
      <c r="B751" s="43">
        <v>2024002444</v>
      </c>
      <c r="C751" s="4" t="s">
        <v>623</v>
      </c>
      <c r="D751" s="5">
        <v>4750000</v>
      </c>
      <c r="E751" s="4">
        <v>1085260497</v>
      </c>
      <c r="F751" s="4" t="s">
        <v>429</v>
      </c>
      <c r="G751" t="s">
        <v>565</v>
      </c>
      <c r="H751" t="e">
        <f>VLOOKUP(C751,'[1]873'!$C$2:$C$711,1,0)</f>
        <v>#N/A</v>
      </c>
    </row>
    <row r="752" spans="1:8" ht="14.25" customHeight="1" x14ac:dyDescent="0.25">
      <c r="A752" s="3">
        <v>45614</v>
      </c>
      <c r="B752" s="43">
        <v>2024002445</v>
      </c>
      <c r="C752" s="4" t="s">
        <v>624</v>
      </c>
      <c r="D752" s="5">
        <v>4825000</v>
      </c>
      <c r="E752" s="4">
        <v>37082349</v>
      </c>
      <c r="F752" s="4" t="s">
        <v>377</v>
      </c>
      <c r="G752" t="s">
        <v>565</v>
      </c>
      <c r="H752" t="e">
        <f>VLOOKUP(C752,'[1]873'!$C$2:$C$711,1,0)</f>
        <v>#N/A</v>
      </c>
    </row>
    <row r="753" spans="1:8" ht="14.25" customHeight="1" x14ac:dyDescent="0.25">
      <c r="A753" s="3">
        <v>45614</v>
      </c>
      <c r="B753" s="43">
        <v>2024002446</v>
      </c>
      <c r="C753" s="4" t="s">
        <v>625</v>
      </c>
      <c r="D753" s="5">
        <v>4750000</v>
      </c>
      <c r="E753" s="4">
        <v>1085263018</v>
      </c>
      <c r="F753" s="4" t="s">
        <v>91</v>
      </c>
      <c r="G753" t="s">
        <v>565</v>
      </c>
      <c r="H753" t="e">
        <f>VLOOKUP(C753,'[1]873'!$C$2:$C$711,1,0)</f>
        <v>#N/A</v>
      </c>
    </row>
    <row r="754" spans="1:8" ht="14.25" customHeight="1" x14ac:dyDescent="0.25">
      <c r="A754" s="3">
        <v>45614</v>
      </c>
      <c r="B754" s="43">
        <v>2024002447</v>
      </c>
      <c r="C754" s="4" t="s">
        <v>626</v>
      </c>
      <c r="D754" s="5">
        <v>4825000</v>
      </c>
      <c r="E754" s="4">
        <v>1085338534</v>
      </c>
      <c r="F754" s="4" t="s">
        <v>15</v>
      </c>
      <c r="G754" t="s">
        <v>565</v>
      </c>
      <c r="H754" t="e">
        <f>VLOOKUP(C754,'[1]873'!$C$2:$C$711,1,0)</f>
        <v>#N/A</v>
      </c>
    </row>
    <row r="755" spans="1:8" ht="14.25" customHeight="1" x14ac:dyDescent="0.25">
      <c r="A755" s="3">
        <v>45614</v>
      </c>
      <c r="B755" s="43">
        <v>2024002448</v>
      </c>
      <c r="C755" s="4" t="s">
        <v>627</v>
      </c>
      <c r="D755" s="5">
        <v>3000000</v>
      </c>
      <c r="E755" s="4">
        <v>1085271641</v>
      </c>
      <c r="F755" s="4" t="s">
        <v>251</v>
      </c>
      <c r="G755" t="s">
        <v>565</v>
      </c>
      <c r="H755" t="e">
        <f>VLOOKUP(C755,'[1]873'!$C$2:$C$711,1,0)</f>
        <v>#N/A</v>
      </c>
    </row>
    <row r="756" spans="1:8" ht="14.25" customHeight="1" x14ac:dyDescent="0.25">
      <c r="A756" s="3">
        <v>45614</v>
      </c>
      <c r="B756" s="43">
        <v>2024002449</v>
      </c>
      <c r="C756" s="4" t="s">
        <v>628</v>
      </c>
      <c r="D756" s="5">
        <v>3000000</v>
      </c>
      <c r="E756" s="4">
        <v>1192717330</v>
      </c>
      <c r="F756" s="4" t="s">
        <v>277</v>
      </c>
      <c r="G756" t="s">
        <v>565</v>
      </c>
      <c r="H756" t="e">
        <f>VLOOKUP(C756,'[1]873'!$C$2:$C$711,1,0)</f>
        <v>#N/A</v>
      </c>
    </row>
    <row r="757" spans="1:8" ht="14.25" customHeight="1" x14ac:dyDescent="0.25">
      <c r="A757" s="3">
        <v>45614</v>
      </c>
      <c r="B757" s="43">
        <v>2024002450</v>
      </c>
      <c r="C757" s="4" t="s">
        <v>629</v>
      </c>
      <c r="D757" s="5">
        <v>2500000</v>
      </c>
      <c r="E757" s="4">
        <v>27211504</v>
      </c>
      <c r="F757" s="4" t="s">
        <v>203</v>
      </c>
      <c r="G757" t="s">
        <v>565</v>
      </c>
      <c r="H757" t="e">
        <f>VLOOKUP(C757,'[1]873'!$C$2:$C$711,1,0)</f>
        <v>#N/A</v>
      </c>
    </row>
    <row r="758" spans="1:8" ht="14.25" customHeight="1" x14ac:dyDescent="0.25">
      <c r="A758" s="3">
        <v>45614</v>
      </c>
      <c r="B758" s="43">
        <v>2024002451</v>
      </c>
      <c r="C758" s="4" t="s">
        <v>630</v>
      </c>
      <c r="D758" s="5">
        <v>3000000</v>
      </c>
      <c r="E758" s="4">
        <v>1004635031</v>
      </c>
      <c r="F758" s="4" t="s">
        <v>397</v>
      </c>
      <c r="G758" t="s">
        <v>565</v>
      </c>
      <c r="H758" t="e">
        <f>VLOOKUP(C758,'[1]873'!$C$2:$C$711,1,0)</f>
        <v>#N/A</v>
      </c>
    </row>
    <row r="759" spans="1:8" ht="14.25" customHeight="1" x14ac:dyDescent="0.25">
      <c r="A759" s="3">
        <v>45614</v>
      </c>
      <c r="B759" s="43">
        <v>2024002452</v>
      </c>
      <c r="C759" s="4" t="s">
        <v>631</v>
      </c>
      <c r="D759" s="5">
        <v>6000000</v>
      </c>
      <c r="E759" s="4">
        <v>1085246134</v>
      </c>
      <c r="F759" s="4" t="s">
        <v>55</v>
      </c>
      <c r="G759" t="s">
        <v>565</v>
      </c>
      <c r="H759" t="e">
        <f>VLOOKUP(C759,'[1]873'!$C$2:$C$711,1,0)</f>
        <v>#N/A</v>
      </c>
    </row>
    <row r="760" spans="1:8" ht="14.25" customHeight="1" x14ac:dyDescent="0.25">
      <c r="A760" s="3">
        <v>45614</v>
      </c>
      <c r="B760" s="43">
        <v>2024002453</v>
      </c>
      <c r="C760" s="4" t="s">
        <v>632</v>
      </c>
      <c r="D760" s="5">
        <v>6000000</v>
      </c>
      <c r="E760" s="4">
        <v>36951002</v>
      </c>
      <c r="F760" s="4" t="s">
        <v>125</v>
      </c>
      <c r="G760" t="s">
        <v>565</v>
      </c>
      <c r="H760" t="e">
        <f>VLOOKUP(C760,'[1]873'!$C$2:$C$711,1,0)</f>
        <v>#N/A</v>
      </c>
    </row>
    <row r="761" spans="1:8" ht="14.25" customHeight="1" x14ac:dyDescent="0.25">
      <c r="A761" s="3">
        <v>45614</v>
      </c>
      <c r="B761" s="43">
        <v>2024002454</v>
      </c>
      <c r="C761" s="4" t="s">
        <v>633</v>
      </c>
      <c r="D761" s="5">
        <v>7540000</v>
      </c>
      <c r="E761" s="4">
        <v>36950112</v>
      </c>
      <c r="F761" s="4" t="s">
        <v>634</v>
      </c>
      <c r="G761" t="s">
        <v>565</v>
      </c>
      <c r="H761" t="e">
        <f>VLOOKUP(C761,'[1]873'!$C$2:$C$711,1,0)</f>
        <v>#N/A</v>
      </c>
    </row>
    <row r="762" spans="1:8" ht="14.25" customHeight="1" x14ac:dyDescent="0.25">
      <c r="A762" s="3">
        <v>45615</v>
      </c>
      <c r="B762" s="43">
        <v>2024002458</v>
      </c>
      <c r="C762" s="4" t="s">
        <v>635</v>
      </c>
      <c r="D762" s="5">
        <v>30171550</v>
      </c>
      <c r="E762" s="4">
        <v>900633448</v>
      </c>
      <c r="F762" s="4" t="s">
        <v>165</v>
      </c>
      <c r="G762" t="s">
        <v>565</v>
      </c>
      <c r="H762" t="e">
        <f>VLOOKUP(C762,'[1]873'!$C$2:$C$711,1,0)</f>
        <v>#N/A</v>
      </c>
    </row>
    <row r="763" spans="1:8" ht="14.25" customHeight="1" x14ac:dyDescent="0.25">
      <c r="A763" s="3">
        <v>45615</v>
      </c>
      <c r="B763" s="43">
        <v>2024002459</v>
      </c>
      <c r="C763" s="4" t="s">
        <v>636</v>
      </c>
      <c r="D763" s="5">
        <v>32976500</v>
      </c>
      <c r="E763" s="4">
        <v>900633448</v>
      </c>
      <c r="F763" s="4" t="s">
        <v>165</v>
      </c>
      <c r="G763" t="s">
        <v>565</v>
      </c>
      <c r="H763" t="e">
        <f>VLOOKUP(C763,'[1]873'!$C$2:$C$711,1,0)</f>
        <v>#N/A</v>
      </c>
    </row>
    <row r="764" spans="1:8" ht="14.25" customHeight="1" x14ac:dyDescent="0.25">
      <c r="A764" s="3">
        <v>45615</v>
      </c>
      <c r="B764" s="43">
        <v>2024002461</v>
      </c>
      <c r="C764" s="4" t="s">
        <v>637</v>
      </c>
      <c r="D764" s="5">
        <v>40641250</v>
      </c>
      <c r="E764" s="4">
        <v>900633448</v>
      </c>
      <c r="F764" s="4" t="s">
        <v>165</v>
      </c>
      <c r="G764" t="s">
        <v>565</v>
      </c>
      <c r="H764" t="e">
        <f>VLOOKUP(C764,'[1]873'!$C$2:$C$711,1,0)</f>
        <v>#N/A</v>
      </c>
    </row>
    <row r="765" spans="1:8" ht="14.25" customHeight="1" x14ac:dyDescent="0.25">
      <c r="A765" s="3">
        <v>45615</v>
      </c>
      <c r="B765" s="43">
        <v>2024002462</v>
      </c>
      <c r="C765" s="4" t="s">
        <v>638</v>
      </c>
      <c r="D765" s="5">
        <v>6000000</v>
      </c>
      <c r="E765" s="4">
        <v>1010010954</v>
      </c>
      <c r="F765" s="4" t="s">
        <v>337</v>
      </c>
      <c r="G765" t="s">
        <v>565</v>
      </c>
      <c r="H765" t="e">
        <f>VLOOKUP(C765,'[1]873'!$C$2:$C$711,1,0)</f>
        <v>#N/A</v>
      </c>
    </row>
    <row r="766" spans="1:8" ht="14.25" customHeight="1" x14ac:dyDescent="0.25">
      <c r="A766" s="3">
        <v>45615</v>
      </c>
      <c r="B766" s="43">
        <v>2024002463</v>
      </c>
      <c r="C766" s="4" t="s">
        <v>639</v>
      </c>
      <c r="D766" s="5">
        <v>3000000</v>
      </c>
      <c r="E766" s="4">
        <v>36757522</v>
      </c>
      <c r="F766" s="4" t="s">
        <v>271</v>
      </c>
      <c r="G766" t="s">
        <v>565</v>
      </c>
      <c r="H766" t="e">
        <f>VLOOKUP(C766,'[1]873'!$C$2:$C$711,1,0)</f>
        <v>#N/A</v>
      </c>
    </row>
    <row r="767" spans="1:8" ht="14.25" customHeight="1" x14ac:dyDescent="0.25">
      <c r="A767" s="3">
        <v>45615</v>
      </c>
      <c r="B767" s="43">
        <v>2024002464</v>
      </c>
      <c r="C767" s="4" t="s">
        <v>640</v>
      </c>
      <c r="D767" s="5">
        <v>3000000</v>
      </c>
      <c r="E767" s="4">
        <v>1004592366</v>
      </c>
      <c r="F767" s="4" t="s">
        <v>123</v>
      </c>
      <c r="G767" t="s">
        <v>565</v>
      </c>
      <c r="H767" t="e">
        <f>VLOOKUP(C767,'[1]873'!$C$2:$C$711,1,0)</f>
        <v>#N/A</v>
      </c>
    </row>
    <row r="768" spans="1:8" ht="14.25" customHeight="1" x14ac:dyDescent="0.25">
      <c r="A768" s="3">
        <v>45615</v>
      </c>
      <c r="B768" s="43">
        <v>2024002465</v>
      </c>
      <c r="C768" s="4" t="s">
        <v>641</v>
      </c>
      <c r="D768" s="5">
        <v>2500000</v>
      </c>
      <c r="E768" s="4">
        <v>1085251468</v>
      </c>
      <c r="F768" s="4" t="s">
        <v>303</v>
      </c>
      <c r="G768" t="s">
        <v>565</v>
      </c>
      <c r="H768" t="e">
        <f>VLOOKUP(C768,'[1]873'!$C$2:$C$711,1,0)</f>
        <v>#N/A</v>
      </c>
    </row>
    <row r="769" spans="1:8" ht="14.25" customHeight="1" x14ac:dyDescent="0.25">
      <c r="A769" s="3">
        <v>45615</v>
      </c>
      <c r="B769" s="43">
        <v>2024002466</v>
      </c>
      <c r="C769" s="4" t="s">
        <v>642</v>
      </c>
      <c r="D769" s="5">
        <v>1800000</v>
      </c>
      <c r="E769" s="4">
        <v>1085292185</v>
      </c>
      <c r="F769" s="4" t="s">
        <v>27</v>
      </c>
      <c r="G769" t="s">
        <v>565</v>
      </c>
      <c r="H769" t="e">
        <f>VLOOKUP(C769,'[1]873'!$C$2:$C$711,1,0)</f>
        <v>#N/A</v>
      </c>
    </row>
    <row r="770" spans="1:8" ht="14.25" customHeight="1" x14ac:dyDescent="0.25">
      <c r="A770" s="3">
        <v>45615</v>
      </c>
      <c r="B770" s="43">
        <v>2024002467</v>
      </c>
      <c r="C770" s="4" t="s">
        <v>643</v>
      </c>
      <c r="D770" s="5">
        <v>3000000</v>
      </c>
      <c r="E770" s="4">
        <v>1004232508</v>
      </c>
      <c r="F770" s="4" t="s">
        <v>109</v>
      </c>
      <c r="G770" t="s">
        <v>565</v>
      </c>
      <c r="H770" t="e">
        <f>VLOOKUP(C770,'[1]873'!$C$2:$C$711,1,0)</f>
        <v>#N/A</v>
      </c>
    </row>
    <row r="771" spans="1:8" ht="14.25" customHeight="1" x14ac:dyDescent="0.25">
      <c r="A771" s="3">
        <v>45615</v>
      </c>
      <c r="B771" s="43">
        <v>2024002468</v>
      </c>
      <c r="C771" s="4" t="s">
        <v>644</v>
      </c>
      <c r="D771" s="5">
        <v>27667150</v>
      </c>
      <c r="E771" s="4">
        <v>900633448</v>
      </c>
      <c r="F771" s="4" t="s">
        <v>165</v>
      </c>
      <c r="G771" t="s">
        <v>565</v>
      </c>
      <c r="H771" t="e">
        <f>VLOOKUP(C771,'[1]873'!$C$2:$C$711,1,0)</f>
        <v>#N/A</v>
      </c>
    </row>
    <row r="772" spans="1:8" ht="14.25" customHeight="1" x14ac:dyDescent="0.25">
      <c r="A772" s="3">
        <v>45615</v>
      </c>
      <c r="B772" s="43">
        <v>2024002469</v>
      </c>
      <c r="C772" s="4" t="s">
        <v>645</v>
      </c>
      <c r="D772" s="5">
        <v>7540000</v>
      </c>
      <c r="E772" s="4">
        <v>1085320661</v>
      </c>
      <c r="F772" s="4" t="s">
        <v>393</v>
      </c>
      <c r="G772" t="s">
        <v>565</v>
      </c>
      <c r="H772" t="e">
        <f>VLOOKUP(C772,'[1]873'!$C$2:$C$711,1,0)</f>
        <v>#N/A</v>
      </c>
    </row>
    <row r="773" spans="1:8" ht="14.25" customHeight="1" x14ac:dyDescent="0.25">
      <c r="A773" s="3">
        <v>45615</v>
      </c>
      <c r="B773" s="43">
        <v>2024002470</v>
      </c>
      <c r="C773" s="4" t="s">
        <v>646</v>
      </c>
      <c r="D773" s="5">
        <v>7540000</v>
      </c>
      <c r="E773" s="4">
        <v>1085332934</v>
      </c>
      <c r="F773" s="4" t="s">
        <v>379</v>
      </c>
      <c r="G773" t="s">
        <v>565</v>
      </c>
      <c r="H773" t="e">
        <f>VLOOKUP(C773,'[1]873'!$C$2:$C$711,1,0)</f>
        <v>#N/A</v>
      </c>
    </row>
    <row r="774" spans="1:8" ht="14.25" customHeight="1" x14ac:dyDescent="0.25">
      <c r="A774" s="3">
        <v>45615</v>
      </c>
      <c r="B774" s="43">
        <v>2024002471</v>
      </c>
      <c r="C774" s="4" t="s">
        <v>647</v>
      </c>
      <c r="D774" s="5">
        <v>4825000</v>
      </c>
      <c r="E774" s="4">
        <v>12748383</v>
      </c>
      <c r="F774" s="4" t="s">
        <v>447</v>
      </c>
      <c r="G774" t="s">
        <v>565</v>
      </c>
      <c r="H774" t="e">
        <f>VLOOKUP(C774,'[1]873'!$C$2:$C$711,1,0)</f>
        <v>#N/A</v>
      </c>
    </row>
    <row r="775" spans="1:8" ht="14.25" customHeight="1" x14ac:dyDescent="0.25">
      <c r="A775" s="3">
        <v>45615</v>
      </c>
      <c r="B775" s="43">
        <v>2024002472</v>
      </c>
      <c r="C775" s="4" t="s">
        <v>648</v>
      </c>
      <c r="D775" s="5">
        <v>4825000</v>
      </c>
      <c r="E775" s="4">
        <v>30732782</v>
      </c>
      <c r="F775" s="4" t="s">
        <v>245</v>
      </c>
      <c r="G775" t="s">
        <v>565</v>
      </c>
      <c r="H775" t="e">
        <f>VLOOKUP(C775,'[1]873'!$C$2:$C$711,1,0)</f>
        <v>#N/A</v>
      </c>
    </row>
    <row r="776" spans="1:8" ht="14.25" customHeight="1" x14ac:dyDescent="0.25">
      <c r="A776" s="3">
        <v>45615</v>
      </c>
      <c r="B776" s="43">
        <v>2024002475</v>
      </c>
      <c r="C776" s="4" t="s">
        <v>649</v>
      </c>
      <c r="D776" s="5">
        <v>9891756</v>
      </c>
      <c r="E776" s="4">
        <v>900414376</v>
      </c>
      <c r="F776" s="4" t="s">
        <v>650</v>
      </c>
      <c r="G776" t="s">
        <v>565</v>
      </c>
      <c r="H776" t="e">
        <f>VLOOKUP(C776,'[1]873'!$C$2:$C$711,1,0)</f>
        <v>#N/A</v>
      </c>
    </row>
    <row r="777" spans="1:8" ht="14.25" customHeight="1" x14ac:dyDescent="0.25">
      <c r="A777" s="3">
        <v>45615</v>
      </c>
      <c r="B777" s="43">
        <v>2024002476</v>
      </c>
      <c r="C777" s="4" t="s">
        <v>651</v>
      </c>
      <c r="D777" s="5">
        <v>13508223.119999999</v>
      </c>
      <c r="E777" s="4">
        <v>900441119</v>
      </c>
      <c r="F777" s="4" t="s">
        <v>652</v>
      </c>
      <c r="G777" t="s">
        <v>565</v>
      </c>
      <c r="H777" t="e">
        <f>VLOOKUP(C777,'[1]873'!$C$2:$C$711,1,0)</f>
        <v>#N/A</v>
      </c>
    </row>
    <row r="778" spans="1:8" ht="14.25" customHeight="1" x14ac:dyDescent="0.25">
      <c r="A778" s="3">
        <v>45615</v>
      </c>
      <c r="B778" s="43">
        <v>2024002477</v>
      </c>
      <c r="C778" s="4" t="s">
        <v>653</v>
      </c>
      <c r="D778" s="5">
        <v>36842400</v>
      </c>
      <c r="E778" s="4">
        <v>890312452</v>
      </c>
      <c r="F778" s="4" t="s">
        <v>654</v>
      </c>
      <c r="G778" t="s">
        <v>565</v>
      </c>
      <c r="H778" t="e">
        <f>VLOOKUP(C778,'[1]873'!$C$2:$C$711,1,0)</f>
        <v>#N/A</v>
      </c>
    </row>
    <row r="779" spans="1:8" ht="14.25" customHeight="1" x14ac:dyDescent="0.25">
      <c r="A779" s="3">
        <v>45615</v>
      </c>
      <c r="B779" s="43">
        <v>2024002478</v>
      </c>
      <c r="C779" s="4" t="s">
        <v>655</v>
      </c>
      <c r="D779" s="5">
        <v>2403324</v>
      </c>
      <c r="E779" s="4">
        <v>901181781</v>
      </c>
      <c r="F779" s="4" t="s">
        <v>656</v>
      </c>
      <c r="G779" t="s">
        <v>565</v>
      </c>
      <c r="H779" t="e">
        <f>VLOOKUP(C779,'[1]873'!$C$2:$C$711,1,0)</f>
        <v>#N/A</v>
      </c>
    </row>
    <row r="780" spans="1:8" ht="14.25" customHeight="1" x14ac:dyDescent="0.25">
      <c r="A780" s="3">
        <v>45616</v>
      </c>
      <c r="B780" s="43">
        <v>2024002479</v>
      </c>
      <c r="C780" s="4" t="s">
        <v>657</v>
      </c>
      <c r="D780" s="5">
        <v>3000000</v>
      </c>
      <c r="E780" s="4">
        <v>1081052746</v>
      </c>
      <c r="F780" s="4" t="s">
        <v>658</v>
      </c>
      <c r="G780" t="s">
        <v>565</v>
      </c>
      <c r="H780" t="e">
        <f>VLOOKUP(C780,'[1]873'!$C$2:$C$711,1,0)</f>
        <v>#N/A</v>
      </c>
    </row>
    <row r="781" spans="1:8" ht="14.25" customHeight="1" x14ac:dyDescent="0.25">
      <c r="A781" s="3">
        <v>45616</v>
      </c>
      <c r="B781" s="43">
        <v>2024002480</v>
      </c>
      <c r="C781" s="4" t="s">
        <v>659</v>
      </c>
      <c r="D781" s="5">
        <v>3000000</v>
      </c>
      <c r="E781" s="4">
        <v>59178610</v>
      </c>
      <c r="F781" s="4" t="s">
        <v>97</v>
      </c>
      <c r="G781" t="s">
        <v>565</v>
      </c>
      <c r="H781" t="e">
        <f>VLOOKUP(C781,'[1]873'!$C$2:$C$711,1,0)</f>
        <v>#N/A</v>
      </c>
    </row>
    <row r="782" spans="1:8" ht="14.25" customHeight="1" x14ac:dyDescent="0.25">
      <c r="A782" s="3">
        <v>45616</v>
      </c>
      <c r="B782" s="43">
        <v>2024002481</v>
      </c>
      <c r="C782" s="4" t="s">
        <v>660</v>
      </c>
      <c r="D782" s="5">
        <v>7540000</v>
      </c>
      <c r="E782" s="4">
        <v>1085329230</v>
      </c>
      <c r="F782" s="4" t="s">
        <v>83</v>
      </c>
      <c r="G782" t="s">
        <v>565</v>
      </c>
      <c r="H782" t="e">
        <f>VLOOKUP(C782,'[1]873'!$C$2:$C$711,1,0)</f>
        <v>#N/A</v>
      </c>
    </row>
    <row r="783" spans="1:8" ht="14.25" customHeight="1" x14ac:dyDescent="0.25">
      <c r="A783" s="3">
        <v>45616</v>
      </c>
      <c r="B783" s="43">
        <v>2024002482</v>
      </c>
      <c r="C783" s="4" t="s">
        <v>661</v>
      </c>
      <c r="D783" s="5">
        <v>6000000</v>
      </c>
      <c r="E783" s="4">
        <v>59837608</v>
      </c>
      <c r="F783" s="4" t="s">
        <v>145</v>
      </c>
      <c r="G783" t="s">
        <v>565</v>
      </c>
      <c r="H783" t="e">
        <f>VLOOKUP(C783,'[1]873'!$C$2:$C$711,1,0)</f>
        <v>#N/A</v>
      </c>
    </row>
    <row r="784" spans="1:8" ht="14.25" customHeight="1" x14ac:dyDescent="0.25">
      <c r="A784" s="3">
        <v>45616</v>
      </c>
      <c r="B784" s="43">
        <v>2024002483</v>
      </c>
      <c r="C784" s="4" t="s">
        <v>642</v>
      </c>
      <c r="D784" s="5">
        <v>6000000</v>
      </c>
      <c r="E784" s="4">
        <v>1085292185</v>
      </c>
      <c r="F784" s="4" t="s">
        <v>27</v>
      </c>
      <c r="G784" t="s">
        <v>565</v>
      </c>
      <c r="H784" t="e">
        <f>VLOOKUP(C784,'[1]873'!$C$2:$C$711,1,0)</f>
        <v>#N/A</v>
      </c>
    </row>
    <row r="785" spans="1:8" ht="14.25" customHeight="1" x14ac:dyDescent="0.25">
      <c r="A785" s="3">
        <v>45616</v>
      </c>
      <c r="B785" s="43">
        <v>2024002484</v>
      </c>
      <c r="C785" s="4" t="s">
        <v>662</v>
      </c>
      <c r="D785" s="5">
        <v>2500000</v>
      </c>
      <c r="E785" s="4">
        <v>1085330079</v>
      </c>
      <c r="F785" s="4" t="s">
        <v>293</v>
      </c>
      <c r="G785" t="s">
        <v>565</v>
      </c>
      <c r="H785" t="e">
        <f>VLOOKUP(C785,'[1]873'!$C$2:$C$711,1,0)</f>
        <v>#N/A</v>
      </c>
    </row>
    <row r="786" spans="1:8" ht="14.25" customHeight="1" x14ac:dyDescent="0.25">
      <c r="A786" s="3">
        <v>45616</v>
      </c>
      <c r="B786" s="43">
        <v>2024002485</v>
      </c>
      <c r="C786" s="4" t="s">
        <v>663</v>
      </c>
      <c r="D786" s="5">
        <v>4750000</v>
      </c>
      <c r="E786" s="4">
        <v>1085303067</v>
      </c>
      <c r="F786" s="4" t="s">
        <v>105</v>
      </c>
      <c r="G786" t="s">
        <v>565</v>
      </c>
      <c r="H786" t="e">
        <f>VLOOKUP(C786,'[1]873'!$C$2:$C$711,1,0)</f>
        <v>#N/A</v>
      </c>
    </row>
    <row r="787" spans="1:8" ht="14.25" customHeight="1" x14ac:dyDescent="0.25">
      <c r="A787" s="3">
        <v>45616</v>
      </c>
      <c r="B787" s="43">
        <v>2024002486</v>
      </c>
      <c r="C787" s="4" t="s">
        <v>664</v>
      </c>
      <c r="D787" s="5">
        <v>4750000</v>
      </c>
      <c r="E787" s="4">
        <v>59821282</v>
      </c>
      <c r="F787" s="4" t="s">
        <v>135</v>
      </c>
      <c r="G787" t="s">
        <v>565</v>
      </c>
      <c r="H787" t="e">
        <f>VLOOKUP(C787,'[1]873'!$C$2:$C$711,1,0)</f>
        <v>#N/A</v>
      </c>
    </row>
    <row r="788" spans="1:8" ht="14.25" customHeight="1" x14ac:dyDescent="0.25">
      <c r="A788" s="3">
        <v>45616</v>
      </c>
      <c r="B788" s="43">
        <v>2024002487</v>
      </c>
      <c r="C788" s="4" t="s">
        <v>665</v>
      </c>
      <c r="D788" s="5">
        <v>3000000</v>
      </c>
      <c r="E788" s="4">
        <v>1085327701</v>
      </c>
      <c r="F788" s="4" t="s">
        <v>85</v>
      </c>
      <c r="G788" t="s">
        <v>565</v>
      </c>
      <c r="H788" t="e">
        <f>VLOOKUP(C788,'[1]873'!$C$2:$C$711,1,0)</f>
        <v>#N/A</v>
      </c>
    </row>
    <row r="789" spans="1:8" ht="14.25" customHeight="1" x14ac:dyDescent="0.25">
      <c r="A789" s="3">
        <v>45616</v>
      </c>
      <c r="B789" s="43">
        <v>2024002488</v>
      </c>
      <c r="C789" s="4" t="s">
        <v>666</v>
      </c>
      <c r="D789" s="5">
        <v>2500000</v>
      </c>
      <c r="E789" s="4">
        <v>12974849</v>
      </c>
      <c r="F789" s="4" t="s">
        <v>51</v>
      </c>
      <c r="G789" t="s">
        <v>565</v>
      </c>
      <c r="H789" t="e">
        <f>VLOOKUP(C789,'[1]873'!$C$2:$C$711,1,0)</f>
        <v>#N/A</v>
      </c>
    </row>
    <row r="790" spans="1:8" ht="14.25" customHeight="1" x14ac:dyDescent="0.25">
      <c r="A790" s="3">
        <v>45617</v>
      </c>
      <c r="B790" s="43">
        <v>2024002496</v>
      </c>
      <c r="C790" s="4" t="s">
        <v>667</v>
      </c>
      <c r="D790" s="5">
        <v>31498000</v>
      </c>
      <c r="E790" s="4">
        <v>31498000</v>
      </c>
      <c r="F790" s="4" t="s">
        <v>668</v>
      </c>
      <c r="G790" t="s">
        <v>565</v>
      </c>
      <c r="H790" t="e">
        <f>VLOOKUP(C790,'[1]873'!$C$2:$C$711,1,0)</f>
        <v>#N/A</v>
      </c>
    </row>
    <row r="791" spans="1:8" ht="14.25" customHeight="1" x14ac:dyDescent="0.25">
      <c r="A791" s="3">
        <v>45618</v>
      </c>
      <c r="B791" s="43">
        <v>2024002501</v>
      </c>
      <c r="C791" s="4" t="s">
        <v>669</v>
      </c>
      <c r="D791" s="5">
        <v>6000000</v>
      </c>
      <c r="E791" s="4">
        <v>1193223736</v>
      </c>
      <c r="F791" s="4" t="s">
        <v>670</v>
      </c>
      <c r="G791" t="s">
        <v>565</v>
      </c>
      <c r="H791" t="e">
        <f>VLOOKUP(C791,'[1]873'!$C$2:$C$711,1,0)</f>
        <v>#N/A</v>
      </c>
    </row>
    <row r="792" spans="1:8" ht="14.25" customHeight="1" x14ac:dyDescent="0.25">
      <c r="A792" s="3">
        <v>45618</v>
      </c>
      <c r="B792" s="43">
        <v>2024002502</v>
      </c>
      <c r="C792" s="4" t="s">
        <v>671</v>
      </c>
      <c r="D792" s="5">
        <v>6000000</v>
      </c>
      <c r="E792" s="4">
        <v>1004213964</v>
      </c>
      <c r="F792" s="4" t="s">
        <v>113</v>
      </c>
      <c r="G792" t="s">
        <v>565</v>
      </c>
      <c r="H792" t="e">
        <f>VLOOKUP(C792,'[1]873'!$C$2:$C$711,1,0)</f>
        <v>#N/A</v>
      </c>
    </row>
    <row r="793" spans="1:8" ht="14.25" customHeight="1" x14ac:dyDescent="0.25">
      <c r="A793" s="3">
        <v>45618</v>
      </c>
      <c r="B793" s="43">
        <v>2024002503</v>
      </c>
      <c r="C793" s="4" t="s">
        <v>672</v>
      </c>
      <c r="D793" s="5">
        <v>4750000</v>
      </c>
      <c r="E793" s="4">
        <v>1087413951</v>
      </c>
      <c r="F793" s="4" t="s">
        <v>95</v>
      </c>
      <c r="G793" t="s">
        <v>565</v>
      </c>
      <c r="H793" t="e">
        <f>VLOOKUP(C793,'[1]873'!$C$2:$C$711,1,0)</f>
        <v>#N/A</v>
      </c>
    </row>
    <row r="794" spans="1:8" ht="14.25" customHeight="1" x14ac:dyDescent="0.25">
      <c r="A794" s="3">
        <v>45618</v>
      </c>
      <c r="B794" s="43">
        <v>2024002504</v>
      </c>
      <c r="C794" s="4" t="s">
        <v>673</v>
      </c>
      <c r="D794" s="5">
        <v>2500000</v>
      </c>
      <c r="E794" s="4">
        <v>12750863</v>
      </c>
      <c r="F794" s="4" t="s">
        <v>225</v>
      </c>
      <c r="G794" t="s">
        <v>565</v>
      </c>
      <c r="H794" t="e">
        <f>VLOOKUP(C794,'[1]873'!$C$2:$C$711,1,0)</f>
        <v>#N/A</v>
      </c>
    </row>
    <row r="795" spans="1:8" ht="14.25" customHeight="1" x14ac:dyDescent="0.25">
      <c r="A795" s="3">
        <v>45618</v>
      </c>
      <c r="B795" s="43">
        <v>2024002505</v>
      </c>
      <c r="C795" s="4" t="s">
        <v>674</v>
      </c>
      <c r="D795" s="5">
        <v>3000000</v>
      </c>
      <c r="E795" s="4">
        <v>27285974</v>
      </c>
      <c r="F795" s="4" t="s">
        <v>349</v>
      </c>
      <c r="G795" t="s">
        <v>565</v>
      </c>
      <c r="H795" t="e">
        <f>VLOOKUP(C795,'[1]873'!$C$2:$C$711,1,0)</f>
        <v>#N/A</v>
      </c>
    </row>
    <row r="796" spans="1:8" ht="14.25" customHeight="1" x14ac:dyDescent="0.25">
      <c r="A796" s="3">
        <v>45618</v>
      </c>
      <c r="B796" s="43">
        <v>2024002506</v>
      </c>
      <c r="C796" s="4" t="s">
        <v>675</v>
      </c>
      <c r="D796" s="5">
        <v>3000000</v>
      </c>
      <c r="E796" s="4">
        <v>59830040</v>
      </c>
      <c r="F796" s="4" t="s">
        <v>297</v>
      </c>
      <c r="G796" t="s">
        <v>565</v>
      </c>
      <c r="H796" t="e">
        <f>VLOOKUP(C796,'[1]873'!$C$2:$C$711,1,0)</f>
        <v>#N/A</v>
      </c>
    </row>
    <row r="797" spans="1:8" ht="14.25" customHeight="1" x14ac:dyDescent="0.25">
      <c r="A797" s="3">
        <v>45618</v>
      </c>
      <c r="B797" s="43">
        <v>2024002507</v>
      </c>
      <c r="C797" s="4" t="s">
        <v>676</v>
      </c>
      <c r="D797" s="5">
        <v>4750000</v>
      </c>
      <c r="E797" s="4">
        <v>1085293619</v>
      </c>
      <c r="F797" s="4" t="s">
        <v>155</v>
      </c>
      <c r="G797" t="s">
        <v>565</v>
      </c>
      <c r="H797" t="e">
        <f>VLOOKUP(C797,'[1]873'!$C$2:$C$711,1,0)</f>
        <v>#N/A</v>
      </c>
    </row>
    <row r="798" spans="1:8" ht="14.25" customHeight="1" x14ac:dyDescent="0.25">
      <c r="A798" s="3">
        <v>45618</v>
      </c>
      <c r="B798" s="43">
        <v>2024002508</v>
      </c>
      <c r="C798" s="4" t="s">
        <v>677</v>
      </c>
      <c r="D798" s="5">
        <v>3000000</v>
      </c>
      <c r="E798" s="4">
        <v>1137624011</v>
      </c>
      <c r="F798" s="4" t="s">
        <v>243</v>
      </c>
      <c r="G798" t="s">
        <v>565</v>
      </c>
      <c r="H798" t="e">
        <f>VLOOKUP(C798,'[1]873'!$C$2:$C$711,1,0)</f>
        <v>#N/A</v>
      </c>
    </row>
    <row r="799" spans="1:8" ht="14.25" customHeight="1" x14ac:dyDescent="0.25">
      <c r="A799" s="3">
        <v>45618</v>
      </c>
      <c r="B799" s="43">
        <v>2024002509</v>
      </c>
      <c r="C799" s="4" t="s">
        <v>678</v>
      </c>
      <c r="D799" s="5">
        <v>3000000</v>
      </c>
      <c r="E799" s="4">
        <v>36954407</v>
      </c>
      <c r="F799" s="4" t="s">
        <v>679</v>
      </c>
      <c r="G799" t="s">
        <v>565</v>
      </c>
      <c r="H799" t="e">
        <f>VLOOKUP(C799,'[1]873'!$C$2:$C$711,1,0)</f>
        <v>#N/A</v>
      </c>
    </row>
    <row r="800" spans="1:8" ht="14.25" customHeight="1" x14ac:dyDescent="0.25">
      <c r="A800" s="3">
        <v>45618</v>
      </c>
      <c r="B800" s="43">
        <v>2024002510</v>
      </c>
      <c r="C800" s="4" t="s">
        <v>680</v>
      </c>
      <c r="D800" s="5">
        <v>3000000</v>
      </c>
      <c r="E800" s="4">
        <v>1085290651</v>
      </c>
      <c r="F800" s="4" t="s">
        <v>325</v>
      </c>
      <c r="G800" t="s">
        <v>565</v>
      </c>
      <c r="H800" t="e">
        <f>VLOOKUP(C800,'[1]873'!$C$2:$C$711,1,0)</f>
        <v>#N/A</v>
      </c>
    </row>
    <row r="801" spans="1:8" ht="14.25" customHeight="1" x14ac:dyDescent="0.25">
      <c r="A801" s="3">
        <v>45618</v>
      </c>
      <c r="B801" s="43">
        <v>2024002511</v>
      </c>
      <c r="C801" s="4" t="s">
        <v>681</v>
      </c>
      <c r="D801" s="5">
        <v>3000000</v>
      </c>
      <c r="E801" s="4">
        <v>1085325325</v>
      </c>
      <c r="F801" s="4" t="s">
        <v>682</v>
      </c>
      <c r="G801" t="s">
        <v>565</v>
      </c>
      <c r="H801" t="e">
        <f>VLOOKUP(C801,'[1]873'!$C$2:$C$711,1,0)</f>
        <v>#N/A</v>
      </c>
    </row>
    <row r="802" spans="1:8" ht="14.25" customHeight="1" x14ac:dyDescent="0.25">
      <c r="A802" s="3">
        <v>45618</v>
      </c>
      <c r="B802" s="43">
        <v>2024002512</v>
      </c>
      <c r="C802" s="4" t="s">
        <v>683</v>
      </c>
      <c r="D802" s="5">
        <v>4825000</v>
      </c>
      <c r="E802" s="4">
        <v>1193385736</v>
      </c>
      <c r="F802" s="4" t="s">
        <v>57</v>
      </c>
      <c r="G802" t="s">
        <v>565</v>
      </c>
      <c r="H802" t="e">
        <f>VLOOKUP(C802,'[1]873'!$C$2:$C$711,1,0)</f>
        <v>#N/A</v>
      </c>
    </row>
    <row r="803" spans="1:8" ht="14.25" customHeight="1" x14ac:dyDescent="0.25">
      <c r="A803" s="3">
        <v>45618</v>
      </c>
      <c r="B803" s="43">
        <v>2024002513</v>
      </c>
      <c r="C803" s="4" t="s">
        <v>684</v>
      </c>
      <c r="D803" s="5">
        <v>3000000</v>
      </c>
      <c r="E803" s="4">
        <v>59310524</v>
      </c>
      <c r="F803" s="4" t="s">
        <v>65</v>
      </c>
      <c r="G803" t="s">
        <v>565</v>
      </c>
      <c r="H803" t="e">
        <f>VLOOKUP(C803,'[1]873'!$C$2:$C$711,1,0)</f>
        <v>#N/A</v>
      </c>
    </row>
    <row r="804" spans="1:8" ht="14.25" customHeight="1" x14ac:dyDescent="0.25">
      <c r="A804" s="3">
        <v>45621</v>
      </c>
      <c r="B804" s="43">
        <v>2024002514</v>
      </c>
      <c r="C804" s="4" t="s">
        <v>685</v>
      </c>
      <c r="D804" s="5">
        <v>6000000</v>
      </c>
      <c r="E804" s="4">
        <v>1089242085</v>
      </c>
      <c r="F804" s="4" t="s">
        <v>19</v>
      </c>
      <c r="G804" t="s">
        <v>565</v>
      </c>
      <c r="H804" t="e">
        <f>VLOOKUP(C804,'[1]873'!$C$2:$C$711,1,0)</f>
        <v>#N/A</v>
      </c>
    </row>
    <row r="805" spans="1:8" ht="14.25" customHeight="1" x14ac:dyDescent="0.25">
      <c r="A805" s="3">
        <v>45621</v>
      </c>
      <c r="B805" s="43">
        <v>2024002515</v>
      </c>
      <c r="C805" s="4" t="s">
        <v>686</v>
      </c>
      <c r="D805" s="5">
        <v>3000000</v>
      </c>
      <c r="E805" s="4">
        <v>1085288636</v>
      </c>
      <c r="F805" s="4" t="s">
        <v>405</v>
      </c>
      <c r="G805" t="s">
        <v>565</v>
      </c>
      <c r="H805" t="e">
        <f>VLOOKUP(C805,'[1]873'!$C$2:$C$711,1,0)</f>
        <v>#N/A</v>
      </c>
    </row>
    <row r="806" spans="1:8" ht="14.25" customHeight="1" x14ac:dyDescent="0.25">
      <c r="A806" s="3">
        <v>45621</v>
      </c>
      <c r="B806" s="43">
        <v>2024002516</v>
      </c>
      <c r="C806" s="4" t="s">
        <v>687</v>
      </c>
      <c r="D806" s="5">
        <v>3000000</v>
      </c>
      <c r="E806" s="4">
        <v>1080040858</v>
      </c>
      <c r="F806" s="4" t="s">
        <v>211</v>
      </c>
      <c r="G806" t="s">
        <v>565</v>
      </c>
      <c r="H806" t="e">
        <f>VLOOKUP(C806,'[1]873'!$C$2:$C$711,1,0)</f>
        <v>#N/A</v>
      </c>
    </row>
    <row r="807" spans="1:8" ht="14.25" customHeight="1" x14ac:dyDescent="0.25">
      <c r="A807" s="3">
        <v>45621</v>
      </c>
      <c r="B807" s="43">
        <v>2024002517</v>
      </c>
      <c r="C807" s="4" t="s">
        <v>688</v>
      </c>
      <c r="D807" s="5">
        <v>3000000</v>
      </c>
      <c r="E807" s="4">
        <v>1010082397</v>
      </c>
      <c r="F807" s="4" t="s">
        <v>209</v>
      </c>
      <c r="G807" t="s">
        <v>565</v>
      </c>
      <c r="H807" t="e">
        <f>VLOOKUP(C807,'[1]873'!$C$2:$C$711,1,0)</f>
        <v>#N/A</v>
      </c>
    </row>
    <row r="808" spans="1:8" ht="14.25" customHeight="1" x14ac:dyDescent="0.25">
      <c r="A808" s="3">
        <v>45621</v>
      </c>
      <c r="B808" s="43">
        <v>2024002518</v>
      </c>
      <c r="C808" s="4" t="s">
        <v>689</v>
      </c>
      <c r="D808" s="5">
        <v>3000000</v>
      </c>
      <c r="E808" s="4">
        <v>1004135064</v>
      </c>
      <c r="F808" s="4" t="s">
        <v>207</v>
      </c>
      <c r="G808" t="s">
        <v>565</v>
      </c>
      <c r="H808" t="e">
        <f>VLOOKUP(C808,'[1]873'!$C$2:$C$711,1,0)</f>
        <v>#N/A</v>
      </c>
    </row>
    <row r="809" spans="1:8" ht="14.25" customHeight="1" x14ac:dyDescent="0.25">
      <c r="A809" s="3">
        <v>45621</v>
      </c>
      <c r="B809" s="43">
        <v>2024002519</v>
      </c>
      <c r="C809" s="4" t="s">
        <v>690</v>
      </c>
      <c r="D809" s="5">
        <v>2500000</v>
      </c>
      <c r="E809" s="4">
        <v>1081595853</v>
      </c>
      <c r="F809" s="4" t="s">
        <v>189</v>
      </c>
      <c r="G809" t="s">
        <v>565</v>
      </c>
      <c r="H809" t="e">
        <f>VLOOKUP(C809,'[1]873'!$C$2:$C$711,1,0)</f>
        <v>#N/A</v>
      </c>
    </row>
    <row r="810" spans="1:8" ht="14.25" customHeight="1" x14ac:dyDescent="0.25">
      <c r="A810" s="3">
        <v>45621</v>
      </c>
      <c r="B810" s="41">
        <v>2024002520</v>
      </c>
      <c r="C810" s="1" t="s">
        <v>439</v>
      </c>
      <c r="D810" s="5">
        <v>4825000</v>
      </c>
      <c r="E810" s="1">
        <v>1088730712</v>
      </c>
      <c r="F810" s="1" t="s">
        <v>295</v>
      </c>
      <c r="G810" s="1" t="s">
        <v>9</v>
      </c>
      <c r="H810" t="e">
        <f>VLOOKUP(C810,'[1]873'!$C$2:$C$711,1,0)</f>
        <v>#N/A</v>
      </c>
    </row>
    <row r="811" spans="1:8" ht="14.25" customHeight="1" x14ac:dyDescent="0.25">
      <c r="A811" s="3">
        <v>45621</v>
      </c>
      <c r="B811" s="43">
        <v>2024002521</v>
      </c>
      <c r="C811" s="4" t="s">
        <v>691</v>
      </c>
      <c r="D811" s="5">
        <v>3000000</v>
      </c>
      <c r="E811" s="4">
        <v>1030606749</v>
      </c>
      <c r="F811" s="4" t="s">
        <v>387</v>
      </c>
      <c r="G811" t="s">
        <v>565</v>
      </c>
      <c r="H811" t="e">
        <f>VLOOKUP(C811,'[1]873'!$C$2:$C$711,1,0)</f>
        <v>#N/A</v>
      </c>
    </row>
    <row r="812" spans="1:8" ht="14.25" customHeight="1" x14ac:dyDescent="0.25">
      <c r="A812" s="3">
        <v>45621</v>
      </c>
      <c r="B812" s="43">
        <v>2024002522</v>
      </c>
      <c r="C812" s="4" t="s">
        <v>692</v>
      </c>
      <c r="D812" s="5">
        <v>3000000</v>
      </c>
      <c r="E812" s="4">
        <v>1085275473</v>
      </c>
      <c r="F812" s="4" t="s">
        <v>693</v>
      </c>
      <c r="G812" t="s">
        <v>565</v>
      </c>
      <c r="H812" t="e">
        <f>VLOOKUP(C812,'[1]873'!$C$2:$C$711,1,0)</f>
        <v>#N/A</v>
      </c>
    </row>
    <row r="813" spans="1:8" ht="14.25" customHeight="1" x14ac:dyDescent="0.25">
      <c r="A813" s="3">
        <v>45621</v>
      </c>
      <c r="B813" s="43">
        <v>2024002523</v>
      </c>
      <c r="C813" s="4" t="s">
        <v>694</v>
      </c>
      <c r="D813" s="5">
        <v>2500000</v>
      </c>
      <c r="E813" s="4">
        <v>1085338232</v>
      </c>
      <c r="F813" s="4" t="s">
        <v>287</v>
      </c>
      <c r="G813" t="s">
        <v>565</v>
      </c>
      <c r="H813" t="e">
        <f>VLOOKUP(C813,'[1]873'!$C$2:$C$711,1,0)</f>
        <v>#N/A</v>
      </c>
    </row>
    <row r="814" spans="1:8" ht="14.25" customHeight="1" x14ac:dyDescent="0.25">
      <c r="A814" s="3">
        <v>45621</v>
      </c>
      <c r="B814" s="43">
        <v>2024002524</v>
      </c>
      <c r="C814" s="4" t="s">
        <v>695</v>
      </c>
      <c r="D814" s="5">
        <v>3000000</v>
      </c>
      <c r="E814" s="4">
        <v>59837416</v>
      </c>
      <c r="F814" s="4" t="s">
        <v>395</v>
      </c>
      <c r="G814" t="s">
        <v>565</v>
      </c>
      <c r="H814" t="e">
        <f>VLOOKUP(C814,'[1]873'!$C$2:$C$711,1,0)</f>
        <v>#N/A</v>
      </c>
    </row>
    <row r="815" spans="1:8" ht="14.25" customHeight="1" x14ac:dyDescent="0.25">
      <c r="A815" s="3">
        <v>45621</v>
      </c>
      <c r="B815" s="43">
        <v>2024002526</v>
      </c>
      <c r="C815" s="4" t="s">
        <v>696</v>
      </c>
      <c r="D815" s="5">
        <v>4825000</v>
      </c>
      <c r="E815" s="4">
        <v>59310145</v>
      </c>
      <c r="F815" s="4" t="s">
        <v>129</v>
      </c>
      <c r="G815" t="s">
        <v>565</v>
      </c>
      <c r="H815" t="e">
        <f>VLOOKUP(C815,'[1]873'!$C$2:$C$711,1,0)</f>
        <v>#N/A</v>
      </c>
    </row>
    <row r="816" spans="1:8" ht="14.25" customHeight="1" x14ac:dyDescent="0.25">
      <c r="A816" s="3">
        <v>45621</v>
      </c>
      <c r="B816" s="43">
        <v>2024002527</v>
      </c>
      <c r="C816" s="4" t="s">
        <v>697</v>
      </c>
      <c r="D816" s="5">
        <v>7540000</v>
      </c>
      <c r="E816" s="4">
        <v>37087120</v>
      </c>
      <c r="F816" s="4" t="s">
        <v>159</v>
      </c>
      <c r="G816" t="s">
        <v>565</v>
      </c>
      <c r="H816" t="e">
        <f>VLOOKUP(C816,'[1]873'!$C$2:$C$711,1,0)</f>
        <v>#N/A</v>
      </c>
    </row>
    <row r="817" spans="1:8" ht="14.25" customHeight="1" x14ac:dyDescent="0.25">
      <c r="A817" s="3">
        <v>45621</v>
      </c>
      <c r="B817" s="43">
        <v>2024002529</v>
      </c>
      <c r="C817" s="4" t="s">
        <v>698</v>
      </c>
      <c r="D817" s="5">
        <v>2500000</v>
      </c>
      <c r="E817" s="4">
        <v>36753698</v>
      </c>
      <c r="F817" s="4" t="s">
        <v>383</v>
      </c>
      <c r="G817" t="s">
        <v>565</v>
      </c>
      <c r="H817" t="e">
        <f>VLOOKUP(C817,'[1]873'!$C$2:$C$711,1,0)</f>
        <v>#N/A</v>
      </c>
    </row>
    <row r="818" spans="1:8" ht="14.25" customHeight="1" x14ac:dyDescent="0.25">
      <c r="A818" s="3">
        <v>45621</v>
      </c>
      <c r="B818" s="43">
        <v>2024002531</v>
      </c>
      <c r="C818" s="4" t="s">
        <v>699</v>
      </c>
      <c r="D818" s="5">
        <v>7540000</v>
      </c>
      <c r="E818" s="4">
        <v>1085321192</v>
      </c>
      <c r="F818" s="4" t="s">
        <v>61</v>
      </c>
      <c r="G818" t="s">
        <v>565</v>
      </c>
      <c r="H818" t="e">
        <f>VLOOKUP(C818,'[1]873'!$C$2:$C$711,1,0)</f>
        <v>#N/A</v>
      </c>
    </row>
    <row r="819" spans="1:8" ht="14.25" customHeight="1" x14ac:dyDescent="0.25">
      <c r="A819" s="3">
        <v>45621</v>
      </c>
      <c r="B819" s="43">
        <v>2024002532</v>
      </c>
      <c r="C819" s="4" t="s">
        <v>700</v>
      </c>
      <c r="D819" s="5">
        <v>800000</v>
      </c>
      <c r="E819" s="4">
        <v>1085315209</v>
      </c>
      <c r="F819" s="4" t="s">
        <v>701</v>
      </c>
      <c r="G819" t="s">
        <v>565</v>
      </c>
      <c r="H819" t="e">
        <f>VLOOKUP(C819,'[1]873'!$C$2:$C$711,1,0)</f>
        <v>#N/A</v>
      </c>
    </row>
    <row r="820" spans="1:8" ht="14.25" customHeight="1" x14ac:dyDescent="0.25">
      <c r="A820" s="3">
        <v>45621</v>
      </c>
      <c r="B820" s="43">
        <v>2024002534</v>
      </c>
      <c r="C820" s="4" t="s">
        <v>702</v>
      </c>
      <c r="D820" s="5">
        <v>4825000</v>
      </c>
      <c r="E820" s="4">
        <v>1085289739</v>
      </c>
      <c r="F820" s="4" t="s">
        <v>241</v>
      </c>
      <c r="G820" t="s">
        <v>565</v>
      </c>
      <c r="H820" t="e">
        <f>VLOOKUP(C820,'[1]873'!$C$2:$C$711,1,0)</f>
        <v>#N/A</v>
      </c>
    </row>
    <row r="821" spans="1:8" ht="14.25" customHeight="1" x14ac:dyDescent="0.25">
      <c r="A821" s="3">
        <v>45621</v>
      </c>
      <c r="B821" s="43">
        <v>2024002539</v>
      </c>
      <c r="C821" s="4" t="s">
        <v>703</v>
      </c>
      <c r="D821" s="5">
        <v>3000000</v>
      </c>
      <c r="E821" s="4">
        <v>1233191675</v>
      </c>
      <c r="F821" s="4" t="s">
        <v>523</v>
      </c>
      <c r="G821" t="s">
        <v>565</v>
      </c>
      <c r="H821" t="e">
        <f>VLOOKUP(C821,'[1]873'!$C$2:$C$711,1,0)</f>
        <v>#N/A</v>
      </c>
    </row>
    <row r="822" spans="1:8" ht="14.25" customHeight="1" x14ac:dyDescent="0.25">
      <c r="A822" s="3">
        <v>45621</v>
      </c>
      <c r="B822" s="43">
        <v>2024002541</v>
      </c>
      <c r="C822" s="4" t="s">
        <v>704</v>
      </c>
      <c r="D822" s="5">
        <v>4750000</v>
      </c>
      <c r="E822" s="4">
        <v>36759759</v>
      </c>
      <c r="F822" s="4" t="s">
        <v>705</v>
      </c>
      <c r="G822" t="s">
        <v>565</v>
      </c>
      <c r="H822" t="e">
        <f>VLOOKUP(C822,'[1]873'!$C$2:$C$711,1,0)</f>
        <v>#N/A</v>
      </c>
    </row>
    <row r="823" spans="1:8" ht="14.25" customHeight="1" x14ac:dyDescent="0.25">
      <c r="A823" s="3">
        <v>45621</v>
      </c>
      <c r="B823" s="43">
        <v>2024002542</v>
      </c>
      <c r="C823" s="4" t="s">
        <v>706</v>
      </c>
      <c r="D823" s="5">
        <v>7500000</v>
      </c>
      <c r="E823" s="4">
        <v>1088599676</v>
      </c>
      <c r="F823" s="4" t="s">
        <v>421</v>
      </c>
      <c r="G823" t="s">
        <v>565</v>
      </c>
      <c r="H823" t="e">
        <f>VLOOKUP(C823,'[1]873'!$C$2:$C$711,1,0)</f>
        <v>#N/A</v>
      </c>
    </row>
    <row r="824" spans="1:8" ht="14.25" customHeight="1" x14ac:dyDescent="0.25">
      <c r="A824" s="3">
        <v>45621</v>
      </c>
      <c r="B824" s="43">
        <v>2024002545</v>
      </c>
      <c r="C824" s="4" t="s">
        <v>707</v>
      </c>
      <c r="D824" s="5">
        <v>3000000</v>
      </c>
      <c r="E824" s="4">
        <v>1085269090</v>
      </c>
      <c r="F824" s="4" t="s">
        <v>371</v>
      </c>
      <c r="G824" t="s">
        <v>565</v>
      </c>
      <c r="H824" t="e">
        <f>VLOOKUP(C824,'[1]873'!$C$2:$C$711,1,0)</f>
        <v>#N/A</v>
      </c>
    </row>
    <row r="825" spans="1:8" ht="14.25" customHeight="1" x14ac:dyDescent="0.25">
      <c r="A825" s="3">
        <v>45621</v>
      </c>
      <c r="B825" s="43">
        <v>2024002547</v>
      </c>
      <c r="C825" s="4" t="s">
        <v>708</v>
      </c>
      <c r="D825" s="5">
        <v>4750000</v>
      </c>
      <c r="E825" s="4">
        <v>1085330309</v>
      </c>
      <c r="F825" s="4" t="s">
        <v>249</v>
      </c>
      <c r="G825" t="s">
        <v>565</v>
      </c>
      <c r="H825" t="e">
        <f>VLOOKUP(C825,'[1]873'!$C$2:$C$711,1,0)</f>
        <v>#N/A</v>
      </c>
    </row>
    <row r="826" spans="1:8" ht="14.25" customHeight="1" x14ac:dyDescent="0.25">
      <c r="A826" s="3">
        <v>45621</v>
      </c>
      <c r="B826" s="43">
        <v>2024002548</v>
      </c>
      <c r="C826" s="4" t="s">
        <v>709</v>
      </c>
      <c r="D826" s="5">
        <v>4750000</v>
      </c>
      <c r="E826" s="4">
        <v>1087414586</v>
      </c>
      <c r="F826" s="4" t="s">
        <v>47</v>
      </c>
      <c r="G826" t="s">
        <v>565</v>
      </c>
      <c r="H826" t="e">
        <f>VLOOKUP(C826,'[1]873'!$C$2:$C$711,1,0)</f>
        <v>#N/A</v>
      </c>
    </row>
    <row r="827" spans="1:8" ht="14.25" customHeight="1" x14ac:dyDescent="0.25">
      <c r="A827" s="3">
        <v>45621</v>
      </c>
      <c r="B827" s="43">
        <v>2024002550</v>
      </c>
      <c r="C827" s="4" t="s">
        <v>710</v>
      </c>
      <c r="D827" s="5">
        <v>3000000</v>
      </c>
      <c r="E827" s="4">
        <v>37084285</v>
      </c>
      <c r="F827" s="4" t="s">
        <v>119</v>
      </c>
      <c r="G827" t="s">
        <v>565</v>
      </c>
      <c r="H827" t="e">
        <f>VLOOKUP(C827,'[1]873'!$C$2:$C$711,1,0)</f>
        <v>#N/A</v>
      </c>
    </row>
    <row r="828" spans="1:8" ht="14.25" customHeight="1" x14ac:dyDescent="0.25">
      <c r="A828" s="3">
        <v>45621</v>
      </c>
      <c r="B828" s="43">
        <v>2024002551</v>
      </c>
      <c r="C828" s="4" t="s">
        <v>711</v>
      </c>
      <c r="D828" s="5">
        <v>3000000</v>
      </c>
      <c r="E828" s="4">
        <v>36758143</v>
      </c>
      <c r="F828" s="4" t="s">
        <v>107</v>
      </c>
      <c r="G828" t="s">
        <v>565</v>
      </c>
      <c r="H828" t="e">
        <f>VLOOKUP(C828,'[1]873'!$C$2:$C$711,1,0)</f>
        <v>#N/A</v>
      </c>
    </row>
    <row r="829" spans="1:8" ht="14.25" customHeight="1" x14ac:dyDescent="0.25">
      <c r="A829" s="3">
        <v>45621</v>
      </c>
      <c r="B829" s="43">
        <v>2024002552</v>
      </c>
      <c r="C829" s="4" t="s">
        <v>568</v>
      </c>
      <c r="D829" s="5">
        <v>2500000</v>
      </c>
      <c r="E829" s="4">
        <v>1193265831</v>
      </c>
      <c r="F829" s="4" t="s">
        <v>317</v>
      </c>
      <c r="G829" t="s">
        <v>565</v>
      </c>
      <c r="H829" t="e">
        <f>VLOOKUP(C829,'[1]873'!$C$2:$C$711,1,0)</f>
        <v>#N/A</v>
      </c>
    </row>
    <row r="830" spans="1:8" ht="14.25" customHeight="1" x14ac:dyDescent="0.25">
      <c r="A830" s="3">
        <v>45621</v>
      </c>
      <c r="B830" s="43">
        <v>2024002553</v>
      </c>
      <c r="C830" s="4" t="s">
        <v>712</v>
      </c>
      <c r="D830" s="5">
        <v>7540000</v>
      </c>
      <c r="E830" s="4">
        <v>1233192708</v>
      </c>
      <c r="F830" s="4" t="s">
        <v>591</v>
      </c>
      <c r="G830" t="s">
        <v>565</v>
      </c>
      <c r="H830" t="e">
        <f>VLOOKUP(C830,'[1]873'!$C$2:$C$711,1,0)</f>
        <v>#N/A</v>
      </c>
    </row>
    <row r="831" spans="1:8" ht="14.25" customHeight="1" x14ac:dyDescent="0.25">
      <c r="A831" s="3">
        <v>45621</v>
      </c>
      <c r="B831" s="43">
        <v>2024002554</v>
      </c>
      <c r="C831" s="4" t="s">
        <v>713</v>
      </c>
      <c r="D831" s="5">
        <v>3000000</v>
      </c>
      <c r="E831" s="4">
        <v>1086328142</v>
      </c>
      <c r="F831" s="4" t="s">
        <v>470</v>
      </c>
      <c r="G831" t="s">
        <v>565</v>
      </c>
      <c r="H831" t="e">
        <f>VLOOKUP(C831,'[1]873'!$C$2:$C$711,1,0)</f>
        <v>#N/A</v>
      </c>
    </row>
    <row r="832" spans="1:8" ht="14.25" customHeight="1" x14ac:dyDescent="0.25">
      <c r="A832" s="3">
        <v>45621</v>
      </c>
      <c r="B832" s="43">
        <v>2024002555</v>
      </c>
      <c r="C832" s="4" t="s">
        <v>714</v>
      </c>
      <c r="D832" s="5">
        <v>4750000</v>
      </c>
      <c r="E832" s="4">
        <v>59824313</v>
      </c>
      <c r="F832" s="4" t="s">
        <v>151</v>
      </c>
      <c r="G832" t="s">
        <v>565</v>
      </c>
      <c r="H832" t="e">
        <f>VLOOKUP(C832,'[1]873'!$C$2:$C$711,1,0)</f>
        <v>#N/A</v>
      </c>
    </row>
    <row r="833" spans="1:8" ht="14.25" customHeight="1" x14ac:dyDescent="0.25">
      <c r="A833" s="3">
        <v>45621</v>
      </c>
      <c r="B833" s="43">
        <v>2024002556</v>
      </c>
      <c r="C833" s="4" t="s">
        <v>715</v>
      </c>
      <c r="D833" s="5">
        <v>3000000</v>
      </c>
      <c r="E833" s="4">
        <v>1085318688</v>
      </c>
      <c r="F833" s="4" t="s">
        <v>427</v>
      </c>
      <c r="G833" t="s">
        <v>565</v>
      </c>
      <c r="H833" t="e">
        <f>VLOOKUP(C833,'[1]873'!$C$2:$C$711,1,0)</f>
        <v>#N/A</v>
      </c>
    </row>
    <row r="834" spans="1:8" ht="14.25" customHeight="1" x14ac:dyDescent="0.25">
      <c r="A834" s="3">
        <v>45621</v>
      </c>
      <c r="B834" s="43">
        <v>2024002557</v>
      </c>
      <c r="C834" s="4" t="s">
        <v>716</v>
      </c>
      <c r="D834" s="5">
        <v>3000000</v>
      </c>
      <c r="E834" s="4">
        <v>1085339190</v>
      </c>
      <c r="F834" s="4" t="s">
        <v>149</v>
      </c>
      <c r="G834" t="s">
        <v>565</v>
      </c>
      <c r="H834" t="e">
        <f>VLOOKUP(C834,'[1]873'!$C$2:$C$711,1,0)</f>
        <v>#N/A</v>
      </c>
    </row>
    <row r="835" spans="1:8" ht="14.25" customHeight="1" x14ac:dyDescent="0.25">
      <c r="A835" s="3">
        <v>45621</v>
      </c>
      <c r="B835" s="43">
        <v>2024002558</v>
      </c>
      <c r="C835" s="4" t="s">
        <v>717</v>
      </c>
      <c r="D835" s="5">
        <v>3000000</v>
      </c>
      <c r="E835" s="4">
        <v>1007403454</v>
      </c>
      <c r="F835" s="4" t="s">
        <v>718</v>
      </c>
      <c r="G835" t="s">
        <v>565</v>
      </c>
      <c r="H835" t="e">
        <f>VLOOKUP(C835,'[1]873'!$C$2:$C$711,1,0)</f>
        <v>#N/A</v>
      </c>
    </row>
    <row r="836" spans="1:8" ht="14.25" customHeight="1" x14ac:dyDescent="0.25">
      <c r="A836" s="3">
        <v>45621</v>
      </c>
      <c r="B836" s="43">
        <v>2024002559</v>
      </c>
      <c r="C836" s="4" t="s">
        <v>719</v>
      </c>
      <c r="D836" s="5">
        <v>2500000</v>
      </c>
      <c r="E836" s="4">
        <v>27094521</v>
      </c>
      <c r="F836" s="4" t="s">
        <v>285</v>
      </c>
      <c r="G836" t="s">
        <v>565</v>
      </c>
      <c r="H836" t="e">
        <f>VLOOKUP(C836,'[1]873'!$C$2:$C$711,1,0)</f>
        <v>#N/A</v>
      </c>
    </row>
    <row r="837" spans="1:8" ht="14.25" customHeight="1" x14ac:dyDescent="0.25">
      <c r="A837" s="3">
        <v>45621</v>
      </c>
      <c r="B837" s="43">
        <v>2024002560</v>
      </c>
      <c r="C837" s="4" t="s">
        <v>720</v>
      </c>
      <c r="D837" s="5">
        <v>4825000</v>
      </c>
      <c r="E837" s="4">
        <v>87062845</v>
      </c>
      <c r="F837" s="4" t="s">
        <v>133</v>
      </c>
      <c r="G837" t="s">
        <v>565</v>
      </c>
      <c r="H837" t="e">
        <f>VLOOKUP(C837,'[1]873'!$C$2:$C$711,1,0)</f>
        <v>#N/A</v>
      </c>
    </row>
    <row r="838" spans="1:8" ht="14.25" customHeight="1" x14ac:dyDescent="0.25">
      <c r="A838" s="3">
        <v>45621</v>
      </c>
      <c r="B838" s="43">
        <v>2024002561</v>
      </c>
      <c r="C838" s="4" t="s">
        <v>721</v>
      </c>
      <c r="D838" s="5">
        <v>2500000</v>
      </c>
      <c r="E838" s="4">
        <v>1004535115</v>
      </c>
      <c r="F838" s="4" t="s">
        <v>347</v>
      </c>
      <c r="G838" t="s">
        <v>565</v>
      </c>
      <c r="H838" t="e">
        <f>VLOOKUP(C838,'[1]873'!$C$2:$C$711,1,0)</f>
        <v>#N/A</v>
      </c>
    </row>
    <row r="839" spans="1:8" ht="14.25" customHeight="1" x14ac:dyDescent="0.25">
      <c r="A839" s="3">
        <v>45621</v>
      </c>
      <c r="B839" s="43">
        <v>2024002562</v>
      </c>
      <c r="C839" s="4" t="s">
        <v>722</v>
      </c>
      <c r="D839" s="5">
        <v>3000000</v>
      </c>
      <c r="E839" s="4">
        <v>1086329609</v>
      </c>
      <c r="F839" s="4" t="s">
        <v>443</v>
      </c>
      <c r="G839" t="s">
        <v>565</v>
      </c>
      <c r="H839" t="e">
        <f>VLOOKUP(C839,'[1]873'!$C$2:$C$711,1,0)</f>
        <v>#N/A</v>
      </c>
    </row>
    <row r="840" spans="1:8" ht="14.25" customHeight="1" x14ac:dyDescent="0.25">
      <c r="A840" s="3">
        <v>45621</v>
      </c>
      <c r="B840" s="43">
        <v>2024002563</v>
      </c>
      <c r="C840" s="4" t="s">
        <v>723</v>
      </c>
      <c r="D840" s="5">
        <v>3000000</v>
      </c>
      <c r="E840" s="4">
        <v>1080046034</v>
      </c>
      <c r="F840" s="4" t="s">
        <v>724</v>
      </c>
      <c r="G840" t="s">
        <v>565</v>
      </c>
      <c r="H840" t="e">
        <f>VLOOKUP(C840,'[1]873'!$C$2:$C$711,1,0)</f>
        <v>#N/A</v>
      </c>
    </row>
    <row r="841" spans="1:8" ht="14.25" customHeight="1" x14ac:dyDescent="0.25">
      <c r="A841" s="3">
        <v>45621</v>
      </c>
      <c r="B841" s="43">
        <v>2024002564</v>
      </c>
      <c r="C841" s="4" t="s">
        <v>725</v>
      </c>
      <c r="D841" s="5">
        <v>4825000</v>
      </c>
      <c r="E841" s="4">
        <v>27088141</v>
      </c>
      <c r="F841" s="4" t="s">
        <v>515</v>
      </c>
      <c r="G841" t="s">
        <v>565</v>
      </c>
      <c r="H841" t="e">
        <f>VLOOKUP(C841,'[1]873'!$C$2:$C$711,1,0)</f>
        <v>#N/A</v>
      </c>
    </row>
    <row r="842" spans="1:8" ht="14.25" customHeight="1" x14ac:dyDescent="0.25">
      <c r="A842" s="3">
        <v>45621</v>
      </c>
      <c r="B842" s="43">
        <v>2024002565</v>
      </c>
      <c r="C842" s="4" t="s">
        <v>726</v>
      </c>
      <c r="D842" s="5">
        <v>2500000</v>
      </c>
      <c r="E842" s="4">
        <v>1085314075</v>
      </c>
      <c r="F842" s="4" t="s">
        <v>327</v>
      </c>
      <c r="G842" t="s">
        <v>565</v>
      </c>
      <c r="H842" t="e">
        <f>VLOOKUP(C842,'[1]873'!$C$2:$C$711,1,0)</f>
        <v>#N/A</v>
      </c>
    </row>
    <row r="843" spans="1:8" ht="14.25" customHeight="1" x14ac:dyDescent="0.25">
      <c r="A843" s="3">
        <v>45621</v>
      </c>
      <c r="B843" s="43">
        <v>2024002566</v>
      </c>
      <c r="C843" s="4" t="s">
        <v>727</v>
      </c>
      <c r="D843" s="5">
        <v>2500000</v>
      </c>
      <c r="E843" s="4">
        <v>1085310465</v>
      </c>
      <c r="F843" s="4" t="s">
        <v>307</v>
      </c>
      <c r="G843" t="s">
        <v>565</v>
      </c>
      <c r="H843" t="e">
        <f>VLOOKUP(C843,'[1]873'!$C$2:$C$711,1,0)</f>
        <v>#N/A</v>
      </c>
    </row>
    <row r="844" spans="1:8" ht="14.25" customHeight="1" x14ac:dyDescent="0.25">
      <c r="A844" s="3">
        <v>45621</v>
      </c>
      <c r="B844" s="43">
        <v>2024002568</v>
      </c>
      <c r="C844" s="4" t="s">
        <v>728</v>
      </c>
      <c r="D844" s="5">
        <v>3000000</v>
      </c>
      <c r="E844" s="4">
        <v>1010113730</v>
      </c>
      <c r="F844" s="4" t="s">
        <v>219</v>
      </c>
      <c r="G844" t="s">
        <v>565</v>
      </c>
      <c r="H844" t="e">
        <f>VLOOKUP(C844,'[1]873'!$C$2:$C$711,1,0)</f>
        <v>#N/A</v>
      </c>
    </row>
    <row r="845" spans="1:8" ht="14.25" customHeight="1" x14ac:dyDescent="0.25">
      <c r="A845" s="3">
        <v>45621</v>
      </c>
      <c r="B845" s="43">
        <v>2024002569</v>
      </c>
      <c r="C845" s="4" t="s">
        <v>729</v>
      </c>
      <c r="D845" s="5">
        <v>1250000</v>
      </c>
      <c r="E845" s="4">
        <v>1085335069</v>
      </c>
      <c r="F845" s="4" t="s">
        <v>730</v>
      </c>
      <c r="G845" t="s">
        <v>565</v>
      </c>
      <c r="H845" t="e">
        <f>VLOOKUP(C845,'[1]873'!$C$2:$C$711,1,0)</f>
        <v>#N/A</v>
      </c>
    </row>
    <row r="846" spans="1:8" ht="14.25" customHeight="1" x14ac:dyDescent="0.25">
      <c r="A846" s="3">
        <v>45621</v>
      </c>
      <c r="B846" s="43">
        <v>2024002570</v>
      </c>
      <c r="C846" s="4" t="s">
        <v>731</v>
      </c>
      <c r="D846" s="5">
        <v>916300</v>
      </c>
      <c r="E846" s="4">
        <v>1131085946</v>
      </c>
      <c r="F846" s="4" t="s">
        <v>732</v>
      </c>
      <c r="G846" t="s">
        <v>565</v>
      </c>
      <c r="H846" t="e">
        <f>VLOOKUP(C846,'[1]873'!$C$2:$C$711,1,0)</f>
        <v>#N/A</v>
      </c>
    </row>
    <row r="847" spans="1:8" ht="14.25" customHeight="1" x14ac:dyDescent="0.25">
      <c r="A847" s="3">
        <v>45621</v>
      </c>
      <c r="B847" s="43">
        <v>2024002571</v>
      </c>
      <c r="C847" s="4" t="s">
        <v>733</v>
      </c>
      <c r="D847" s="5">
        <v>3000000</v>
      </c>
      <c r="E847" s="4">
        <v>1085327677</v>
      </c>
      <c r="F847" s="4" t="s">
        <v>215</v>
      </c>
      <c r="G847" t="s">
        <v>565</v>
      </c>
      <c r="H847" t="e">
        <f>VLOOKUP(C847,'[1]873'!$C$2:$C$711,1,0)</f>
        <v>#N/A</v>
      </c>
    </row>
    <row r="848" spans="1:8" ht="14.25" customHeight="1" x14ac:dyDescent="0.25">
      <c r="A848" s="3">
        <v>45621</v>
      </c>
      <c r="B848" s="43">
        <v>2024002572</v>
      </c>
      <c r="C848" s="4" t="s">
        <v>734</v>
      </c>
      <c r="D848" s="5">
        <v>4750000</v>
      </c>
      <c r="E848" s="4">
        <v>1085343783</v>
      </c>
      <c r="F848" s="4" t="s">
        <v>735</v>
      </c>
      <c r="G848" t="s">
        <v>565</v>
      </c>
      <c r="H848" t="e">
        <f>VLOOKUP(C848,'[1]873'!$C$2:$C$711,1,0)</f>
        <v>#N/A</v>
      </c>
    </row>
    <row r="849" spans="1:8" ht="14.25" customHeight="1" x14ac:dyDescent="0.25">
      <c r="A849" s="3">
        <v>45621</v>
      </c>
      <c r="B849" s="43">
        <v>2024002573</v>
      </c>
      <c r="C849" s="4" t="s">
        <v>736</v>
      </c>
      <c r="D849" s="5">
        <v>6000000</v>
      </c>
      <c r="E849" s="4">
        <v>36954410</v>
      </c>
      <c r="F849" s="4" t="s">
        <v>343</v>
      </c>
      <c r="G849" t="s">
        <v>565</v>
      </c>
      <c r="H849" t="e">
        <f>VLOOKUP(C849,'[1]873'!$C$2:$C$711,1,0)</f>
        <v>#N/A</v>
      </c>
    </row>
    <row r="850" spans="1:8" ht="14.25" customHeight="1" x14ac:dyDescent="0.25">
      <c r="A850" s="3">
        <v>45621</v>
      </c>
      <c r="B850" s="43">
        <v>2024002574</v>
      </c>
      <c r="C850" s="4" t="s">
        <v>737</v>
      </c>
      <c r="D850" s="5">
        <v>6000000</v>
      </c>
      <c r="E850" s="4">
        <v>1085248939</v>
      </c>
      <c r="F850" s="4" t="s">
        <v>437</v>
      </c>
      <c r="G850" t="s">
        <v>565</v>
      </c>
      <c r="H850" t="e">
        <f>VLOOKUP(C850,'[1]873'!$C$2:$C$711,1,0)</f>
        <v>#N/A</v>
      </c>
    </row>
    <row r="851" spans="1:8" ht="14.25" customHeight="1" x14ac:dyDescent="0.25">
      <c r="A851" s="3">
        <v>45621</v>
      </c>
      <c r="B851" s="43">
        <v>2024002575</v>
      </c>
      <c r="C851" s="4" t="s">
        <v>738</v>
      </c>
      <c r="D851" s="5">
        <v>3000000</v>
      </c>
      <c r="E851" s="4">
        <v>1004726758</v>
      </c>
      <c r="F851" s="4" t="s">
        <v>365</v>
      </c>
      <c r="G851" t="s">
        <v>565</v>
      </c>
      <c r="H851" t="e">
        <f>VLOOKUP(C851,'[1]873'!$C$2:$C$711,1,0)</f>
        <v>#N/A</v>
      </c>
    </row>
    <row r="852" spans="1:8" ht="14.25" customHeight="1" x14ac:dyDescent="0.25">
      <c r="A852" s="3">
        <v>45621</v>
      </c>
      <c r="B852" s="43">
        <v>2024002576</v>
      </c>
      <c r="C852" s="4" t="s">
        <v>739</v>
      </c>
      <c r="D852" s="5">
        <v>2500000</v>
      </c>
      <c r="E852" s="4">
        <v>27090145</v>
      </c>
      <c r="F852" s="4" t="s">
        <v>357</v>
      </c>
      <c r="G852" t="s">
        <v>565</v>
      </c>
      <c r="H852" t="e">
        <f>VLOOKUP(C852,'[1]873'!$C$2:$C$711,1,0)</f>
        <v>#N/A</v>
      </c>
    </row>
    <row r="853" spans="1:8" ht="14.25" customHeight="1" x14ac:dyDescent="0.25">
      <c r="A853" s="3">
        <v>45621</v>
      </c>
      <c r="B853" s="43">
        <v>2024002577</v>
      </c>
      <c r="C853" s="4" t="s">
        <v>740</v>
      </c>
      <c r="D853" s="5">
        <v>6000000</v>
      </c>
      <c r="E853" s="4">
        <v>37013610</v>
      </c>
      <c r="F853" s="4" t="s">
        <v>25</v>
      </c>
      <c r="G853" t="s">
        <v>565</v>
      </c>
      <c r="H853" t="e">
        <f>VLOOKUP(C853,'[1]873'!$C$2:$C$711,1,0)</f>
        <v>#N/A</v>
      </c>
    </row>
    <row r="854" spans="1:8" ht="14.25" customHeight="1" x14ac:dyDescent="0.25">
      <c r="A854" s="3">
        <v>45621</v>
      </c>
      <c r="B854" s="43">
        <v>2024002578</v>
      </c>
      <c r="C854" s="4" t="s">
        <v>741</v>
      </c>
      <c r="D854" s="5">
        <v>800000</v>
      </c>
      <c r="E854" s="4">
        <v>1085317833</v>
      </c>
      <c r="F854" s="4" t="s">
        <v>11</v>
      </c>
      <c r="G854" t="s">
        <v>565</v>
      </c>
      <c r="H854" t="e">
        <f>VLOOKUP(C854,'[1]873'!$C$2:$C$711,1,0)</f>
        <v>#N/A</v>
      </c>
    </row>
    <row r="855" spans="1:8" ht="14.25" customHeight="1" x14ac:dyDescent="0.25">
      <c r="A855" s="3">
        <v>45621</v>
      </c>
      <c r="B855" s="43">
        <v>2024002579</v>
      </c>
      <c r="C855" s="4" t="s">
        <v>742</v>
      </c>
      <c r="D855" s="5">
        <v>3000000</v>
      </c>
      <c r="E855" s="4">
        <v>1004709928</v>
      </c>
      <c r="F855" s="4" t="s">
        <v>289</v>
      </c>
      <c r="G855" t="s">
        <v>565</v>
      </c>
      <c r="H855" t="e">
        <f>VLOOKUP(C855,'[1]873'!$C$2:$C$711,1,0)</f>
        <v>#N/A</v>
      </c>
    </row>
    <row r="856" spans="1:8" ht="14.25" customHeight="1" x14ac:dyDescent="0.25">
      <c r="A856" s="3">
        <v>45621</v>
      </c>
      <c r="B856" s="43">
        <v>2024002580</v>
      </c>
      <c r="C856" s="4" t="s">
        <v>743</v>
      </c>
      <c r="D856" s="5">
        <v>7540000</v>
      </c>
      <c r="E856" s="4">
        <v>1085345430</v>
      </c>
      <c r="F856" s="4" t="s">
        <v>359</v>
      </c>
      <c r="G856" t="s">
        <v>565</v>
      </c>
      <c r="H856" t="e">
        <f>VLOOKUP(C856,'[1]873'!$C$2:$C$711,1,0)</f>
        <v>#N/A</v>
      </c>
    </row>
    <row r="857" spans="1:8" ht="14.25" customHeight="1" x14ac:dyDescent="0.25">
      <c r="A857" s="3">
        <v>45621</v>
      </c>
      <c r="B857" s="43">
        <v>2024002581</v>
      </c>
      <c r="C857" s="4" t="s">
        <v>744</v>
      </c>
      <c r="D857" s="5">
        <v>7540000</v>
      </c>
      <c r="E857" s="4">
        <v>1085293105</v>
      </c>
      <c r="F857" s="4" t="s">
        <v>745</v>
      </c>
      <c r="G857" t="s">
        <v>565</v>
      </c>
      <c r="H857" t="e">
        <f>VLOOKUP(C857,'[1]873'!$C$2:$C$711,1,0)</f>
        <v>#N/A</v>
      </c>
    </row>
    <row r="858" spans="1:8" ht="14.25" customHeight="1" x14ac:dyDescent="0.25">
      <c r="A858" s="3">
        <v>45621</v>
      </c>
      <c r="B858" s="43">
        <v>2024002582</v>
      </c>
      <c r="C858" s="4" t="s">
        <v>746</v>
      </c>
      <c r="D858" s="5">
        <v>7540000</v>
      </c>
      <c r="E858" s="4">
        <v>1233191998</v>
      </c>
      <c r="F858" s="4" t="s">
        <v>747</v>
      </c>
      <c r="G858" t="s">
        <v>565</v>
      </c>
      <c r="H858" t="e">
        <f>VLOOKUP(C858,'[1]873'!$C$2:$C$711,1,0)</f>
        <v>#N/A</v>
      </c>
    </row>
    <row r="859" spans="1:8" ht="14.25" customHeight="1" x14ac:dyDescent="0.25">
      <c r="A859" s="3">
        <v>45621</v>
      </c>
      <c r="B859" s="43">
        <v>2024002583</v>
      </c>
      <c r="C859" s="4" t="s">
        <v>748</v>
      </c>
      <c r="D859" s="5">
        <v>7540000</v>
      </c>
      <c r="E859" s="4">
        <v>1085344794</v>
      </c>
      <c r="F859" s="4" t="s">
        <v>749</v>
      </c>
      <c r="G859" t="s">
        <v>565</v>
      </c>
      <c r="H859" t="e">
        <f>VLOOKUP(C859,'[1]873'!$C$2:$C$711,1,0)</f>
        <v>#N/A</v>
      </c>
    </row>
    <row r="860" spans="1:8" ht="14.25" customHeight="1" x14ac:dyDescent="0.25">
      <c r="A860" s="3">
        <v>45621</v>
      </c>
      <c r="B860" s="43">
        <v>2024002584</v>
      </c>
      <c r="C860" s="4" t="s">
        <v>750</v>
      </c>
      <c r="D860" s="5">
        <v>7540000</v>
      </c>
      <c r="E860" s="4">
        <v>7603662</v>
      </c>
      <c r="F860" s="4" t="s">
        <v>361</v>
      </c>
      <c r="G860" t="s">
        <v>565</v>
      </c>
      <c r="H860" t="e">
        <f>VLOOKUP(C860,'[1]873'!$C$2:$C$711,1,0)</f>
        <v>#N/A</v>
      </c>
    </row>
    <row r="861" spans="1:8" ht="14.25" customHeight="1" x14ac:dyDescent="0.25">
      <c r="A861" s="3">
        <v>45621</v>
      </c>
      <c r="B861" s="43">
        <v>2024002585</v>
      </c>
      <c r="C861" s="4" t="s">
        <v>751</v>
      </c>
      <c r="D861" s="5">
        <v>4750000</v>
      </c>
      <c r="E861" s="4">
        <v>1233192618</v>
      </c>
      <c r="F861" s="4" t="s">
        <v>351</v>
      </c>
      <c r="G861" t="s">
        <v>565</v>
      </c>
      <c r="H861" t="e">
        <f>VLOOKUP(C861,'[1]873'!$C$2:$C$711,1,0)</f>
        <v>#N/A</v>
      </c>
    </row>
    <row r="862" spans="1:8" ht="14.25" customHeight="1" x14ac:dyDescent="0.25">
      <c r="A862" s="3">
        <v>45622</v>
      </c>
      <c r="B862" s="43">
        <v>2024002615</v>
      </c>
      <c r="C862" s="4" t="s">
        <v>752</v>
      </c>
      <c r="D862" s="5">
        <v>7540000</v>
      </c>
      <c r="E862" s="4">
        <v>1233189066</v>
      </c>
      <c r="F862" s="4" t="s">
        <v>239</v>
      </c>
      <c r="G862" t="s">
        <v>565</v>
      </c>
      <c r="H862" t="e">
        <f>VLOOKUP(C862,'[1]873'!$C$2:$C$711,1,0)</f>
        <v>#N/A</v>
      </c>
    </row>
    <row r="863" spans="1:8" ht="14.25" customHeight="1" x14ac:dyDescent="0.25">
      <c r="A863" s="3">
        <v>45622</v>
      </c>
      <c r="B863" s="43">
        <v>2024002624</v>
      </c>
      <c r="C863" s="4" t="s">
        <v>753</v>
      </c>
      <c r="D863" s="5">
        <v>3000000</v>
      </c>
      <c r="E863" s="4">
        <v>1085272140</v>
      </c>
      <c r="F863" s="4" t="s">
        <v>754</v>
      </c>
      <c r="G863" t="s">
        <v>565</v>
      </c>
      <c r="H863" t="e">
        <f>VLOOKUP(C863,'[1]873'!$C$2:$C$711,1,0)</f>
        <v>#N/A</v>
      </c>
    </row>
    <row r="864" spans="1:8" ht="14.25" customHeight="1" x14ac:dyDescent="0.25">
      <c r="A864" s="3">
        <v>45622</v>
      </c>
      <c r="B864" s="43">
        <v>2024002625</v>
      </c>
      <c r="C864" s="4" t="s">
        <v>755</v>
      </c>
      <c r="D864" s="5">
        <v>3000000</v>
      </c>
      <c r="E864" s="4">
        <v>1085347540</v>
      </c>
      <c r="F864" s="4" t="s">
        <v>321</v>
      </c>
      <c r="G864" t="s">
        <v>565</v>
      </c>
      <c r="H864" t="e">
        <f>VLOOKUP(C864,'[1]873'!$C$2:$C$711,1,0)</f>
        <v>#N/A</v>
      </c>
    </row>
    <row r="865" spans="1:8" ht="14.25" customHeight="1" x14ac:dyDescent="0.25">
      <c r="A865" s="3">
        <v>45622</v>
      </c>
      <c r="B865" s="43">
        <v>2024002627</v>
      </c>
      <c r="C865" s="4" t="s">
        <v>756</v>
      </c>
      <c r="D865" s="5">
        <v>6000000</v>
      </c>
      <c r="E865" s="4">
        <v>36757221</v>
      </c>
      <c r="F865" s="4" t="s">
        <v>453</v>
      </c>
      <c r="G865" t="s">
        <v>565</v>
      </c>
      <c r="H865" t="e">
        <f>VLOOKUP(C865,'[1]873'!$C$2:$C$711,1,0)</f>
        <v>#N/A</v>
      </c>
    </row>
    <row r="866" spans="1:8" ht="14.25" customHeight="1" x14ac:dyDescent="0.25">
      <c r="A866" s="3">
        <v>45622</v>
      </c>
      <c r="B866" s="43">
        <v>2024002628</v>
      </c>
      <c r="C866" s="4" t="s">
        <v>757</v>
      </c>
      <c r="D866" s="5">
        <v>3000000</v>
      </c>
      <c r="E866" s="4">
        <v>1085309422</v>
      </c>
      <c r="F866" s="4" t="s">
        <v>758</v>
      </c>
      <c r="G866" t="s">
        <v>565</v>
      </c>
      <c r="H866" t="e">
        <f>VLOOKUP(C866,'[1]873'!$C$2:$C$711,1,0)</f>
        <v>#N/A</v>
      </c>
    </row>
    <row r="867" spans="1:8" ht="14.25" customHeight="1" x14ac:dyDescent="0.25">
      <c r="A867" s="3">
        <v>45622</v>
      </c>
      <c r="B867" s="43">
        <v>2024002630</v>
      </c>
      <c r="C867" s="4" t="s">
        <v>759</v>
      </c>
      <c r="D867" s="5">
        <v>6000000</v>
      </c>
      <c r="E867" s="4">
        <v>1085253062</v>
      </c>
      <c r="F867" s="4" t="s">
        <v>31</v>
      </c>
      <c r="G867" t="s">
        <v>565</v>
      </c>
      <c r="H867" t="e">
        <f>VLOOKUP(C867,'[1]873'!$C$2:$C$711,1,0)</f>
        <v>#N/A</v>
      </c>
    </row>
    <row r="868" spans="1:8" ht="14.25" customHeight="1" x14ac:dyDescent="0.25">
      <c r="A868" s="3">
        <v>45622</v>
      </c>
      <c r="B868" s="43">
        <v>2024002631</v>
      </c>
      <c r="C868" s="4" t="s">
        <v>760</v>
      </c>
      <c r="D868" s="5">
        <v>3000000</v>
      </c>
      <c r="E868" s="4">
        <v>1004535234</v>
      </c>
      <c r="F868" s="4" t="s">
        <v>507</v>
      </c>
      <c r="G868" t="s">
        <v>565</v>
      </c>
      <c r="H868" t="e">
        <f>VLOOKUP(C868,'[1]873'!$C$2:$C$711,1,0)</f>
        <v>#N/A</v>
      </c>
    </row>
    <row r="869" spans="1:8" ht="14.25" customHeight="1" x14ac:dyDescent="0.25">
      <c r="A869" s="3">
        <v>45622</v>
      </c>
      <c r="B869" s="43">
        <v>2024002632</v>
      </c>
      <c r="C869" s="4" t="s">
        <v>761</v>
      </c>
      <c r="D869" s="5">
        <v>7540000</v>
      </c>
      <c r="E869" s="4">
        <v>1006946167</v>
      </c>
      <c r="F869" s="4" t="s">
        <v>63</v>
      </c>
      <c r="G869" t="s">
        <v>565</v>
      </c>
      <c r="H869" t="e">
        <f>VLOOKUP(C869,'[1]873'!$C$2:$C$711,1,0)</f>
        <v>#N/A</v>
      </c>
    </row>
    <row r="870" spans="1:8" ht="14.25" customHeight="1" x14ac:dyDescent="0.25">
      <c r="A870" s="3">
        <v>45622</v>
      </c>
      <c r="B870" s="43">
        <v>2024002633</v>
      </c>
      <c r="C870" s="4" t="s">
        <v>762</v>
      </c>
      <c r="D870" s="5">
        <v>2500000</v>
      </c>
      <c r="E870" s="4">
        <v>36757715</v>
      </c>
      <c r="F870" s="4" t="s">
        <v>313</v>
      </c>
      <c r="G870" t="s">
        <v>565</v>
      </c>
      <c r="H870" t="e">
        <f>VLOOKUP(C870,'[1]873'!$C$2:$C$711,1,0)</f>
        <v>#N/A</v>
      </c>
    </row>
    <row r="871" spans="1:8" ht="14.25" customHeight="1" x14ac:dyDescent="0.25">
      <c r="A871" s="3">
        <v>45622</v>
      </c>
      <c r="B871" s="43">
        <v>2024002635</v>
      </c>
      <c r="C871" s="4" t="s">
        <v>763</v>
      </c>
      <c r="D871" s="5">
        <v>3000000</v>
      </c>
      <c r="E871" s="4">
        <v>36752202</v>
      </c>
      <c r="F871" s="4" t="s">
        <v>263</v>
      </c>
      <c r="G871" t="s">
        <v>565</v>
      </c>
      <c r="H871" t="e">
        <f>VLOOKUP(C871,'[1]873'!$C$2:$C$711,1,0)</f>
        <v>#N/A</v>
      </c>
    </row>
    <row r="872" spans="1:8" ht="14.25" customHeight="1" x14ac:dyDescent="0.25">
      <c r="A872" s="3">
        <v>45622</v>
      </c>
      <c r="B872" s="43">
        <v>2024002636</v>
      </c>
      <c r="C872" s="4" t="s">
        <v>764</v>
      </c>
      <c r="D872" s="5">
        <v>3000000</v>
      </c>
      <c r="E872" s="4">
        <v>36757213</v>
      </c>
      <c r="F872" s="4" t="s">
        <v>411</v>
      </c>
      <c r="G872" t="s">
        <v>565</v>
      </c>
      <c r="H872" t="e">
        <f>VLOOKUP(C872,'[1]873'!$C$2:$C$711,1,0)</f>
        <v>#N/A</v>
      </c>
    </row>
    <row r="873" spans="1:8" ht="14.25" customHeight="1" x14ac:dyDescent="0.25">
      <c r="A873" s="3">
        <v>45622</v>
      </c>
      <c r="B873" s="43">
        <v>2024002637</v>
      </c>
      <c r="C873" s="4" t="s">
        <v>765</v>
      </c>
      <c r="D873" s="5">
        <v>916300</v>
      </c>
      <c r="E873" s="4">
        <v>59821968</v>
      </c>
      <c r="F873" s="4" t="s">
        <v>766</v>
      </c>
      <c r="G873" t="s">
        <v>565</v>
      </c>
      <c r="H873" t="e">
        <f>VLOOKUP(C873,'[1]873'!$C$2:$C$711,1,0)</f>
        <v>#N/A</v>
      </c>
    </row>
    <row r="874" spans="1:8" ht="14.25" customHeight="1" x14ac:dyDescent="0.25">
      <c r="A874" s="15">
        <v>45622</v>
      </c>
      <c r="B874" s="44">
        <v>2024002638</v>
      </c>
      <c r="C874" s="16" t="s">
        <v>767</v>
      </c>
      <c r="D874" s="6">
        <v>4750000</v>
      </c>
      <c r="E874" s="16">
        <v>59651018</v>
      </c>
      <c r="F874" s="16" t="s">
        <v>493</v>
      </c>
      <c r="G874" t="s">
        <v>565</v>
      </c>
      <c r="H874" t="e">
        <f>VLOOKUP(C874,'[1]873'!$C$2:$C$711,1,0)</f>
        <v>#N/A</v>
      </c>
    </row>
    <row r="875" spans="1:8" ht="14.25" customHeight="1" x14ac:dyDescent="0.25">
      <c r="A875" s="3">
        <v>45622</v>
      </c>
      <c r="B875" s="43">
        <v>2024002639</v>
      </c>
      <c r="C875" s="4" t="s">
        <v>768</v>
      </c>
      <c r="D875" s="5">
        <v>3000000</v>
      </c>
      <c r="E875" s="4">
        <v>59314601</v>
      </c>
      <c r="F875" s="4" t="s">
        <v>71</v>
      </c>
      <c r="G875" t="s">
        <v>565</v>
      </c>
      <c r="H875" t="e">
        <f>VLOOKUP(C875,'[1]873'!$C$2:$C$711,1,0)</f>
        <v>#N/A</v>
      </c>
    </row>
    <row r="876" spans="1:8" ht="14.25" customHeight="1" x14ac:dyDescent="0.25">
      <c r="A876" s="3">
        <v>45622</v>
      </c>
      <c r="B876" s="43">
        <v>2024002640</v>
      </c>
      <c r="C876" s="4" t="s">
        <v>769</v>
      </c>
      <c r="D876" s="5">
        <v>800000</v>
      </c>
      <c r="E876" s="4">
        <v>1089846829</v>
      </c>
      <c r="F876" s="4" t="s">
        <v>770</v>
      </c>
      <c r="G876" t="s">
        <v>565</v>
      </c>
      <c r="H876" t="e">
        <f>VLOOKUP(C876,'[1]873'!$C$2:$C$711,1,0)</f>
        <v>#N/A</v>
      </c>
    </row>
    <row r="877" spans="1:8" ht="14.25" customHeight="1" x14ac:dyDescent="0.25">
      <c r="A877" s="3">
        <v>45622</v>
      </c>
      <c r="B877" s="43">
        <v>2024002641</v>
      </c>
      <c r="C877" s="4" t="s">
        <v>771</v>
      </c>
      <c r="D877" s="5">
        <v>2500000</v>
      </c>
      <c r="E877" s="4">
        <v>1085327836</v>
      </c>
      <c r="F877" s="4" t="s">
        <v>283</v>
      </c>
      <c r="G877" t="s">
        <v>565</v>
      </c>
      <c r="H877" t="e">
        <f>VLOOKUP(C877,'[1]873'!$C$2:$C$711,1,0)</f>
        <v>#N/A</v>
      </c>
    </row>
    <row r="878" spans="1:8" ht="14.25" customHeight="1" x14ac:dyDescent="0.25">
      <c r="A878" s="3">
        <v>45622</v>
      </c>
      <c r="B878" s="43">
        <v>2024002642</v>
      </c>
      <c r="C878" s="4" t="s">
        <v>772</v>
      </c>
      <c r="D878" s="5">
        <v>3000000</v>
      </c>
      <c r="E878" s="4">
        <v>1081592303</v>
      </c>
      <c r="F878" s="4" t="s">
        <v>353</v>
      </c>
      <c r="G878" t="s">
        <v>565</v>
      </c>
      <c r="H878" t="e">
        <f>VLOOKUP(C878,'[1]873'!$C$2:$C$711,1,0)</f>
        <v>#N/A</v>
      </c>
    </row>
    <row r="879" spans="1:8" ht="14.25" customHeight="1" x14ac:dyDescent="0.25">
      <c r="A879" s="3">
        <v>45622</v>
      </c>
      <c r="B879" s="43">
        <v>2024002643</v>
      </c>
      <c r="C879" s="4" t="s">
        <v>773</v>
      </c>
      <c r="D879" s="5">
        <v>4825000</v>
      </c>
      <c r="E879" s="4">
        <v>1085267184</v>
      </c>
      <c r="F879" s="4" t="s">
        <v>247</v>
      </c>
      <c r="G879" t="s">
        <v>565</v>
      </c>
      <c r="H879" t="e">
        <f>VLOOKUP(C879,'[1]873'!$C$2:$C$711,1,0)</f>
        <v>#N/A</v>
      </c>
    </row>
    <row r="880" spans="1:8" ht="14.25" customHeight="1" x14ac:dyDescent="0.25">
      <c r="A880" s="3">
        <v>45622</v>
      </c>
      <c r="B880" s="43">
        <v>2024002644</v>
      </c>
      <c r="C880" s="4" t="s">
        <v>774</v>
      </c>
      <c r="D880" s="5">
        <v>3000000</v>
      </c>
      <c r="E880" s="4">
        <v>1081272025</v>
      </c>
      <c r="F880" s="4" t="s">
        <v>59</v>
      </c>
      <c r="G880" t="s">
        <v>565</v>
      </c>
      <c r="H880" t="e">
        <f>VLOOKUP(C880,'[1]873'!$C$2:$C$711,1,0)</f>
        <v>#N/A</v>
      </c>
    </row>
    <row r="881" spans="1:8" ht="14.25" customHeight="1" x14ac:dyDescent="0.25">
      <c r="A881" s="3">
        <v>45622</v>
      </c>
      <c r="B881" s="43">
        <v>2024002645</v>
      </c>
      <c r="C881" s="4" t="s">
        <v>775</v>
      </c>
      <c r="D881" s="5">
        <v>3000000</v>
      </c>
      <c r="E881" s="4">
        <v>1193385397</v>
      </c>
      <c r="F881" s="4" t="s">
        <v>39</v>
      </c>
      <c r="G881" t="s">
        <v>565</v>
      </c>
      <c r="H881" t="e">
        <f>VLOOKUP(C881,'[1]873'!$C$2:$C$711,1,0)</f>
        <v>#N/A</v>
      </c>
    </row>
    <row r="882" spans="1:8" ht="14.25" customHeight="1" x14ac:dyDescent="0.25">
      <c r="A882" s="3">
        <v>45622</v>
      </c>
      <c r="B882" s="43">
        <v>2024002646</v>
      </c>
      <c r="C882" s="4" t="s">
        <v>776</v>
      </c>
      <c r="D882" s="5">
        <v>3000000</v>
      </c>
      <c r="E882" s="4">
        <v>1233189234</v>
      </c>
      <c r="F882" s="4" t="s">
        <v>87</v>
      </c>
      <c r="G882" t="s">
        <v>565</v>
      </c>
      <c r="H882" t="e">
        <f>VLOOKUP(C882,'[1]873'!$C$2:$C$711,1,0)</f>
        <v>#N/A</v>
      </c>
    </row>
    <row r="883" spans="1:8" ht="14.25" customHeight="1" x14ac:dyDescent="0.25">
      <c r="A883" s="3">
        <v>45622</v>
      </c>
      <c r="B883" s="43">
        <v>2024002647</v>
      </c>
      <c r="C883" s="4" t="s">
        <v>777</v>
      </c>
      <c r="D883" s="5">
        <v>3000000</v>
      </c>
      <c r="E883" s="4">
        <v>1144206777</v>
      </c>
      <c r="F883" s="4" t="s">
        <v>153</v>
      </c>
      <c r="G883" t="s">
        <v>565</v>
      </c>
      <c r="H883" t="e">
        <f>VLOOKUP(C883,'[1]873'!$C$2:$C$711,1,0)</f>
        <v>#N/A</v>
      </c>
    </row>
    <row r="884" spans="1:8" ht="14.25" customHeight="1" x14ac:dyDescent="0.25">
      <c r="A884" s="3">
        <v>45622</v>
      </c>
      <c r="B884" s="43">
        <v>2024002648</v>
      </c>
      <c r="C884" s="4" t="s">
        <v>778</v>
      </c>
      <c r="D884" s="5">
        <v>3000000</v>
      </c>
      <c r="E884" s="4">
        <v>1085324685</v>
      </c>
      <c r="F884" s="4" t="s">
        <v>779</v>
      </c>
      <c r="G884" t="s">
        <v>565</v>
      </c>
      <c r="H884" t="e">
        <f>VLOOKUP(C884,'[1]873'!$C$2:$C$711,1,0)</f>
        <v>#N/A</v>
      </c>
    </row>
    <row r="885" spans="1:8" ht="14.25" customHeight="1" x14ac:dyDescent="0.25">
      <c r="A885" s="3">
        <v>45622</v>
      </c>
      <c r="B885" s="43">
        <v>2024002649</v>
      </c>
      <c r="C885" s="4" t="s">
        <v>780</v>
      </c>
      <c r="D885" s="5">
        <v>4825000</v>
      </c>
      <c r="E885" s="4">
        <v>1085311814</v>
      </c>
      <c r="F885" s="4" t="s">
        <v>781</v>
      </c>
      <c r="G885" t="s">
        <v>565</v>
      </c>
      <c r="H885" t="e">
        <f>VLOOKUP(C885,'[1]873'!$C$2:$C$711,1,0)</f>
        <v>#N/A</v>
      </c>
    </row>
    <row r="886" spans="1:8" ht="14.25" customHeight="1" x14ac:dyDescent="0.25">
      <c r="A886" s="3">
        <v>45622</v>
      </c>
      <c r="B886" s="43">
        <v>2024002650</v>
      </c>
      <c r="C886" s="4" t="s">
        <v>782</v>
      </c>
      <c r="D886" s="5">
        <v>1100000</v>
      </c>
      <c r="E886" s="4">
        <v>59833899</v>
      </c>
      <c r="F886" s="4" t="s">
        <v>467</v>
      </c>
      <c r="G886" t="s">
        <v>565</v>
      </c>
      <c r="H886" t="e">
        <f>VLOOKUP(C886,'[1]873'!$C$2:$C$711,1,0)</f>
        <v>#N/A</v>
      </c>
    </row>
    <row r="887" spans="1:8" ht="14.25" customHeight="1" x14ac:dyDescent="0.25">
      <c r="A887" s="3">
        <v>45622</v>
      </c>
      <c r="B887" s="43">
        <v>2024002651</v>
      </c>
      <c r="C887" s="4" t="s">
        <v>783</v>
      </c>
      <c r="D887" s="5">
        <v>2500000</v>
      </c>
      <c r="E887" s="4">
        <v>1233189896</v>
      </c>
      <c r="F887" s="4" t="s">
        <v>279</v>
      </c>
      <c r="G887" t="s">
        <v>565</v>
      </c>
      <c r="H887" t="e">
        <f>VLOOKUP(C887,'[1]873'!$C$2:$C$711,1,0)</f>
        <v>#N/A</v>
      </c>
    </row>
    <row r="888" spans="1:8" ht="14.25" customHeight="1" x14ac:dyDescent="0.25">
      <c r="A888" s="3">
        <v>45622</v>
      </c>
      <c r="B888" s="43">
        <v>2024002652</v>
      </c>
      <c r="C888" s="4" t="s">
        <v>784</v>
      </c>
      <c r="D888" s="5">
        <v>3000000</v>
      </c>
      <c r="E888" s="4">
        <v>1085319295</v>
      </c>
      <c r="F888" s="4" t="s">
        <v>785</v>
      </c>
      <c r="G888" t="s">
        <v>565</v>
      </c>
      <c r="H888" t="e">
        <f>VLOOKUP(C888,'[1]873'!$C$2:$C$711,1,0)</f>
        <v>#N/A</v>
      </c>
    </row>
    <row r="889" spans="1:8" ht="14.25" customHeight="1" x14ac:dyDescent="0.25">
      <c r="A889" s="3">
        <v>45622</v>
      </c>
      <c r="B889" s="43">
        <v>2024002653</v>
      </c>
      <c r="C889" s="4" t="s">
        <v>786</v>
      </c>
      <c r="D889" s="5">
        <v>3000000</v>
      </c>
      <c r="E889" s="4">
        <v>69028150</v>
      </c>
      <c r="F889" s="4" t="s">
        <v>171</v>
      </c>
      <c r="G889" t="s">
        <v>565</v>
      </c>
      <c r="H889" t="e">
        <f>VLOOKUP(C889,'[1]873'!$C$2:$C$711,1,0)</f>
        <v>#N/A</v>
      </c>
    </row>
    <row r="890" spans="1:8" ht="14.25" customHeight="1" x14ac:dyDescent="0.25">
      <c r="A890" s="3">
        <v>45622</v>
      </c>
      <c r="B890" s="43">
        <v>2024002654</v>
      </c>
      <c r="C890" s="4" t="s">
        <v>787</v>
      </c>
      <c r="D890" s="5">
        <v>4750000</v>
      </c>
      <c r="E890" s="4">
        <v>1085324546</v>
      </c>
      <c r="F890" s="4" t="s">
        <v>29</v>
      </c>
      <c r="G890" t="s">
        <v>565</v>
      </c>
      <c r="H890" t="e">
        <f>VLOOKUP(C890,'[1]873'!$C$2:$C$711,1,0)</f>
        <v>#N/A</v>
      </c>
    </row>
    <row r="891" spans="1:8" ht="14.25" customHeight="1" x14ac:dyDescent="0.25">
      <c r="A891" s="3">
        <v>45622</v>
      </c>
      <c r="B891" s="43">
        <v>2024002655</v>
      </c>
      <c r="C891" s="4" t="s">
        <v>788</v>
      </c>
      <c r="D891" s="5">
        <v>3000000</v>
      </c>
      <c r="E891" s="4">
        <v>1193265360</v>
      </c>
      <c r="F891" s="4" t="s">
        <v>67</v>
      </c>
      <c r="G891" t="s">
        <v>565</v>
      </c>
      <c r="H891" t="e">
        <f>VLOOKUP(C891,'[1]873'!$C$2:$C$711,1,0)</f>
        <v>#N/A</v>
      </c>
    </row>
    <row r="892" spans="1:8" ht="14.25" customHeight="1" x14ac:dyDescent="0.25">
      <c r="A892" s="3">
        <v>45623</v>
      </c>
      <c r="B892" s="43">
        <v>2024002656</v>
      </c>
      <c r="C892" s="4" t="s">
        <v>789</v>
      </c>
      <c r="D892" s="5">
        <v>3000000</v>
      </c>
      <c r="E892" s="4">
        <v>1086362994</v>
      </c>
      <c r="F892" s="4" t="s">
        <v>77</v>
      </c>
      <c r="G892" t="s">
        <v>565</v>
      </c>
      <c r="H892" t="e">
        <f>VLOOKUP(C892,'[1]873'!$C$2:$C$711,1,0)</f>
        <v>#N/A</v>
      </c>
    </row>
    <row r="893" spans="1:8" ht="14.25" customHeight="1" x14ac:dyDescent="0.25">
      <c r="A893" s="3">
        <v>45623</v>
      </c>
      <c r="B893" s="43">
        <v>2024002658</v>
      </c>
      <c r="C893" s="4" t="s">
        <v>790</v>
      </c>
      <c r="D893" s="5">
        <v>7540000</v>
      </c>
      <c r="E893" s="4">
        <v>1085329980</v>
      </c>
      <c r="F893" s="4" t="s">
        <v>791</v>
      </c>
      <c r="G893" t="s">
        <v>565</v>
      </c>
      <c r="H893" t="e">
        <f>VLOOKUP(C893,'[1]873'!$C$2:$C$711,1,0)</f>
        <v>#N/A</v>
      </c>
    </row>
    <row r="894" spans="1:8" ht="14.25" customHeight="1" x14ac:dyDescent="0.25">
      <c r="A894" s="3">
        <v>45623</v>
      </c>
      <c r="B894" s="43">
        <v>2024002659</v>
      </c>
      <c r="C894" s="4" t="s">
        <v>792</v>
      </c>
      <c r="D894" s="5">
        <v>3000000</v>
      </c>
      <c r="E894" s="4">
        <v>59588823</v>
      </c>
      <c r="F894" s="4" t="s">
        <v>793</v>
      </c>
      <c r="G894" t="s">
        <v>565</v>
      </c>
      <c r="H894" t="e">
        <f>VLOOKUP(C894,'[1]873'!$C$2:$C$711,1,0)</f>
        <v>#N/A</v>
      </c>
    </row>
    <row r="895" spans="1:8" ht="14.25" customHeight="1" x14ac:dyDescent="0.25">
      <c r="A895" s="3">
        <v>45623</v>
      </c>
      <c r="B895" s="43">
        <v>2024002660</v>
      </c>
      <c r="C895" s="4" t="s">
        <v>794</v>
      </c>
      <c r="D895" s="5">
        <v>7540000</v>
      </c>
      <c r="E895" s="4">
        <v>1193202097</v>
      </c>
      <c r="F895" s="4" t="s">
        <v>163</v>
      </c>
      <c r="G895" t="s">
        <v>565</v>
      </c>
      <c r="H895" t="e">
        <f>VLOOKUP(C895,'[1]873'!$C$2:$C$711,1,0)</f>
        <v>#N/A</v>
      </c>
    </row>
    <row r="896" spans="1:8" ht="14.25" customHeight="1" x14ac:dyDescent="0.25">
      <c r="A896" s="3">
        <v>45623</v>
      </c>
      <c r="B896" s="43">
        <v>2024002661</v>
      </c>
      <c r="C896" s="4" t="s">
        <v>795</v>
      </c>
      <c r="D896" s="5">
        <v>3000000</v>
      </c>
      <c r="E896" s="4">
        <v>1007356378</v>
      </c>
      <c r="F896" s="4" t="s">
        <v>45</v>
      </c>
      <c r="G896" t="s">
        <v>565</v>
      </c>
      <c r="H896" t="e">
        <f>VLOOKUP(C896,'[1]873'!$C$2:$C$711,1,0)</f>
        <v>#N/A</v>
      </c>
    </row>
    <row r="897" spans="1:8" ht="14.25" customHeight="1" x14ac:dyDescent="0.25">
      <c r="A897" s="3">
        <v>45623</v>
      </c>
      <c r="B897" s="43">
        <v>2024002662</v>
      </c>
      <c r="C897" s="4" t="s">
        <v>796</v>
      </c>
      <c r="D897" s="5">
        <v>3000000</v>
      </c>
      <c r="E897" s="4">
        <v>59311295</v>
      </c>
      <c r="F897" s="4" t="s">
        <v>797</v>
      </c>
      <c r="G897" t="s">
        <v>565</v>
      </c>
      <c r="H897" t="e">
        <f>VLOOKUP(C897,'[1]873'!$C$2:$C$711,1,0)</f>
        <v>#N/A</v>
      </c>
    </row>
    <row r="898" spans="1:8" ht="14.25" customHeight="1" x14ac:dyDescent="0.25">
      <c r="A898" s="3">
        <v>45623</v>
      </c>
      <c r="B898" s="43">
        <v>2024002663</v>
      </c>
      <c r="C898" s="4" t="s">
        <v>798</v>
      </c>
      <c r="D898" s="5">
        <v>6000000</v>
      </c>
      <c r="E898" s="4">
        <v>27109314</v>
      </c>
      <c r="F898" s="4" t="s">
        <v>217</v>
      </c>
      <c r="G898" t="s">
        <v>565</v>
      </c>
      <c r="H898" t="e">
        <f>VLOOKUP(C898,'[1]873'!$C$2:$C$711,1,0)</f>
        <v>#N/A</v>
      </c>
    </row>
    <row r="899" spans="1:8" ht="14.25" customHeight="1" x14ac:dyDescent="0.25">
      <c r="A899" s="3">
        <v>45623</v>
      </c>
      <c r="B899" s="43">
        <v>2024002664</v>
      </c>
      <c r="C899" s="4" t="s">
        <v>799</v>
      </c>
      <c r="D899" s="5">
        <v>2500000</v>
      </c>
      <c r="E899" s="4">
        <v>1085320930</v>
      </c>
      <c r="F899" s="4" t="s">
        <v>259</v>
      </c>
      <c r="G899" t="s">
        <v>565</v>
      </c>
      <c r="H899" t="e">
        <f>VLOOKUP(C899,'[1]873'!$C$2:$C$711,1,0)</f>
        <v>#N/A</v>
      </c>
    </row>
    <row r="900" spans="1:8" ht="14.25" customHeight="1" x14ac:dyDescent="0.25">
      <c r="A900" s="3">
        <v>45623</v>
      </c>
      <c r="B900" s="43">
        <v>2024002665</v>
      </c>
      <c r="C900" s="4" t="s">
        <v>800</v>
      </c>
      <c r="D900" s="5">
        <v>3000000</v>
      </c>
      <c r="E900" s="4">
        <v>59833702</v>
      </c>
      <c r="F900" s="4" t="s">
        <v>173</v>
      </c>
      <c r="G900" t="s">
        <v>565</v>
      </c>
      <c r="H900" t="e">
        <f>VLOOKUP(C900,'[1]873'!$C$2:$C$711,1,0)</f>
        <v>#N/A</v>
      </c>
    </row>
    <row r="901" spans="1:8" ht="14.25" customHeight="1" x14ac:dyDescent="0.25">
      <c r="A901" s="3">
        <v>45623</v>
      </c>
      <c r="B901" s="43">
        <v>2024002666</v>
      </c>
      <c r="C901" s="4" t="s">
        <v>801</v>
      </c>
      <c r="D901" s="5">
        <v>1250000</v>
      </c>
      <c r="E901" s="4">
        <v>12994466</v>
      </c>
      <c r="F901" s="4" t="s">
        <v>802</v>
      </c>
      <c r="G901" t="s">
        <v>565</v>
      </c>
      <c r="H901" t="e">
        <f>VLOOKUP(C901,'[1]873'!$C$2:$C$711,1,0)</f>
        <v>#N/A</v>
      </c>
    </row>
    <row r="902" spans="1:8" ht="14.25" customHeight="1" x14ac:dyDescent="0.25">
      <c r="A902" s="3">
        <v>45623</v>
      </c>
      <c r="B902" s="43">
        <v>2024002667</v>
      </c>
      <c r="C902" s="4" t="s">
        <v>803</v>
      </c>
      <c r="D902" s="5">
        <v>7540000</v>
      </c>
      <c r="E902" s="4">
        <v>80765093</v>
      </c>
      <c r="F902" s="4" t="s">
        <v>69</v>
      </c>
      <c r="G902" t="s">
        <v>565</v>
      </c>
      <c r="H902" t="e">
        <f>VLOOKUP(C902,'[1]873'!$C$2:$C$711,1,0)</f>
        <v>#N/A</v>
      </c>
    </row>
    <row r="903" spans="1:8" ht="14.25" customHeight="1" x14ac:dyDescent="0.25">
      <c r="A903" s="3">
        <v>45623</v>
      </c>
      <c r="B903" s="43">
        <v>2024002668</v>
      </c>
      <c r="C903" s="4" t="s">
        <v>804</v>
      </c>
      <c r="D903" s="5">
        <v>3000000</v>
      </c>
      <c r="E903" s="4">
        <v>1089243630</v>
      </c>
      <c r="F903" s="4" t="s">
        <v>197</v>
      </c>
      <c r="G903" t="s">
        <v>565</v>
      </c>
      <c r="H903" t="e">
        <f>VLOOKUP(C903,'[1]873'!$C$2:$C$711,1,0)</f>
        <v>#N/A</v>
      </c>
    </row>
    <row r="904" spans="1:8" ht="14.25" customHeight="1" x14ac:dyDescent="0.25">
      <c r="A904" s="3">
        <v>45623</v>
      </c>
      <c r="B904" s="43">
        <v>2024002669</v>
      </c>
      <c r="C904" s="4" t="s">
        <v>805</v>
      </c>
      <c r="D904" s="5">
        <v>3000000</v>
      </c>
      <c r="E904" s="4">
        <v>59834953</v>
      </c>
      <c r="F904" s="4" t="s">
        <v>121</v>
      </c>
      <c r="G904" t="s">
        <v>565</v>
      </c>
      <c r="H904" t="e">
        <f>VLOOKUP(C904,'[1]873'!$C$2:$C$711,1,0)</f>
        <v>#N/A</v>
      </c>
    </row>
    <row r="905" spans="1:8" ht="14.25" customHeight="1" x14ac:dyDescent="0.25">
      <c r="A905" s="3">
        <v>45623</v>
      </c>
      <c r="B905" s="43">
        <v>2024002670</v>
      </c>
      <c r="C905" s="4" t="s">
        <v>806</v>
      </c>
      <c r="D905" s="5">
        <v>4750000</v>
      </c>
      <c r="E905" s="4">
        <v>1085345772</v>
      </c>
      <c r="F905" s="4" t="s">
        <v>221</v>
      </c>
      <c r="G905" t="s">
        <v>565</v>
      </c>
      <c r="H905" t="e">
        <f>VLOOKUP(C905,'[1]873'!$C$2:$C$711,1,0)</f>
        <v>#N/A</v>
      </c>
    </row>
    <row r="906" spans="1:8" ht="14.25" customHeight="1" x14ac:dyDescent="0.25">
      <c r="A906" s="3">
        <v>45623</v>
      </c>
      <c r="B906" s="43">
        <v>2024002671</v>
      </c>
      <c r="C906" s="4" t="s">
        <v>807</v>
      </c>
      <c r="D906" s="5">
        <v>2500000</v>
      </c>
      <c r="E906" s="4">
        <v>37087268</v>
      </c>
      <c r="F906" s="4" t="s">
        <v>257</v>
      </c>
      <c r="G906" t="s">
        <v>565</v>
      </c>
      <c r="H906" t="e">
        <f>VLOOKUP(C906,'[1]873'!$C$2:$C$711,1,0)</f>
        <v>#N/A</v>
      </c>
    </row>
    <row r="907" spans="1:8" ht="14.25" customHeight="1" x14ac:dyDescent="0.25">
      <c r="A907" s="3">
        <v>45623</v>
      </c>
      <c r="B907" s="43">
        <v>2024002672</v>
      </c>
      <c r="C907" s="4" t="s">
        <v>808</v>
      </c>
      <c r="D907" s="5">
        <v>3000000</v>
      </c>
      <c r="E907" s="4">
        <v>1085330237</v>
      </c>
      <c r="F907" s="4" t="s">
        <v>255</v>
      </c>
      <c r="G907" t="s">
        <v>565</v>
      </c>
      <c r="H907" t="e">
        <f>VLOOKUP(C907,'[1]873'!$C$2:$C$711,1,0)</f>
        <v>#N/A</v>
      </c>
    </row>
    <row r="908" spans="1:8" ht="14.25" customHeight="1" x14ac:dyDescent="0.25">
      <c r="A908" s="3">
        <v>45624</v>
      </c>
      <c r="B908" s="43">
        <v>2024002692</v>
      </c>
      <c r="C908" s="4" t="s">
        <v>809</v>
      </c>
      <c r="D908" s="5">
        <v>2500000</v>
      </c>
      <c r="E908" s="4">
        <v>59830219</v>
      </c>
      <c r="F908" s="4" t="s">
        <v>281</v>
      </c>
      <c r="G908" t="s">
        <v>565</v>
      </c>
      <c r="H908" t="e">
        <f>VLOOKUP(C908,'[1]873'!$C$2:$C$711,1,0)</f>
        <v>#N/A</v>
      </c>
    </row>
    <row r="909" spans="1:8" ht="14.25" customHeight="1" x14ac:dyDescent="0.25">
      <c r="A909" s="3">
        <v>45624</v>
      </c>
      <c r="B909" s="43">
        <v>2024002693</v>
      </c>
      <c r="C909" s="4" t="s">
        <v>810</v>
      </c>
      <c r="D909" s="5">
        <v>4825000</v>
      </c>
      <c r="E909" s="4">
        <v>1085337969</v>
      </c>
      <c r="F909" s="4" t="s">
        <v>99</v>
      </c>
      <c r="G909" t="s">
        <v>565</v>
      </c>
      <c r="H909" t="e">
        <f>VLOOKUP(C909,'[1]873'!$C$2:$C$711,1,0)</f>
        <v>#N/A</v>
      </c>
    </row>
    <row r="910" spans="1:8" ht="14.25" customHeight="1" x14ac:dyDescent="0.25">
      <c r="A910" s="3">
        <v>45624</v>
      </c>
      <c r="B910" s="43">
        <v>2024002695</v>
      </c>
      <c r="C910" s="4" t="s">
        <v>811</v>
      </c>
      <c r="D910" s="5">
        <v>3000000</v>
      </c>
      <c r="E910" s="4">
        <v>1085296353</v>
      </c>
      <c r="F910" s="4" t="s">
        <v>187</v>
      </c>
      <c r="G910" t="s">
        <v>565</v>
      </c>
      <c r="H910" t="e">
        <f>VLOOKUP(C910,'[1]873'!$C$2:$C$711,1,0)</f>
        <v>#N/A</v>
      </c>
    </row>
    <row r="911" spans="1:8" ht="14.25" customHeight="1" x14ac:dyDescent="0.25">
      <c r="A911" s="3">
        <v>45624</v>
      </c>
      <c r="B911" s="43">
        <v>2024002696</v>
      </c>
      <c r="C911" s="4" t="s">
        <v>812</v>
      </c>
      <c r="D911" s="5">
        <v>4750000</v>
      </c>
      <c r="E911" s="4">
        <v>59816986</v>
      </c>
      <c r="F911" s="4" t="s">
        <v>415</v>
      </c>
      <c r="G911" t="s">
        <v>565</v>
      </c>
      <c r="H911" t="e">
        <f>VLOOKUP(C911,'[1]873'!$C$2:$C$711,1,0)</f>
        <v>#N/A</v>
      </c>
    </row>
    <row r="912" spans="1:8" ht="14.25" customHeight="1" x14ac:dyDescent="0.25">
      <c r="A912" s="3">
        <v>45624</v>
      </c>
      <c r="B912" s="43">
        <v>2024002697</v>
      </c>
      <c r="C912" s="4" t="s">
        <v>813</v>
      </c>
      <c r="D912" s="5">
        <v>2200000</v>
      </c>
      <c r="E912" s="4">
        <v>1131085780</v>
      </c>
      <c r="F912" s="4" t="s">
        <v>814</v>
      </c>
      <c r="G912" t="s">
        <v>565</v>
      </c>
      <c r="H912" t="e">
        <f>VLOOKUP(C912,'[1]873'!$C$2:$C$711,1,0)</f>
        <v>#N/A</v>
      </c>
    </row>
    <row r="913" spans="1:8" ht="14.25" customHeight="1" x14ac:dyDescent="0.25">
      <c r="A913" s="3">
        <v>45624</v>
      </c>
      <c r="B913" s="43">
        <v>2024002698</v>
      </c>
      <c r="C913" s="4" t="s">
        <v>815</v>
      </c>
      <c r="D913" s="5">
        <v>6000000</v>
      </c>
      <c r="E913" s="4">
        <v>59836926</v>
      </c>
      <c r="F913" s="4" t="s">
        <v>311</v>
      </c>
      <c r="G913" t="s">
        <v>565</v>
      </c>
      <c r="H913" t="e">
        <f>VLOOKUP(C913,'[1]873'!$C$2:$C$711,1,0)</f>
        <v>#N/A</v>
      </c>
    </row>
    <row r="914" spans="1:8" ht="14.25" customHeight="1" x14ac:dyDescent="0.25">
      <c r="A914" s="3">
        <v>45624</v>
      </c>
      <c r="B914" s="43">
        <v>2024002700</v>
      </c>
      <c r="C914" s="4" t="s">
        <v>816</v>
      </c>
      <c r="D914" s="5">
        <v>4750000</v>
      </c>
      <c r="E914" s="4">
        <v>87060703</v>
      </c>
      <c r="F914" s="4" t="s">
        <v>223</v>
      </c>
      <c r="G914" t="s">
        <v>565</v>
      </c>
      <c r="H914" t="e">
        <f>VLOOKUP(C914,'[1]873'!$C$2:$C$711,1,0)</f>
        <v>#N/A</v>
      </c>
    </row>
    <row r="915" spans="1:8" ht="14.25" customHeight="1" x14ac:dyDescent="0.25">
      <c r="A915" s="3">
        <v>45624</v>
      </c>
      <c r="B915" s="43">
        <v>2024002702</v>
      </c>
      <c r="C915" s="4" t="s">
        <v>817</v>
      </c>
      <c r="D915" s="5">
        <v>3000000</v>
      </c>
      <c r="E915" s="4">
        <v>1085252263</v>
      </c>
      <c r="F915" s="4" t="s">
        <v>33</v>
      </c>
      <c r="G915" t="s">
        <v>565</v>
      </c>
      <c r="H915" t="e">
        <f>VLOOKUP(C915,'[1]873'!$C$2:$C$711,1,0)</f>
        <v>#N/A</v>
      </c>
    </row>
    <row r="916" spans="1:8" ht="14.25" customHeight="1" x14ac:dyDescent="0.25">
      <c r="A916" s="3">
        <v>45624</v>
      </c>
      <c r="B916" s="43">
        <v>2024002704</v>
      </c>
      <c r="C916" s="4" t="s">
        <v>818</v>
      </c>
      <c r="D916" s="5">
        <v>3000000</v>
      </c>
      <c r="E916" s="4">
        <v>27082649</v>
      </c>
      <c r="F916" s="4" t="s">
        <v>595</v>
      </c>
      <c r="G916" t="s">
        <v>565</v>
      </c>
      <c r="H916" t="e">
        <f>VLOOKUP(C916,'[1]873'!$C$2:$C$711,1,0)</f>
        <v>#N/A</v>
      </c>
    </row>
    <row r="917" spans="1:8" ht="14.25" customHeight="1" x14ac:dyDescent="0.25">
      <c r="A917" s="3">
        <v>45624</v>
      </c>
      <c r="B917" s="43">
        <v>2024002705</v>
      </c>
      <c r="C917" s="4" t="s">
        <v>819</v>
      </c>
      <c r="D917" s="5">
        <v>4825000</v>
      </c>
      <c r="E917" s="4">
        <v>1081595485</v>
      </c>
      <c r="F917" s="4" t="s">
        <v>820</v>
      </c>
      <c r="G917" t="s">
        <v>565</v>
      </c>
      <c r="H917" t="e">
        <f>VLOOKUP(C917,'[1]873'!$C$2:$C$711,1,0)</f>
        <v>#N/A</v>
      </c>
    </row>
    <row r="918" spans="1:8" ht="14.25" customHeight="1" x14ac:dyDescent="0.25">
      <c r="A918" s="3">
        <v>45624</v>
      </c>
      <c r="B918" s="43">
        <v>2024002707</v>
      </c>
      <c r="C918" s="4" t="s">
        <v>821</v>
      </c>
      <c r="D918" s="5">
        <v>3000000</v>
      </c>
      <c r="E918" s="4">
        <v>1085255972</v>
      </c>
      <c r="F918" s="4" t="s">
        <v>147</v>
      </c>
      <c r="G918" t="s">
        <v>565</v>
      </c>
      <c r="H918" t="e">
        <f>VLOOKUP(C918,'[1]873'!$C$2:$C$711,1,0)</f>
        <v>#N/A</v>
      </c>
    </row>
    <row r="919" spans="1:8" ht="14.25" customHeight="1" x14ac:dyDescent="0.25">
      <c r="A919" s="3">
        <v>45624</v>
      </c>
      <c r="B919" s="43">
        <v>2024002708</v>
      </c>
      <c r="C919" s="4" t="s">
        <v>822</v>
      </c>
      <c r="D919" s="5">
        <v>3000000</v>
      </c>
      <c r="E919" s="4">
        <v>98382500</v>
      </c>
      <c r="F919" s="4" t="s">
        <v>183</v>
      </c>
      <c r="G919" t="s">
        <v>565</v>
      </c>
      <c r="H919" t="e">
        <f>VLOOKUP(C919,'[1]873'!$C$2:$C$711,1,0)</f>
        <v>#N/A</v>
      </c>
    </row>
    <row r="920" spans="1:8" ht="14.25" customHeight="1" x14ac:dyDescent="0.25">
      <c r="A920" s="3">
        <v>45624</v>
      </c>
      <c r="B920" s="43">
        <v>2024002709</v>
      </c>
      <c r="C920" s="4" t="s">
        <v>823</v>
      </c>
      <c r="D920" s="5">
        <v>4750000</v>
      </c>
      <c r="E920" s="4">
        <v>59312865</v>
      </c>
      <c r="F920" s="4" t="s">
        <v>127</v>
      </c>
      <c r="G920" t="s">
        <v>565</v>
      </c>
      <c r="H920" t="e">
        <f>VLOOKUP(C920,'[1]873'!$C$2:$C$711,1,0)</f>
        <v>#N/A</v>
      </c>
    </row>
    <row r="921" spans="1:8" ht="14.25" customHeight="1" x14ac:dyDescent="0.25">
      <c r="A921" s="3">
        <v>45624</v>
      </c>
      <c r="B921" s="43">
        <v>2024002710</v>
      </c>
      <c r="C921" s="4" t="s">
        <v>824</v>
      </c>
      <c r="D921" s="5">
        <v>4825000</v>
      </c>
      <c r="E921" s="4">
        <v>1085321943</v>
      </c>
      <c r="F921" s="4" t="s">
        <v>363</v>
      </c>
      <c r="G921" t="s">
        <v>565</v>
      </c>
      <c r="H921" t="e">
        <f>VLOOKUP(C921,'[1]873'!$C$2:$C$711,1,0)</f>
        <v>#N/A</v>
      </c>
    </row>
    <row r="922" spans="1:8" ht="14.25" customHeight="1" x14ac:dyDescent="0.25">
      <c r="A922" s="3">
        <v>45624</v>
      </c>
      <c r="B922" s="43">
        <v>2024002711</v>
      </c>
      <c r="C922" s="4" t="s">
        <v>825</v>
      </c>
      <c r="D922" s="5">
        <v>3000000</v>
      </c>
      <c r="E922" s="4">
        <v>1085313463</v>
      </c>
      <c r="F922" s="4" t="s">
        <v>331</v>
      </c>
      <c r="G922" t="s">
        <v>565</v>
      </c>
      <c r="H922" t="e">
        <f>VLOOKUP(C922,'[1]873'!$C$2:$C$711,1,0)</f>
        <v>#N/A</v>
      </c>
    </row>
    <row r="923" spans="1:8" ht="14.25" customHeight="1" x14ac:dyDescent="0.25">
      <c r="A923" s="3">
        <v>45624</v>
      </c>
      <c r="B923" s="43">
        <v>2024002713</v>
      </c>
      <c r="C923" s="4" t="s">
        <v>826</v>
      </c>
      <c r="D923" s="5">
        <v>2500000</v>
      </c>
      <c r="E923" s="4">
        <v>59311646</v>
      </c>
      <c r="F923" s="4" t="s">
        <v>373</v>
      </c>
      <c r="G923" t="s">
        <v>565</v>
      </c>
      <c r="H923" t="e">
        <f>VLOOKUP(C923,'[1]873'!$C$2:$C$711,1,0)</f>
        <v>#N/A</v>
      </c>
    </row>
    <row r="924" spans="1:8" ht="14.25" customHeight="1" x14ac:dyDescent="0.25">
      <c r="A924" s="3">
        <v>45624</v>
      </c>
      <c r="B924" s="43">
        <v>2024002714</v>
      </c>
      <c r="C924" s="4" t="s">
        <v>827</v>
      </c>
      <c r="D924" s="5">
        <v>6000000</v>
      </c>
      <c r="E924" s="4">
        <v>27097745</v>
      </c>
      <c r="F924" s="4" t="s">
        <v>828</v>
      </c>
      <c r="G924" t="s">
        <v>565</v>
      </c>
      <c r="H924" t="e">
        <f>VLOOKUP(C924,'[1]873'!$C$2:$C$711,1,0)</f>
        <v>#N/A</v>
      </c>
    </row>
    <row r="925" spans="1:8" ht="14.25" customHeight="1" x14ac:dyDescent="0.25">
      <c r="A925" s="3">
        <v>45624</v>
      </c>
      <c r="B925" s="43">
        <v>2024002715</v>
      </c>
      <c r="C925" s="4" t="s">
        <v>829</v>
      </c>
      <c r="D925" s="5">
        <v>3000000</v>
      </c>
      <c r="E925" s="4">
        <v>1085286742</v>
      </c>
      <c r="F925" s="4" t="s">
        <v>75</v>
      </c>
      <c r="G925" t="s">
        <v>565</v>
      </c>
      <c r="H925" t="e">
        <f>VLOOKUP(C925,'[1]873'!$C$2:$C$711,1,0)</f>
        <v>#N/A</v>
      </c>
    </row>
    <row r="926" spans="1:8" ht="14.25" customHeight="1" x14ac:dyDescent="0.25">
      <c r="A926" s="3">
        <v>45625</v>
      </c>
      <c r="B926" s="43">
        <v>2024002718</v>
      </c>
      <c r="C926" s="4" t="s">
        <v>830</v>
      </c>
      <c r="D926" s="5">
        <v>2500000</v>
      </c>
      <c r="E926" s="4">
        <v>1085289798</v>
      </c>
      <c r="F926" s="4" t="s">
        <v>375</v>
      </c>
      <c r="G926" t="s">
        <v>565</v>
      </c>
      <c r="H926" t="e">
        <f>VLOOKUP(C926,'[1]873'!$C$2:$C$711,1,0)</f>
        <v>#N/A</v>
      </c>
    </row>
    <row r="927" spans="1:8" ht="14.25" customHeight="1" x14ac:dyDescent="0.25">
      <c r="A927" s="3">
        <v>45625</v>
      </c>
      <c r="B927" s="43">
        <v>2024002719</v>
      </c>
      <c r="C927" s="4" t="s">
        <v>831</v>
      </c>
      <c r="D927" s="5">
        <v>3000000</v>
      </c>
      <c r="E927" s="4">
        <v>27087122</v>
      </c>
      <c r="F927" s="4" t="s">
        <v>37</v>
      </c>
      <c r="G927" t="s">
        <v>565</v>
      </c>
      <c r="H927" t="e">
        <f>VLOOKUP(C927,'[1]873'!$C$2:$C$711,1,0)</f>
        <v>#N/A</v>
      </c>
    </row>
    <row r="928" spans="1:8" ht="14.25" customHeight="1" x14ac:dyDescent="0.25">
      <c r="A928" s="3">
        <v>45625</v>
      </c>
      <c r="B928" s="43">
        <v>2024002720</v>
      </c>
      <c r="C928" s="4" t="s">
        <v>832</v>
      </c>
      <c r="D928" s="5">
        <v>3000000</v>
      </c>
      <c r="E928" s="4">
        <v>59311233</v>
      </c>
      <c r="F928" s="4" t="s">
        <v>833</v>
      </c>
      <c r="G928" t="s">
        <v>565</v>
      </c>
      <c r="H928" t="e">
        <f>VLOOKUP(C928,'[1]873'!$C$2:$C$711,1,0)</f>
        <v>#N/A</v>
      </c>
    </row>
    <row r="929" spans="1:8" ht="14.25" customHeight="1" x14ac:dyDescent="0.25">
      <c r="A929" s="3">
        <v>45625</v>
      </c>
      <c r="B929" s="43">
        <v>2024002721</v>
      </c>
      <c r="C929" s="4" t="s">
        <v>834</v>
      </c>
      <c r="D929" s="5">
        <v>7540000</v>
      </c>
      <c r="E929" s="4">
        <v>1085335767</v>
      </c>
      <c r="F929" s="4" t="s">
        <v>231</v>
      </c>
      <c r="G929" t="s">
        <v>565</v>
      </c>
      <c r="H929" t="e">
        <f>VLOOKUP(C929,'[1]873'!$C$2:$C$711,1,0)</f>
        <v>#N/A</v>
      </c>
    </row>
    <row r="930" spans="1:8" ht="14.25" customHeight="1" x14ac:dyDescent="0.25">
      <c r="A930" s="3">
        <v>45625</v>
      </c>
      <c r="B930" s="43">
        <v>2024002722</v>
      </c>
      <c r="C930" s="4" t="s">
        <v>835</v>
      </c>
      <c r="D930" s="5">
        <v>3000000</v>
      </c>
      <c r="E930" s="4">
        <v>1081276146</v>
      </c>
      <c r="F930" s="4" t="s">
        <v>836</v>
      </c>
      <c r="G930" t="s">
        <v>565</v>
      </c>
      <c r="H930" t="e">
        <f>VLOOKUP(C930,'[1]873'!$C$2:$C$711,1,0)</f>
        <v>#N/A</v>
      </c>
    </row>
    <row r="931" spans="1:8" ht="14.25" customHeight="1" x14ac:dyDescent="0.25">
      <c r="A931" s="3">
        <v>45625</v>
      </c>
      <c r="B931" s="43">
        <v>2024002723</v>
      </c>
      <c r="C931" s="4" t="s">
        <v>837</v>
      </c>
      <c r="D931" s="5">
        <v>2500000</v>
      </c>
      <c r="E931" s="4">
        <v>27309586</v>
      </c>
      <c r="F931" s="4" t="s">
        <v>345</v>
      </c>
      <c r="G931" t="s">
        <v>565</v>
      </c>
      <c r="H931" t="e">
        <f>VLOOKUP(C931,'[1]873'!$C$2:$C$711,1,0)</f>
        <v>#N/A</v>
      </c>
    </row>
    <row r="932" spans="1:8" ht="14.25" customHeight="1" x14ac:dyDescent="0.25">
      <c r="A932" s="3">
        <v>45625</v>
      </c>
      <c r="B932" s="43">
        <v>2024002724</v>
      </c>
      <c r="C932" s="4" t="s">
        <v>838</v>
      </c>
      <c r="D932" s="5">
        <v>3000000</v>
      </c>
      <c r="E932" s="4">
        <v>59310433</v>
      </c>
      <c r="F932" s="4" t="s">
        <v>839</v>
      </c>
      <c r="G932" t="s">
        <v>565</v>
      </c>
      <c r="H932" t="e">
        <f>VLOOKUP(C932,'[1]873'!$C$2:$C$711,1,0)</f>
        <v>#N/A</v>
      </c>
    </row>
    <row r="933" spans="1:8" ht="14.25" customHeight="1" x14ac:dyDescent="0.25">
      <c r="A933" s="3">
        <v>45625</v>
      </c>
      <c r="B933" s="43">
        <v>2024002725</v>
      </c>
      <c r="C933" s="4" t="s">
        <v>840</v>
      </c>
      <c r="D933" s="5">
        <v>3000000</v>
      </c>
      <c r="E933" s="4">
        <v>1233188273</v>
      </c>
      <c r="F933" s="4" t="s">
        <v>473</v>
      </c>
      <c r="G933" t="s">
        <v>565</v>
      </c>
      <c r="H933" t="e">
        <f>VLOOKUP(C933,'[1]873'!$C$2:$C$711,1,0)</f>
        <v>#N/A</v>
      </c>
    </row>
    <row r="934" spans="1:8" ht="14.25" customHeight="1" x14ac:dyDescent="0.25">
      <c r="A934" s="3">
        <v>45625</v>
      </c>
      <c r="B934" s="43">
        <v>2024002726</v>
      </c>
      <c r="C934" s="4" t="s">
        <v>841</v>
      </c>
      <c r="D934" s="5">
        <v>4825000</v>
      </c>
      <c r="E934" s="4">
        <v>1085265622</v>
      </c>
      <c r="F934" s="4" t="s">
        <v>460</v>
      </c>
      <c r="G934" t="s">
        <v>565</v>
      </c>
      <c r="H934" t="e">
        <f>VLOOKUP(C934,'[1]873'!$C$2:$C$711,1,0)</f>
        <v>#N/A</v>
      </c>
    </row>
    <row r="935" spans="1:8" ht="14.25" customHeight="1" x14ac:dyDescent="0.25">
      <c r="A935" s="3">
        <v>45625</v>
      </c>
      <c r="B935" s="43">
        <v>2024002727</v>
      </c>
      <c r="C935" s="4" t="s">
        <v>842</v>
      </c>
      <c r="D935" s="5">
        <v>3000000</v>
      </c>
      <c r="E935" s="4">
        <v>1010085543</v>
      </c>
      <c r="F935" s="4" t="s">
        <v>265</v>
      </c>
      <c r="G935" t="s">
        <v>565</v>
      </c>
      <c r="H935" t="e">
        <f>VLOOKUP(C935,'[1]873'!$C$2:$C$711,1,0)</f>
        <v>#N/A</v>
      </c>
    </row>
    <row r="936" spans="1:8" ht="14.25" customHeight="1" x14ac:dyDescent="0.25">
      <c r="A936" s="3">
        <v>45625</v>
      </c>
      <c r="B936" s="43">
        <v>2024002728</v>
      </c>
      <c r="C936" s="4" t="s">
        <v>843</v>
      </c>
      <c r="D936" s="5">
        <v>4825000</v>
      </c>
      <c r="E936" s="4">
        <v>1085321578</v>
      </c>
      <c r="F936" s="4" t="s">
        <v>275</v>
      </c>
      <c r="G936" t="s">
        <v>565</v>
      </c>
      <c r="H936" t="e">
        <f>VLOOKUP(C936,'[1]873'!$C$2:$C$711,1,0)</f>
        <v>#N/A</v>
      </c>
    </row>
    <row r="937" spans="1:8" ht="14.25" customHeight="1" x14ac:dyDescent="0.25">
      <c r="A937" s="3">
        <v>45625</v>
      </c>
      <c r="B937" s="43">
        <v>2024002729</v>
      </c>
      <c r="C937" s="4" t="s">
        <v>844</v>
      </c>
      <c r="D937" s="5">
        <v>6000000</v>
      </c>
      <c r="E937" s="4">
        <v>1085254153</v>
      </c>
      <c r="F937" s="4" t="s">
        <v>845</v>
      </c>
      <c r="G937" t="s">
        <v>565</v>
      </c>
      <c r="H937" t="e">
        <f>VLOOKUP(C937,'[1]873'!$C$2:$C$711,1,0)</f>
        <v>#N/A</v>
      </c>
    </row>
    <row r="938" spans="1:8" ht="14.25" customHeight="1" x14ac:dyDescent="0.25">
      <c r="A938" s="3">
        <v>45625</v>
      </c>
      <c r="B938" s="43">
        <v>2024002730</v>
      </c>
      <c r="C938" s="4" t="s">
        <v>846</v>
      </c>
      <c r="D938" s="5">
        <v>4825000</v>
      </c>
      <c r="E938" s="4">
        <v>1085269530</v>
      </c>
      <c r="F938" s="4" t="s">
        <v>333</v>
      </c>
      <c r="G938" t="s">
        <v>565</v>
      </c>
      <c r="H938" t="e">
        <f>VLOOKUP(C938,'[1]873'!$C$2:$C$711,1,0)</f>
        <v>#N/A</v>
      </c>
    </row>
    <row r="939" spans="1:8" ht="14.25" customHeight="1" x14ac:dyDescent="0.25">
      <c r="A939" s="3">
        <v>45625</v>
      </c>
      <c r="B939" s="43">
        <v>2024002731</v>
      </c>
      <c r="C939" s="4" t="s">
        <v>847</v>
      </c>
      <c r="D939" s="5">
        <v>2412500</v>
      </c>
      <c r="E939" s="4">
        <v>1085324891</v>
      </c>
      <c r="F939" s="4" t="s">
        <v>509</v>
      </c>
      <c r="G939" t="s">
        <v>565</v>
      </c>
      <c r="H939" t="e">
        <f>VLOOKUP(C939,'[1]873'!$C$2:$C$711,1,0)</f>
        <v>#N/A</v>
      </c>
    </row>
    <row r="940" spans="1:8" ht="14.25" customHeight="1" x14ac:dyDescent="0.25">
      <c r="A940" s="3">
        <v>45625</v>
      </c>
      <c r="B940" s="43">
        <v>2024002732</v>
      </c>
      <c r="C940" s="4" t="s">
        <v>848</v>
      </c>
      <c r="D940" s="5">
        <v>3000000</v>
      </c>
      <c r="E940" s="4">
        <v>1004299312</v>
      </c>
      <c r="F940" s="4" t="s">
        <v>849</v>
      </c>
      <c r="G940" t="s">
        <v>565</v>
      </c>
      <c r="H940" t="e">
        <f>VLOOKUP(C940,'[1]873'!$C$2:$C$711,1,0)</f>
        <v>#N/A</v>
      </c>
    </row>
    <row r="941" spans="1:8" ht="14.25" customHeight="1" x14ac:dyDescent="0.25">
      <c r="A941" s="3">
        <v>45625</v>
      </c>
      <c r="B941" s="43">
        <v>2024002733</v>
      </c>
      <c r="C941" s="4" t="s">
        <v>850</v>
      </c>
      <c r="D941" s="5">
        <v>3000000</v>
      </c>
      <c r="E941" s="4">
        <v>1004215136</v>
      </c>
      <c r="F941" s="4" t="s">
        <v>413</v>
      </c>
      <c r="G941" t="s">
        <v>565</v>
      </c>
      <c r="H941" t="e">
        <f>VLOOKUP(C941,'[1]873'!$C$2:$C$711,1,0)</f>
        <v>#N/A</v>
      </c>
    </row>
    <row r="942" spans="1:8" ht="14.25" customHeight="1" x14ac:dyDescent="0.25">
      <c r="A942" s="3">
        <v>45625</v>
      </c>
      <c r="B942" s="43">
        <v>2024002734</v>
      </c>
      <c r="C942" s="4" t="s">
        <v>851</v>
      </c>
      <c r="D942" s="5">
        <v>3000000</v>
      </c>
      <c r="E942" s="4">
        <v>1085344082</v>
      </c>
      <c r="F942" s="4" t="s">
        <v>291</v>
      </c>
      <c r="G942" t="s">
        <v>565</v>
      </c>
      <c r="H942" t="e">
        <f>VLOOKUP(C942,'[1]873'!$C$2:$C$711,1,0)</f>
        <v>#N/A</v>
      </c>
    </row>
    <row r="943" spans="1:8" ht="14.25" customHeight="1" x14ac:dyDescent="0.25">
      <c r="A943" s="3">
        <v>45625</v>
      </c>
      <c r="B943" s="43">
        <v>2024002735</v>
      </c>
      <c r="C943" s="4" t="s">
        <v>852</v>
      </c>
      <c r="D943" s="5">
        <v>2500000</v>
      </c>
      <c r="E943" s="4">
        <v>1085337465</v>
      </c>
      <c r="F943" s="4" t="s">
        <v>315</v>
      </c>
      <c r="G943" t="s">
        <v>565</v>
      </c>
      <c r="H943" t="e">
        <f>VLOOKUP(C943,'[1]873'!$C$2:$C$711,1,0)</f>
        <v>#N/A</v>
      </c>
    </row>
    <row r="944" spans="1:8" ht="14.25" customHeight="1" x14ac:dyDescent="0.25">
      <c r="A944" s="3">
        <v>45625</v>
      </c>
      <c r="B944" s="43">
        <v>2024002736</v>
      </c>
      <c r="C944" s="4" t="s">
        <v>853</v>
      </c>
      <c r="D944" s="5">
        <v>4825000</v>
      </c>
      <c r="E944" s="4">
        <v>1087643211</v>
      </c>
      <c r="F944" s="4" t="s">
        <v>131</v>
      </c>
      <c r="G944" t="s">
        <v>565</v>
      </c>
      <c r="H944" t="e">
        <f>VLOOKUP(C944,'[1]873'!$C$2:$C$711,1,0)</f>
        <v>#N/A</v>
      </c>
    </row>
    <row r="945" spans="1:8" ht="14.25" customHeight="1" x14ac:dyDescent="0.25">
      <c r="A945" s="3">
        <v>45625</v>
      </c>
      <c r="B945" s="43">
        <v>2024002737</v>
      </c>
      <c r="C945" s="4" t="s">
        <v>854</v>
      </c>
      <c r="D945" s="5">
        <v>3000000</v>
      </c>
      <c r="E945" s="4">
        <v>1085266584</v>
      </c>
      <c r="F945" s="4" t="s">
        <v>115</v>
      </c>
      <c r="G945" t="s">
        <v>565</v>
      </c>
      <c r="H945" t="e">
        <f>VLOOKUP(C945,'[1]873'!$C$2:$C$711,1,0)</f>
        <v>#N/A</v>
      </c>
    </row>
    <row r="946" spans="1:8" ht="14.25" customHeight="1" x14ac:dyDescent="0.25">
      <c r="A946" s="3">
        <v>45625</v>
      </c>
      <c r="B946" s="43">
        <v>2024002738</v>
      </c>
      <c r="C946" s="4" t="s">
        <v>855</v>
      </c>
      <c r="D946" s="5">
        <v>4750000</v>
      </c>
      <c r="E946" s="4">
        <v>1193383306</v>
      </c>
      <c r="F946" s="4" t="s">
        <v>267</v>
      </c>
      <c r="G946" t="s">
        <v>565</v>
      </c>
      <c r="H946" t="e">
        <f>VLOOKUP(C946,'[1]873'!$C$2:$C$711,1,0)</f>
        <v>#N/A</v>
      </c>
    </row>
    <row r="947" spans="1:8" ht="14.25" customHeight="1" x14ac:dyDescent="0.25">
      <c r="A947" s="3">
        <v>45625</v>
      </c>
      <c r="B947" s="43">
        <v>2024002739</v>
      </c>
      <c r="C947" s="4" t="s">
        <v>856</v>
      </c>
      <c r="D947" s="5">
        <v>2500000</v>
      </c>
      <c r="E947" s="4">
        <v>1086016308</v>
      </c>
      <c r="F947" s="4" t="s">
        <v>305</v>
      </c>
      <c r="G947" t="s">
        <v>565</v>
      </c>
      <c r="H947" t="e">
        <f>VLOOKUP(C947,'[1]873'!$C$2:$C$711,1,0)</f>
        <v>#N/A</v>
      </c>
    </row>
    <row r="948" spans="1:8" ht="14.25" customHeight="1" x14ac:dyDescent="0.25">
      <c r="A948" s="3">
        <v>45625</v>
      </c>
      <c r="B948" s="43">
        <v>2024002740</v>
      </c>
      <c r="C948" s="4" t="s">
        <v>857</v>
      </c>
      <c r="D948" s="5">
        <v>1250000</v>
      </c>
      <c r="E948" s="4">
        <v>37082480</v>
      </c>
      <c r="F948" s="4" t="s">
        <v>858</v>
      </c>
      <c r="G948" t="s">
        <v>565</v>
      </c>
      <c r="H948" t="e">
        <f>VLOOKUP(C948,'[1]873'!$C$2:$C$711,1,0)</f>
        <v>#N/A</v>
      </c>
    </row>
    <row r="949" spans="1:8" ht="14.25" customHeight="1" x14ac:dyDescent="0.25">
      <c r="A949" s="3">
        <v>45625</v>
      </c>
      <c r="B949" s="43">
        <v>2024002741</v>
      </c>
      <c r="C949" s="4" t="s">
        <v>859</v>
      </c>
      <c r="D949" s="5">
        <v>3000000</v>
      </c>
      <c r="E949" s="4">
        <v>1014857280</v>
      </c>
      <c r="F949" s="4" t="s">
        <v>233</v>
      </c>
      <c r="G949" t="s">
        <v>565</v>
      </c>
      <c r="H949" t="e">
        <f>VLOOKUP(C949,'[1]873'!$C$2:$C$711,1,0)</f>
        <v>#N/A</v>
      </c>
    </row>
    <row r="950" spans="1:8" ht="14.25" customHeight="1" x14ac:dyDescent="0.25">
      <c r="A950" s="3">
        <v>45625</v>
      </c>
      <c r="B950" s="43">
        <v>2024002742</v>
      </c>
      <c r="C950" s="4" t="s">
        <v>860</v>
      </c>
      <c r="D950" s="5">
        <v>6000000</v>
      </c>
      <c r="E950" s="4">
        <v>1085337232</v>
      </c>
      <c r="F950" s="4" t="s">
        <v>89</v>
      </c>
      <c r="G950" t="s">
        <v>565</v>
      </c>
      <c r="H950" t="e">
        <f>VLOOKUP(C950,'[1]873'!$C$2:$C$711,1,0)</f>
        <v>#N/A</v>
      </c>
    </row>
    <row r="951" spans="1:8" ht="14.25" customHeight="1" x14ac:dyDescent="0.25">
      <c r="A951" s="3">
        <v>45625</v>
      </c>
      <c r="B951" s="43">
        <v>2024002743</v>
      </c>
      <c r="C951" s="4" t="s">
        <v>861</v>
      </c>
      <c r="D951" s="5">
        <v>3000000</v>
      </c>
      <c r="E951" s="4">
        <v>1193271854</v>
      </c>
      <c r="F951" s="4" t="s">
        <v>229</v>
      </c>
      <c r="G951" t="s">
        <v>565</v>
      </c>
      <c r="H951" t="e">
        <f>VLOOKUP(C951,'[1]873'!$C$2:$C$711,1,0)</f>
        <v>#N/A</v>
      </c>
    </row>
    <row r="952" spans="1:8" ht="14.25" customHeight="1" x14ac:dyDescent="0.25">
      <c r="A952" s="3">
        <v>45625</v>
      </c>
      <c r="B952" s="43">
        <v>2024002744</v>
      </c>
      <c r="C952" s="4" t="s">
        <v>862</v>
      </c>
      <c r="D952" s="5">
        <v>3000000</v>
      </c>
      <c r="E952" s="4">
        <v>1085300095</v>
      </c>
      <c r="F952" s="4" t="s">
        <v>201</v>
      </c>
      <c r="G952" t="s">
        <v>565</v>
      </c>
      <c r="H952" t="e">
        <f>VLOOKUP(C952,'[1]873'!$C$2:$C$711,1,0)</f>
        <v>#N/A</v>
      </c>
    </row>
    <row r="953" spans="1:8" ht="14.25" customHeight="1" x14ac:dyDescent="0.25">
      <c r="A953" s="3">
        <v>45625</v>
      </c>
      <c r="B953" s="43">
        <v>2024002745</v>
      </c>
      <c r="C953" s="4" t="s">
        <v>863</v>
      </c>
      <c r="D953" s="5">
        <v>7540000</v>
      </c>
      <c r="E953" s="4">
        <v>1085255870</v>
      </c>
      <c r="F953" s="4" t="s">
        <v>864</v>
      </c>
      <c r="G953" t="s">
        <v>565</v>
      </c>
      <c r="H953" t="e">
        <f>VLOOKUP(C953,'[1]873'!$C$2:$C$711,1,0)</f>
        <v>#N/A</v>
      </c>
    </row>
    <row r="954" spans="1:8" ht="14.25" customHeight="1" x14ac:dyDescent="0.25">
      <c r="A954" s="3">
        <v>45625</v>
      </c>
      <c r="B954" s="43">
        <v>2024002746</v>
      </c>
      <c r="C954" s="4" t="s">
        <v>865</v>
      </c>
      <c r="D954" s="5">
        <v>1250000</v>
      </c>
      <c r="E954" s="4">
        <v>1085281545</v>
      </c>
      <c r="F954" s="4" t="s">
        <v>866</v>
      </c>
      <c r="G954" t="s">
        <v>565</v>
      </c>
      <c r="H954" t="e">
        <f>VLOOKUP(C954,'[1]873'!$C$2:$C$711,1,0)</f>
        <v>#N/A</v>
      </c>
    </row>
    <row r="955" spans="1:8" ht="14.25" customHeight="1" x14ac:dyDescent="0.25">
      <c r="A955" s="3">
        <v>45625</v>
      </c>
      <c r="B955" s="43">
        <v>2024002747</v>
      </c>
      <c r="C955" s="4" t="s">
        <v>867</v>
      </c>
      <c r="D955" s="5">
        <v>4825000</v>
      </c>
      <c r="E955" s="4">
        <v>1085291221</v>
      </c>
      <c r="F955" s="4" t="s">
        <v>93</v>
      </c>
      <c r="G955" t="s">
        <v>565</v>
      </c>
      <c r="H955" t="e">
        <f>VLOOKUP(C955,'[1]873'!$C$2:$C$711,1,0)</f>
        <v>#N/A</v>
      </c>
    </row>
    <row r="956" spans="1:8" ht="14.25" customHeight="1" x14ac:dyDescent="0.25">
      <c r="A956" s="3">
        <v>45625</v>
      </c>
      <c r="B956" s="43">
        <v>2024002748</v>
      </c>
      <c r="C956" s="4" t="s">
        <v>868</v>
      </c>
      <c r="D956" s="5">
        <v>4825000</v>
      </c>
      <c r="E956" s="4">
        <v>30733517</v>
      </c>
      <c r="F956" s="4" t="s">
        <v>53</v>
      </c>
      <c r="G956" t="s">
        <v>565</v>
      </c>
      <c r="H956" t="e">
        <f>VLOOKUP(C956,'[1]873'!$C$2:$C$711,1,0)</f>
        <v>#N/A</v>
      </c>
    </row>
    <row r="957" spans="1:8" ht="14.25" customHeight="1" x14ac:dyDescent="0.25">
      <c r="A957" s="3">
        <v>45625</v>
      </c>
      <c r="B957" s="43">
        <v>2024002749</v>
      </c>
      <c r="C957" s="4" t="s">
        <v>869</v>
      </c>
      <c r="D957" s="5">
        <v>3000000</v>
      </c>
      <c r="E957" s="4">
        <v>1004410201</v>
      </c>
      <c r="F957" s="4" t="s">
        <v>403</v>
      </c>
      <c r="G957" t="s">
        <v>565</v>
      </c>
      <c r="H957" t="e">
        <f>VLOOKUP(C957,'[1]873'!$C$2:$C$711,1,0)</f>
        <v>#N/A</v>
      </c>
    </row>
    <row r="958" spans="1:8" ht="14.25" customHeight="1" x14ac:dyDescent="0.25">
      <c r="A958" s="3">
        <v>45625</v>
      </c>
      <c r="B958" s="43">
        <v>2024002750</v>
      </c>
      <c r="C958" s="4" t="s">
        <v>870</v>
      </c>
      <c r="D958" s="5">
        <v>2500000</v>
      </c>
      <c r="E958" s="4">
        <v>1081273343</v>
      </c>
      <c r="F958" s="4" t="s">
        <v>339</v>
      </c>
      <c r="G958" t="s">
        <v>565</v>
      </c>
      <c r="H958" t="e">
        <f>VLOOKUP(C958,'[1]873'!$C$2:$C$711,1,0)</f>
        <v>#N/A</v>
      </c>
    </row>
    <row r="959" spans="1:8" ht="14.25" customHeight="1" x14ac:dyDescent="0.25">
      <c r="A959" s="3">
        <v>45629</v>
      </c>
      <c r="B959" s="43">
        <v>2024002757</v>
      </c>
      <c r="C959" s="4" t="s">
        <v>871</v>
      </c>
      <c r="D959" s="5">
        <v>7540000</v>
      </c>
      <c r="E959" s="4">
        <v>12961407</v>
      </c>
      <c r="F959" s="4" t="s">
        <v>309</v>
      </c>
      <c r="G959" t="s">
        <v>565</v>
      </c>
      <c r="H959" t="e">
        <f>VLOOKUP(C959,'[1]873'!$C$2:$C$711,1,0)</f>
        <v>#N/A</v>
      </c>
    </row>
    <row r="960" spans="1:8" ht="14.25" customHeight="1" x14ac:dyDescent="0.25">
      <c r="A960" s="3">
        <v>45629</v>
      </c>
      <c r="B960" s="43">
        <v>2024002758</v>
      </c>
      <c r="C960" s="4" t="s">
        <v>872</v>
      </c>
      <c r="D960" s="5">
        <v>3000000</v>
      </c>
      <c r="E960" s="4">
        <v>1085250095</v>
      </c>
      <c r="F960" s="4" t="s">
        <v>179</v>
      </c>
      <c r="G960" t="s">
        <v>565</v>
      </c>
      <c r="H960" t="e">
        <f>VLOOKUP(C960,'[1]873'!$C$2:$C$711,1,0)</f>
        <v>#N/A</v>
      </c>
    </row>
    <row r="961" spans="1:8" ht="14.25" customHeight="1" x14ac:dyDescent="0.25">
      <c r="A961" s="3">
        <v>45629</v>
      </c>
      <c r="B961" s="43">
        <v>2024002759</v>
      </c>
      <c r="C961" s="4" t="s">
        <v>873</v>
      </c>
      <c r="D961" s="5">
        <v>4750000</v>
      </c>
      <c r="E961" s="4">
        <v>1085318201</v>
      </c>
      <c r="F961" s="4" t="s">
        <v>235</v>
      </c>
      <c r="G961" t="s">
        <v>565</v>
      </c>
      <c r="H961" t="e">
        <f>VLOOKUP(C961,'[1]873'!$C$2:$C$711,1,0)</f>
        <v>#N/A</v>
      </c>
    </row>
    <row r="962" spans="1:8" ht="14.25" customHeight="1" x14ac:dyDescent="0.25">
      <c r="A962" s="3">
        <v>45629</v>
      </c>
      <c r="B962" s="43">
        <v>2024002760</v>
      </c>
      <c r="C962" s="4" t="s">
        <v>874</v>
      </c>
      <c r="D962" s="5">
        <v>800000</v>
      </c>
      <c r="E962" s="4">
        <v>27088197</v>
      </c>
      <c r="F962" s="4" t="s">
        <v>875</v>
      </c>
      <c r="G962" t="s">
        <v>565</v>
      </c>
      <c r="H962" t="e">
        <f>VLOOKUP(C962,'[1]873'!$C$2:$C$711,1,0)</f>
        <v>#N/A</v>
      </c>
    </row>
    <row r="963" spans="1:8" ht="14.25" customHeight="1" x14ac:dyDescent="0.25">
      <c r="A963" s="3">
        <v>45629</v>
      </c>
      <c r="B963" s="43">
        <v>2024002761</v>
      </c>
      <c r="C963" s="4" t="s">
        <v>876</v>
      </c>
      <c r="D963" s="5">
        <v>4825000</v>
      </c>
      <c r="E963" s="4">
        <v>59314451</v>
      </c>
      <c r="F963" s="4" t="s">
        <v>141</v>
      </c>
      <c r="G963" t="s">
        <v>565</v>
      </c>
      <c r="H963" t="e">
        <f>VLOOKUP(C963,'[1]873'!$C$2:$C$711,1,0)</f>
        <v>#N/A</v>
      </c>
    </row>
    <row r="964" spans="1:8" ht="14.25" customHeight="1" x14ac:dyDescent="0.25">
      <c r="A964" s="3">
        <v>45629</v>
      </c>
      <c r="B964" s="43">
        <v>2024002777</v>
      </c>
      <c r="C964" s="4" t="s">
        <v>877</v>
      </c>
      <c r="D964" s="5">
        <v>3000000</v>
      </c>
      <c r="E964" s="4">
        <v>87070661</v>
      </c>
      <c r="F964" s="4" t="s">
        <v>185</v>
      </c>
      <c r="G964" t="s">
        <v>565</v>
      </c>
      <c r="H964" t="e">
        <f>VLOOKUP(C964,'[1]873'!$C$2:$C$711,1,0)</f>
        <v>#N/A</v>
      </c>
    </row>
    <row r="965" spans="1:8" ht="14.25" customHeight="1" x14ac:dyDescent="0.25">
      <c r="A965" s="3">
        <v>45629</v>
      </c>
      <c r="B965" s="43">
        <v>2024002778</v>
      </c>
      <c r="C965" s="4" t="s">
        <v>878</v>
      </c>
      <c r="D965" s="5">
        <v>3000000</v>
      </c>
      <c r="E965" s="4">
        <v>1085338575</v>
      </c>
      <c r="F965" s="4" t="s">
        <v>227</v>
      </c>
      <c r="G965" t="s">
        <v>565</v>
      </c>
      <c r="H965" t="e">
        <f>VLOOKUP(C965,'[1]873'!$C$2:$C$711,1,0)</f>
        <v>#N/A</v>
      </c>
    </row>
    <row r="966" spans="1:8" ht="14.25" customHeight="1" x14ac:dyDescent="0.25">
      <c r="A966" s="3">
        <v>45629</v>
      </c>
      <c r="B966" s="43">
        <v>2024002779</v>
      </c>
      <c r="C966" s="4" t="s">
        <v>879</v>
      </c>
      <c r="D966" s="5">
        <v>2500000</v>
      </c>
      <c r="E966" s="4">
        <v>30737741</v>
      </c>
      <c r="F966" s="4" t="s">
        <v>199</v>
      </c>
      <c r="G966" t="s">
        <v>565</v>
      </c>
      <c r="H966" t="e">
        <f>VLOOKUP(C966,'[1]873'!$C$2:$C$711,1,0)</f>
        <v>#N/A</v>
      </c>
    </row>
    <row r="967" spans="1:8" ht="14.25" customHeight="1" x14ac:dyDescent="0.25">
      <c r="A967" s="3">
        <v>45629</v>
      </c>
      <c r="B967" s="43">
        <v>2024002780</v>
      </c>
      <c r="C967" s="4" t="s">
        <v>880</v>
      </c>
      <c r="D967" s="5">
        <v>3000000</v>
      </c>
      <c r="E967" s="4">
        <v>1085323101</v>
      </c>
      <c r="F967" s="4" t="s">
        <v>73</v>
      </c>
      <c r="G967" t="s">
        <v>565</v>
      </c>
      <c r="H967" t="e">
        <f>VLOOKUP(C967,'[1]873'!$C$2:$C$711,1,0)</f>
        <v>#N/A</v>
      </c>
    </row>
    <row r="968" spans="1:8" ht="14.25" customHeight="1" x14ac:dyDescent="0.25">
      <c r="A968" s="3">
        <v>45629</v>
      </c>
      <c r="B968" s="43">
        <v>2024002781</v>
      </c>
      <c r="C968" s="4" t="s">
        <v>881</v>
      </c>
      <c r="D968" s="5">
        <v>4750000</v>
      </c>
      <c r="E968" s="4">
        <v>1085318684</v>
      </c>
      <c r="F968" s="4" t="s">
        <v>355</v>
      </c>
      <c r="G968" t="s">
        <v>565</v>
      </c>
      <c r="H968" t="e">
        <f>VLOOKUP(C968,'[1]873'!$C$2:$C$711,1,0)</f>
        <v>#N/A</v>
      </c>
    </row>
    <row r="969" spans="1:8" ht="14.25" customHeight="1" x14ac:dyDescent="0.25">
      <c r="A969" s="3">
        <v>45629</v>
      </c>
      <c r="B969" s="43">
        <v>2024002782</v>
      </c>
      <c r="C969" s="4" t="s">
        <v>882</v>
      </c>
      <c r="D969" s="5">
        <v>3000000</v>
      </c>
      <c r="E969" s="4">
        <v>5930737</v>
      </c>
      <c r="F969" s="4" t="s">
        <v>213</v>
      </c>
      <c r="G969" t="s">
        <v>565</v>
      </c>
      <c r="H969" t="e">
        <f>VLOOKUP(C969,'[1]873'!$C$2:$C$711,1,0)</f>
        <v>#N/A</v>
      </c>
    </row>
    <row r="970" spans="1:8" ht="14.25" customHeight="1" x14ac:dyDescent="0.25">
      <c r="A970" s="3">
        <v>45629</v>
      </c>
      <c r="B970" s="43">
        <v>2024002783</v>
      </c>
      <c r="C970" s="4" t="s">
        <v>883</v>
      </c>
      <c r="D970" s="5">
        <v>3000000</v>
      </c>
      <c r="E970" s="4">
        <v>37083086</v>
      </c>
      <c r="F970" s="4" t="s">
        <v>884</v>
      </c>
      <c r="G970" t="s">
        <v>565</v>
      </c>
      <c r="H970" t="e">
        <f>VLOOKUP(C970,'[1]873'!$C$2:$C$711,1,0)</f>
        <v>#N/A</v>
      </c>
    </row>
    <row r="971" spans="1:8" ht="14.25" customHeight="1" x14ac:dyDescent="0.25">
      <c r="A971" s="3">
        <v>45629</v>
      </c>
      <c r="B971" s="43">
        <v>2024002784</v>
      </c>
      <c r="C971" s="4" t="s">
        <v>885</v>
      </c>
      <c r="D971" s="5">
        <v>3000000</v>
      </c>
      <c r="E971" s="4">
        <v>1084224968</v>
      </c>
      <c r="F971" s="4" t="s">
        <v>886</v>
      </c>
      <c r="G971" t="s">
        <v>565</v>
      </c>
      <c r="H971" t="e">
        <f>VLOOKUP(C971,'[1]873'!$C$2:$C$711,1,0)</f>
        <v>#N/A</v>
      </c>
    </row>
    <row r="972" spans="1:8" ht="14.25" customHeight="1" x14ac:dyDescent="0.25">
      <c r="A972" s="3">
        <v>45629</v>
      </c>
      <c r="B972" s="43">
        <v>2024002785</v>
      </c>
      <c r="C972" s="4" t="s">
        <v>887</v>
      </c>
      <c r="D972" s="5">
        <v>3000000</v>
      </c>
      <c r="E972" s="4">
        <v>1004234290</v>
      </c>
      <c r="F972" s="4" t="s">
        <v>237</v>
      </c>
      <c r="G972" t="s">
        <v>565</v>
      </c>
      <c r="H972" t="e">
        <f>VLOOKUP(C972,'[1]873'!$C$2:$C$711,1,0)</f>
        <v>#N/A</v>
      </c>
    </row>
    <row r="973" spans="1:8" ht="14.25" customHeight="1" x14ac:dyDescent="0.25">
      <c r="A973" s="3">
        <v>45629</v>
      </c>
      <c r="B973" s="43">
        <v>2024002786</v>
      </c>
      <c r="C973" s="4" t="s">
        <v>888</v>
      </c>
      <c r="D973" s="5">
        <v>3770000</v>
      </c>
      <c r="E973" s="4">
        <v>1233193882</v>
      </c>
      <c r="F973" s="4" t="s">
        <v>889</v>
      </c>
      <c r="G973" t="s">
        <v>565</v>
      </c>
      <c r="H973" t="e">
        <f>VLOOKUP(C973,'[1]873'!$C$2:$C$711,1,0)</f>
        <v>#N/A</v>
      </c>
    </row>
    <row r="974" spans="1:8" ht="14.25" customHeight="1" x14ac:dyDescent="0.25">
      <c r="A974" s="3">
        <v>45629</v>
      </c>
      <c r="B974" s="43">
        <v>2024002787</v>
      </c>
      <c r="C974" s="4" t="s">
        <v>890</v>
      </c>
      <c r="D974" s="5">
        <v>3000000</v>
      </c>
      <c r="E974" s="4">
        <v>1085277516</v>
      </c>
      <c r="F974" s="4" t="s">
        <v>891</v>
      </c>
      <c r="G974" t="s">
        <v>565</v>
      </c>
      <c r="H974" t="e">
        <f>VLOOKUP(C974,'[1]873'!$C$2:$C$711,1,0)</f>
        <v>#N/A</v>
      </c>
    </row>
    <row r="975" spans="1:8" ht="14.25" customHeight="1" x14ac:dyDescent="0.25">
      <c r="A975" s="3">
        <v>45629</v>
      </c>
      <c r="B975" s="43">
        <v>2024002788</v>
      </c>
      <c r="C975" s="4" t="s">
        <v>892</v>
      </c>
      <c r="D975" s="5">
        <v>3000000</v>
      </c>
      <c r="E975" s="4">
        <v>13070330</v>
      </c>
      <c r="F975" s="4" t="s">
        <v>101</v>
      </c>
      <c r="G975" t="s">
        <v>565</v>
      </c>
      <c r="H975" t="e">
        <f>VLOOKUP(C975,'[1]873'!$C$2:$C$711,1,0)</f>
        <v>#N/A</v>
      </c>
    </row>
    <row r="976" spans="1:8" ht="14.25" customHeight="1" x14ac:dyDescent="0.25">
      <c r="A976" s="3">
        <v>45629</v>
      </c>
      <c r="B976" s="43">
        <v>2024002789</v>
      </c>
      <c r="C976" s="4" t="s">
        <v>893</v>
      </c>
      <c r="D976" s="5">
        <v>6000000</v>
      </c>
      <c r="E976" s="4">
        <v>97470681</v>
      </c>
      <c r="F976" s="4" t="s">
        <v>329</v>
      </c>
      <c r="G976" t="s">
        <v>565</v>
      </c>
      <c r="H976" t="e">
        <f>VLOOKUP(C976,'[1]873'!$C$2:$C$711,1,0)</f>
        <v>#N/A</v>
      </c>
    </row>
    <row r="977" spans="1:8" ht="14.25" customHeight="1" x14ac:dyDescent="0.25">
      <c r="A977" s="3">
        <v>45629</v>
      </c>
      <c r="B977" s="43">
        <v>2024002790</v>
      </c>
      <c r="C977" s="4" t="s">
        <v>894</v>
      </c>
      <c r="D977" s="5">
        <v>6000000</v>
      </c>
      <c r="E977" s="4">
        <v>1085272491</v>
      </c>
      <c r="F977" s="4" t="s">
        <v>895</v>
      </c>
      <c r="G977" t="s">
        <v>565</v>
      </c>
      <c r="H977" t="e">
        <f>VLOOKUP(C977,'[1]873'!$C$2:$C$711,1,0)</f>
        <v>#N/A</v>
      </c>
    </row>
    <row r="978" spans="1:8" ht="14.25" customHeight="1" x14ac:dyDescent="0.25">
      <c r="A978" s="3">
        <v>45630</v>
      </c>
      <c r="B978" s="43">
        <v>2024002795</v>
      </c>
      <c r="C978" s="4" t="s">
        <v>896</v>
      </c>
      <c r="D978" s="5">
        <v>4825000</v>
      </c>
      <c r="E978" s="4">
        <v>59310622</v>
      </c>
      <c r="F978" s="4" t="s">
        <v>897</v>
      </c>
      <c r="G978" t="s">
        <v>565</v>
      </c>
      <c r="H978" t="e">
        <f>VLOOKUP(C978,'[1]873'!$C$2:$C$711,1,0)</f>
        <v>#N/A</v>
      </c>
    </row>
    <row r="979" spans="1:8" ht="14.25" customHeight="1" x14ac:dyDescent="0.25">
      <c r="A979" s="3">
        <v>45630</v>
      </c>
      <c r="B979" s="43">
        <v>2024002796</v>
      </c>
      <c r="C979" s="4" t="s">
        <v>898</v>
      </c>
      <c r="D979" s="5">
        <v>4750000</v>
      </c>
      <c r="E979" s="4">
        <v>1085325342</v>
      </c>
      <c r="F979" s="4" t="s">
        <v>23</v>
      </c>
      <c r="G979" t="s">
        <v>565</v>
      </c>
      <c r="H979" t="e">
        <f>VLOOKUP(C979,'[1]873'!$C$2:$C$711,1,0)</f>
        <v>#N/A</v>
      </c>
    </row>
    <row r="980" spans="1:8" ht="14.25" customHeight="1" x14ac:dyDescent="0.25">
      <c r="A980" s="3">
        <v>45630</v>
      </c>
      <c r="B980" s="43">
        <v>2024002797</v>
      </c>
      <c r="C980" s="4" t="s">
        <v>899</v>
      </c>
      <c r="D980" s="5">
        <v>4750000</v>
      </c>
      <c r="E980" s="4">
        <v>36950073</v>
      </c>
      <c r="F980" s="4" t="s">
        <v>900</v>
      </c>
      <c r="G980" t="s">
        <v>565</v>
      </c>
      <c r="H980" t="e">
        <f>VLOOKUP(C980,'[1]873'!$C$2:$C$711,1,0)</f>
        <v>#N/A</v>
      </c>
    </row>
    <row r="981" spans="1:8" ht="14.25" customHeight="1" x14ac:dyDescent="0.25">
      <c r="A981" s="3">
        <v>45630</v>
      </c>
      <c r="B981" s="43">
        <v>2024002798</v>
      </c>
      <c r="C981" s="4" t="s">
        <v>901</v>
      </c>
      <c r="D981" s="5">
        <v>1500000</v>
      </c>
      <c r="E981" s="4">
        <v>1004235479</v>
      </c>
      <c r="F981" s="4" t="s">
        <v>477</v>
      </c>
      <c r="G981" t="s">
        <v>565</v>
      </c>
      <c r="H981" t="e">
        <f>VLOOKUP(C981,'[1]873'!$C$2:$C$711,1,0)</f>
        <v>#N/A</v>
      </c>
    </row>
    <row r="982" spans="1:8" ht="14.25" customHeight="1" x14ac:dyDescent="0.25">
      <c r="A982" s="3">
        <v>45630</v>
      </c>
      <c r="B982" s="43">
        <v>2024002799</v>
      </c>
      <c r="C982" s="4" t="s">
        <v>902</v>
      </c>
      <c r="D982" s="5">
        <v>3000000</v>
      </c>
      <c r="E982" s="4">
        <v>1080043348</v>
      </c>
      <c r="F982" s="4" t="s">
        <v>903</v>
      </c>
      <c r="G982" t="s">
        <v>565</v>
      </c>
      <c r="H982" t="e">
        <f>VLOOKUP(C982,'[1]873'!$C$2:$C$711,1,0)</f>
        <v>#N/A</v>
      </c>
    </row>
    <row r="983" spans="1:8" ht="14.25" customHeight="1" x14ac:dyDescent="0.25">
      <c r="A983" s="3">
        <v>45630</v>
      </c>
      <c r="B983" s="43">
        <v>2024002800</v>
      </c>
      <c r="C983" s="4" t="s">
        <v>904</v>
      </c>
      <c r="D983" s="5">
        <v>3000000</v>
      </c>
      <c r="E983" s="4">
        <v>1193224810</v>
      </c>
      <c r="F983" s="4" t="s">
        <v>409</v>
      </c>
      <c r="G983" t="s">
        <v>565</v>
      </c>
      <c r="H983" t="e">
        <f>VLOOKUP(C983,'[1]873'!$C$2:$C$711,1,0)</f>
        <v>#N/A</v>
      </c>
    </row>
    <row r="984" spans="1:8" ht="14.25" customHeight="1" x14ac:dyDescent="0.25">
      <c r="A984" s="3">
        <v>45630</v>
      </c>
      <c r="B984" s="43">
        <v>2024002801</v>
      </c>
      <c r="C984" s="4" t="s">
        <v>905</v>
      </c>
      <c r="D984" s="5">
        <v>3000000</v>
      </c>
      <c r="E984" s="4">
        <v>1085302942</v>
      </c>
      <c r="F984" s="4" t="s">
        <v>417</v>
      </c>
      <c r="G984" t="s">
        <v>565</v>
      </c>
      <c r="H984" t="e">
        <f>VLOOKUP(C984,'[1]873'!$C$2:$C$711,1,0)</f>
        <v>#N/A</v>
      </c>
    </row>
    <row r="985" spans="1:8" ht="14.25" customHeight="1" x14ac:dyDescent="0.25">
      <c r="A985" s="3">
        <v>45630</v>
      </c>
      <c r="B985" s="43">
        <v>2024002802</v>
      </c>
      <c r="C985" s="4" t="s">
        <v>906</v>
      </c>
      <c r="D985" s="5">
        <v>1500000</v>
      </c>
      <c r="E985" s="4">
        <v>1004216993</v>
      </c>
      <c r="F985" s="4" t="s">
        <v>511</v>
      </c>
      <c r="G985" t="s">
        <v>565</v>
      </c>
      <c r="H985" t="e">
        <f>VLOOKUP(C985,'[1]873'!$C$2:$C$711,1,0)</f>
        <v>#N/A</v>
      </c>
    </row>
    <row r="986" spans="1:8" ht="14.25" customHeight="1" x14ac:dyDescent="0.25">
      <c r="A986" s="3">
        <v>45630</v>
      </c>
      <c r="B986" s="43">
        <v>2024002803</v>
      </c>
      <c r="C986" s="4" t="s">
        <v>907</v>
      </c>
      <c r="D986" s="5">
        <v>3000000</v>
      </c>
      <c r="E986" s="4">
        <v>1004131723</v>
      </c>
      <c r="F986" s="4" t="s">
        <v>908</v>
      </c>
      <c r="G986" t="s">
        <v>565</v>
      </c>
      <c r="H986" t="e">
        <f>VLOOKUP(C986,'[1]873'!$C$2:$C$711,1,0)</f>
        <v>#N/A</v>
      </c>
    </row>
    <row r="987" spans="1:8" ht="14.25" customHeight="1" x14ac:dyDescent="0.25">
      <c r="A987" s="3">
        <v>45630</v>
      </c>
      <c r="B987" s="43">
        <v>2024002804</v>
      </c>
      <c r="C987" s="4" t="s">
        <v>909</v>
      </c>
      <c r="D987" s="5">
        <v>7540000</v>
      </c>
      <c r="E987" s="4">
        <v>1085312978</v>
      </c>
      <c r="F987" s="4" t="s">
        <v>910</v>
      </c>
      <c r="G987" t="s">
        <v>565</v>
      </c>
      <c r="H987" t="e">
        <f>VLOOKUP(C987,'[1]873'!$C$2:$C$711,1,0)</f>
        <v>#N/A</v>
      </c>
    </row>
    <row r="988" spans="1:8" ht="14.25" customHeight="1" x14ac:dyDescent="0.25">
      <c r="A988" s="3">
        <v>45630</v>
      </c>
      <c r="B988" s="43">
        <v>2024002805</v>
      </c>
      <c r="C988" s="4" t="s">
        <v>911</v>
      </c>
      <c r="D988" s="5">
        <v>2500000</v>
      </c>
      <c r="E988" s="4">
        <v>13072447</v>
      </c>
      <c r="F988" s="4" t="s">
        <v>205</v>
      </c>
      <c r="G988" t="s">
        <v>565</v>
      </c>
      <c r="H988" t="e">
        <f>VLOOKUP(C988,'[1]873'!$C$2:$C$711,1,0)</f>
        <v>#N/A</v>
      </c>
    </row>
    <row r="989" spans="1:8" ht="14.25" customHeight="1" x14ac:dyDescent="0.25">
      <c r="A989" s="3">
        <v>45630</v>
      </c>
      <c r="B989" s="43">
        <v>2024002806</v>
      </c>
      <c r="C989" s="4" t="s">
        <v>912</v>
      </c>
      <c r="D989" s="5">
        <v>2500000</v>
      </c>
      <c r="E989" s="4">
        <v>1085338135</v>
      </c>
      <c r="F989" s="4" t="s">
        <v>369</v>
      </c>
      <c r="G989" t="s">
        <v>565</v>
      </c>
      <c r="H989" t="e">
        <f>VLOOKUP(C989,'[1]873'!$C$2:$C$711,1,0)</f>
        <v>#N/A</v>
      </c>
    </row>
    <row r="990" spans="1:8" ht="14.25" customHeight="1" x14ac:dyDescent="0.25">
      <c r="A990" s="3">
        <v>45630</v>
      </c>
      <c r="B990" s="43">
        <v>2024002807</v>
      </c>
      <c r="C990" s="4" t="s">
        <v>913</v>
      </c>
      <c r="D990" s="5">
        <v>4750000</v>
      </c>
      <c r="E990" s="4">
        <v>36953206</v>
      </c>
      <c r="F990" s="4" t="s">
        <v>391</v>
      </c>
      <c r="G990" t="s">
        <v>565</v>
      </c>
      <c r="H990" t="e">
        <f>VLOOKUP(C990,'[1]873'!$C$2:$C$711,1,0)</f>
        <v>#N/A</v>
      </c>
    </row>
    <row r="991" spans="1:8" ht="14.25" customHeight="1" x14ac:dyDescent="0.25">
      <c r="A991" s="3">
        <v>45630</v>
      </c>
      <c r="B991" s="43">
        <v>2024002810</v>
      </c>
      <c r="C991" s="4" t="s">
        <v>609</v>
      </c>
      <c r="D991" s="5">
        <v>6000000</v>
      </c>
      <c r="E991" s="4">
        <v>1085275879</v>
      </c>
      <c r="F991" s="4" t="s">
        <v>117</v>
      </c>
      <c r="G991" t="s">
        <v>565</v>
      </c>
      <c r="H991" t="e">
        <f>VLOOKUP(C991,'[1]873'!$C$2:$C$711,1,0)</f>
        <v>#N/A</v>
      </c>
    </row>
    <row r="992" spans="1:8" ht="14.25" customHeight="1" x14ac:dyDescent="0.25">
      <c r="A992" s="3">
        <v>45631</v>
      </c>
      <c r="B992" s="43">
        <v>2024002815</v>
      </c>
      <c r="C992" s="4" t="s">
        <v>914</v>
      </c>
      <c r="D992" s="5">
        <v>4750000</v>
      </c>
      <c r="E992" s="4">
        <v>1018492767</v>
      </c>
      <c r="F992" s="4" t="s">
        <v>915</v>
      </c>
      <c r="G992" t="s">
        <v>565</v>
      </c>
      <c r="H992" t="e">
        <f>VLOOKUP(C992,'[1]873'!$C$2:$C$711,1,0)</f>
        <v>#N/A</v>
      </c>
    </row>
    <row r="993" spans="1:8" ht="14.25" customHeight="1" x14ac:dyDescent="0.25">
      <c r="A993" s="3">
        <v>45631</v>
      </c>
      <c r="B993" s="43">
        <v>2024002821</v>
      </c>
      <c r="C993" s="4" t="s">
        <v>916</v>
      </c>
      <c r="D993" s="5">
        <v>3000000</v>
      </c>
      <c r="E993" s="4">
        <v>30743783</v>
      </c>
      <c r="F993" s="4" t="s">
        <v>504</v>
      </c>
      <c r="G993" t="s">
        <v>565</v>
      </c>
      <c r="H993" t="e">
        <f>VLOOKUP(C993,'[1]873'!$C$2:$C$711,1,0)</f>
        <v>#N/A</v>
      </c>
    </row>
    <row r="994" spans="1:8" ht="14.25" customHeight="1" x14ac:dyDescent="0.25">
      <c r="A994" s="3">
        <v>45631</v>
      </c>
      <c r="B994" s="43">
        <v>2024002822</v>
      </c>
      <c r="C994" s="4" t="s">
        <v>917</v>
      </c>
      <c r="D994" s="5">
        <v>7540000</v>
      </c>
      <c r="E994" s="4">
        <v>87940284</v>
      </c>
      <c r="F994" s="4" t="s">
        <v>918</v>
      </c>
      <c r="G994" t="s">
        <v>565</v>
      </c>
      <c r="H994" t="e">
        <f>VLOOKUP(C994,'[1]873'!$C$2:$C$711,1,0)</f>
        <v>#N/A</v>
      </c>
    </row>
    <row r="995" spans="1:8" ht="14.25" customHeight="1" x14ac:dyDescent="0.25">
      <c r="A995" s="3">
        <v>45631</v>
      </c>
      <c r="B995" s="43">
        <v>2024002823</v>
      </c>
      <c r="C995" s="4" t="s">
        <v>919</v>
      </c>
      <c r="D995" s="5">
        <v>3000000</v>
      </c>
      <c r="E995" s="4">
        <v>1085260568</v>
      </c>
      <c r="F995" s="4" t="s">
        <v>419</v>
      </c>
      <c r="G995" t="s">
        <v>565</v>
      </c>
      <c r="H995" t="e">
        <f>VLOOKUP(C995,'[1]873'!$C$2:$C$711,1,0)</f>
        <v>#N/A</v>
      </c>
    </row>
    <row r="996" spans="1:8" ht="14.25" customHeight="1" x14ac:dyDescent="0.25">
      <c r="A996" s="3">
        <v>45631</v>
      </c>
      <c r="B996" s="43">
        <v>2024002824</v>
      </c>
      <c r="C996" s="4" t="s">
        <v>920</v>
      </c>
      <c r="D996" s="5">
        <v>7540000</v>
      </c>
      <c r="E996" s="4">
        <v>1085300619</v>
      </c>
      <c r="F996" s="4" t="s">
        <v>921</v>
      </c>
      <c r="G996" t="s">
        <v>565</v>
      </c>
      <c r="H996" t="e">
        <f>VLOOKUP(C996,'[1]873'!$C$2:$C$711,1,0)</f>
        <v>#N/A</v>
      </c>
    </row>
    <row r="997" spans="1:8" ht="15" customHeight="1" x14ac:dyDescent="0.25">
      <c r="A997" s="3">
        <v>45631</v>
      </c>
      <c r="B997" s="43">
        <v>2024002825</v>
      </c>
      <c r="C997" s="4" t="s">
        <v>922</v>
      </c>
      <c r="D997" s="5">
        <v>3000000</v>
      </c>
      <c r="E997" s="4">
        <v>1193218691</v>
      </c>
      <c r="F997" s="4" t="s">
        <v>191</v>
      </c>
      <c r="G997" t="s">
        <v>565</v>
      </c>
      <c r="H997" t="e">
        <f>VLOOKUP(C997,'[1]873'!$C$2:$C$711,1,0)</f>
        <v>#N/A</v>
      </c>
    </row>
    <row r="998" spans="1:8" ht="15" customHeight="1" x14ac:dyDescent="0.25">
      <c r="A998" s="3">
        <v>45631</v>
      </c>
      <c r="B998" s="43">
        <v>2024002826</v>
      </c>
      <c r="C998" s="4" t="s">
        <v>923</v>
      </c>
      <c r="D998" s="5">
        <v>3000000</v>
      </c>
      <c r="E998" s="4">
        <v>1085310350</v>
      </c>
      <c r="F998" s="4" t="s">
        <v>924</v>
      </c>
      <c r="G998" t="s">
        <v>565</v>
      </c>
      <c r="H998" t="e">
        <f>VLOOKUP(C998,'[1]873'!$C$2:$C$711,1,0)</f>
        <v>#N/A</v>
      </c>
    </row>
    <row r="999" spans="1:8" ht="15" customHeight="1" x14ac:dyDescent="0.25">
      <c r="A999" s="3">
        <v>45631</v>
      </c>
      <c r="B999" s="43">
        <v>2024002827</v>
      </c>
      <c r="C999" s="4" t="s">
        <v>925</v>
      </c>
      <c r="D999" s="5">
        <v>2412500</v>
      </c>
      <c r="E999" s="4">
        <v>1004508471</v>
      </c>
      <c r="F999" s="4" t="s">
        <v>926</v>
      </c>
      <c r="G999" t="s">
        <v>565</v>
      </c>
      <c r="H999" t="e">
        <f>VLOOKUP(C999,'[1]873'!$C$2:$C$711,1,0)</f>
        <v>#N/A</v>
      </c>
    </row>
    <row r="1000" spans="1:8" ht="15" customHeight="1" x14ac:dyDescent="0.25">
      <c r="A1000" s="3">
        <v>45631</v>
      </c>
      <c r="B1000" s="43">
        <v>2024002828</v>
      </c>
      <c r="C1000" s="4" t="s">
        <v>927</v>
      </c>
      <c r="D1000" s="5">
        <v>4750000</v>
      </c>
      <c r="E1000" s="4">
        <v>1086332188</v>
      </c>
      <c r="F1000" s="4" t="s">
        <v>928</v>
      </c>
      <c r="G1000" t="s">
        <v>565</v>
      </c>
      <c r="H1000" t="e">
        <f>VLOOKUP(C1000,'[1]873'!$C$2:$C$711,1,0)</f>
        <v>#N/A</v>
      </c>
    </row>
    <row r="1001" spans="1:8" ht="15" customHeight="1" x14ac:dyDescent="0.25">
      <c r="A1001" s="3">
        <v>45631</v>
      </c>
      <c r="B1001" s="43">
        <v>2024002831</v>
      </c>
      <c r="C1001" s="4" t="s">
        <v>929</v>
      </c>
      <c r="D1001" s="5">
        <v>7540000</v>
      </c>
      <c r="E1001" s="4">
        <v>87065647</v>
      </c>
      <c r="F1001" s="4" t="s">
        <v>43</v>
      </c>
      <c r="G1001" t="s">
        <v>565</v>
      </c>
      <c r="H1001" t="e">
        <f>VLOOKUP(C1001,'[1]873'!$C$2:$C$711,1,0)</f>
        <v>#N/A</v>
      </c>
    </row>
    <row r="1002" spans="1:8" ht="15" customHeight="1" x14ac:dyDescent="0.25">
      <c r="A1002" s="3">
        <v>45631</v>
      </c>
      <c r="B1002" s="43">
        <v>2024002832</v>
      </c>
      <c r="C1002" s="4" t="s">
        <v>804</v>
      </c>
      <c r="D1002" s="5">
        <v>3000000</v>
      </c>
      <c r="E1002" s="4">
        <v>1089243630</v>
      </c>
      <c r="F1002" s="4" t="s">
        <v>197</v>
      </c>
      <c r="G1002" t="s">
        <v>565</v>
      </c>
      <c r="H1002" t="e">
        <f>VLOOKUP(C1002,'[1]873'!$C$2:$C$711,1,0)</f>
        <v>#N/A</v>
      </c>
    </row>
    <row r="1003" spans="1:8" ht="15" customHeight="1" x14ac:dyDescent="0.25">
      <c r="A1003" s="3">
        <v>45631</v>
      </c>
      <c r="B1003" s="43">
        <v>2024002833</v>
      </c>
      <c r="C1003" s="4" t="s">
        <v>930</v>
      </c>
      <c r="D1003" s="5">
        <v>3000000</v>
      </c>
      <c r="E1003" s="4">
        <v>1085322676</v>
      </c>
      <c r="F1003" s="4" t="s">
        <v>931</v>
      </c>
      <c r="G1003" t="s">
        <v>565</v>
      </c>
      <c r="H1003" t="e">
        <f>VLOOKUP(C1003,'[1]873'!$C$2:$C$711,1,0)</f>
        <v>#N/A</v>
      </c>
    </row>
    <row r="1004" spans="1:8" ht="15" customHeight="1" x14ac:dyDescent="0.25">
      <c r="A1004" s="3">
        <v>45631</v>
      </c>
      <c r="B1004" s="43">
        <v>2024002834</v>
      </c>
      <c r="C1004" s="4" t="s">
        <v>932</v>
      </c>
      <c r="D1004" s="5">
        <v>7540000</v>
      </c>
      <c r="E1004" s="4">
        <v>1085296958</v>
      </c>
      <c r="F1004" s="4" t="s">
        <v>401</v>
      </c>
      <c r="G1004" t="s">
        <v>565</v>
      </c>
      <c r="H1004" t="e">
        <f>VLOOKUP(C1004,'[1]873'!$C$2:$C$711,1,0)</f>
        <v>#N/A</v>
      </c>
    </row>
    <row r="1005" spans="1:8" ht="15" customHeight="1" x14ac:dyDescent="0.25">
      <c r="A1005" s="3">
        <v>45632</v>
      </c>
      <c r="B1005" s="43">
        <v>2024002915</v>
      </c>
      <c r="C1005" s="4" t="s">
        <v>639</v>
      </c>
      <c r="D1005" s="5">
        <v>3000000</v>
      </c>
      <c r="E1005" s="4">
        <v>36757522</v>
      </c>
      <c r="F1005" s="4" t="s">
        <v>271</v>
      </c>
      <c r="G1005" t="s">
        <v>565</v>
      </c>
      <c r="H1005" t="e">
        <f>VLOOKUP(C1005,'[1]873'!$C$2:$C$711,1,0)</f>
        <v>#N/A</v>
      </c>
    </row>
    <row r="1006" spans="1:8" ht="15" customHeight="1" x14ac:dyDescent="0.25">
      <c r="A1006" s="3">
        <v>45632</v>
      </c>
      <c r="B1006" s="43">
        <v>2024002916</v>
      </c>
      <c r="C1006" s="4" t="s">
        <v>933</v>
      </c>
      <c r="D1006" s="5">
        <v>3000000</v>
      </c>
      <c r="E1006" s="4">
        <v>1085325718</v>
      </c>
      <c r="F1006" s="4" t="s">
        <v>301</v>
      </c>
      <c r="G1006" t="s">
        <v>565</v>
      </c>
      <c r="H1006" t="e">
        <f>VLOOKUP(C1006,'[1]873'!$C$2:$C$711,1,0)</f>
        <v>#N/A</v>
      </c>
    </row>
    <row r="1007" spans="1:8" ht="15" customHeight="1" x14ac:dyDescent="0.25">
      <c r="A1007" s="3">
        <v>45632</v>
      </c>
      <c r="B1007" s="43">
        <v>2024002917</v>
      </c>
      <c r="C1007" s="4" t="s">
        <v>934</v>
      </c>
      <c r="D1007" s="5">
        <v>4825000</v>
      </c>
      <c r="E1007" s="4">
        <v>27087851</v>
      </c>
      <c r="F1007" s="4" t="s">
        <v>177</v>
      </c>
      <c r="G1007" t="s">
        <v>565</v>
      </c>
      <c r="H1007" t="e">
        <f>VLOOKUP(C1007,'[1]873'!$C$2:$C$711,1,0)</f>
        <v>#N/A</v>
      </c>
    </row>
    <row r="1008" spans="1:8" ht="15" customHeight="1" x14ac:dyDescent="0.25">
      <c r="A1008" s="3">
        <v>45632</v>
      </c>
      <c r="B1008" s="43">
        <v>2024002919</v>
      </c>
      <c r="C1008" s="4" t="s">
        <v>935</v>
      </c>
      <c r="D1008" s="5">
        <v>3000000</v>
      </c>
      <c r="E1008" s="4">
        <v>59828916</v>
      </c>
      <c r="F1008" s="4" t="s">
        <v>181</v>
      </c>
      <c r="G1008" t="s">
        <v>565</v>
      </c>
      <c r="H1008" t="e">
        <f>VLOOKUP(C1008,'[1]873'!$C$2:$C$711,1,0)</f>
        <v>#N/A</v>
      </c>
    </row>
    <row r="1009" spans="1:8" ht="15" customHeight="1" x14ac:dyDescent="0.25">
      <c r="A1009" s="3">
        <v>45632</v>
      </c>
      <c r="B1009" s="43">
        <v>2024002920</v>
      </c>
      <c r="C1009" s="4" t="s">
        <v>936</v>
      </c>
      <c r="D1009" s="5">
        <v>7540000</v>
      </c>
      <c r="E1009" s="4">
        <v>79800150</v>
      </c>
      <c r="F1009" s="4" t="s">
        <v>937</v>
      </c>
      <c r="G1009" t="s">
        <v>565</v>
      </c>
      <c r="H1009" t="e">
        <f>VLOOKUP(C1009,'[1]873'!$C$2:$C$711,1,0)</f>
        <v>#N/A</v>
      </c>
    </row>
    <row r="1010" spans="1:8" ht="15" customHeight="1" x14ac:dyDescent="0.25">
      <c r="A1010" s="3">
        <v>45632</v>
      </c>
      <c r="B1010" s="43">
        <v>2024002921</v>
      </c>
      <c r="C1010" s="4" t="s">
        <v>938</v>
      </c>
      <c r="D1010" s="5">
        <v>2090400</v>
      </c>
      <c r="E1010" s="4">
        <v>52048780</v>
      </c>
      <c r="F1010" s="4" t="s">
        <v>939</v>
      </c>
      <c r="G1010" t="s">
        <v>565</v>
      </c>
      <c r="H1010" t="e">
        <f>VLOOKUP(C1010,'[1]873'!$C$2:$C$711,1,0)</f>
        <v>#N/A</v>
      </c>
    </row>
    <row r="1011" spans="1:8" ht="15" customHeight="1" x14ac:dyDescent="0.25">
      <c r="A1011" s="3">
        <v>45632</v>
      </c>
      <c r="B1011" s="43">
        <v>2024002922</v>
      </c>
      <c r="C1011" s="4" t="s">
        <v>750</v>
      </c>
      <c r="D1011" s="5">
        <v>7540000</v>
      </c>
      <c r="E1011" s="4">
        <v>7603662</v>
      </c>
      <c r="F1011" s="4" t="s">
        <v>361</v>
      </c>
      <c r="G1011" t="s">
        <v>565</v>
      </c>
      <c r="H1011" t="e">
        <f>VLOOKUP(C1011,'[1]873'!$C$2:$C$711,1,0)</f>
        <v>#N/A</v>
      </c>
    </row>
    <row r="1012" spans="1:8" ht="15" customHeight="1" x14ac:dyDescent="0.25">
      <c r="A1012" s="3">
        <v>45632</v>
      </c>
      <c r="B1012" s="43">
        <v>2024002923</v>
      </c>
      <c r="C1012" s="4" t="s">
        <v>696</v>
      </c>
      <c r="D1012" s="5">
        <v>4825000</v>
      </c>
      <c r="E1012" s="4">
        <v>59310145</v>
      </c>
      <c r="F1012" s="4" t="s">
        <v>129</v>
      </c>
      <c r="G1012" t="s">
        <v>565</v>
      </c>
      <c r="H1012" t="e">
        <f>VLOOKUP(C1012,'[1]873'!$C$2:$C$711,1,0)</f>
        <v>#N/A</v>
      </c>
    </row>
    <row r="1013" spans="1:8" ht="15" customHeight="1" x14ac:dyDescent="0.25">
      <c r="A1013" s="3">
        <v>45632</v>
      </c>
      <c r="B1013" s="43">
        <v>2024002924</v>
      </c>
      <c r="C1013" s="4" t="s">
        <v>862</v>
      </c>
      <c r="D1013" s="5">
        <v>3000000</v>
      </c>
      <c r="E1013" s="4">
        <v>1085300095</v>
      </c>
      <c r="F1013" s="4" t="s">
        <v>201</v>
      </c>
      <c r="G1013" t="s">
        <v>565</v>
      </c>
      <c r="H1013" t="e">
        <f>VLOOKUP(C1013,'[1]873'!$C$2:$C$711,1,0)</f>
        <v>#N/A</v>
      </c>
    </row>
    <row r="1014" spans="1:8" ht="15" customHeight="1" x14ac:dyDescent="0.25">
      <c r="A1014" s="3">
        <v>45632</v>
      </c>
      <c r="B1014" s="43">
        <v>2024002925</v>
      </c>
      <c r="C1014" s="4" t="s">
        <v>710</v>
      </c>
      <c r="D1014" s="5">
        <v>3000000</v>
      </c>
      <c r="E1014" s="4">
        <v>37084285</v>
      </c>
      <c r="F1014" s="4" t="s">
        <v>119</v>
      </c>
      <c r="G1014" t="s">
        <v>565</v>
      </c>
      <c r="H1014" t="e">
        <f>VLOOKUP(C1014,'[1]873'!$C$2:$C$711,1,0)</f>
        <v>#N/A</v>
      </c>
    </row>
    <row r="1015" spans="1:8" ht="15" customHeight="1" x14ac:dyDescent="0.25">
      <c r="A1015" s="3">
        <v>45632</v>
      </c>
      <c r="B1015" s="43">
        <v>2024002926</v>
      </c>
      <c r="C1015" s="4" t="s">
        <v>776</v>
      </c>
      <c r="D1015" s="5">
        <v>3000000</v>
      </c>
      <c r="E1015" s="4">
        <v>1233189234</v>
      </c>
      <c r="F1015" s="4" t="s">
        <v>87</v>
      </c>
      <c r="G1015" t="s">
        <v>565</v>
      </c>
      <c r="H1015" t="e">
        <f>VLOOKUP(C1015,'[1]873'!$C$2:$C$711,1,0)</f>
        <v>#N/A</v>
      </c>
    </row>
    <row r="1016" spans="1:8" ht="15" customHeight="1" x14ac:dyDescent="0.25">
      <c r="A1016" s="3">
        <v>45632</v>
      </c>
      <c r="B1016" s="43">
        <v>2024002927</v>
      </c>
      <c r="C1016" s="4" t="s">
        <v>821</v>
      </c>
      <c r="D1016" s="5">
        <v>3000000</v>
      </c>
      <c r="E1016" s="4">
        <v>1085255972</v>
      </c>
      <c r="F1016" s="4" t="s">
        <v>147</v>
      </c>
      <c r="G1016" t="s">
        <v>565</v>
      </c>
      <c r="H1016" t="e">
        <f>VLOOKUP(C1016,'[1]873'!$C$2:$C$711,1,0)</f>
        <v>#N/A</v>
      </c>
    </row>
    <row r="1017" spans="1:8" ht="15" customHeight="1" x14ac:dyDescent="0.25">
      <c r="A1017" s="3">
        <v>45632</v>
      </c>
      <c r="B1017" s="43">
        <v>2024002928</v>
      </c>
      <c r="C1017" s="4" t="s">
        <v>689</v>
      </c>
      <c r="D1017" s="5">
        <v>3000000</v>
      </c>
      <c r="E1017" s="4">
        <v>1004135064</v>
      </c>
      <c r="F1017" s="4" t="s">
        <v>207</v>
      </c>
      <c r="G1017" t="s">
        <v>565</v>
      </c>
      <c r="H1017" t="e">
        <f>VLOOKUP(C1017,'[1]873'!$C$2:$C$711,1,0)</f>
        <v>#N/A</v>
      </c>
    </row>
    <row r="1018" spans="1:8" ht="15" customHeight="1" x14ac:dyDescent="0.25">
      <c r="A1018" s="3">
        <v>45632</v>
      </c>
      <c r="B1018" s="43">
        <v>2024002929</v>
      </c>
      <c r="C1018" s="4" t="s">
        <v>687</v>
      </c>
      <c r="D1018" s="5">
        <v>3000000</v>
      </c>
      <c r="E1018" s="4">
        <v>1080040858</v>
      </c>
      <c r="F1018" s="4" t="s">
        <v>211</v>
      </c>
      <c r="G1018" t="s">
        <v>565</v>
      </c>
      <c r="H1018" t="e">
        <f>VLOOKUP(C1018,'[1]873'!$C$2:$C$711,1,0)</f>
        <v>#N/A</v>
      </c>
    </row>
    <row r="1019" spans="1:8" ht="15" customHeight="1" x14ac:dyDescent="0.25">
      <c r="A1019" s="3">
        <v>45632</v>
      </c>
      <c r="B1019" s="43">
        <v>2024002930</v>
      </c>
      <c r="C1019" s="4" t="s">
        <v>688</v>
      </c>
      <c r="D1019" s="5">
        <v>3000000</v>
      </c>
      <c r="E1019" s="4">
        <v>1010082397</v>
      </c>
      <c r="F1019" s="4" t="s">
        <v>209</v>
      </c>
      <c r="G1019" t="s">
        <v>565</v>
      </c>
      <c r="H1019" t="e">
        <f>VLOOKUP(C1019,'[1]873'!$C$2:$C$711,1,0)</f>
        <v>#N/A</v>
      </c>
    </row>
    <row r="1020" spans="1:8" ht="15" customHeight="1" x14ac:dyDescent="0.25">
      <c r="A1020" s="3">
        <v>45632</v>
      </c>
      <c r="B1020" s="43">
        <v>2024002931</v>
      </c>
      <c r="C1020" s="4" t="s">
        <v>940</v>
      </c>
      <c r="D1020" s="5">
        <v>3000000</v>
      </c>
      <c r="E1020" s="4">
        <v>59813323</v>
      </c>
      <c r="F1020" s="4" t="s">
        <v>103</v>
      </c>
      <c r="G1020" t="s">
        <v>565</v>
      </c>
      <c r="H1020" t="e">
        <f>VLOOKUP(C1020,'[1]873'!$C$2:$C$711,1,0)</f>
        <v>#N/A</v>
      </c>
    </row>
    <row r="1021" spans="1:8" ht="15" customHeight="1" x14ac:dyDescent="0.25">
      <c r="A1021" s="3">
        <v>45632</v>
      </c>
      <c r="B1021" s="43">
        <v>2024002932</v>
      </c>
      <c r="C1021" s="4" t="s">
        <v>941</v>
      </c>
      <c r="D1021" s="5">
        <v>4825000</v>
      </c>
      <c r="E1021" s="4">
        <v>1085332406</v>
      </c>
      <c r="F1021" s="4" t="s">
        <v>273</v>
      </c>
      <c r="G1021" t="s">
        <v>565</v>
      </c>
      <c r="H1021" t="e">
        <f>VLOOKUP(C1021,'[1]873'!$C$2:$C$711,1,0)</f>
        <v>#N/A</v>
      </c>
    </row>
    <row r="1022" spans="1:8" ht="15" customHeight="1" x14ac:dyDescent="0.25">
      <c r="A1022" s="3">
        <v>45632</v>
      </c>
      <c r="B1022" s="43">
        <v>2024002933</v>
      </c>
      <c r="C1022" s="4" t="s">
        <v>673</v>
      </c>
      <c r="D1022" s="5">
        <v>2500000</v>
      </c>
      <c r="E1022" s="4">
        <v>12750863</v>
      </c>
      <c r="F1022" s="4" t="s">
        <v>225</v>
      </c>
      <c r="G1022" t="s">
        <v>565</v>
      </c>
      <c r="H1022" t="e">
        <f>VLOOKUP(C1022,'[1]873'!$C$2:$C$711,1,0)</f>
        <v>#N/A</v>
      </c>
    </row>
    <row r="1023" spans="1:8" ht="15" customHeight="1" x14ac:dyDescent="0.25">
      <c r="A1023" s="3">
        <v>45632</v>
      </c>
      <c r="B1023" s="43">
        <v>2024002935</v>
      </c>
      <c r="C1023" s="4" t="s">
        <v>648</v>
      </c>
      <c r="D1023" s="5">
        <v>4825000</v>
      </c>
      <c r="E1023" s="4">
        <v>30732782</v>
      </c>
      <c r="F1023" s="4" t="s">
        <v>245</v>
      </c>
      <c r="G1023" t="s">
        <v>565</v>
      </c>
      <c r="H1023" t="e">
        <f>VLOOKUP(C1023,'[1]873'!$C$2:$C$711,1,0)</f>
        <v>#N/A</v>
      </c>
    </row>
    <row r="1024" spans="1:8" ht="15" customHeight="1" x14ac:dyDescent="0.25">
      <c r="A1024" s="3">
        <v>45632</v>
      </c>
      <c r="B1024" s="43">
        <v>2024002936</v>
      </c>
      <c r="C1024" s="4" t="s">
        <v>611</v>
      </c>
      <c r="D1024" s="5">
        <v>3000000</v>
      </c>
      <c r="E1024" s="4">
        <v>1085261053</v>
      </c>
      <c r="F1024" s="4" t="s">
        <v>335</v>
      </c>
      <c r="G1024" t="s">
        <v>565</v>
      </c>
      <c r="H1024" t="e">
        <f>VLOOKUP(C1024,'[1]873'!$C$2:$C$711,1,0)</f>
        <v>#N/A</v>
      </c>
    </row>
    <row r="1025" spans="1:8" ht="15" customHeight="1" x14ac:dyDescent="0.25">
      <c r="A1025" s="3">
        <v>45632</v>
      </c>
      <c r="B1025" s="43">
        <v>2024002938</v>
      </c>
      <c r="C1025" s="4" t="s">
        <v>686</v>
      </c>
      <c r="D1025" s="5">
        <v>3000000</v>
      </c>
      <c r="E1025" s="4">
        <v>1085288636</v>
      </c>
      <c r="F1025" s="4" t="s">
        <v>405</v>
      </c>
      <c r="G1025" t="s">
        <v>565</v>
      </c>
      <c r="H1025" t="e">
        <f>VLOOKUP(C1025,'[1]873'!$C$2:$C$711,1,0)</f>
        <v>#N/A</v>
      </c>
    </row>
    <row r="1026" spans="1:8" ht="15" customHeight="1" x14ac:dyDescent="0.25">
      <c r="A1026" s="3">
        <v>45632</v>
      </c>
      <c r="B1026" s="43">
        <v>2024002939</v>
      </c>
      <c r="C1026" s="4" t="s">
        <v>942</v>
      </c>
      <c r="D1026" s="5">
        <v>4825000</v>
      </c>
      <c r="E1026" s="4">
        <v>1086755334</v>
      </c>
      <c r="F1026" s="4" t="s">
        <v>943</v>
      </c>
      <c r="G1026" t="s">
        <v>565</v>
      </c>
      <c r="H1026" t="e">
        <f>VLOOKUP(C1026,'[1]873'!$C$2:$C$711,1,0)</f>
        <v>#N/A</v>
      </c>
    </row>
    <row r="1027" spans="1:8" ht="15" customHeight="1" x14ac:dyDescent="0.25">
      <c r="A1027" s="3">
        <v>45632</v>
      </c>
      <c r="B1027" s="43">
        <v>2024002940</v>
      </c>
      <c r="C1027" s="4" t="s">
        <v>944</v>
      </c>
      <c r="D1027" s="5">
        <v>2500000</v>
      </c>
      <c r="E1027" s="4">
        <v>36759281</v>
      </c>
      <c r="F1027" s="4" t="s">
        <v>341</v>
      </c>
      <c r="G1027" t="s">
        <v>565</v>
      </c>
      <c r="H1027" t="e">
        <f>VLOOKUP(C1027,'[1]873'!$C$2:$C$711,1,0)</f>
        <v>#N/A</v>
      </c>
    </row>
    <row r="1028" spans="1:8" ht="15" customHeight="1" x14ac:dyDescent="0.25">
      <c r="A1028" s="3">
        <v>45632</v>
      </c>
      <c r="B1028" s="43">
        <v>2024002941</v>
      </c>
      <c r="C1028" s="4" t="s">
        <v>945</v>
      </c>
      <c r="D1028" s="5">
        <v>4825000</v>
      </c>
      <c r="E1028" s="4">
        <v>98260088</v>
      </c>
      <c r="F1028" s="4" t="s">
        <v>946</v>
      </c>
      <c r="G1028" t="s">
        <v>565</v>
      </c>
      <c r="H1028" t="e">
        <f>VLOOKUP(C1028,'[1]873'!$C$2:$C$711,1,0)</f>
        <v>#N/A</v>
      </c>
    </row>
    <row r="1029" spans="1:8" ht="15" customHeight="1" x14ac:dyDescent="0.25">
      <c r="A1029" s="3">
        <v>45632</v>
      </c>
      <c r="B1029" s="43">
        <v>2024002942</v>
      </c>
      <c r="C1029" s="4" t="s">
        <v>759</v>
      </c>
      <c r="D1029" s="5">
        <v>6000000</v>
      </c>
      <c r="E1029" s="4">
        <v>1085253062</v>
      </c>
      <c r="F1029" s="4" t="s">
        <v>31</v>
      </c>
      <c r="G1029" t="s">
        <v>565</v>
      </c>
      <c r="H1029" t="e">
        <f>VLOOKUP(C1029,'[1]873'!$C$2:$C$711,1,0)</f>
        <v>#N/A</v>
      </c>
    </row>
    <row r="1030" spans="1:8" ht="15" customHeight="1" x14ac:dyDescent="0.25">
      <c r="A1030" s="3">
        <v>45632</v>
      </c>
      <c r="B1030" s="43">
        <v>2024002943</v>
      </c>
      <c r="C1030" s="4" t="s">
        <v>861</v>
      </c>
      <c r="D1030" s="5">
        <v>3000000</v>
      </c>
      <c r="E1030" s="4">
        <v>1193271854</v>
      </c>
      <c r="F1030" s="4" t="s">
        <v>229</v>
      </c>
      <c r="G1030" t="s">
        <v>565</v>
      </c>
      <c r="H1030" t="e">
        <f>VLOOKUP(C1030,'[1]873'!$C$2:$C$711,1,0)</f>
        <v>#N/A</v>
      </c>
    </row>
    <row r="1031" spans="1:8" ht="15" customHeight="1" x14ac:dyDescent="0.25">
      <c r="A1031" s="3">
        <v>45632</v>
      </c>
      <c r="B1031" s="43">
        <v>2024002944</v>
      </c>
      <c r="C1031" s="4" t="s">
        <v>859</v>
      </c>
      <c r="D1031" s="5">
        <v>3000000</v>
      </c>
      <c r="E1031" s="4">
        <v>1014857280</v>
      </c>
      <c r="F1031" s="4" t="s">
        <v>233</v>
      </c>
      <c r="G1031" t="s">
        <v>565</v>
      </c>
      <c r="H1031" t="e">
        <f>VLOOKUP(C1031,'[1]873'!$C$2:$C$711,1,0)</f>
        <v>#N/A</v>
      </c>
    </row>
    <row r="1032" spans="1:8" ht="15" customHeight="1" x14ac:dyDescent="0.25">
      <c r="A1032" s="3">
        <v>45632</v>
      </c>
      <c r="B1032" s="43">
        <v>2024002945</v>
      </c>
      <c r="C1032" s="4" t="s">
        <v>772</v>
      </c>
      <c r="D1032" s="5">
        <v>3000000</v>
      </c>
      <c r="E1032" s="4">
        <v>1081592303</v>
      </c>
      <c r="F1032" s="4" t="s">
        <v>353</v>
      </c>
      <c r="G1032" t="s">
        <v>565</v>
      </c>
      <c r="H1032" t="e">
        <f>VLOOKUP(C1032,'[1]873'!$C$2:$C$711,1,0)</f>
        <v>#N/A</v>
      </c>
    </row>
    <row r="1033" spans="1:8" ht="15" customHeight="1" x14ac:dyDescent="0.25">
      <c r="A1033" s="3">
        <v>45632</v>
      </c>
      <c r="B1033" s="43">
        <v>2024002946</v>
      </c>
      <c r="C1033" s="4" t="s">
        <v>665</v>
      </c>
      <c r="D1033" s="5">
        <v>3000000</v>
      </c>
      <c r="E1033" s="4">
        <v>1085327701</v>
      </c>
      <c r="F1033" s="4" t="s">
        <v>85</v>
      </c>
      <c r="G1033" t="s">
        <v>565</v>
      </c>
      <c r="H1033" t="e">
        <f>VLOOKUP(C1033,'[1]873'!$C$2:$C$711,1,0)</f>
        <v>#N/A</v>
      </c>
    </row>
    <row r="1034" spans="1:8" ht="15" customHeight="1" x14ac:dyDescent="0.25">
      <c r="A1034" s="3">
        <v>45632</v>
      </c>
      <c r="B1034" s="43">
        <v>2024002947</v>
      </c>
      <c r="C1034" s="4" t="s">
        <v>640</v>
      </c>
      <c r="D1034" s="5">
        <v>3000000</v>
      </c>
      <c r="E1034" s="4">
        <v>1004592366</v>
      </c>
      <c r="F1034" s="4" t="s">
        <v>123</v>
      </c>
      <c r="G1034" t="s">
        <v>565</v>
      </c>
      <c r="H1034" t="e">
        <f>VLOOKUP(C1034,'[1]873'!$C$2:$C$711,1,0)</f>
        <v>#N/A</v>
      </c>
    </row>
    <row r="1035" spans="1:8" ht="15" customHeight="1" x14ac:dyDescent="0.25">
      <c r="A1035" s="3">
        <v>45635</v>
      </c>
      <c r="B1035" s="43">
        <v>2024002950</v>
      </c>
      <c r="C1035" s="4" t="s">
        <v>695</v>
      </c>
      <c r="D1035" s="5">
        <v>3000000</v>
      </c>
      <c r="E1035" s="4">
        <v>59837416</v>
      </c>
      <c r="F1035" s="4" t="s">
        <v>395</v>
      </c>
      <c r="G1035" t="s">
        <v>565</v>
      </c>
      <c r="H1035" t="e">
        <f>VLOOKUP(C1035,'[1]873'!$C$2:$C$711,1,0)</f>
        <v>#N/A</v>
      </c>
    </row>
    <row r="1036" spans="1:8" ht="15" customHeight="1" x14ac:dyDescent="0.25">
      <c r="A1036" s="3">
        <v>45635</v>
      </c>
      <c r="B1036" s="43">
        <v>2024002951</v>
      </c>
      <c r="C1036" s="4" t="s">
        <v>676</v>
      </c>
      <c r="D1036" s="5">
        <v>4750000</v>
      </c>
      <c r="E1036" s="4">
        <v>1085293619</v>
      </c>
      <c r="F1036" s="4" t="s">
        <v>155</v>
      </c>
      <c r="G1036" t="s">
        <v>565</v>
      </c>
      <c r="H1036" t="e">
        <f>VLOOKUP(C1036,'[1]873'!$C$2:$C$711,1,0)</f>
        <v>#N/A</v>
      </c>
    </row>
    <row r="1037" spans="1:8" ht="15" customHeight="1" x14ac:dyDescent="0.25">
      <c r="A1037" s="3">
        <v>45635</v>
      </c>
      <c r="B1037" s="43">
        <v>2024002952</v>
      </c>
      <c r="C1037" s="4" t="s">
        <v>767</v>
      </c>
      <c r="D1037" s="5">
        <v>4750000</v>
      </c>
      <c r="E1037" s="4">
        <v>59651018</v>
      </c>
      <c r="F1037" s="4" t="s">
        <v>493</v>
      </c>
      <c r="G1037" t="s">
        <v>565</v>
      </c>
      <c r="H1037" t="e">
        <f>VLOOKUP(C1037,'[1]873'!$C$2:$C$711,1,0)</f>
        <v>#N/A</v>
      </c>
    </row>
    <row r="1038" spans="1:8" ht="15" customHeight="1" x14ac:dyDescent="0.25">
      <c r="A1038" s="3">
        <v>45635</v>
      </c>
      <c r="B1038" s="43">
        <v>2024002953</v>
      </c>
      <c r="C1038" s="4" t="s">
        <v>694</v>
      </c>
      <c r="D1038" s="5">
        <v>2500000</v>
      </c>
      <c r="E1038" s="4">
        <v>1085338232</v>
      </c>
      <c r="F1038" s="4" t="s">
        <v>287</v>
      </c>
      <c r="G1038" t="s">
        <v>565</v>
      </c>
      <c r="H1038" t="e">
        <f>VLOOKUP(C1038,'[1]873'!$C$2:$C$711,1,0)</f>
        <v>#N/A</v>
      </c>
    </row>
    <row r="1039" spans="1:8" ht="15" customHeight="1" x14ac:dyDescent="0.25">
      <c r="A1039" s="3">
        <v>45635</v>
      </c>
      <c r="B1039" s="43">
        <v>2024002954</v>
      </c>
      <c r="C1039" s="4" t="s">
        <v>599</v>
      </c>
      <c r="D1039" s="5">
        <v>7540000</v>
      </c>
      <c r="E1039" s="4">
        <v>1085304670</v>
      </c>
      <c r="F1039" s="4" t="s">
        <v>161</v>
      </c>
      <c r="G1039" t="s">
        <v>565</v>
      </c>
      <c r="H1039" t="e">
        <f>VLOOKUP(C1039,'[1]873'!$C$2:$C$711,1,0)</f>
        <v>#N/A</v>
      </c>
    </row>
    <row r="1040" spans="1:8" ht="15" customHeight="1" x14ac:dyDescent="0.25">
      <c r="A1040" s="3">
        <v>45635</v>
      </c>
      <c r="B1040" s="43">
        <v>2024002955</v>
      </c>
      <c r="C1040" s="4" t="s">
        <v>741</v>
      </c>
      <c r="D1040" s="5">
        <v>3000000</v>
      </c>
      <c r="E1040" s="4">
        <v>1085317833</v>
      </c>
      <c r="F1040" s="4" t="s">
        <v>11</v>
      </c>
      <c r="G1040" t="s">
        <v>565</v>
      </c>
      <c r="H1040" t="e">
        <f>VLOOKUP(C1040,'[1]873'!$C$2:$C$711,1,0)</f>
        <v>#N/A</v>
      </c>
    </row>
    <row r="1041" spans="1:8" ht="15" customHeight="1" x14ac:dyDescent="0.25">
      <c r="A1041" s="3">
        <v>45635</v>
      </c>
      <c r="B1041" s="43">
        <v>2024002956</v>
      </c>
      <c r="C1041" s="4" t="s">
        <v>691</v>
      </c>
      <c r="D1041" s="5">
        <v>3000000</v>
      </c>
      <c r="E1041" s="4">
        <v>1030606749</v>
      </c>
      <c r="F1041" s="4" t="s">
        <v>387</v>
      </c>
      <c r="G1041" t="s">
        <v>565</v>
      </c>
      <c r="H1041" t="e">
        <f>VLOOKUP(C1041,'[1]873'!$C$2:$C$711,1,0)</f>
        <v>#N/A</v>
      </c>
    </row>
    <row r="1042" spans="1:8" ht="15" customHeight="1" x14ac:dyDescent="0.25">
      <c r="A1042" s="3">
        <v>45635</v>
      </c>
      <c r="B1042" s="43">
        <v>2024002957</v>
      </c>
      <c r="C1042" s="4" t="s">
        <v>708</v>
      </c>
      <c r="D1042" s="5">
        <v>4750000</v>
      </c>
      <c r="E1042" s="4">
        <v>1085330309</v>
      </c>
      <c r="F1042" s="4" t="s">
        <v>249</v>
      </c>
      <c r="G1042" t="s">
        <v>565</v>
      </c>
      <c r="H1042" t="e">
        <f>VLOOKUP(C1042,'[1]873'!$C$2:$C$711,1,0)</f>
        <v>#N/A</v>
      </c>
    </row>
    <row r="1043" spans="1:8" ht="15" customHeight="1" x14ac:dyDescent="0.25">
      <c r="A1043" s="3">
        <v>45635</v>
      </c>
      <c r="B1043" s="43">
        <v>2024002958</v>
      </c>
      <c r="C1043" s="4" t="s">
        <v>925</v>
      </c>
      <c r="D1043" s="5">
        <v>4825000</v>
      </c>
      <c r="E1043" s="4">
        <v>1004508471</v>
      </c>
      <c r="F1043" s="4" t="s">
        <v>926</v>
      </c>
      <c r="G1043" t="s">
        <v>565</v>
      </c>
      <c r="H1043" t="e">
        <f>VLOOKUP(C1043,'[1]873'!$C$2:$C$711,1,0)</f>
        <v>#N/A</v>
      </c>
    </row>
    <row r="1044" spans="1:8" ht="15" customHeight="1" x14ac:dyDescent="0.25">
      <c r="A1044" s="3">
        <v>45635</v>
      </c>
      <c r="B1044" s="43">
        <v>2024002959</v>
      </c>
      <c r="C1044" s="4" t="s">
        <v>933</v>
      </c>
      <c r="D1044" s="5">
        <v>3000000</v>
      </c>
      <c r="E1044" s="4">
        <v>1085325718</v>
      </c>
      <c r="F1044" s="4" t="s">
        <v>301</v>
      </c>
      <c r="G1044" t="s">
        <v>565</v>
      </c>
      <c r="H1044" t="e">
        <f>VLOOKUP(C1044,'[1]873'!$C$2:$C$711,1,0)</f>
        <v>#N/A</v>
      </c>
    </row>
    <row r="1045" spans="1:8" ht="15" customHeight="1" x14ac:dyDescent="0.25">
      <c r="A1045" s="3">
        <v>45635</v>
      </c>
      <c r="B1045" s="43">
        <v>2024002960</v>
      </c>
      <c r="C1045" s="4" t="s">
        <v>683</v>
      </c>
      <c r="D1045" s="5">
        <v>4825000</v>
      </c>
      <c r="E1045" s="4">
        <v>1193385736</v>
      </c>
      <c r="F1045" s="4" t="s">
        <v>57</v>
      </c>
      <c r="G1045" t="s">
        <v>565</v>
      </c>
      <c r="H1045" t="e">
        <f>VLOOKUP(C1045,'[1]873'!$C$2:$C$711,1,0)</f>
        <v>#N/A</v>
      </c>
    </row>
    <row r="1046" spans="1:8" ht="15" customHeight="1" x14ac:dyDescent="0.25">
      <c r="A1046" s="3">
        <v>45635</v>
      </c>
      <c r="B1046" s="43">
        <v>2024002961</v>
      </c>
      <c r="C1046" s="4" t="s">
        <v>874</v>
      </c>
      <c r="D1046" s="5">
        <v>3000000</v>
      </c>
      <c r="E1046" s="4">
        <v>27088197</v>
      </c>
      <c r="F1046" s="4" t="s">
        <v>875</v>
      </c>
      <c r="G1046" t="s">
        <v>565</v>
      </c>
      <c r="H1046" t="e">
        <f>VLOOKUP(C1046,'[1]873'!$C$2:$C$711,1,0)</f>
        <v>#N/A</v>
      </c>
    </row>
    <row r="1047" spans="1:8" ht="15" customHeight="1" x14ac:dyDescent="0.25">
      <c r="A1047" s="3">
        <v>45635</v>
      </c>
      <c r="B1047" s="43">
        <v>2024002962</v>
      </c>
      <c r="C1047" s="4" t="s">
        <v>947</v>
      </c>
      <c r="D1047" s="5">
        <v>6000000</v>
      </c>
      <c r="E1047" s="4">
        <v>1085266036</v>
      </c>
      <c r="F1047" s="4" t="s">
        <v>948</v>
      </c>
      <c r="G1047" t="s">
        <v>565</v>
      </c>
      <c r="H1047" t="e">
        <f>VLOOKUP(C1047,'[1]873'!$C$2:$C$711,1,0)</f>
        <v>#N/A</v>
      </c>
    </row>
    <row r="1048" spans="1:8" ht="15" customHeight="1" x14ac:dyDescent="0.25">
      <c r="A1048" s="3">
        <v>45635</v>
      </c>
      <c r="B1048" s="43">
        <v>2024002964</v>
      </c>
      <c r="C1048" s="4" t="s">
        <v>773</v>
      </c>
      <c r="D1048" s="5">
        <v>4825000</v>
      </c>
      <c r="E1048" s="4">
        <v>1085267184</v>
      </c>
      <c r="F1048" s="4" t="s">
        <v>247</v>
      </c>
      <c r="G1048" t="s">
        <v>565</v>
      </c>
      <c r="H1048" t="e">
        <f>VLOOKUP(C1048,'[1]873'!$C$2:$C$711,1,0)</f>
        <v>#N/A</v>
      </c>
    </row>
    <row r="1049" spans="1:8" ht="15" customHeight="1" x14ac:dyDescent="0.25">
      <c r="A1049" s="3">
        <v>45635</v>
      </c>
      <c r="B1049" s="43">
        <v>2024002965</v>
      </c>
      <c r="C1049" s="4" t="s">
        <v>949</v>
      </c>
      <c r="D1049" s="5">
        <v>800000</v>
      </c>
      <c r="E1049" s="4">
        <v>1081272318</v>
      </c>
      <c r="F1049" s="4" t="s">
        <v>950</v>
      </c>
      <c r="G1049" t="s">
        <v>565</v>
      </c>
      <c r="H1049" t="e">
        <f>VLOOKUP(C1049,'[1]873'!$C$2:$C$711,1,0)</f>
        <v>#N/A</v>
      </c>
    </row>
    <row r="1050" spans="1:8" ht="15" customHeight="1" x14ac:dyDescent="0.25">
      <c r="A1050" s="3">
        <v>45635</v>
      </c>
      <c r="B1050" s="43">
        <v>2024002966</v>
      </c>
      <c r="C1050" s="4" t="s">
        <v>847</v>
      </c>
      <c r="D1050" s="5">
        <v>4825000</v>
      </c>
      <c r="E1050" s="4">
        <v>1085324891</v>
      </c>
      <c r="F1050" s="4" t="s">
        <v>509</v>
      </c>
      <c r="G1050" t="s">
        <v>565</v>
      </c>
      <c r="H1050" t="e">
        <f>VLOOKUP(C1050,'[1]873'!$C$2:$C$711,1,0)</f>
        <v>#N/A</v>
      </c>
    </row>
    <row r="1051" spans="1:8" ht="15" customHeight="1" x14ac:dyDescent="0.25">
      <c r="A1051" s="3">
        <v>45635</v>
      </c>
      <c r="B1051" s="43">
        <v>2024002967</v>
      </c>
      <c r="C1051" s="4" t="s">
        <v>771</v>
      </c>
      <c r="D1051" s="5">
        <v>2500000</v>
      </c>
      <c r="E1051" s="4">
        <v>1085327836</v>
      </c>
      <c r="F1051" s="4" t="s">
        <v>283</v>
      </c>
      <c r="G1051" t="s">
        <v>565</v>
      </c>
      <c r="H1051" t="e">
        <f>VLOOKUP(C1051,'[1]873'!$C$2:$C$711,1,0)</f>
        <v>#N/A</v>
      </c>
    </row>
    <row r="1052" spans="1:8" ht="15" customHeight="1" x14ac:dyDescent="0.25">
      <c r="A1052" s="3">
        <v>45635</v>
      </c>
      <c r="B1052" s="43">
        <v>2024002968</v>
      </c>
      <c r="C1052" s="4" t="s">
        <v>763</v>
      </c>
      <c r="D1052" s="5">
        <v>3000000</v>
      </c>
      <c r="E1052" s="4">
        <v>36752202</v>
      </c>
      <c r="F1052" s="4" t="s">
        <v>263</v>
      </c>
      <c r="G1052" t="s">
        <v>565</v>
      </c>
      <c r="H1052" t="e">
        <f>VLOOKUP(C1052,'[1]873'!$C$2:$C$711,1,0)</f>
        <v>#N/A</v>
      </c>
    </row>
    <row r="1053" spans="1:8" ht="15" customHeight="1" x14ac:dyDescent="0.25">
      <c r="A1053" s="3">
        <v>45635</v>
      </c>
      <c r="B1053" s="43">
        <v>2024002969</v>
      </c>
      <c r="C1053" s="4" t="s">
        <v>783</v>
      </c>
      <c r="D1053" s="5">
        <v>2500000</v>
      </c>
      <c r="E1053" s="4">
        <v>1233189896</v>
      </c>
      <c r="F1053" s="4" t="s">
        <v>279</v>
      </c>
      <c r="G1053" t="s">
        <v>565</v>
      </c>
      <c r="H1053" t="e">
        <f>VLOOKUP(C1053,'[1]873'!$C$2:$C$711,1,0)</f>
        <v>#N/A</v>
      </c>
    </row>
    <row r="1054" spans="1:8" ht="15" customHeight="1" x14ac:dyDescent="0.25">
      <c r="A1054" s="3">
        <v>45635</v>
      </c>
      <c r="B1054" s="43">
        <v>2024002970</v>
      </c>
      <c r="C1054" s="4" t="s">
        <v>685</v>
      </c>
      <c r="D1054" s="5">
        <v>6000000</v>
      </c>
      <c r="E1054" s="4">
        <v>1089242085</v>
      </c>
      <c r="F1054" s="4" t="s">
        <v>19</v>
      </c>
      <c r="G1054" t="s">
        <v>565</v>
      </c>
      <c r="H1054" t="e">
        <f>VLOOKUP(C1054,'[1]873'!$C$2:$C$711,1,0)</f>
        <v>#N/A</v>
      </c>
    </row>
    <row r="1055" spans="1:8" ht="15" customHeight="1" x14ac:dyDescent="0.25">
      <c r="A1055" s="3">
        <v>45635</v>
      </c>
      <c r="B1055" s="43">
        <v>2024002971</v>
      </c>
      <c r="C1055" s="4" t="s">
        <v>951</v>
      </c>
      <c r="D1055" s="5">
        <v>7540000</v>
      </c>
      <c r="E1055" s="4">
        <v>1085251158</v>
      </c>
      <c r="F1055" s="4" t="s">
        <v>952</v>
      </c>
      <c r="G1055" t="s">
        <v>565</v>
      </c>
      <c r="H1055" t="e">
        <f>VLOOKUP(C1055,'[1]873'!$C$2:$C$711,1,0)</f>
        <v>#N/A</v>
      </c>
    </row>
    <row r="1056" spans="1:8" ht="15" customHeight="1" x14ac:dyDescent="0.25">
      <c r="A1056" s="3">
        <v>45635</v>
      </c>
      <c r="B1056" s="43">
        <v>2024002972</v>
      </c>
      <c r="C1056" s="4" t="s">
        <v>733</v>
      </c>
      <c r="D1056" s="5">
        <v>3000000</v>
      </c>
      <c r="E1056" s="4">
        <v>1085327677</v>
      </c>
      <c r="F1056" s="4" t="s">
        <v>215</v>
      </c>
      <c r="G1056" t="s">
        <v>565</v>
      </c>
      <c r="H1056" t="e">
        <f>VLOOKUP(C1056,'[1]873'!$C$2:$C$711,1,0)</f>
        <v>#N/A</v>
      </c>
    </row>
    <row r="1057" spans="1:8" ht="15" customHeight="1" x14ac:dyDescent="0.25">
      <c r="A1057" s="3">
        <v>45635</v>
      </c>
      <c r="B1057" s="43">
        <v>2024002973</v>
      </c>
      <c r="C1057" s="4" t="s">
        <v>727</v>
      </c>
      <c r="D1057" s="5">
        <v>2500000</v>
      </c>
      <c r="E1057" s="4">
        <v>1085310465</v>
      </c>
      <c r="F1057" s="4" t="s">
        <v>307</v>
      </c>
      <c r="G1057" t="s">
        <v>565</v>
      </c>
      <c r="H1057" t="e">
        <f>VLOOKUP(C1057,'[1]873'!$C$2:$C$711,1,0)</f>
        <v>#N/A</v>
      </c>
    </row>
    <row r="1058" spans="1:8" ht="15" customHeight="1" x14ac:dyDescent="0.25">
      <c r="A1058" s="3">
        <v>45635</v>
      </c>
      <c r="B1058" s="43">
        <v>2024002974</v>
      </c>
      <c r="C1058" s="4" t="s">
        <v>794</v>
      </c>
      <c r="D1058" s="5">
        <v>7540000</v>
      </c>
      <c r="E1058" s="4">
        <v>1193202097</v>
      </c>
      <c r="F1058" s="4" t="s">
        <v>163</v>
      </c>
      <c r="G1058" t="s">
        <v>565</v>
      </c>
      <c r="H1058" t="e">
        <f>VLOOKUP(C1058,'[1]873'!$C$2:$C$711,1,0)</f>
        <v>#N/A</v>
      </c>
    </row>
    <row r="1059" spans="1:8" ht="15" customHeight="1" x14ac:dyDescent="0.25">
      <c r="A1059" s="3">
        <v>45635</v>
      </c>
      <c r="B1059" s="43">
        <v>2024002975</v>
      </c>
      <c r="C1059" s="4" t="s">
        <v>953</v>
      </c>
      <c r="D1059" s="5">
        <v>6000000</v>
      </c>
      <c r="E1059" s="4">
        <v>1087420025</v>
      </c>
      <c r="F1059" s="4" t="s">
        <v>954</v>
      </c>
      <c r="G1059" t="s">
        <v>565</v>
      </c>
      <c r="H1059" t="e">
        <f>VLOOKUP(C1059,'[1]873'!$C$2:$C$711,1,0)</f>
        <v>#N/A</v>
      </c>
    </row>
    <row r="1060" spans="1:8" ht="15" customHeight="1" x14ac:dyDescent="0.25">
      <c r="A1060" s="3">
        <v>45635</v>
      </c>
      <c r="B1060" s="43">
        <v>2024002976</v>
      </c>
      <c r="C1060" s="4" t="s">
        <v>738</v>
      </c>
      <c r="D1060" s="5">
        <v>3000000</v>
      </c>
      <c r="E1060" s="4">
        <v>1004726758</v>
      </c>
      <c r="F1060" s="4" t="s">
        <v>365</v>
      </c>
      <c r="G1060" t="s">
        <v>565</v>
      </c>
      <c r="H1060" t="e">
        <f>VLOOKUP(C1060,'[1]873'!$C$2:$C$711,1,0)</f>
        <v>#N/A</v>
      </c>
    </row>
    <row r="1061" spans="1:8" ht="15" customHeight="1" x14ac:dyDescent="0.25">
      <c r="A1061" s="3">
        <v>45635</v>
      </c>
      <c r="B1061" s="43">
        <v>2024002981</v>
      </c>
      <c r="C1061" s="4" t="s">
        <v>806</v>
      </c>
      <c r="D1061" s="5">
        <v>4750000</v>
      </c>
      <c r="E1061" s="4">
        <v>1085345772</v>
      </c>
      <c r="F1061" s="4" t="s">
        <v>221</v>
      </c>
      <c r="G1061" t="s">
        <v>565</v>
      </c>
      <c r="H1061" t="e">
        <f>VLOOKUP(C1061,'[1]873'!$C$2:$C$711,1,0)</f>
        <v>#N/A</v>
      </c>
    </row>
    <row r="1062" spans="1:8" ht="15" customHeight="1" x14ac:dyDescent="0.25">
      <c r="A1062" s="3">
        <v>45635</v>
      </c>
      <c r="B1062" s="43">
        <v>2024002982</v>
      </c>
      <c r="C1062" s="4" t="s">
        <v>955</v>
      </c>
      <c r="D1062" s="5">
        <v>2500000</v>
      </c>
      <c r="E1062" s="4">
        <v>36950441</v>
      </c>
      <c r="F1062" s="4" t="s">
        <v>956</v>
      </c>
      <c r="G1062" t="s">
        <v>565</v>
      </c>
      <c r="H1062" t="e">
        <f>VLOOKUP(C1062,'[1]873'!$C$2:$C$711,1,0)</f>
        <v>#N/A</v>
      </c>
    </row>
    <row r="1063" spans="1:8" ht="15" customHeight="1" x14ac:dyDescent="0.25">
      <c r="A1063" s="3">
        <v>45636</v>
      </c>
      <c r="B1063" s="43">
        <v>2024002985</v>
      </c>
      <c r="C1063" s="4" t="s">
        <v>957</v>
      </c>
      <c r="D1063" s="5">
        <v>2733600</v>
      </c>
      <c r="E1063" s="4">
        <v>31324345</v>
      </c>
      <c r="F1063" s="4" t="s">
        <v>958</v>
      </c>
      <c r="G1063" t="s">
        <v>565</v>
      </c>
      <c r="H1063" t="e">
        <f>VLOOKUP(C1063,'[1]873'!$C$2:$C$711,1,0)</f>
        <v>#N/A</v>
      </c>
    </row>
    <row r="1064" spans="1:8" ht="15" customHeight="1" x14ac:dyDescent="0.25">
      <c r="A1064" s="3">
        <v>45636</v>
      </c>
      <c r="B1064" s="43">
        <v>2024002986</v>
      </c>
      <c r="C1064" s="4" t="s">
        <v>752</v>
      </c>
      <c r="D1064" s="5">
        <v>7540000</v>
      </c>
      <c r="E1064" s="4">
        <v>1233189066</v>
      </c>
      <c r="F1064" s="4" t="s">
        <v>239</v>
      </c>
      <c r="G1064" t="s">
        <v>565</v>
      </c>
      <c r="H1064" t="e">
        <f>VLOOKUP(C1064,'[1]873'!$C$2:$C$711,1,0)</f>
        <v>#N/A</v>
      </c>
    </row>
    <row r="1065" spans="1:8" ht="15" customHeight="1" x14ac:dyDescent="0.25">
      <c r="A1065" s="3">
        <v>45636</v>
      </c>
      <c r="B1065" s="43">
        <v>2024002995</v>
      </c>
      <c r="C1065" s="4" t="s">
        <v>959</v>
      </c>
      <c r="D1065" s="5">
        <v>3000000</v>
      </c>
      <c r="E1065" s="4">
        <v>1085286725</v>
      </c>
      <c r="F1065" s="4" t="s">
        <v>111</v>
      </c>
      <c r="G1065" t="s">
        <v>565</v>
      </c>
      <c r="H1065" t="e">
        <f>VLOOKUP(C1065,'[1]873'!$C$2:$C$711,1,0)</f>
        <v>#N/A</v>
      </c>
    </row>
    <row r="1066" spans="1:8" ht="15" customHeight="1" x14ac:dyDescent="0.25">
      <c r="A1066" s="3">
        <v>45636</v>
      </c>
      <c r="B1066" s="43">
        <v>2024002996</v>
      </c>
      <c r="C1066" s="4" t="s">
        <v>795</v>
      </c>
      <c r="D1066" s="5">
        <v>3000000</v>
      </c>
      <c r="E1066" s="4">
        <v>1007356378</v>
      </c>
      <c r="F1066" s="4" t="s">
        <v>45</v>
      </c>
      <c r="G1066" t="s">
        <v>565</v>
      </c>
      <c r="H1066" t="e">
        <f>VLOOKUP(C1066,'[1]873'!$C$2:$C$711,1,0)</f>
        <v>#N/A</v>
      </c>
    </row>
    <row r="1067" spans="1:8" ht="15" customHeight="1" x14ac:dyDescent="0.25">
      <c r="A1067" s="3">
        <v>45636</v>
      </c>
      <c r="B1067" s="43">
        <v>2024002997</v>
      </c>
      <c r="C1067" s="4" t="s">
        <v>831</v>
      </c>
      <c r="D1067" s="5">
        <v>3000000</v>
      </c>
      <c r="E1067" s="4">
        <v>27087122</v>
      </c>
      <c r="F1067" s="4" t="s">
        <v>37</v>
      </c>
      <c r="G1067" t="s">
        <v>565</v>
      </c>
      <c r="H1067" t="e">
        <f>VLOOKUP(C1067,'[1]873'!$C$2:$C$711,1,0)</f>
        <v>#N/A</v>
      </c>
    </row>
    <row r="1068" spans="1:8" ht="15" customHeight="1" x14ac:dyDescent="0.25">
      <c r="A1068" s="3">
        <v>45636</v>
      </c>
      <c r="B1068" s="43">
        <v>2024002998</v>
      </c>
      <c r="C1068" s="4" t="s">
        <v>662</v>
      </c>
      <c r="D1068" s="5">
        <v>2500000</v>
      </c>
      <c r="E1068" s="4">
        <v>1085330079</v>
      </c>
      <c r="F1068" s="4" t="s">
        <v>293</v>
      </c>
      <c r="G1068" t="s">
        <v>565</v>
      </c>
      <c r="H1068" t="e">
        <f>VLOOKUP(C1068,'[1]873'!$C$2:$C$711,1,0)</f>
        <v>#N/A</v>
      </c>
    </row>
    <row r="1069" spans="1:8" ht="15" customHeight="1" x14ac:dyDescent="0.25">
      <c r="A1069" s="3">
        <v>45636</v>
      </c>
      <c r="B1069" s="43">
        <v>2024002999</v>
      </c>
      <c r="C1069" s="4" t="s">
        <v>706</v>
      </c>
      <c r="D1069" s="5">
        <v>7500000</v>
      </c>
      <c r="E1069" s="4">
        <v>1088599676</v>
      </c>
      <c r="F1069" s="4" t="s">
        <v>421</v>
      </c>
      <c r="G1069" t="s">
        <v>565</v>
      </c>
      <c r="H1069" t="e">
        <f>VLOOKUP(C1069,'[1]873'!$C$2:$C$711,1,0)</f>
        <v>#N/A</v>
      </c>
    </row>
    <row r="1070" spans="1:8" ht="15" customHeight="1" x14ac:dyDescent="0.25">
      <c r="A1070" s="3">
        <v>45636</v>
      </c>
      <c r="B1070" s="43">
        <v>2024003001</v>
      </c>
      <c r="C1070" s="4" t="s">
        <v>960</v>
      </c>
      <c r="D1070" s="5">
        <v>4750000</v>
      </c>
      <c r="E1070" s="4">
        <v>1233188873</v>
      </c>
      <c r="F1070" s="4" t="s">
        <v>961</v>
      </c>
      <c r="G1070" t="s">
        <v>565</v>
      </c>
      <c r="H1070" t="e">
        <f>VLOOKUP(C1070,'[1]873'!$C$2:$C$711,1,0)</f>
        <v>#N/A</v>
      </c>
    </row>
    <row r="1071" spans="1:8" ht="15" customHeight="1" x14ac:dyDescent="0.25">
      <c r="A1071" s="3">
        <v>45636</v>
      </c>
      <c r="B1071" s="43">
        <v>2024003002</v>
      </c>
      <c r="C1071" s="4" t="s">
        <v>962</v>
      </c>
      <c r="D1071" s="5">
        <v>3000000</v>
      </c>
      <c r="E1071" s="4">
        <v>1081272656</v>
      </c>
      <c r="F1071" s="4" t="s">
        <v>963</v>
      </c>
      <c r="G1071" t="s">
        <v>565</v>
      </c>
      <c r="H1071" t="e">
        <f>VLOOKUP(C1071,'[1]873'!$C$2:$C$711,1,0)</f>
        <v>#N/A</v>
      </c>
    </row>
    <row r="1072" spans="1:8" ht="15" customHeight="1" x14ac:dyDescent="0.25">
      <c r="A1072" s="3">
        <v>45637</v>
      </c>
      <c r="B1072" s="43">
        <v>2024003004</v>
      </c>
      <c r="C1072" s="4" t="s">
        <v>869</v>
      </c>
      <c r="D1072" s="5">
        <v>3000000</v>
      </c>
      <c r="E1072" s="4">
        <v>1004410201</v>
      </c>
      <c r="F1072" s="4" t="s">
        <v>403</v>
      </c>
      <c r="G1072" t="s">
        <v>565</v>
      </c>
      <c r="H1072" t="e">
        <f>VLOOKUP(C1072,'[1]873'!$C$2:$C$711,1,0)</f>
        <v>#N/A</v>
      </c>
    </row>
    <row r="1073" spans="1:8" ht="15" customHeight="1" x14ac:dyDescent="0.25">
      <c r="A1073" s="3">
        <v>45637</v>
      </c>
      <c r="B1073" s="43">
        <v>2024003005</v>
      </c>
      <c r="C1073" s="4" t="s">
        <v>644</v>
      </c>
      <c r="D1073" s="5">
        <v>55861750</v>
      </c>
      <c r="E1073" s="4">
        <v>900633448</v>
      </c>
      <c r="F1073" s="4" t="s">
        <v>165</v>
      </c>
      <c r="G1073" t="s">
        <v>565</v>
      </c>
      <c r="H1073" t="e">
        <f>VLOOKUP(C1073,'[1]873'!$C$2:$C$711,1,0)</f>
        <v>#N/A</v>
      </c>
    </row>
    <row r="1074" spans="1:8" ht="15" customHeight="1" x14ac:dyDescent="0.25">
      <c r="A1074" s="3">
        <v>45637</v>
      </c>
      <c r="B1074" s="43">
        <v>2024003006</v>
      </c>
      <c r="C1074" s="4" t="s">
        <v>635</v>
      </c>
      <c r="D1074" s="5">
        <v>85878450</v>
      </c>
      <c r="E1074" s="4">
        <v>900633448</v>
      </c>
      <c r="F1074" s="4" t="s">
        <v>165</v>
      </c>
      <c r="G1074" t="s">
        <v>565</v>
      </c>
      <c r="H1074" t="e">
        <f>VLOOKUP(C1074,'[1]873'!$C$2:$C$711,1,0)</f>
        <v>#N/A</v>
      </c>
    </row>
    <row r="1075" spans="1:8" ht="15" customHeight="1" x14ac:dyDescent="0.25">
      <c r="A1075" s="3">
        <v>45637</v>
      </c>
      <c r="B1075" s="43">
        <v>2024003007</v>
      </c>
      <c r="C1075" s="4" t="s">
        <v>830</v>
      </c>
      <c r="D1075" s="5">
        <v>2500000</v>
      </c>
      <c r="E1075" s="4">
        <v>1085289798</v>
      </c>
      <c r="F1075" s="4" t="s">
        <v>375</v>
      </c>
      <c r="G1075" t="s">
        <v>565</v>
      </c>
      <c r="H1075" t="e">
        <f>VLOOKUP(C1075,'[1]873'!$C$2:$C$711,1,0)</f>
        <v>#N/A</v>
      </c>
    </row>
    <row r="1076" spans="1:8" ht="15" customHeight="1" x14ac:dyDescent="0.25">
      <c r="A1076" s="3">
        <v>45637</v>
      </c>
      <c r="B1076" s="43">
        <v>2024003008</v>
      </c>
      <c r="C1076" s="4" t="s">
        <v>636</v>
      </c>
      <c r="D1076" s="5">
        <v>63773500</v>
      </c>
      <c r="E1076" s="4">
        <v>900633448</v>
      </c>
      <c r="F1076" s="4" t="s">
        <v>165</v>
      </c>
      <c r="G1076" t="s">
        <v>565</v>
      </c>
      <c r="H1076" t="e">
        <f>VLOOKUP(C1076,'[1]873'!$C$2:$C$711,1,0)</f>
        <v>#N/A</v>
      </c>
    </row>
    <row r="1077" spans="1:8" ht="15" customHeight="1" x14ac:dyDescent="0.25">
      <c r="A1077" s="3">
        <v>45637</v>
      </c>
      <c r="B1077" s="43">
        <v>2024003009</v>
      </c>
      <c r="C1077" s="4" t="s">
        <v>736</v>
      </c>
      <c r="D1077" s="5">
        <v>6000000</v>
      </c>
      <c r="E1077" s="4">
        <v>36954410</v>
      </c>
      <c r="F1077" s="4" t="s">
        <v>343</v>
      </c>
      <c r="G1077" t="s">
        <v>565</v>
      </c>
      <c r="H1077" t="e">
        <f>VLOOKUP(C1077,'[1]873'!$C$2:$C$711,1,0)</f>
        <v>#N/A</v>
      </c>
    </row>
    <row r="1078" spans="1:8" ht="15" customHeight="1" x14ac:dyDescent="0.25">
      <c r="A1078" s="3">
        <v>45637</v>
      </c>
      <c r="B1078" s="43">
        <v>2024003010</v>
      </c>
      <c r="C1078" s="4" t="s">
        <v>637</v>
      </c>
      <c r="D1078" s="5">
        <v>87508750</v>
      </c>
      <c r="E1078" s="4">
        <v>900633448</v>
      </c>
      <c r="F1078" s="4" t="s">
        <v>165</v>
      </c>
      <c r="G1078" t="s">
        <v>565</v>
      </c>
      <c r="H1078" t="e">
        <f>VLOOKUP(C1078,'[1]873'!$C$2:$C$711,1,0)</f>
        <v>#N/A</v>
      </c>
    </row>
    <row r="1079" spans="1:8" ht="15" customHeight="1" x14ac:dyDescent="0.25">
      <c r="A1079" s="3">
        <v>45637</v>
      </c>
      <c r="B1079" s="43">
        <v>2024003011</v>
      </c>
      <c r="C1079" s="4" t="s">
        <v>748</v>
      </c>
      <c r="D1079" s="5">
        <v>7540000</v>
      </c>
      <c r="E1079" s="4">
        <v>1085344794</v>
      </c>
      <c r="F1079" s="4" t="s">
        <v>749</v>
      </c>
      <c r="G1079" t="s">
        <v>565</v>
      </c>
      <c r="H1079" t="e">
        <f>VLOOKUP(C1079,'[1]873'!$C$2:$C$711,1,0)</f>
        <v>#N/A</v>
      </c>
    </row>
    <row r="1080" spans="1:8" ht="15" customHeight="1" x14ac:dyDescent="0.25">
      <c r="A1080" s="3">
        <v>45637</v>
      </c>
      <c r="B1080" s="43">
        <v>2024003012</v>
      </c>
      <c r="C1080" s="4" t="s">
        <v>885</v>
      </c>
      <c r="D1080" s="5">
        <v>3000000</v>
      </c>
      <c r="E1080" s="4">
        <v>1084224968</v>
      </c>
      <c r="F1080" s="4" t="s">
        <v>886</v>
      </c>
      <c r="G1080" t="s">
        <v>565</v>
      </c>
      <c r="H1080" t="e">
        <f>VLOOKUP(C1080,'[1]873'!$C$2:$C$711,1,0)</f>
        <v>#N/A</v>
      </c>
    </row>
    <row r="1081" spans="1:8" ht="15" customHeight="1" x14ac:dyDescent="0.25">
      <c r="A1081" s="3">
        <v>45637</v>
      </c>
      <c r="B1081" s="43">
        <v>2024003013</v>
      </c>
      <c r="C1081" s="4" t="s">
        <v>598</v>
      </c>
      <c r="D1081" s="5">
        <v>106164667</v>
      </c>
      <c r="E1081" s="4">
        <v>900994364</v>
      </c>
      <c r="F1081" s="4" t="s">
        <v>269</v>
      </c>
      <c r="G1081" t="s">
        <v>565</v>
      </c>
      <c r="H1081" t="e">
        <f>VLOOKUP(C1081,'[1]873'!$C$2:$C$711,1,0)</f>
        <v>#N/A</v>
      </c>
    </row>
    <row r="1082" spans="1:8" ht="15" customHeight="1" x14ac:dyDescent="0.25">
      <c r="A1082" s="3">
        <v>45637</v>
      </c>
      <c r="B1082" s="43">
        <v>2024003014</v>
      </c>
      <c r="C1082" s="4" t="s">
        <v>657</v>
      </c>
      <c r="D1082" s="5">
        <v>3000000</v>
      </c>
      <c r="E1082" s="4">
        <v>1081052746</v>
      </c>
      <c r="F1082" s="4" t="s">
        <v>658</v>
      </c>
      <c r="G1082" t="s">
        <v>565</v>
      </c>
      <c r="H1082" t="e">
        <f>VLOOKUP(C1082,'[1]873'!$C$2:$C$711,1,0)</f>
        <v>#N/A</v>
      </c>
    </row>
    <row r="1083" spans="1:8" ht="15" customHeight="1" x14ac:dyDescent="0.25">
      <c r="A1083" s="3">
        <v>45637</v>
      </c>
      <c r="B1083" s="43">
        <v>2024003016</v>
      </c>
      <c r="C1083" s="4" t="s">
        <v>744</v>
      </c>
      <c r="D1083" s="5">
        <v>7540000</v>
      </c>
      <c r="E1083" s="4">
        <v>1085293105</v>
      </c>
      <c r="F1083" s="4" t="s">
        <v>745</v>
      </c>
      <c r="G1083" t="s">
        <v>565</v>
      </c>
      <c r="H1083" t="e">
        <f>VLOOKUP(C1083,'[1]873'!$C$2:$C$711,1,0)</f>
        <v>#N/A</v>
      </c>
    </row>
    <row r="1084" spans="1:8" ht="15" customHeight="1" x14ac:dyDescent="0.25">
      <c r="A1084" s="3">
        <v>45637</v>
      </c>
      <c r="B1084" s="43">
        <v>2024003017</v>
      </c>
      <c r="C1084" s="4" t="s">
        <v>809</v>
      </c>
      <c r="D1084" s="5">
        <v>2500000</v>
      </c>
      <c r="E1084" s="4">
        <v>59830219</v>
      </c>
      <c r="F1084" s="4" t="s">
        <v>281</v>
      </c>
      <c r="G1084" t="s">
        <v>565</v>
      </c>
      <c r="H1084" t="e">
        <f>VLOOKUP(C1084,'[1]873'!$C$2:$C$711,1,0)</f>
        <v>#N/A</v>
      </c>
    </row>
    <row r="1085" spans="1:8" ht="15" customHeight="1" x14ac:dyDescent="0.25">
      <c r="A1085" s="3">
        <v>45637</v>
      </c>
      <c r="B1085" s="43">
        <v>2024003018</v>
      </c>
      <c r="C1085" s="4" t="s">
        <v>964</v>
      </c>
      <c r="D1085" s="5">
        <v>7540000</v>
      </c>
      <c r="E1085" s="4">
        <v>1085291725</v>
      </c>
      <c r="F1085" s="4" t="s">
        <v>965</v>
      </c>
      <c r="G1085" t="s">
        <v>565</v>
      </c>
      <c r="H1085" t="e">
        <f>VLOOKUP(C1085,'[1]873'!$C$2:$C$711,1,0)</f>
        <v>#N/A</v>
      </c>
    </row>
    <row r="1086" spans="1:8" ht="15" customHeight="1" x14ac:dyDescent="0.25">
      <c r="A1086" s="3">
        <v>45637</v>
      </c>
      <c r="B1086" s="43">
        <v>2024003019</v>
      </c>
      <c r="C1086" s="4" t="s">
        <v>916</v>
      </c>
      <c r="D1086" s="5">
        <v>3000000</v>
      </c>
      <c r="E1086" s="4">
        <v>30743783</v>
      </c>
      <c r="F1086" s="4" t="s">
        <v>504</v>
      </c>
      <c r="G1086" t="s">
        <v>565</v>
      </c>
      <c r="H1086" t="e">
        <f>VLOOKUP(C1086,'[1]873'!$C$2:$C$711,1,0)</f>
        <v>#N/A</v>
      </c>
    </row>
    <row r="1087" spans="1:8" ht="15" customHeight="1" x14ac:dyDescent="0.25">
      <c r="A1087" s="3">
        <v>45637</v>
      </c>
      <c r="B1087" s="43">
        <v>2024003020</v>
      </c>
      <c r="C1087" s="4" t="s">
        <v>715</v>
      </c>
      <c r="D1087" s="5">
        <v>3000000</v>
      </c>
      <c r="E1087" s="4">
        <v>1085318688</v>
      </c>
      <c r="F1087" s="4" t="s">
        <v>427</v>
      </c>
      <c r="G1087" t="s">
        <v>565</v>
      </c>
      <c r="H1087" t="e">
        <f>VLOOKUP(C1087,'[1]873'!$C$2:$C$711,1,0)</f>
        <v>#N/A</v>
      </c>
    </row>
    <row r="1088" spans="1:8" ht="15" customHeight="1" x14ac:dyDescent="0.25">
      <c r="A1088" s="3">
        <v>45637</v>
      </c>
      <c r="B1088" s="43">
        <v>2024003021</v>
      </c>
      <c r="C1088" s="4" t="s">
        <v>716</v>
      </c>
      <c r="D1088" s="5">
        <v>3000000</v>
      </c>
      <c r="E1088" s="4">
        <v>1085339190</v>
      </c>
      <c r="F1088" s="4" t="s">
        <v>149</v>
      </c>
      <c r="G1088" t="s">
        <v>565</v>
      </c>
      <c r="H1088" t="e">
        <f>VLOOKUP(C1088,'[1]873'!$C$2:$C$711,1,0)</f>
        <v>#N/A</v>
      </c>
    </row>
    <row r="1089" spans="1:8" ht="15" customHeight="1" x14ac:dyDescent="0.25">
      <c r="A1089" s="3">
        <v>45637</v>
      </c>
      <c r="B1089" s="43">
        <v>2024003022</v>
      </c>
      <c r="C1089" s="4" t="s">
        <v>801</v>
      </c>
      <c r="D1089" s="5">
        <v>2500000</v>
      </c>
      <c r="E1089" s="4">
        <v>12994466</v>
      </c>
      <c r="F1089" s="4" t="s">
        <v>802</v>
      </c>
      <c r="G1089" t="s">
        <v>565</v>
      </c>
      <c r="H1089" t="e">
        <f>VLOOKUP(C1089,'[1]873'!$C$2:$C$711,1,0)</f>
        <v>#N/A</v>
      </c>
    </row>
    <row r="1090" spans="1:8" ht="15" customHeight="1" x14ac:dyDescent="0.25">
      <c r="A1090" s="3">
        <v>45637</v>
      </c>
      <c r="B1090" s="43">
        <v>2024003023</v>
      </c>
      <c r="C1090" s="4" t="s">
        <v>892</v>
      </c>
      <c r="D1090" s="5">
        <v>3000000</v>
      </c>
      <c r="E1090" s="4">
        <v>13070330</v>
      </c>
      <c r="F1090" s="4" t="s">
        <v>101</v>
      </c>
      <c r="G1090" t="s">
        <v>565</v>
      </c>
      <c r="H1090" t="e">
        <f>VLOOKUP(C1090,'[1]873'!$C$2:$C$711,1,0)</f>
        <v>#N/A</v>
      </c>
    </row>
    <row r="1091" spans="1:8" ht="15" customHeight="1" x14ac:dyDescent="0.25">
      <c r="A1091" s="3">
        <v>45637</v>
      </c>
      <c r="B1091" s="43">
        <v>2024003024</v>
      </c>
      <c r="C1091" s="4" t="s">
        <v>714</v>
      </c>
      <c r="D1091" s="5">
        <v>4750000</v>
      </c>
      <c r="E1091" s="4">
        <v>59824313</v>
      </c>
      <c r="F1091" s="4" t="s">
        <v>151</v>
      </c>
      <c r="G1091" t="s">
        <v>565</v>
      </c>
      <c r="H1091" t="e">
        <f>VLOOKUP(C1091,'[1]873'!$C$2:$C$711,1,0)</f>
        <v>#N/A</v>
      </c>
    </row>
    <row r="1092" spans="1:8" ht="15" customHeight="1" x14ac:dyDescent="0.25">
      <c r="A1092" s="3">
        <v>45637</v>
      </c>
      <c r="B1092" s="43">
        <v>2024003025</v>
      </c>
      <c r="C1092" s="4" t="s">
        <v>704</v>
      </c>
      <c r="D1092" s="5">
        <v>4750000</v>
      </c>
      <c r="E1092" s="4">
        <v>36759759</v>
      </c>
      <c r="F1092" s="4" t="s">
        <v>705</v>
      </c>
      <c r="G1092" t="s">
        <v>565</v>
      </c>
      <c r="H1092" t="e">
        <f>VLOOKUP(C1092,'[1]873'!$C$2:$C$711,1,0)</f>
        <v>#N/A</v>
      </c>
    </row>
    <row r="1093" spans="1:8" ht="15" customHeight="1" x14ac:dyDescent="0.25">
      <c r="A1093" s="3">
        <v>45637</v>
      </c>
      <c r="B1093" s="43">
        <v>2024003026</v>
      </c>
      <c r="C1093" s="4" t="s">
        <v>853</v>
      </c>
      <c r="D1093" s="5">
        <v>4825000</v>
      </c>
      <c r="E1093" s="4">
        <v>1087643211</v>
      </c>
      <c r="F1093" s="4" t="s">
        <v>131</v>
      </c>
      <c r="G1093" t="s">
        <v>565</v>
      </c>
      <c r="H1093" t="e">
        <f>VLOOKUP(C1093,'[1]873'!$C$2:$C$711,1,0)</f>
        <v>#N/A</v>
      </c>
    </row>
    <row r="1094" spans="1:8" ht="15" customHeight="1" x14ac:dyDescent="0.25">
      <c r="A1094" s="3">
        <v>45637</v>
      </c>
      <c r="B1094" s="43">
        <v>2024003027</v>
      </c>
      <c r="C1094" s="4" t="s">
        <v>774</v>
      </c>
      <c r="D1094" s="5">
        <v>3000000</v>
      </c>
      <c r="E1094" s="4">
        <v>1081272025</v>
      </c>
      <c r="F1094" s="4" t="s">
        <v>59</v>
      </c>
      <c r="G1094" t="s">
        <v>565</v>
      </c>
      <c r="H1094" t="e">
        <f>VLOOKUP(C1094,'[1]873'!$C$2:$C$711,1,0)</f>
        <v>#N/A</v>
      </c>
    </row>
    <row r="1095" spans="1:8" ht="15" customHeight="1" x14ac:dyDescent="0.25">
      <c r="A1095" s="3">
        <v>45637</v>
      </c>
      <c r="B1095" s="43">
        <v>2024003028</v>
      </c>
      <c r="C1095" s="4" t="s">
        <v>775</v>
      </c>
      <c r="D1095" s="5">
        <v>3000000</v>
      </c>
      <c r="E1095" s="4">
        <v>1193385397</v>
      </c>
      <c r="F1095" s="4" t="s">
        <v>39</v>
      </c>
      <c r="G1095" t="s">
        <v>565</v>
      </c>
      <c r="H1095" t="e">
        <f>VLOOKUP(C1095,'[1]873'!$C$2:$C$711,1,0)</f>
        <v>#N/A</v>
      </c>
    </row>
    <row r="1096" spans="1:8" ht="15" customHeight="1" x14ac:dyDescent="0.25">
      <c r="A1096" s="3">
        <v>45637</v>
      </c>
      <c r="B1096" s="43">
        <v>2024003029</v>
      </c>
      <c r="C1096" s="4" t="s">
        <v>816</v>
      </c>
      <c r="D1096" s="5">
        <v>4750000</v>
      </c>
      <c r="E1096" s="4">
        <v>87060703</v>
      </c>
      <c r="F1096" s="4" t="s">
        <v>223</v>
      </c>
      <c r="G1096" t="s">
        <v>565</v>
      </c>
      <c r="H1096" t="e">
        <f>VLOOKUP(C1096,'[1]873'!$C$2:$C$711,1,0)</f>
        <v>#N/A</v>
      </c>
    </row>
    <row r="1097" spans="1:8" ht="15" customHeight="1" x14ac:dyDescent="0.25">
      <c r="A1097" s="3">
        <v>45637</v>
      </c>
      <c r="B1097" s="43">
        <v>2024003030</v>
      </c>
      <c r="C1097" s="4" t="s">
        <v>610</v>
      </c>
      <c r="D1097" s="5">
        <v>6000000</v>
      </c>
      <c r="E1097" s="4">
        <v>1085254626</v>
      </c>
      <c r="F1097" s="4" t="s">
        <v>143</v>
      </c>
      <c r="G1097" t="s">
        <v>565</v>
      </c>
      <c r="H1097" t="e">
        <f>VLOOKUP(C1097,'[1]873'!$C$2:$C$711,1,0)</f>
        <v>#N/A</v>
      </c>
    </row>
    <row r="1098" spans="1:8" ht="15" customHeight="1" x14ac:dyDescent="0.25">
      <c r="A1098" s="3">
        <v>45637</v>
      </c>
      <c r="B1098" s="43">
        <v>2024003031</v>
      </c>
      <c r="C1098" s="4" t="s">
        <v>646</v>
      </c>
      <c r="D1098" s="5">
        <v>7540000</v>
      </c>
      <c r="E1098" s="4">
        <v>1085332934</v>
      </c>
      <c r="F1098" s="4" t="s">
        <v>379</v>
      </c>
      <c r="G1098" t="s">
        <v>565</v>
      </c>
      <c r="H1098" t="e">
        <f>VLOOKUP(C1098,'[1]873'!$C$2:$C$711,1,0)</f>
        <v>#N/A</v>
      </c>
    </row>
    <row r="1099" spans="1:8" ht="15" customHeight="1" x14ac:dyDescent="0.25">
      <c r="A1099" s="3">
        <v>45637</v>
      </c>
      <c r="B1099" s="43">
        <v>2024003032</v>
      </c>
      <c r="C1099" s="4" t="s">
        <v>811</v>
      </c>
      <c r="D1099" s="5">
        <v>3000000</v>
      </c>
      <c r="E1099" s="4">
        <v>1085296353</v>
      </c>
      <c r="F1099" s="4" t="s">
        <v>187</v>
      </c>
      <c r="G1099" t="s">
        <v>565</v>
      </c>
      <c r="H1099" t="e">
        <f>VLOOKUP(C1099,'[1]873'!$C$2:$C$711,1,0)</f>
        <v>#N/A</v>
      </c>
    </row>
    <row r="1100" spans="1:8" ht="15" customHeight="1" x14ac:dyDescent="0.25">
      <c r="A1100" s="3">
        <v>45637</v>
      </c>
      <c r="B1100" s="43">
        <v>2024003033</v>
      </c>
      <c r="C1100" s="4" t="s">
        <v>709</v>
      </c>
      <c r="D1100" s="5">
        <v>4750000</v>
      </c>
      <c r="E1100" s="4">
        <v>1087414586</v>
      </c>
      <c r="F1100" s="4" t="s">
        <v>47</v>
      </c>
      <c r="G1100" t="s">
        <v>565</v>
      </c>
      <c r="H1100" t="e">
        <f>VLOOKUP(C1100,'[1]873'!$C$2:$C$711,1,0)</f>
        <v>#N/A</v>
      </c>
    </row>
    <row r="1101" spans="1:8" ht="15" customHeight="1" x14ac:dyDescent="0.25">
      <c r="A1101" s="3">
        <v>45637</v>
      </c>
      <c r="B1101" s="43">
        <v>2024003034</v>
      </c>
      <c r="C1101" s="4" t="s">
        <v>953</v>
      </c>
      <c r="D1101" s="5">
        <v>6000000</v>
      </c>
      <c r="E1101" s="4">
        <v>1087420025</v>
      </c>
      <c r="F1101" s="4" t="s">
        <v>954</v>
      </c>
      <c r="G1101" t="s">
        <v>565</v>
      </c>
      <c r="H1101" t="e">
        <f>VLOOKUP(C1101,'[1]873'!$C$2:$C$711,1,0)</f>
        <v>#N/A</v>
      </c>
    </row>
    <row r="1102" spans="1:8" ht="15" customHeight="1" x14ac:dyDescent="0.25">
      <c r="A1102" s="3">
        <v>45637</v>
      </c>
      <c r="B1102" s="43">
        <v>2024003035</v>
      </c>
      <c r="C1102" s="4" t="s">
        <v>888</v>
      </c>
      <c r="D1102" s="5">
        <v>7540000</v>
      </c>
      <c r="E1102" s="4">
        <v>1233193882</v>
      </c>
      <c r="F1102" s="4" t="s">
        <v>889</v>
      </c>
      <c r="G1102" t="s">
        <v>565</v>
      </c>
      <c r="H1102" t="e">
        <f>VLOOKUP(C1102,'[1]873'!$C$2:$C$711,1,0)</f>
        <v>#N/A</v>
      </c>
    </row>
    <row r="1103" spans="1:8" ht="15" customHeight="1" x14ac:dyDescent="0.25">
      <c r="A1103" s="3">
        <v>45637</v>
      </c>
      <c r="B1103" s="43">
        <v>2024003036</v>
      </c>
      <c r="C1103" s="4" t="s">
        <v>907</v>
      </c>
      <c r="D1103" s="5">
        <v>6000000</v>
      </c>
      <c r="E1103" s="4">
        <v>1004131723</v>
      </c>
      <c r="F1103" s="4" t="s">
        <v>908</v>
      </c>
      <c r="G1103" t="s">
        <v>565</v>
      </c>
      <c r="H1103" t="e">
        <f>VLOOKUP(C1103,'[1]873'!$C$2:$C$711,1,0)</f>
        <v>#N/A</v>
      </c>
    </row>
    <row r="1104" spans="1:8" ht="15" customHeight="1" x14ac:dyDescent="0.25">
      <c r="A1104" s="3">
        <v>45637</v>
      </c>
      <c r="B1104" s="43">
        <v>2024003040</v>
      </c>
      <c r="C1104" s="4" t="s">
        <v>607</v>
      </c>
      <c r="D1104" s="5">
        <v>3000000</v>
      </c>
      <c r="E1104" s="4">
        <v>1085295383</v>
      </c>
      <c r="F1104" s="4" t="s">
        <v>139</v>
      </c>
      <c r="G1104" t="s">
        <v>565</v>
      </c>
      <c r="H1104" t="e">
        <f>VLOOKUP(C1104,'[1]873'!$C$2:$C$711,1,0)</f>
        <v>#N/A</v>
      </c>
    </row>
    <row r="1105" spans="1:8" ht="15" customHeight="1" x14ac:dyDescent="0.25">
      <c r="A1105" s="3">
        <v>45637</v>
      </c>
      <c r="B1105" s="43">
        <v>2024003041</v>
      </c>
      <c r="C1105" s="4" t="s">
        <v>604</v>
      </c>
      <c r="D1105" s="5">
        <v>7540000</v>
      </c>
      <c r="E1105" s="4">
        <v>1085336362</v>
      </c>
      <c r="F1105" s="4" t="s">
        <v>41</v>
      </c>
      <c r="G1105" t="s">
        <v>565</v>
      </c>
      <c r="H1105" t="e">
        <f>VLOOKUP(C1105,'[1]873'!$C$2:$C$711,1,0)</f>
        <v>#N/A</v>
      </c>
    </row>
    <row r="1106" spans="1:8" ht="15" customHeight="1" x14ac:dyDescent="0.25">
      <c r="A1106" s="3">
        <v>45637</v>
      </c>
      <c r="B1106" s="43">
        <v>2024003042</v>
      </c>
      <c r="C1106" s="4" t="s">
        <v>734</v>
      </c>
      <c r="D1106" s="5">
        <v>4750000</v>
      </c>
      <c r="E1106" s="4">
        <v>1085343783</v>
      </c>
      <c r="F1106" s="4" t="s">
        <v>735</v>
      </c>
      <c r="G1106" t="s">
        <v>565</v>
      </c>
      <c r="H1106" t="e">
        <f>VLOOKUP(C1106,'[1]873'!$C$2:$C$711,1,0)</f>
        <v>#N/A</v>
      </c>
    </row>
    <row r="1107" spans="1:8" ht="15" customHeight="1" x14ac:dyDescent="0.25">
      <c r="A1107" s="3">
        <v>45637</v>
      </c>
      <c r="B1107" s="43">
        <v>2024003043</v>
      </c>
      <c r="C1107" s="4" t="s">
        <v>966</v>
      </c>
      <c r="D1107" s="5">
        <v>7540000</v>
      </c>
      <c r="E1107" s="4">
        <v>1085315800</v>
      </c>
      <c r="F1107" s="4" t="s">
        <v>967</v>
      </c>
      <c r="G1107" t="s">
        <v>565</v>
      </c>
      <c r="H1107" t="e">
        <f>VLOOKUP(C1107,'[1]873'!$C$2:$C$711,1,0)</f>
        <v>#N/A</v>
      </c>
    </row>
    <row r="1108" spans="1:8" ht="15" customHeight="1" x14ac:dyDescent="0.25">
      <c r="A1108" s="3">
        <v>45637</v>
      </c>
      <c r="B1108" s="43">
        <v>2024003044</v>
      </c>
      <c r="C1108" s="4" t="s">
        <v>968</v>
      </c>
      <c r="D1108" s="5">
        <v>7540000</v>
      </c>
      <c r="E1108" s="4">
        <v>1085327344</v>
      </c>
      <c r="F1108" s="4" t="s">
        <v>969</v>
      </c>
      <c r="G1108" t="s">
        <v>565</v>
      </c>
      <c r="H1108" t="e">
        <f>VLOOKUP(C1108,'[1]873'!$C$2:$C$711,1,0)</f>
        <v>#N/A</v>
      </c>
    </row>
    <row r="1109" spans="1:8" ht="15" customHeight="1" x14ac:dyDescent="0.25">
      <c r="A1109" s="3">
        <v>45637</v>
      </c>
      <c r="B1109" s="43">
        <v>2024003045</v>
      </c>
      <c r="C1109" s="4" t="s">
        <v>970</v>
      </c>
      <c r="D1109" s="5">
        <v>7540000</v>
      </c>
      <c r="E1109" s="4">
        <v>1085317791</v>
      </c>
      <c r="F1109" s="4" t="s">
        <v>971</v>
      </c>
      <c r="G1109" t="s">
        <v>565</v>
      </c>
      <c r="H1109" t="e">
        <f>VLOOKUP(C1109,'[1]873'!$C$2:$C$711,1,0)</f>
        <v>#N/A</v>
      </c>
    </row>
    <row r="1110" spans="1:8" ht="15" customHeight="1" x14ac:dyDescent="0.25">
      <c r="A1110" s="3">
        <v>45637</v>
      </c>
      <c r="B1110" s="43">
        <v>2024003046</v>
      </c>
      <c r="C1110" s="4" t="s">
        <v>972</v>
      </c>
      <c r="D1110" s="5">
        <v>4750000</v>
      </c>
      <c r="E1110" s="4">
        <v>59824800</v>
      </c>
      <c r="F1110" s="4" t="s">
        <v>973</v>
      </c>
      <c r="G1110" t="s">
        <v>565</v>
      </c>
      <c r="H1110" t="e">
        <f>VLOOKUP(C1110,'[1]873'!$C$2:$C$711,1,0)</f>
        <v>#N/A</v>
      </c>
    </row>
    <row r="1111" spans="1:8" ht="15" customHeight="1" x14ac:dyDescent="0.25">
      <c r="A1111" s="3">
        <v>45637</v>
      </c>
      <c r="B1111" s="43">
        <v>2024003047</v>
      </c>
      <c r="C1111" s="4" t="s">
        <v>974</v>
      </c>
      <c r="D1111" s="5">
        <v>6000000</v>
      </c>
      <c r="E1111" s="4">
        <v>79724257</v>
      </c>
      <c r="F1111" s="4" t="s">
        <v>425</v>
      </c>
      <c r="G1111" t="s">
        <v>565</v>
      </c>
      <c r="H1111" t="e">
        <f>VLOOKUP(C1111,'[1]873'!$C$2:$C$711,1,0)</f>
        <v>#N/A</v>
      </c>
    </row>
    <row r="1112" spans="1:8" ht="15" customHeight="1" x14ac:dyDescent="0.25">
      <c r="A1112" s="3">
        <v>45637</v>
      </c>
      <c r="B1112" s="43">
        <v>2024003048</v>
      </c>
      <c r="C1112" s="4" t="s">
        <v>975</v>
      </c>
      <c r="D1112" s="5">
        <v>916300</v>
      </c>
      <c r="E1112" s="4">
        <v>1085268450</v>
      </c>
      <c r="F1112" s="4" t="s">
        <v>976</v>
      </c>
      <c r="G1112" t="s">
        <v>565</v>
      </c>
      <c r="H1112" t="e">
        <f>VLOOKUP(C1112,'[1]873'!$C$2:$C$711,1,0)</f>
        <v>#N/A</v>
      </c>
    </row>
    <row r="1113" spans="1:8" ht="15" customHeight="1" x14ac:dyDescent="0.25">
      <c r="A1113" s="3">
        <v>45637</v>
      </c>
      <c r="B1113" s="43">
        <v>2024003049</v>
      </c>
      <c r="C1113" s="4" t="s">
        <v>944</v>
      </c>
      <c r="D1113" s="5">
        <v>2500000</v>
      </c>
      <c r="E1113" s="4">
        <v>36759281</v>
      </c>
      <c r="F1113" s="4" t="s">
        <v>341</v>
      </c>
      <c r="G1113" t="s">
        <v>565</v>
      </c>
      <c r="H1113" t="e">
        <f>VLOOKUP(C1113,'[1]873'!$C$2:$C$711,1,0)</f>
        <v>#N/A</v>
      </c>
    </row>
    <row r="1114" spans="1:8" ht="15" customHeight="1" x14ac:dyDescent="0.25">
      <c r="A1114" s="3">
        <v>45637</v>
      </c>
      <c r="B1114" s="43">
        <v>2024003050</v>
      </c>
      <c r="C1114" s="4" t="s">
        <v>977</v>
      </c>
      <c r="D1114" s="5">
        <v>4825000</v>
      </c>
      <c r="E1114" s="4">
        <v>59177204</v>
      </c>
      <c r="F1114" s="4" t="s">
        <v>978</v>
      </c>
      <c r="G1114" t="s">
        <v>565</v>
      </c>
      <c r="H1114" t="e">
        <f>VLOOKUP(C1114,'[1]873'!$C$2:$C$711,1,0)</f>
        <v>#N/A</v>
      </c>
    </row>
    <row r="1115" spans="1:8" ht="15" customHeight="1" x14ac:dyDescent="0.25">
      <c r="A1115" s="3">
        <v>45637</v>
      </c>
      <c r="B1115" s="43">
        <v>2024003051</v>
      </c>
      <c r="C1115" s="4" t="s">
        <v>979</v>
      </c>
      <c r="D1115" s="5">
        <v>4825000</v>
      </c>
      <c r="E1115" s="4">
        <v>1085306723</v>
      </c>
      <c r="F1115" s="4" t="s">
        <v>980</v>
      </c>
      <c r="G1115" t="s">
        <v>565</v>
      </c>
      <c r="H1115" t="e">
        <f>VLOOKUP(C1115,'[1]873'!$C$2:$C$711,1,0)</f>
        <v>#N/A</v>
      </c>
    </row>
    <row r="1116" spans="1:8" ht="15" customHeight="1" x14ac:dyDescent="0.25">
      <c r="A1116" s="3">
        <v>45637</v>
      </c>
      <c r="B1116" s="43">
        <v>2024003052</v>
      </c>
      <c r="C1116" s="4" t="s">
        <v>890</v>
      </c>
      <c r="D1116" s="5">
        <v>3000000</v>
      </c>
      <c r="E1116" s="4">
        <v>1085277516</v>
      </c>
      <c r="F1116" s="4" t="s">
        <v>891</v>
      </c>
      <c r="G1116" t="s">
        <v>565</v>
      </c>
      <c r="H1116" t="e">
        <f>VLOOKUP(C1116,'[1]873'!$C$2:$C$711,1,0)</f>
        <v>#N/A</v>
      </c>
    </row>
    <row r="1117" spans="1:8" ht="15" customHeight="1" x14ac:dyDescent="0.25">
      <c r="A1117" s="3">
        <v>45637</v>
      </c>
      <c r="B1117" s="43">
        <v>2024003053</v>
      </c>
      <c r="C1117" s="4" t="s">
        <v>692</v>
      </c>
      <c r="D1117" s="5">
        <v>3000000</v>
      </c>
      <c r="E1117" s="4">
        <v>1085275473</v>
      </c>
      <c r="F1117" s="4" t="s">
        <v>693</v>
      </c>
      <c r="G1117" t="s">
        <v>565</v>
      </c>
      <c r="H1117" t="e">
        <f>VLOOKUP(C1117,'[1]873'!$C$2:$C$711,1,0)</f>
        <v>#N/A</v>
      </c>
    </row>
    <row r="1118" spans="1:8" ht="15" customHeight="1" x14ac:dyDescent="0.25">
      <c r="A1118" s="3">
        <v>45637</v>
      </c>
      <c r="B1118" s="43">
        <v>2024003054</v>
      </c>
      <c r="C1118" s="4" t="s">
        <v>930</v>
      </c>
      <c r="D1118" s="5">
        <v>3000000</v>
      </c>
      <c r="E1118" s="4">
        <v>1085322676</v>
      </c>
      <c r="F1118" s="4" t="s">
        <v>931</v>
      </c>
      <c r="G1118" t="s">
        <v>565</v>
      </c>
      <c r="H1118" t="e">
        <f>VLOOKUP(C1118,'[1]873'!$C$2:$C$711,1,0)</f>
        <v>#N/A</v>
      </c>
    </row>
    <row r="1119" spans="1:8" ht="15" customHeight="1" x14ac:dyDescent="0.25">
      <c r="A1119" s="3">
        <v>45637</v>
      </c>
      <c r="B1119" s="43">
        <v>2024003055</v>
      </c>
      <c r="C1119" s="4" t="s">
        <v>675</v>
      </c>
      <c r="D1119" s="5">
        <v>3000000</v>
      </c>
      <c r="E1119" s="4">
        <v>59830040</v>
      </c>
      <c r="F1119" s="4" t="s">
        <v>297</v>
      </c>
      <c r="G1119" t="s">
        <v>565</v>
      </c>
      <c r="H1119" t="e">
        <f>VLOOKUP(C1119,'[1]873'!$C$2:$C$711,1,0)</f>
        <v>#N/A</v>
      </c>
    </row>
    <row r="1120" spans="1:8" ht="15" customHeight="1" x14ac:dyDescent="0.25">
      <c r="A1120" s="3">
        <v>45637</v>
      </c>
      <c r="B1120" s="43">
        <v>2024003056</v>
      </c>
      <c r="C1120" s="4" t="s">
        <v>778</v>
      </c>
      <c r="D1120" s="5">
        <v>3000000</v>
      </c>
      <c r="E1120" s="4">
        <v>1085324685</v>
      </c>
      <c r="F1120" s="4" t="s">
        <v>779</v>
      </c>
      <c r="G1120" t="s">
        <v>565</v>
      </c>
      <c r="H1120" t="e">
        <f>VLOOKUP(C1120,'[1]873'!$C$2:$C$711,1,0)</f>
        <v>#N/A</v>
      </c>
    </row>
    <row r="1121" spans="1:8" ht="15" customHeight="1" x14ac:dyDescent="0.25">
      <c r="A1121" s="3">
        <v>45637</v>
      </c>
      <c r="B1121" s="43">
        <v>2024003057</v>
      </c>
      <c r="C1121" s="4" t="s">
        <v>923</v>
      </c>
      <c r="D1121" s="5">
        <v>3000000</v>
      </c>
      <c r="E1121" s="4">
        <v>1085310350</v>
      </c>
      <c r="F1121" s="4" t="s">
        <v>924</v>
      </c>
      <c r="G1121" t="s">
        <v>565</v>
      </c>
      <c r="H1121" t="e">
        <f>VLOOKUP(C1121,'[1]873'!$C$2:$C$711,1,0)</f>
        <v>#N/A</v>
      </c>
    </row>
    <row r="1122" spans="1:8" ht="15" customHeight="1" x14ac:dyDescent="0.25">
      <c r="A1122" s="3">
        <v>45638</v>
      </c>
      <c r="B1122" s="43">
        <v>2024003058</v>
      </c>
      <c r="C1122" s="4" t="s">
        <v>742</v>
      </c>
      <c r="D1122" s="5">
        <v>3000000</v>
      </c>
      <c r="E1122" s="4">
        <v>1004709928</v>
      </c>
      <c r="F1122" s="4" t="s">
        <v>289</v>
      </c>
      <c r="G1122" t="s">
        <v>565</v>
      </c>
      <c r="H1122" t="e">
        <f>VLOOKUP(C1122,'[1]873'!$C$2:$C$711,1,0)</f>
        <v>#N/A</v>
      </c>
    </row>
    <row r="1123" spans="1:8" ht="15" customHeight="1" x14ac:dyDescent="0.25">
      <c r="A1123" s="3">
        <v>45638</v>
      </c>
      <c r="B1123" s="43">
        <v>2024003059</v>
      </c>
      <c r="C1123" s="4" t="s">
        <v>981</v>
      </c>
      <c r="D1123" s="5">
        <v>2200000</v>
      </c>
      <c r="E1123" s="4">
        <v>1233193716</v>
      </c>
      <c r="F1123" s="4" t="s">
        <v>597</v>
      </c>
      <c r="G1123" t="s">
        <v>565</v>
      </c>
      <c r="H1123" t="e">
        <f>VLOOKUP(C1123,'[1]873'!$C$2:$C$711,1,0)</f>
        <v>#N/A</v>
      </c>
    </row>
    <row r="1124" spans="1:8" ht="15" customHeight="1" x14ac:dyDescent="0.25">
      <c r="A1124" s="3">
        <v>45638</v>
      </c>
      <c r="B1124" s="43">
        <v>2024003060</v>
      </c>
      <c r="C1124" s="4" t="s">
        <v>919</v>
      </c>
      <c r="D1124" s="5">
        <v>3000000</v>
      </c>
      <c r="E1124" s="4">
        <v>1085260568</v>
      </c>
      <c r="F1124" s="4" t="s">
        <v>419</v>
      </c>
      <c r="G1124" t="s">
        <v>565</v>
      </c>
      <c r="H1124" t="e">
        <f>VLOOKUP(C1124,'[1]873'!$C$2:$C$711,1,0)</f>
        <v>#N/A</v>
      </c>
    </row>
    <row r="1125" spans="1:8" ht="15" customHeight="1" x14ac:dyDescent="0.25">
      <c r="A1125" s="3">
        <v>45638</v>
      </c>
      <c r="B1125" s="43">
        <v>2024003061</v>
      </c>
      <c r="C1125" s="4" t="s">
        <v>982</v>
      </c>
      <c r="D1125" s="5">
        <v>7540000</v>
      </c>
      <c r="E1125" s="4">
        <v>1085262570</v>
      </c>
      <c r="F1125" s="4" t="s">
        <v>983</v>
      </c>
      <c r="G1125" t="s">
        <v>565</v>
      </c>
      <c r="H1125" t="e">
        <f>VLOOKUP(C1125,'[1]873'!$C$2:$C$711,1,0)</f>
        <v>#N/A</v>
      </c>
    </row>
    <row r="1126" spans="1:8" ht="15" customHeight="1" x14ac:dyDescent="0.25">
      <c r="A1126" s="3">
        <v>45638</v>
      </c>
      <c r="B1126" s="43">
        <v>2024003062</v>
      </c>
      <c r="C1126" s="4" t="s">
        <v>857</v>
      </c>
      <c r="D1126" s="5">
        <v>2500000</v>
      </c>
      <c r="E1126" s="4">
        <v>37082480</v>
      </c>
      <c r="F1126" s="4" t="s">
        <v>858</v>
      </c>
      <c r="G1126" t="s">
        <v>565</v>
      </c>
      <c r="H1126" t="e">
        <f>VLOOKUP(C1126,'[1]873'!$C$2:$C$711,1,0)</f>
        <v>#N/A</v>
      </c>
    </row>
    <row r="1127" spans="1:8" ht="15" customHeight="1" x14ac:dyDescent="0.25">
      <c r="A1127" s="3">
        <v>45638</v>
      </c>
      <c r="B1127" s="43">
        <v>2024003063</v>
      </c>
      <c r="C1127" s="4" t="s">
        <v>720</v>
      </c>
      <c r="D1127" s="5">
        <v>4825000</v>
      </c>
      <c r="E1127" s="4">
        <v>87062845</v>
      </c>
      <c r="F1127" s="4" t="s">
        <v>133</v>
      </c>
      <c r="G1127" t="s">
        <v>565</v>
      </c>
      <c r="H1127" t="e">
        <f>VLOOKUP(C1127,'[1]873'!$C$2:$C$711,1,0)</f>
        <v>#N/A</v>
      </c>
    </row>
    <row r="1128" spans="1:8" ht="15" customHeight="1" x14ac:dyDescent="0.25">
      <c r="A1128" s="3">
        <v>45638</v>
      </c>
      <c r="B1128" s="43">
        <v>2024003064</v>
      </c>
      <c r="C1128" s="4" t="s">
        <v>860</v>
      </c>
      <c r="D1128" s="5">
        <v>6000000</v>
      </c>
      <c r="E1128" s="4">
        <v>1085337232</v>
      </c>
      <c r="F1128" s="4" t="s">
        <v>89</v>
      </c>
      <c r="G1128" t="s">
        <v>565</v>
      </c>
      <c r="H1128" t="e">
        <f>VLOOKUP(C1128,'[1]873'!$C$2:$C$711,1,0)</f>
        <v>#N/A</v>
      </c>
    </row>
    <row r="1129" spans="1:8" ht="15" customHeight="1" x14ac:dyDescent="0.25">
      <c r="A1129" s="3">
        <v>45638</v>
      </c>
      <c r="B1129" s="43">
        <v>2024003065</v>
      </c>
      <c r="C1129" s="4" t="s">
        <v>739</v>
      </c>
      <c r="D1129" s="5">
        <v>2500000</v>
      </c>
      <c r="E1129" s="4">
        <v>27090145</v>
      </c>
      <c r="F1129" s="4" t="s">
        <v>357</v>
      </c>
      <c r="G1129" t="s">
        <v>565</v>
      </c>
      <c r="H1129" t="e">
        <f>VLOOKUP(C1129,'[1]873'!$C$2:$C$711,1,0)</f>
        <v>#N/A</v>
      </c>
    </row>
    <row r="1130" spans="1:8" ht="15" customHeight="1" x14ac:dyDescent="0.25">
      <c r="A1130" s="3">
        <v>45638</v>
      </c>
      <c r="B1130" s="43">
        <v>2024003066</v>
      </c>
      <c r="C1130" s="4" t="s">
        <v>834</v>
      </c>
      <c r="D1130" s="5">
        <v>7540000</v>
      </c>
      <c r="E1130" s="4">
        <v>1085335767</v>
      </c>
      <c r="F1130" s="4" t="s">
        <v>231</v>
      </c>
      <c r="G1130" t="s">
        <v>565</v>
      </c>
      <c r="H1130" t="e">
        <f>VLOOKUP(C1130,'[1]873'!$C$2:$C$711,1,0)</f>
        <v>#N/A</v>
      </c>
    </row>
    <row r="1131" spans="1:8" ht="15" customHeight="1" x14ac:dyDescent="0.25">
      <c r="A1131" s="3">
        <v>45638</v>
      </c>
      <c r="B1131" s="43">
        <v>2024003067</v>
      </c>
      <c r="C1131" s="4" t="s">
        <v>601</v>
      </c>
      <c r="D1131" s="5">
        <v>6000000</v>
      </c>
      <c r="E1131" s="4">
        <v>27097289</v>
      </c>
      <c r="F1131" s="4" t="s">
        <v>49</v>
      </c>
      <c r="G1131" t="s">
        <v>565</v>
      </c>
      <c r="H1131" t="e">
        <f>VLOOKUP(C1131,'[1]873'!$C$2:$C$711,1,0)</f>
        <v>#N/A</v>
      </c>
    </row>
    <row r="1132" spans="1:8" ht="15" customHeight="1" x14ac:dyDescent="0.25">
      <c r="A1132" s="3">
        <v>45638</v>
      </c>
      <c r="B1132" s="43">
        <v>2024003068</v>
      </c>
      <c r="C1132" s="4" t="s">
        <v>867</v>
      </c>
      <c r="D1132" s="5">
        <v>4825000</v>
      </c>
      <c r="E1132" s="4">
        <v>1085291221</v>
      </c>
      <c r="F1132" s="4" t="s">
        <v>93</v>
      </c>
      <c r="G1132" t="s">
        <v>565</v>
      </c>
      <c r="H1132" t="e">
        <f>VLOOKUP(C1132,'[1]873'!$C$2:$C$711,1,0)</f>
        <v>#N/A</v>
      </c>
    </row>
    <row r="1133" spans="1:8" ht="15" customHeight="1" x14ac:dyDescent="0.25">
      <c r="A1133" s="3">
        <v>45638</v>
      </c>
      <c r="B1133" s="43">
        <v>2024003069</v>
      </c>
      <c r="C1133" s="4" t="s">
        <v>608</v>
      </c>
      <c r="D1133" s="5">
        <v>3000000</v>
      </c>
      <c r="E1133" s="4">
        <v>1085331508</v>
      </c>
      <c r="F1133" s="4" t="s">
        <v>35</v>
      </c>
      <c r="G1133" t="s">
        <v>565</v>
      </c>
      <c r="H1133" t="e">
        <f>VLOOKUP(C1133,'[1]873'!$C$2:$C$711,1,0)</f>
        <v>#N/A</v>
      </c>
    </row>
    <row r="1134" spans="1:8" ht="15" customHeight="1" x14ac:dyDescent="0.25">
      <c r="A1134" s="3">
        <v>45638</v>
      </c>
      <c r="B1134" s="43">
        <v>2024003070</v>
      </c>
      <c r="C1134" s="4" t="s">
        <v>602</v>
      </c>
      <c r="D1134" s="5">
        <v>7540000</v>
      </c>
      <c r="E1134" s="4">
        <v>1151934571</v>
      </c>
      <c r="F1134" s="4" t="s">
        <v>137</v>
      </c>
      <c r="G1134" t="s">
        <v>565</v>
      </c>
      <c r="H1134" t="e">
        <f>VLOOKUP(C1134,'[1]873'!$C$2:$C$711,1,0)</f>
        <v>#N/A</v>
      </c>
    </row>
    <row r="1135" spans="1:8" ht="15" customHeight="1" x14ac:dyDescent="0.25">
      <c r="A1135" s="3">
        <v>45638</v>
      </c>
      <c r="B1135" s="43">
        <v>2024003071</v>
      </c>
      <c r="C1135" s="4" t="s">
        <v>984</v>
      </c>
      <c r="D1135" s="5">
        <v>2733600</v>
      </c>
      <c r="E1135" s="4">
        <v>59835376</v>
      </c>
      <c r="F1135" s="4" t="s">
        <v>985</v>
      </c>
      <c r="G1135" t="s">
        <v>565</v>
      </c>
      <c r="H1135" t="e">
        <f>VLOOKUP(C1135,'[1]873'!$C$2:$C$711,1,0)</f>
        <v>#N/A</v>
      </c>
    </row>
    <row r="1136" spans="1:8" ht="15" customHeight="1" x14ac:dyDescent="0.25">
      <c r="A1136" s="3">
        <v>45638</v>
      </c>
      <c r="B1136" s="43">
        <v>2024003072</v>
      </c>
      <c r="C1136" s="4" t="s">
        <v>674</v>
      </c>
      <c r="D1136" s="5">
        <v>3000000</v>
      </c>
      <c r="E1136" s="4">
        <v>27285974</v>
      </c>
      <c r="F1136" s="4" t="s">
        <v>349</v>
      </c>
      <c r="G1136" t="s">
        <v>565</v>
      </c>
      <c r="H1136" t="e">
        <f>VLOOKUP(C1136,'[1]873'!$C$2:$C$711,1,0)</f>
        <v>#N/A</v>
      </c>
    </row>
    <row r="1137" spans="1:8" ht="15" customHeight="1" x14ac:dyDescent="0.25">
      <c r="A1137" s="3">
        <v>45638</v>
      </c>
      <c r="B1137" s="43">
        <v>2024003078</v>
      </c>
      <c r="C1137" s="4" t="s">
        <v>986</v>
      </c>
      <c r="D1137" s="5">
        <v>3000000</v>
      </c>
      <c r="E1137" s="4">
        <v>1086222977</v>
      </c>
      <c r="F1137" s="4" t="s">
        <v>987</v>
      </c>
      <c r="G1137" t="s">
        <v>565</v>
      </c>
      <c r="H1137" t="e">
        <f>VLOOKUP(C1137,'[1]873'!$C$2:$C$711,1,0)</f>
        <v>#N/A</v>
      </c>
    </row>
    <row r="1138" spans="1:8" ht="15" customHeight="1" x14ac:dyDescent="0.25">
      <c r="A1138" s="3">
        <v>45638</v>
      </c>
      <c r="B1138" s="43">
        <v>2024003079</v>
      </c>
      <c r="C1138" s="4" t="s">
        <v>666</v>
      </c>
      <c r="D1138" s="5">
        <v>2500000</v>
      </c>
      <c r="E1138" s="4">
        <v>12974849</v>
      </c>
      <c r="F1138" s="4" t="s">
        <v>51</v>
      </c>
      <c r="G1138" t="s">
        <v>565</v>
      </c>
      <c r="H1138" t="e">
        <f>VLOOKUP(C1138,'[1]873'!$C$2:$C$711,1,0)</f>
        <v>#N/A</v>
      </c>
    </row>
    <row r="1139" spans="1:8" ht="15" customHeight="1" x14ac:dyDescent="0.25">
      <c r="A1139" s="3">
        <v>45638</v>
      </c>
      <c r="B1139" s="43">
        <v>2024003080</v>
      </c>
      <c r="C1139" s="4" t="s">
        <v>988</v>
      </c>
      <c r="D1139" s="5">
        <v>3000000</v>
      </c>
      <c r="E1139" s="4">
        <v>1085255829</v>
      </c>
      <c r="F1139" s="4" t="s">
        <v>989</v>
      </c>
      <c r="G1139" t="s">
        <v>565</v>
      </c>
      <c r="H1139" t="e">
        <f>VLOOKUP(C1139,'[1]873'!$C$2:$C$711,1,0)</f>
        <v>#N/A</v>
      </c>
    </row>
    <row r="1140" spans="1:8" ht="15" customHeight="1" x14ac:dyDescent="0.25">
      <c r="A1140" s="3">
        <v>45638</v>
      </c>
      <c r="B1140" s="43">
        <v>2024003081</v>
      </c>
      <c r="C1140" s="4" t="s">
        <v>990</v>
      </c>
      <c r="D1140" s="5">
        <v>600000</v>
      </c>
      <c r="E1140" s="4">
        <v>1085283703</v>
      </c>
      <c r="F1140" s="4" t="s">
        <v>991</v>
      </c>
      <c r="G1140" t="s">
        <v>565</v>
      </c>
      <c r="H1140" t="e">
        <f>VLOOKUP(C1140,'[1]873'!$C$2:$C$711,1,0)</f>
        <v>#N/A</v>
      </c>
    </row>
    <row r="1141" spans="1:8" ht="15" customHeight="1" x14ac:dyDescent="0.25">
      <c r="A1141" s="3">
        <v>45638</v>
      </c>
      <c r="B1141" s="43">
        <v>2024003082</v>
      </c>
      <c r="C1141" s="4" t="s">
        <v>723</v>
      </c>
      <c r="D1141" s="5">
        <v>3000000</v>
      </c>
      <c r="E1141" s="4">
        <v>1080046034</v>
      </c>
      <c r="F1141" s="4" t="s">
        <v>724</v>
      </c>
      <c r="G1141" t="s">
        <v>565</v>
      </c>
      <c r="H1141" t="e">
        <f>VLOOKUP(C1141,'[1]873'!$C$2:$C$711,1,0)</f>
        <v>#N/A</v>
      </c>
    </row>
    <row r="1142" spans="1:8" ht="15" customHeight="1" x14ac:dyDescent="0.25">
      <c r="A1142" s="3">
        <v>45638</v>
      </c>
      <c r="B1142" s="43">
        <v>2024003083</v>
      </c>
      <c r="C1142" s="4" t="s">
        <v>725</v>
      </c>
      <c r="D1142" s="5">
        <v>4825000</v>
      </c>
      <c r="E1142" s="4">
        <v>27088141</v>
      </c>
      <c r="F1142" s="4" t="s">
        <v>515</v>
      </c>
      <c r="G1142" t="s">
        <v>565</v>
      </c>
      <c r="H1142" t="e">
        <f>VLOOKUP(C1142,'[1]873'!$C$2:$C$711,1,0)</f>
        <v>#N/A</v>
      </c>
    </row>
    <row r="1143" spans="1:8" ht="15" customHeight="1" x14ac:dyDescent="0.25">
      <c r="A1143" s="3">
        <v>45638</v>
      </c>
      <c r="B1143" s="43">
        <v>2024003084</v>
      </c>
      <c r="C1143" s="4" t="s">
        <v>713</v>
      </c>
      <c r="D1143" s="5">
        <v>3000000</v>
      </c>
      <c r="E1143" s="4">
        <v>1086328142</v>
      </c>
      <c r="F1143" s="4" t="s">
        <v>470</v>
      </c>
      <c r="G1143" t="s">
        <v>565</v>
      </c>
      <c r="H1143" t="e">
        <f>VLOOKUP(C1143,'[1]873'!$C$2:$C$711,1,0)</f>
        <v>#N/A</v>
      </c>
    </row>
    <row r="1144" spans="1:8" ht="15" customHeight="1" x14ac:dyDescent="0.25">
      <c r="A1144" s="3">
        <v>45638</v>
      </c>
      <c r="B1144" s="43">
        <v>2024003085</v>
      </c>
      <c r="C1144" s="4" t="s">
        <v>796</v>
      </c>
      <c r="D1144" s="5">
        <v>3000000</v>
      </c>
      <c r="E1144" s="4">
        <v>59311295</v>
      </c>
      <c r="F1144" s="4" t="s">
        <v>797</v>
      </c>
      <c r="G1144" t="s">
        <v>565</v>
      </c>
      <c r="H1144" t="e">
        <f>VLOOKUP(C1144,'[1]873'!$C$2:$C$711,1,0)</f>
        <v>#N/A</v>
      </c>
    </row>
    <row r="1145" spans="1:8" ht="15" customHeight="1" x14ac:dyDescent="0.25">
      <c r="A1145" s="3">
        <v>45638</v>
      </c>
      <c r="B1145" s="43">
        <v>2024003086</v>
      </c>
      <c r="C1145" s="4" t="s">
        <v>726</v>
      </c>
      <c r="D1145" s="5">
        <v>2500000</v>
      </c>
      <c r="E1145" s="4">
        <v>1085314075</v>
      </c>
      <c r="F1145" s="4" t="s">
        <v>327</v>
      </c>
      <c r="G1145" t="s">
        <v>565</v>
      </c>
      <c r="H1145" t="e">
        <f>VLOOKUP(C1145,'[1]873'!$C$2:$C$711,1,0)</f>
        <v>#N/A</v>
      </c>
    </row>
    <row r="1146" spans="1:8" ht="15" customHeight="1" x14ac:dyDescent="0.25">
      <c r="A1146" s="3">
        <v>45638</v>
      </c>
      <c r="B1146" s="43">
        <v>2024003087</v>
      </c>
      <c r="C1146" s="4" t="s">
        <v>617</v>
      </c>
      <c r="D1146" s="5">
        <v>6000000</v>
      </c>
      <c r="E1146" s="4">
        <v>1082748420</v>
      </c>
      <c r="F1146" s="4" t="s">
        <v>450</v>
      </c>
      <c r="G1146" t="s">
        <v>565</v>
      </c>
      <c r="H1146" t="e">
        <f>VLOOKUP(C1146,'[1]873'!$C$2:$C$711,1,0)</f>
        <v>#N/A</v>
      </c>
    </row>
    <row r="1147" spans="1:8" ht="15" customHeight="1" x14ac:dyDescent="0.25">
      <c r="A1147" s="3">
        <v>45638</v>
      </c>
      <c r="B1147" s="43">
        <v>2024003088</v>
      </c>
      <c r="C1147" s="4" t="s">
        <v>627</v>
      </c>
      <c r="D1147" s="5">
        <v>3000000</v>
      </c>
      <c r="E1147" s="4">
        <v>1085271641</v>
      </c>
      <c r="F1147" s="4" t="s">
        <v>251</v>
      </c>
      <c r="G1147" t="s">
        <v>565</v>
      </c>
      <c r="H1147" t="e">
        <f>VLOOKUP(C1147,'[1]873'!$C$2:$C$711,1,0)</f>
        <v>#N/A</v>
      </c>
    </row>
    <row r="1148" spans="1:8" ht="15" customHeight="1" x14ac:dyDescent="0.25">
      <c r="A1148" s="3">
        <v>45638</v>
      </c>
      <c r="B1148" s="43">
        <v>2024003089</v>
      </c>
      <c r="C1148" s="4" t="s">
        <v>643</v>
      </c>
      <c r="D1148" s="5">
        <v>3000000</v>
      </c>
      <c r="E1148" s="4">
        <v>1004232508</v>
      </c>
      <c r="F1148" s="4" t="s">
        <v>109</v>
      </c>
      <c r="G1148" t="s">
        <v>565</v>
      </c>
      <c r="H1148" t="e">
        <f>VLOOKUP(C1148,'[1]873'!$C$2:$C$711,1,0)</f>
        <v>#N/A</v>
      </c>
    </row>
    <row r="1149" spans="1:8" ht="15" customHeight="1" x14ac:dyDescent="0.25">
      <c r="A1149" s="3">
        <v>45638</v>
      </c>
      <c r="B1149" s="43">
        <v>2024003093</v>
      </c>
      <c r="C1149" s="4" t="s">
        <v>922</v>
      </c>
      <c r="D1149" s="5">
        <v>3000000</v>
      </c>
      <c r="E1149" s="4">
        <v>1193218691</v>
      </c>
      <c r="F1149" s="4" t="s">
        <v>191</v>
      </c>
      <c r="G1149" t="s">
        <v>565</v>
      </c>
      <c r="H1149" t="e">
        <f>VLOOKUP(C1149,'[1]873'!$C$2:$C$711,1,0)</f>
        <v>#N/A</v>
      </c>
    </row>
    <row r="1150" spans="1:8" ht="15" customHeight="1" x14ac:dyDescent="0.25">
      <c r="A1150" s="3">
        <v>45638</v>
      </c>
      <c r="B1150" s="43">
        <v>2024003094</v>
      </c>
      <c r="C1150" s="4" t="s">
        <v>848</v>
      </c>
      <c r="D1150" s="5">
        <v>3000000</v>
      </c>
      <c r="E1150" s="4">
        <v>1004299312</v>
      </c>
      <c r="F1150" s="4" t="s">
        <v>849</v>
      </c>
      <c r="G1150" t="s">
        <v>565</v>
      </c>
      <c r="H1150" t="e">
        <f>VLOOKUP(C1150,'[1]873'!$C$2:$C$711,1,0)</f>
        <v>#N/A</v>
      </c>
    </row>
    <row r="1151" spans="1:8" ht="15" customHeight="1" x14ac:dyDescent="0.25">
      <c r="A1151" s="3">
        <v>45638</v>
      </c>
      <c r="B1151" s="43">
        <v>2024003095</v>
      </c>
      <c r="C1151" s="4" t="s">
        <v>870</v>
      </c>
      <c r="D1151" s="5">
        <v>2500000</v>
      </c>
      <c r="E1151" s="4">
        <v>1081273343</v>
      </c>
      <c r="F1151" s="4" t="s">
        <v>339</v>
      </c>
      <c r="G1151" t="s">
        <v>565</v>
      </c>
      <c r="H1151" t="e">
        <f>VLOOKUP(C1151,'[1]873'!$C$2:$C$711,1,0)</f>
        <v>#N/A</v>
      </c>
    </row>
    <row r="1152" spans="1:8" ht="15" customHeight="1" x14ac:dyDescent="0.25">
      <c r="A1152" s="3">
        <v>45638</v>
      </c>
      <c r="B1152" s="43">
        <v>2024003097</v>
      </c>
      <c r="C1152" s="4" t="s">
        <v>761</v>
      </c>
      <c r="D1152" s="5">
        <v>7540000</v>
      </c>
      <c r="E1152" s="4">
        <v>1006946167</v>
      </c>
      <c r="F1152" s="4" t="s">
        <v>63</v>
      </c>
      <c r="G1152" t="s">
        <v>565</v>
      </c>
      <c r="H1152" t="e">
        <f>VLOOKUP(C1152,'[1]873'!$C$2:$C$711,1,0)</f>
        <v>#N/A</v>
      </c>
    </row>
    <row r="1153" spans="1:8" ht="15" customHeight="1" x14ac:dyDescent="0.25">
      <c r="A1153" s="3">
        <v>45638</v>
      </c>
      <c r="B1153" s="43">
        <v>2024003098</v>
      </c>
      <c r="C1153" s="4" t="s">
        <v>787</v>
      </c>
      <c r="D1153" s="5">
        <v>4750000</v>
      </c>
      <c r="E1153" s="4">
        <v>1085324546</v>
      </c>
      <c r="F1153" s="4" t="s">
        <v>29</v>
      </c>
      <c r="G1153" t="s">
        <v>565</v>
      </c>
      <c r="H1153" t="e">
        <f>VLOOKUP(C1153,'[1]873'!$C$2:$C$711,1,0)</f>
        <v>#N/A</v>
      </c>
    </row>
    <row r="1154" spans="1:8" ht="15" customHeight="1" x14ac:dyDescent="0.25">
      <c r="A1154" s="3">
        <v>45638</v>
      </c>
      <c r="B1154" s="43">
        <v>2024003099</v>
      </c>
      <c r="C1154" s="4" t="s">
        <v>846</v>
      </c>
      <c r="D1154" s="5">
        <v>4825000</v>
      </c>
      <c r="E1154" s="4">
        <v>1085269530</v>
      </c>
      <c r="F1154" s="4" t="s">
        <v>333</v>
      </c>
      <c r="G1154" t="s">
        <v>565</v>
      </c>
      <c r="H1154" t="e">
        <f>VLOOKUP(C1154,'[1]873'!$C$2:$C$711,1,0)</f>
        <v>#N/A</v>
      </c>
    </row>
    <row r="1155" spans="1:8" ht="15" customHeight="1" x14ac:dyDescent="0.25">
      <c r="A1155" s="3">
        <v>45638</v>
      </c>
      <c r="B1155" s="43">
        <v>2024003101</v>
      </c>
      <c r="C1155" s="4" t="s">
        <v>768</v>
      </c>
      <c r="D1155" s="5">
        <v>3000000</v>
      </c>
      <c r="E1155" s="4">
        <v>59314601</v>
      </c>
      <c r="F1155" s="4" t="s">
        <v>71</v>
      </c>
      <c r="G1155" t="s">
        <v>565</v>
      </c>
      <c r="H1155" t="e">
        <f>VLOOKUP(C1155,'[1]873'!$C$2:$C$711,1,0)</f>
        <v>#N/A</v>
      </c>
    </row>
    <row r="1156" spans="1:8" ht="15" customHeight="1" x14ac:dyDescent="0.25">
      <c r="A1156" s="3">
        <v>45638</v>
      </c>
      <c r="B1156" s="43">
        <v>2024003102</v>
      </c>
      <c r="C1156" s="4" t="s">
        <v>628</v>
      </c>
      <c r="D1156" s="5">
        <v>3000000</v>
      </c>
      <c r="E1156" s="4">
        <v>1192717330</v>
      </c>
      <c r="F1156" s="4" t="s">
        <v>277</v>
      </c>
      <c r="G1156" t="s">
        <v>565</v>
      </c>
      <c r="H1156" t="e">
        <f>VLOOKUP(C1156,'[1]873'!$C$2:$C$711,1,0)</f>
        <v>#N/A</v>
      </c>
    </row>
    <row r="1157" spans="1:8" ht="15" customHeight="1" x14ac:dyDescent="0.25">
      <c r="A1157" s="3">
        <v>45638</v>
      </c>
      <c r="B1157" s="43">
        <v>2024003103</v>
      </c>
      <c r="C1157" s="4" t="s">
        <v>633</v>
      </c>
      <c r="D1157" s="5">
        <v>7540000</v>
      </c>
      <c r="E1157" s="4">
        <v>36950112</v>
      </c>
      <c r="F1157" s="4" t="s">
        <v>634</v>
      </c>
      <c r="G1157" t="s">
        <v>565</v>
      </c>
      <c r="H1157" t="e">
        <f>VLOOKUP(C1157,'[1]873'!$C$2:$C$711,1,0)</f>
        <v>#N/A</v>
      </c>
    </row>
    <row r="1158" spans="1:8" ht="15" customHeight="1" x14ac:dyDescent="0.25">
      <c r="A1158" s="3">
        <v>45638</v>
      </c>
      <c r="B1158" s="43">
        <v>2024003104</v>
      </c>
      <c r="C1158" s="4" t="s">
        <v>711</v>
      </c>
      <c r="D1158" s="5">
        <v>3000000</v>
      </c>
      <c r="E1158" s="4">
        <v>36758143</v>
      </c>
      <c r="F1158" s="4" t="s">
        <v>107</v>
      </c>
      <c r="G1158" t="s">
        <v>565</v>
      </c>
      <c r="H1158" t="e">
        <f>VLOOKUP(C1158,'[1]873'!$C$2:$C$711,1,0)</f>
        <v>#N/A</v>
      </c>
    </row>
    <row r="1159" spans="1:8" ht="15" customHeight="1" x14ac:dyDescent="0.25">
      <c r="A1159" s="3">
        <v>45638</v>
      </c>
      <c r="B1159" s="43">
        <v>2024003105</v>
      </c>
      <c r="C1159" s="4" t="s">
        <v>677</v>
      </c>
      <c r="D1159" s="5">
        <v>3000000</v>
      </c>
      <c r="E1159" s="4">
        <v>1137624011</v>
      </c>
      <c r="F1159" s="4" t="s">
        <v>243</v>
      </c>
      <c r="G1159" t="s">
        <v>565</v>
      </c>
      <c r="H1159" t="e">
        <f>VLOOKUP(C1159,'[1]873'!$C$2:$C$711,1,0)</f>
        <v>#N/A</v>
      </c>
    </row>
    <row r="1160" spans="1:8" ht="15" customHeight="1" x14ac:dyDescent="0.25">
      <c r="A1160" s="3">
        <v>45638</v>
      </c>
      <c r="B1160" s="43">
        <v>2024003106</v>
      </c>
      <c r="C1160" s="4" t="s">
        <v>751</v>
      </c>
      <c r="D1160" s="5">
        <v>4750000</v>
      </c>
      <c r="E1160" s="4">
        <v>1233192618</v>
      </c>
      <c r="F1160" s="4" t="s">
        <v>351</v>
      </c>
      <c r="G1160" t="s">
        <v>565</v>
      </c>
      <c r="H1160" t="e">
        <f>VLOOKUP(C1160,'[1]873'!$C$2:$C$711,1,0)</f>
        <v>#N/A</v>
      </c>
    </row>
    <row r="1161" spans="1:8" ht="15" customHeight="1" x14ac:dyDescent="0.25">
      <c r="A1161" s="3">
        <v>45638</v>
      </c>
      <c r="B1161" s="43">
        <v>2024003107</v>
      </c>
      <c r="C1161" s="4" t="s">
        <v>699</v>
      </c>
      <c r="D1161" s="5">
        <v>7540000</v>
      </c>
      <c r="E1161" s="4">
        <v>1085321192</v>
      </c>
      <c r="F1161" s="4" t="s">
        <v>61</v>
      </c>
      <c r="G1161" t="s">
        <v>565</v>
      </c>
      <c r="H1161" t="e">
        <f>VLOOKUP(C1161,'[1]873'!$C$2:$C$711,1,0)</f>
        <v>#N/A</v>
      </c>
    </row>
    <row r="1162" spans="1:8" ht="15" customHeight="1" x14ac:dyDescent="0.25">
      <c r="A1162" s="3">
        <v>45638</v>
      </c>
      <c r="B1162" s="43">
        <v>2024003108</v>
      </c>
      <c r="C1162" s="4" t="s">
        <v>743</v>
      </c>
      <c r="D1162" s="5">
        <v>7540000</v>
      </c>
      <c r="E1162" s="4">
        <v>1085345430</v>
      </c>
      <c r="F1162" s="4" t="s">
        <v>359</v>
      </c>
      <c r="G1162" t="s">
        <v>565</v>
      </c>
      <c r="H1162" t="e">
        <f>VLOOKUP(C1162,'[1]873'!$C$2:$C$711,1,0)</f>
        <v>#N/A</v>
      </c>
    </row>
    <row r="1163" spans="1:8" ht="15" customHeight="1" x14ac:dyDescent="0.25">
      <c r="A1163" s="3">
        <v>45638</v>
      </c>
      <c r="B1163" s="43">
        <v>2024003109</v>
      </c>
      <c r="C1163" s="4" t="s">
        <v>612</v>
      </c>
      <c r="D1163" s="5">
        <v>4750000</v>
      </c>
      <c r="E1163" s="4">
        <v>27087475</v>
      </c>
      <c r="F1163" s="4" t="s">
        <v>571</v>
      </c>
      <c r="G1163" t="s">
        <v>565</v>
      </c>
      <c r="H1163" t="e">
        <f>VLOOKUP(C1163,'[1]873'!$C$2:$C$711,1,0)</f>
        <v>#N/A</v>
      </c>
    </row>
    <row r="1164" spans="1:8" ht="15" customHeight="1" x14ac:dyDescent="0.25">
      <c r="A1164" s="3">
        <v>45638</v>
      </c>
      <c r="B1164" s="43">
        <v>2024003110</v>
      </c>
      <c r="C1164" s="4" t="s">
        <v>631</v>
      </c>
      <c r="D1164" s="5">
        <v>6000000</v>
      </c>
      <c r="E1164" s="4">
        <v>1085246134</v>
      </c>
      <c r="F1164" s="4" t="s">
        <v>55</v>
      </c>
      <c r="G1164" t="s">
        <v>565</v>
      </c>
      <c r="H1164" t="e">
        <f>VLOOKUP(C1164,'[1]873'!$C$2:$C$711,1,0)</f>
        <v>#N/A</v>
      </c>
    </row>
    <row r="1165" spans="1:8" ht="15" customHeight="1" x14ac:dyDescent="0.25">
      <c r="A1165" s="3">
        <v>45638</v>
      </c>
      <c r="B1165" s="43">
        <v>2024003111</v>
      </c>
      <c r="C1165" s="4" t="s">
        <v>823</v>
      </c>
      <c r="D1165" s="5">
        <v>4750000</v>
      </c>
      <c r="E1165" s="4">
        <v>59312865</v>
      </c>
      <c r="F1165" s="4" t="s">
        <v>127</v>
      </c>
      <c r="G1165" t="s">
        <v>565</v>
      </c>
      <c r="H1165" t="e">
        <f>VLOOKUP(C1165,'[1]873'!$C$2:$C$711,1,0)</f>
        <v>#N/A</v>
      </c>
    </row>
    <row r="1166" spans="1:8" ht="15" customHeight="1" x14ac:dyDescent="0.25">
      <c r="A1166" s="3">
        <v>45638</v>
      </c>
      <c r="B1166" s="43">
        <v>2024003112</v>
      </c>
      <c r="C1166" s="4" t="s">
        <v>669</v>
      </c>
      <c r="D1166" s="5">
        <v>6000000</v>
      </c>
      <c r="E1166" s="4">
        <v>1193223736</v>
      </c>
      <c r="F1166" s="4" t="s">
        <v>670</v>
      </c>
      <c r="G1166" t="s">
        <v>565</v>
      </c>
      <c r="H1166" t="e">
        <f>VLOOKUP(C1166,'[1]873'!$C$2:$C$711,1,0)</f>
        <v>#N/A</v>
      </c>
    </row>
    <row r="1167" spans="1:8" ht="15" customHeight="1" x14ac:dyDescent="0.25">
      <c r="A1167" s="3">
        <v>45638</v>
      </c>
      <c r="B1167" s="43">
        <v>2024003113</v>
      </c>
      <c r="C1167" s="4" t="s">
        <v>740</v>
      </c>
      <c r="D1167" s="5">
        <v>6000000</v>
      </c>
      <c r="E1167" s="4">
        <v>37013610</v>
      </c>
      <c r="F1167" s="4" t="s">
        <v>25</v>
      </c>
      <c r="G1167" t="s">
        <v>565</v>
      </c>
      <c r="H1167" t="e">
        <f>VLOOKUP(C1167,'[1]873'!$C$2:$C$711,1,0)</f>
        <v>#N/A</v>
      </c>
    </row>
    <row r="1168" spans="1:8" ht="15" customHeight="1" x14ac:dyDescent="0.25">
      <c r="A1168" s="3">
        <v>45638</v>
      </c>
      <c r="B1168" s="43">
        <v>2024003114</v>
      </c>
      <c r="C1168" s="4" t="s">
        <v>824</v>
      </c>
      <c r="D1168" s="5">
        <v>4825000</v>
      </c>
      <c r="E1168" s="4">
        <v>1085321943</v>
      </c>
      <c r="F1168" s="4" t="s">
        <v>363</v>
      </c>
      <c r="G1168" t="s">
        <v>565</v>
      </c>
      <c r="H1168" t="e">
        <f>VLOOKUP(C1168,'[1]873'!$C$2:$C$711,1,0)</f>
        <v>#N/A</v>
      </c>
    </row>
    <row r="1169" spans="1:8" ht="15" customHeight="1" x14ac:dyDescent="0.25">
      <c r="A1169" s="3">
        <v>45638</v>
      </c>
      <c r="B1169" s="43">
        <v>2024003115</v>
      </c>
      <c r="C1169" s="4" t="s">
        <v>737</v>
      </c>
      <c r="D1169" s="5">
        <v>6000000</v>
      </c>
      <c r="E1169" s="4">
        <v>1085248939</v>
      </c>
      <c r="F1169" s="4" t="s">
        <v>437</v>
      </c>
      <c r="G1169" t="s">
        <v>565</v>
      </c>
      <c r="H1169" t="e">
        <f>VLOOKUP(C1169,'[1]873'!$C$2:$C$711,1,0)</f>
        <v>#N/A</v>
      </c>
    </row>
    <row r="1170" spans="1:8" ht="15" customHeight="1" x14ac:dyDescent="0.25">
      <c r="A1170" s="3">
        <v>45638</v>
      </c>
      <c r="B1170" s="43">
        <v>2024003116</v>
      </c>
      <c r="C1170" s="4" t="s">
        <v>600</v>
      </c>
      <c r="D1170" s="5">
        <v>6000000</v>
      </c>
      <c r="E1170" s="4">
        <v>59820414</v>
      </c>
      <c r="F1170" s="4" t="s">
        <v>261</v>
      </c>
      <c r="G1170" t="s">
        <v>565</v>
      </c>
      <c r="H1170" t="e">
        <f>VLOOKUP(C1170,'[1]873'!$C$2:$C$711,1,0)</f>
        <v>#N/A</v>
      </c>
    </row>
    <row r="1171" spans="1:8" ht="15" customHeight="1" x14ac:dyDescent="0.25">
      <c r="A1171" s="3">
        <v>45638</v>
      </c>
      <c r="B1171" s="43">
        <v>2024003117</v>
      </c>
      <c r="C1171" s="4" t="s">
        <v>765</v>
      </c>
      <c r="D1171" s="5">
        <v>2500000</v>
      </c>
      <c r="E1171" s="4">
        <v>59821968</v>
      </c>
      <c r="F1171" s="4" t="s">
        <v>766</v>
      </c>
      <c r="G1171" t="s">
        <v>565</v>
      </c>
      <c r="H1171" t="e">
        <f>VLOOKUP(C1171,'[1]873'!$C$2:$C$711,1,0)</f>
        <v>#N/A</v>
      </c>
    </row>
    <row r="1172" spans="1:8" ht="15" customHeight="1" x14ac:dyDescent="0.25">
      <c r="A1172" s="3">
        <v>45638</v>
      </c>
      <c r="B1172" s="43">
        <v>2024003118</v>
      </c>
      <c r="C1172" s="4" t="s">
        <v>684</v>
      </c>
      <c r="D1172" s="5">
        <v>3000000</v>
      </c>
      <c r="E1172" s="4">
        <v>59310524</v>
      </c>
      <c r="F1172" s="4" t="s">
        <v>992</v>
      </c>
      <c r="G1172" t="s">
        <v>565</v>
      </c>
      <c r="H1172" t="e">
        <f>VLOOKUP(C1172,'[1]873'!$C$2:$C$711,1,0)</f>
        <v>#N/A</v>
      </c>
    </row>
    <row r="1173" spans="1:8" ht="15" customHeight="1" x14ac:dyDescent="0.25">
      <c r="A1173" s="3">
        <v>45639</v>
      </c>
      <c r="B1173" s="43">
        <v>2024003120</v>
      </c>
      <c r="C1173" s="4" t="s">
        <v>719</v>
      </c>
      <c r="D1173" s="5">
        <v>2500000</v>
      </c>
      <c r="E1173" s="4">
        <v>27094521</v>
      </c>
      <c r="F1173" s="4" t="s">
        <v>285</v>
      </c>
      <c r="G1173" t="s">
        <v>565</v>
      </c>
      <c r="H1173" t="e">
        <f>VLOOKUP(C1173,'[1]873'!$C$2:$C$711,1,0)</f>
        <v>#N/A</v>
      </c>
    </row>
    <row r="1174" spans="1:8" ht="15" customHeight="1" x14ac:dyDescent="0.25">
      <c r="A1174" s="3">
        <v>45639</v>
      </c>
      <c r="B1174" s="43">
        <v>2024003121</v>
      </c>
      <c r="C1174" s="4" t="s">
        <v>993</v>
      </c>
      <c r="D1174" s="5">
        <v>3000000</v>
      </c>
      <c r="E1174" s="4">
        <v>1004508436</v>
      </c>
      <c r="F1174" s="4" t="s">
        <v>367</v>
      </c>
      <c r="G1174" t="s">
        <v>565</v>
      </c>
      <c r="H1174" t="e">
        <f>VLOOKUP(C1174,'[1]873'!$C$2:$C$711,1,0)</f>
        <v>#N/A</v>
      </c>
    </row>
    <row r="1175" spans="1:8" ht="15" customHeight="1" x14ac:dyDescent="0.25">
      <c r="A1175" s="3">
        <v>45639</v>
      </c>
      <c r="B1175" s="43">
        <v>2024003122</v>
      </c>
      <c r="C1175" s="4" t="s">
        <v>994</v>
      </c>
      <c r="D1175" s="5">
        <v>1416100</v>
      </c>
      <c r="E1175" s="4">
        <v>1085312811</v>
      </c>
      <c r="F1175" s="4" t="s">
        <v>995</v>
      </c>
      <c r="G1175" t="s">
        <v>565</v>
      </c>
      <c r="H1175" t="e">
        <f>VLOOKUP(C1175,'[1]873'!$C$2:$C$711,1,0)</f>
        <v>#N/A</v>
      </c>
    </row>
    <row r="1176" spans="1:8" ht="15" customHeight="1" x14ac:dyDescent="0.25">
      <c r="A1176" s="3">
        <v>45639</v>
      </c>
      <c r="B1176" s="43">
        <v>2024003123</v>
      </c>
      <c r="C1176" s="4" t="s">
        <v>680</v>
      </c>
      <c r="D1176" s="5">
        <v>3000000</v>
      </c>
      <c r="E1176" s="4">
        <v>1085290651</v>
      </c>
      <c r="F1176" s="4" t="s">
        <v>325</v>
      </c>
      <c r="G1176" t="s">
        <v>565</v>
      </c>
      <c r="H1176" t="e">
        <f>VLOOKUP(C1176,'[1]873'!$C$2:$C$711,1,0)</f>
        <v>#N/A</v>
      </c>
    </row>
    <row r="1177" spans="1:8" ht="15" customHeight="1" x14ac:dyDescent="0.25">
      <c r="A1177" s="3">
        <v>45639</v>
      </c>
      <c r="B1177" s="43">
        <v>2024003124</v>
      </c>
      <c r="C1177" s="4" t="s">
        <v>996</v>
      </c>
      <c r="D1177" s="5">
        <v>3000000</v>
      </c>
      <c r="E1177" s="4">
        <v>98391531</v>
      </c>
      <c r="F1177" s="4" t="s">
        <v>499</v>
      </c>
      <c r="G1177" t="s">
        <v>565</v>
      </c>
      <c r="H1177" t="e">
        <f>VLOOKUP(C1177,'[1]873'!$C$2:$C$711,1,0)</f>
        <v>#N/A</v>
      </c>
    </row>
    <row r="1178" spans="1:8" ht="15" customHeight="1" x14ac:dyDescent="0.25">
      <c r="A1178" s="3">
        <v>45639</v>
      </c>
      <c r="B1178" s="43">
        <v>2024003125</v>
      </c>
      <c r="C1178" s="4" t="s">
        <v>997</v>
      </c>
      <c r="D1178" s="5">
        <v>4750000</v>
      </c>
      <c r="E1178" s="4">
        <v>1085264667</v>
      </c>
      <c r="F1178" s="4" t="s">
        <v>464</v>
      </c>
      <c r="G1178" t="s">
        <v>565</v>
      </c>
      <c r="H1178" t="e">
        <f>VLOOKUP(C1178,'[1]873'!$C$2:$C$711,1,0)</f>
        <v>#N/A</v>
      </c>
    </row>
    <row r="1179" spans="1:8" ht="15" customHeight="1" x14ac:dyDescent="0.25">
      <c r="A1179" s="3">
        <v>45639</v>
      </c>
      <c r="B1179" s="43">
        <v>2024003126</v>
      </c>
      <c r="C1179" s="4" t="s">
        <v>998</v>
      </c>
      <c r="D1179" s="5">
        <v>2500000</v>
      </c>
      <c r="E1179" s="4">
        <v>1085318898</v>
      </c>
      <c r="F1179" s="4" t="s">
        <v>517</v>
      </c>
      <c r="G1179" t="s">
        <v>565</v>
      </c>
      <c r="H1179" t="e">
        <f>VLOOKUP(C1179,'[1]873'!$C$2:$C$711,1,0)</f>
        <v>#N/A</v>
      </c>
    </row>
    <row r="1180" spans="1:8" ht="15" customHeight="1" x14ac:dyDescent="0.25">
      <c r="A1180" s="3">
        <v>45639</v>
      </c>
      <c r="B1180" s="43">
        <v>2024003127</v>
      </c>
      <c r="C1180" s="4" t="s">
        <v>999</v>
      </c>
      <c r="D1180" s="5">
        <v>600000</v>
      </c>
      <c r="E1180" s="4">
        <v>59313539</v>
      </c>
      <c r="F1180" s="4" t="s">
        <v>1000</v>
      </c>
      <c r="G1180" t="s">
        <v>565</v>
      </c>
      <c r="H1180" t="e">
        <f>VLOOKUP(C1180,'[1]873'!$C$2:$C$711,1,0)</f>
        <v>#N/A</v>
      </c>
    </row>
    <row r="1181" spans="1:8" ht="15" customHeight="1" x14ac:dyDescent="0.25">
      <c r="A1181" s="3">
        <v>45639</v>
      </c>
      <c r="B1181" s="43">
        <v>2024003128</v>
      </c>
      <c r="C1181" s="4" t="s">
        <v>1001</v>
      </c>
      <c r="D1181" s="5">
        <v>3000000</v>
      </c>
      <c r="E1181" s="4">
        <v>1081053820</v>
      </c>
      <c r="F1181" s="4" t="s">
        <v>431</v>
      </c>
      <c r="G1181" t="s">
        <v>565</v>
      </c>
      <c r="H1181" t="e">
        <f>VLOOKUP(C1181,'[1]873'!$C$2:$C$711,1,0)</f>
        <v>#N/A</v>
      </c>
    </row>
    <row r="1182" spans="1:8" ht="15" customHeight="1" x14ac:dyDescent="0.25">
      <c r="A1182" s="3">
        <v>45639</v>
      </c>
      <c r="B1182" s="43">
        <v>2024003129</v>
      </c>
      <c r="C1182" s="4" t="s">
        <v>700</v>
      </c>
      <c r="D1182" s="5">
        <v>3000000</v>
      </c>
      <c r="E1182" s="4">
        <v>1085315209</v>
      </c>
      <c r="F1182" s="4" t="s">
        <v>701</v>
      </c>
      <c r="G1182" t="s">
        <v>565</v>
      </c>
      <c r="H1182" t="e">
        <f>VLOOKUP(C1182,'[1]873'!$C$2:$C$711,1,0)</f>
        <v>#N/A</v>
      </c>
    </row>
    <row r="1183" spans="1:8" ht="15" customHeight="1" x14ac:dyDescent="0.25">
      <c r="A1183" s="3">
        <v>45639</v>
      </c>
      <c r="B1183" s="43">
        <v>2024003130</v>
      </c>
      <c r="C1183" s="4" t="s">
        <v>731</v>
      </c>
      <c r="D1183" s="5">
        <v>2500000</v>
      </c>
      <c r="E1183" s="4">
        <v>1131085946</v>
      </c>
      <c r="F1183" s="4" t="s">
        <v>732</v>
      </c>
      <c r="G1183" t="s">
        <v>565</v>
      </c>
      <c r="H1183" t="e">
        <f>VLOOKUP(C1183,'[1]873'!$C$2:$C$711,1,0)</f>
        <v>#N/A</v>
      </c>
    </row>
    <row r="1184" spans="1:8" ht="15" customHeight="1" x14ac:dyDescent="0.25">
      <c r="A1184" s="3">
        <v>45639</v>
      </c>
      <c r="B1184" s="43">
        <v>2024003131</v>
      </c>
      <c r="C1184" s="4" t="s">
        <v>1002</v>
      </c>
      <c r="D1184" s="5">
        <v>1082900</v>
      </c>
      <c r="E1184" s="4">
        <v>36951530</v>
      </c>
      <c r="F1184" s="4" t="s">
        <v>1003</v>
      </c>
      <c r="G1184" t="s">
        <v>565</v>
      </c>
      <c r="H1184" t="e">
        <f>VLOOKUP(C1184,'[1]873'!$C$2:$C$711,1,0)</f>
        <v>#N/A</v>
      </c>
    </row>
    <row r="1185" spans="1:8" ht="15" customHeight="1" x14ac:dyDescent="0.25">
      <c r="A1185" s="3">
        <v>45639</v>
      </c>
      <c r="B1185" s="43">
        <v>2024003132</v>
      </c>
      <c r="C1185" s="4" t="s">
        <v>842</v>
      </c>
      <c r="D1185" s="5">
        <v>3000000</v>
      </c>
      <c r="E1185" s="4">
        <v>1010085543</v>
      </c>
      <c r="F1185" s="4" t="s">
        <v>265</v>
      </c>
      <c r="G1185" t="s">
        <v>565</v>
      </c>
      <c r="H1185" t="e">
        <f>VLOOKUP(C1185,'[1]873'!$C$2:$C$711,1,0)</f>
        <v>#N/A</v>
      </c>
    </row>
    <row r="1186" spans="1:8" ht="15" customHeight="1" x14ac:dyDescent="0.25">
      <c r="A1186" s="3">
        <v>45639</v>
      </c>
      <c r="B1186" s="43">
        <v>2024003134</v>
      </c>
      <c r="C1186" s="4" t="s">
        <v>788</v>
      </c>
      <c r="D1186" s="5">
        <v>3000000</v>
      </c>
      <c r="E1186" s="4">
        <v>1193265360</v>
      </c>
      <c r="F1186" s="4" t="s">
        <v>67</v>
      </c>
      <c r="G1186" t="s">
        <v>565</v>
      </c>
      <c r="H1186" t="e">
        <f>VLOOKUP(C1186,'[1]873'!$C$2:$C$711,1,0)</f>
        <v>#N/A</v>
      </c>
    </row>
    <row r="1187" spans="1:8" ht="15" customHeight="1" x14ac:dyDescent="0.25">
      <c r="A1187" s="3">
        <v>45639</v>
      </c>
      <c r="B1187" s="43">
        <v>2024003135</v>
      </c>
      <c r="C1187" s="4" t="s">
        <v>835</v>
      </c>
      <c r="D1187" s="5">
        <v>3000000</v>
      </c>
      <c r="E1187" s="4">
        <v>1081276146</v>
      </c>
      <c r="F1187" s="4" t="s">
        <v>836</v>
      </c>
      <c r="G1187" t="s">
        <v>565</v>
      </c>
      <c r="H1187" t="e">
        <f>VLOOKUP(C1187,'[1]873'!$C$2:$C$711,1,0)</f>
        <v>#N/A</v>
      </c>
    </row>
    <row r="1188" spans="1:8" ht="15" customHeight="1" x14ac:dyDescent="0.25">
      <c r="A1188" s="3">
        <v>45639</v>
      </c>
      <c r="B1188" s="43">
        <v>2024003136</v>
      </c>
      <c r="C1188" s="4" t="s">
        <v>844</v>
      </c>
      <c r="D1188" s="5">
        <v>6000000</v>
      </c>
      <c r="E1188" s="4">
        <v>1085254153</v>
      </c>
      <c r="F1188" s="4" t="s">
        <v>845</v>
      </c>
      <c r="G1188" t="s">
        <v>565</v>
      </c>
      <c r="H1188" t="e">
        <f>VLOOKUP(C1188,'[1]873'!$C$2:$C$711,1,0)</f>
        <v>#N/A</v>
      </c>
    </row>
    <row r="1189" spans="1:8" ht="15" customHeight="1" x14ac:dyDescent="0.25">
      <c r="A1189" s="3">
        <v>45639</v>
      </c>
      <c r="B1189" s="43">
        <v>2024003138</v>
      </c>
      <c r="C1189" s="4" t="s">
        <v>940</v>
      </c>
      <c r="D1189" s="5">
        <v>3000000</v>
      </c>
      <c r="E1189" s="4">
        <v>59813323</v>
      </c>
      <c r="F1189" s="4" t="s">
        <v>103</v>
      </c>
      <c r="G1189" t="s">
        <v>565</v>
      </c>
      <c r="H1189" t="e">
        <f>VLOOKUP(C1189,'[1]873'!$C$2:$C$711,1,0)</f>
        <v>#N/A</v>
      </c>
    </row>
    <row r="1190" spans="1:8" ht="15" customHeight="1" x14ac:dyDescent="0.25">
      <c r="A1190" s="3">
        <v>45639</v>
      </c>
      <c r="B1190" s="43">
        <v>2024003139</v>
      </c>
      <c r="C1190" s="4" t="s">
        <v>663</v>
      </c>
      <c r="D1190" s="5">
        <v>4750000</v>
      </c>
      <c r="E1190" s="4">
        <v>1085303067</v>
      </c>
      <c r="F1190" s="4" t="s">
        <v>105</v>
      </c>
      <c r="G1190" t="s">
        <v>565</v>
      </c>
      <c r="H1190" t="e">
        <f>VLOOKUP(C1190,'[1]873'!$C$2:$C$711,1,0)</f>
        <v>#N/A</v>
      </c>
    </row>
    <row r="1191" spans="1:8" ht="15" customHeight="1" x14ac:dyDescent="0.25">
      <c r="A1191" s="3">
        <v>45639</v>
      </c>
      <c r="B1191" s="43">
        <v>2024003140</v>
      </c>
      <c r="C1191" s="4" t="s">
        <v>769</v>
      </c>
      <c r="D1191" s="5">
        <v>3000000</v>
      </c>
      <c r="E1191" s="4">
        <v>1089846829</v>
      </c>
      <c r="F1191" s="4" t="s">
        <v>770</v>
      </c>
      <c r="G1191" t="s">
        <v>565</v>
      </c>
      <c r="H1191" t="e">
        <f>VLOOKUP(C1191,'[1]873'!$C$2:$C$711,1,0)</f>
        <v>#N/A</v>
      </c>
    </row>
    <row r="1192" spans="1:8" ht="15" customHeight="1" x14ac:dyDescent="0.25">
      <c r="A1192" s="3">
        <v>45639</v>
      </c>
      <c r="B1192" s="43">
        <v>2024003141</v>
      </c>
      <c r="C1192" s="4" t="s">
        <v>729</v>
      </c>
      <c r="D1192" s="5">
        <v>2500000</v>
      </c>
      <c r="E1192" s="4">
        <v>1085335069</v>
      </c>
      <c r="F1192" s="4" t="s">
        <v>730</v>
      </c>
      <c r="G1192" t="s">
        <v>565</v>
      </c>
      <c r="H1192" t="e">
        <f>VLOOKUP(C1192,'[1]873'!$C$2:$C$711,1,0)</f>
        <v>#N/A</v>
      </c>
    </row>
    <row r="1193" spans="1:8" ht="15" customHeight="1" x14ac:dyDescent="0.25">
      <c r="A1193" s="3">
        <v>45639</v>
      </c>
      <c r="B1193" s="43">
        <v>2024003142</v>
      </c>
      <c r="C1193" s="4" t="s">
        <v>777</v>
      </c>
      <c r="D1193" s="5">
        <v>3000000</v>
      </c>
      <c r="E1193" s="4">
        <v>1144206777</v>
      </c>
      <c r="F1193" s="4" t="s">
        <v>153</v>
      </c>
      <c r="G1193" t="s">
        <v>565</v>
      </c>
      <c r="H1193" t="e">
        <f>VLOOKUP(C1193,'[1]873'!$C$2:$C$711,1,0)</f>
        <v>#N/A</v>
      </c>
    </row>
    <row r="1194" spans="1:8" ht="15" customHeight="1" x14ac:dyDescent="0.25">
      <c r="A1194" s="3">
        <v>45639</v>
      </c>
      <c r="B1194" s="43">
        <v>2024003144</v>
      </c>
      <c r="C1194" s="4" t="s">
        <v>681</v>
      </c>
      <c r="D1194" s="5">
        <v>3000000</v>
      </c>
      <c r="E1194" s="4">
        <v>1085325325</v>
      </c>
      <c r="F1194" s="4" t="s">
        <v>682</v>
      </c>
      <c r="G1194" t="s">
        <v>565</v>
      </c>
      <c r="H1194" t="e">
        <f>VLOOKUP(C1194,'[1]873'!$C$2:$C$711,1,0)</f>
        <v>#N/A</v>
      </c>
    </row>
    <row r="1195" spans="1:8" ht="15" customHeight="1" x14ac:dyDescent="0.25">
      <c r="A1195" s="3">
        <v>45639</v>
      </c>
      <c r="B1195" s="43">
        <v>2024003145</v>
      </c>
      <c r="C1195" s="4" t="s">
        <v>1004</v>
      </c>
      <c r="D1195" s="5">
        <v>6000000</v>
      </c>
      <c r="E1195" s="4">
        <v>59825948</v>
      </c>
      <c r="F1195" s="4" t="s">
        <v>1005</v>
      </c>
      <c r="G1195" t="s">
        <v>565</v>
      </c>
      <c r="H1195" t="e">
        <f>VLOOKUP(C1195,'[1]873'!$C$2:$C$711,1,0)</f>
        <v>#N/A</v>
      </c>
    </row>
    <row r="1196" spans="1:8" ht="15" customHeight="1" x14ac:dyDescent="0.25">
      <c r="A1196" s="3">
        <v>45639</v>
      </c>
      <c r="B1196" s="43">
        <v>2024003146</v>
      </c>
      <c r="C1196" s="4" t="s">
        <v>1006</v>
      </c>
      <c r="D1196" s="5">
        <v>1416100</v>
      </c>
      <c r="E1196" s="4">
        <v>36754171</v>
      </c>
      <c r="F1196" s="4" t="s">
        <v>1007</v>
      </c>
      <c r="G1196" t="s">
        <v>565</v>
      </c>
      <c r="H1196" t="e">
        <f>VLOOKUP(C1196,'[1]873'!$C$2:$C$711,1,0)</f>
        <v>#N/A</v>
      </c>
    </row>
    <row r="1197" spans="1:8" ht="15" customHeight="1" x14ac:dyDescent="0.25">
      <c r="A1197" s="3">
        <v>45639</v>
      </c>
      <c r="B1197" s="43">
        <v>2024003147</v>
      </c>
      <c r="C1197" s="4" t="s">
        <v>786</v>
      </c>
      <c r="D1197" s="5">
        <v>3000000</v>
      </c>
      <c r="E1197" s="4">
        <v>69028150</v>
      </c>
      <c r="F1197" s="4" t="s">
        <v>171</v>
      </c>
      <c r="G1197" t="s">
        <v>565</v>
      </c>
      <c r="H1197" t="e">
        <f>VLOOKUP(C1197,'[1]873'!$C$2:$C$711,1,0)</f>
        <v>#N/A</v>
      </c>
    </row>
    <row r="1198" spans="1:8" ht="15" customHeight="1" x14ac:dyDescent="0.25">
      <c r="A1198" s="3">
        <v>45639</v>
      </c>
      <c r="B1198" s="43">
        <v>2024003148</v>
      </c>
      <c r="C1198" s="4" t="s">
        <v>1008</v>
      </c>
      <c r="D1198" s="5">
        <v>3000000</v>
      </c>
      <c r="E1198" s="4">
        <v>1085265947</v>
      </c>
      <c r="F1198" s="4" t="s">
        <v>1009</v>
      </c>
      <c r="G1198" t="s">
        <v>565</v>
      </c>
      <c r="H1198" t="e">
        <f>VLOOKUP(C1198,'[1]873'!$C$2:$C$711,1,0)</f>
        <v>#N/A</v>
      </c>
    </row>
    <row r="1199" spans="1:8" ht="15" customHeight="1" x14ac:dyDescent="0.25">
      <c r="A1199" s="3">
        <v>45639</v>
      </c>
      <c r="B1199" s="43">
        <v>2024003149</v>
      </c>
      <c r="C1199" s="4" t="s">
        <v>1010</v>
      </c>
      <c r="D1199" s="5">
        <v>3000000</v>
      </c>
      <c r="E1199" s="4">
        <v>1004131976</v>
      </c>
      <c r="F1199" s="4" t="s">
        <v>1011</v>
      </c>
      <c r="G1199" t="s">
        <v>565</v>
      </c>
      <c r="H1199" t="e">
        <f>VLOOKUP(C1199,'[1]873'!$C$2:$C$711,1,0)</f>
        <v>#N/A</v>
      </c>
    </row>
    <row r="1200" spans="1:8" ht="15" customHeight="1" x14ac:dyDescent="0.25">
      <c r="A1200" s="3">
        <v>45639</v>
      </c>
      <c r="B1200" s="43">
        <v>2024003150</v>
      </c>
      <c r="C1200" s="4" t="s">
        <v>1012</v>
      </c>
      <c r="D1200" s="5">
        <v>4825000</v>
      </c>
      <c r="E1200" s="4">
        <v>1085289539</v>
      </c>
      <c r="F1200" s="4" t="s">
        <v>1013</v>
      </c>
      <c r="G1200" t="s">
        <v>565</v>
      </c>
      <c r="H1200" t="e">
        <f>VLOOKUP(C1200,'[1]873'!$C$2:$C$711,1,0)</f>
        <v>#N/A</v>
      </c>
    </row>
    <row r="1201" spans="1:8" ht="15" customHeight="1" x14ac:dyDescent="0.25">
      <c r="A1201" s="3">
        <v>45639</v>
      </c>
      <c r="B1201" s="43">
        <v>2024003151</v>
      </c>
      <c r="C1201" s="4" t="s">
        <v>764</v>
      </c>
      <c r="D1201" s="5">
        <v>3000000</v>
      </c>
      <c r="E1201" s="4">
        <v>36757213</v>
      </c>
      <c r="F1201" s="4" t="s">
        <v>411</v>
      </c>
      <c r="G1201" t="s">
        <v>565</v>
      </c>
      <c r="H1201" t="e">
        <f>VLOOKUP(C1201,'[1]873'!$C$2:$C$711,1,0)</f>
        <v>#N/A</v>
      </c>
    </row>
    <row r="1202" spans="1:8" ht="15" customHeight="1" x14ac:dyDescent="0.25">
      <c r="A1202" s="3">
        <v>45639</v>
      </c>
      <c r="B1202" s="43">
        <v>2024003152</v>
      </c>
      <c r="C1202" s="4" t="s">
        <v>664</v>
      </c>
      <c r="D1202" s="5">
        <v>4750000</v>
      </c>
      <c r="E1202" s="4">
        <v>59821282</v>
      </c>
      <c r="F1202" s="4" t="s">
        <v>135</v>
      </c>
      <c r="G1202" t="s">
        <v>565</v>
      </c>
      <c r="H1202" t="e">
        <f>VLOOKUP(C1202,'[1]873'!$C$2:$C$711,1,0)</f>
        <v>#N/A</v>
      </c>
    </row>
    <row r="1203" spans="1:8" ht="15" customHeight="1" x14ac:dyDescent="0.25">
      <c r="A1203" s="3">
        <v>45639</v>
      </c>
      <c r="B1203" s="43">
        <v>2024003153</v>
      </c>
      <c r="C1203" s="4" t="s">
        <v>855</v>
      </c>
      <c r="D1203" s="5">
        <v>4750000</v>
      </c>
      <c r="E1203" s="4">
        <v>1193383306</v>
      </c>
      <c r="F1203" s="4" t="s">
        <v>267</v>
      </c>
      <c r="G1203" t="s">
        <v>565</v>
      </c>
      <c r="H1203" t="e">
        <f>VLOOKUP(C1203,'[1]873'!$C$2:$C$711,1,0)</f>
        <v>#N/A</v>
      </c>
    </row>
    <row r="1204" spans="1:8" ht="15" customHeight="1" x14ac:dyDescent="0.25">
      <c r="A1204" s="3">
        <v>45639</v>
      </c>
      <c r="B1204" s="43">
        <v>2024003154</v>
      </c>
      <c r="C1204" s="4" t="s">
        <v>852</v>
      </c>
      <c r="D1204" s="5">
        <v>2500000</v>
      </c>
      <c r="E1204" s="4">
        <v>1085337465</v>
      </c>
      <c r="F1204" s="4" t="s">
        <v>315</v>
      </c>
      <c r="G1204" t="s">
        <v>565</v>
      </c>
      <c r="H1204" t="e">
        <f>VLOOKUP(C1204,'[1]873'!$C$2:$C$711,1,0)</f>
        <v>#N/A</v>
      </c>
    </row>
    <row r="1205" spans="1:8" ht="15" customHeight="1" x14ac:dyDescent="0.25">
      <c r="A1205" s="3">
        <v>45639</v>
      </c>
      <c r="B1205" s="43">
        <v>2024003155</v>
      </c>
      <c r="C1205" s="4" t="s">
        <v>659</v>
      </c>
      <c r="D1205" s="5">
        <v>3000000</v>
      </c>
      <c r="E1205" s="4">
        <v>59178610</v>
      </c>
      <c r="F1205" s="4" t="s">
        <v>97</v>
      </c>
      <c r="G1205" t="s">
        <v>565</v>
      </c>
      <c r="H1205" t="e">
        <f>VLOOKUP(C1205,'[1]873'!$C$2:$C$711,1,0)</f>
        <v>#N/A</v>
      </c>
    </row>
    <row r="1206" spans="1:8" ht="15" customHeight="1" x14ac:dyDescent="0.25">
      <c r="A1206" s="3">
        <v>45639</v>
      </c>
      <c r="B1206" s="43">
        <v>2024003156</v>
      </c>
      <c r="C1206" s="4" t="s">
        <v>678</v>
      </c>
      <c r="D1206" s="5">
        <v>3000000</v>
      </c>
      <c r="E1206" s="4">
        <v>36954407</v>
      </c>
      <c r="F1206" s="4" t="s">
        <v>679</v>
      </c>
      <c r="G1206" t="s">
        <v>565</v>
      </c>
      <c r="H1206" t="e">
        <f>VLOOKUP(C1206,'[1]873'!$C$2:$C$711,1,0)</f>
        <v>#N/A</v>
      </c>
    </row>
    <row r="1207" spans="1:8" ht="15" customHeight="1" x14ac:dyDescent="0.25">
      <c r="A1207" s="3">
        <v>45639</v>
      </c>
      <c r="B1207" s="43">
        <v>2024003157</v>
      </c>
      <c r="C1207" s="4" t="s">
        <v>818</v>
      </c>
      <c r="D1207" s="5">
        <v>3000000</v>
      </c>
      <c r="E1207" s="4">
        <v>27082649</v>
      </c>
      <c r="F1207" s="4" t="s">
        <v>595</v>
      </c>
      <c r="G1207" t="s">
        <v>565</v>
      </c>
      <c r="H1207" t="e">
        <f>VLOOKUP(C1207,'[1]873'!$C$2:$C$711,1,0)</f>
        <v>#N/A</v>
      </c>
    </row>
    <row r="1208" spans="1:8" ht="15" customHeight="1" x14ac:dyDescent="0.25">
      <c r="A1208" s="3">
        <v>45639</v>
      </c>
      <c r="B1208" s="43">
        <v>2024003158</v>
      </c>
      <c r="C1208" s="4" t="s">
        <v>932</v>
      </c>
      <c r="D1208" s="5">
        <v>7540000</v>
      </c>
      <c r="E1208" s="4">
        <v>1085296958</v>
      </c>
      <c r="F1208" s="4" t="s">
        <v>401</v>
      </c>
      <c r="G1208" t="s">
        <v>565</v>
      </c>
      <c r="H1208" t="e">
        <f>VLOOKUP(C1208,'[1]873'!$C$2:$C$711,1,0)</f>
        <v>#N/A</v>
      </c>
    </row>
    <row r="1209" spans="1:8" ht="15" customHeight="1" x14ac:dyDescent="0.25">
      <c r="A1209" s="3">
        <v>45642</v>
      </c>
      <c r="B1209" s="43">
        <v>2024003159</v>
      </c>
      <c r="C1209" s="4" t="s">
        <v>941</v>
      </c>
      <c r="D1209" s="5">
        <v>4825000</v>
      </c>
      <c r="E1209" s="4">
        <v>1085332406</v>
      </c>
      <c r="F1209" s="4" t="s">
        <v>273</v>
      </c>
      <c r="G1209" t="s">
        <v>565</v>
      </c>
      <c r="H1209" t="e">
        <f>VLOOKUP(C1209,'[1]873'!$C$2:$C$711,1,0)</f>
        <v>#N/A</v>
      </c>
    </row>
    <row r="1210" spans="1:8" ht="15" customHeight="1" x14ac:dyDescent="0.25">
      <c r="A1210" s="3">
        <v>45642</v>
      </c>
      <c r="B1210" s="43">
        <v>2024003160</v>
      </c>
      <c r="C1210" s="4" t="s">
        <v>1014</v>
      </c>
      <c r="D1210" s="5">
        <v>916300</v>
      </c>
      <c r="E1210" s="4">
        <v>30736949</v>
      </c>
      <c r="F1210" s="4" t="s">
        <v>557</v>
      </c>
      <c r="G1210" t="s">
        <v>565</v>
      </c>
      <c r="H1210" t="e">
        <f>VLOOKUP(C1210,'[1]873'!$C$2:$C$711,1,0)</f>
        <v>#N/A</v>
      </c>
    </row>
    <row r="1211" spans="1:8" ht="15" customHeight="1" x14ac:dyDescent="0.25">
      <c r="A1211" s="3">
        <v>45642</v>
      </c>
      <c r="B1211" s="43">
        <v>2024003161</v>
      </c>
      <c r="C1211" s="4" t="s">
        <v>1014</v>
      </c>
      <c r="D1211" s="5">
        <v>2500000</v>
      </c>
      <c r="E1211" s="4">
        <v>30736949</v>
      </c>
      <c r="F1211" s="4" t="s">
        <v>557</v>
      </c>
      <c r="G1211" t="s">
        <v>565</v>
      </c>
      <c r="H1211" t="e">
        <f>VLOOKUP(C1211,'[1]873'!$C$2:$C$711,1,0)</f>
        <v>#N/A</v>
      </c>
    </row>
    <row r="1212" spans="1:8" ht="15" customHeight="1" x14ac:dyDescent="0.25">
      <c r="A1212" s="3">
        <v>45642</v>
      </c>
      <c r="B1212" s="43">
        <v>2024003162</v>
      </c>
      <c r="C1212" s="4" t="s">
        <v>1015</v>
      </c>
      <c r="D1212" s="5">
        <v>804000</v>
      </c>
      <c r="E1212" s="4">
        <v>1080900817</v>
      </c>
      <c r="F1212" s="4" t="s">
        <v>1016</v>
      </c>
      <c r="G1212" t="s">
        <v>565</v>
      </c>
      <c r="H1212" t="e">
        <f>VLOOKUP(C1212,'[1]873'!$C$2:$C$711,1,0)</f>
        <v>#N/A</v>
      </c>
    </row>
    <row r="1213" spans="1:8" ht="15" customHeight="1" x14ac:dyDescent="0.25">
      <c r="A1213" s="3">
        <v>45642</v>
      </c>
      <c r="B1213" s="43">
        <v>2024003163</v>
      </c>
      <c r="C1213" s="4" t="s">
        <v>1017</v>
      </c>
      <c r="D1213" s="5">
        <v>7540000</v>
      </c>
      <c r="E1213" s="4">
        <v>1193279435</v>
      </c>
      <c r="F1213" s="4" t="s">
        <v>435</v>
      </c>
      <c r="G1213" t="s">
        <v>565</v>
      </c>
      <c r="H1213" t="e">
        <f>VLOOKUP(C1213,'[1]873'!$C$2:$C$711,1,0)</f>
        <v>#N/A</v>
      </c>
    </row>
    <row r="1214" spans="1:8" ht="15" customHeight="1" x14ac:dyDescent="0.25">
      <c r="A1214" s="3">
        <v>45642</v>
      </c>
      <c r="B1214" s="43">
        <v>2024003164</v>
      </c>
      <c r="C1214" s="4" t="s">
        <v>929</v>
      </c>
      <c r="D1214" s="5">
        <v>7540000</v>
      </c>
      <c r="E1214" s="4">
        <v>87065647</v>
      </c>
      <c r="F1214" s="4" t="s">
        <v>43</v>
      </c>
      <c r="G1214" t="s">
        <v>565</v>
      </c>
      <c r="H1214" t="e">
        <f>VLOOKUP(C1214,'[1]873'!$C$2:$C$711,1,0)</f>
        <v>#N/A</v>
      </c>
    </row>
    <row r="1215" spans="1:8" ht="15" customHeight="1" x14ac:dyDescent="0.25">
      <c r="A1215" s="3">
        <v>45642</v>
      </c>
      <c r="B1215" s="43">
        <v>2024003165</v>
      </c>
      <c r="C1215" s="4" t="s">
        <v>803</v>
      </c>
      <c r="D1215" s="5">
        <v>7540000</v>
      </c>
      <c r="E1215" s="4">
        <v>80765093</v>
      </c>
      <c r="F1215" s="4" t="s">
        <v>69</v>
      </c>
      <c r="G1215" t="s">
        <v>565</v>
      </c>
      <c r="H1215" t="e">
        <f>VLOOKUP(C1215,'[1]873'!$C$2:$C$711,1,0)</f>
        <v>#N/A</v>
      </c>
    </row>
    <row r="1216" spans="1:8" ht="15" customHeight="1" x14ac:dyDescent="0.25">
      <c r="A1216" s="3">
        <v>45642</v>
      </c>
      <c r="B1216" s="43">
        <v>2024003166</v>
      </c>
      <c r="C1216" s="4" t="s">
        <v>746</v>
      </c>
      <c r="D1216" s="5">
        <v>7540000</v>
      </c>
      <c r="E1216" s="4">
        <v>1233191998</v>
      </c>
      <c r="F1216" s="4" t="s">
        <v>747</v>
      </c>
      <c r="G1216" t="s">
        <v>565</v>
      </c>
      <c r="H1216" t="e">
        <f>VLOOKUP(C1216,'[1]873'!$C$2:$C$711,1,0)</f>
        <v>#N/A</v>
      </c>
    </row>
    <row r="1217" spans="1:8" ht="15" customHeight="1" x14ac:dyDescent="0.25">
      <c r="A1217" s="3">
        <v>45642</v>
      </c>
      <c r="B1217" s="43">
        <v>2024003167</v>
      </c>
      <c r="C1217" s="4" t="s">
        <v>661</v>
      </c>
      <c r="D1217" s="5">
        <v>6000000</v>
      </c>
      <c r="E1217" s="4">
        <v>59837608</v>
      </c>
      <c r="F1217" s="4" t="s">
        <v>145</v>
      </c>
      <c r="G1217" t="s">
        <v>565</v>
      </c>
      <c r="H1217" t="e">
        <f>VLOOKUP(C1217,'[1]873'!$C$2:$C$711,1,0)</f>
        <v>#N/A</v>
      </c>
    </row>
    <row r="1218" spans="1:8" ht="15" customHeight="1" x14ac:dyDescent="0.25">
      <c r="A1218" s="3">
        <v>45642</v>
      </c>
      <c r="B1218" s="43">
        <v>2024003168</v>
      </c>
      <c r="C1218" s="4" t="s">
        <v>894</v>
      </c>
      <c r="D1218" s="5">
        <v>6000000</v>
      </c>
      <c r="E1218" s="4">
        <v>1085272491</v>
      </c>
      <c r="F1218" s="4" t="s">
        <v>895</v>
      </c>
      <c r="G1218" t="s">
        <v>565</v>
      </c>
      <c r="H1218" t="e">
        <f>VLOOKUP(C1218,'[1]873'!$C$2:$C$711,1,0)</f>
        <v>#N/A</v>
      </c>
    </row>
    <row r="1219" spans="1:8" ht="15" customHeight="1" x14ac:dyDescent="0.25">
      <c r="A1219" s="3">
        <v>45642</v>
      </c>
      <c r="B1219" s="43">
        <v>2024003169</v>
      </c>
      <c r="C1219" s="4" t="s">
        <v>913</v>
      </c>
      <c r="D1219" s="5">
        <v>4750000</v>
      </c>
      <c r="E1219" s="4">
        <v>36953206</v>
      </c>
      <c r="F1219" s="4" t="s">
        <v>391</v>
      </c>
      <c r="G1219" t="s">
        <v>565</v>
      </c>
      <c r="H1219" t="e">
        <f>VLOOKUP(C1219,'[1]873'!$C$2:$C$711,1,0)</f>
        <v>#N/A</v>
      </c>
    </row>
    <row r="1220" spans="1:8" ht="15" customHeight="1" x14ac:dyDescent="0.25">
      <c r="A1220" s="3">
        <v>45642</v>
      </c>
      <c r="B1220" s="43">
        <v>2024003170</v>
      </c>
      <c r="C1220" s="4" t="s">
        <v>638</v>
      </c>
      <c r="D1220" s="5">
        <v>6000000</v>
      </c>
      <c r="E1220" s="4">
        <v>1010010954</v>
      </c>
      <c r="F1220" s="4" t="s">
        <v>337</v>
      </c>
      <c r="G1220" t="s">
        <v>565</v>
      </c>
      <c r="H1220" t="e">
        <f>VLOOKUP(C1220,'[1]873'!$C$2:$C$711,1,0)</f>
        <v>#N/A</v>
      </c>
    </row>
    <row r="1221" spans="1:8" ht="15" customHeight="1" x14ac:dyDescent="0.25">
      <c r="A1221" s="3">
        <v>45642</v>
      </c>
      <c r="B1221" s="43">
        <v>2024003171</v>
      </c>
      <c r="C1221" s="4" t="s">
        <v>808</v>
      </c>
      <c r="D1221" s="5">
        <v>3000000</v>
      </c>
      <c r="E1221" s="4">
        <v>1085330237</v>
      </c>
      <c r="F1221" s="4" t="s">
        <v>255</v>
      </c>
      <c r="G1221" t="s">
        <v>565</v>
      </c>
      <c r="H1221" t="e">
        <f>VLOOKUP(C1221,'[1]873'!$C$2:$C$711,1,0)</f>
        <v>#N/A</v>
      </c>
    </row>
    <row r="1222" spans="1:8" ht="15" customHeight="1" x14ac:dyDescent="0.25">
      <c r="A1222" s="3">
        <v>45642</v>
      </c>
      <c r="B1222" s="43">
        <v>2024003172</v>
      </c>
      <c r="C1222" s="4" t="s">
        <v>805</v>
      </c>
      <c r="D1222" s="5">
        <v>3000000</v>
      </c>
      <c r="E1222" s="4">
        <v>59834953</v>
      </c>
      <c r="F1222" s="4" t="s">
        <v>121</v>
      </c>
      <c r="G1222" t="s">
        <v>565</v>
      </c>
      <c r="H1222" t="e">
        <f>VLOOKUP(C1222,'[1]873'!$C$2:$C$711,1,0)</f>
        <v>#N/A</v>
      </c>
    </row>
    <row r="1223" spans="1:8" ht="15" customHeight="1" x14ac:dyDescent="0.25">
      <c r="A1223" s="3">
        <v>45642</v>
      </c>
      <c r="B1223" s="43">
        <v>2024003173</v>
      </c>
      <c r="C1223" s="4" t="s">
        <v>810</v>
      </c>
      <c r="D1223" s="5">
        <v>4825000</v>
      </c>
      <c r="E1223" s="4">
        <v>1085337969</v>
      </c>
      <c r="F1223" s="4" t="s">
        <v>99</v>
      </c>
      <c r="G1223" t="s">
        <v>565</v>
      </c>
      <c r="H1223" t="e">
        <f>VLOOKUP(C1223,'[1]873'!$C$2:$C$711,1,0)</f>
        <v>#N/A</v>
      </c>
    </row>
    <row r="1224" spans="1:8" ht="15" customHeight="1" x14ac:dyDescent="0.25">
      <c r="A1224" s="3">
        <v>45642</v>
      </c>
      <c r="B1224" s="43">
        <v>2024003174</v>
      </c>
      <c r="C1224" s="4" t="s">
        <v>914</v>
      </c>
      <c r="D1224" s="5">
        <v>4750000</v>
      </c>
      <c r="E1224" s="4">
        <v>1018492767</v>
      </c>
      <c r="F1224" s="4" t="s">
        <v>915</v>
      </c>
      <c r="G1224" t="s">
        <v>565</v>
      </c>
      <c r="H1224" t="e">
        <f>VLOOKUP(C1224,'[1]873'!$C$2:$C$711,1,0)</f>
        <v>#N/A</v>
      </c>
    </row>
    <row r="1225" spans="1:8" ht="15" customHeight="1" x14ac:dyDescent="0.25">
      <c r="A1225" s="3">
        <v>45642</v>
      </c>
      <c r="B1225" s="43">
        <v>2024003175</v>
      </c>
      <c r="C1225" s="4" t="s">
        <v>1018</v>
      </c>
      <c r="D1225" s="5">
        <v>2500000</v>
      </c>
      <c r="E1225" s="4">
        <v>1081052090</v>
      </c>
      <c r="F1225" s="4" t="s">
        <v>319</v>
      </c>
      <c r="G1225" t="s">
        <v>565</v>
      </c>
      <c r="H1225" t="e">
        <f>VLOOKUP(C1225,'[1]873'!$C$2:$C$711,1,0)</f>
        <v>#N/A</v>
      </c>
    </row>
    <row r="1226" spans="1:8" ht="15" customHeight="1" x14ac:dyDescent="0.25">
      <c r="A1226" s="3">
        <v>45642</v>
      </c>
      <c r="B1226" s="43">
        <v>2024003176</v>
      </c>
      <c r="C1226" s="4" t="s">
        <v>1019</v>
      </c>
      <c r="D1226" s="5">
        <v>1416100</v>
      </c>
      <c r="E1226" s="4">
        <v>12990231</v>
      </c>
      <c r="F1226" s="4" t="s">
        <v>1020</v>
      </c>
      <c r="G1226" t="s">
        <v>565</v>
      </c>
      <c r="H1226" t="e">
        <f>VLOOKUP(C1226,'[1]873'!$C$2:$C$711,1,0)</f>
        <v>#N/A</v>
      </c>
    </row>
    <row r="1227" spans="1:8" ht="15" customHeight="1" x14ac:dyDescent="0.25">
      <c r="A1227" s="3">
        <v>45642</v>
      </c>
      <c r="B1227" s="43">
        <v>2024003177</v>
      </c>
      <c r="C1227" s="4" t="s">
        <v>622</v>
      </c>
      <c r="D1227" s="5">
        <v>4825000</v>
      </c>
      <c r="E1227" s="4">
        <v>1085283723</v>
      </c>
      <c r="F1227" s="4" t="s">
        <v>175</v>
      </c>
      <c r="G1227" t="s">
        <v>565</v>
      </c>
      <c r="H1227" t="e">
        <f>VLOOKUP(C1227,'[1]873'!$C$2:$C$711,1,0)</f>
        <v>#N/A</v>
      </c>
    </row>
    <row r="1228" spans="1:8" ht="15" customHeight="1" x14ac:dyDescent="0.25">
      <c r="A1228" s="3">
        <v>45642</v>
      </c>
      <c r="B1228" s="43">
        <v>2024003178</v>
      </c>
      <c r="C1228" s="4" t="s">
        <v>902</v>
      </c>
      <c r="D1228" s="5">
        <v>3000000</v>
      </c>
      <c r="E1228" s="4">
        <v>1080043348</v>
      </c>
      <c r="F1228" s="4" t="s">
        <v>903</v>
      </c>
      <c r="G1228" t="s">
        <v>565</v>
      </c>
      <c r="H1228" t="e">
        <f>VLOOKUP(C1228,'[1]873'!$C$2:$C$711,1,0)</f>
        <v>#N/A</v>
      </c>
    </row>
    <row r="1229" spans="1:8" ht="15" customHeight="1" x14ac:dyDescent="0.25">
      <c r="A1229" s="3">
        <v>45642</v>
      </c>
      <c r="B1229" s="43">
        <v>2024003179</v>
      </c>
      <c r="C1229" s="4" t="s">
        <v>620</v>
      </c>
      <c r="D1229" s="5">
        <v>4825000</v>
      </c>
      <c r="E1229" s="4">
        <v>1085273986</v>
      </c>
      <c r="F1229" s="4" t="s">
        <v>621</v>
      </c>
      <c r="G1229" t="s">
        <v>565</v>
      </c>
      <c r="H1229" t="e">
        <f>VLOOKUP(C1229,'[1]873'!$C$2:$C$711,1,0)</f>
        <v>#N/A</v>
      </c>
    </row>
    <row r="1230" spans="1:8" ht="15" customHeight="1" x14ac:dyDescent="0.25">
      <c r="A1230" s="3">
        <v>45642</v>
      </c>
      <c r="B1230" s="43">
        <v>2024003180</v>
      </c>
      <c r="C1230" s="4" t="s">
        <v>883</v>
      </c>
      <c r="D1230" s="5">
        <v>3000000</v>
      </c>
      <c r="E1230" s="4">
        <v>37083086</v>
      </c>
      <c r="F1230" s="4" t="s">
        <v>884</v>
      </c>
      <c r="G1230" t="s">
        <v>565</v>
      </c>
      <c r="H1230" t="e">
        <f>VLOOKUP(C1230,'[1]873'!$C$2:$C$711,1,0)</f>
        <v>#N/A</v>
      </c>
    </row>
    <row r="1231" spans="1:8" ht="15" customHeight="1" x14ac:dyDescent="0.25">
      <c r="A1231" s="3">
        <v>45642</v>
      </c>
      <c r="B1231" s="43">
        <v>2024003181</v>
      </c>
      <c r="C1231" s="4" t="s">
        <v>626</v>
      </c>
      <c r="D1231" s="5">
        <v>4825000</v>
      </c>
      <c r="E1231" s="4">
        <v>1085338534</v>
      </c>
      <c r="F1231" s="4" t="s">
        <v>15</v>
      </c>
      <c r="G1231" t="s">
        <v>565</v>
      </c>
      <c r="H1231" t="e">
        <f>VLOOKUP(C1231,'[1]873'!$C$2:$C$711,1,0)</f>
        <v>#N/A</v>
      </c>
    </row>
    <row r="1232" spans="1:8" ht="15" customHeight="1" x14ac:dyDescent="0.25">
      <c r="A1232" s="3">
        <v>45642</v>
      </c>
      <c r="B1232" s="43">
        <v>2024003182</v>
      </c>
      <c r="C1232" s="4" t="s">
        <v>605</v>
      </c>
      <c r="D1232" s="5">
        <v>3000000</v>
      </c>
      <c r="E1232" s="4">
        <v>1085326198</v>
      </c>
      <c r="F1232" s="4" t="s">
        <v>79</v>
      </c>
      <c r="G1232" t="s">
        <v>565</v>
      </c>
      <c r="H1232" t="e">
        <f>VLOOKUP(C1232,'[1]873'!$C$2:$C$711,1,0)</f>
        <v>#N/A</v>
      </c>
    </row>
    <row r="1233" spans="1:8" ht="15" customHeight="1" x14ac:dyDescent="0.25">
      <c r="A1233" s="3">
        <v>45642</v>
      </c>
      <c r="B1233" s="43">
        <v>2024003183</v>
      </c>
      <c r="C1233" s="4" t="s">
        <v>904</v>
      </c>
      <c r="D1233" s="5">
        <v>3000000</v>
      </c>
      <c r="E1233" s="4">
        <v>1193224810</v>
      </c>
      <c r="F1233" s="4" t="s">
        <v>409</v>
      </c>
      <c r="G1233" t="s">
        <v>565</v>
      </c>
      <c r="H1233" t="e">
        <f>VLOOKUP(C1233,'[1]873'!$C$2:$C$711,1,0)</f>
        <v>#N/A</v>
      </c>
    </row>
    <row r="1234" spans="1:8" ht="15" customHeight="1" x14ac:dyDescent="0.25">
      <c r="A1234" s="3">
        <v>45642</v>
      </c>
      <c r="B1234" s="43">
        <v>2024003184</v>
      </c>
      <c r="C1234" s="4" t="s">
        <v>632</v>
      </c>
      <c r="D1234" s="5">
        <v>6000000</v>
      </c>
      <c r="E1234" s="4">
        <v>36951002</v>
      </c>
      <c r="F1234" s="4" t="s">
        <v>125</v>
      </c>
      <c r="G1234" t="s">
        <v>565</v>
      </c>
      <c r="H1234" t="e">
        <f>VLOOKUP(C1234,'[1]873'!$C$2:$C$711,1,0)</f>
        <v>#N/A</v>
      </c>
    </row>
    <row r="1235" spans="1:8" ht="15" customHeight="1" x14ac:dyDescent="0.25">
      <c r="A1235" s="3">
        <v>45642</v>
      </c>
      <c r="B1235" s="43">
        <v>2024003186</v>
      </c>
      <c r="C1235" s="4" t="s">
        <v>630</v>
      </c>
      <c r="D1235" s="5">
        <v>3000000</v>
      </c>
      <c r="E1235" s="4">
        <v>1004635031</v>
      </c>
      <c r="F1235" s="4" t="s">
        <v>397</v>
      </c>
      <c r="G1235" t="s">
        <v>565</v>
      </c>
      <c r="H1235" t="e">
        <f>VLOOKUP(C1235,'[1]873'!$C$2:$C$711,1,0)</f>
        <v>#N/A</v>
      </c>
    </row>
    <row r="1236" spans="1:8" ht="15" customHeight="1" x14ac:dyDescent="0.25">
      <c r="A1236" s="3">
        <v>45642</v>
      </c>
      <c r="B1236" s="43">
        <v>2024003187</v>
      </c>
      <c r="C1236" s="4" t="s">
        <v>690</v>
      </c>
      <c r="D1236" s="5">
        <v>2500000</v>
      </c>
      <c r="E1236" s="4">
        <v>1081595853</v>
      </c>
      <c r="F1236" s="4" t="s">
        <v>189</v>
      </c>
      <c r="G1236" t="s">
        <v>565</v>
      </c>
      <c r="H1236" t="e">
        <f>VLOOKUP(C1236,'[1]873'!$C$2:$C$711,1,0)</f>
        <v>#N/A</v>
      </c>
    </row>
    <row r="1237" spans="1:8" ht="15" customHeight="1" x14ac:dyDescent="0.25">
      <c r="A1237" s="3">
        <v>45642</v>
      </c>
      <c r="B1237" s="43">
        <v>2024003188</v>
      </c>
      <c r="C1237" s="4" t="s">
        <v>887</v>
      </c>
      <c r="D1237" s="5">
        <v>3000000</v>
      </c>
      <c r="E1237" s="4">
        <v>1004234290</v>
      </c>
      <c r="F1237" s="4" t="s">
        <v>237</v>
      </c>
      <c r="G1237" t="s">
        <v>565</v>
      </c>
      <c r="H1237" t="e">
        <f>VLOOKUP(C1237,'[1]873'!$C$2:$C$711,1,0)</f>
        <v>#N/A</v>
      </c>
    </row>
    <row r="1238" spans="1:8" ht="15" customHeight="1" x14ac:dyDescent="0.25">
      <c r="A1238" s="3">
        <v>45642</v>
      </c>
      <c r="B1238" s="43">
        <v>2024003189</v>
      </c>
      <c r="C1238" s="4" t="s">
        <v>854</v>
      </c>
      <c r="D1238" s="5">
        <v>3000000</v>
      </c>
      <c r="E1238" s="4">
        <v>1085266584</v>
      </c>
      <c r="F1238" s="4" t="s">
        <v>115</v>
      </c>
      <c r="G1238" t="s">
        <v>565</v>
      </c>
      <c r="H1238" t="e">
        <f>VLOOKUP(C1238,'[1]873'!$C$2:$C$711,1,0)</f>
        <v>#N/A</v>
      </c>
    </row>
    <row r="1239" spans="1:8" ht="15" customHeight="1" x14ac:dyDescent="0.25">
      <c r="A1239" s="3">
        <v>45642</v>
      </c>
      <c r="B1239" s="43">
        <v>2024003190</v>
      </c>
      <c r="C1239" s="4" t="s">
        <v>865</v>
      </c>
      <c r="D1239" s="5">
        <v>2500000</v>
      </c>
      <c r="E1239" s="4">
        <v>1085281545</v>
      </c>
      <c r="F1239" s="4" t="s">
        <v>866</v>
      </c>
      <c r="G1239" t="s">
        <v>565</v>
      </c>
      <c r="H1239" t="e">
        <f>VLOOKUP(C1239,'[1]873'!$C$2:$C$711,1,0)</f>
        <v>#N/A</v>
      </c>
    </row>
    <row r="1240" spans="1:8" ht="15" customHeight="1" x14ac:dyDescent="0.25">
      <c r="A1240" s="3">
        <v>45642</v>
      </c>
      <c r="B1240" s="43">
        <v>2024003191</v>
      </c>
      <c r="C1240" s="4" t="s">
        <v>838</v>
      </c>
      <c r="D1240" s="5">
        <v>3000000</v>
      </c>
      <c r="E1240" s="4">
        <v>59310433</v>
      </c>
      <c r="F1240" s="4" t="s">
        <v>839</v>
      </c>
      <c r="G1240" t="s">
        <v>565</v>
      </c>
      <c r="H1240" t="e">
        <f>VLOOKUP(C1240,'[1]873'!$C$2:$C$711,1,0)</f>
        <v>#N/A</v>
      </c>
    </row>
    <row r="1241" spans="1:8" ht="15" customHeight="1" x14ac:dyDescent="0.25">
      <c r="A1241" s="3">
        <v>45642</v>
      </c>
      <c r="B1241" s="43">
        <v>2024003192</v>
      </c>
      <c r="C1241" s="4" t="s">
        <v>1021</v>
      </c>
      <c r="D1241" s="5">
        <v>804000</v>
      </c>
      <c r="E1241" s="4">
        <v>1085319572</v>
      </c>
      <c r="F1241" s="4" t="s">
        <v>1022</v>
      </c>
      <c r="G1241" t="s">
        <v>565</v>
      </c>
      <c r="H1241" t="e">
        <f>VLOOKUP(C1241,'[1]873'!$C$2:$C$711,1,0)</f>
        <v>#N/A</v>
      </c>
    </row>
    <row r="1242" spans="1:8" ht="15" customHeight="1" x14ac:dyDescent="0.25">
      <c r="A1242" s="3">
        <v>45642</v>
      </c>
      <c r="B1242" s="43">
        <v>2024003193</v>
      </c>
      <c r="C1242" s="4" t="s">
        <v>728</v>
      </c>
      <c r="D1242" s="5">
        <v>3000000</v>
      </c>
      <c r="E1242" s="4">
        <v>1010113730</v>
      </c>
      <c r="F1242" s="4" t="s">
        <v>219</v>
      </c>
      <c r="G1242" t="s">
        <v>565</v>
      </c>
      <c r="H1242" t="e">
        <f>VLOOKUP(C1242,'[1]873'!$C$2:$C$711,1,0)</f>
        <v>#N/A</v>
      </c>
    </row>
    <row r="1243" spans="1:8" ht="15" customHeight="1" x14ac:dyDescent="0.25">
      <c r="A1243" s="3">
        <v>45642</v>
      </c>
      <c r="B1243" s="43">
        <v>2024003194</v>
      </c>
      <c r="C1243" s="4" t="s">
        <v>564</v>
      </c>
      <c r="D1243" s="5">
        <v>3000000</v>
      </c>
      <c r="E1243" s="4">
        <v>1085324107</v>
      </c>
      <c r="F1243" s="4" t="s">
        <v>381</v>
      </c>
      <c r="G1243" t="s">
        <v>565</v>
      </c>
      <c r="H1243" t="e">
        <f>VLOOKUP(C1243,'[1]873'!$C$2:$C$711,1,0)</f>
        <v>#N/A</v>
      </c>
    </row>
    <row r="1244" spans="1:8" ht="15" customHeight="1" x14ac:dyDescent="0.25">
      <c r="A1244" s="3">
        <v>45642</v>
      </c>
      <c r="B1244" s="43">
        <v>2024003195</v>
      </c>
      <c r="C1244" s="4" t="s">
        <v>807</v>
      </c>
      <c r="D1244" s="5">
        <v>2500000</v>
      </c>
      <c r="E1244" s="4">
        <v>37087268</v>
      </c>
      <c r="F1244" s="4" t="s">
        <v>257</v>
      </c>
      <c r="G1244" t="s">
        <v>565</v>
      </c>
      <c r="H1244" t="e">
        <f>VLOOKUP(C1244,'[1]873'!$C$2:$C$711,1,0)</f>
        <v>#N/A</v>
      </c>
    </row>
    <row r="1245" spans="1:8" ht="15" customHeight="1" x14ac:dyDescent="0.25">
      <c r="A1245" s="3">
        <v>45642</v>
      </c>
      <c r="B1245" s="43">
        <v>2024003196</v>
      </c>
      <c r="C1245" s="4" t="s">
        <v>822</v>
      </c>
      <c r="D1245" s="5">
        <v>3000000</v>
      </c>
      <c r="E1245" s="4">
        <v>98382500</v>
      </c>
      <c r="F1245" s="4" t="s">
        <v>183</v>
      </c>
      <c r="G1245" t="s">
        <v>565</v>
      </c>
      <c r="H1245" t="e">
        <f>VLOOKUP(C1245,'[1]873'!$C$2:$C$711,1,0)</f>
        <v>#N/A</v>
      </c>
    </row>
    <row r="1246" spans="1:8" ht="15" customHeight="1" x14ac:dyDescent="0.25">
      <c r="A1246" s="3">
        <v>45642</v>
      </c>
      <c r="B1246" s="43">
        <v>2024003198</v>
      </c>
      <c r="C1246" s="4" t="s">
        <v>712</v>
      </c>
      <c r="D1246" s="5">
        <v>7540000</v>
      </c>
      <c r="E1246" s="4">
        <v>1233192708</v>
      </c>
      <c r="F1246" s="4" t="s">
        <v>591</v>
      </c>
      <c r="G1246" t="s">
        <v>565</v>
      </c>
      <c r="H1246" t="e">
        <f>VLOOKUP(C1246,'[1]873'!$C$2:$C$711,1,0)</f>
        <v>#N/A</v>
      </c>
    </row>
    <row r="1247" spans="1:8" ht="15" customHeight="1" x14ac:dyDescent="0.25">
      <c r="A1247" s="3">
        <v>45642</v>
      </c>
      <c r="B1247" s="43">
        <v>2024003199</v>
      </c>
      <c r="C1247" s="4" t="s">
        <v>762</v>
      </c>
      <c r="D1247" s="5">
        <v>2500000</v>
      </c>
      <c r="E1247" s="4">
        <v>36757715</v>
      </c>
      <c r="F1247" s="4" t="s">
        <v>313</v>
      </c>
      <c r="G1247" t="s">
        <v>565</v>
      </c>
      <c r="H1247" t="e">
        <f>VLOOKUP(C1247,'[1]873'!$C$2:$C$711,1,0)</f>
        <v>#N/A</v>
      </c>
    </row>
    <row r="1248" spans="1:8" ht="15" customHeight="1" x14ac:dyDescent="0.25">
      <c r="A1248" s="3">
        <v>45642</v>
      </c>
      <c r="B1248" s="43">
        <v>2024003200</v>
      </c>
      <c r="C1248" s="4" t="s">
        <v>1023</v>
      </c>
      <c r="D1248" s="5">
        <v>2500000</v>
      </c>
      <c r="E1248" s="4">
        <v>36757507</v>
      </c>
      <c r="F1248" s="4" t="s">
        <v>1024</v>
      </c>
      <c r="G1248" t="s">
        <v>565</v>
      </c>
      <c r="H1248" t="e">
        <f>VLOOKUP(C1248,'[1]873'!$C$2:$C$711,1,0)</f>
        <v>#N/A</v>
      </c>
    </row>
    <row r="1249" spans="1:8" ht="15" customHeight="1" x14ac:dyDescent="0.25">
      <c r="A1249" s="3">
        <v>45642</v>
      </c>
      <c r="B1249" s="43">
        <v>2024003201</v>
      </c>
      <c r="C1249" s="4" t="s">
        <v>613</v>
      </c>
      <c r="D1249" s="5">
        <v>6000000</v>
      </c>
      <c r="E1249" s="4">
        <v>1085313872</v>
      </c>
      <c r="F1249" s="4" t="s">
        <v>614</v>
      </c>
      <c r="G1249" t="s">
        <v>565</v>
      </c>
      <c r="H1249" t="e">
        <f>VLOOKUP(C1249,'[1]873'!$C$2:$C$711,1,0)</f>
        <v>#N/A</v>
      </c>
    </row>
    <row r="1250" spans="1:8" ht="15" customHeight="1" x14ac:dyDescent="0.25">
      <c r="A1250" s="3">
        <v>45642</v>
      </c>
      <c r="B1250" s="43">
        <v>2024003202</v>
      </c>
      <c r="C1250" s="4" t="s">
        <v>1025</v>
      </c>
      <c r="D1250" s="5">
        <v>3000000</v>
      </c>
      <c r="E1250" s="4">
        <v>37083324</v>
      </c>
      <c r="F1250" s="4" t="s">
        <v>485</v>
      </c>
      <c r="G1250" t="s">
        <v>565</v>
      </c>
      <c r="H1250" t="e">
        <f>VLOOKUP(C1250,'[1]873'!$C$2:$C$711,1,0)</f>
        <v>#N/A</v>
      </c>
    </row>
    <row r="1251" spans="1:8" ht="15" customHeight="1" x14ac:dyDescent="0.25">
      <c r="A1251" s="3">
        <v>45642</v>
      </c>
      <c r="B1251" s="43">
        <v>2024003203</v>
      </c>
      <c r="C1251" s="4" t="s">
        <v>841</v>
      </c>
      <c r="D1251" s="5">
        <v>4825000</v>
      </c>
      <c r="E1251" s="4">
        <v>1085265622</v>
      </c>
      <c r="F1251" s="4" t="s">
        <v>460</v>
      </c>
      <c r="G1251" t="s">
        <v>565</v>
      </c>
      <c r="H1251" t="e">
        <f>VLOOKUP(C1251,'[1]873'!$C$2:$C$711,1,0)</f>
        <v>#N/A</v>
      </c>
    </row>
    <row r="1252" spans="1:8" ht="15" customHeight="1" x14ac:dyDescent="0.25">
      <c r="A1252" s="3">
        <v>45642</v>
      </c>
      <c r="B1252" s="43">
        <v>2024003204</v>
      </c>
      <c r="C1252" s="4" t="s">
        <v>905</v>
      </c>
      <c r="D1252" s="5">
        <v>3000000</v>
      </c>
      <c r="E1252" s="4">
        <v>1085302942</v>
      </c>
      <c r="F1252" s="4" t="s">
        <v>417</v>
      </c>
      <c r="G1252" t="s">
        <v>565</v>
      </c>
      <c r="H1252" t="e">
        <f>VLOOKUP(C1252,'[1]873'!$C$2:$C$711,1,0)</f>
        <v>#N/A</v>
      </c>
    </row>
    <row r="1253" spans="1:8" ht="15" customHeight="1" x14ac:dyDescent="0.25">
      <c r="A1253" s="3">
        <v>45642</v>
      </c>
      <c r="B1253" s="43">
        <v>2024003205</v>
      </c>
      <c r="C1253" s="4" t="s">
        <v>645</v>
      </c>
      <c r="D1253" s="5">
        <v>7540000</v>
      </c>
      <c r="E1253" s="4">
        <v>1085320661</v>
      </c>
      <c r="F1253" s="4" t="s">
        <v>393</v>
      </c>
      <c r="G1253" t="s">
        <v>565</v>
      </c>
      <c r="H1253" t="e">
        <f>VLOOKUP(C1253,'[1]873'!$C$2:$C$711,1,0)</f>
        <v>#N/A</v>
      </c>
    </row>
    <row r="1254" spans="1:8" ht="15" customHeight="1" x14ac:dyDescent="0.25">
      <c r="A1254" s="3">
        <v>45642</v>
      </c>
      <c r="B1254" s="43">
        <v>2024003207</v>
      </c>
      <c r="C1254" s="4" t="s">
        <v>697</v>
      </c>
      <c r="D1254" s="5">
        <v>7540000</v>
      </c>
      <c r="E1254" s="4">
        <v>37087120</v>
      </c>
      <c r="F1254" s="4" t="s">
        <v>159</v>
      </c>
      <c r="G1254" t="s">
        <v>565</v>
      </c>
      <c r="H1254" t="e">
        <f>VLOOKUP(C1254,'[1]873'!$C$2:$C$711,1,0)</f>
        <v>#N/A</v>
      </c>
    </row>
    <row r="1255" spans="1:8" ht="15" customHeight="1" x14ac:dyDescent="0.25">
      <c r="A1255" s="3">
        <v>45642</v>
      </c>
      <c r="B1255" s="43">
        <v>2024003208</v>
      </c>
      <c r="C1255" s="4" t="s">
        <v>647</v>
      </c>
      <c r="D1255" s="5">
        <v>4825000</v>
      </c>
      <c r="E1255" s="4">
        <v>12748383</v>
      </c>
      <c r="F1255" s="4" t="s">
        <v>447</v>
      </c>
      <c r="G1255" t="s">
        <v>565</v>
      </c>
      <c r="H1255" t="e">
        <f>VLOOKUP(C1255,'[1]873'!$C$2:$C$711,1,0)</f>
        <v>#N/A</v>
      </c>
    </row>
    <row r="1256" spans="1:8" ht="15" customHeight="1" x14ac:dyDescent="0.25">
      <c r="A1256" s="3">
        <v>45642</v>
      </c>
      <c r="B1256" s="43">
        <v>2024003209</v>
      </c>
      <c r="C1256" s="4" t="s">
        <v>707</v>
      </c>
      <c r="D1256" s="5">
        <v>3000000</v>
      </c>
      <c r="E1256" s="4">
        <v>1085269090</v>
      </c>
      <c r="F1256" s="4" t="s">
        <v>371</v>
      </c>
      <c r="G1256" t="s">
        <v>565</v>
      </c>
      <c r="H1256" t="e">
        <f>VLOOKUP(C1256,'[1]873'!$C$2:$C$711,1,0)</f>
        <v>#N/A</v>
      </c>
    </row>
    <row r="1257" spans="1:8" ht="15" customHeight="1" x14ac:dyDescent="0.25">
      <c r="A1257" s="3">
        <v>45642</v>
      </c>
      <c r="B1257" s="43">
        <v>2024003210</v>
      </c>
      <c r="C1257" s="4" t="s">
        <v>1026</v>
      </c>
      <c r="D1257" s="5">
        <v>833000</v>
      </c>
      <c r="E1257" s="4">
        <v>1085254615</v>
      </c>
      <c r="F1257" s="4" t="s">
        <v>1027</v>
      </c>
      <c r="G1257" t="s">
        <v>565</v>
      </c>
      <c r="H1257" t="e">
        <f>VLOOKUP(C1257,'[1]873'!$C$2:$C$711,1,0)</f>
        <v>#N/A</v>
      </c>
    </row>
    <row r="1258" spans="1:8" ht="15" customHeight="1" x14ac:dyDescent="0.25">
      <c r="A1258" s="3">
        <v>45642</v>
      </c>
      <c r="B1258" s="43">
        <v>2024003211</v>
      </c>
      <c r="C1258" s="4" t="s">
        <v>753</v>
      </c>
      <c r="D1258" s="5">
        <v>3000000</v>
      </c>
      <c r="E1258" s="4">
        <v>1085272140</v>
      </c>
      <c r="F1258" s="4" t="s">
        <v>754</v>
      </c>
      <c r="G1258" t="s">
        <v>565</v>
      </c>
      <c r="H1258" t="e">
        <f>VLOOKUP(C1258,'[1]873'!$C$2:$C$711,1,0)</f>
        <v>#N/A</v>
      </c>
    </row>
    <row r="1259" spans="1:8" ht="15" customHeight="1" x14ac:dyDescent="0.25">
      <c r="A1259" s="3">
        <v>45642</v>
      </c>
      <c r="B1259" s="43">
        <v>2024003212</v>
      </c>
      <c r="C1259" s="4" t="s">
        <v>721</v>
      </c>
      <c r="D1259" s="5">
        <v>2500000</v>
      </c>
      <c r="E1259" s="4">
        <v>1004535115</v>
      </c>
      <c r="F1259" s="4" t="s">
        <v>347</v>
      </c>
      <c r="G1259" t="s">
        <v>565</v>
      </c>
      <c r="H1259" t="e">
        <f>VLOOKUP(C1259,'[1]873'!$C$2:$C$711,1,0)</f>
        <v>#N/A</v>
      </c>
    </row>
    <row r="1260" spans="1:8" ht="15" customHeight="1" x14ac:dyDescent="0.25">
      <c r="A1260" s="3">
        <v>45642</v>
      </c>
      <c r="B1260" s="43">
        <v>2024003213</v>
      </c>
      <c r="C1260" s="4" t="s">
        <v>799</v>
      </c>
      <c r="D1260" s="5">
        <v>2500000</v>
      </c>
      <c r="E1260" s="4">
        <v>1085320930</v>
      </c>
      <c r="F1260" s="4" t="s">
        <v>259</v>
      </c>
      <c r="G1260" t="s">
        <v>565</v>
      </c>
      <c r="H1260" t="e">
        <f>VLOOKUP(C1260,'[1]873'!$C$2:$C$711,1,0)</f>
        <v>#N/A</v>
      </c>
    </row>
    <row r="1261" spans="1:8" ht="15" customHeight="1" x14ac:dyDescent="0.25">
      <c r="A1261" s="3">
        <v>45642</v>
      </c>
      <c r="B1261" s="43">
        <v>2024003214</v>
      </c>
      <c r="C1261" s="4" t="s">
        <v>606</v>
      </c>
      <c r="D1261" s="5">
        <v>3000000</v>
      </c>
      <c r="E1261" s="4">
        <v>1088799034</v>
      </c>
      <c r="F1261" s="4" t="s">
        <v>81</v>
      </c>
      <c r="G1261" t="s">
        <v>565</v>
      </c>
      <c r="H1261" t="e">
        <f>VLOOKUP(C1261,'[1]873'!$C$2:$C$711,1,0)</f>
        <v>#N/A</v>
      </c>
    </row>
    <row r="1262" spans="1:8" ht="15" customHeight="1" x14ac:dyDescent="0.25">
      <c r="A1262" s="3">
        <v>45642</v>
      </c>
      <c r="B1262" s="43">
        <v>2024003215</v>
      </c>
      <c r="C1262" s="4" t="s">
        <v>881</v>
      </c>
      <c r="D1262" s="5">
        <v>4750000</v>
      </c>
      <c r="E1262" s="4">
        <v>1085318684</v>
      </c>
      <c r="F1262" s="4" t="s">
        <v>355</v>
      </c>
      <c r="G1262" t="s">
        <v>565</v>
      </c>
      <c r="H1262" t="e">
        <f>VLOOKUP(C1262,'[1]873'!$C$2:$C$711,1,0)</f>
        <v>#N/A</v>
      </c>
    </row>
    <row r="1263" spans="1:8" ht="15" customHeight="1" x14ac:dyDescent="0.25">
      <c r="A1263" s="3">
        <v>45642</v>
      </c>
      <c r="B1263" s="43">
        <v>2024003217</v>
      </c>
      <c r="C1263" s="4" t="s">
        <v>882</v>
      </c>
      <c r="D1263" s="5">
        <v>3000000</v>
      </c>
      <c r="E1263" s="4">
        <v>5930737</v>
      </c>
      <c r="F1263" s="4" t="s">
        <v>213</v>
      </c>
      <c r="G1263" t="s">
        <v>565</v>
      </c>
      <c r="H1263" t="e">
        <f>VLOOKUP(C1263,'[1]873'!$C$2:$C$711,1,0)</f>
        <v>#N/A</v>
      </c>
    </row>
    <row r="1264" spans="1:8" ht="15" customHeight="1" x14ac:dyDescent="0.25">
      <c r="A1264" s="3">
        <v>45642</v>
      </c>
      <c r="B1264" s="43">
        <v>2024003218</v>
      </c>
      <c r="C1264" s="4" t="s">
        <v>880</v>
      </c>
      <c r="D1264" s="5">
        <v>3000000</v>
      </c>
      <c r="E1264" s="4">
        <v>1085323101</v>
      </c>
      <c r="F1264" s="4" t="s">
        <v>73</v>
      </c>
      <c r="G1264" t="s">
        <v>565</v>
      </c>
      <c r="H1264" t="e">
        <f>VLOOKUP(C1264,'[1]873'!$C$2:$C$711,1,0)</f>
        <v>#N/A</v>
      </c>
    </row>
    <row r="1265" spans="1:8" ht="15" customHeight="1" x14ac:dyDescent="0.25">
      <c r="A1265" s="3">
        <v>45642</v>
      </c>
      <c r="B1265" s="43">
        <v>2024003219</v>
      </c>
      <c r="C1265" s="4" t="s">
        <v>877</v>
      </c>
      <c r="D1265" s="5">
        <v>3000000</v>
      </c>
      <c r="E1265" s="4">
        <v>87070661</v>
      </c>
      <c r="F1265" s="4" t="s">
        <v>185</v>
      </c>
      <c r="G1265" t="s">
        <v>565</v>
      </c>
      <c r="H1265" t="e">
        <f>VLOOKUP(C1265,'[1]873'!$C$2:$C$711,1,0)</f>
        <v>#N/A</v>
      </c>
    </row>
    <row r="1266" spans="1:8" ht="15" customHeight="1" x14ac:dyDescent="0.25">
      <c r="A1266" s="3">
        <v>45642</v>
      </c>
      <c r="B1266" s="43">
        <v>2024003220</v>
      </c>
      <c r="C1266" s="4" t="s">
        <v>879</v>
      </c>
      <c r="D1266" s="5">
        <v>2500000</v>
      </c>
      <c r="E1266" s="4">
        <v>30737741</v>
      </c>
      <c r="F1266" s="4" t="s">
        <v>199</v>
      </c>
      <c r="G1266" t="s">
        <v>565</v>
      </c>
      <c r="H1266" t="e">
        <f>VLOOKUP(C1266,'[1]873'!$C$2:$C$711,1,0)</f>
        <v>#N/A</v>
      </c>
    </row>
    <row r="1267" spans="1:8" ht="15" customHeight="1" x14ac:dyDescent="0.25">
      <c r="A1267" s="3">
        <v>45642</v>
      </c>
      <c r="B1267" s="41">
        <v>2024003221</v>
      </c>
      <c r="C1267" s="1" t="s">
        <v>439</v>
      </c>
      <c r="D1267" s="5">
        <v>4825000</v>
      </c>
      <c r="E1267" s="1">
        <v>1088730712</v>
      </c>
      <c r="F1267" s="1" t="s">
        <v>295</v>
      </c>
      <c r="G1267" s="1" t="s">
        <v>9</v>
      </c>
      <c r="H1267" t="e">
        <f>VLOOKUP(C1267,'[1]873'!$C$2:$C$711,1,0)</f>
        <v>#N/A</v>
      </c>
    </row>
    <row r="1268" spans="1:8" ht="15" customHeight="1" x14ac:dyDescent="0.25">
      <c r="A1268" s="3">
        <v>45642</v>
      </c>
      <c r="B1268" s="43">
        <v>2024003222</v>
      </c>
      <c r="C1268" s="4" t="s">
        <v>1028</v>
      </c>
      <c r="D1268" s="5">
        <v>1416100</v>
      </c>
      <c r="E1268" s="4">
        <v>12996869</v>
      </c>
      <c r="F1268" s="4" t="s">
        <v>1029</v>
      </c>
      <c r="G1268" t="s">
        <v>565</v>
      </c>
      <c r="H1268" t="e">
        <f>VLOOKUP(C1268,'[1]873'!$C$2:$C$711,1,0)</f>
        <v>#N/A</v>
      </c>
    </row>
    <row r="1269" spans="1:8" ht="15" customHeight="1" x14ac:dyDescent="0.25">
      <c r="A1269" s="3">
        <v>45642</v>
      </c>
      <c r="B1269" s="43">
        <v>2024003223</v>
      </c>
      <c r="C1269" s="4" t="s">
        <v>856</v>
      </c>
      <c r="D1269" s="5">
        <v>2500000</v>
      </c>
      <c r="E1269" s="4">
        <v>1086016308</v>
      </c>
      <c r="F1269" s="4" t="s">
        <v>305</v>
      </c>
      <c r="G1269" t="s">
        <v>565</v>
      </c>
      <c r="H1269" t="e">
        <f>VLOOKUP(C1269,'[1]873'!$C$2:$C$711,1,0)</f>
        <v>#N/A</v>
      </c>
    </row>
    <row r="1270" spans="1:8" ht="15" customHeight="1" x14ac:dyDescent="0.25">
      <c r="A1270" s="3">
        <v>45642</v>
      </c>
      <c r="B1270" s="43">
        <v>2024003225</v>
      </c>
      <c r="C1270" s="4" t="s">
        <v>756</v>
      </c>
      <c r="D1270" s="5">
        <v>6000000</v>
      </c>
      <c r="E1270" s="4">
        <v>36757221</v>
      </c>
      <c r="F1270" s="4" t="s">
        <v>453</v>
      </c>
      <c r="G1270" t="s">
        <v>565</v>
      </c>
      <c r="H1270" t="e">
        <f>VLOOKUP(C1270,'[1]873'!$C$2:$C$711,1,0)</f>
        <v>#N/A</v>
      </c>
    </row>
    <row r="1271" spans="1:8" ht="15" customHeight="1" x14ac:dyDescent="0.25">
      <c r="A1271" s="3">
        <v>45642</v>
      </c>
      <c r="B1271" s="43">
        <v>2024003226</v>
      </c>
      <c r="C1271" s="4" t="s">
        <v>798</v>
      </c>
      <c r="D1271" s="5">
        <v>6000000</v>
      </c>
      <c r="E1271" s="4">
        <v>27109314</v>
      </c>
      <c r="F1271" s="4" t="s">
        <v>217</v>
      </c>
      <c r="G1271" t="s">
        <v>565</v>
      </c>
      <c r="H1271" t="e">
        <f>VLOOKUP(C1271,'[1]873'!$C$2:$C$711,1,0)</f>
        <v>#N/A</v>
      </c>
    </row>
    <row r="1272" spans="1:8" ht="15" customHeight="1" x14ac:dyDescent="0.25">
      <c r="A1272" s="3">
        <v>45642</v>
      </c>
      <c r="B1272" s="43">
        <v>2024003228</v>
      </c>
      <c r="C1272" s="4" t="s">
        <v>618</v>
      </c>
      <c r="D1272" s="5">
        <v>6000000</v>
      </c>
      <c r="E1272" s="4">
        <v>1085320275</v>
      </c>
      <c r="F1272" s="4" t="s">
        <v>619</v>
      </c>
      <c r="G1272" t="s">
        <v>565</v>
      </c>
      <c r="H1272" t="e">
        <f>VLOOKUP(C1272,'[1]873'!$C$2:$C$711,1,0)</f>
        <v>#N/A</v>
      </c>
    </row>
    <row r="1273" spans="1:8" ht="15" customHeight="1" x14ac:dyDescent="0.25">
      <c r="A1273" s="3">
        <v>45642</v>
      </c>
      <c r="B1273" s="43">
        <v>2024003229</v>
      </c>
      <c r="C1273" s="4" t="s">
        <v>757</v>
      </c>
      <c r="D1273" s="5">
        <v>3000000</v>
      </c>
      <c r="E1273" s="4">
        <v>1085309422</v>
      </c>
      <c r="F1273" s="4" t="s">
        <v>758</v>
      </c>
      <c r="G1273" t="s">
        <v>565</v>
      </c>
      <c r="H1273" t="e">
        <f>VLOOKUP(C1273,'[1]873'!$C$2:$C$711,1,0)</f>
        <v>#N/A</v>
      </c>
    </row>
    <row r="1274" spans="1:8" ht="15" customHeight="1" x14ac:dyDescent="0.25">
      <c r="A1274" s="3">
        <v>45642</v>
      </c>
      <c r="B1274" s="43">
        <v>2024003230</v>
      </c>
      <c r="C1274" s="4" t="s">
        <v>629</v>
      </c>
      <c r="D1274" s="5">
        <v>2500000</v>
      </c>
      <c r="E1274" s="4">
        <v>27211504</v>
      </c>
      <c r="F1274" s="4" t="s">
        <v>203</v>
      </c>
      <c r="G1274" t="s">
        <v>565</v>
      </c>
      <c r="H1274" t="e">
        <f>VLOOKUP(C1274,'[1]873'!$C$2:$C$711,1,0)</f>
        <v>#N/A</v>
      </c>
    </row>
    <row r="1275" spans="1:8" ht="15" customHeight="1" x14ac:dyDescent="0.25">
      <c r="A1275" s="3">
        <v>45642</v>
      </c>
      <c r="B1275" s="43">
        <v>2024003232</v>
      </c>
      <c r="C1275" s="4" t="s">
        <v>641</v>
      </c>
      <c r="D1275" s="5">
        <v>2500000</v>
      </c>
      <c r="E1275" s="4">
        <v>1085251468</v>
      </c>
      <c r="F1275" s="4" t="s">
        <v>303</v>
      </c>
      <c r="G1275" t="s">
        <v>565</v>
      </c>
      <c r="H1275" t="e">
        <f>VLOOKUP(C1275,'[1]873'!$C$2:$C$711,1,0)</f>
        <v>#N/A</v>
      </c>
    </row>
    <row r="1276" spans="1:8" ht="15" customHeight="1" x14ac:dyDescent="0.25">
      <c r="A1276" s="3">
        <v>45642</v>
      </c>
      <c r="B1276" s="43">
        <v>2024003233</v>
      </c>
      <c r="C1276" s="4" t="s">
        <v>642</v>
      </c>
      <c r="D1276" s="5">
        <v>6000000</v>
      </c>
      <c r="E1276" s="4">
        <v>1085292185</v>
      </c>
      <c r="F1276" s="4" t="s">
        <v>27</v>
      </c>
      <c r="G1276" t="s">
        <v>565</v>
      </c>
      <c r="H1276" t="e">
        <f>VLOOKUP(C1276,'[1]873'!$C$2:$C$711,1,0)</f>
        <v>#N/A</v>
      </c>
    </row>
    <row r="1277" spans="1:8" ht="15" customHeight="1" x14ac:dyDescent="0.25">
      <c r="A1277" s="3">
        <v>45642</v>
      </c>
      <c r="B1277" s="43">
        <v>2024003234</v>
      </c>
      <c r="C1277" s="4" t="s">
        <v>935</v>
      </c>
      <c r="D1277" s="5">
        <v>3000000</v>
      </c>
      <c r="E1277" s="4">
        <v>59828916</v>
      </c>
      <c r="F1277" s="4" t="s">
        <v>181</v>
      </c>
      <c r="G1277" t="s">
        <v>565</v>
      </c>
      <c r="H1277" t="e">
        <f>VLOOKUP(C1277,'[1]873'!$C$2:$C$711,1,0)</f>
        <v>#N/A</v>
      </c>
    </row>
    <row r="1278" spans="1:8" ht="15" customHeight="1" x14ac:dyDescent="0.25">
      <c r="A1278" s="3">
        <v>45642</v>
      </c>
      <c r="B1278" s="43">
        <v>2024003235</v>
      </c>
      <c r="C1278" s="4" t="s">
        <v>901</v>
      </c>
      <c r="D1278" s="5">
        <v>3000000</v>
      </c>
      <c r="E1278" s="4">
        <v>1004235479</v>
      </c>
      <c r="F1278" s="4" t="s">
        <v>477</v>
      </c>
      <c r="G1278" t="s">
        <v>565</v>
      </c>
      <c r="H1278" t="e">
        <f>VLOOKUP(C1278,'[1]873'!$C$2:$C$711,1,0)</f>
        <v>#N/A</v>
      </c>
    </row>
    <row r="1279" spans="1:8" ht="15" customHeight="1" x14ac:dyDescent="0.25">
      <c r="A1279" s="3">
        <v>45642</v>
      </c>
      <c r="B1279" s="43">
        <v>2024003236</v>
      </c>
      <c r="C1279" s="4" t="s">
        <v>934</v>
      </c>
      <c r="D1279" s="5">
        <v>4825000</v>
      </c>
      <c r="E1279" s="4">
        <v>27087851</v>
      </c>
      <c r="F1279" s="4" t="s">
        <v>177</v>
      </c>
      <c r="G1279" t="s">
        <v>565</v>
      </c>
      <c r="H1279" t="e">
        <f>VLOOKUP(C1279,'[1]873'!$C$2:$C$711,1,0)</f>
        <v>#N/A</v>
      </c>
    </row>
    <row r="1280" spans="1:8" ht="15" customHeight="1" x14ac:dyDescent="0.25">
      <c r="A1280" s="3">
        <v>45642</v>
      </c>
      <c r="B1280" s="43">
        <v>2024003237</v>
      </c>
      <c r="C1280" s="4" t="s">
        <v>826</v>
      </c>
      <c r="D1280" s="5">
        <v>2500000</v>
      </c>
      <c r="E1280" s="4">
        <v>59311646</v>
      </c>
      <c r="F1280" s="4" t="s">
        <v>373</v>
      </c>
      <c r="G1280" t="s">
        <v>565</v>
      </c>
      <c r="H1280" t="e">
        <f>VLOOKUP(C1280,'[1]873'!$C$2:$C$711,1,0)</f>
        <v>#N/A</v>
      </c>
    </row>
    <row r="1281" spans="1:8" ht="15" customHeight="1" x14ac:dyDescent="0.25">
      <c r="A1281" s="3">
        <v>45643</v>
      </c>
      <c r="B1281" s="43">
        <v>2024003240</v>
      </c>
      <c r="C1281" s="4" t="s">
        <v>832</v>
      </c>
      <c r="D1281" s="5">
        <v>3000000</v>
      </c>
      <c r="E1281" s="4">
        <v>59311233</v>
      </c>
      <c r="F1281" s="4" t="s">
        <v>833</v>
      </c>
      <c r="G1281" t="s">
        <v>565</v>
      </c>
      <c r="H1281" t="e">
        <f>VLOOKUP(C1281,'[1]873'!$C$2:$C$711,1,0)</f>
        <v>#N/A</v>
      </c>
    </row>
    <row r="1282" spans="1:8" ht="15" customHeight="1" x14ac:dyDescent="0.25">
      <c r="A1282" s="3">
        <v>45643</v>
      </c>
      <c r="B1282" s="43">
        <v>2024003241</v>
      </c>
      <c r="C1282" s="4" t="s">
        <v>825</v>
      </c>
      <c r="D1282" s="5">
        <v>3000000</v>
      </c>
      <c r="E1282" s="4">
        <v>1085313463</v>
      </c>
      <c r="F1282" s="4" t="s">
        <v>331</v>
      </c>
      <c r="G1282" t="s">
        <v>565</v>
      </c>
      <c r="H1282" t="e">
        <f>VLOOKUP(C1282,'[1]873'!$C$2:$C$711,1,0)</f>
        <v>#N/A</v>
      </c>
    </row>
    <row r="1283" spans="1:8" ht="15" customHeight="1" x14ac:dyDescent="0.25">
      <c r="A1283" s="3">
        <v>45643</v>
      </c>
      <c r="B1283" s="43">
        <v>2024003242</v>
      </c>
      <c r="C1283" s="4" t="s">
        <v>909</v>
      </c>
      <c r="D1283" s="5">
        <v>7540000</v>
      </c>
      <c r="E1283" s="4">
        <v>1085312978</v>
      </c>
      <c r="F1283" s="4" t="s">
        <v>910</v>
      </c>
      <c r="G1283" t="s">
        <v>565</v>
      </c>
      <c r="H1283" t="e">
        <f>VLOOKUP(C1283,'[1]873'!$C$2:$C$711,1,0)</f>
        <v>#N/A</v>
      </c>
    </row>
    <row r="1284" spans="1:8" ht="15" customHeight="1" x14ac:dyDescent="0.25">
      <c r="A1284" s="3">
        <v>45643</v>
      </c>
      <c r="B1284" s="43">
        <v>2024003243</v>
      </c>
      <c r="C1284" s="4" t="s">
        <v>623</v>
      </c>
      <c r="D1284" s="5">
        <v>4750000</v>
      </c>
      <c r="E1284" s="4">
        <v>1085260497</v>
      </c>
      <c r="F1284" s="4" t="s">
        <v>429</v>
      </c>
      <c r="G1284" t="s">
        <v>565</v>
      </c>
      <c r="H1284" t="e">
        <f>VLOOKUP(C1284,'[1]873'!$C$2:$C$711,1,0)</f>
        <v>#N/A</v>
      </c>
    </row>
    <row r="1285" spans="1:8" ht="15" customHeight="1" x14ac:dyDescent="0.25">
      <c r="A1285" s="3">
        <v>45643</v>
      </c>
      <c r="B1285" s="43">
        <v>2024003245</v>
      </c>
      <c r="C1285" s="4" t="s">
        <v>760</v>
      </c>
      <c r="D1285" s="5">
        <v>3000000</v>
      </c>
      <c r="E1285" s="4">
        <v>1004535234</v>
      </c>
      <c r="F1285" s="4" t="s">
        <v>507</v>
      </c>
      <c r="G1285" t="s">
        <v>565</v>
      </c>
      <c r="H1285" t="e">
        <f>VLOOKUP(C1285,'[1]873'!$C$2:$C$711,1,0)</f>
        <v>#N/A</v>
      </c>
    </row>
    <row r="1286" spans="1:8" ht="15" customHeight="1" x14ac:dyDescent="0.25">
      <c r="A1286" s="3">
        <v>45643</v>
      </c>
      <c r="B1286" s="43">
        <v>2024003246</v>
      </c>
      <c r="C1286" s="4" t="s">
        <v>703</v>
      </c>
      <c r="D1286" s="5">
        <v>3000000</v>
      </c>
      <c r="E1286" s="4">
        <v>1233191675</v>
      </c>
      <c r="F1286" s="4" t="s">
        <v>523</v>
      </c>
      <c r="G1286" t="s">
        <v>565</v>
      </c>
      <c r="H1286" t="e">
        <f>VLOOKUP(C1286,'[1]873'!$C$2:$C$711,1,0)</f>
        <v>#N/A</v>
      </c>
    </row>
    <row r="1287" spans="1:8" ht="15" customHeight="1" x14ac:dyDescent="0.25">
      <c r="A1287" s="3">
        <v>45643</v>
      </c>
      <c r="B1287" s="43">
        <v>2024003247</v>
      </c>
      <c r="C1287" s="4" t="s">
        <v>782</v>
      </c>
      <c r="D1287" s="5">
        <v>3000000</v>
      </c>
      <c r="E1287" s="4">
        <v>59833899</v>
      </c>
      <c r="F1287" s="4" t="s">
        <v>467</v>
      </c>
      <c r="G1287" t="s">
        <v>565</v>
      </c>
      <c r="H1287" t="e">
        <f>VLOOKUP(C1287,'[1]873'!$C$2:$C$711,1,0)</f>
        <v>#N/A</v>
      </c>
    </row>
    <row r="1288" spans="1:8" ht="15" customHeight="1" x14ac:dyDescent="0.25">
      <c r="A1288" s="3">
        <v>45643</v>
      </c>
      <c r="B1288" s="43">
        <v>2024003248</v>
      </c>
      <c r="C1288" s="4" t="s">
        <v>671</v>
      </c>
      <c r="D1288" s="5">
        <v>6000000</v>
      </c>
      <c r="E1288" s="4">
        <v>1004213964</v>
      </c>
      <c r="F1288" s="4" t="s">
        <v>113</v>
      </c>
      <c r="G1288" t="s">
        <v>565</v>
      </c>
      <c r="H1288" t="e">
        <f>VLOOKUP(C1288,'[1]873'!$C$2:$C$711,1,0)</f>
        <v>#N/A</v>
      </c>
    </row>
    <row r="1289" spans="1:8" ht="15" customHeight="1" x14ac:dyDescent="0.25">
      <c r="A1289" s="3">
        <v>45643</v>
      </c>
      <c r="B1289" s="43">
        <v>2024003249</v>
      </c>
      <c r="C1289" s="4" t="s">
        <v>817</v>
      </c>
      <c r="D1289" s="5">
        <v>3000000</v>
      </c>
      <c r="E1289" s="4">
        <v>1085252263</v>
      </c>
      <c r="F1289" s="4" t="s">
        <v>33</v>
      </c>
      <c r="G1289" t="s">
        <v>565</v>
      </c>
      <c r="H1289" t="e">
        <f>VLOOKUP(C1289,'[1]873'!$C$2:$C$711,1,0)</f>
        <v>#N/A</v>
      </c>
    </row>
    <row r="1290" spans="1:8" ht="15" customHeight="1" x14ac:dyDescent="0.25">
      <c r="A1290" s="3">
        <v>45643</v>
      </c>
      <c r="B1290" s="43">
        <v>2024003250</v>
      </c>
      <c r="C1290" s="4" t="s">
        <v>755</v>
      </c>
      <c r="D1290" s="5">
        <v>3000000</v>
      </c>
      <c r="E1290" s="4">
        <v>1085347540</v>
      </c>
      <c r="F1290" s="4" t="s">
        <v>321</v>
      </c>
      <c r="G1290" t="s">
        <v>565</v>
      </c>
      <c r="H1290" t="e">
        <f>VLOOKUP(C1290,'[1]873'!$C$2:$C$711,1,0)</f>
        <v>#N/A</v>
      </c>
    </row>
    <row r="1291" spans="1:8" ht="15" customHeight="1" x14ac:dyDescent="0.25">
      <c r="A1291" s="3">
        <v>45643</v>
      </c>
      <c r="B1291" s="43">
        <v>2024003251</v>
      </c>
      <c r="C1291" s="4" t="s">
        <v>722</v>
      </c>
      <c r="D1291" s="5">
        <v>3000000</v>
      </c>
      <c r="E1291" s="4">
        <v>1086329609</v>
      </c>
      <c r="F1291" s="4" t="s">
        <v>443</v>
      </c>
      <c r="G1291" t="s">
        <v>565</v>
      </c>
      <c r="H1291" t="e">
        <f>VLOOKUP(C1291,'[1]873'!$C$2:$C$711,1,0)</f>
        <v>#N/A</v>
      </c>
    </row>
    <row r="1292" spans="1:8" ht="15" customHeight="1" x14ac:dyDescent="0.25">
      <c r="A1292" s="3">
        <v>45643</v>
      </c>
      <c r="B1292" s="43">
        <v>2024003252</v>
      </c>
      <c r="C1292" s="4" t="s">
        <v>843</v>
      </c>
      <c r="D1292" s="5">
        <v>4825000</v>
      </c>
      <c r="E1292" s="4">
        <v>1085321578</v>
      </c>
      <c r="F1292" s="4" t="s">
        <v>275</v>
      </c>
      <c r="G1292" t="s">
        <v>565</v>
      </c>
      <c r="H1292" t="e">
        <f>VLOOKUP(C1292,'[1]873'!$C$2:$C$711,1,0)</f>
        <v>#N/A</v>
      </c>
    </row>
    <row r="1293" spans="1:8" ht="15" customHeight="1" x14ac:dyDescent="0.25">
      <c r="A1293" s="3">
        <v>45643</v>
      </c>
      <c r="B1293" s="43">
        <v>2024003253</v>
      </c>
      <c r="C1293" s="4" t="s">
        <v>789</v>
      </c>
      <c r="D1293" s="5">
        <v>3000000</v>
      </c>
      <c r="E1293" s="4">
        <v>1086362994</v>
      </c>
      <c r="F1293" s="4" t="s">
        <v>77</v>
      </c>
      <c r="G1293" t="s">
        <v>565</v>
      </c>
      <c r="H1293" t="e">
        <f>VLOOKUP(C1293,'[1]873'!$C$2:$C$711,1,0)</f>
        <v>#N/A</v>
      </c>
    </row>
    <row r="1294" spans="1:8" ht="15" customHeight="1" x14ac:dyDescent="0.25">
      <c r="A1294" s="3">
        <v>45643</v>
      </c>
      <c r="B1294" s="43">
        <v>2024003254</v>
      </c>
      <c r="C1294" s="4" t="s">
        <v>906</v>
      </c>
      <c r="D1294" s="5">
        <v>3000000</v>
      </c>
      <c r="E1294" s="4">
        <v>1004216993</v>
      </c>
      <c r="F1294" s="4" t="s">
        <v>511</v>
      </c>
      <c r="G1294" t="s">
        <v>565</v>
      </c>
      <c r="H1294" t="e">
        <f>VLOOKUP(C1294,'[1]873'!$C$2:$C$711,1,0)</f>
        <v>#N/A</v>
      </c>
    </row>
    <row r="1295" spans="1:8" ht="15" customHeight="1" x14ac:dyDescent="0.25">
      <c r="A1295" s="3">
        <v>45643</v>
      </c>
      <c r="B1295" s="43">
        <v>2024003255</v>
      </c>
      <c r="C1295" s="4" t="s">
        <v>702</v>
      </c>
      <c r="D1295" s="5">
        <v>4825000</v>
      </c>
      <c r="E1295" s="4">
        <v>1085289739</v>
      </c>
      <c r="F1295" s="4" t="s">
        <v>241</v>
      </c>
      <c r="G1295" t="s">
        <v>565</v>
      </c>
      <c r="H1295" t="e">
        <f>VLOOKUP(C1295,'[1]873'!$C$2:$C$711,1,0)</f>
        <v>#N/A</v>
      </c>
    </row>
    <row r="1296" spans="1:8" ht="15" customHeight="1" x14ac:dyDescent="0.25">
      <c r="A1296" s="3">
        <v>45643</v>
      </c>
      <c r="B1296" s="43">
        <v>2024003256</v>
      </c>
      <c r="C1296" s="4" t="s">
        <v>1030</v>
      </c>
      <c r="D1296" s="5">
        <v>2090400</v>
      </c>
      <c r="E1296" s="4">
        <v>1085322873</v>
      </c>
      <c r="F1296" s="4" t="s">
        <v>1031</v>
      </c>
      <c r="G1296" t="s">
        <v>565</v>
      </c>
      <c r="H1296" t="e">
        <f>VLOOKUP(C1296,'[1]873'!$C$2:$C$711,1,0)</f>
        <v>#N/A</v>
      </c>
    </row>
    <row r="1297" spans="1:8" ht="15" customHeight="1" x14ac:dyDescent="0.25">
      <c r="A1297" s="3">
        <v>45643</v>
      </c>
      <c r="B1297" s="43">
        <v>2024003257</v>
      </c>
      <c r="C1297" s="4" t="s">
        <v>660</v>
      </c>
      <c r="D1297" s="5">
        <v>7540000</v>
      </c>
      <c r="E1297" s="4">
        <v>1085329230</v>
      </c>
      <c r="F1297" s="4" t="s">
        <v>83</v>
      </c>
      <c r="G1297" t="s">
        <v>565</v>
      </c>
      <c r="H1297" t="e">
        <f>VLOOKUP(C1297,'[1]873'!$C$2:$C$711,1,0)</f>
        <v>#N/A</v>
      </c>
    </row>
    <row r="1298" spans="1:8" ht="15" customHeight="1" x14ac:dyDescent="0.25">
      <c r="A1298" s="3">
        <v>45643</v>
      </c>
      <c r="B1298" s="43">
        <v>2024003258</v>
      </c>
      <c r="C1298" s="4" t="s">
        <v>871</v>
      </c>
      <c r="D1298" s="5">
        <v>7540000</v>
      </c>
      <c r="E1298" s="4">
        <v>12961407</v>
      </c>
      <c r="F1298" s="4" t="s">
        <v>309</v>
      </c>
      <c r="G1298" t="s">
        <v>565</v>
      </c>
      <c r="H1298" t="e">
        <f>VLOOKUP(C1298,'[1]873'!$C$2:$C$711,1,0)</f>
        <v>#N/A</v>
      </c>
    </row>
    <row r="1299" spans="1:8" ht="15" customHeight="1" x14ac:dyDescent="0.25">
      <c r="A1299" s="3">
        <v>45643</v>
      </c>
      <c r="B1299" s="43">
        <v>2024003259</v>
      </c>
      <c r="C1299" s="4" t="s">
        <v>1032</v>
      </c>
      <c r="D1299" s="5">
        <v>1700000</v>
      </c>
      <c r="E1299" s="4">
        <v>1004598784</v>
      </c>
      <c r="F1299" s="4" t="s">
        <v>552</v>
      </c>
      <c r="G1299" t="s">
        <v>565</v>
      </c>
      <c r="H1299" t="e">
        <f>VLOOKUP(C1299,'[1]873'!$C$2:$C$711,1,0)</f>
        <v>#N/A</v>
      </c>
    </row>
    <row r="1300" spans="1:8" ht="15" customHeight="1" x14ac:dyDescent="0.25">
      <c r="A1300" s="3">
        <v>45643</v>
      </c>
      <c r="B1300" s="43">
        <v>2024003260</v>
      </c>
      <c r="C1300" s="4" t="s">
        <v>603</v>
      </c>
      <c r="D1300" s="5">
        <v>6000000</v>
      </c>
      <c r="E1300" s="4">
        <v>1085286476</v>
      </c>
      <c r="F1300" s="4" t="s">
        <v>385</v>
      </c>
      <c r="G1300" t="s">
        <v>565</v>
      </c>
      <c r="H1300" t="e">
        <f>VLOOKUP(C1300,'[1]873'!$C$2:$C$711,1,0)</f>
        <v>#N/A</v>
      </c>
    </row>
    <row r="1301" spans="1:8" ht="15" customHeight="1" x14ac:dyDescent="0.25">
      <c r="A1301" s="3">
        <v>45643</v>
      </c>
      <c r="B1301" s="43">
        <v>2024003261</v>
      </c>
      <c r="C1301" s="4" t="s">
        <v>790</v>
      </c>
      <c r="D1301" s="5">
        <v>7540000</v>
      </c>
      <c r="E1301" s="4">
        <v>1085329980</v>
      </c>
      <c r="F1301" s="4" t="s">
        <v>791</v>
      </c>
      <c r="G1301" t="s">
        <v>565</v>
      </c>
      <c r="H1301" t="e">
        <f>VLOOKUP(C1301,'[1]873'!$C$2:$C$711,1,0)</f>
        <v>#N/A</v>
      </c>
    </row>
    <row r="1302" spans="1:8" ht="15" customHeight="1" x14ac:dyDescent="0.25">
      <c r="A1302" s="3">
        <v>45643</v>
      </c>
      <c r="B1302" s="43">
        <v>2024003262</v>
      </c>
      <c r="C1302" s="4" t="s">
        <v>863</v>
      </c>
      <c r="D1302" s="5">
        <v>7540000</v>
      </c>
      <c r="E1302" s="4">
        <v>1085255870</v>
      </c>
      <c r="F1302" s="4" t="s">
        <v>864</v>
      </c>
      <c r="G1302" t="s">
        <v>565</v>
      </c>
      <c r="H1302" t="e">
        <f>VLOOKUP(C1302,'[1]873'!$C$2:$C$711,1,0)</f>
        <v>#N/A</v>
      </c>
    </row>
    <row r="1303" spans="1:8" ht="15" customHeight="1" x14ac:dyDescent="0.25">
      <c r="A1303" s="3">
        <v>45643</v>
      </c>
      <c r="B1303" s="43">
        <v>2024003263</v>
      </c>
      <c r="C1303" s="4" t="s">
        <v>899</v>
      </c>
      <c r="D1303" s="5">
        <v>4750000</v>
      </c>
      <c r="E1303" s="4">
        <v>36950073</v>
      </c>
      <c r="F1303" s="4" t="s">
        <v>900</v>
      </c>
      <c r="G1303" t="s">
        <v>565</v>
      </c>
      <c r="H1303" t="e">
        <f>VLOOKUP(C1303,'[1]873'!$C$2:$C$711,1,0)</f>
        <v>#N/A</v>
      </c>
    </row>
    <row r="1304" spans="1:8" ht="15" customHeight="1" x14ac:dyDescent="0.25">
      <c r="A1304" s="3">
        <v>45643</v>
      </c>
      <c r="B1304" s="43">
        <v>2024003264</v>
      </c>
      <c r="C1304" s="4" t="s">
        <v>800</v>
      </c>
      <c r="D1304" s="5">
        <v>3000000</v>
      </c>
      <c r="E1304" s="4">
        <v>59833702</v>
      </c>
      <c r="F1304" s="4" t="s">
        <v>173</v>
      </c>
      <c r="G1304" t="s">
        <v>565</v>
      </c>
      <c r="H1304" t="e">
        <f>VLOOKUP(C1304,'[1]873'!$C$2:$C$711,1,0)</f>
        <v>#N/A</v>
      </c>
    </row>
    <row r="1305" spans="1:8" ht="15" customHeight="1" x14ac:dyDescent="0.25">
      <c r="A1305" s="3">
        <v>45643</v>
      </c>
      <c r="B1305" s="43">
        <v>2024003265</v>
      </c>
      <c r="C1305" s="4" t="s">
        <v>837</v>
      </c>
      <c r="D1305" s="5">
        <v>2500000</v>
      </c>
      <c r="E1305" s="4">
        <v>27309586</v>
      </c>
      <c r="F1305" s="4" t="s">
        <v>345</v>
      </c>
      <c r="G1305" t="s">
        <v>565</v>
      </c>
      <c r="H1305" t="e">
        <f>VLOOKUP(C1305,'[1]873'!$C$2:$C$711,1,0)</f>
        <v>#N/A</v>
      </c>
    </row>
    <row r="1306" spans="1:8" ht="15" customHeight="1" x14ac:dyDescent="0.25">
      <c r="A1306" s="3">
        <v>45643</v>
      </c>
      <c r="B1306" s="43">
        <v>2024003266</v>
      </c>
      <c r="C1306" s="4" t="s">
        <v>625</v>
      </c>
      <c r="D1306" s="5">
        <v>4750000</v>
      </c>
      <c r="E1306" s="4">
        <v>1085263018</v>
      </c>
      <c r="F1306" s="4" t="s">
        <v>91</v>
      </c>
      <c r="G1306" t="s">
        <v>565</v>
      </c>
      <c r="H1306" t="e">
        <f>VLOOKUP(C1306,'[1]873'!$C$2:$C$711,1,0)</f>
        <v>#N/A</v>
      </c>
    </row>
    <row r="1307" spans="1:8" ht="15" customHeight="1" x14ac:dyDescent="0.25">
      <c r="A1307" s="3">
        <v>45643</v>
      </c>
      <c r="B1307" s="43">
        <v>2024003267</v>
      </c>
      <c r="C1307" s="4" t="s">
        <v>1033</v>
      </c>
      <c r="D1307" s="5">
        <v>1416100</v>
      </c>
      <c r="E1307" s="4">
        <v>1088729401</v>
      </c>
      <c r="F1307" s="4" t="s">
        <v>543</v>
      </c>
      <c r="G1307" t="s">
        <v>565</v>
      </c>
      <c r="H1307" t="e">
        <f>VLOOKUP(C1307,'[1]873'!$C$2:$C$711,1,0)</f>
        <v>#N/A</v>
      </c>
    </row>
    <row r="1308" spans="1:8" ht="15" customHeight="1" x14ac:dyDescent="0.25">
      <c r="A1308" s="3">
        <v>45643</v>
      </c>
      <c r="B1308" s="43">
        <v>2024003268</v>
      </c>
      <c r="C1308" s="4" t="s">
        <v>996</v>
      </c>
      <c r="D1308" s="5">
        <v>3000000</v>
      </c>
      <c r="E1308" s="4">
        <v>98391531</v>
      </c>
      <c r="F1308" s="4" t="s">
        <v>499</v>
      </c>
      <c r="G1308" t="s">
        <v>565</v>
      </c>
      <c r="H1308" t="e">
        <f>VLOOKUP(C1308,'[1]873'!$C$2:$C$711,1,0)</f>
        <v>#N/A</v>
      </c>
    </row>
    <row r="1309" spans="1:8" ht="15" customHeight="1" x14ac:dyDescent="0.25">
      <c r="A1309" s="3">
        <v>45643</v>
      </c>
      <c r="B1309" s="43">
        <v>2024003269</v>
      </c>
      <c r="C1309" s="4" t="s">
        <v>1034</v>
      </c>
      <c r="D1309" s="5">
        <v>1700000</v>
      </c>
      <c r="E1309" s="4">
        <v>1085297914</v>
      </c>
      <c r="F1309" s="4" t="s">
        <v>1035</v>
      </c>
      <c r="G1309" t="s">
        <v>565</v>
      </c>
      <c r="H1309" t="e">
        <f>VLOOKUP(C1309,'[1]873'!$C$2:$C$711,1,0)</f>
        <v>#N/A</v>
      </c>
    </row>
    <row r="1310" spans="1:8" ht="15" customHeight="1" x14ac:dyDescent="0.25">
      <c r="A1310" s="3">
        <v>45643</v>
      </c>
      <c r="B1310" s="43">
        <v>2024003270</v>
      </c>
      <c r="C1310" s="4" t="s">
        <v>1036</v>
      </c>
      <c r="D1310" s="5">
        <v>3000000</v>
      </c>
      <c r="E1310" s="4">
        <v>27388522</v>
      </c>
      <c r="F1310" s="4" t="s">
        <v>525</v>
      </c>
      <c r="G1310" t="s">
        <v>565</v>
      </c>
      <c r="H1310" t="e">
        <f>VLOOKUP(C1310,'[1]873'!$C$2:$C$711,1,0)</f>
        <v>#N/A</v>
      </c>
    </row>
    <row r="1311" spans="1:8" ht="15" customHeight="1" x14ac:dyDescent="0.25">
      <c r="A1311" s="3">
        <v>45643</v>
      </c>
      <c r="B1311" s="43">
        <v>2024003271</v>
      </c>
      <c r="C1311" s="4" t="s">
        <v>717</v>
      </c>
      <c r="D1311" s="5">
        <v>3000000</v>
      </c>
      <c r="E1311" s="4">
        <v>1007403454</v>
      </c>
      <c r="F1311" s="4" t="s">
        <v>718</v>
      </c>
      <c r="G1311" t="s">
        <v>565</v>
      </c>
      <c r="H1311" t="e">
        <f>VLOOKUP(C1311,'[1]873'!$C$2:$C$711,1,0)</f>
        <v>#N/A</v>
      </c>
    </row>
    <row r="1312" spans="1:8" ht="15" customHeight="1" x14ac:dyDescent="0.25">
      <c r="A1312" s="3">
        <v>45643</v>
      </c>
      <c r="B1312" s="43">
        <v>2024003272</v>
      </c>
      <c r="C1312" s="4" t="s">
        <v>1037</v>
      </c>
      <c r="D1312" s="5">
        <v>4750000</v>
      </c>
      <c r="E1312" s="4">
        <v>1085325540</v>
      </c>
      <c r="F1312" s="4" t="s">
        <v>1038</v>
      </c>
      <c r="G1312" t="s">
        <v>565</v>
      </c>
      <c r="H1312" t="e">
        <f>VLOOKUP(C1312,'[1]873'!$C$2:$C$711,1,0)</f>
        <v>#N/A</v>
      </c>
    </row>
    <row r="1313" spans="1:8" ht="15" customHeight="1" x14ac:dyDescent="0.25">
      <c r="A1313" s="3">
        <v>45643</v>
      </c>
      <c r="B1313" s="43">
        <v>2024003273</v>
      </c>
      <c r="C1313" s="4" t="s">
        <v>566</v>
      </c>
      <c r="D1313" s="5">
        <v>1100000</v>
      </c>
      <c r="E1313" s="4">
        <v>1193035720</v>
      </c>
      <c r="F1313" s="4" t="s">
        <v>567</v>
      </c>
      <c r="G1313" t="s">
        <v>565</v>
      </c>
      <c r="H1313" t="e">
        <f>VLOOKUP(C1313,'[1]873'!$C$2:$C$711,1,0)</f>
        <v>#N/A</v>
      </c>
    </row>
    <row r="1314" spans="1:8" ht="15" customHeight="1" x14ac:dyDescent="0.25">
      <c r="A1314" s="3">
        <v>45643</v>
      </c>
      <c r="B1314" s="43">
        <v>2024003275</v>
      </c>
      <c r="C1314" s="4" t="s">
        <v>949</v>
      </c>
      <c r="D1314" s="5">
        <v>3000000</v>
      </c>
      <c r="E1314" s="4">
        <v>1081272318</v>
      </c>
      <c r="F1314" s="4" t="s">
        <v>950</v>
      </c>
      <c r="G1314" t="s">
        <v>565</v>
      </c>
      <c r="H1314" t="e">
        <f>VLOOKUP(C1314,'[1]873'!$C$2:$C$711,1,0)</f>
        <v>#N/A</v>
      </c>
    </row>
    <row r="1315" spans="1:8" ht="15" customHeight="1" x14ac:dyDescent="0.25">
      <c r="A1315" s="3">
        <v>45643</v>
      </c>
      <c r="B1315" s="43">
        <v>2024003277</v>
      </c>
      <c r="C1315" s="4" t="s">
        <v>1039</v>
      </c>
      <c r="D1315" s="5">
        <v>4750000</v>
      </c>
      <c r="E1315" s="4">
        <v>1087422930</v>
      </c>
      <c r="F1315" s="4" t="s">
        <v>253</v>
      </c>
      <c r="G1315" t="s">
        <v>565</v>
      </c>
      <c r="H1315" t="e">
        <f>VLOOKUP(C1315,'[1]873'!$C$2:$C$711,1,0)</f>
        <v>#N/A</v>
      </c>
    </row>
    <row r="1316" spans="1:8" ht="15" customHeight="1" x14ac:dyDescent="0.25">
      <c r="A1316" s="3">
        <v>45643</v>
      </c>
      <c r="B1316" s="43">
        <v>2024003280</v>
      </c>
      <c r="C1316" s="4" t="s">
        <v>1039</v>
      </c>
      <c r="D1316" s="5">
        <v>4750000</v>
      </c>
      <c r="E1316" s="4">
        <v>1087422930</v>
      </c>
      <c r="F1316" s="4" t="s">
        <v>253</v>
      </c>
      <c r="G1316" t="s">
        <v>565</v>
      </c>
      <c r="H1316" t="e">
        <f>VLOOKUP(C1316,'[1]873'!$C$2:$C$711,1,0)</f>
        <v>#N/A</v>
      </c>
    </row>
    <row r="1317" spans="1:8" ht="15" customHeight="1" x14ac:dyDescent="0.25">
      <c r="A1317" s="3">
        <v>45643</v>
      </c>
      <c r="B1317" s="43">
        <v>2024003286</v>
      </c>
      <c r="C1317" s="4" t="s">
        <v>981</v>
      </c>
      <c r="D1317" s="5">
        <v>6000000</v>
      </c>
      <c r="E1317" s="4">
        <v>1233193716</v>
      </c>
      <c r="F1317" s="4" t="s">
        <v>597</v>
      </c>
      <c r="G1317" t="s">
        <v>565</v>
      </c>
      <c r="H1317" t="e">
        <f>VLOOKUP(C1317,'[1]873'!$C$2:$C$711,1,0)</f>
        <v>#N/A</v>
      </c>
    </row>
    <row r="1318" spans="1:8" ht="15" customHeight="1" x14ac:dyDescent="0.25">
      <c r="A1318" s="3">
        <v>45643</v>
      </c>
      <c r="B1318" s="43">
        <v>2024003295</v>
      </c>
      <c r="C1318" s="4" t="s">
        <v>698</v>
      </c>
      <c r="D1318" s="5">
        <v>2500000</v>
      </c>
      <c r="E1318" s="4">
        <v>36753698</v>
      </c>
      <c r="F1318" s="4" t="s">
        <v>383</v>
      </c>
      <c r="G1318" t="s">
        <v>565</v>
      </c>
      <c r="H1318" t="e">
        <f>VLOOKUP(C1318,'[1]873'!$C$2:$C$711,1,0)</f>
        <v>#N/A</v>
      </c>
    </row>
    <row r="1319" spans="1:8" ht="15" customHeight="1" x14ac:dyDescent="0.25">
      <c r="A1319" s="3">
        <v>45643</v>
      </c>
      <c r="B1319" s="43">
        <v>2024003297</v>
      </c>
      <c r="C1319" s="4" t="s">
        <v>1040</v>
      </c>
      <c r="D1319" s="5">
        <v>4750000</v>
      </c>
      <c r="E1319" s="4">
        <v>1067940322</v>
      </c>
      <c r="F1319" s="4" t="s">
        <v>1041</v>
      </c>
      <c r="G1319" t="s">
        <v>565</v>
      </c>
      <c r="H1319" t="e">
        <f>VLOOKUP(C1319,'[1]873'!$C$2:$C$711,1,0)</f>
        <v>#N/A</v>
      </c>
    </row>
    <row r="1320" spans="1:8" ht="15" customHeight="1" x14ac:dyDescent="0.25">
      <c r="A1320" s="3">
        <v>45643</v>
      </c>
      <c r="B1320" s="43">
        <v>2024003299</v>
      </c>
      <c r="C1320" s="4" t="s">
        <v>1001</v>
      </c>
      <c r="D1320" s="5">
        <v>3000000</v>
      </c>
      <c r="E1320" s="4">
        <v>1081053820</v>
      </c>
      <c r="F1320" s="4" t="s">
        <v>431</v>
      </c>
      <c r="G1320" t="s">
        <v>565</v>
      </c>
      <c r="H1320" t="e">
        <f>VLOOKUP(C1320,'[1]873'!$C$2:$C$711,1,0)</f>
        <v>#N/A</v>
      </c>
    </row>
    <row r="1321" spans="1:8" ht="15" customHeight="1" x14ac:dyDescent="0.25">
      <c r="A1321" s="3">
        <v>45643</v>
      </c>
      <c r="B1321" s="41">
        <v>2024003301</v>
      </c>
      <c r="C1321" s="1" t="s">
        <v>166</v>
      </c>
      <c r="D1321" s="5">
        <v>1000000</v>
      </c>
      <c r="E1321" s="1">
        <v>1081052552</v>
      </c>
      <c r="F1321" s="1" t="s">
        <v>167</v>
      </c>
      <c r="G1321" s="1" t="s">
        <v>9</v>
      </c>
      <c r="H1321" t="e">
        <f>VLOOKUP(C1321,'[1]873'!$C$2:$C$711,1,0)</f>
        <v>#N/A</v>
      </c>
    </row>
    <row r="1322" spans="1:8" ht="15" customHeight="1" x14ac:dyDescent="0.25">
      <c r="A1322" s="3">
        <v>45643</v>
      </c>
      <c r="B1322" s="43">
        <v>2024003302</v>
      </c>
      <c r="C1322" s="4" t="s">
        <v>624</v>
      </c>
      <c r="D1322" s="5">
        <v>4825000</v>
      </c>
      <c r="E1322" s="4">
        <v>37082349</v>
      </c>
      <c r="F1322" s="4" t="s">
        <v>377</v>
      </c>
      <c r="G1322" t="s">
        <v>565</v>
      </c>
      <c r="H1322" t="e">
        <f>VLOOKUP(C1322,'[1]873'!$C$2:$C$711,1,0)</f>
        <v>#N/A</v>
      </c>
    </row>
    <row r="1323" spans="1:8" ht="15" customHeight="1" x14ac:dyDescent="0.25">
      <c r="A1323" s="3">
        <v>45643</v>
      </c>
      <c r="B1323" s="43">
        <v>2024003304</v>
      </c>
      <c r="C1323" s="4" t="s">
        <v>872</v>
      </c>
      <c r="D1323" s="5">
        <v>3000000</v>
      </c>
      <c r="E1323" s="4">
        <v>1085250095</v>
      </c>
      <c r="F1323" s="4" t="s">
        <v>179</v>
      </c>
      <c r="G1323" t="s">
        <v>565</v>
      </c>
      <c r="H1323" t="e">
        <f>VLOOKUP(C1323,'[1]873'!$C$2:$C$711,1,0)</f>
        <v>#N/A</v>
      </c>
    </row>
    <row r="1324" spans="1:8" ht="15" customHeight="1" x14ac:dyDescent="0.25">
      <c r="A1324" s="3">
        <v>45643</v>
      </c>
      <c r="B1324" s="43">
        <v>2024003307</v>
      </c>
      <c r="C1324" s="4" t="s">
        <v>827</v>
      </c>
      <c r="D1324" s="5">
        <v>6000000</v>
      </c>
      <c r="E1324" s="4">
        <v>27097745</v>
      </c>
      <c r="F1324" s="4" t="s">
        <v>828</v>
      </c>
      <c r="G1324" t="s">
        <v>565</v>
      </c>
      <c r="H1324" t="e">
        <f>VLOOKUP(C1324,'[1]873'!$C$2:$C$711,1,0)</f>
        <v>#N/A</v>
      </c>
    </row>
    <row r="1325" spans="1:8" ht="15" customHeight="1" x14ac:dyDescent="0.25">
      <c r="A1325" s="3">
        <v>45643</v>
      </c>
      <c r="B1325" s="43">
        <v>2024003309</v>
      </c>
      <c r="C1325" s="4" t="s">
        <v>1042</v>
      </c>
      <c r="D1325" s="5">
        <v>1300000</v>
      </c>
      <c r="E1325" s="4">
        <v>1088733625</v>
      </c>
      <c r="F1325" s="4" t="s">
        <v>559</v>
      </c>
      <c r="G1325" t="s">
        <v>565</v>
      </c>
      <c r="H1325" t="e">
        <f>VLOOKUP(C1325,'[1]873'!$C$2:$C$711,1,0)</f>
        <v>#N/A</v>
      </c>
    </row>
    <row r="1326" spans="1:8" ht="15" customHeight="1" x14ac:dyDescent="0.25">
      <c r="A1326" s="3">
        <v>45643</v>
      </c>
      <c r="B1326" s="43">
        <v>2024003311</v>
      </c>
      <c r="C1326" s="4" t="s">
        <v>784</v>
      </c>
      <c r="D1326" s="5">
        <v>3000000</v>
      </c>
      <c r="E1326" s="4">
        <v>1085319295</v>
      </c>
      <c r="F1326" s="4" t="s">
        <v>785</v>
      </c>
      <c r="G1326" t="s">
        <v>565</v>
      </c>
      <c r="H1326" t="e">
        <f>VLOOKUP(C1326,'[1]873'!$C$2:$C$711,1,0)</f>
        <v>#N/A</v>
      </c>
    </row>
    <row r="1327" spans="1:8" ht="15" customHeight="1" x14ac:dyDescent="0.25">
      <c r="A1327" s="3">
        <v>45643</v>
      </c>
      <c r="B1327" s="43">
        <v>2024003355</v>
      </c>
      <c r="C1327" s="4" t="s">
        <v>1043</v>
      </c>
      <c r="D1327" s="5">
        <v>4825000</v>
      </c>
      <c r="E1327" s="4">
        <v>12983807</v>
      </c>
      <c r="F1327" s="4" t="s">
        <v>299</v>
      </c>
      <c r="G1327" t="s">
        <v>565</v>
      </c>
      <c r="H1327" t="e">
        <f>VLOOKUP(C1327,'[1]873'!$C$2:$C$711,1,0)</f>
        <v>#N/A</v>
      </c>
    </row>
    <row r="1328" spans="1:8" ht="15" customHeight="1" x14ac:dyDescent="0.25">
      <c r="A1328" s="3">
        <v>45643</v>
      </c>
      <c r="B1328" s="43">
        <v>2024003356</v>
      </c>
      <c r="C1328" s="4" t="s">
        <v>1044</v>
      </c>
      <c r="D1328" s="5">
        <v>1082900</v>
      </c>
      <c r="E1328" s="4">
        <v>30722194</v>
      </c>
      <c r="F1328" s="4" t="s">
        <v>1045</v>
      </c>
      <c r="G1328" t="s">
        <v>565</v>
      </c>
      <c r="H1328" t="e">
        <f>VLOOKUP(C1328,'[1]873'!$C$2:$C$711,1,0)</f>
        <v>#N/A</v>
      </c>
    </row>
    <row r="1329" spans="1:8" ht="15" customHeight="1" x14ac:dyDescent="0.25">
      <c r="A1329" s="3">
        <v>45643</v>
      </c>
      <c r="B1329" s="43">
        <v>2024003357</v>
      </c>
      <c r="C1329" s="4" t="s">
        <v>851</v>
      </c>
      <c r="D1329" s="5">
        <v>3000000</v>
      </c>
      <c r="E1329" s="4">
        <v>1085344082</v>
      </c>
      <c r="F1329" s="4" t="s">
        <v>291</v>
      </c>
      <c r="G1329" t="s">
        <v>565</v>
      </c>
      <c r="H1329" t="e">
        <f>VLOOKUP(C1329,'[1]873'!$C$2:$C$711,1,0)</f>
        <v>#N/A</v>
      </c>
    </row>
    <row r="1330" spans="1:8" ht="15" customHeight="1" x14ac:dyDescent="0.25">
      <c r="A1330" s="3">
        <v>45643</v>
      </c>
      <c r="B1330" s="43">
        <v>2024003358</v>
      </c>
      <c r="C1330" s="4" t="s">
        <v>672</v>
      </c>
      <c r="D1330" s="5">
        <v>4750000</v>
      </c>
      <c r="E1330" s="4">
        <v>1087413951</v>
      </c>
      <c r="F1330" s="4" t="s">
        <v>95</v>
      </c>
      <c r="G1330" t="s">
        <v>565</v>
      </c>
      <c r="H1330" t="e">
        <f>VLOOKUP(C1330,'[1]873'!$C$2:$C$711,1,0)</f>
        <v>#N/A</v>
      </c>
    </row>
    <row r="1331" spans="1:8" ht="15" customHeight="1" x14ac:dyDescent="0.25">
      <c r="A1331" s="3">
        <v>45643</v>
      </c>
      <c r="B1331" s="43">
        <v>2024003359</v>
      </c>
      <c r="C1331" s="4" t="s">
        <v>1046</v>
      </c>
      <c r="D1331" s="5">
        <v>4750000</v>
      </c>
      <c r="E1331" s="4">
        <v>1085326561</v>
      </c>
      <c r="F1331" s="4" t="s">
        <v>1047</v>
      </c>
      <c r="G1331" t="s">
        <v>565</v>
      </c>
      <c r="H1331" t="e">
        <f>VLOOKUP(C1331,'[1]873'!$C$2:$C$711,1,0)</f>
        <v>#N/A</v>
      </c>
    </row>
    <row r="1332" spans="1:8" ht="15" customHeight="1" x14ac:dyDescent="0.25">
      <c r="A1332" s="3">
        <v>45643</v>
      </c>
      <c r="B1332" s="43">
        <v>2024003360</v>
      </c>
      <c r="C1332" s="4" t="s">
        <v>829</v>
      </c>
      <c r="D1332" s="5">
        <v>2100000</v>
      </c>
      <c r="E1332" s="4">
        <v>1085286742</v>
      </c>
      <c r="F1332" s="4" t="s">
        <v>75</v>
      </c>
      <c r="G1332" t="s">
        <v>565</v>
      </c>
      <c r="H1332" t="e">
        <f>VLOOKUP(C1332,'[1]873'!$C$2:$C$711,1,0)</f>
        <v>#N/A</v>
      </c>
    </row>
    <row r="1333" spans="1:8" ht="15" customHeight="1" x14ac:dyDescent="0.25">
      <c r="A1333" s="3">
        <v>45643</v>
      </c>
      <c r="B1333" s="43">
        <v>2024003361</v>
      </c>
      <c r="C1333" s="4" t="s">
        <v>850</v>
      </c>
      <c r="D1333" s="5">
        <v>3000000</v>
      </c>
      <c r="E1333" s="4">
        <v>1004215136</v>
      </c>
      <c r="F1333" s="4" t="s">
        <v>413</v>
      </c>
      <c r="G1333" t="s">
        <v>565</v>
      </c>
      <c r="H1333" t="e">
        <f>VLOOKUP(C1333,'[1]873'!$C$2:$C$711,1,0)</f>
        <v>#N/A</v>
      </c>
    </row>
    <row r="1334" spans="1:8" ht="15" customHeight="1" x14ac:dyDescent="0.25">
      <c r="A1334" s="3">
        <v>45643</v>
      </c>
      <c r="B1334" s="43">
        <v>2024003362</v>
      </c>
      <c r="C1334" s="4" t="s">
        <v>813</v>
      </c>
      <c r="D1334" s="5">
        <v>6000000</v>
      </c>
      <c r="E1334" s="4">
        <v>1131085780</v>
      </c>
      <c r="F1334" s="4" t="s">
        <v>814</v>
      </c>
      <c r="G1334" t="s">
        <v>565</v>
      </c>
      <c r="H1334" t="e">
        <f>VLOOKUP(C1334,'[1]873'!$C$2:$C$711,1,0)</f>
        <v>#N/A</v>
      </c>
    </row>
    <row r="1335" spans="1:8" ht="15" customHeight="1" x14ac:dyDescent="0.25">
      <c r="A1335" s="3">
        <v>45643</v>
      </c>
      <c r="B1335" s="43">
        <v>2024003363</v>
      </c>
      <c r="C1335" s="4" t="s">
        <v>1048</v>
      </c>
      <c r="D1335" s="5">
        <v>2500000</v>
      </c>
      <c r="E1335" s="4">
        <v>1085324252</v>
      </c>
      <c r="F1335" s="4" t="s">
        <v>1049</v>
      </c>
      <c r="G1335" t="s">
        <v>565</v>
      </c>
      <c r="H1335" t="e">
        <f>VLOOKUP(C1335,'[1]873'!$C$2:$C$711,1,0)</f>
        <v>#N/A</v>
      </c>
    </row>
    <row r="1336" spans="1:8" ht="15" customHeight="1" x14ac:dyDescent="0.25">
      <c r="A1336" s="3">
        <v>45643</v>
      </c>
      <c r="B1336" s="43">
        <v>2024003364</v>
      </c>
      <c r="C1336" s="4" t="s">
        <v>1050</v>
      </c>
      <c r="D1336" s="5">
        <v>4750000</v>
      </c>
      <c r="E1336" s="4">
        <v>1085313870</v>
      </c>
      <c r="F1336" s="4" t="s">
        <v>513</v>
      </c>
      <c r="G1336" t="s">
        <v>565</v>
      </c>
      <c r="H1336" t="e">
        <f>VLOOKUP(C1336,'[1]873'!$C$2:$C$711,1,0)</f>
        <v>#N/A</v>
      </c>
    </row>
    <row r="1337" spans="1:8" ht="15" customHeight="1" x14ac:dyDescent="0.25">
      <c r="A1337" s="3">
        <v>45643</v>
      </c>
      <c r="B1337" s="43">
        <v>2024003365</v>
      </c>
      <c r="C1337" s="4" t="s">
        <v>1051</v>
      </c>
      <c r="D1337" s="5">
        <v>2691100</v>
      </c>
      <c r="E1337" s="4">
        <v>1085334685</v>
      </c>
      <c r="F1337" s="4" t="s">
        <v>1052</v>
      </c>
      <c r="G1337" t="s">
        <v>565</v>
      </c>
      <c r="H1337" t="e">
        <f>VLOOKUP(C1337,'[1]873'!$C$2:$C$711,1,0)</f>
        <v>#N/A</v>
      </c>
    </row>
    <row r="1338" spans="1:8" ht="15" customHeight="1" x14ac:dyDescent="0.25">
      <c r="A1338" s="3">
        <v>45643</v>
      </c>
      <c r="B1338" s="43">
        <v>2024003366</v>
      </c>
      <c r="C1338" s="4" t="s">
        <v>840</v>
      </c>
      <c r="D1338" s="5">
        <v>3000000</v>
      </c>
      <c r="E1338" s="4">
        <v>1233188273</v>
      </c>
      <c r="F1338" s="4" t="s">
        <v>473</v>
      </c>
      <c r="G1338" t="s">
        <v>565</v>
      </c>
      <c r="H1338" t="e">
        <f>VLOOKUP(C1338,'[1]873'!$C$2:$C$711,1,0)</f>
        <v>#N/A</v>
      </c>
    </row>
    <row r="1339" spans="1:8" ht="15" customHeight="1" x14ac:dyDescent="0.25">
      <c r="A1339" s="3">
        <v>45643</v>
      </c>
      <c r="B1339" s="43">
        <v>2024003367</v>
      </c>
      <c r="C1339" s="4" t="s">
        <v>878</v>
      </c>
      <c r="D1339" s="5">
        <v>3000000</v>
      </c>
      <c r="E1339" s="4">
        <v>1085338575</v>
      </c>
      <c r="F1339" s="4" t="s">
        <v>227</v>
      </c>
      <c r="G1339" t="s">
        <v>565</v>
      </c>
      <c r="H1339" t="e">
        <f>VLOOKUP(C1339,'[1]873'!$C$2:$C$711,1,0)</f>
        <v>#N/A</v>
      </c>
    </row>
    <row r="1340" spans="1:8" ht="15" customHeight="1" x14ac:dyDescent="0.25">
      <c r="A1340" s="3">
        <v>45643</v>
      </c>
      <c r="B1340" s="43">
        <v>2024003368</v>
      </c>
      <c r="C1340" s="4" t="s">
        <v>792</v>
      </c>
      <c r="D1340" s="5">
        <v>6000000</v>
      </c>
      <c r="E1340" s="4">
        <v>59588823</v>
      </c>
      <c r="F1340" s="4" t="s">
        <v>793</v>
      </c>
      <c r="G1340" t="s">
        <v>565</v>
      </c>
      <c r="H1340" t="e">
        <f>VLOOKUP(C1340,'[1]873'!$C$2:$C$711,1,0)</f>
        <v>#N/A</v>
      </c>
    </row>
    <row r="1341" spans="1:8" ht="15" customHeight="1" x14ac:dyDescent="0.25">
      <c r="A1341" s="3">
        <v>45643</v>
      </c>
      <c r="B1341" s="43">
        <v>2024003369</v>
      </c>
      <c r="C1341" s="4" t="s">
        <v>868</v>
      </c>
      <c r="D1341" s="5">
        <v>4825000</v>
      </c>
      <c r="E1341" s="4">
        <v>30733517</v>
      </c>
      <c r="F1341" s="4" t="s">
        <v>53</v>
      </c>
      <c r="G1341" t="s">
        <v>565</v>
      </c>
      <c r="H1341" t="e">
        <f>VLOOKUP(C1341,'[1]873'!$C$2:$C$711,1,0)</f>
        <v>#N/A</v>
      </c>
    </row>
    <row r="1342" spans="1:8" ht="15" customHeight="1" x14ac:dyDescent="0.25">
      <c r="A1342" s="3">
        <v>45643</v>
      </c>
      <c r="B1342" s="43">
        <v>2024003370</v>
      </c>
      <c r="C1342" s="4" t="s">
        <v>911</v>
      </c>
      <c r="D1342" s="5">
        <v>2500000</v>
      </c>
      <c r="E1342" s="4">
        <v>13072447</v>
      </c>
      <c r="F1342" s="4" t="s">
        <v>205</v>
      </c>
      <c r="G1342" t="s">
        <v>565</v>
      </c>
      <c r="H1342" t="e">
        <f>VLOOKUP(C1342,'[1]873'!$C$2:$C$711,1,0)</f>
        <v>#N/A</v>
      </c>
    </row>
    <row r="1343" spans="1:8" ht="15" customHeight="1" x14ac:dyDescent="0.25">
      <c r="A1343" s="3">
        <v>45643</v>
      </c>
      <c r="B1343" s="43">
        <v>2024003371</v>
      </c>
      <c r="C1343" s="4" t="s">
        <v>912</v>
      </c>
      <c r="D1343" s="5">
        <v>2500000</v>
      </c>
      <c r="E1343" s="4">
        <v>1085338135</v>
      </c>
      <c r="F1343" s="4" t="s">
        <v>369</v>
      </c>
      <c r="G1343" t="s">
        <v>565</v>
      </c>
      <c r="H1343" t="e">
        <f>VLOOKUP(C1343,'[1]873'!$C$2:$C$711,1,0)</f>
        <v>#N/A</v>
      </c>
    </row>
    <row r="1344" spans="1:8" ht="15" customHeight="1" x14ac:dyDescent="0.25">
      <c r="A1344" s="3">
        <v>45643</v>
      </c>
      <c r="B1344" s="43">
        <v>2024003372</v>
      </c>
      <c r="C1344" s="4" t="s">
        <v>896</v>
      </c>
      <c r="D1344" s="5">
        <v>4825000</v>
      </c>
      <c r="E1344" s="4">
        <v>59310622</v>
      </c>
      <c r="F1344" s="4" t="s">
        <v>897</v>
      </c>
      <c r="G1344" t="s">
        <v>565</v>
      </c>
      <c r="H1344" t="e">
        <f>VLOOKUP(C1344,'[1]873'!$C$2:$C$711,1,0)</f>
        <v>#N/A</v>
      </c>
    </row>
    <row r="1345" spans="1:8" ht="15" customHeight="1" x14ac:dyDescent="0.25">
      <c r="A1345" s="3">
        <v>45643</v>
      </c>
      <c r="B1345" s="43">
        <v>2024003373</v>
      </c>
      <c r="C1345" s="4" t="s">
        <v>974</v>
      </c>
      <c r="D1345" s="5">
        <v>6000000</v>
      </c>
      <c r="E1345" s="4">
        <v>79724257</v>
      </c>
      <c r="F1345" s="4" t="s">
        <v>425</v>
      </c>
      <c r="G1345" t="s">
        <v>565</v>
      </c>
      <c r="H1345" t="e">
        <f>VLOOKUP(C1345,'[1]873'!$C$2:$C$711,1,0)</f>
        <v>#N/A</v>
      </c>
    </row>
    <row r="1346" spans="1:8" ht="15" customHeight="1" x14ac:dyDescent="0.25">
      <c r="A1346" s="3">
        <v>45645</v>
      </c>
      <c r="B1346" s="43">
        <v>2024003381</v>
      </c>
      <c r="C1346" s="4" t="s">
        <v>934</v>
      </c>
      <c r="D1346" s="5">
        <v>4825000</v>
      </c>
      <c r="E1346" s="4">
        <v>27087851</v>
      </c>
      <c r="F1346" s="4" t="s">
        <v>177</v>
      </c>
      <c r="G1346" t="s">
        <v>565</v>
      </c>
      <c r="H1346" t="e">
        <f>VLOOKUP(C1346,'[1]873'!$C$2:$C$711,1,0)</f>
        <v>#N/A</v>
      </c>
    </row>
    <row r="1347" spans="1:8" ht="15" customHeight="1" x14ac:dyDescent="0.25">
      <c r="A1347" s="3">
        <v>45645</v>
      </c>
      <c r="B1347" s="43">
        <v>2024003382</v>
      </c>
      <c r="C1347" s="4" t="s">
        <v>689</v>
      </c>
      <c r="D1347" s="5">
        <v>3000000</v>
      </c>
      <c r="E1347" s="4">
        <v>1004135064</v>
      </c>
      <c r="F1347" s="4" t="s">
        <v>207</v>
      </c>
      <c r="G1347" t="s">
        <v>565</v>
      </c>
      <c r="H1347" t="e">
        <f>VLOOKUP(C1347,'[1]873'!$C$2:$C$711,1,0)</f>
        <v>#N/A</v>
      </c>
    </row>
    <row r="1348" spans="1:8" ht="15" customHeight="1" x14ac:dyDescent="0.25">
      <c r="A1348" s="3">
        <v>45645</v>
      </c>
      <c r="B1348" s="43">
        <v>2024003383</v>
      </c>
      <c r="C1348" s="4" t="s">
        <v>694</v>
      </c>
      <c r="D1348" s="5">
        <v>2500000</v>
      </c>
      <c r="E1348" s="4">
        <v>1085338232</v>
      </c>
      <c r="F1348" s="4" t="s">
        <v>287</v>
      </c>
      <c r="G1348" t="s">
        <v>565</v>
      </c>
      <c r="H1348" t="e">
        <f>VLOOKUP(C1348,'[1]873'!$C$2:$C$711,1,0)</f>
        <v>#N/A</v>
      </c>
    </row>
    <row r="1349" spans="1:8" ht="15" customHeight="1" x14ac:dyDescent="0.25">
      <c r="A1349" s="3">
        <v>45645</v>
      </c>
      <c r="B1349" s="43">
        <v>2024003385</v>
      </c>
      <c r="C1349" s="4" t="s">
        <v>696</v>
      </c>
      <c r="D1349" s="5">
        <v>4825000</v>
      </c>
      <c r="E1349" s="4">
        <v>59310145</v>
      </c>
      <c r="F1349" s="4" t="s">
        <v>129</v>
      </c>
      <c r="G1349" t="s">
        <v>565</v>
      </c>
      <c r="H1349" t="e">
        <f>VLOOKUP(C1349,'[1]873'!$C$2:$C$711,1,0)</f>
        <v>#N/A</v>
      </c>
    </row>
    <row r="1350" spans="1:8" ht="15" customHeight="1" x14ac:dyDescent="0.25">
      <c r="A1350" s="3">
        <v>45645</v>
      </c>
      <c r="B1350" s="43">
        <v>2024003386</v>
      </c>
      <c r="C1350" s="4" t="s">
        <v>683</v>
      </c>
      <c r="D1350" s="5">
        <v>4825000</v>
      </c>
      <c r="E1350" s="4">
        <v>1193385736</v>
      </c>
      <c r="F1350" s="4" t="s">
        <v>57</v>
      </c>
      <c r="G1350" t="s">
        <v>565</v>
      </c>
      <c r="H1350" t="e">
        <f>VLOOKUP(C1350,'[1]873'!$C$2:$C$711,1,0)</f>
        <v>#N/A</v>
      </c>
    </row>
    <row r="1351" spans="1:8" ht="15" customHeight="1" x14ac:dyDescent="0.25">
      <c r="A1351" s="3">
        <v>45645</v>
      </c>
      <c r="B1351" s="43">
        <v>2024003387</v>
      </c>
      <c r="C1351" s="4" t="s">
        <v>920</v>
      </c>
      <c r="D1351" s="5">
        <v>7540000</v>
      </c>
      <c r="E1351" s="4">
        <v>1085300619</v>
      </c>
      <c r="F1351" s="4" t="s">
        <v>921</v>
      </c>
      <c r="G1351" t="s">
        <v>565</v>
      </c>
      <c r="H1351" t="e">
        <f>VLOOKUP(C1351,'[1]873'!$C$2:$C$711,1,0)</f>
        <v>#N/A</v>
      </c>
    </row>
    <row r="1352" spans="1:8" ht="15" customHeight="1" x14ac:dyDescent="0.25">
      <c r="A1352" s="3">
        <v>45645</v>
      </c>
      <c r="B1352" s="43">
        <v>2024003388</v>
      </c>
      <c r="C1352" s="4" t="s">
        <v>927</v>
      </c>
      <c r="D1352" s="5">
        <v>4750000</v>
      </c>
      <c r="E1352" s="4">
        <v>1086332188</v>
      </c>
      <c r="F1352" s="4" t="s">
        <v>928</v>
      </c>
      <c r="G1352" t="s">
        <v>565</v>
      </c>
      <c r="H1352" t="e">
        <f>VLOOKUP(C1352,'[1]873'!$C$2:$C$711,1,0)</f>
        <v>#N/A</v>
      </c>
    </row>
    <row r="1353" spans="1:8" ht="15" customHeight="1" x14ac:dyDescent="0.25">
      <c r="A1353" s="3">
        <v>45645</v>
      </c>
      <c r="B1353" s="43">
        <v>2024003390</v>
      </c>
      <c r="C1353" s="4" t="s">
        <v>609</v>
      </c>
      <c r="D1353" s="5">
        <v>6000000</v>
      </c>
      <c r="E1353" s="4">
        <v>1085275879</v>
      </c>
      <c r="F1353" s="4" t="s">
        <v>117</v>
      </c>
      <c r="G1353" t="s">
        <v>565</v>
      </c>
      <c r="H1353" t="e">
        <f>VLOOKUP(C1353,'[1]873'!$C$2:$C$711,1,0)</f>
        <v>#N/A</v>
      </c>
    </row>
    <row r="1354" spans="1:8" ht="15" customHeight="1" x14ac:dyDescent="0.25">
      <c r="A1354" s="3">
        <v>45645</v>
      </c>
      <c r="B1354" s="43">
        <v>2024003391</v>
      </c>
      <c r="C1354" s="4" t="s">
        <v>852</v>
      </c>
      <c r="D1354" s="5">
        <v>2500000</v>
      </c>
      <c r="E1354" s="4">
        <v>1085337465</v>
      </c>
      <c r="F1354" s="4" t="s">
        <v>315</v>
      </c>
      <c r="G1354" t="s">
        <v>565</v>
      </c>
      <c r="H1354" t="e">
        <f>VLOOKUP(C1354,'[1]873'!$C$2:$C$711,1,0)</f>
        <v>#N/A</v>
      </c>
    </row>
    <row r="1355" spans="1:8" ht="15" customHeight="1" x14ac:dyDescent="0.25">
      <c r="A1355" s="3">
        <v>45645</v>
      </c>
      <c r="B1355" s="43">
        <v>2024003392</v>
      </c>
      <c r="C1355" s="4" t="s">
        <v>739</v>
      </c>
      <c r="D1355" s="5">
        <v>2500000</v>
      </c>
      <c r="E1355" s="4">
        <v>27090145</v>
      </c>
      <c r="F1355" s="4" t="s">
        <v>357</v>
      </c>
      <c r="G1355" t="s">
        <v>565</v>
      </c>
      <c r="H1355" t="e">
        <f>VLOOKUP(C1355,'[1]873'!$C$2:$C$711,1,0)</f>
        <v>#N/A</v>
      </c>
    </row>
    <row r="1356" spans="1:8" ht="15" customHeight="1" x14ac:dyDescent="0.25">
      <c r="A1356" s="3">
        <v>45645</v>
      </c>
      <c r="B1356" s="43">
        <v>2024003393</v>
      </c>
      <c r="C1356" s="4" t="s">
        <v>695</v>
      </c>
      <c r="D1356" s="5">
        <v>3000000</v>
      </c>
      <c r="E1356" s="4">
        <v>59837416</v>
      </c>
      <c r="F1356" s="4" t="s">
        <v>395</v>
      </c>
      <c r="G1356" t="s">
        <v>565</v>
      </c>
      <c r="H1356" t="e">
        <f>VLOOKUP(C1356,'[1]873'!$C$2:$C$711,1,0)</f>
        <v>#N/A</v>
      </c>
    </row>
    <row r="1357" spans="1:8" ht="15" customHeight="1" x14ac:dyDescent="0.25">
      <c r="A1357" s="3">
        <v>45645</v>
      </c>
      <c r="B1357" s="43">
        <v>2024003394</v>
      </c>
      <c r="C1357" s="4" t="s">
        <v>761</v>
      </c>
      <c r="D1357" s="5">
        <v>7540000</v>
      </c>
      <c r="E1357" s="4">
        <v>1006946167</v>
      </c>
      <c r="F1357" s="4" t="s">
        <v>63</v>
      </c>
      <c r="G1357" t="s">
        <v>565</v>
      </c>
      <c r="H1357" t="e">
        <f>VLOOKUP(C1357,'[1]873'!$C$2:$C$711,1,0)</f>
        <v>#N/A</v>
      </c>
    </row>
    <row r="1358" spans="1:8" ht="15" customHeight="1" x14ac:dyDescent="0.25">
      <c r="A1358" s="3">
        <v>45645</v>
      </c>
      <c r="B1358" s="43">
        <v>2024003395</v>
      </c>
      <c r="C1358" s="4" t="s">
        <v>847</v>
      </c>
      <c r="D1358" s="5">
        <v>4825000</v>
      </c>
      <c r="E1358" s="4">
        <v>1085324891</v>
      </c>
      <c r="F1358" s="4" t="s">
        <v>509</v>
      </c>
      <c r="G1358" t="s">
        <v>565</v>
      </c>
      <c r="H1358" t="e">
        <f>VLOOKUP(C1358,'[1]873'!$C$2:$C$711,1,0)</f>
        <v>#N/A</v>
      </c>
    </row>
    <row r="1359" spans="1:8" ht="15" customHeight="1" x14ac:dyDescent="0.25">
      <c r="A1359" s="3">
        <v>45645</v>
      </c>
      <c r="B1359" s="43">
        <v>2024003396</v>
      </c>
      <c r="C1359" s="4" t="s">
        <v>870</v>
      </c>
      <c r="D1359" s="5">
        <v>2500000</v>
      </c>
      <c r="E1359" s="4">
        <v>1081273343</v>
      </c>
      <c r="F1359" s="4" t="s">
        <v>339</v>
      </c>
      <c r="G1359" t="s">
        <v>565</v>
      </c>
      <c r="H1359" t="e">
        <f>VLOOKUP(C1359,'[1]873'!$C$2:$C$711,1,0)</f>
        <v>#N/A</v>
      </c>
    </row>
    <row r="1360" spans="1:8" ht="15" customHeight="1" x14ac:dyDescent="0.25">
      <c r="A1360" s="3">
        <v>45645</v>
      </c>
      <c r="B1360" s="43">
        <v>2024003397</v>
      </c>
      <c r="C1360" s="4" t="s">
        <v>1053</v>
      </c>
      <c r="D1360" s="5">
        <v>600000</v>
      </c>
      <c r="E1360" s="4">
        <v>87030128</v>
      </c>
      <c r="F1360" s="4" t="s">
        <v>1054</v>
      </c>
      <c r="G1360" t="s">
        <v>565</v>
      </c>
      <c r="H1360" t="e">
        <f>VLOOKUP(C1360,'[1]873'!$C$2:$C$711,1,0)</f>
        <v>#N/A</v>
      </c>
    </row>
    <row r="1361" spans="1:8" ht="15" customHeight="1" x14ac:dyDescent="0.25">
      <c r="A1361" s="3">
        <v>45645</v>
      </c>
      <c r="B1361" s="43">
        <v>2024003398</v>
      </c>
      <c r="C1361" s="4" t="s">
        <v>1053</v>
      </c>
      <c r="D1361" s="5">
        <v>3000000</v>
      </c>
      <c r="E1361" s="4">
        <v>87030128</v>
      </c>
      <c r="F1361" s="4" t="s">
        <v>1054</v>
      </c>
      <c r="G1361" t="s">
        <v>565</v>
      </c>
      <c r="H1361" t="e">
        <f>VLOOKUP(C1361,'[1]873'!$C$2:$C$711,1,0)</f>
        <v>#N/A</v>
      </c>
    </row>
    <row r="1362" spans="1:8" ht="15" customHeight="1" x14ac:dyDescent="0.25">
      <c r="A1362" s="3">
        <v>45645</v>
      </c>
      <c r="B1362" s="43">
        <v>2024003399</v>
      </c>
      <c r="C1362" s="4" t="s">
        <v>659</v>
      </c>
      <c r="D1362" s="5">
        <v>3000000</v>
      </c>
      <c r="E1362" s="4">
        <v>59178610</v>
      </c>
      <c r="F1362" s="4" t="s">
        <v>97</v>
      </c>
      <c r="G1362" t="s">
        <v>565</v>
      </c>
      <c r="H1362" t="e">
        <f>VLOOKUP(C1362,'[1]873'!$C$2:$C$711,1,0)</f>
        <v>#N/A</v>
      </c>
    </row>
    <row r="1363" spans="1:8" ht="15" customHeight="1" x14ac:dyDescent="0.25">
      <c r="A1363" s="3">
        <v>45645</v>
      </c>
      <c r="B1363" s="43">
        <v>2024003400</v>
      </c>
      <c r="C1363" s="4" t="s">
        <v>830</v>
      </c>
      <c r="D1363" s="5">
        <v>2500000</v>
      </c>
      <c r="E1363" s="4">
        <v>1085289798</v>
      </c>
      <c r="F1363" s="4" t="s">
        <v>375</v>
      </c>
      <c r="G1363" t="s">
        <v>565</v>
      </c>
      <c r="H1363" t="e">
        <f>VLOOKUP(C1363,'[1]873'!$C$2:$C$711,1,0)</f>
        <v>#N/A</v>
      </c>
    </row>
    <row r="1364" spans="1:8" ht="15" customHeight="1" x14ac:dyDescent="0.25">
      <c r="A1364" s="3">
        <v>45645</v>
      </c>
      <c r="B1364" s="43">
        <v>2024003401</v>
      </c>
      <c r="C1364" s="4" t="s">
        <v>676</v>
      </c>
      <c r="D1364" s="5">
        <v>4750000</v>
      </c>
      <c r="E1364" s="4">
        <v>1085293619</v>
      </c>
      <c r="F1364" s="4" t="s">
        <v>155</v>
      </c>
      <c r="G1364" t="s">
        <v>565</v>
      </c>
      <c r="H1364" t="e">
        <f>VLOOKUP(C1364,'[1]873'!$C$2:$C$711,1,0)</f>
        <v>#N/A</v>
      </c>
    </row>
    <row r="1365" spans="1:8" ht="15" customHeight="1" x14ac:dyDescent="0.25">
      <c r="A1365" s="3">
        <v>45645</v>
      </c>
      <c r="B1365" s="43">
        <v>2024003402</v>
      </c>
      <c r="C1365" s="4" t="s">
        <v>1055</v>
      </c>
      <c r="D1365" s="5">
        <v>1500000</v>
      </c>
      <c r="E1365" s="4">
        <v>1085346528</v>
      </c>
      <c r="F1365" s="4" t="s">
        <v>1056</v>
      </c>
      <c r="G1365" t="s">
        <v>565</v>
      </c>
      <c r="H1365" t="e">
        <f>VLOOKUP(C1365,'[1]873'!$C$2:$C$711,1,0)</f>
        <v>#N/A</v>
      </c>
    </row>
    <row r="1366" spans="1:8" ht="15" customHeight="1" x14ac:dyDescent="0.25">
      <c r="A1366" s="3">
        <v>45645</v>
      </c>
      <c r="B1366" s="43">
        <v>2024003403</v>
      </c>
      <c r="C1366" s="4" t="s">
        <v>1055</v>
      </c>
      <c r="D1366" s="5">
        <v>3000000</v>
      </c>
      <c r="E1366" s="4">
        <v>1085346528</v>
      </c>
      <c r="F1366" s="4" t="s">
        <v>1056</v>
      </c>
      <c r="G1366" t="s">
        <v>565</v>
      </c>
      <c r="H1366" t="e">
        <f>VLOOKUP(C1366,'[1]873'!$C$2:$C$711,1,0)</f>
        <v>#N/A</v>
      </c>
    </row>
    <row r="1367" spans="1:8" ht="15" customHeight="1" x14ac:dyDescent="0.25">
      <c r="A1367" s="3">
        <v>45645</v>
      </c>
      <c r="B1367" s="43">
        <v>2024003404</v>
      </c>
      <c r="C1367" s="4" t="s">
        <v>1057</v>
      </c>
      <c r="D1367" s="5">
        <v>1000000</v>
      </c>
      <c r="E1367" s="4">
        <v>1004437571</v>
      </c>
      <c r="F1367" s="4" t="s">
        <v>580</v>
      </c>
      <c r="G1367" t="s">
        <v>565</v>
      </c>
      <c r="H1367" t="e">
        <f>VLOOKUP(C1367,'[1]873'!$C$2:$C$711,1,0)</f>
        <v>#N/A</v>
      </c>
    </row>
    <row r="1368" spans="1:8" ht="15" customHeight="1" x14ac:dyDescent="0.25">
      <c r="A1368" s="3">
        <v>45645</v>
      </c>
      <c r="B1368" s="43">
        <v>2024003405</v>
      </c>
      <c r="C1368" s="4" t="s">
        <v>959</v>
      </c>
      <c r="D1368" s="5">
        <v>3000000</v>
      </c>
      <c r="E1368" s="4">
        <v>1085286725</v>
      </c>
      <c r="F1368" s="4" t="s">
        <v>111</v>
      </c>
      <c r="G1368" t="s">
        <v>565</v>
      </c>
      <c r="H1368" t="e">
        <f>VLOOKUP(C1368,'[1]873'!$C$2:$C$711,1,0)</f>
        <v>#N/A</v>
      </c>
    </row>
    <row r="1369" spans="1:8" ht="15" customHeight="1" x14ac:dyDescent="0.25">
      <c r="A1369" s="3">
        <v>45645</v>
      </c>
      <c r="B1369" s="43">
        <v>2024003406</v>
      </c>
      <c r="C1369" s="4" t="s">
        <v>1058</v>
      </c>
      <c r="D1369" s="5">
        <v>4750000</v>
      </c>
      <c r="E1369" s="4">
        <v>1085245714</v>
      </c>
      <c r="F1369" s="4" t="s">
        <v>1059</v>
      </c>
      <c r="G1369" t="s">
        <v>565</v>
      </c>
      <c r="H1369" t="e">
        <f>VLOOKUP(C1369,'[1]873'!$C$2:$C$711,1,0)</f>
        <v>#N/A</v>
      </c>
    </row>
    <row r="1370" spans="1:8" ht="15" customHeight="1" x14ac:dyDescent="0.25">
      <c r="A1370" s="3">
        <v>45645</v>
      </c>
      <c r="B1370" s="43">
        <v>2024003408</v>
      </c>
      <c r="C1370" s="4" t="s">
        <v>819</v>
      </c>
      <c r="D1370" s="5">
        <v>4825000</v>
      </c>
      <c r="E1370" s="4">
        <v>1081595485</v>
      </c>
      <c r="F1370" s="4" t="s">
        <v>820</v>
      </c>
      <c r="G1370" t="s">
        <v>565</v>
      </c>
      <c r="H1370" t="e">
        <f>VLOOKUP(C1370,'[1]873'!$C$2:$C$711,1,0)</f>
        <v>#N/A</v>
      </c>
    </row>
    <row r="1371" spans="1:8" ht="15" customHeight="1" x14ac:dyDescent="0.25">
      <c r="A1371" s="3">
        <v>45645</v>
      </c>
      <c r="B1371" s="43">
        <v>2024003410</v>
      </c>
      <c r="C1371" s="4" t="s">
        <v>936</v>
      </c>
      <c r="D1371" s="5">
        <v>7540000</v>
      </c>
      <c r="E1371" s="4">
        <v>79800150</v>
      </c>
      <c r="F1371" s="4" t="s">
        <v>937</v>
      </c>
      <c r="G1371" t="s">
        <v>565</v>
      </c>
      <c r="H1371" t="e">
        <f>VLOOKUP(C1371,'[1]873'!$C$2:$C$711,1,0)</f>
        <v>#N/A</v>
      </c>
    </row>
    <row r="1372" spans="1:8" ht="15" customHeight="1" x14ac:dyDescent="0.25">
      <c r="A1372" s="3">
        <v>45645</v>
      </c>
      <c r="B1372" s="43">
        <v>2024003412</v>
      </c>
      <c r="C1372" s="4" t="s">
        <v>1060</v>
      </c>
      <c r="D1372" s="5">
        <v>600000</v>
      </c>
      <c r="E1372" s="4">
        <v>13069881</v>
      </c>
      <c r="F1372" s="4" t="s">
        <v>546</v>
      </c>
      <c r="G1372" t="s">
        <v>565</v>
      </c>
      <c r="H1372" t="e">
        <f>VLOOKUP(C1372,'[1]873'!$C$2:$C$711,1,0)</f>
        <v>#N/A</v>
      </c>
    </row>
    <row r="1373" spans="1:8" ht="15" customHeight="1" x14ac:dyDescent="0.25">
      <c r="A1373" s="3">
        <v>45645</v>
      </c>
      <c r="B1373" s="43">
        <v>2024003414</v>
      </c>
      <c r="C1373" s="4" t="s">
        <v>815</v>
      </c>
      <c r="D1373" s="5">
        <v>6000000</v>
      </c>
      <c r="E1373" s="4">
        <v>59836926</v>
      </c>
      <c r="F1373" s="4" t="s">
        <v>311</v>
      </c>
      <c r="G1373" t="s">
        <v>565</v>
      </c>
      <c r="H1373" t="e">
        <f>VLOOKUP(C1373,'[1]873'!$C$2:$C$711,1,0)</f>
        <v>#N/A</v>
      </c>
    </row>
    <row r="1374" spans="1:8" ht="15" customHeight="1" x14ac:dyDescent="0.25">
      <c r="A1374" s="3">
        <v>45645</v>
      </c>
      <c r="B1374" s="43">
        <v>2024003416</v>
      </c>
      <c r="C1374" s="4" t="s">
        <v>1018</v>
      </c>
      <c r="D1374" s="5">
        <v>2500000</v>
      </c>
      <c r="E1374" s="4">
        <v>1081052090</v>
      </c>
      <c r="F1374" s="4" t="s">
        <v>319</v>
      </c>
      <c r="G1374" t="s">
        <v>565</v>
      </c>
      <c r="H1374" t="e">
        <f>VLOOKUP(C1374,'[1]873'!$C$2:$C$711,1,0)</f>
        <v>#N/A</v>
      </c>
    </row>
    <row r="1375" spans="1:8" ht="15" customHeight="1" x14ac:dyDescent="0.25">
      <c r="A1375" s="3">
        <v>45645</v>
      </c>
      <c r="B1375" s="43">
        <v>2024003418</v>
      </c>
      <c r="C1375" s="4" t="s">
        <v>1061</v>
      </c>
      <c r="D1375" s="5">
        <v>1200000</v>
      </c>
      <c r="E1375" s="4">
        <v>1084228089</v>
      </c>
      <c r="F1375" s="4" t="s">
        <v>1062</v>
      </c>
      <c r="G1375" t="s">
        <v>565</v>
      </c>
      <c r="H1375" t="e">
        <f>VLOOKUP(C1375,'[1]873'!$C$2:$C$711,1,0)</f>
        <v>#N/A</v>
      </c>
    </row>
    <row r="1376" spans="1:8" ht="15" customHeight="1" x14ac:dyDescent="0.25">
      <c r="A1376" s="3">
        <v>45645</v>
      </c>
      <c r="B1376" s="43">
        <v>2024003419</v>
      </c>
      <c r="C1376" s="4" t="s">
        <v>917</v>
      </c>
      <c r="D1376" s="5">
        <v>7540000</v>
      </c>
      <c r="E1376" s="4">
        <v>87940284</v>
      </c>
      <c r="F1376" s="4" t="s">
        <v>918</v>
      </c>
      <c r="G1376" t="s">
        <v>565</v>
      </c>
      <c r="H1376" t="e">
        <f>VLOOKUP(C1376,'[1]873'!$C$2:$C$711,1,0)</f>
        <v>#N/A</v>
      </c>
    </row>
    <row r="1377" spans="1:8" ht="15" customHeight="1" x14ac:dyDescent="0.25">
      <c r="A1377" s="3">
        <v>45645</v>
      </c>
      <c r="B1377" s="43">
        <v>2024003420</v>
      </c>
      <c r="C1377" s="4" t="s">
        <v>1017</v>
      </c>
      <c r="D1377" s="5">
        <v>7540000</v>
      </c>
      <c r="E1377" s="4">
        <v>1193279435</v>
      </c>
      <c r="F1377" s="4" t="s">
        <v>435</v>
      </c>
      <c r="G1377" t="s">
        <v>565</v>
      </c>
      <c r="H1377" t="e">
        <f>VLOOKUP(C1377,'[1]873'!$C$2:$C$711,1,0)</f>
        <v>#N/A</v>
      </c>
    </row>
    <row r="1378" spans="1:8" ht="15" customHeight="1" x14ac:dyDescent="0.25">
      <c r="A1378" s="3">
        <v>45646</v>
      </c>
      <c r="B1378" s="43">
        <v>2024003433</v>
      </c>
      <c r="C1378" s="4" t="s">
        <v>759</v>
      </c>
      <c r="D1378" s="5">
        <v>6000000</v>
      </c>
      <c r="E1378" s="4">
        <v>1085253062</v>
      </c>
      <c r="F1378" s="4" t="s">
        <v>31</v>
      </c>
      <c r="G1378" t="s">
        <v>565</v>
      </c>
      <c r="H1378" t="e">
        <f>VLOOKUP(C1378,'[1]873'!$C$2:$C$711,1,0)</f>
        <v>#N/A</v>
      </c>
    </row>
    <row r="1379" spans="1:8" ht="15" customHeight="1" x14ac:dyDescent="0.25">
      <c r="A1379" s="3">
        <v>45646</v>
      </c>
      <c r="B1379" s="43">
        <v>2024003435</v>
      </c>
      <c r="C1379" s="4" t="s">
        <v>640</v>
      </c>
      <c r="D1379" s="5">
        <v>3000000</v>
      </c>
      <c r="E1379" s="4">
        <v>1004592366</v>
      </c>
      <c r="F1379" s="4" t="s">
        <v>123</v>
      </c>
      <c r="G1379" t="s">
        <v>565</v>
      </c>
      <c r="H1379" t="e">
        <f>VLOOKUP(C1379,'[1]873'!$C$2:$C$711,1,0)</f>
        <v>#N/A</v>
      </c>
    </row>
    <row r="1380" spans="1:8" ht="15" customHeight="1" x14ac:dyDescent="0.25">
      <c r="A1380" s="3">
        <v>45646</v>
      </c>
      <c r="B1380" s="43">
        <v>2024003439</v>
      </c>
      <c r="C1380" s="4" t="s">
        <v>643</v>
      </c>
      <c r="D1380" s="5">
        <v>3000000</v>
      </c>
      <c r="E1380" s="4">
        <v>1004232508</v>
      </c>
      <c r="F1380" s="4" t="s">
        <v>109</v>
      </c>
      <c r="G1380" t="s">
        <v>565</v>
      </c>
      <c r="H1380" t="e">
        <f>VLOOKUP(C1380,'[1]873'!$C$2:$C$711,1,0)</f>
        <v>#N/A</v>
      </c>
    </row>
    <row r="1381" spans="1:8" ht="15" customHeight="1" x14ac:dyDescent="0.25">
      <c r="A1381" s="3">
        <v>45646</v>
      </c>
      <c r="B1381" s="43">
        <v>2024003443</v>
      </c>
      <c r="C1381" s="4" t="s">
        <v>933</v>
      </c>
      <c r="D1381" s="5">
        <v>3000000</v>
      </c>
      <c r="E1381" s="4">
        <v>1085325718</v>
      </c>
      <c r="F1381" s="4" t="s">
        <v>301</v>
      </c>
      <c r="G1381" t="s">
        <v>565</v>
      </c>
      <c r="H1381" t="e">
        <f>VLOOKUP(C1381,'[1]873'!$C$2:$C$711,1,0)</f>
        <v>#N/A</v>
      </c>
    </row>
    <row r="1382" spans="1:8" ht="15" customHeight="1" x14ac:dyDescent="0.25">
      <c r="A1382" s="3">
        <v>45646</v>
      </c>
      <c r="B1382" s="43">
        <v>2024003446</v>
      </c>
      <c r="C1382" s="4" t="s">
        <v>854</v>
      </c>
      <c r="D1382" s="5">
        <v>3000000</v>
      </c>
      <c r="E1382" s="4">
        <v>1085266584</v>
      </c>
      <c r="F1382" s="4" t="s">
        <v>115</v>
      </c>
      <c r="G1382" t="s">
        <v>565</v>
      </c>
      <c r="H1382" t="e">
        <f>VLOOKUP(C1382,'[1]873'!$C$2:$C$711,1,0)</f>
        <v>#N/A</v>
      </c>
    </row>
    <row r="1383" spans="1:8" ht="15" customHeight="1" x14ac:dyDescent="0.25">
      <c r="A1383" s="3">
        <v>45646</v>
      </c>
      <c r="B1383" s="43">
        <v>2024003449</v>
      </c>
      <c r="C1383" s="4" t="s">
        <v>610</v>
      </c>
      <c r="D1383" s="5">
        <v>6000000</v>
      </c>
      <c r="E1383" s="4">
        <v>1085254626</v>
      </c>
      <c r="F1383" s="4" t="s">
        <v>143</v>
      </c>
      <c r="G1383" t="s">
        <v>565</v>
      </c>
      <c r="H1383" t="e">
        <f>VLOOKUP(C1383,'[1]873'!$C$2:$C$711,1,0)</f>
        <v>#N/A</v>
      </c>
    </row>
    <row r="1384" spans="1:8" ht="15" customHeight="1" x14ac:dyDescent="0.25">
      <c r="A1384" s="3">
        <v>45646</v>
      </c>
      <c r="B1384" s="43">
        <v>2024003453</v>
      </c>
      <c r="C1384" s="4" t="s">
        <v>1010</v>
      </c>
      <c r="D1384" s="5">
        <v>3000000</v>
      </c>
      <c r="E1384" s="4">
        <v>1004131976</v>
      </c>
      <c r="F1384" s="4" t="s">
        <v>1011</v>
      </c>
      <c r="G1384" t="s">
        <v>565</v>
      </c>
      <c r="H1384" t="e">
        <f>VLOOKUP(C1384,'[1]873'!$C$2:$C$711,1,0)</f>
        <v>#N/A</v>
      </c>
    </row>
    <row r="1385" spans="1:8" ht="15" customHeight="1" x14ac:dyDescent="0.25">
      <c r="A1385" s="3">
        <v>45649</v>
      </c>
      <c r="B1385" s="43">
        <v>2024003483</v>
      </c>
      <c r="C1385" s="4" t="s">
        <v>1046</v>
      </c>
      <c r="D1385" s="5">
        <v>4750000</v>
      </c>
      <c r="E1385" s="4">
        <v>1085326561</v>
      </c>
      <c r="F1385" s="4" t="s">
        <v>1047</v>
      </c>
      <c r="G1385" t="s">
        <v>565</v>
      </c>
      <c r="H1385" t="e">
        <f>VLOOKUP(C1385,'[1]873'!$C$2:$C$711,1,0)</f>
        <v>#N/A</v>
      </c>
    </row>
    <row r="1386" spans="1:8" ht="15" customHeight="1" x14ac:dyDescent="0.25">
      <c r="A1386" s="3">
        <v>45649</v>
      </c>
      <c r="B1386" s="43">
        <v>2024003484</v>
      </c>
      <c r="C1386" s="4" t="s">
        <v>746</v>
      </c>
      <c r="D1386" s="5">
        <v>7540000</v>
      </c>
      <c r="E1386" s="4">
        <v>1233191998</v>
      </c>
      <c r="F1386" s="4" t="s">
        <v>747</v>
      </c>
      <c r="G1386" t="s">
        <v>565</v>
      </c>
      <c r="H1386" t="e">
        <f>VLOOKUP(C1386,'[1]873'!$C$2:$C$711,1,0)</f>
        <v>#N/A</v>
      </c>
    </row>
    <row r="1387" spans="1:8" ht="15" customHeight="1" x14ac:dyDescent="0.25">
      <c r="A1387" s="3">
        <v>45649</v>
      </c>
      <c r="B1387" s="43">
        <v>2024003485</v>
      </c>
      <c r="C1387" s="4" t="s">
        <v>916</v>
      </c>
      <c r="D1387" s="5">
        <v>3000000</v>
      </c>
      <c r="E1387" s="4">
        <v>30743783</v>
      </c>
      <c r="F1387" s="4" t="s">
        <v>504</v>
      </c>
      <c r="G1387" t="s">
        <v>565</v>
      </c>
      <c r="H1387" t="e">
        <f>VLOOKUP(C1387,'[1]873'!$C$2:$C$711,1,0)</f>
        <v>#N/A</v>
      </c>
    </row>
    <row r="1388" spans="1:8" ht="15" customHeight="1" x14ac:dyDescent="0.25">
      <c r="A1388" s="3">
        <v>45649</v>
      </c>
      <c r="B1388" s="43">
        <v>2024003486</v>
      </c>
      <c r="C1388" s="4" t="s">
        <v>1040</v>
      </c>
      <c r="D1388" s="5">
        <v>4750000</v>
      </c>
      <c r="E1388" s="4">
        <v>1067940322</v>
      </c>
      <c r="F1388" s="4" t="s">
        <v>1041</v>
      </c>
      <c r="G1388" t="s">
        <v>565</v>
      </c>
      <c r="H1388" t="e">
        <f>VLOOKUP(C1388,'[1]873'!$C$2:$C$711,1,0)</f>
        <v>#N/A</v>
      </c>
    </row>
    <row r="1389" spans="1:8" ht="15" customHeight="1" x14ac:dyDescent="0.25">
      <c r="A1389" s="3">
        <v>45649</v>
      </c>
      <c r="B1389" s="43">
        <v>2024003487</v>
      </c>
      <c r="C1389" s="4" t="s">
        <v>860</v>
      </c>
      <c r="D1389" s="5">
        <v>6000000</v>
      </c>
      <c r="E1389" s="4">
        <v>1085337232</v>
      </c>
      <c r="F1389" s="4" t="s">
        <v>89</v>
      </c>
      <c r="G1389" t="s">
        <v>565</v>
      </c>
      <c r="H1389" t="e">
        <f>VLOOKUP(C1389,'[1]873'!$C$2:$C$711,1,0)</f>
        <v>#N/A</v>
      </c>
    </row>
    <row r="1390" spans="1:8" ht="15" customHeight="1" x14ac:dyDescent="0.25">
      <c r="A1390" s="3">
        <v>45649</v>
      </c>
      <c r="B1390" s="43">
        <v>2024003488</v>
      </c>
      <c r="C1390" s="4" t="s">
        <v>861</v>
      </c>
      <c r="D1390" s="5">
        <v>3000000</v>
      </c>
      <c r="E1390" s="4">
        <v>1193271854</v>
      </c>
      <c r="F1390" s="4" t="s">
        <v>229</v>
      </c>
      <c r="G1390" t="s">
        <v>565</v>
      </c>
      <c r="H1390" t="e">
        <f>VLOOKUP(C1390,'[1]873'!$C$2:$C$711,1,0)</f>
        <v>#N/A</v>
      </c>
    </row>
    <row r="1391" spans="1:8" ht="15" customHeight="1" x14ac:dyDescent="0.25">
      <c r="A1391" s="3">
        <v>45649</v>
      </c>
      <c r="B1391" s="43">
        <v>2024003490</v>
      </c>
      <c r="C1391" s="4" t="s">
        <v>661</v>
      </c>
      <c r="D1391" s="5">
        <v>6000000</v>
      </c>
      <c r="E1391" s="4">
        <v>59837608</v>
      </c>
      <c r="F1391" s="4" t="s">
        <v>145</v>
      </c>
      <c r="G1391" t="s">
        <v>565</v>
      </c>
      <c r="H1391" t="e">
        <f>VLOOKUP(C1391,'[1]873'!$C$2:$C$711,1,0)</f>
        <v>#N/A</v>
      </c>
    </row>
    <row r="1392" spans="1:8" ht="15" customHeight="1" x14ac:dyDescent="0.25">
      <c r="A1392" s="3">
        <v>45649</v>
      </c>
      <c r="B1392" s="43">
        <v>2024003492</v>
      </c>
      <c r="C1392" s="4" t="s">
        <v>923</v>
      </c>
      <c r="D1392" s="5">
        <v>3000000</v>
      </c>
      <c r="E1392" s="4">
        <v>1085310350</v>
      </c>
      <c r="F1392" s="4" t="s">
        <v>924</v>
      </c>
      <c r="G1392" t="s">
        <v>565</v>
      </c>
      <c r="H1392" t="e">
        <f>VLOOKUP(C1392,'[1]873'!$C$2:$C$711,1,0)</f>
        <v>#N/A</v>
      </c>
    </row>
    <row r="1393" spans="1:8" ht="15" customHeight="1" x14ac:dyDescent="0.25">
      <c r="A1393" s="3">
        <v>45649</v>
      </c>
      <c r="B1393" s="43">
        <v>2024003494</v>
      </c>
      <c r="C1393" s="4" t="s">
        <v>960</v>
      </c>
      <c r="D1393" s="5">
        <v>4750000</v>
      </c>
      <c r="E1393" s="4">
        <v>1233188873</v>
      </c>
      <c r="F1393" s="4" t="s">
        <v>961</v>
      </c>
      <c r="G1393" t="s">
        <v>565</v>
      </c>
      <c r="H1393" t="e">
        <f>VLOOKUP(C1393,'[1]873'!$C$2:$C$711,1,0)</f>
        <v>#N/A</v>
      </c>
    </row>
    <row r="1394" spans="1:8" ht="15" customHeight="1" x14ac:dyDescent="0.25">
      <c r="A1394" s="3">
        <v>45649</v>
      </c>
      <c r="B1394" s="43">
        <v>2024003495</v>
      </c>
      <c r="C1394" s="4" t="s">
        <v>688</v>
      </c>
      <c r="D1394" s="5">
        <v>3000000</v>
      </c>
      <c r="E1394" s="4">
        <v>1010082397</v>
      </c>
      <c r="F1394" s="4" t="s">
        <v>209</v>
      </c>
      <c r="G1394" t="s">
        <v>565</v>
      </c>
      <c r="H1394" t="e">
        <f>VLOOKUP(C1394,'[1]873'!$C$2:$C$711,1,0)</f>
        <v>#N/A</v>
      </c>
    </row>
    <row r="1395" spans="1:8" ht="15" customHeight="1" x14ac:dyDescent="0.25">
      <c r="A1395" s="3">
        <v>45649</v>
      </c>
      <c r="B1395" s="43">
        <v>2024003497</v>
      </c>
      <c r="C1395" s="4" t="s">
        <v>600</v>
      </c>
      <c r="D1395" s="5">
        <v>6000000</v>
      </c>
      <c r="E1395" s="4">
        <v>59820414</v>
      </c>
      <c r="F1395" s="4" t="s">
        <v>261</v>
      </c>
      <c r="G1395" t="s">
        <v>565</v>
      </c>
      <c r="H1395" t="e">
        <f>VLOOKUP(C1395,'[1]873'!$C$2:$C$711,1,0)</f>
        <v>#N/A</v>
      </c>
    </row>
    <row r="1396" spans="1:8" ht="15" customHeight="1" x14ac:dyDescent="0.25">
      <c r="A1396" s="3">
        <v>45649</v>
      </c>
      <c r="B1396" s="43">
        <v>2024003498</v>
      </c>
      <c r="C1396" s="4" t="s">
        <v>1033</v>
      </c>
      <c r="D1396" s="5">
        <v>2500000</v>
      </c>
      <c r="E1396" s="4">
        <v>1088729401</v>
      </c>
      <c r="F1396" s="4" t="s">
        <v>543</v>
      </c>
      <c r="G1396" t="s">
        <v>565</v>
      </c>
      <c r="H1396" t="e">
        <f>VLOOKUP(C1396,'[1]873'!$C$2:$C$711,1,0)</f>
        <v>#N/A</v>
      </c>
    </row>
    <row r="1397" spans="1:8" ht="15" customHeight="1" x14ac:dyDescent="0.25">
      <c r="A1397" s="3">
        <v>45649</v>
      </c>
      <c r="B1397" s="43">
        <v>2024003500</v>
      </c>
      <c r="C1397" s="4" t="s">
        <v>764</v>
      </c>
      <c r="D1397" s="5">
        <v>3000000</v>
      </c>
      <c r="E1397" s="4">
        <v>36757213</v>
      </c>
      <c r="F1397" s="4" t="s">
        <v>411</v>
      </c>
      <c r="G1397" t="s">
        <v>565</v>
      </c>
      <c r="H1397" t="e">
        <f>VLOOKUP(C1397,'[1]873'!$C$2:$C$711,1,0)</f>
        <v>#N/A</v>
      </c>
    </row>
    <row r="1398" spans="1:8" ht="15" customHeight="1" x14ac:dyDescent="0.25">
      <c r="A1398" s="3">
        <v>45649</v>
      </c>
      <c r="B1398" s="43">
        <v>2024003501</v>
      </c>
      <c r="C1398" s="4" t="s">
        <v>675</v>
      </c>
      <c r="D1398" s="5">
        <v>3000000</v>
      </c>
      <c r="E1398" s="4">
        <v>59830040</v>
      </c>
      <c r="F1398" s="4" t="s">
        <v>297</v>
      </c>
      <c r="G1398" t="s">
        <v>565</v>
      </c>
      <c r="H1398" t="e">
        <f>VLOOKUP(C1398,'[1]873'!$C$2:$C$711,1,0)</f>
        <v>#N/A</v>
      </c>
    </row>
    <row r="1399" spans="1:8" ht="15" customHeight="1" x14ac:dyDescent="0.25">
      <c r="A1399" s="3">
        <v>45649</v>
      </c>
      <c r="B1399" s="43">
        <v>2024003502</v>
      </c>
      <c r="C1399" s="4" t="s">
        <v>674</v>
      </c>
      <c r="D1399" s="5">
        <v>3000000</v>
      </c>
      <c r="E1399" s="4">
        <v>27285974</v>
      </c>
      <c r="F1399" s="4" t="s">
        <v>349</v>
      </c>
      <c r="G1399" t="s">
        <v>565</v>
      </c>
      <c r="H1399" t="e">
        <f>VLOOKUP(C1399,'[1]873'!$C$2:$C$711,1,0)</f>
        <v>#N/A</v>
      </c>
    </row>
    <row r="1400" spans="1:8" ht="15" customHeight="1" x14ac:dyDescent="0.25">
      <c r="A1400" s="3">
        <v>45649</v>
      </c>
      <c r="B1400" s="43">
        <v>2024003504</v>
      </c>
      <c r="C1400" s="4" t="s">
        <v>842</v>
      </c>
      <c r="D1400" s="5">
        <v>3000000</v>
      </c>
      <c r="E1400" s="4">
        <v>1010085543</v>
      </c>
      <c r="F1400" s="4" t="s">
        <v>265</v>
      </c>
      <c r="G1400" t="s">
        <v>565</v>
      </c>
      <c r="H1400" t="e">
        <f>VLOOKUP(C1400,'[1]873'!$C$2:$C$711,1,0)</f>
        <v>#N/A</v>
      </c>
    </row>
    <row r="1401" spans="1:8" ht="15" customHeight="1" x14ac:dyDescent="0.25">
      <c r="A1401" s="3">
        <v>45649</v>
      </c>
      <c r="B1401" s="43">
        <v>2024003505</v>
      </c>
      <c r="C1401" s="4" t="s">
        <v>686</v>
      </c>
      <c r="D1401" s="5">
        <v>3000000</v>
      </c>
      <c r="E1401" s="4">
        <v>1085288636</v>
      </c>
      <c r="F1401" s="4" t="s">
        <v>405</v>
      </c>
      <c r="G1401" t="s">
        <v>565</v>
      </c>
      <c r="H1401" t="e">
        <f>VLOOKUP(C1401,'[1]873'!$C$2:$C$711,1,0)</f>
        <v>#N/A</v>
      </c>
    </row>
    <row r="1402" spans="1:8" ht="15" customHeight="1" x14ac:dyDescent="0.25">
      <c r="A1402" s="3">
        <v>45649</v>
      </c>
      <c r="B1402" s="43">
        <v>2024003506</v>
      </c>
      <c r="C1402" s="4" t="s">
        <v>777</v>
      </c>
      <c r="D1402" s="5">
        <v>3000000</v>
      </c>
      <c r="E1402" s="4">
        <v>1144206777</v>
      </c>
      <c r="F1402" s="4" t="s">
        <v>153</v>
      </c>
      <c r="G1402" t="s">
        <v>565</v>
      </c>
      <c r="H1402" t="e">
        <f>VLOOKUP(C1402,'[1]873'!$C$2:$C$711,1,0)</f>
        <v>#N/A</v>
      </c>
    </row>
    <row r="1403" spans="1:8" ht="15" customHeight="1" x14ac:dyDescent="0.25">
      <c r="A1403" s="3">
        <v>45649</v>
      </c>
      <c r="B1403" s="43">
        <v>2024003507</v>
      </c>
      <c r="C1403" s="4" t="s">
        <v>972</v>
      </c>
      <c r="D1403" s="5">
        <v>4750000</v>
      </c>
      <c r="E1403" s="4">
        <v>59824800</v>
      </c>
      <c r="F1403" s="4" t="s">
        <v>973</v>
      </c>
      <c r="G1403" t="s">
        <v>565</v>
      </c>
      <c r="H1403" t="e">
        <f>VLOOKUP(C1403,'[1]873'!$C$2:$C$711,1,0)</f>
        <v>#N/A</v>
      </c>
    </row>
    <row r="1404" spans="1:8" ht="15" customHeight="1" x14ac:dyDescent="0.25">
      <c r="A1404" s="3">
        <v>45649</v>
      </c>
      <c r="B1404" s="43">
        <v>2024003509</v>
      </c>
      <c r="C1404" s="4" t="s">
        <v>769</v>
      </c>
      <c r="D1404" s="5">
        <v>3000000</v>
      </c>
      <c r="E1404" s="4">
        <v>1089846829</v>
      </c>
      <c r="F1404" s="4" t="s">
        <v>770</v>
      </c>
      <c r="G1404" t="s">
        <v>565</v>
      </c>
      <c r="H1404" t="e">
        <f>VLOOKUP(C1404,'[1]873'!$C$2:$C$711,1,0)</f>
        <v>#N/A</v>
      </c>
    </row>
    <row r="1405" spans="1:8" ht="15" customHeight="1" x14ac:dyDescent="0.25">
      <c r="A1405" s="3">
        <v>45649</v>
      </c>
      <c r="B1405" s="43">
        <v>2024003510</v>
      </c>
      <c r="C1405" s="4" t="s">
        <v>818</v>
      </c>
      <c r="D1405" s="5">
        <v>3000000</v>
      </c>
      <c r="E1405" s="4">
        <v>27082649</v>
      </c>
      <c r="F1405" s="4" t="s">
        <v>595</v>
      </c>
      <c r="G1405" t="s">
        <v>565</v>
      </c>
      <c r="H1405" t="e">
        <f>VLOOKUP(C1405,'[1]873'!$C$2:$C$711,1,0)</f>
        <v>#N/A</v>
      </c>
    </row>
    <row r="1406" spans="1:8" ht="15" customHeight="1" x14ac:dyDescent="0.25">
      <c r="A1406" s="3">
        <v>45649</v>
      </c>
      <c r="B1406" s="43">
        <v>2024003512</v>
      </c>
      <c r="C1406" s="4" t="s">
        <v>711</v>
      </c>
      <c r="D1406" s="5">
        <v>3000000</v>
      </c>
      <c r="E1406" s="4">
        <v>36758143</v>
      </c>
      <c r="F1406" s="4" t="s">
        <v>107</v>
      </c>
      <c r="G1406" t="s">
        <v>565</v>
      </c>
      <c r="H1406" t="e">
        <f>VLOOKUP(C1406,'[1]873'!$C$2:$C$711,1,0)</f>
        <v>#N/A</v>
      </c>
    </row>
    <row r="1407" spans="1:8" ht="15" customHeight="1" x14ac:dyDescent="0.25">
      <c r="A1407" s="3">
        <v>45649</v>
      </c>
      <c r="B1407" s="43">
        <v>2024003514</v>
      </c>
      <c r="C1407" s="4" t="s">
        <v>867</v>
      </c>
      <c r="D1407" s="5">
        <v>4825000</v>
      </c>
      <c r="E1407" s="4">
        <v>1085291221</v>
      </c>
      <c r="F1407" s="4" t="s">
        <v>93</v>
      </c>
      <c r="G1407" t="s">
        <v>565</v>
      </c>
      <c r="H1407" t="e">
        <f>VLOOKUP(C1407,'[1]873'!$C$2:$C$711,1,0)</f>
        <v>#N/A</v>
      </c>
    </row>
    <row r="1408" spans="1:8" ht="15" customHeight="1" x14ac:dyDescent="0.25">
      <c r="A1408" s="3">
        <v>45649</v>
      </c>
      <c r="B1408" s="43">
        <v>2024003516</v>
      </c>
      <c r="C1408" s="4" t="s">
        <v>638</v>
      </c>
      <c r="D1408" s="5">
        <v>6000000</v>
      </c>
      <c r="E1408" s="4">
        <v>1010010954</v>
      </c>
      <c r="F1408" s="4" t="s">
        <v>337</v>
      </c>
      <c r="G1408" t="s">
        <v>565</v>
      </c>
      <c r="H1408" t="e">
        <f>VLOOKUP(C1408,'[1]873'!$C$2:$C$711,1,0)</f>
        <v>#N/A</v>
      </c>
    </row>
    <row r="1409" spans="1:8" ht="15" customHeight="1" x14ac:dyDescent="0.25">
      <c r="A1409" s="3">
        <v>45649</v>
      </c>
      <c r="B1409" s="43">
        <v>2024003518</v>
      </c>
      <c r="C1409" s="4" t="s">
        <v>804</v>
      </c>
      <c r="D1409" s="5">
        <v>3000000</v>
      </c>
      <c r="E1409" s="4">
        <v>1089243630</v>
      </c>
      <c r="F1409" s="4" t="s">
        <v>197</v>
      </c>
      <c r="G1409" t="s">
        <v>565</v>
      </c>
      <c r="H1409" t="e">
        <f>VLOOKUP(C1409,'[1]873'!$C$2:$C$711,1,0)</f>
        <v>#N/A</v>
      </c>
    </row>
    <row r="1410" spans="1:8" ht="15" customHeight="1" x14ac:dyDescent="0.25">
      <c r="A1410" s="3">
        <v>45649</v>
      </c>
      <c r="B1410" s="43">
        <v>2024003520</v>
      </c>
      <c r="C1410" s="4" t="s">
        <v>673</v>
      </c>
      <c r="D1410" s="5">
        <v>2500000</v>
      </c>
      <c r="E1410" s="4">
        <v>12750863</v>
      </c>
      <c r="F1410" s="4" t="s">
        <v>225</v>
      </c>
      <c r="G1410" t="s">
        <v>565</v>
      </c>
      <c r="H1410" t="e">
        <f>VLOOKUP(C1410,'[1]873'!$C$2:$C$711,1,0)</f>
        <v>#N/A</v>
      </c>
    </row>
    <row r="1411" spans="1:8" ht="15" customHeight="1" x14ac:dyDescent="0.25">
      <c r="A1411" s="3">
        <v>45649</v>
      </c>
      <c r="B1411" s="43">
        <v>2024003521</v>
      </c>
      <c r="C1411" s="4" t="s">
        <v>687</v>
      </c>
      <c r="D1411" s="5">
        <v>3000000</v>
      </c>
      <c r="E1411" s="4">
        <v>1080040858</v>
      </c>
      <c r="F1411" s="4" t="s">
        <v>211</v>
      </c>
      <c r="G1411" t="s">
        <v>565</v>
      </c>
      <c r="H1411" t="e">
        <f>VLOOKUP(C1411,'[1]873'!$C$2:$C$711,1,0)</f>
        <v>#N/A</v>
      </c>
    </row>
    <row r="1412" spans="1:8" ht="15" customHeight="1" x14ac:dyDescent="0.25">
      <c r="A1412" s="3">
        <v>45649</v>
      </c>
      <c r="B1412" s="43">
        <v>2024003522</v>
      </c>
      <c r="C1412" s="4" t="s">
        <v>893</v>
      </c>
      <c r="D1412" s="5">
        <v>6000000</v>
      </c>
      <c r="E1412" s="4">
        <v>97470681</v>
      </c>
      <c r="F1412" s="4" t="s">
        <v>329</v>
      </c>
      <c r="G1412" t="s">
        <v>565</v>
      </c>
      <c r="H1412" t="e">
        <f>VLOOKUP(C1412,'[1]873'!$C$2:$C$711,1,0)</f>
        <v>#N/A</v>
      </c>
    </row>
    <row r="1413" spans="1:8" ht="15" customHeight="1" x14ac:dyDescent="0.25">
      <c r="A1413" s="3">
        <v>45649</v>
      </c>
      <c r="B1413" s="43">
        <v>2024003523</v>
      </c>
      <c r="C1413" s="4" t="s">
        <v>855</v>
      </c>
      <c r="D1413" s="5">
        <v>4750000</v>
      </c>
      <c r="E1413" s="4">
        <v>1193383306</v>
      </c>
      <c r="F1413" s="4" t="s">
        <v>267</v>
      </c>
      <c r="G1413" t="s">
        <v>565</v>
      </c>
      <c r="H1413" t="e">
        <f>VLOOKUP(C1413,'[1]873'!$C$2:$C$711,1,0)</f>
        <v>#N/A</v>
      </c>
    </row>
    <row r="1414" spans="1:8" ht="15" customHeight="1" x14ac:dyDescent="0.25">
      <c r="A1414" s="3">
        <v>45649</v>
      </c>
      <c r="B1414" s="43">
        <v>2024003524</v>
      </c>
      <c r="C1414" s="4" t="s">
        <v>767</v>
      </c>
      <c r="D1414" s="5">
        <v>4750000</v>
      </c>
      <c r="E1414" s="4">
        <v>59651018</v>
      </c>
      <c r="F1414" s="4" t="s">
        <v>493</v>
      </c>
      <c r="G1414" t="s">
        <v>565</v>
      </c>
      <c r="H1414" t="e">
        <f>VLOOKUP(C1414,'[1]873'!$C$2:$C$711,1,0)</f>
        <v>#N/A</v>
      </c>
    </row>
    <row r="1415" spans="1:8" ht="15" customHeight="1" x14ac:dyDescent="0.25">
      <c r="A1415" s="3">
        <v>45649</v>
      </c>
      <c r="B1415" s="43">
        <v>2024003528</v>
      </c>
      <c r="C1415" s="4" t="s">
        <v>913</v>
      </c>
      <c r="D1415" s="5">
        <v>4750000</v>
      </c>
      <c r="E1415" s="4">
        <v>36953206</v>
      </c>
      <c r="F1415" s="4" t="s">
        <v>391</v>
      </c>
      <c r="G1415" t="s">
        <v>565</v>
      </c>
      <c r="H1415" t="e">
        <f>VLOOKUP(C1415,'[1]873'!$C$2:$C$711,1,0)</f>
        <v>#N/A</v>
      </c>
    </row>
    <row r="1416" spans="1:8" ht="15" customHeight="1" x14ac:dyDescent="0.25">
      <c r="A1416" s="3">
        <v>45649</v>
      </c>
      <c r="B1416" s="43">
        <v>2024003531</v>
      </c>
      <c r="C1416" s="4" t="s">
        <v>620</v>
      </c>
      <c r="D1416" s="5">
        <v>4825000</v>
      </c>
      <c r="E1416" s="4">
        <v>1085273986</v>
      </c>
      <c r="F1416" s="4" t="s">
        <v>621</v>
      </c>
      <c r="G1416" t="s">
        <v>565</v>
      </c>
      <c r="H1416" t="e">
        <f>VLOOKUP(C1416,'[1]873'!$C$2:$C$711,1,0)</f>
        <v>#N/A</v>
      </c>
    </row>
    <row r="1417" spans="1:8" ht="15" customHeight="1" x14ac:dyDescent="0.25">
      <c r="A1417" s="3">
        <v>45649</v>
      </c>
      <c r="B1417" s="43">
        <v>2024003533</v>
      </c>
      <c r="C1417" s="4" t="s">
        <v>631</v>
      </c>
      <c r="D1417" s="5">
        <v>6000000</v>
      </c>
      <c r="E1417" s="4">
        <v>1085246134</v>
      </c>
      <c r="F1417" s="4" t="s">
        <v>55</v>
      </c>
      <c r="G1417" t="s">
        <v>565</v>
      </c>
      <c r="H1417" t="e">
        <f>VLOOKUP(C1417,'[1]873'!$C$2:$C$711,1,0)</f>
        <v>#N/A</v>
      </c>
    </row>
    <row r="1418" spans="1:8" ht="15" customHeight="1" x14ac:dyDescent="0.25">
      <c r="A1418" s="3">
        <v>45649</v>
      </c>
      <c r="B1418" s="43">
        <v>2024003534</v>
      </c>
      <c r="C1418" s="4" t="s">
        <v>665</v>
      </c>
      <c r="D1418" s="5">
        <v>3000000</v>
      </c>
      <c r="E1418" s="4">
        <v>1085327701</v>
      </c>
      <c r="F1418" s="4" t="s">
        <v>85</v>
      </c>
      <c r="G1418" t="s">
        <v>565</v>
      </c>
      <c r="H1418" t="e">
        <f>VLOOKUP(C1418,'[1]873'!$C$2:$C$711,1,0)</f>
        <v>#N/A</v>
      </c>
    </row>
    <row r="1419" spans="1:8" ht="15" customHeight="1" x14ac:dyDescent="0.25">
      <c r="A1419" s="3">
        <v>45649</v>
      </c>
      <c r="B1419" s="43">
        <v>2024003535</v>
      </c>
      <c r="C1419" s="4" t="s">
        <v>622</v>
      </c>
      <c r="D1419" s="5">
        <v>4825000</v>
      </c>
      <c r="E1419" s="4">
        <v>1085283723</v>
      </c>
      <c r="F1419" s="4" t="s">
        <v>175</v>
      </c>
      <c r="G1419" t="s">
        <v>565</v>
      </c>
      <c r="H1419" t="e">
        <f>VLOOKUP(C1419,'[1]873'!$C$2:$C$711,1,0)</f>
        <v>#N/A</v>
      </c>
    </row>
    <row r="1420" spans="1:8" ht="15" customHeight="1" x14ac:dyDescent="0.25">
      <c r="A1420" s="3">
        <v>45649</v>
      </c>
      <c r="B1420" s="43">
        <v>2024003536</v>
      </c>
      <c r="C1420" s="4" t="s">
        <v>789</v>
      </c>
      <c r="D1420" s="5">
        <v>3000000</v>
      </c>
      <c r="E1420" s="4">
        <v>1086362994</v>
      </c>
      <c r="F1420" s="4" t="s">
        <v>77</v>
      </c>
      <c r="G1420" t="s">
        <v>565</v>
      </c>
      <c r="H1420" t="e">
        <f>VLOOKUP(C1420,'[1]873'!$C$2:$C$711,1,0)</f>
        <v>#N/A</v>
      </c>
    </row>
    <row r="1421" spans="1:8" ht="15" customHeight="1" x14ac:dyDescent="0.25">
      <c r="A1421" s="3">
        <v>45649</v>
      </c>
      <c r="B1421" s="43">
        <v>2024003537</v>
      </c>
      <c r="C1421" s="4" t="s">
        <v>805</v>
      </c>
      <c r="D1421" s="5">
        <v>3000000</v>
      </c>
      <c r="E1421" s="4">
        <v>59834953</v>
      </c>
      <c r="F1421" s="4" t="s">
        <v>121</v>
      </c>
      <c r="G1421" t="s">
        <v>565</v>
      </c>
      <c r="H1421" t="e">
        <f>VLOOKUP(C1421,'[1]873'!$C$2:$C$711,1,0)</f>
        <v>#N/A</v>
      </c>
    </row>
    <row r="1422" spans="1:8" ht="15" customHeight="1" x14ac:dyDescent="0.25">
      <c r="A1422" s="3">
        <v>45649</v>
      </c>
      <c r="B1422" s="43">
        <v>2024003538</v>
      </c>
      <c r="C1422" s="4" t="s">
        <v>868</v>
      </c>
      <c r="D1422" s="5">
        <v>4825000</v>
      </c>
      <c r="E1422" s="4">
        <v>30733517</v>
      </c>
      <c r="F1422" s="4" t="s">
        <v>53</v>
      </c>
      <c r="G1422" t="s">
        <v>565</v>
      </c>
      <c r="H1422" t="e">
        <f>VLOOKUP(C1422,'[1]873'!$C$2:$C$711,1,0)</f>
        <v>#N/A</v>
      </c>
    </row>
    <row r="1423" spans="1:8" ht="15" customHeight="1" x14ac:dyDescent="0.25">
      <c r="A1423" s="3">
        <v>45649</v>
      </c>
      <c r="B1423" s="43">
        <v>2024003539</v>
      </c>
      <c r="C1423" s="4" t="s">
        <v>776</v>
      </c>
      <c r="D1423" s="5">
        <v>3000000</v>
      </c>
      <c r="E1423" s="4">
        <v>1233189234</v>
      </c>
      <c r="F1423" s="4" t="s">
        <v>87</v>
      </c>
      <c r="G1423" t="s">
        <v>565</v>
      </c>
      <c r="H1423" t="e">
        <f>VLOOKUP(C1423,'[1]873'!$C$2:$C$711,1,0)</f>
        <v>#N/A</v>
      </c>
    </row>
    <row r="1424" spans="1:8" ht="15" customHeight="1" x14ac:dyDescent="0.25">
      <c r="A1424" s="3">
        <v>45649</v>
      </c>
      <c r="B1424" s="43">
        <v>2024003540</v>
      </c>
      <c r="C1424" s="4" t="s">
        <v>970</v>
      </c>
      <c r="D1424" s="5">
        <v>7540000</v>
      </c>
      <c r="E1424" s="4">
        <v>1085317791</v>
      </c>
      <c r="F1424" s="4" t="s">
        <v>971</v>
      </c>
      <c r="G1424" t="s">
        <v>565</v>
      </c>
      <c r="H1424" t="e">
        <f>VLOOKUP(C1424,'[1]873'!$C$2:$C$711,1,0)</f>
        <v>#N/A</v>
      </c>
    </row>
    <row r="1425" spans="1:8" ht="15" customHeight="1" x14ac:dyDescent="0.25">
      <c r="A1425" s="3">
        <v>45649</v>
      </c>
      <c r="B1425" s="43">
        <v>2024003541</v>
      </c>
      <c r="C1425" s="4" t="s">
        <v>775</v>
      </c>
      <c r="D1425" s="5">
        <v>3000000</v>
      </c>
      <c r="E1425" s="4">
        <v>1193385397</v>
      </c>
      <c r="F1425" s="4" t="s">
        <v>39</v>
      </c>
      <c r="G1425" t="s">
        <v>565</v>
      </c>
      <c r="H1425" t="e">
        <f>VLOOKUP(C1425,'[1]873'!$C$2:$C$711,1,0)</f>
        <v>#N/A</v>
      </c>
    </row>
    <row r="1426" spans="1:8" ht="15" customHeight="1" x14ac:dyDescent="0.25">
      <c r="A1426" s="3">
        <v>45649</v>
      </c>
      <c r="B1426" s="43">
        <v>2024003542</v>
      </c>
      <c r="C1426" s="4" t="s">
        <v>710</v>
      </c>
      <c r="D1426" s="5">
        <v>3000000</v>
      </c>
      <c r="E1426" s="4">
        <v>37084285</v>
      </c>
      <c r="F1426" s="4" t="s">
        <v>119</v>
      </c>
      <c r="G1426" t="s">
        <v>565</v>
      </c>
      <c r="H1426" t="e">
        <f>VLOOKUP(C1426,'[1]873'!$C$2:$C$711,1,0)</f>
        <v>#N/A</v>
      </c>
    </row>
    <row r="1427" spans="1:8" ht="15" customHeight="1" x14ac:dyDescent="0.25">
      <c r="A1427" s="3">
        <v>45649</v>
      </c>
      <c r="B1427" s="43">
        <v>2024003543</v>
      </c>
      <c r="C1427" s="4" t="s">
        <v>955</v>
      </c>
      <c r="D1427" s="5">
        <v>2500000</v>
      </c>
      <c r="E1427" s="4">
        <v>36950441</v>
      </c>
      <c r="F1427" s="4" t="s">
        <v>956</v>
      </c>
      <c r="G1427" t="s">
        <v>565</v>
      </c>
      <c r="H1427" t="e">
        <f>VLOOKUP(C1427,'[1]873'!$C$2:$C$711,1,0)</f>
        <v>#N/A</v>
      </c>
    </row>
    <row r="1428" spans="1:8" ht="15" customHeight="1" x14ac:dyDescent="0.25">
      <c r="A1428" s="3">
        <v>45649</v>
      </c>
      <c r="B1428" s="43">
        <v>2024003544</v>
      </c>
      <c r="C1428" s="4" t="s">
        <v>1063</v>
      </c>
      <c r="D1428" s="5">
        <v>6000000</v>
      </c>
      <c r="E1428" s="4">
        <v>27321605</v>
      </c>
      <c r="F1428" s="4" t="s">
        <v>1064</v>
      </c>
      <c r="G1428" t="s">
        <v>565</v>
      </c>
      <c r="H1428" t="e">
        <f>VLOOKUP(C1428,'[1]873'!$C$2:$C$711,1,0)</f>
        <v>#N/A</v>
      </c>
    </row>
    <row r="1429" spans="1:8" ht="15" customHeight="1" x14ac:dyDescent="0.25">
      <c r="A1429" s="3">
        <v>45649</v>
      </c>
      <c r="B1429" s="43">
        <v>2024003545</v>
      </c>
      <c r="C1429" s="4" t="s">
        <v>750</v>
      </c>
      <c r="D1429" s="5">
        <v>7540000</v>
      </c>
      <c r="E1429" s="4">
        <v>7603662</v>
      </c>
      <c r="F1429" s="4" t="s">
        <v>361</v>
      </c>
      <c r="G1429" t="s">
        <v>565</v>
      </c>
      <c r="H1429" t="e">
        <f>VLOOKUP(C1429,'[1]873'!$C$2:$C$711,1,0)</f>
        <v>#N/A</v>
      </c>
    </row>
    <row r="1430" spans="1:8" ht="15" customHeight="1" x14ac:dyDescent="0.25">
      <c r="A1430" s="3">
        <v>45649</v>
      </c>
      <c r="B1430" s="43">
        <v>2024003546</v>
      </c>
      <c r="C1430" s="4" t="s">
        <v>1065</v>
      </c>
      <c r="D1430" s="5">
        <v>499800</v>
      </c>
      <c r="E1430" s="4">
        <v>1085321176</v>
      </c>
      <c r="F1430" s="4" t="s">
        <v>1066</v>
      </c>
      <c r="G1430" t="s">
        <v>565</v>
      </c>
      <c r="H1430" t="e">
        <f>VLOOKUP(C1430,'[1]873'!$C$2:$C$711,1,0)</f>
        <v>#N/A</v>
      </c>
    </row>
    <row r="1431" spans="1:8" ht="15" customHeight="1" x14ac:dyDescent="0.25">
      <c r="A1431" s="3">
        <v>45649</v>
      </c>
      <c r="B1431" s="43">
        <v>2024003547</v>
      </c>
      <c r="C1431" s="4" t="s">
        <v>1065</v>
      </c>
      <c r="D1431" s="5">
        <v>2500000</v>
      </c>
      <c r="E1431" s="4">
        <v>1085321176</v>
      </c>
      <c r="F1431" s="4" t="s">
        <v>1066</v>
      </c>
      <c r="G1431" t="s">
        <v>565</v>
      </c>
      <c r="H1431" t="e">
        <f>VLOOKUP(C1431,'[1]873'!$C$2:$C$711,1,0)</f>
        <v>#N/A</v>
      </c>
    </row>
    <row r="1432" spans="1:8" ht="15" customHeight="1" x14ac:dyDescent="0.25">
      <c r="A1432" s="3">
        <v>45649</v>
      </c>
      <c r="B1432" s="43">
        <v>2024003548</v>
      </c>
      <c r="C1432" s="4" t="s">
        <v>1067</v>
      </c>
      <c r="D1432" s="5">
        <v>3000000</v>
      </c>
      <c r="E1432" s="4">
        <v>1004232315</v>
      </c>
      <c r="F1432" s="4" t="s">
        <v>1068</v>
      </c>
      <c r="G1432" t="s">
        <v>565</v>
      </c>
      <c r="H1432" t="e">
        <f>VLOOKUP(C1432,'[1]873'!$C$2:$C$711,1,0)</f>
        <v>#N/A</v>
      </c>
    </row>
    <row r="1433" spans="1:8" ht="15" customHeight="1" x14ac:dyDescent="0.25">
      <c r="A1433" s="3">
        <v>45649</v>
      </c>
      <c r="B1433" s="43">
        <v>2024003549</v>
      </c>
      <c r="C1433" s="4" t="s">
        <v>671</v>
      </c>
      <c r="D1433" s="5">
        <v>6000000</v>
      </c>
      <c r="E1433" s="4">
        <v>1004213964</v>
      </c>
      <c r="F1433" s="4" t="s">
        <v>113</v>
      </c>
      <c r="G1433" t="s">
        <v>565</v>
      </c>
      <c r="H1433" t="e">
        <f>VLOOKUP(C1433,'[1]873'!$C$2:$C$711,1,0)</f>
        <v>#N/A</v>
      </c>
    </row>
    <row r="1434" spans="1:8" ht="15" customHeight="1" x14ac:dyDescent="0.25">
      <c r="A1434" s="3">
        <v>45649</v>
      </c>
      <c r="B1434" s="43">
        <v>2024003550</v>
      </c>
      <c r="C1434" s="4" t="s">
        <v>677</v>
      </c>
      <c r="D1434" s="5">
        <v>3000000</v>
      </c>
      <c r="E1434" s="4">
        <v>1137624011</v>
      </c>
      <c r="F1434" s="4" t="s">
        <v>243</v>
      </c>
      <c r="G1434" t="s">
        <v>565</v>
      </c>
      <c r="H1434" t="e">
        <f>VLOOKUP(C1434,'[1]873'!$C$2:$C$711,1,0)</f>
        <v>#N/A</v>
      </c>
    </row>
    <row r="1435" spans="1:8" ht="15" customHeight="1" x14ac:dyDescent="0.25">
      <c r="A1435" s="3">
        <v>45649</v>
      </c>
      <c r="B1435" s="43">
        <v>2024003551</v>
      </c>
      <c r="C1435" s="4" t="s">
        <v>810</v>
      </c>
      <c r="D1435" s="5">
        <v>4825000</v>
      </c>
      <c r="E1435" s="4">
        <v>1085337969</v>
      </c>
      <c r="F1435" s="4" t="s">
        <v>99</v>
      </c>
      <c r="G1435" t="s">
        <v>565</v>
      </c>
      <c r="H1435" t="e">
        <f>VLOOKUP(C1435,'[1]873'!$C$2:$C$711,1,0)</f>
        <v>#N/A</v>
      </c>
    </row>
    <row r="1436" spans="1:8" ht="15" customHeight="1" x14ac:dyDescent="0.25">
      <c r="A1436" s="3">
        <v>45649</v>
      </c>
      <c r="B1436" s="43">
        <v>2024003552</v>
      </c>
      <c r="C1436" s="4" t="s">
        <v>772</v>
      </c>
      <c r="D1436" s="5">
        <v>3000000</v>
      </c>
      <c r="E1436" s="4">
        <v>1081592303</v>
      </c>
      <c r="F1436" s="4" t="s">
        <v>353</v>
      </c>
      <c r="G1436" t="s">
        <v>565</v>
      </c>
      <c r="H1436" t="e">
        <f>VLOOKUP(C1436,'[1]873'!$C$2:$C$711,1,0)</f>
        <v>#N/A</v>
      </c>
    </row>
    <row r="1437" spans="1:8" ht="15" customHeight="1" x14ac:dyDescent="0.25">
      <c r="A1437" s="3">
        <v>45649</v>
      </c>
      <c r="B1437" s="43">
        <v>2024003553</v>
      </c>
      <c r="C1437" s="4" t="s">
        <v>982</v>
      </c>
      <c r="D1437" s="5">
        <v>7540000</v>
      </c>
      <c r="E1437" s="4">
        <v>1085262570</v>
      </c>
      <c r="F1437" s="4" t="s">
        <v>983</v>
      </c>
      <c r="G1437" t="s">
        <v>565</v>
      </c>
      <c r="H1437" t="e">
        <f>VLOOKUP(C1437,'[1]873'!$C$2:$C$711,1,0)</f>
        <v>#N/A</v>
      </c>
    </row>
    <row r="1438" spans="1:8" ht="15" customHeight="1" x14ac:dyDescent="0.25">
      <c r="A1438" s="3">
        <v>45649</v>
      </c>
      <c r="B1438" s="43">
        <v>2024003554</v>
      </c>
      <c r="C1438" s="4" t="s">
        <v>1030</v>
      </c>
      <c r="D1438" s="5">
        <v>4825000</v>
      </c>
      <c r="E1438" s="4">
        <v>1085322873</v>
      </c>
      <c r="F1438" s="4" t="s">
        <v>1031</v>
      </c>
      <c r="G1438" t="s">
        <v>565</v>
      </c>
      <c r="H1438" t="e">
        <f>VLOOKUP(C1438,'[1]873'!$C$2:$C$711,1,0)</f>
        <v>#N/A</v>
      </c>
    </row>
    <row r="1439" spans="1:8" ht="15" customHeight="1" x14ac:dyDescent="0.25">
      <c r="A1439" s="3">
        <v>45649</v>
      </c>
      <c r="B1439" s="43">
        <v>2024003555</v>
      </c>
      <c r="C1439" s="4" t="s">
        <v>1069</v>
      </c>
      <c r="D1439" s="5">
        <v>7540000</v>
      </c>
      <c r="E1439" s="4">
        <v>10859376713</v>
      </c>
      <c r="F1439" s="4" t="s">
        <v>1070</v>
      </c>
      <c r="G1439" t="s">
        <v>565</v>
      </c>
      <c r="H1439" t="e">
        <f>VLOOKUP(C1439,'[1]873'!$C$2:$C$711,1,0)</f>
        <v>#N/A</v>
      </c>
    </row>
    <row r="1440" spans="1:8" ht="15" customHeight="1" x14ac:dyDescent="0.25">
      <c r="A1440" s="3">
        <v>45649</v>
      </c>
      <c r="B1440" s="43">
        <v>2024003556</v>
      </c>
      <c r="C1440" s="4" t="s">
        <v>706</v>
      </c>
      <c r="D1440" s="5">
        <v>7500000</v>
      </c>
      <c r="E1440" s="4">
        <v>1088599676</v>
      </c>
      <c r="F1440" s="4" t="s">
        <v>421</v>
      </c>
      <c r="G1440" t="s">
        <v>565</v>
      </c>
      <c r="H1440" t="e">
        <f>VLOOKUP(C1440,'[1]873'!$C$2:$C$711,1,0)</f>
        <v>#N/A</v>
      </c>
    </row>
    <row r="1441" spans="1:8" ht="15" customHeight="1" x14ac:dyDescent="0.25">
      <c r="A1441" s="3">
        <v>45649</v>
      </c>
      <c r="B1441" s="43">
        <v>2024003557</v>
      </c>
      <c r="C1441" s="4" t="s">
        <v>803</v>
      </c>
      <c r="D1441" s="5">
        <v>7540000</v>
      </c>
      <c r="E1441" s="4">
        <v>80765093</v>
      </c>
      <c r="F1441" s="4" t="s">
        <v>69</v>
      </c>
      <c r="G1441" t="s">
        <v>565</v>
      </c>
      <c r="H1441" t="e">
        <f>VLOOKUP(C1441,'[1]873'!$C$2:$C$711,1,0)</f>
        <v>#N/A</v>
      </c>
    </row>
    <row r="1442" spans="1:8" ht="15" customHeight="1" x14ac:dyDescent="0.25">
      <c r="A1442" s="3">
        <v>45649</v>
      </c>
      <c r="B1442" s="43">
        <v>2024003558</v>
      </c>
      <c r="C1442" s="4" t="s">
        <v>1006</v>
      </c>
      <c r="D1442" s="5">
        <v>2500000</v>
      </c>
      <c r="E1442" s="4">
        <v>36754171</v>
      </c>
      <c r="F1442" s="4" t="s">
        <v>1007</v>
      </c>
      <c r="G1442" t="s">
        <v>565</v>
      </c>
      <c r="H1442" t="e">
        <f>VLOOKUP(C1442,'[1]873'!$C$2:$C$711,1,0)</f>
        <v>#N/A</v>
      </c>
    </row>
    <row r="1443" spans="1:8" ht="15" customHeight="1" x14ac:dyDescent="0.25">
      <c r="A1443" s="3">
        <v>45649</v>
      </c>
      <c r="B1443" s="43">
        <v>2024003559</v>
      </c>
      <c r="C1443" s="4" t="s">
        <v>657</v>
      </c>
      <c r="D1443" s="5">
        <v>3000000</v>
      </c>
      <c r="E1443" s="4">
        <v>1081052746</v>
      </c>
      <c r="F1443" s="4" t="s">
        <v>658</v>
      </c>
      <c r="G1443" t="s">
        <v>565</v>
      </c>
      <c r="H1443" t="e">
        <f>VLOOKUP(C1443,'[1]873'!$C$2:$C$711,1,0)</f>
        <v>#N/A</v>
      </c>
    </row>
    <row r="1444" spans="1:8" ht="15" customHeight="1" x14ac:dyDescent="0.25">
      <c r="A1444" s="3">
        <v>45649</v>
      </c>
      <c r="B1444" s="43">
        <v>2024003561</v>
      </c>
      <c r="C1444" s="4" t="s">
        <v>885</v>
      </c>
      <c r="D1444" s="5">
        <v>3000000</v>
      </c>
      <c r="E1444" s="4">
        <v>1084224968</v>
      </c>
      <c r="F1444" s="4" t="s">
        <v>886</v>
      </c>
      <c r="G1444" t="s">
        <v>565</v>
      </c>
      <c r="H1444" t="e">
        <f>VLOOKUP(C1444,'[1]873'!$C$2:$C$711,1,0)</f>
        <v>#N/A</v>
      </c>
    </row>
    <row r="1445" spans="1:8" ht="15" customHeight="1" x14ac:dyDescent="0.25">
      <c r="A1445" s="3">
        <v>45649</v>
      </c>
      <c r="B1445" s="43">
        <v>2024003562</v>
      </c>
      <c r="C1445" s="4" t="s">
        <v>953</v>
      </c>
      <c r="D1445" s="5">
        <v>6000000</v>
      </c>
      <c r="E1445" s="4">
        <v>1087420025</v>
      </c>
      <c r="F1445" s="4" t="s">
        <v>954</v>
      </c>
      <c r="G1445" t="s">
        <v>565</v>
      </c>
      <c r="H1445" t="e">
        <f>VLOOKUP(C1445,'[1]873'!$C$2:$C$711,1,0)</f>
        <v>#N/A</v>
      </c>
    </row>
    <row r="1446" spans="1:8" ht="15" customHeight="1" x14ac:dyDescent="0.25">
      <c r="A1446" s="3">
        <v>45649</v>
      </c>
      <c r="B1446" s="43">
        <v>2024003563</v>
      </c>
      <c r="C1446" s="4" t="s">
        <v>731</v>
      </c>
      <c r="D1446" s="5">
        <v>2500000</v>
      </c>
      <c r="E1446" s="4">
        <v>1131085946</v>
      </c>
      <c r="F1446" s="4" t="s">
        <v>732</v>
      </c>
      <c r="G1446" t="s">
        <v>565</v>
      </c>
      <c r="H1446" t="e">
        <f>VLOOKUP(C1446,'[1]873'!$C$2:$C$711,1,0)</f>
        <v>#N/A</v>
      </c>
    </row>
    <row r="1447" spans="1:8" ht="15" customHeight="1" x14ac:dyDescent="0.25">
      <c r="A1447" s="3">
        <v>45649</v>
      </c>
      <c r="B1447" s="43">
        <v>2024003564</v>
      </c>
      <c r="C1447" s="4" t="s">
        <v>806</v>
      </c>
      <c r="D1447" s="5">
        <v>4750000</v>
      </c>
      <c r="E1447" s="4">
        <v>1085345772</v>
      </c>
      <c r="F1447" s="4" t="s">
        <v>221</v>
      </c>
      <c r="G1447" t="s">
        <v>565</v>
      </c>
      <c r="H1447" t="e">
        <f>VLOOKUP(C1447,'[1]873'!$C$2:$C$711,1,0)</f>
        <v>#N/A</v>
      </c>
    </row>
    <row r="1448" spans="1:8" ht="15" customHeight="1" x14ac:dyDescent="0.25">
      <c r="A1448" s="3">
        <v>45649</v>
      </c>
      <c r="B1448" s="43">
        <v>2024003565</v>
      </c>
      <c r="C1448" s="4" t="s">
        <v>742</v>
      </c>
      <c r="D1448" s="5">
        <v>3000000</v>
      </c>
      <c r="E1448" s="4">
        <v>1004709928</v>
      </c>
      <c r="F1448" s="4" t="s">
        <v>289</v>
      </c>
      <c r="G1448" t="s">
        <v>565</v>
      </c>
      <c r="H1448" t="e">
        <f>VLOOKUP(C1448,'[1]873'!$C$2:$C$711,1,0)</f>
        <v>#N/A</v>
      </c>
    </row>
    <row r="1449" spans="1:8" ht="15" customHeight="1" x14ac:dyDescent="0.25">
      <c r="A1449" s="3">
        <v>45649</v>
      </c>
      <c r="B1449" s="43">
        <v>2024003566</v>
      </c>
      <c r="C1449" s="4" t="s">
        <v>1071</v>
      </c>
      <c r="D1449" s="5">
        <v>2500000</v>
      </c>
      <c r="E1449" s="4">
        <v>1085314334</v>
      </c>
      <c r="F1449" s="4" t="s">
        <v>585</v>
      </c>
      <c r="G1449" t="s">
        <v>565</v>
      </c>
      <c r="H1449" t="e">
        <f>VLOOKUP(C1449,'[1]873'!$C$2:$C$711,1,0)</f>
        <v>#N/A</v>
      </c>
    </row>
    <row r="1450" spans="1:8" ht="15" customHeight="1" x14ac:dyDescent="0.25">
      <c r="A1450" s="3">
        <v>45649</v>
      </c>
      <c r="B1450" s="43">
        <v>2024003567</v>
      </c>
      <c r="C1450" s="4" t="s">
        <v>729</v>
      </c>
      <c r="D1450" s="5">
        <v>2500000</v>
      </c>
      <c r="E1450" s="4">
        <v>1085335069</v>
      </c>
      <c r="F1450" s="4" t="s">
        <v>730</v>
      </c>
      <c r="G1450" t="s">
        <v>565</v>
      </c>
      <c r="H1450" t="e">
        <f>VLOOKUP(C1450,'[1]873'!$C$2:$C$711,1,0)</f>
        <v>#N/A</v>
      </c>
    </row>
    <row r="1451" spans="1:8" ht="15" customHeight="1" x14ac:dyDescent="0.25">
      <c r="A1451" s="3">
        <v>45649</v>
      </c>
      <c r="B1451" s="43">
        <v>2024003568</v>
      </c>
      <c r="C1451" s="4" t="s">
        <v>633</v>
      </c>
      <c r="D1451" s="5">
        <v>7540000</v>
      </c>
      <c r="E1451" s="4">
        <v>36950112</v>
      </c>
      <c r="F1451" s="4" t="s">
        <v>634</v>
      </c>
      <c r="G1451" t="s">
        <v>565</v>
      </c>
      <c r="H1451" t="e">
        <f>VLOOKUP(C1451,'[1]873'!$C$2:$C$711,1,0)</f>
        <v>#N/A</v>
      </c>
    </row>
    <row r="1452" spans="1:8" ht="15" customHeight="1" x14ac:dyDescent="0.25">
      <c r="A1452" s="3">
        <v>45649</v>
      </c>
      <c r="B1452" s="43">
        <v>2024003569</v>
      </c>
      <c r="C1452" s="4" t="s">
        <v>887</v>
      </c>
      <c r="D1452" s="5">
        <v>3000000</v>
      </c>
      <c r="E1452" s="4">
        <v>1004234290</v>
      </c>
      <c r="F1452" s="4" t="s">
        <v>237</v>
      </c>
      <c r="G1452" t="s">
        <v>565</v>
      </c>
      <c r="H1452" t="e">
        <f>VLOOKUP(C1452,'[1]873'!$C$2:$C$711,1,0)</f>
        <v>#N/A</v>
      </c>
    </row>
    <row r="1453" spans="1:8" ht="15" customHeight="1" x14ac:dyDescent="0.25">
      <c r="A1453" s="3">
        <v>45649</v>
      </c>
      <c r="B1453" s="43">
        <v>2024003570</v>
      </c>
      <c r="C1453" s="4" t="s">
        <v>1072</v>
      </c>
      <c r="D1453" s="5">
        <v>6000000</v>
      </c>
      <c r="E1453" s="4">
        <v>1007254154</v>
      </c>
      <c r="F1453" s="4" t="s">
        <v>1073</v>
      </c>
      <c r="G1453" t="s">
        <v>565</v>
      </c>
      <c r="H1453" t="e">
        <f>VLOOKUP(C1453,'[1]873'!$C$2:$C$711,1,0)</f>
        <v>#N/A</v>
      </c>
    </row>
    <row r="1454" spans="1:8" ht="15" customHeight="1" x14ac:dyDescent="0.25">
      <c r="A1454" s="3">
        <v>45649</v>
      </c>
      <c r="B1454" s="43">
        <v>2024003571</v>
      </c>
      <c r="C1454" s="4" t="s">
        <v>678</v>
      </c>
      <c r="D1454" s="5">
        <v>3000000</v>
      </c>
      <c r="E1454" s="4">
        <v>36954407</v>
      </c>
      <c r="F1454" s="4" t="s">
        <v>679</v>
      </c>
      <c r="G1454" t="s">
        <v>565</v>
      </c>
      <c r="H1454" t="e">
        <f>VLOOKUP(C1454,'[1]873'!$C$2:$C$711,1,0)</f>
        <v>#N/A</v>
      </c>
    </row>
    <row r="1455" spans="1:8" ht="15" customHeight="1" x14ac:dyDescent="0.25">
      <c r="A1455" s="3">
        <v>45649</v>
      </c>
      <c r="B1455" s="43">
        <v>2024003572</v>
      </c>
      <c r="C1455" s="4" t="s">
        <v>700</v>
      </c>
      <c r="D1455" s="5">
        <v>3000000</v>
      </c>
      <c r="E1455" s="4">
        <v>1085315209</v>
      </c>
      <c r="F1455" s="4" t="s">
        <v>701</v>
      </c>
      <c r="G1455" t="s">
        <v>565</v>
      </c>
      <c r="H1455" t="e">
        <f>VLOOKUP(C1455,'[1]873'!$C$2:$C$711,1,0)</f>
        <v>#N/A</v>
      </c>
    </row>
    <row r="1456" spans="1:8" ht="15" customHeight="1" x14ac:dyDescent="0.25">
      <c r="A1456" s="3">
        <v>45649</v>
      </c>
      <c r="B1456" s="43">
        <v>2024003573</v>
      </c>
      <c r="C1456" s="4" t="s">
        <v>859</v>
      </c>
      <c r="D1456" s="5">
        <v>3000000</v>
      </c>
      <c r="E1456" s="4">
        <v>1014857280</v>
      </c>
      <c r="F1456" s="4" t="s">
        <v>233</v>
      </c>
      <c r="G1456" t="s">
        <v>565</v>
      </c>
      <c r="H1456" t="e">
        <f>VLOOKUP(C1456,'[1]873'!$C$2:$C$711,1,0)</f>
        <v>#N/A</v>
      </c>
    </row>
    <row r="1457" spans="1:8" ht="15" customHeight="1" x14ac:dyDescent="0.25">
      <c r="A1457" s="3">
        <v>45649</v>
      </c>
      <c r="B1457" s="43">
        <v>2024003574</v>
      </c>
      <c r="C1457" s="4" t="s">
        <v>811</v>
      </c>
      <c r="D1457" s="5">
        <v>3000000</v>
      </c>
      <c r="E1457" s="4">
        <v>1085296353</v>
      </c>
      <c r="F1457" s="4" t="s">
        <v>187</v>
      </c>
      <c r="G1457" t="s">
        <v>565</v>
      </c>
      <c r="H1457" t="e">
        <f>VLOOKUP(C1457,'[1]873'!$C$2:$C$711,1,0)</f>
        <v>#N/A</v>
      </c>
    </row>
    <row r="1458" spans="1:8" ht="15" customHeight="1" x14ac:dyDescent="0.25">
      <c r="A1458" s="3">
        <v>45649</v>
      </c>
      <c r="B1458" s="43">
        <v>2024003575</v>
      </c>
      <c r="C1458" s="4" t="s">
        <v>834</v>
      </c>
      <c r="D1458" s="5">
        <v>7540000</v>
      </c>
      <c r="E1458" s="4">
        <v>1085335767</v>
      </c>
      <c r="F1458" s="4" t="s">
        <v>231</v>
      </c>
      <c r="G1458" t="s">
        <v>565</v>
      </c>
      <c r="H1458" t="e">
        <f>VLOOKUP(C1458,'[1]873'!$C$2:$C$711,1,0)</f>
        <v>#N/A</v>
      </c>
    </row>
    <row r="1459" spans="1:8" ht="15" customHeight="1" x14ac:dyDescent="0.25">
      <c r="A1459" s="3">
        <v>45649</v>
      </c>
      <c r="B1459" s="43">
        <v>2024003576</v>
      </c>
      <c r="C1459" s="4" t="s">
        <v>856</v>
      </c>
      <c r="D1459" s="5">
        <v>2500000</v>
      </c>
      <c r="E1459" s="4">
        <v>1086016308</v>
      </c>
      <c r="F1459" s="4" t="s">
        <v>305</v>
      </c>
      <c r="G1459" t="s">
        <v>565</v>
      </c>
      <c r="H1459" t="e">
        <f>VLOOKUP(C1459,'[1]873'!$C$2:$C$711,1,0)</f>
        <v>#N/A</v>
      </c>
    </row>
    <row r="1460" spans="1:8" ht="15" customHeight="1" x14ac:dyDescent="0.25">
      <c r="A1460" s="3">
        <v>45649</v>
      </c>
      <c r="B1460" s="43">
        <v>2024003577</v>
      </c>
      <c r="C1460" s="4" t="s">
        <v>1074</v>
      </c>
      <c r="D1460" s="5">
        <v>2500000</v>
      </c>
      <c r="E1460" s="4">
        <v>30709681</v>
      </c>
      <c r="F1460" s="4" t="s">
        <v>1075</v>
      </c>
      <c r="G1460" t="s">
        <v>565</v>
      </c>
      <c r="H1460" t="e">
        <f>VLOOKUP(C1460,'[1]873'!$C$2:$C$711,1,0)</f>
        <v>#N/A</v>
      </c>
    </row>
    <row r="1461" spans="1:8" ht="15" customHeight="1" x14ac:dyDescent="0.25">
      <c r="A1461" s="3">
        <v>45649</v>
      </c>
      <c r="B1461" s="43">
        <v>2024003578</v>
      </c>
      <c r="C1461" s="4" t="s">
        <v>974</v>
      </c>
      <c r="D1461" s="5">
        <v>6000000</v>
      </c>
      <c r="E1461" s="4">
        <v>79724257</v>
      </c>
      <c r="F1461" s="4" t="s">
        <v>425</v>
      </c>
      <c r="G1461" t="s">
        <v>565</v>
      </c>
      <c r="H1461" t="e">
        <f>VLOOKUP(C1461,'[1]873'!$C$2:$C$711,1,0)</f>
        <v>#N/A</v>
      </c>
    </row>
    <row r="1462" spans="1:8" ht="15" customHeight="1" x14ac:dyDescent="0.25">
      <c r="A1462" s="3">
        <v>45649</v>
      </c>
      <c r="B1462" s="43">
        <v>2024003579</v>
      </c>
      <c r="C1462" s="4" t="s">
        <v>702</v>
      </c>
      <c r="D1462" s="5">
        <v>4825000</v>
      </c>
      <c r="E1462" s="4">
        <v>1085289739</v>
      </c>
      <c r="F1462" s="4" t="s">
        <v>241</v>
      </c>
      <c r="G1462" t="s">
        <v>565</v>
      </c>
      <c r="H1462" t="e">
        <f>VLOOKUP(C1462,'[1]873'!$C$2:$C$711,1,0)</f>
        <v>#N/A</v>
      </c>
    </row>
    <row r="1463" spans="1:8" ht="15" customHeight="1" x14ac:dyDescent="0.25">
      <c r="A1463" s="3">
        <v>45649</v>
      </c>
      <c r="B1463" s="43">
        <v>2024003580</v>
      </c>
      <c r="C1463" s="4" t="s">
        <v>741</v>
      </c>
      <c r="D1463" s="5">
        <v>3000000</v>
      </c>
      <c r="E1463" s="4">
        <v>1085317833</v>
      </c>
      <c r="F1463" s="4" t="s">
        <v>11</v>
      </c>
      <c r="G1463" t="s">
        <v>565</v>
      </c>
      <c r="H1463" t="e">
        <f>VLOOKUP(C1463,'[1]873'!$C$2:$C$711,1,0)</f>
        <v>#N/A</v>
      </c>
    </row>
    <row r="1464" spans="1:8" ht="15" customHeight="1" x14ac:dyDescent="0.25">
      <c r="A1464" s="3">
        <v>45649</v>
      </c>
      <c r="B1464" s="43">
        <v>2024003581</v>
      </c>
      <c r="C1464" s="4" t="s">
        <v>853</v>
      </c>
      <c r="D1464" s="5">
        <v>4825000</v>
      </c>
      <c r="E1464" s="4">
        <v>1087643211</v>
      </c>
      <c r="F1464" s="4" t="s">
        <v>131</v>
      </c>
      <c r="G1464" t="s">
        <v>565</v>
      </c>
      <c r="H1464" t="e">
        <f>VLOOKUP(C1464,'[1]873'!$C$2:$C$711,1,0)</f>
        <v>#N/A</v>
      </c>
    </row>
    <row r="1465" spans="1:8" ht="15" customHeight="1" x14ac:dyDescent="0.25">
      <c r="A1465" s="3">
        <v>45649</v>
      </c>
      <c r="B1465" s="43">
        <v>2024003582</v>
      </c>
      <c r="C1465" s="4" t="s">
        <v>727</v>
      </c>
      <c r="D1465" s="5">
        <v>2500000</v>
      </c>
      <c r="E1465" s="4">
        <v>1085310465</v>
      </c>
      <c r="F1465" s="4" t="s">
        <v>307</v>
      </c>
      <c r="G1465" t="s">
        <v>565</v>
      </c>
      <c r="H1465" t="e">
        <f>VLOOKUP(C1465,'[1]873'!$C$2:$C$711,1,0)</f>
        <v>#N/A</v>
      </c>
    </row>
    <row r="1466" spans="1:8" ht="15" customHeight="1" x14ac:dyDescent="0.25">
      <c r="A1466" s="3">
        <v>45649</v>
      </c>
      <c r="B1466" s="43">
        <v>2024003583</v>
      </c>
      <c r="C1466" s="4" t="s">
        <v>929</v>
      </c>
      <c r="D1466" s="5">
        <v>7540000</v>
      </c>
      <c r="E1466" s="4">
        <v>87065647</v>
      </c>
      <c r="F1466" s="4" t="s">
        <v>43</v>
      </c>
      <c r="G1466" t="s">
        <v>565</v>
      </c>
      <c r="H1466" t="e">
        <f>VLOOKUP(C1466,'[1]873'!$C$2:$C$711,1,0)</f>
        <v>#N/A</v>
      </c>
    </row>
    <row r="1467" spans="1:8" ht="15" customHeight="1" x14ac:dyDescent="0.25">
      <c r="A1467" s="3">
        <v>45649</v>
      </c>
      <c r="B1467" s="43">
        <v>2024003584</v>
      </c>
      <c r="C1467" s="4" t="s">
        <v>691</v>
      </c>
      <c r="D1467" s="5">
        <v>3000000</v>
      </c>
      <c r="E1467" s="4">
        <v>1030606749</v>
      </c>
      <c r="F1467" s="4" t="s">
        <v>387</v>
      </c>
      <c r="G1467" t="s">
        <v>565</v>
      </c>
      <c r="H1467" t="e">
        <f>VLOOKUP(C1467,'[1]873'!$C$2:$C$711,1,0)</f>
        <v>#N/A</v>
      </c>
    </row>
    <row r="1468" spans="1:8" ht="15" customHeight="1" x14ac:dyDescent="0.25">
      <c r="A1468" s="3">
        <v>45649</v>
      </c>
      <c r="B1468" s="43">
        <v>2024003585</v>
      </c>
      <c r="C1468" s="4" t="s">
        <v>809</v>
      </c>
      <c r="D1468" s="5">
        <v>2500000</v>
      </c>
      <c r="E1468" s="4">
        <v>59830219</v>
      </c>
      <c r="F1468" s="4" t="s">
        <v>281</v>
      </c>
      <c r="G1468" t="s">
        <v>565</v>
      </c>
      <c r="H1468" t="e">
        <f>VLOOKUP(C1468,'[1]873'!$C$2:$C$711,1,0)</f>
        <v>#N/A</v>
      </c>
    </row>
    <row r="1469" spans="1:8" ht="15" customHeight="1" x14ac:dyDescent="0.25">
      <c r="A1469" s="3">
        <v>45649</v>
      </c>
      <c r="B1469" s="43">
        <v>2024003586</v>
      </c>
      <c r="C1469" s="4" t="s">
        <v>720</v>
      </c>
      <c r="D1469" s="5">
        <v>4825000</v>
      </c>
      <c r="E1469" s="4">
        <v>87062845</v>
      </c>
      <c r="F1469" s="4" t="s">
        <v>133</v>
      </c>
      <c r="G1469" t="s">
        <v>565</v>
      </c>
      <c r="H1469" t="e">
        <f>VLOOKUP(C1469,'[1]873'!$C$2:$C$711,1,0)</f>
        <v>#N/A</v>
      </c>
    </row>
    <row r="1470" spans="1:8" ht="15" customHeight="1" x14ac:dyDescent="0.25">
      <c r="A1470" s="3">
        <v>45649</v>
      </c>
      <c r="B1470" s="43">
        <v>2024003587</v>
      </c>
      <c r="C1470" s="4" t="s">
        <v>979</v>
      </c>
      <c r="D1470" s="5">
        <v>4825000</v>
      </c>
      <c r="E1470" s="4">
        <v>1085306723</v>
      </c>
      <c r="F1470" s="4" t="s">
        <v>980</v>
      </c>
      <c r="G1470" t="s">
        <v>565</v>
      </c>
      <c r="H1470" t="e">
        <f>VLOOKUP(C1470,'[1]873'!$C$2:$C$711,1,0)</f>
        <v>#N/A</v>
      </c>
    </row>
    <row r="1471" spans="1:8" ht="15" customHeight="1" x14ac:dyDescent="0.25">
      <c r="A1471" s="3">
        <v>45649</v>
      </c>
      <c r="B1471" s="43">
        <v>2024003588</v>
      </c>
      <c r="C1471" s="4" t="s">
        <v>966</v>
      </c>
      <c r="D1471" s="5">
        <v>7540000</v>
      </c>
      <c r="E1471" s="4">
        <v>1085315800</v>
      </c>
      <c r="F1471" s="4" t="s">
        <v>967</v>
      </c>
      <c r="G1471" t="s">
        <v>565</v>
      </c>
      <c r="H1471" t="e">
        <f>VLOOKUP(C1471,'[1]873'!$C$2:$C$711,1,0)</f>
        <v>#N/A</v>
      </c>
    </row>
    <row r="1472" spans="1:8" ht="15" customHeight="1" x14ac:dyDescent="0.25">
      <c r="A1472" s="3">
        <v>45649</v>
      </c>
      <c r="B1472" s="43">
        <v>2024003589</v>
      </c>
      <c r="C1472" s="4" t="s">
        <v>599</v>
      </c>
      <c r="D1472" s="5">
        <v>7540000</v>
      </c>
      <c r="E1472" s="4">
        <v>1085304670</v>
      </c>
      <c r="F1472" s="4" t="s">
        <v>161</v>
      </c>
      <c r="G1472" t="s">
        <v>565</v>
      </c>
      <c r="H1472" t="e">
        <f>VLOOKUP(C1472,'[1]873'!$C$2:$C$711,1,0)</f>
        <v>#N/A</v>
      </c>
    </row>
    <row r="1473" spans="1:8" ht="15" customHeight="1" x14ac:dyDescent="0.25">
      <c r="A1473" s="3">
        <v>45649</v>
      </c>
      <c r="B1473" s="43">
        <v>2024003590</v>
      </c>
      <c r="C1473" s="4" t="s">
        <v>778</v>
      </c>
      <c r="D1473" s="5">
        <v>3000000</v>
      </c>
      <c r="E1473" s="4">
        <v>1085324685</v>
      </c>
      <c r="F1473" s="4" t="s">
        <v>779</v>
      </c>
      <c r="G1473" t="s">
        <v>565</v>
      </c>
      <c r="H1473" t="e">
        <f>VLOOKUP(C1473,'[1]873'!$C$2:$C$711,1,0)</f>
        <v>#N/A</v>
      </c>
    </row>
    <row r="1474" spans="1:8" ht="15" customHeight="1" x14ac:dyDescent="0.25">
      <c r="A1474" s="3">
        <v>45649</v>
      </c>
      <c r="B1474" s="43">
        <v>2024003591</v>
      </c>
      <c r="C1474" s="4" t="s">
        <v>692</v>
      </c>
      <c r="D1474" s="5">
        <v>3000000</v>
      </c>
      <c r="E1474" s="4">
        <v>1085275473</v>
      </c>
      <c r="F1474" s="4" t="s">
        <v>693</v>
      </c>
      <c r="G1474" t="s">
        <v>565</v>
      </c>
      <c r="H1474" t="e">
        <f>VLOOKUP(C1474,'[1]873'!$C$2:$C$711,1,0)</f>
        <v>#N/A</v>
      </c>
    </row>
    <row r="1475" spans="1:8" ht="15" customHeight="1" x14ac:dyDescent="0.25">
      <c r="A1475" s="3">
        <v>45649</v>
      </c>
      <c r="B1475" s="43">
        <v>2024003592</v>
      </c>
      <c r="C1475" s="4" t="s">
        <v>890</v>
      </c>
      <c r="D1475" s="5">
        <v>3000000</v>
      </c>
      <c r="E1475" s="4">
        <v>1085277516</v>
      </c>
      <c r="F1475" s="4" t="s">
        <v>891</v>
      </c>
      <c r="G1475" t="s">
        <v>565</v>
      </c>
      <c r="H1475" t="e">
        <f>VLOOKUP(C1475,'[1]873'!$C$2:$C$711,1,0)</f>
        <v>#N/A</v>
      </c>
    </row>
    <row r="1476" spans="1:8" ht="15" customHeight="1" x14ac:dyDescent="0.25">
      <c r="A1476" s="3">
        <v>45649</v>
      </c>
      <c r="B1476" s="43">
        <v>2024003593</v>
      </c>
      <c r="C1476" s="4" t="s">
        <v>662</v>
      </c>
      <c r="D1476" s="5">
        <v>2500000</v>
      </c>
      <c r="E1476" s="4">
        <v>1085330079</v>
      </c>
      <c r="F1476" s="4" t="s">
        <v>293</v>
      </c>
      <c r="G1476" t="s">
        <v>565</v>
      </c>
      <c r="H1476" t="e">
        <f>VLOOKUP(C1476,'[1]873'!$C$2:$C$711,1,0)</f>
        <v>#N/A</v>
      </c>
    </row>
    <row r="1477" spans="1:8" ht="15" customHeight="1" x14ac:dyDescent="0.25">
      <c r="A1477" s="3">
        <v>45649</v>
      </c>
      <c r="B1477" s="43">
        <v>2024003594</v>
      </c>
      <c r="C1477" s="4" t="s">
        <v>944</v>
      </c>
      <c r="D1477" s="5">
        <v>2500000</v>
      </c>
      <c r="E1477" s="4">
        <v>36759281</v>
      </c>
      <c r="F1477" s="4" t="s">
        <v>341</v>
      </c>
      <c r="G1477" t="s">
        <v>565</v>
      </c>
      <c r="H1477" t="e">
        <f>VLOOKUP(C1477,'[1]873'!$C$2:$C$711,1,0)</f>
        <v>#N/A</v>
      </c>
    </row>
    <row r="1478" spans="1:8" ht="15" customHeight="1" x14ac:dyDescent="0.25">
      <c r="A1478" s="3">
        <v>45649</v>
      </c>
      <c r="B1478" s="43">
        <v>2024003595</v>
      </c>
      <c r="C1478" s="4" t="s">
        <v>876</v>
      </c>
      <c r="D1478" s="5">
        <v>4825000</v>
      </c>
      <c r="E1478" s="4">
        <v>59314451</v>
      </c>
      <c r="F1478" s="4" t="s">
        <v>141</v>
      </c>
      <c r="G1478" t="s">
        <v>565</v>
      </c>
      <c r="H1478" t="e">
        <f>VLOOKUP(C1478,'[1]873'!$C$2:$C$711,1,0)</f>
        <v>#N/A</v>
      </c>
    </row>
    <row r="1479" spans="1:8" ht="15" customHeight="1" x14ac:dyDescent="0.25">
      <c r="A1479" s="3">
        <v>45649</v>
      </c>
      <c r="B1479" s="43">
        <v>2024003596</v>
      </c>
      <c r="C1479" s="4" t="s">
        <v>822</v>
      </c>
      <c r="D1479" s="5">
        <v>3000000</v>
      </c>
      <c r="E1479" s="4">
        <v>98382500</v>
      </c>
      <c r="F1479" s="4" t="s">
        <v>183</v>
      </c>
      <c r="G1479" t="s">
        <v>565</v>
      </c>
      <c r="H1479" t="e">
        <f>VLOOKUP(C1479,'[1]873'!$C$2:$C$711,1,0)</f>
        <v>#N/A</v>
      </c>
    </row>
    <row r="1480" spans="1:8" ht="15" customHeight="1" x14ac:dyDescent="0.25">
      <c r="A1480" s="3">
        <v>45649</v>
      </c>
      <c r="B1480" s="43">
        <v>2024003597</v>
      </c>
      <c r="C1480" s="4" t="s">
        <v>816</v>
      </c>
      <c r="D1480" s="5">
        <v>4750000</v>
      </c>
      <c r="E1480" s="4">
        <v>87060703</v>
      </c>
      <c r="F1480" s="4" t="s">
        <v>223</v>
      </c>
      <c r="G1480" t="s">
        <v>565</v>
      </c>
      <c r="H1480" t="e">
        <f>VLOOKUP(C1480,'[1]873'!$C$2:$C$711,1,0)</f>
        <v>#N/A</v>
      </c>
    </row>
    <row r="1481" spans="1:8" ht="15" customHeight="1" x14ac:dyDescent="0.25">
      <c r="A1481" s="3">
        <v>45649</v>
      </c>
      <c r="B1481" s="43">
        <v>2024003599</v>
      </c>
      <c r="C1481" s="4" t="s">
        <v>994</v>
      </c>
      <c r="D1481" s="5">
        <v>2500000</v>
      </c>
      <c r="E1481" s="4">
        <v>1085312811</v>
      </c>
      <c r="F1481" s="4" t="s">
        <v>995</v>
      </c>
      <c r="G1481" t="s">
        <v>565</v>
      </c>
      <c r="H1481" t="e">
        <f>VLOOKUP(C1481,'[1]873'!$C$2:$C$711,1,0)</f>
        <v>#N/A</v>
      </c>
    </row>
    <row r="1482" spans="1:8" ht="15" customHeight="1" x14ac:dyDescent="0.25">
      <c r="A1482" s="3">
        <v>45649</v>
      </c>
      <c r="B1482" s="43">
        <v>2024003600</v>
      </c>
      <c r="C1482" s="4" t="s">
        <v>699</v>
      </c>
      <c r="D1482" s="5">
        <v>7540000</v>
      </c>
      <c r="E1482" s="4">
        <v>1085321192</v>
      </c>
      <c r="F1482" s="4" t="s">
        <v>61</v>
      </c>
      <c r="G1482" t="s">
        <v>565</v>
      </c>
      <c r="H1482" t="e">
        <f>VLOOKUP(C1482,'[1]873'!$C$2:$C$711,1,0)</f>
        <v>#N/A</v>
      </c>
    </row>
    <row r="1483" spans="1:8" ht="15" customHeight="1" x14ac:dyDescent="0.25">
      <c r="A1483" s="3">
        <v>45649</v>
      </c>
      <c r="B1483" s="43">
        <v>2024003601</v>
      </c>
      <c r="C1483" s="4" t="s">
        <v>1034</v>
      </c>
      <c r="D1483" s="5">
        <v>3000000</v>
      </c>
      <c r="E1483" s="4">
        <v>1085297914</v>
      </c>
      <c r="F1483" s="4" t="s">
        <v>1035</v>
      </c>
      <c r="G1483" t="s">
        <v>565</v>
      </c>
      <c r="H1483" t="e">
        <f>VLOOKUP(C1483,'[1]873'!$C$2:$C$711,1,0)</f>
        <v>#N/A</v>
      </c>
    </row>
    <row r="1484" spans="1:8" ht="15" customHeight="1" x14ac:dyDescent="0.25">
      <c r="A1484" s="3">
        <v>45649</v>
      </c>
      <c r="B1484" s="43">
        <v>2024003602</v>
      </c>
      <c r="C1484" s="4" t="s">
        <v>788</v>
      </c>
      <c r="D1484" s="5">
        <v>3000000</v>
      </c>
      <c r="E1484" s="4">
        <v>1193265360</v>
      </c>
      <c r="F1484" s="4" t="s">
        <v>67</v>
      </c>
      <c r="G1484" t="s">
        <v>565</v>
      </c>
      <c r="H1484" t="e">
        <f>VLOOKUP(C1484,'[1]873'!$C$2:$C$711,1,0)</f>
        <v>#N/A</v>
      </c>
    </row>
    <row r="1485" spans="1:8" ht="15" customHeight="1" x14ac:dyDescent="0.25">
      <c r="A1485" s="3">
        <v>45649</v>
      </c>
      <c r="B1485" s="43">
        <v>2024003603</v>
      </c>
      <c r="C1485" s="4" t="s">
        <v>1004</v>
      </c>
      <c r="D1485" s="5">
        <v>6000000</v>
      </c>
      <c r="E1485" s="4">
        <v>59825948</v>
      </c>
      <c r="F1485" s="4" t="s">
        <v>1005</v>
      </c>
      <c r="G1485" t="s">
        <v>565</v>
      </c>
      <c r="H1485" t="e">
        <f>VLOOKUP(C1485,'[1]873'!$C$2:$C$711,1,0)</f>
        <v>#N/A</v>
      </c>
    </row>
    <row r="1486" spans="1:8" ht="15" customHeight="1" x14ac:dyDescent="0.25">
      <c r="A1486" s="3">
        <v>45649</v>
      </c>
      <c r="B1486" s="43">
        <v>2024003604</v>
      </c>
      <c r="C1486" s="4" t="s">
        <v>1071</v>
      </c>
      <c r="D1486" s="5">
        <v>2500000</v>
      </c>
      <c r="E1486" s="4">
        <v>1085314334</v>
      </c>
      <c r="F1486" s="4" t="s">
        <v>585</v>
      </c>
      <c r="G1486" t="s">
        <v>565</v>
      </c>
      <c r="H1486" t="e">
        <f>VLOOKUP(C1486,'[1]873'!$C$2:$C$711,1,0)</f>
        <v>#N/A</v>
      </c>
    </row>
    <row r="1487" spans="1:8" ht="15" customHeight="1" x14ac:dyDescent="0.25">
      <c r="A1487" s="3">
        <v>45649</v>
      </c>
      <c r="B1487" s="43">
        <v>2024003605</v>
      </c>
      <c r="C1487" s="4" t="s">
        <v>927</v>
      </c>
      <c r="D1487" s="5">
        <v>4750000</v>
      </c>
      <c r="E1487" s="4">
        <v>1086332188</v>
      </c>
      <c r="F1487" s="4" t="s">
        <v>928</v>
      </c>
      <c r="G1487" t="s">
        <v>565</v>
      </c>
      <c r="H1487" t="e">
        <f>VLOOKUP(C1487,'[1]873'!$C$2:$C$711,1,0)</f>
        <v>#N/A</v>
      </c>
    </row>
    <row r="1488" spans="1:8" ht="15" customHeight="1" x14ac:dyDescent="0.25">
      <c r="A1488" s="3">
        <v>45649</v>
      </c>
      <c r="B1488" s="43">
        <v>2024003606</v>
      </c>
      <c r="C1488" s="4" t="s">
        <v>1002</v>
      </c>
      <c r="D1488" s="5">
        <v>2500000</v>
      </c>
      <c r="E1488" s="4">
        <v>36951530</v>
      </c>
      <c r="F1488" s="4" t="s">
        <v>1003</v>
      </c>
      <c r="G1488" t="s">
        <v>565</v>
      </c>
      <c r="H1488" t="e">
        <f>VLOOKUP(C1488,'[1]873'!$C$2:$C$711,1,0)</f>
        <v>#N/A</v>
      </c>
    </row>
    <row r="1489" spans="1:8" ht="15" customHeight="1" x14ac:dyDescent="0.25">
      <c r="A1489" s="3">
        <v>45649</v>
      </c>
      <c r="B1489" s="43">
        <v>2024003607</v>
      </c>
      <c r="C1489" s="35" t="s">
        <v>1044</v>
      </c>
      <c r="D1489" s="5">
        <v>2500000</v>
      </c>
      <c r="E1489" s="4">
        <v>2491000</v>
      </c>
      <c r="F1489" s="4" t="s">
        <v>1045</v>
      </c>
      <c r="G1489" t="s">
        <v>565</v>
      </c>
      <c r="H1489" t="e">
        <f>VLOOKUP(C1489,'[1]873'!$C$2:$C$711,1,0)</f>
        <v>#N/A</v>
      </c>
    </row>
    <row r="1490" spans="1:8" ht="15" customHeight="1" x14ac:dyDescent="0.25">
      <c r="A1490" s="3">
        <v>45649</v>
      </c>
      <c r="B1490" s="43">
        <v>2024003608</v>
      </c>
      <c r="C1490" s="4" t="s">
        <v>660</v>
      </c>
      <c r="D1490" s="5">
        <v>7540000</v>
      </c>
      <c r="E1490" s="4">
        <v>1085329230</v>
      </c>
      <c r="F1490" s="4" t="s">
        <v>83</v>
      </c>
      <c r="G1490" t="s">
        <v>565</v>
      </c>
      <c r="H1490" t="e">
        <f>VLOOKUP(C1490,'[1]873'!$C$2:$C$711,1,0)</f>
        <v>#N/A</v>
      </c>
    </row>
    <row r="1491" spans="1:8" ht="15" customHeight="1" x14ac:dyDescent="0.25">
      <c r="A1491" s="3">
        <v>45649</v>
      </c>
      <c r="B1491" s="43">
        <v>2024003609</v>
      </c>
      <c r="C1491" s="4" t="s">
        <v>664</v>
      </c>
      <c r="D1491" s="5">
        <v>4750000</v>
      </c>
      <c r="E1491" s="4">
        <v>59821282</v>
      </c>
      <c r="F1491" s="4" t="s">
        <v>135</v>
      </c>
      <c r="G1491" t="s">
        <v>565</v>
      </c>
      <c r="H1491" t="e">
        <f>VLOOKUP(C1491,'[1]873'!$C$2:$C$711,1,0)</f>
        <v>#N/A</v>
      </c>
    </row>
    <row r="1492" spans="1:8" ht="15" customHeight="1" x14ac:dyDescent="0.25">
      <c r="A1492" s="3">
        <v>45649</v>
      </c>
      <c r="B1492" s="43">
        <v>2024003610</v>
      </c>
      <c r="C1492" s="4" t="s">
        <v>962</v>
      </c>
      <c r="D1492" s="5">
        <v>3000000</v>
      </c>
      <c r="E1492" s="4">
        <v>1081272656</v>
      </c>
      <c r="F1492" s="4" t="s">
        <v>963</v>
      </c>
      <c r="G1492" t="s">
        <v>565</v>
      </c>
      <c r="H1492" t="e">
        <f>VLOOKUP(C1492,'[1]873'!$C$2:$C$711,1,0)</f>
        <v>#N/A</v>
      </c>
    </row>
    <row r="1493" spans="1:8" ht="15" customHeight="1" x14ac:dyDescent="0.25">
      <c r="A1493" s="3">
        <v>45649</v>
      </c>
      <c r="B1493" s="43">
        <v>2024003611</v>
      </c>
      <c r="C1493" s="4" t="s">
        <v>851</v>
      </c>
      <c r="D1493" s="5">
        <v>3000000</v>
      </c>
      <c r="E1493" s="4">
        <v>1085344082</v>
      </c>
      <c r="F1493" s="4" t="s">
        <v>291</v>
      </c>
      <c r="G1493" t="s">
        <v>565</v>
      </c>
      <c r="H1493" t="e">
        <f>VLOOKUP(C1493,'[1]873'!$C$2:$C$711,1,0)</f>
        <v>#N/A</v>
      </c>
    </row>
    <row r="1494" spans="1:8" ht="15" customHeight="1" x14ac:dyDescent="0.25">
      <c r="A1494" s="3">
        <v>45649</v>
      </c>
      <c r="B1494" s="43">
        <v>2024003612</v>
      </c>
      <c r="C1494" s="4" t="s">
        <v>681</v>
      </c>
      <c r="D1494" s="5">
        <v>3000000</v>
      </c>
      <c r="E1494" s="4">
        <v>1085325325</v>
      </c>
      <c r="F1494" s="4" t="s">
        <v>682</v>
      </c>
      <c r="G1494" t="s">
        <v>565</v>
      </c>
      <c r="H1494" t="e">
        <f>VLOOKUP(C1494,'[1]873'!$C$2:$C$711,1,0)</f>
        <v>#N/A</v>
      </c>
    </row>
    <row r="1495" spans="1:8" ht="15" customHeight="1" x14ac:dyDescent="0.25">
      <c r="A1495" s="3">
        <v>45649</v>
      </c>
      <c r="B1495" s="43">
        <v>2024003613</v>
      </c>
      <c r="C1495" s="4" t="s">
        <v>874</v>
      </c>
      <c r="D1495" s="5">
        <v>3000000</v>
      </c>
      <c r="E1495" s="4">
        <v>27088197</v>
      </c>
      <c r="F1495" s="4" t="s">
        <v>875</v>
      </c>
      <c r="G1495" t="s">
        <v>565</v>
      </c>
      <c r="H1495" t="e">
        <f>VLOOKUP(C1495,'[1]873'!$C$2:$C$711,1,0)</f>
        <v>#N/A</v>
      </c>
    </row>
    <row r="1496" spans="1:8" ht="15" customHeight="1" x14ac:dyDescent="0.25">
      <c r="A1496" s="3">
        <v>45649</v>
      </c>
      <c r="B1496" s="43">
        <v>2024003614</v>
      </c>
      <c r="C1496" s="4" t="s">
        <v>774</v>
      </c>
      <c r="D1496" s="5">
        <v>3000000</v>
      </c>
      <c r="E1496" s="4">
        <v>1081272025</v>
      </c>
      <c r="F1496" s="4" t="s">
        <v>59</v>
      </c>
      <c r="G1496" t="s">
        <v>565</v>
      </c>
      <c r="H1496" t="e">
        <f>VLOOKUP(C1496,'[1]873'!$C$2:$C$711,1,0)</f>
        <v>#N/A</v>
      </c>
    </row>
    <row r="1497" spans="1:8" ht="15" customHeight="1" x14ac:dyDescent="0.25">
      <c r="A1497" s="3">
        <v>45649</v>
      </c>
      <c r="B1497" s="43">
        <v>2024003615</v>
      </c>
      <c r="C1497" s="4" t="s">
        <v>844</v>
      </c>
      <c r="D1497" s="5">
        <v>6000000</v>
      </c>
      <c r="E1497" s="4">
        <v>1085254153</v>
      </c>
      <c r="F1497" s="4" t="s">
        <v>845</v>
      </c>
      <c r="G1497" t="s">
        <v>565</v>
      </c>
      <c r="H1497" t="e">
        <f>VLOOKUP(C1497,'[1]873'!$C$2:$C$711,1,0)</f>
        <v>#N/A</v>
      </c>
    </row>
    <row r="1498" spans="1:8" ht="15" customHeight="1" x14ac:dyDescent="0.25">
      <c r="A1498" s="3">
        <v>45649</v>
      </c>
      <c r="B1498" s="43">
        <v>2024003616</v>
      </c>
      <c r="C1498" s="4" t="s">
        <v>883</v>
      </c>
      <c r="D1498" s="5">
        <v>3000000</v>
      </c>
      <c r="E1498" s="4">
        <v>37083086</v>
      </c>
      <c r="F1498" s="4" t="s">
        <v>884</v>
      </c>
      <c r="G1498" t="s">
        <v>565</v>
      </c>
      <c r="H1498" t="e">
        <f>VLOOKUP(C1498,'[1]873'!$C$2:$C$711,1,0)</f>
        <v>#N/A</v>
      </c>
    </row>
    <row r="1499" spans="1:8" ht="15" customHeight="1" x14ac:dyDescent="0.25">
      <c r="A1499" s="3">
        <v>45649</v>
      </c>
      <c r="B1499" s="43">
        <v>2024003617</v>
      </c>
      <c r="C1499" s="4" t="s">
        <v>1008</v>
      </c>
      <c r="D1499" s="5">
        <v>3000000</v>
      </c>
      <c r="E1499" s="4">
        <v>1085265947</v>
      </c>
      <c r="F1499" s="4" t="s">
        <v>1009</v>
      </c>
      <c r="G1499" t="s">
        <v>565</v>
      </c>
      <c r="H1499" t="e">
        <f>VLOOKUP(C1499,'[1]873'!$C$2:$C$711,1,0)</f>
        <v>#N/A</v>
      </c>
    </row>
    <row r="1500" spans="1:8" ht="15" customHeight="1" x14ac:dyDescent="0.25">
      <c r="A1500" s="3">
        <v>45649</v>
      </c>
      <c r="B1500" s="43">
        <v>2024003618</v>
      </c>
      <c r="C1500" s="4" t="s">
        <v>612</v>
      </c>
      <c r="D1500" s="5">
        <v>4750000</v>
      </c>
      <c r="E1500" s="4">
        <v>27087475</v>
      </c>
      <c r="F1500" s="4" t="s">
        <v>571</v>
      </c>
      <c r="G1500" t="s">
        <v>565</v>
      </c>
      <c r="H1500" t="e">
        <f>VLOOKUP(C1500,'[1]873'!$C$2:$C$711,1,0)</f>
        <v>#N/A</v>
      </c>
    </row>
    <row r="1501" spans="1:8" ht="15" customHeight="1" x14ac:dyDescent="0.25">
      <c r="A1501" s="3">
        <v>45649</v>
      </c>
      <c r="B1501" s="43">
        <v>2024003619</v>
      </c>
      <c r="C1501" s="4" t="s">
        <v>618</v>
      </c>
      <c r="D1501" s="5">
        <v>6000000</v>
      </c>
      <c r="E1501" s="4">
        <v>1085320275</v>
      </c>
      <c r="F1501" s="4" t="s">
        <v>619</v>
      </c>
      <c r="G1501" t="s">
        <v>565</v>
      </c>
      <c r="H1501" t="e">
        <f>VLOOKUP(C1501,'[1]873'!$C$2:$C$711,1,0)</f>
        <v>#N/A</v>
      </c>
    </row>
    <row r="1502" spans="1:8" ht="15" customHeight="1" x14ac:dyDescent="0.25">
      <c r="A1502" s="3">
        <v>45649</v>
      </c>
      <c r="B1502" s="43">
        <v>2024003620</v>
      </c>
      <c r="C1502" s="4" t="s">
        <v>783</v>
      </c>
      <c r="D1502" s="5">
        <v>2500000</v>
      </c>
      <c r="E1502" s="4">
        <v>1233189896</v>
      </c>
      <c r="F1502" s="4" t="s">
        <v>279</v>
      </c>
      <c r="G1502" t="s">
        <v>565</v>
      </c>
      <c r="H1502" t="e">
        <f>VLOOKUP(C1502,'[1]873'!$C$2:$C$711,1,0)</f>
        <v>#N/A</v>
      </c>
    </row>
    <row r="1503" spans="1:8" ht="15" customHeight="1" x14ac:dyDescent="0.25">
      <c r="A1503" s="3">
        <v>45649</v>
      </c>
      <c r="B1503" s="43">
        <v>2024003621</v>
      </c>
      <c r="C1503" s="4" t="s">
        <v>773</v>
      </c>
      <c r="D1503" s="5">
        <v>4825000</v>
      </c>
      <c r="E1503" s="4">
        <v>1085267184</v>
      </c>
      <c r="F1503" s="4" t="s">
        <v>247</v>
      </c>
      <c r="G1503" t="s">
        <v>565</v>
      </c>
      <c r="H1503" t="e">
        <f>VLOOKUP(C1503,'[1]873'!$C$2:$C$711,1,0)</f>
        <v>#N/A</v>
      </c>
    </row>
    <row r="1504" spans="1:8" ht="15" customHeight="1" x14ac:dyDescent="0.25">
      <c r="A1504" s="3">
        <v>45649</v>
      </c>
      <c r="B1504" s="43">
        <v>2024003622</v>
      </c>
      <c r="C1504" s="4" t="s">
        <v>663</v>
      </c>
      <c r="D1504" s="5">
        <v>4750000</v>
      </c>
      <c r="E1504" s="4">
        <v>1085303067</v>
      </c>
      <c r="F1504" s="4" t="s">
        <v>105</v>
      </c>
      <c r="G1504" t="s">
        <v>565</v>
      </c>
      <c r="H1504" t="e">
        <f>VLOOKUP(C1504,'[1]873'!$C$2:$C$711,1,0)</f>
        <v>#N/A</v>
      </c>
    </row>
    <row r="1505" spans="1:8" ht="15" customHeight="1" x14ac:dyDescent="0.25">
      <c r="A1505" s="3">
        <v>45649</v>
      </c>
      <c r="B1505" s="43">
        <v>2024003623</v>
      </c>
      <c r="C1505" s="4" t="s">
        <v>748</v>
      </c>
      <c r="D1505" s="5">
        <v>7540000</v>
      </c>
      <c r="E1505" s="4">
        <v>1085344794</v>
      </c>
      <c r="F1505" s="4" t="s">
        <v>749</v>
      </c>
      <c r="G1505" t="s">
        <v>565</v>
      </c>
      <c r="H1505" t="e">
        <f>VLOOKUP(C1505,'[1]873'!$C$2:$C$711,1,0)</f>
        <v>#N/A</v>
      </c>
    </row>
    <row r="1506" spans="1:8" ht="15" customHeight="1" x14ac:dyDescent="0.25">
      <c r="A1506" s="3">
        <v>45649</v>
      </c>
      <c r="B1506" s="43">
        <v>2024003624</v>
      </c>
      <c r="C1506" s="4" t="s">
        <v>611</v>
      </c>
      <c r="D1506" s="5">
        <v>3000000</v>
      </c>
      <c r="E1506" s="4">
        <v>1085261053</v>
      </c>
      <c r="F1506" s="4" t="s">
        <v>335</v>
      </c>
      <c r="G1506" t="s">
        <v>565</v>
      </c>
      <c r="H1506" t="e">
        <f>VLOOKUP(C1506,'[1]873'!$C$2:$C$711,1,0)</f>
        <v>#N/A</v>
      </c>
    </row>
    <row r="1507" spans="1:8" ht="15" customHeight="1" x14ac:dyDescent="0.25">
      <c r="A1507" s="3">
        <v>45649</v>
      </c>
      <c r="B1507" s="43">
        <v>2024003625</v>
      </c>
      <c r="C1507" s="4" t="s">
        <v>639</v>
      </c>
      <c r="D1507" s="5">
        <v>3000000</v>
      </c>
      <c r="E1507" s="4">
        <v>36757522</v>
      </c>
      <c r="F1507" s="4" t="s">
        <v>271</v>
      </c>
      <c r="G1507" t="s">
        <v>565</v>
      </c>
      <c r="H1507" t="e">
        <f>VLOOKUP(C1507,'[1]873'!$C$2:$C$711,1,0)</f>
        <v>#N/A</v>
      </c>
    </row>
    <row r="1508" spans="1:8" ht="15" customHeight="1" x14ac:dyDescent="0.25">
      <c r="A1508" s="3">
        <v>45649</v>
      </c>
      <c r="B1508" s="43">
        <v>2024003626</v>
      </c>
      <c r="C1508" s="4" t="s">
        <v>1055</v>
      </c>
      <c r="D1508" s="5">
        <v>3000000</v>
      </c>
      <c r="E1508" s="4">
        <v>1085346528</v>
      </c>
      <c r="F1508" s="4" t="s">
        <v>1056</v>
      </c>
      <c r="G1508" t="s">
        <v>565</v>
      </c>
      <c r="H1508" t="e">
        <f>VLOOKUP(C1508,'[1]873'!$C$2:$C$711,1,0)</f>
        <v>#N/A</v>
      </c>
    </row>
    <row r="1509" spans="1:8" ht="15" customHeight="1" x14ac:dyDescent="0.25">
      <c r="A1509" s="3">
        <v>45649</v>
      </c>
      <c r="B1509" s="43">
        <v>2024003627</v>
      </c>
      <c r="C1509" s="4" t="s">
        <v>794</v>
      </c>
      <c r="D1509" s="5">
        <v>7540000</v>
      </c>
      <c r="E1509" s="4">
        <v>1193202097</v>
      </c>
      <c r="F1509" s="4" t="s">
        <v>163</v>
      </c>
      <c r="G1509" t="s">
        <v>565</v>
      </c>
      <c r="H1509" t="e">
        <f>VLOOKUP(C1509,'[1]873'!$C$2:$C$711,1,0)</f>
        <v>#N/A</v>
      </c>
    </row>
    <row r="1510" spans="1:8" ht="15" customHeight="1" x14ac:dyDescent="0.25">
      <c r="A1510" s="3">
        <v>45649</v>
      </c>
      <c r="B1510" s="43">
        <v>2024003628</v>
      </c>
      <c r="C1510" s="4" t="s">
        <v>708</v>
      </c>
      <c r="D1510" s="5">
        <v>4750000</v>
      </c>
      <c r="E1510" s="4">
        <v>1085330309</v>
      </c>
      <c r="F1510" s="4" t="s">
        <v>249</v>
      </c>
      <c r="G1510" t="s">
        <v>565</v>
      </c>
      <c r="H1510" t="e">
        <f>VLOOKUP(C1510,'[1]873'!$C$2:$C$711,1,0)</f>
        <v>#N/A</v>
      </c>
    </row>
    <row r="1511" spans="1:8" ht="15" customHeight="1" x14ac:dyDescent="0.25">
      <c r="A1511" s="3">
        <v>45649</v>
      </c>
      <c r="B1511" s="43">
        <v>2024003629</v>
      </c>
      <c r="C1511" s="4" t="s">
        <v>721</v>
      </c>
      <c r="D1511" s="5">
        <v>2500000</v>
      </c>
      <c r="E1511" s="4">
        <v>1004535115</v>
      </c>
      <c r="F1511" s="4" t="s">
        <v>347</v>
      </c>
      <c r="G1511" t="s">
        <v>565</v>
      </c>
      <c r="H1511" t="e">
        <f>VLOOKUP(C1511,'[1]873'!$C$2:$C$711,1,0)</f>
        <v>#N/A</v>
      </c>
    </row>
    <row r="1512" spans="1:8" ht="15" customHeight="1" x14ac:dyDescent="0.25">
      <c r="A1512" s="3">
        <v>45649</v>
      </c>
      <c r="B1512" s="43">
        <v>2024003630</v>
      </c>
      <c r="C1512" s="4" t="s">
        <v>765</v>
      </c>
      <c r="D1512" s="5">
        <v>2500000</v>
      </c>
      <c r="E1512" s="4">
        <v>59821968</v>
      </c>
      <c r="F1512" s="4" t="s">
        <v>766</v>
      </c>
      <c r="G1512" t="s">
        <v>565</v>
      </c>
      <c r="H1512" t="e">
        <f>VLOOKUP(C1512,'[1]873'!$C$2:$C$711,1,0)</f>
        <v>#N/A</v>
      </c>
    </row>
    <row r="1513" spans="1:8" ht="15" customHeight="1" x14ac:dyDescent="0.25">
      <c r="A1513" s="3">
        <v>45649</v>
      </c>
      <c r="B1513" s="43">
        <v>2024003631</v>
      </c>
      <c r="C1513" s="4" t="s">
        <v>648</v>
      </c>
      <c r="D1513" s="5">
        <v>4825000</v>
      </c>
      <c r="E1513" s="4">
        <v>30732782</v>
      </c>
      <c r="F1513" s="4" t="s">
        <v>245</v>
      </c>
      <c r="G1513" t="s">
        <v>565</v>
      </c>
      <c r="H1513" t="e">
        <f>VLOOKUP(C1513,'[1]873'!$C$2:$C$711,1,0)</f>
        <v>#N/A</v>
      </c>
    </row>
    <row r="1514" spans="1:8" ht="15" customHeight="1" x14ac:dyDescent="0.25">
      <c r="A1514" s="3">
        <v>45649</v>
      </c>
      <c r="B1514" s="43">
        <v>2024003632</v>
      </c>
      <c r="C1514" s="4" t="s">
        <v>857</v>
      </c>
      <c r="D1514" s="5">
        <v>2500000</v>
      </c>
      <c r="E1514" s="4">
        <v>37082480</v>
      </c>
      <c r="F1514" s="4" t="s">
        <v>858</v>
      </c>
      <c r="G1514" t="s">
        <v>565</v>
      </c>
      <c r="H1514" t="e">
        <f>VLOOKUP(C1514,'[1]873'!$C$2:$C$711,1,0)</f>
        <v>#N/A</v>
      </c>
    </row>
    <row r="1515" spans="1:8" ht="15" customHeight="1" x14ac:dyDescent="0.25">
      <c r="A1515" s="3">
        <v>45649</v>
      </c>
      <c r="B1515" s="43">
        <v>2024003633</v>
      </c>
      <c r="C1515" s="4" t="s">
        <v>786</v>
      </c>
      <c r="D1515" s="5">
        <v>3000000</v>
      </c>
      <c r="E1515" s="4">
        <v>69028150</v>
      </c>
      <c r="F1515" s="4" t="s">
        <v>171</v>
      </c>
      <c r="G1515" t="s">
        <v>565</v>
      </c>
      <c r="H1515" t="e">
        <f>VLOOKUP(C1515,'[1]873'!$C$2:$C$711,1,0)</f>
        <v>#N/A</v>
      </c>
    </row>
    <row r="1516" spans="1:8" ht="15" customHeight="1" x14ac:dyDescent="0.25">
      <c r="A1516" s="3">
        <v>45649</v>
      </c>
      <c r="B1516" s="43">
        <v>2024003634</v>
      </c>
      <c r="C1516" s="4" t="s">
        <v>771</v>
      </c>
      <c r="D1516" s="5">
        <v>2500000</v>
      </c>
      <c r="E1516" s="4">
        <v>1085327836</v>
      </c>
      <c r="F1516" s="4" t="s">
        <v>283</v>
      </c>
      <c r="G1516" t="s">
        <v>565</v>
      </c>
      <c r="H1516" t="e">
        <f>VLOOKUP(C1516,'[1]873'!$C$2:$C$711,1,0)</f>
        <v>#N/A</v>
      </c>
    </row>
    <row r="1517" spans="1:8" ht="15" customHeight="1" x14ac:dyDescent="0.25">
      <c r="A1517" s="3">
        <v>45649</v>
      </c>
      <c r="B1517" s="43">
        <v>2024003635</v>
      </c>
      <c r="C1517" s="4" t="s">
        <v>763</v>
      </c>
      <c r="D1517" s="5">
        <v>3000000</v>
      </c>
      <c r="E1517" s="4">
        <v>36752202</v>
      </c>
      <c r="F1517" s="4" t="s">
        <v>263</v>
      </c>
      <c r="G1517" t="s">
        <v>565</v>
      </c>
      <c r="H1517" t="e">
        <f>VLOOKUP(C1517,'[1]873'!$C$2:$C$711,1,0)</f>
        <v>#N/A</v>
      </c>
    </row>
    <row r="1518" spans="1:8" ht="15" customHeight="1" x14ac:dyDescent="0.25">
      <c r="A1518" s="3">
        <v>45649</v>
      </c>
      <c r="B1518" s="43">
        <v>2024003636</v>
      </c>
      <c r="C1518" s="4" t="s">
        <v>862</v>
      </c>
      <c r="D1518" s="5">
        <v>3000000</v>
      </c>
      <c r="E1518" s="4">
        <v>1085300095</v>
      </c>
      <c r="F1518" s="4" t="s">
        <v>201</v>
      </c>
      <c r="G1518" t="s">
        <v>565</v>
      </c>
      <c r="H1518" t="e">
        <f>VLOOKUP(C1518,'[1]873'!$C$2:$C$711,1,0)</f>
        <v>#N/A</v>
      </c>
    </row>
    <row r="1519" spans="1:8" ht="15" customHeight="1" x14ac:dyDescent="0.25">
      <c r="A1519" s="3">
        <v>45649</v>
      </c>
      <c r="B1519" s="43">
        <v>2024003637</v>
      </c>
      <c r="C1519" s="4" t="s">
        <v>957</v>
      </c>
      <c r="D1519" s="5">
        <v>4825000</v>
      </c>
      <c r="E1519" s="4">
        <v>31324345</v>
      </c>
      <c r="F1519" s="4" t="s">
        <v>958</v>
      </c>
      <c r="G1519" t="s">
        <v>565</v>
      </c>
      <c r="H1519" t="e">
        <f>VLOOKUP(C1519,'[1]873'!$C$2:$C$711,1,0)</f>
        <v>#N/A</v>
      </c>
    </row>
    <row r="1520" spans="1:8" ht="15" customHeight="1" x14ac:dyDescent="0.25">
      <c r="A1520" s="3">
        <v>45649</v>
      </c>
      <c r="B1520" s="43">
        <v>2024003638</v>
      </c>
      <c r="C1520" s="4" t="s">
        <v>919</v>
      </c>
      <c r="D1520" s="5">
        <v>3000000</v>
      </c>
      <c r="E1520" s="4">
        <v>1085260568</v>
      </c>
      <c r="F1520" s="4" t="s">
        <v>419</v>
      </c>
      <c r="G1520" t="s">
        <v>565</v>
      </c>
      <c r="H1520" t="e">
        <f>VLOOKUP(C1520,'[1]873'!$C$2:$C$711,1,0)</f>
        <v>#N/A</v>
      </c>
    </row>
    <row r="1521" spans="1:8" ht="15" customHeight="1" x14ac:dyDescent="0.25">
      <c r="A1521" s="3">
        <v>45649</v>
      </c>
      <c r="B1521" s="43">
        <v>2024003639</v>
      </c>
      <c r="C1521" s="4" t="s">
        <v>1015</v>
      </c>
      <c r="D1521" s="5">
        <v>4825000</v>
      </c>
      <c r="E1521" s="4">
        <v>1080900817</v>
      </c>
      <c r="F1521" s="4" t="s">
        <v>1016</v>
      </c>
      <c r="G1521" t="s">
        <v>565</v>
      </c>
      <c r="H1521" t="e">
        <f>VLOOKUP(C1521,'[1]873'!$C$2:$C$711,1,0)</f>
        <v>#N/A</v>
      </c>
    </row>
    <row r="1522" spans="1:8" ht="15" customHeight="1" x14ac:dyDescent="0.25">
      <c r="A1522" s="3">
        <v>45650</v>
      </c>
      <c r="B1522" s="43">
        <v>2024003640</v>
      </c>
      <c r="C1522" s="4" t="s">
        <v>704</v>
      </c>
      <c r="D1522" s="5">
        <v>4750000</v>
      </c>
      <c r="E1522" s="4">
        <v>36759759</v>
      </c>
      <c r="F1522" s="4" t="s">
        <v>705</v>
      </c>
      <c r="G1522" t="s">
        <v>565</v>
      </c>
      <c r="H1522" t="e">
        <f>VLOOKUP(C1522,'[1]873'!$C$2:$C$711,1,0)</f>
        <v>#N/A</v>
      </c>
    </row>
    <row r="1523" spans="1:8" ht="15" customHeight="1" x14ac:dyDescent="0.25">
      <c r="A1523" s="3">
        <v>45650</v>
      </c>
      <c r="B1523" s="43">
        <v>2024003641</v>
      </c>
      <c r="C1523" s="4" t="s">
        <v>894</v>
      </c>
      <c r="D1523" s="5">
        <v>6000000</v>
      </c>
      <c r="E1523" s="4">
        <v>1085272491</v>
      </c>
      <c r="F1523" s="4" t="s">
        <v>895</v>
      </c>
      <c r="G1523" t="s">
        <v>565</v>
      </c>
      <c r="H1523" t="e">
        <f>VLOOKUP(C1523,'[1]873'!$C$2:$C$711,1,0)</f>
        <v>#N/A</v>
      </c>
    </row>
    <row r="1524" spans="1:8" ht="15" customHeight="1" x14ac:dyDescent="0.25">
      <c r="A1524" s="3">
        <v>45650</v>
      </c>
      <c r="B1524" s="43">
        <v>2024003643</v>
      </c>
      <c r="C1524" s="4" t="s">
        <v>756</v>
      </c>
      <c r="D1524" s="5">
        <v>6000000</v>
      </c>
      <c r="E1524" s="4">
        <v>36757221</v>
      </c>
      <c r="F1524" s="4" t="s">
        <v>453</v>
      </c>
      <c r="G1524" t="s">
        <v>565</v>
      </c>
      <c r="H1524" t="e">
        <f>VLOOKUP(C1524,'[1]873'!$C$2:$C$711,1,0)</f>
        <v>#N/A</v>
      </c>
    </row>
    <row r="1525" spans="1:8" ht="15" customHeight="1" x14ac:dyDescent="0.25">
      <c r="A1525" s="3">
        <v>45650</v>
      </c>
      <c r="B1525" s="43">
        <v>2024003645</v>
      </c>
      <c r="C1525" s="4" t="s">
        <v>737</v>
      </c>
      <c r="D1525" s="5">
        <v>6000000</v>
      </c>
      <c r="E1525" s="4">
        <v>1085248939</v>
      </c>
      <c r="F1525" s="4" t="s">
        <v>437</v>
      </c>
      <c r="G1525" t="s">
        <v>565</v>
      </c>
      <c r="H1525" t="e">
        <f>VLOOKUP(C1525,'[1]873'!$C$2:$C$711,1,0)</f>
        <v>#N/A</v>
      </c>
    </row>
    <row r="1526" spans="1:8" ht="15" customHeight="1" x14ac:dyDescent="0.25">
      <c r="A1526" s="3">
        <v>45650</v>
      </c>
      <c r="B1526" s="43">
        <v>2024003646</v>
      </c>
      <c r="C1526" s="4" t="s">
        <v>709</v>
      </c>
      <c r="D1526" s="5">
        <v>4750000</v>
      </c>
      <c r="E1526" s="4">
        <v>1087414586</v>
      </c>
      <c r="F1526" s="4" t="s">
        <v>47</v>
      </c>
      <c r="G1526" t="s">
        <v>565</v>
      </c>
      <c r="H1526" t="e">
        <f>VLOOKUP(C1526,'[1]873'!$C$2:$C$711,1,0)</f>
        <v>#N/A</v>
      </c>
    </row>
    <row r="1527" spans="1:8" ht="15" customHeight="1" x14ac:dyDescent="0.25">
      <c r="A1527" s="3">
        <v>45650</v>
      </c>
      <c r="B1527" s="43">
        <v>2024003647</v>
      </c>
      <c r="C1527" s="4" t="s">
        <v>684</v>
      </c>
      <c r="D1527" s="5">
        <v>3000000</v>
      </c>
      <c r="E1527" s="4">
        <v>59310524</v>
      </c>
      <c r="F1527" s="4" t="s">
        <v>992</v>
      </c>
      <c r="G1527" t="s">
        <v>565</v>
      </c>
      <c r="H1527" t="e">
        <f>VLOOKUP(C1527,'[1]873'!$C$2:$C$711,1,0)</f>
        <v>#N/A</v>
      </c>
    </row>
    <row r="1528" spans="1:8" ht="15" customHeight="1" x14ac:dyDescent="0.25">
      <c r="A1528" s="3">
        <v>45650</v>
      </c>
      <c r="B1528" s="43">
        <v>2024003648</v>
      </c>
      <c r="C1528" s="4" t="s">
        <v>646</v>
      </c>
      <c r="D1528" s="5">
        <v>7540000</v>
      </c>
      <c r="E1528" s="4">
        <v>1085332934</v>
      </c>
      <c r="F1528" s="4" t="s">
        <v>379</v>
      </c>
      <c r="G1528" t="s">
        <v>565</v>
      </c>
      <c r="H1528" t="e">
        <f>VLOOKUP(C1528,'[1]873'!$C$2:$C$711,1,0)</f>
        <v>#N/A</v>
      </c>
    </row>
    <row r="1529" spans="1:8" ht="15" customHeight="1" x14ac:dyDescent="0.25">
      <c r="A1529" s="3">
        <v>45650</v>
      </c>
      <c r="B1529" s="43">
        <v>2024003649</v>
      </c>
      <c r="C1529" s="4" t="s">
        <v>645</v>
      </c>
      <c r="D1529" s="5">
        <v>7540000</v>
      </c>
      <c r="E1529" s="4">
        <v>1085320661</v>
      </c>
      <c r="F1529" s="4" t="s">
        <v>393</v>
      </c>
      <c r="G1529" t="s">
        <v>565</v>
      </c>
      <c r="H1529" t="e">
        <f>VLOOKUP(C1529,'[1]873'!$C$2:$C$711,1,0)</f>
        <v>#N/A</v>
      </c>
    </row>
    <row r="1530" spans="1:8" ht="15" customHeight="1" x14ac:dyDescent="0.25">
      <c r="A1530" s="3">
        <v>45650</v>
      </c>
      <c r="B1530" s="43">
        <v>2024003651</v>
      </c>
      <c r="C1530" s="4" t="s">
        <v>647</v>
      </c>
      <c r="D1530" s="5">
        <v>4825000</v>
      </c>
      <c r="E1530" s="4">
        <v>12748383</v>
      </c>
      <c r="F1530" s="4" t="s">
        <v>447</v>
      </c>
      <c r="G1530" t="s">
        <v>565</v>
      </c>
      <c r="H1530" t="e">
        <f>VLOOKUP(C1530,'[1]873'!$C$2:$C$711,1,0)</f>
        <v>#N/A</v>
      </c>
    </row>
    <row r="1531" spans="1:8" ht="15" customHeight="1" x14ac:dyDescent="0.25">
      <c r="A1531" s="3">
        <v>45650</v>
      </c>
      <c r="B1531" s="43">
        <v>2024003652</v>
      </c>
      <c r="C1531" s="4" t="s">
        <v>760</v>
      </c>
      <c r="D1531" s="5">
        <v>3000000</v>
      </c>
      <c r="E1531" s="4">
        <v>1004535234</v>
      </c>
      <c r="F1531" s="4" t="s">
        <v>507</v>
      </c>
      <c r="G1531" t="s">
        <v>565</v>
      </c>
      <c r="H1531" t="e">
        <f>VLOOKUP(C1531,'[1]873'!$C$2:$C$711,1,0)</f>
        <v>#N/A</v>
      </c>
    </row>
    <row r="1532" spans="1:8" ht="15" customHeight="1" x14ac:dyDescent="0.25">
      <c r="A1532" s="3">
        <v>45650</v>
      </c>
      <c r="B1532" s="43">
        <v>2024003653</v>
      </c>
      <c r="C1532" s="4" t="s">
        <v>990</v>
      </c>
      <c r="D1532" s="5">
        <v>3000000</v>
      </c>
      <c r="E1532" s="4">
        <v>1085283703</v>
      </c>
      <c r="F1532" s="4" t="s">
        <v>991</v>
      </c>
      <c r="G1532" t="s">
        <v>565</v>
      </c>
      <c r="H1532" t="e">
        <f>VLOOKUP(C1532,'[1]873'!$C$2:$C$711,1,0)</f>
        <v>#N/A</v>
      </c>
    </row>
    <row r="1533" spans="1:8" ht="15" customHeight="1" x14ac:dyDescent="0.25">
      <c r="A1533" s="3">
        <v>45650</v>
      </c>
      <c r="B1533" s="43">
        <v>2024003655</v>
      </c>
      <c r="C1533" s="4" t="s">
        <v>672</v>
      </c>
      <c r="D1533" s="5">
        <v>4750000</v>
      </c>
      <c r="E1533" s="4">
        <v>1087413951</v>
      </c>
      <c r="F1533" s="4" t="s">
        <v>95</v>
      </c>
      <c r="G1533" t="s">
        <v>565</v>
      </c>
      <c r="H1533" t="e">
        <f>VLOOKUP(C1533,'[1]873'!$C$2:$C$711,1,0)</f>
        <v>#N/A</v>
      </c>
    </row>
    <row r="1534" spans="1:8" ht="15" customHeight="1" x14ac:dyDescent="0.25">
      <c r="A1534" s="3">
        <v>45650</v>
      </c>
      <c r="B1534" s="43">
        <v>2024003656</v>
      </c>
      <c r="C1534" s="4" t="s">
        <v>784</v>
      </c>
      <c r="D1534" s="5">
        <v>3000000</v>
      </c>
      <c r="E1534" s="4">
        <v>1085319295</v>
      </c>
      <c r="F1534" s="4" t="s">
        <v>785</v>
      </c>
      <c r="G1534" t="s">
        <v>565</v>
      </c>
      <c r="H1534" t="e">
        <f>VLOOKUP(C1534,'[1]873'!$C$2:$C$711,1,0)</f>
        <v>#N/A</v>
      </c>
    </row>
    <row r="1535" spans="1:8" ht="15" customHeight="1" x14ac:dyDescent="0.25">
      <c r="A1535" s="3">
        <v>45650</v>
      </c>
      <c r="B1535" s="43">
        <v>2024003657</v>
      </c>
      <c r="C1535" s="4" t="s">
        <v>743</v>
      </c>
      <c r="D1535" s="5">
        <v>7540000</v>
      </c>
      <c r="E1535" s="4">
        <v>1085345430</v>
      </c>
      <c r="F1535" s="4" t="s">
        <v>359</v>
      </c>
      <c r="G1535" t="s">
        <v>565</v>
      </c>
      <c r="H1535" t="e">
        <f>VLOOKUP(C1535,'[1]873'!$C$2:$C$711,1,0)</f>
        <v>#N/A</v>
      </c>
    </row>
    <row r="1536" spans="1:8" ht="15" customHeight="1" x14ac:dyDescent="0.25">
      <c r="A1536" s="3">
        <v>45650</v>
      </c>
      <c r="B1536" s="43">
        <v>2024003658</v>
      </c>
      <c r="C1536" s="4" t="s">
        <v>993</v>
      </c>
      <c r="D1536" s="5">
        <v>3000000</v>
      </c>
      <c r="E1536" s="4">
        <v>1004508436</v>
      </c>
      <c r="F1536" s="4" t="s">
        <v>367</v>
      </c>
      <c r="G1536" t="s">
        <v>565</v>
      </c>
      <c r="H1536" t="e">
        <f>VLOOKUP(C1536,'[1]873'!$C$2:$C$711,1,0)</f>
        <v>#N/A</v>
      </c>
    </row>
    <row r="1537" spans="1:8" ht="15" customHeight="1" x14ac:dyDescent="0.25">
      <c r="A1537" s="3">
        <v>45650</v>
      </c>
      <c r="B1537" s="43">
        <v>2024003659</v>
      </c>
      <c r="C1537" s="4" t="s">
        <v>942</v>
      </c>
      <c r="D1537" s="5">
        <v>4825000</v>
      </c>
      <c r="E1537" s="4">
        <v>1086755334</v>
      </c>
      <c r="F1537" s="4" t="s">
        <v>943</v>
      </c>
      <c r="G1537" t="s">
        <v>565</v>
      </c>
      <c r="H1537" t="e">
        <f>VLOOKUP(C1537,'[1]873'!$C$2:$C$711,1,0)</f>
        <v>#N/A</v>
      </c>
    </row>
    <row r="1538" spans="1:8" ht="15" customHeight="1" x14ac:dyDescent="0.25">
      <c r="A1538" s="3">
        <v>45650</v>
      </c>
      <c r="B1538" s="43">
        <v>2024003660</v>
      </c>
      <c r="C1538" s="4" t="s">
        <v>1060</v>
      </c>
      <c r="D1538" s="5">
        <v>3000000</v>
      </c>
      <c r="E1538" s="4">
        <v>13069881</v>
      </c>
      <c r="F1538" s="4" t="s">
        <v>546</v>
      </c>
      <c r="G1538" t="s">
        <v>565</v>
      </c>
      <c r="H1538" t="e">
        <f>VLOOKUP(C1538,'[1]873'!$C$2:$C$711,1,0)</f>
        <v>#N/A</v>
      </c>
    </row>
    <row r="1539" spans="1:8" ht="15" customHeight="1" x14ac:dyDescent="0.25">
      <c r="A1539" s="3">
        <v>45650</v>
      </c>
      <c r="B1539" s="43">
        <v>2024003661</v>
      </c>
      <c r="C1539" s="4" t="s">
        <v>896</v>
      </c>
      <c r="D1539" s="5">
        <v>4825000</v>
      </c>
      <c r="E1539" s="4">
        <v>59310622</v>
      </c>
      <c r="F1539" s="4" t="s">
        <v>897</v>
      </c>
      <c r="G1539" t="s">
        <v>565</v>
      </c>
      <c r="H1539" t="e">
        <f>VLOOKUP(C1539,'[1]873'!$C$2:$C$711,1,0)</f>
        <v>#N/A</v>
      </c>
    </row>
    <row r="1540" spans="1:8" ht="15" customHeight="1" x14ac:dyDescent="0.25">
      <c r="A1540" s="3">
        <v>45650</v>
      </c>
      <c r="B1540" s="43">
        <v>2024003662</v>
      </c>
      <c r="C1540" s="4" t="s">
        <v>932</v>
      </c>
      <c r="D1540" s="5">
        <v>7540000</v>
      </c>
      <c r="E1540" s="4">
        <v>1085296958</v>
      </c>
      <c r="F1540" s="4" t="s">
        <v>401</v>
      </c>
      <c r="G1540" t="s">
        <v>565</v>
      </c>
      <c r="H1540" t="e">
        <f>VLOOKUP(C1540,'[1]873'!$C$2:$C$711,1,0)</f>
        <v>#N/A</v>
      </c>
    </row>
    <row r="1541" spans="1:8" ht="15" customHeight="1" x14ac:dyDescent="0.25">
      <c r="A1541" s="3">
        <v>45650</v>
      </c>
      <c r="B1541" s="43">
        <v>2024003663</v>
      </c>
      <c r="C1541" s="4" t="s">
        <v>744</v>
      </c>
      <c r="D1541" s="5">
        <v>7540000</v>
      </c>
      <c r="E1541" s="4">
        <v>1085293105</v>
      </c>
      <c r="F1541" s="4" t="s">
        <v>745</v>
      </c>
      <c r="G1541" t="s">
        <v>565</v>
      </c>
      <c r="H1541" t="e">
        <f>VLOOKUP(C1541,'[1]873'!$C$2:$C$711,1,0)</f>
        <v>#N/A</v>
      </c>
    </row>
    <row r="1542" spans="1:8" ht="15" customHeight="1" x14ac:dyDescent="0.25">
      <c r="A1542" s="3">
        <v>45650</v>
      </c>
      <c r="B1542" s="43">
        <v>2024003664</v>
      </c>
      <c r="C1542" s="4" t="s">
        <v>738</v>
      </c>
      <c r="D1542" s="5">
        <v>3000000</v>
      </c>
      <c r="E1542" s="4">
        <v>1004726758</v>
      </c>
      <c r="F1542" s="4" t="s">
        <v>365</v>
      </c>
      <c r="G1542" t="s">
        <v>565</v>
      </c>
      <c r="H1542" t="e">
        <f>VLOOKUP(C1542,'[1]873'!$C$2:$C$711,1,0)</f>
        <v>#N/A</v>
      </c>
    </row>
    <row r="1543" spans="1:8" ht="15" customHeight="1" x14ac:dyDescent="0.25">
      <c r="A1543" s="3">
        <v>45650</v>
      </c>
      <c r="B1543" s="43">
        <v>2024003665</v>
      </c>
      <c r="C1543" s="4" t="s">
        <v>1012</v>
      </c>
      <c r="D1543" s="5">
        <v>4825000</v>
      </c>
      <c r="E1543" s="4">
        <v>1085289539</v>
      </c>
      <c r="F1543" s="4" t="s">
        <v>1013</v>
      </c>
      <c r="G1543" t="s">
        <v>565</v>
      </c>
      <c r="H1543" t="e">
        <f>VLOOKUP(C1543,'[1]873'!$C$2:$C$711,1,0)</f>
        <v>#N/A</v>
      </c>
    </row>
    <row r="1544" spans="1:8" ht="15" customHeight="1" x14ac:dyDescent="0.25">
      <c r="A1544" s="3">
        <v>45650</v>
      </c>
      <c r="B1544" s="43">
        <v>2024003666</v>
      </c>
      <c r="C1544" s="4" t="s">
        <v>617</v>
      </c>
      <c r="D1544" s="5">
        <v>6000000</v>
      </c>
      <c r="E1544" s="4">
        <v>1082748420</v>
      </c>
      <c r="F1544" s="4" t="s">
        <v>450</v>
      </c>
      <c r="G1544" t="s">
        <v>565</v>
      </c>
      <c r="H1544" t="e">
        <f>VLOOKUP(C1544,'[1]873'!$C$2:$C$711,1,0)</f>
        <v>#N/A</v>
      </c>
    </row>
    <row r="1545" spans="1:8" ht="15" customHeight="1" x14ac:dyDescent="0.25">
      <c r="A1545" s="3">
        <v>45650</v>
      </c>
      <c r="B1545" s="43">
        <v>2024003667</v>
      </c>
      <c r="C1545" s="4" t="s">
        <v>940</v>
      </c>
      <c r="D1545" s="5">
        <v>3000000</v>
      </c>
      <c r="E1545" s="4">
        <v>59813323</v>
      </c>
      <c r="F1545" s="4" t="s">
        <v>103</v>
      </c>
      <c r="G1545" t="s">
        <v>565</v>
      </c>
      <c r="H1545" t="e">
        <f>VLOOKUP(C1545,'[1]873'!$C$2:$C$711,1,0)</f>
        <v>#N/A</v>
      </c>
    </row>
    <row r="1546" spans="1:8" ht="15" customHeight="1" x14ac:dyDescent="0.25">
      <c r="A1546" s="3">
        <v>45650</v>
      </c>
      <c r="B1546" s="43">
        <v>2024003668</v>
      </c>
      <c r="C1546" s="4" t="s">
        <v>829</v>
      </c>
      <c r="D1546" s="5">
        <v>3000000</v>
      </c>
      <c r="E1546" s="4">
        <v>1085286742</v>
      </c>
      <c r="F1546" s="4" t="s">
        <v>75</v>
      </c>
      <c r="G1546" t="s">
        <v>565</v>
      </c>
      <c r="H1546" t="e">
        <f>VLOOKUP(C1546,'[1]873'!$C$2:$C$711,1,0)</f>
        <v>#N/A</v>
      </c>
    </row>
    <row r="1547" spans="1:8" ht="15" customHeight="1" x14ac:dyDescent="0.25">
      <c r="A1547" s="3">
        <v>45650</v>
      </c>
      <c r="B1547" s="43">
        <v>2024003669</v>
      </c>
      <c r="C1547" s="4" t="s">
        <v>1057</v>
      </c>
      <c r="D1547" s="5">
        <v>3000000</v>
      </c>
      <c r="E1547" s="4">
        <v>1004437571</v>
      </c>
      <c r="F1547" s="4" t="s">
        <v>580</v>
      </c>
      <c r="G1547" t="s">
        <v>565</v>
      </c>
      <c r="H1547" t="e">
        <f>VLOOKUP(C1547,'[1]873'!$C$2:$C$711,1,0)</f>
        <v>#N/A</v>
      </c>
    </row>
    <row r="1548" spans="1:8" ht="15" customHeight="1" x14ac:dyDescent="0.25">
      <c r="A1548" s="3">
        <v>45650</v>
      </c>
      <c r="B1548" s="43">
        <v>2024003670</v>
      </c>
      <c r="C1548" s="4" t="s">
        <v>680</v>
      </c>
      <c r="D1548" s="5">
        <v>3000000</v>
      </c>
      <c r="E1548" s="4">
        <v>1085290651</v>
      </c>
      <c r="F1548" s="4" t="s">
        <v>325</v>
      </c>
      <c r="G1548" t="s">
        <v>565</v>
      </c>
      <c r="H1548" t="e">
        <f>VLOOKUP(C1548,'[1]873'!$C$2:$C$711,1,0)</f>
        <v>#N/A</v>
      </c>
    </row>
    <row r="1549" spans="1:8" ht="15" customHeight="1" x14ac:dyDescent="0.25">
      <c r="A1549" s="3">
        <v>45650</v>
      </c>
      <c r="B1549" s="43">
        <v>2024003671</v>
      </c>
      <c r="C1549" s="4" t="s">
        <v>722</v>
      </c>
      <c r="D1549" s="5">
        <v>3000000</v>
      </c>
      <c r="E1549" s="4">
        <v>1086329609</v>
      </c>
      <c r="F1549" s="4" t="s">
        <v>443</v>
      </c>
      <c r="G1549" t="s">
        <v>565</v>
      </c>
      <c r="H1549" t="e">
        <f>VLOOKUP(C1549,'[1]873'!$C$2:$C$711,1,0)</f>
        <v>#N/A</v>
      </c>
    </row>
    <row r="1550" spans="1:8" ht="15" customHeight="1" x14ac:dyDescent="0.25">
      <c r="A1550" s="3">
        <v>45650</v>
      </c>
      <c r="B1550" s="43">
        <v>2024003672</v>
      </c>
      <c r="C1550" s="4" t="s">
        <v>669</v>
      </c>
      <c r="D1550" s="5">
        <v>6000000</v>
      </c>
      <c r="E1550" s="4">
        <v>1193223736</v>
      </c>
      <c r="F1550" s="4" t="s">
        <v>670</v>
      </c>
      <c r="G1550" t="s">
        <v>565</v>
      </c>
      <c r="H1550" t="e">
        <f>VLOOKUP(C1550,'[1]873'!$C$2:$C$711,1,0)</f>
        <v>#N/A</v>
      </c>
    </row>
    <row r="1551" spans="1:8" ht="15" customHeight="1" x14ac:dyDescent="0.25">
      <c r="A1551" s="3">
        <v>45650</v>
      </c>
      <c r="B1551" s="43">
        <v>2024003673</v>
      </c>
      <c r="C1551" s="4" t="s">
        <v>751</v>
      </c>
      <c r="D1551" s="5">
        <v>4750000</v>
      </c>
      <c r="E1551" s="4">
        <v>1233192618</v>
      </c>
      <c r="F1551" s="4" t="s">
        <v>351</v>
      </c>
      <c r="G1551" t="s">
        <v>565</v>
      </c>
      <c r="H1551" t="e">
        <f>VLOOKUP(C1551,'[1]873'!$C$2:$C$711,1,0)</f>
        <v>#N/A</v>
      </c>
    </row>
    <row r="1552" spans="1:8" ht="15" customHeight="1" x14ac:dyDescent="0.25">
      <c r="A1552" s="3">
        <v>45650</v>
      </c>
      <c r="B1552" s="43">
        <v>2024003674</v>
      </c>
      <c r="C1552" s="4" t="s">
        <v>1039</v>
      </c>
      <c r="D1552" s="5">
        <v>4750000</v>
      </c>
      <c r="E1552" s="4">
        <v>1087422930</v>
      </c>
      <c r="F1552" s="4" t="s">
        <v>253</v>
      </c>
      <c r="G1552" t="s">
        <v>565</v>
      </c>
      <c r="H1552" t="e">
        <f>VLOOKUP(C1552,'[1]873'!$C$2:$C$711,1,0)</f>
        <v>#N/A</v>
      </c>
    </row>
    <row r="1553" spans="1:8" ht="15" customHeight="1" x14ac:dyDescent="0.25">
      <c r="A1553" s="3">
        <v>45650</v>
      </c>
      <c r="B1553" s="43">
        <v>2024003675</v>
      </c>
      <c r="C1553" s="4" t="s">
        <v>1042</v>
      </c>
      <c r="D1553" s="5">
        <v>3000000</v>
      </c>
      <c r="E1553" s="4">
        <v>1088733625</v>
      </c>
      <c r="F1553" s="4" t="s">
        <v>559</v>
      </c>
      <c r="G1553" t="s">
        <v>565</v>
      </c>
      <c r="H1553" t="e">
        <f>VLOOKUP(C1553,'[1]873'!$C$2:$C$711,1,0)</f>
        <v>#N/A</v>
      </c>
    </row>
    <row r="1554" spans="1:8" ht="15" customHeight="1" x14ac:dyDescent="0.25">
      <c r="A1554" s="3">
        <v>45650</v>
      </c>
      <c r="B1554" s="43">
        <v>2024003676</v>
      </c>
      <c r="C1554" s="4" t="s">
        <v>964</v>
      </c>
      <c r="D1554" s="5">
        <v>7540000</v>
      </c>
      <c r="E1554" s="4">
        <v>1085291725</v>
      </c>
      <c r="F1554" s="4" t="s">
        <v>965</v>
      </c>
      <c r="G1554" t="s">
        <v>565</v>
      </c>
      <c r="H1554" t="e">
        <f>VLOOKUP(C1554,'[1]873'!$C$2:$C$711,1,0)</f>
        <v>#N/A</v>
      </c>
    </row>
    <row r="1555" spans="1:8" ht="15" customHeight="1" x14ac:dyDescent="0.25">
      <c r="A1555" s="3">
        <v>45650</v>
      </c>
      <c r="B1555" s="43">
        <v>2024003677</v>
      </c>
      <c r="C1555" s="4" t="s">
        <v>876</v>
      </c>
      <c r="D1555" s="5">
        <v>4825000</v>
      </c>
      <c r="E1555" s="4">
        <v>59314451</v>
      </c>
      <c r="F1555" s="4" t="s">
        <v>141</v>
      </c>
      <c r="G1555" t="s">
        <v>565</v>
      </c>
      <c r="H1555" t="e">
        <f>VLOOKUP(C1555,'[1]873'!$C$2:$C$711,1,0)</f>
        <v>#N/A</v>
      </c>
    </row>
    <row r="1556" spans="1:8" ht="15" customHeight="1" x14ac:dyDescent="0.25">
      <c r="A1556" s="3">
        <v>45650</v>
      </c>
      <c r="B1556" s="43">
        <v>2024003678</v>
      </c>
      <c r="C1556" s="4" t="s">
        <v>714</v>
      </c>
      <c r="D1556" s="5">
        <v>4750000</v>
      </c>
      <c r="E1556" s="4">
        <v>59824313</v>
      </c>
      <c r="F1556" s="4" t="s">
        <v>151</v>
      </c>
      <c r="G1556" t="s">
        <v>565</v>
      </c>
      <c r="H1556" t="e">
        <f>VLOOKUP(C1556,'[1]873'!$C$2:$C$711,1,0)</f>
        <v>#N/A</v>
      </c>
    </row>
    <row r="1557" spans="1:8" ht="15" customHeight="1" x14ac:dyDescent="0.25">
      <c r="A1557" s="3">
        <v>45650</v>
      </c>
      <c r="B1557" s="43">
        <v>2024003679</v>
      </c>
      <c r="C1557" s="4" t="s">
        <v>630</v>
      </c>
      <c r="D1557" s="5">
        <v>3000000</v>
      </c>
      <c r="E1557" s="4">
        <v>1004635031</v>
      </c>
      <c r="F1557" s="4" t="s">
        <v>397</v>
      </c>
      <c r="G1557" t="s">
        <v>565</v>
      </c>
      <c r="H1557" t="e">
        <f>VLOOKUP(C1557,'[1]873'!$C$2:$C$711,1,0)</f>
        <v>#N/A</v>
      </c>
    </row>
    <row r="1558" spans="1:8" ht="15" customHeight="1" x14ac:dyDescent="0.25">
      <c r="A1558" s="3">
        <v>45650</v>
      </c>
      <c r="B1558" s="43">
        <v>2024003680</v>
      </c>
      <c r="C1558" s="4" t="s">
        <v>912</v>
      </c>
      <c r="D1558" s="5">
        <v>2500000</v>
      </c>
      <c r="E1558" s="4">
        <v>1085338135</v>
      </c>
      <c r="F1558" s="4" t="s">
        <v>369</v>
      </c>
      <c r="G1558" t="s">
        <v>565</v>
      </c>
      <c r="H1558" t="e">
        <f>VLOOKUP(C1558,'[1]873'!$C$2:$C$711,1,0)</f>
        <v>#N/A</v>
      </c>
    </row>
    <row r="1559" spans="1:8" ht="15" customHeight="1" x14ac:dyDescent="0.25">
      <c r="A1559" s="3">
        <v>45650</v>
      </c>
      <c r="B1559" s="43">
        <v>2024003681</v>
      </c>
      <c r="C1559" s="4" t="s">
        <v>685</v>
      </c>
      <c r="D1559" s="5">
        <v>6000000</v>
      </c>
      <c r="E1559" s="4">
        <v>1089242085</v>
      </c>
      <c r="F1559" s="4" t="s">
        <v>19</v>
      </c>
      <c r="G1559" t="s">
        <v>565</v>
      </c>
      <c r="H1559" t="e">
        <f>VLOOKUP(C1559,'[1]873'!$C$2:$C$711,1,0)</f>
        <v>#N/A</v>
      </c>
    </row>
    <row r="1560" spans="1:8" ht="15" customHeight="1" x14ac:dyDescent="0.25">
      <c r="A1560" s="3">
        <v>45650</v>
      </c>
      <c r="B1560" s="43">
        <v>2024003682</v>
      </c>
      <c r="C1560" s="4" t="s">
        <v>780</v>
      </c>
      <c r="D1560" s="5">
        <v>4825000</v>
      </c>
      <c r="E1560" s="4">
        <v>1085311814</v>
      </c>
      <c r="F1560" s="4" t="s">
        <v>781</v>
      </c>
      <c r="G1560" t="s">
        <v>565</v>
      </c>
      <c r="H1560" t="e">
        <f>VLOOKUP(C1560,'[1]873'!$C$2:$C$711,1,0)</f>
        <v>#N/A</v>
      </c>
    </row>
    <row r="1561" spans="1:8" ht="15" customHeight="1" x14ac:dyDescent="0.25">
      <c r="A1561" s="3">
        <v>45650</v>
      </c>
      <c r="B1561" s="43">
        <v>2024003683</v>
      </c>
      <c r="C1561" s="4" t="s">
        <v>941</v>
      </c>
      <c r="D1561" s="5">
        <v>4825000</v>
      </c>
      <c r="E1561" s="4">
        <v>1085332406</v>
      </c>
      <c r="F1561" s="4" t="s">
        <v>273</v>
      </c>
      <c r="G1561" t="s">
        <v>565</v>
      </c>
      <c r="H1561" t="e">
        <f>VLOOKUP(C1561,'[1]873'!$C$2:$C$711,1,0)</f>
        <v>#N/A</v>
      </c>
    </row>
    <row r="1562" spans="1:8" ht="15" customHeight="1" x14ac:dyDescent="0.25">
      <c r="A1562" s="3">
        <v>45650</v>
      </c>
      <c r="B1562" s="43">
        <v>2024003684</v>
      </c>
      <c r="C1562" s="4" t="s">
        <v>1076</v>
      </c>
      <c r="D1562" s="5">
        <v>3000000</v>
      </c>
      <c r="E1562" s="4">
        <v>1193273142</v>
      </c>
      <c r="F1562" s="4" t="s">
        <v>1077</v>
      </c>
      <c r="G1562" t="s">
        <v>565</v>
      </c>
      <c r="H1562" t="e">
        <f>VLOOKUP(C1562,'[1]873'!$C$2:$C$711,1,0)</f>
        <v>#N/A</v>
      </c>
    </row>
    <row r="1563" spans="1:8" ht="15" customHeight="1" x14ac:dyDescent="0.25">
      <c r="A1563" s="3">
        <v>45650</v>
      </c>
      <c r="B1563" s="43">
        <v>2024003685</v>
      </c>
      <c r="C1563" s="4" t="s">
        <v>713</v>
      </c>
      <c r="D1563" s="5">
        <v>3000000</v>
      </c>
      <c r="E1563" s="4">
        <v>1086328142</v>
      </c>
      <c r="F1563" s="4" t="s">
        <v>470</v>
      </c>
      <c r="G1563" t="s">
        <v>565</v>
      </c>
      <c r="H1563" t="e">
        <f>VLOOKUP(C1563,'[1]873'!$C$2:$C$711,1,0)</f>
        <v>#N/A</v>
      </c>
    </row>
    <row r="1564" spans="1:8" ht="15" customHeight="1" x14ac:dyDescent="0.25">
      <c r="A1564" s="3">
        <v>45650</v>
      </c>
      <c r="B1564" s="43">
        <v>2024003686</v>
      </c>
      <c r="C1564" s="4" t="s">
        <v>734</v>
      </c>
      <c r="D1564" s="5">
        <v>4750000</v>
      </c>
      <c r="E1564" s="4">
        <v>1085343783</v>
      </c>
      <c r="F1564" s="4" t="s">
        <v>735</v>
      </c>
      <c r="G1564" t="s">
        <v>565</v>
      </c>
      <c r="H1564" t="e">
        <f>VLOOKUP(C1564,'[1]873'!$C$2:$C$711,1,0)</f>
        <v>#N/A</v>
      </c>
    </row>
    <row r="1565" spans="1:8" ht="15" customHeight="1" x14ac:dyDescent="0.25">
      <c r="A1565" s="3">
        <v>45650</v>
      </c>
      <c r="B1565" s="43">
        <v>2024003687</v>
      </c>
      <c r="C1565" s="4" t="s">
        <v>843</v>
      </c>
      <c r="D1565" s="5">
        <v>4825000</v>
      </c>
      <c r="E1565" s="4">
        <v>1085321578</v>
      </c>
      <c r="F1565" s="4" t="s">
        <v>275</v>
      </c>
      <c r="G1565" t="s">
        <v>565</v>
      </c>
      <c r="H1565" t="e">
        <f>VLOOKUP(C1565,'[1]873'!$C$2:$C$711,1,0)</f>
        <v>#N/A</v>
      </c>
    </row>
    <row r="1566" spans="1:8" ht="15" customHeight="1" x14ac:dyDescent="0.25">
      <c r="A1566" s="3">
        <v>45650</v>
      </c>
      <c r="B1566" s="43">
        <v>2024003688</v>
      </c>
      <c r="C1566" s="4" t="s">
        <v>725</v>
      </c>
      <c r="D1566" s="5">
        <v>4825000</v>
      </c>
      <c r="E1566" s="4">
        <v>27088141</v>
      </c>
      <c r="F1566" s="4" t="s">
        <v>515</v>
      </c>
      <c r="G1566" t="s">
        <v>565</v>
      </c>
      <c r="H1566" t="e">
        <f>VLOOKUP(C1566,'[1]873'!$C$2:$C$711,1,0)</f>
        <v>#N/A</v>
      </c>
    </row>
    <row r="1567" spans="1:8" ht="15" customHeight="1" x14ac:dyDescent="0.25">
      <c r="A1567" s="3">
        <v>45650</v>
      </c>
      <c r="B1567" s="43">
        <v>2024003689</v>
      </c>
      <c r="C1567" s="4" t="s">
        <v>733</v>
      </c>
      <c r="D1567" s="5">
        <v>3000000</v>
      </c>
      <c r="E1567" s="4">
        <v>1085327677</v>
      </c>
      <c r="F1567" s="4" t="s">
        <v>215</v>
      </c>
      <c r="G1567" t="s">
        <v>565</v>
      </c>
      <c r="H1567" t="e">
        <f>VLOOKUP(C1567,'[1]873'!$C$2:$C$711,1,0)</f>
        <v>#N/A</v>
      </c>
    </row>
    <row r="1568" spans="1:8" ht="15" customHeight="1" x14ac:dyDescent="0.25">
      <c r="A1568" s="3">
        <v>45650</v>
      </c>
      <c r="B1568" s="43">
        <v>2024003690</v>
      </c>
      <c r="C1568" s="4" t="s">
        <v>598</v>
      </c>
      <c r="D1568" s="5">
        <v>90846333</v>
      </c>
      <c r="E1568" s="4">
        <v>90846333</v>
      </c>
      <c r="F1568" s="4" t="s">
        <v>269</v>
      </c>
      <c r="G1568" t="s">
        <v>565</v>
      </c>
      <c r="H1568" t="e">
        <f>VLOOKUP(C1568,'[1]873'!$C$2:$C$711,1,0)</f>
        <v>#N/A</v>
      </c>
    </row>
    <row r="1569" spans="1:8" ht="15" customHeight="1" x14ac:dyDescent="0.25">
      <c r="A1569" s="3">
        <v>45650</v>
      </c>
      <c r="B1569" s="43">
        <v>2024003691</v>
      </c>
      <c r="C1569" s="4" t="s">
        <v>951</v>
      </c>
      <c r="D1569" s="5">
        <v>7540000</v>
      </c>
      <c r="E1569" s="4">
        <v>1085251158</v>
      </c>
      <c r="F1569" s="4" t="s">
        <v>952</v>
      </c>
      <c r="G1569" t="s">
        <v>565</v>
      </c>
      <c r="H1569" t="e">
        <f>VLOOKUP(C1569,'[1]873'!$C$2:$C$711,1,0)</f>
        <v>#N/A</v>
      </c>
    </row>
    <row r="1570" spans="1:8" ht="15" customHeight="1" x14ac:dyDescent="0.25">
      <c r="A1570" s="3">
        <v>45650</v>
      </c>
      <c r="B1570" s="43">
        <v>2024003692</v>
      </c>
      <c r="C1570" s="4" t="s">
        <v>922</v>
      </c>
      <c r="D1570" s="5">
        <v>3000000</v>
      </c>
      <c r="E1570" s="4">
        <v>1193218691</v>
      </c>
      <c r="F1570" s="4" t="s">
        <v>191</v>
      </c>
      <c r="G1570" t="s">
        <v>565</v>
      </c>
      <c r="H1570" t="e">
        <f>VLOOKUP(C1570,'[1]873'!$C$2:$C$711,1,0)</f>
        <v>#N/A</v>
      </c>
    </row>
    <row r="1571" spans="1:8" ht="15" customHeight="1" x14ac:dyDescent="0.25">
      <c r="A1571" s="3">
        <v>45650</v>
      </c>
      <c r="B1571" s="43">
        <v>2024003693</v>
      </c>
      <c r="C1571" s="4" t="s">
        <v>715</v>
      </c>
      <c r="D1571" s="5">
        <v>3000000</v>
      </c>
      <c r="E1571" s="4">
        <v>1085318688</v>
      </c>
      <c r="F1571" s="4" t="s">
        <v>427</v>
      </c>
      <c r="G1571" t="s">
        <v>565</v>
      </c>
      <c r="H1571" t="e">
        <f>VLOOKUP(C1571,'[1]873'!$C$2:$C$711,1,0)</f>
        <v>#N/A</v>
      </c>
    </row>
    <row r="1572" spans="1:8" ht="15" customHeight="1" x14ac:dyDescent="0.25">
      <c r="A1572" s="3">
        <v>45650</v>
      </c>
      <c r="B1572" s="43">
        <v>2024003694</v>
      </c>
      <c r="C1572" s="4" t="s">
        <v>907</v>
      </c>
      <c r="D1572" s="5">
        <v>6000000</v>
      </c>
      <c r="E1572" s="4">
        <v>1004131723</v>
      </c>
      <c r="F1572" s="4" t="s">
        <v>908</v>
      </c>
      <c r="G1572" t="s">
        <v>565</v>
      </c>
      <c r="H1572" t="e">
        <f>VLOOKUP(C1572,'[1]873'!$C$2:$C$711,1,0)</f>
        <v>#N/A</v>
      </c>
    </row>
    <row r="1573" spans="1:8" ht="15" customHeight="1" x14ac:dyDescent="0.25">
      <c r="A1573" s="3">
        <v>45650</v>
      </c>
      <c r="B1573" s="43">
        <v>2024003695</v>
      </c>
      <c r="C1573" s="4" t="s">
        <v>888</v>
      </c>
      <c r="D1573" s="5">
        <v>7540000</v>
      </c>
      <c r="E1573" s="4">
        <v>1233193882</v>
      </c>
      <c r="F1573" s="4" t="s">
        <v>889</v>
      </c>
      <c r="G1573" t="s">
        <v>565</v>
      </c>
      <c r="H1573" t="e">
        <f>VLOOKUP(C1573,'[1]873'!$C$2:$C$711,1,0)</f>
        <v>#N/A</v>
      </c>
    </row>
    <row r="1574" spans="1:8" ht="15" customHeight="1" x14ac:dyDescent="0.25">
      <c r="A1574" s="3">
        <v>45650</v>
      </c>
      <c r="B1574" s="43">
        <v>2024003696</v>
      </c>
      <c r="C1574" s="4" t="s">
        <v>716</v>
      </c>
      <c r="D1574" s="5">
        <v>3000000</v>
      </c>
      <c r="E1574" s="4">
        <v>1085339190</v>
      </c>
      <c r="F1574" s="4" t="s">
        <v>149</v>
      </c>
      <c r="G1574" t="s">
        <v>565</v>
      </c>
      <c r="H1574" t="e">
        <f>VLOOKUP(C1574,'[1]873'!$C$2:$C$711,1,0)</f>
        <v>#N/A</v>
      </c>
    </row>
    <row r="1575" spans="1:8" ht="15" customHeight="1" x14ac:dyDescent="0.25">
      <c r="A1575" s="3">
        <v>45650</v>
      </c>
      <c r="B1575" s="43">
        <v>2024003697</v>
      </c>
      <c r="C1575" s="4" t="s">
        <v>808</v>
      </c>
      <c r="D1575" s="5">
        <v>3000000</v>
      </c>
      <c r="E1575" s="4">
        <v>1085330237</v>
      </c>
      <c r="F1575" s="4" t="s">
        <v>255</v>
      </c>
      <c r="G1575" t="s">
        <v>565</v>
      </c>
      <c r="H1575" t="e">
        <f>VLOOKUP(C1575,'[1]873'!$C$2:$C$711,1,0)</f>
        <v>#N/A</v>
      </c>
    </row>
    <row r="1576" spans="1:8" ht="15" customHeight="1" x14ac:dyDescent="0.25">
      <c r="A1576" s="3">
        <v>45650</v>
      </c>
      <c r="B1576" s="43">
        <v>2024003699</v>
      </c>
      <c r="C1576" s="4" t="s">
        <v>846</v>
      </c>
      <c r="D1576" s="5">
        <v>4825000</v>
      </c>
      <c r="E1576" s="4">
        <v>1085269530</v>
      </c>
      <c r="F1576" s="4" t="s">
        <v>333</v>
      </c>
      <c r="G1576" t="s">
        <v>565</v>
      </c>
      <c r="H1576" t="e">
        <f>VLOOKUP(C1576,'[1]873'!$C$2:$C$711,1,0)</f>
        <v>#N/A</v>
      </c>
    </row>
    <row r="1577" spans="1:8" ht="15" customHeight="1" x14ac:dyDescent="0.25">
      <c r="A1577" s="3">
        <v>45650</v>
      </c>
      <c r="B1577" s="43">
        <v>2024003701</v>
      </c>
      <c r="C1577" s="4" t="s">
        <v>975</v>
      </c>
      <c r="D1577" s="5">
        <v>2500000</v>
      </c>
      <c r="E1577" s="4">
        <v>1085268450</v>
      </c>
      <c r="F1577" s="4" t="s">
        <v>976</v>
      </c>
      <c r="G1577" t="s">
        <v>565</v>
      </c>
      <c r="H1577" t="e">
        <f>VLOOKUP(C1577,'[1]873'!$C$2:$C$711,1,0)</f>
        <v>#N/A</v>
      </c>
    </row>
    <row r="1578" spans="1:8" ht="15" customHeight="1" x14ac:dyDescent="0.25">
      <c r="A1578" s="3">
        <v>45650</v>
      </c>
      <c r="B1578" s="43">
        <v>2024003702</v>
      </c>
      <c r="C1578" s="4" t="s">
        <v>981</v>
      </c>
      <c r="D1578" s="5">
        <v>6000000</v>
      </c>
      <c r="E1578" s="4">
        <v>1233193716</v>
      </c>
      <c r="F1578" s="4" t="s">
        <v>597</v>
      </c>
      <c r="G1578" t="s">
        <v>565</v>
      </c>
      <c r="H1578" t="e">
        <f>VLOOKUP(C1578,'[1]873'!$C$2:$C$711,1,0)</f>
        <v>#N/A</v>
      </c>
    </row>
    <row r="1579" spans="1:8" ht="15" customHeight="1" x14ac:dyDescent="0.25">
      <c r="A1579" s="3">
        <v>45650</v>
      </c>
      <c r="B1579" s="43">
        <v>2024003703</v>
      </c>
      <c r="C1579" s="4" t="s">
        <v>968</v>
      </c>
      <c r="D1579" s="5">
        <v>7540000</v>
      </c>
      <c r="E1579" s="4">
        <v>1085327344</v>
      </c>
      <c r="F1579" s="4" t="s">
        <v>969</v>
      </c>
      <c r="G1579" t="s">
        <v>565</v>
      </c>
      <c r="H1579" t="e">
        <f>VLOOKUP(C1579,'[1]873'!$C$2:$C$711,1,0)</f>
        <v>#N/A</v>
      </c>
    </row>
    <row r="1580" spans="1:8" ht="15" customHeight="1" x14ac:dyDescent="0.25">
      <c r="A1580" s="3">
        <v>45650</v>
      </c>
      <c r="B1580" s="43">
        <v>2024003704</v>
      </c>
      <c r="C1580" s="4" t="s">
        <v>1078</v>
      </c>
      <c r="D1580" s="5">
        <v>195005000</v>
      </c>
      <c r="E1580" s="4">
        <v>900994364</v>
      </c>
      <c r="F1580" s="4" t="s">
        <v>269</v>
      </c>
      <c r="G1580" t="s">
        <v>565</v>
      </c>
      <c r="H1580" t="e">
        <f>VLOOKUP(C1580,'[1]873'!$C$2:$C$711,1,0)</f>
        <v>#N/A</v>
      </c>
    </row>
    <row r="1581" spans="1:8" ht="15" customHeight="1" x14ac:dyDescent="0.25">
      <c r="A1581" s="3">
        <v>45650</v>
      </c>
      <c r="B1581" s="43">
        <v>2024003705</v>
      </c>
      <c r="C1581" s="4" t="s">
        <v>762</v>
      </c>
      <c r="D1581" s="5">
        <v>2500000</v>
      </c>
      <c r="E1581" s="4">
        <v>36757715</v>
      </c>
      <c r="F1581" s="4" t="s">
        <v>313</v>
      </c>
      <c r="G1581" t="s">
        <v>565</v>
      </c>
      <c r="H1581" t="e">
        <f>VLOOKUP(C1581,'[1]873'!$C$2:$C$711,1,0)</f>
        <v>#N/A</v>
      </c>
    </row>
    <row r="1582" spans="1:8" ht="15" customHeight="1" x14ac:dyDescent="0.25">
      <c r="A1582" s="3">
        <v>45650</v>
      </c>
      <c r="B1582" s="43">
        <v>2024003706</v>
      </c>
      <c r="C1582" s="4" t="s">
        <v>1079</v>
      </c>
      <c r="D1582" s="5">
        <v>2500000</v>
      </c>
      <c r="E1582" s="4">
        <v>37083937</v>
      </c>
      <c r="F1582" s="4" t="s">
        <v>1080</v>
      </c>
      <c r="G1582" t="s">
        <v>565</v>
      </c>
      <c r="H1582" t="e">
        <f>VLOOKUP(C1582,'[1]873'!$C$2:$C$711,1,0)</f>
        <v>#N/A</v>
      </c>
    </row>
    <row r="1583" spans="1:8" ht="15" customHeight="1" x14ac:dyDescent="0.25">
      <c r="A1583" s="3">
        <v>45650</v>
      </c>
      <c r="B1583" s="43">
        <v>2024003707</v>
      </c>
      <c r="C1583" s="4" t="s">
        <v>726</v>
      </c>
      <c r="D1583" s="5">
        <v>2500000</v>
      </c>
      <c r="E1583" s="4">
        <v>1085314075</v>
      </c>
      <c r="F1583" s="4" t="s">
        <v>327</v>
      </c>
      <c r="G1583" t="s">
        <v>565</v>
      </c>
      <c r="H1583" t="e">
        <f>VLOOKUP(C1583,'[1]873'!$C$2:$C$711,1,0)</f>
        <v>#N/A</v>
      </c>
    </row>
    <row r="1584" spans="1:8" ht="15" customHeight="1" x14ac:dyDescent="0.25">
      <c r="A1584" s="3">
        <v>45650</v>
      </c>
      <c r="B1584" s="43">
        <v>2024003708</v>
      </c>
      <c r="C1584" s="4" t="s">
        <v>1058</v>
      </c>
      <c r="D1584" s="5">
        <v>4750000</v>
      </c>
      <c r="E1584" s="4">
        <v>1085245714</v>
      </c>
      <c r="F1584" s="4" t="s">
        <v>1059</v>
      </c>
      <c r="G1584" t="s">
        <v>565</v>
      </c>
      <c r="H1584" t="e">
        <f>VLOOKUP(C1584,'[1]873'!$C$2:$C$711,1,0)</f>
        <v>#N/A</v>
      </c>
    </row>
    <row r="1585" spans="1:8" ht="15" customHeight="1" x14ac:dyDescent="0.25">
      <c r="A1585" s="3">
        <v>45650</v>
      </c>
      <c r="B1585" s="43">
        <v>2024003709</v>
      </c>
      <c r="C1585" s="4" t="s">
        <v>719</v>
      </c>
      <c r="D1585" s="5">
        <v>2500000</v>
      </c>
      <c r="E1585" s="4">
        <v>27094521</v>
      </c>
      <c r="F1585" s="4" t="s">
        <v>285</v>
      </c>
      <c r="G1585" t="s">
        <v>565</v>
      </c>
      <c r="H1585" t="e">
        <f>VLOOKUP(C1585,'[1]873'!$C$2:$C$711,1,0)</f>
        <v>#N/A</v>
      </c>
    </row>
    <row r="1586" spans="1:8" ht="15" customHeight="1" x14ac:dyDescent="0.25">
      <c r="A1586" s="3">
        <v>45650</v>
      </c>
      <c r="B1586" s="43">
        <v>2024003711</v>
      </c>
      <c r="C1586" s="4" t="s">
        <v>796</v>
      </c>
      <c r="D1586" s="5">
        <v>3000000</v>
      </c>
      <c r="E1586" s="4">
        <v>59311295</v>
      </c>
      <c r="F1586" s="4" t="s">
        <v>797</v>
      </c>
      <c r="G1586" t="s">
        <v>565</v>
      </c>
      <c r="H1586" t="e">
        <f>VLOOKUP(C1586,'[1]873'!$C$2:$C$711,1,0)</f>
        <v>#N/A</v>
      </c>
    </row>
    <row r="1587" spans="1:8" ht="15" customHeight="1" x14ac:dyDescent="0.25">
      <c r="A1587" s="3">
        <v>45650</v>
      </c>
      <c r="B1587" s="43">
        <v>2024003712</v>
      </c>
      <c r="C1587" s="4" t="s">
        <v>871</v>
      </c>
      <c r="D1587" s="5">
        <v>7540000</v>
      </c>
      <c r="E1587" s="4">
        <v>12961407</v>
      </c>
      <c r="F1587" s="4" t="s">
        <v>309</v>
      </c>
      <c r="G1587" t="s">
        <v>565</v>
      </c>
      <c r="H1587" t="e">
        <f>VLOOKUP(C1587,'[1]873'!$C$2:$C$711,1,0)</f>
        <v>#N/A</v>
      </c>
    </row>
    <row r="1588" spans="1:8" ht="15" customHeight="1" x14ac:dyDescent="0.25">
      <c r="A1588" s="3">
        <v>45650</v>
      </c>
      <c r="B1588" s="43">
        <v>2024003713</v>
      </c>
      <c r="C1588" s="4" t="s">
        <v>975</v>
      </c>
      <c r="D1588" s="5">
        <v>2500000</v>
      </c>
      <c r="E1588" s="4">
        <v>1085268450</v>
      </c>
      <c r="F1588" s="4" t="s">
        <v>976</v>
      </c>
      <c r="G1588" t="s">
        <v>565</v>
      </c>
      <c r="H1588" t="e">
        <f>VLOOKUP(C1588,'[1]873'!$C$2:$C$711,1,0)</f>
        <v>#N/A</v>
      </c>
    </row>
    <row r="1589" spans="1:8" ht="15" customHeight="1" x14ac:dyDescent="0.25">
      <c r="A1589" s="3">
        <v>45650</v>
      </c>
      <c r="B1589" s="43">
        <v>2024003715</v>
      </c>
      <c r="C1589" s="4" t="s">
        <v>892</v>
      </c>
      <c r="D1589" s="5">
        <v>3000000</v>
      </c>
      <c r="E1589" s="4">
        <v>13070330</v>
      </c>
      <c r="F1589" s="4" t="s">
        <v>101</v>
      </c>
      <c r="G1589" t="s">
        <v>565</v>
      </c>
      <c r="H1589" t="e">
        <f>VLOOKUP(C1589,'[1]873'!$C$2:$C$711,1,0)</f>
        <v>#N/A</v>
      </c>
    </row>
    <row r="1590" spans="1:8" ht="15" customHeight="1" x14ac:dyDescent="0.25">
      <c r="A1590" s="3">
        <v>45650</v>
      </c>
      <c r="B1590" s="43">
        <v>2024003716</v>
      </c>
      <c r="C1590" s="4" t="s">
        <v>723</v>
      </c>
      <c r="D1590" s="5">
        <v>3000000</v>
      </c>
      <c r="E1590" s="4">
        <v>1080046034</v>
      </c>
      <c r="F1590" s="4" t="s">
        <v>724</v>
      </c>
      <c r="G1590" t="s">
        <v>565</v>
      </c>
      <c r="H1590" t="e">
        <f>VLOOKUP(C1590,'[1]873'!$C$2:$C$711,1,0)</f>
        <v>#N/A</v>
      </c>
    </row>
    <row r="1591" spans="1:8" ht="15" customHeight="1" x14ac:dyDescent="0.25">
      <c r="A1591" s="3">
        <v>45650</v>
      </c>
      <c r="B1591" s="43">
        <v>2024003717</v>
      </c>
      <c r="C1591" s="4" t="s">
        <v>801</v>
      </c>
      <c r="D1591" s="5">
        <v>2500000</v>
      </c>
      <c r="E1591" s="4">
        <v>12994466</v>
      </c>
      <c r="F1591" s="4" t="s">
        <v>802</v>
      </c>
      <c r="G1591" t="s">
        <v>565</v>
      </c>
      <c r="H1591" t="e">
        <f>VLOOKUP(C1591,'[1]873'!$C$2:$C$711,1,0)</f>
        <v>#N/A</v>
      </c>
    </row>
    <row r="1592" spans="1:8" ht="15" customHeight="1" x14ac:dyDescent="0.25">
      <c r="A1592" s="3">
        <v>45650</v>
      </c>
      <c r="B1592" s="43">
        <v>2024003718</v>
      </c>
      <c r="C1592" s="4" t="s">
        <v>787</v>
      </c>
      <c r="D1592" s="5">
        <v>4750000</v>
      </c>
      <c r="E1592" s="4">
        <v>1085324546</v>
      </c>
      <c r="F1592" s="4" t="s">
        <v>29</v>
      </c>
      <c r="G1592" t="s">
        <v>565</v>
      </c>
      <c r="H1592" t="e">
        <f>VLOOKUP(C1592,'[1]873'!$C$2:$C$711,1,0)</f>
        <v>#N/A</v>
      </c>
    </row>
    <row r="1593" spans="1:8" ht="15" customHeight="1" x14ac:dyDescent="0.25">
      <c r="A1593" s="3">
        <v>45650</v>
      </c>
      <c r="B1593" s="43">
        <v>2024003719</v>
      </c>
      <c r="C1593" s="4" t="s">
        <v>986</v>
      </c>
      <c r="D1593" s="5">
        <v>3000000</v>
      </c>
      <c r="E1593" s="4">
        <v>1086222977</v>
      </c>
      <c r="F1593" s="4" t="s">
        <v>987</v>
      </c>
      <c r="G1593" t="s">
        <v>565</v>
      </c>
      <c r="H1593" t="e">
        <f>VLOOKUP(C1593,'[1]873'!$C$2:$C$711,1,0)</f>
        <v>#N/A</v>
      </c>
    </row>
    <row r="1594" spans="1:8" ht="15" customHeight="1" x14ac:dyDescent="0.25">
      <c r="A1594" s="3">
        <v>45650</v>
      </c>
      <c r="B1594" s="43">
        <v>2024003720</v>
      </c>
      <c r="C1594" s="4" t="s">
        <v>752</v>
      </c>
      <c r="D1594" s="5">
        <v>7540000</v>
      </c>
      <c r="E1594" s="4">
        <v>1233189066</v>
      </c>
      <c r="F1594" s="4" t="s">
        <v>239</v>
      </c>
      <c r="G1594" t="s">
        <v>565</v>
      </c>
      <c r="H1594" t="e">
        <f>VLOOKUP(C1594,'[1]873'!$C$2:$C$711,1,0)</f>
        <v>#N/A</v>
      </c>
    </row>
    <row r="1595" spans="1:8" ht="15" customHeight="1" x14ac:dyDescent="0.25">
      <c r="A1595" s="3">
        <v>45650</v>
      </c>
      <c r="B1595" s="43">
        <v>2024003721</v>
      </c>
      <c r="C1595" s="4" t="s">
        <v>898</v>
      </c>
      <c r="D1595" s="5">
        <v>4750000</v>
      </c>
      <c r="E1595" s="4">
        <v>1085325342</v>
      </c>
      <c r="F1595" s="4" t="s">
        <v>23</v>
      </c>
      <c r="G1595" t="s">
        <v>565</v>
      </c>
      <c r="H1595" t="e">
        <f>VLOOKUP(C1595,'[1]873'!$C$2:$C$711,1,0)</f>
        <v>#N/A</v>
      </c>
    </row>
    <row r="1596" spans="1:8" ht="15" customHeight="1" x14ac:dyDescent="0.25">
      <c r="A1596" s="3">
        <v>45650</v>
      </c>
      <c r="B1596" s="43">
        <v>2024003723</v>
      </c>
      <c r="C1596" s="4" t="s">
        <v>898</v>
      </c>
      <c r="D1596" s="5">
        <v>4750000</v>
      </c>
      <c r="E1596" s="4">
        <v>1085325342</v>
      </c>
      <c r="F1596" s="4" t="s">
        <v>23</v>
      </c>
      <c r="G1596" t="s">
        <v>565</v>
      </c>
      <c r="H1596" t="e">
        <f>VLOOKUP(C1596,'[1]873'!$C$2:$C$711,1,0)</f>
        <v>#N/A</v>
      </c>
    </row>
    <row r="1597" spans="1:8" ht="15" customHeight="1" x14ac:dyDescent="0.25">
      <c r="A1597" s="3">
        <v>45650</v>
      </c>
      <c r="B1597" s="43">
        <v>2024003724</v>
      </c>
      <c r="C1597" s="4" t="s">
        <v>893</v>
      </c>
      <c r="D1597" s="5">
        <v>6000000</v>
      </c>
      <c r="E1597" s="4">
        <v>97470681</v>
      </c>
      <c r="F1597" s="4" t="s">
        <v>329</v>
      </c>
      <c r="G1597" t="s">
        <v>565</v>
      </c>
      <c r="H1597" t="e">
        <f>VLOOKUP(C1597,'[1]873'!$C$2:$C$711,1,0)</f>
        <v>#N/A</v>
      </c>
    </row>
    <row r="1598" spans="1:8" ht="15" customHeight="1" x14ac:dyDescent="0.25">
      <c r="A1598" s="3">
        <v>45650</v>
      </c>
      <c r="B1598" s="43">
        <v>2024003725</v>
      </c>
      <c r="C1598" s="4" t="s">
        <v>988</v>
      </c>
      <c r="D1598" s="5">
        <v>3000000</v>
      </c>
      <c r="E1598" s="4">
        <v>1085255829</v>
      </c>
      <c r="F1598" s="4" t="s">
        <v>989</v>
      </c>
      <c r="G1598" t="s">
        <v>565</v>
      </c>
      <c r="H1598" t="e">
        <f>VLOOKUP(C1598,'[1]873'!$C$2:$C$711,1,0)</f>
        <v>#N/A</v>
      </c>
    </row>
    <row r="1599" spans="1:8" ht="15" customHeight="1" x14ac:dyDescent="0.25">
      <c r="A1599" s="3">
        <v>45650</v>
      </c>
      <c r="B1599" s="43">
        <v>2024003726</v>
      </c>
      <c r="C1599" s="4" t="s">
        <v>736</v>
      </c>
      <c r="D1599" s="5">
        <v>6000000</v>
      </c>
      <c r="E1599" s="4">
        <v>36954410</v>
      </c>
      <c r="F1599" s="4" t="s">
        <v>343</v>
      </c>
      <c r="G1599" t="s">
        <v>565</v>
      </c>
      <c r="H1599" t="e">
        <f>VLOOKUP(C1599,'[1]873'!$C$2:$C$711,1,0)</f>
        <v>#N/A</v>
      </c>
    </row>
    <row r="1600" spans="1:8" ht="15" customHeight="1" x14ac:dyDescent="0.25">
      <c r="A1600" s="3">
        <v>45650</v>
      </c>
      <c r="B1600" s="43">
        <v>2024003732</v>
      </c>
      <c r="C1600" s="4" t="s">
        <v>698</v>
      </c>
      <c r="D1600" s="5">
        <v>2500000</v>
      </c>
      <c r="E1600" s="4">
        <v>36753698</v>
      </c>
      <c r="F1600" s="4" t="s">
        <v>383</v>
      </c>
      <c r="G1600" t="s">
        <v>565</v>
      </c>
      <c r="H1600" t="e">
        <f>VLOOKUP(C1600,'[1]873'!$C$2:$C$711,1,0)</f>
        <v>#N/A</v>
      </c>
    </row>
    <row r="1601" spans="1:8" ht="15" customHeight="1" x14ac:dyDescent="0.25">
      <c r="A1601" s="3">
        <v>45650</v>
      </c>
      <c r="B1601" s="43">
        <v>2024003733</v>
      </c>
      <c r="C1601" s="4" t="s">
        <v>566</v>
      </c>
      <c r="D1601" s="5">
        <v>3000000</v>
      </c>
      <c r="E1601" s="4">
        <v>1193035720</v>
      </c>
      <c r="F1601" s="4" t="s">
        <v>567</v>
      </c>
      <c r="G1601" t="s">
        <v>565</v>
      </c>
      <c r="H1601" t="e">
        <f>VLOOKUP(C1601,'[1]873'!$C$2:$C$711,1,0)</f>
        <v>#N/A</v>
      </c>
    </row>
    <row r="1602" spans="1:8" ht="15" customHeight="1" x14ac:dyDescent="0.25">
      <c r="A1602" s="3">
        <v>45650</v>
      </c>
      <c r="B1602" s="43">
        <v>2024003735</v>
      </c>
      <c r="C1602" s="4" t="s">
        <v>792</v>
      </c>
      <c r="D1602" s="5">
        <v>6000000</v>
      </c>
      <c r="E1602" s="4">
        <v>59588823</v>
      </c>
      <c r="F1602" s="4" t="s">
        <v>793</v>
      </c>
      <c r="G1602" t="s">
        <v>565</v>
      </c>
      <c r="H1602" t="e">
        <f>VLOOKUP(C1602,'[1]873'!$C$2:$C$711,1,0)</f>
        <v>#N/A</v>
      </c>
    </row>
    <row r="1603" spans="1:8" ht="15" customHeight="1" x14ac:dyDescent="0.25">
      <c r="A1603" s="3">
        <v>45650</v>
      </c>
      <c r="B1603" s="43">
        <v>2024003736</v>
      </c>
      <c r="C1603" s="4" t="s">
        <v>930</v>
      </c>
      <c r="D1603" s="5">
        <v>3000000</v>
      </c>
      <c r="E1603" s="4">
        <v>1085322676</v>
      </c>
      <c r="F1603" s="4" t="s">
        <v>931</v>
      </c>
      <c r="G1603" t="s">
        <v>565</v>
      </c>
      <c r="H1603" t="e">
        <f>VLOOKUP(C1603,'[1]873'!$C$2:$C$711,1,0)</f>
        <v>#N/A</v>
      </c>
    </row>
    <row r="1604" spans="1:8" ht="15" customHeight="1" x14ac:dyDescent="0.25">
      <c r="A1604" s="3">
        <v>45650</v>
      </c>
      <c r="B1604" s="43">
        <v>2024003737</v>
      </c>
      <c r="C1604" s="4" t="s">
        <v>1010</v>
      </c>
      <c r="D1604" s="5">
        <v>3000000</v>
      </c>
      <c r="E1604" s="4">
        <v>1004131976</v>
      </c>
      <c r="F1604" s="4" t="s">
        <v>1011</v>
      </c>
      <c r="G1604" t="s">
        <v>565</v>
      </c>
      <c r="H1604" t="e">
        <f>VLOOKUP(C1604,'[1]873'!$C$2:$C$711,1,0)</f>
        <v>#N/A</v>
      </c>
    </row>
    <row r="1605" spans="1:8" ht="15" customHeight="1" x14ac:dyDescent="0.25">
      <c r="A1605" s="3">
        <v>45650</v>
      </c>
      <c r="B1605" s="43">
        <v>2024003738</v>
      </c>
      <c r="C1605" s="4" t="s">
        <v>707</v>
      </c>
      <c r="D1605" s="5">
        <v>3000000</v>
      </c>
      <c r="E1605" s="4">
        <v>1085269090</v>
      </c>
      <c r="F1605" s="4" t="s">
        <v>371</v>
      </c>
      <c r="G1605" t="s">
        <v>565</v>
      </c>
      <c r="H1605" t="e">
        <f>VLOOKUP(C1605,'[1]873'!$C$2:$C$711,1,0)</f>
        <v>#N/A</v>
      </c>
    </row>
    <row r="1606" spans="1:8" ht="15" customHeight="1" x14ac:dyDescent="0.25">
      <c r="A1606" s="3">
        <v>45650</v>
      </c>
      <c r="B1606" s="43">
        <v>2024003739</v>
      </c>
      <c r="C1606" s="4" t="s">
        <v>909</v>
      </c>
      <c r="D1606" s="5">
        <v>7540000</v>
      </c>
      <c r="E1606" s="4">
        <v>1085312978</v>
      </c>
      <c r="F1606" s="4" t="s">
        <v>910</v>
      </c>
      <c r="G1606" t="s">
        <v>565</v>
      </c>
      <c r="H1606" t="e">
        <f>VLOOKUP(C1606,'[1]873'!$C$2:$C$711,1,0)</f>
        <v>#N/A</v>
      </c>
    </row>
    <row r="1607" spans="1:8" ht="15" customHeight="1" x14ac:dyDescent="0.25">
      <c r="A1607" s="3">
        <v>45650</v>
      </c>
      <c r="B1607" s="43">
        <v>2024003740</v>
      </c>
      <c r="C1607" s="4" t="s">
        <v>782</v>
      </c>
      <c r="D1607" s="5">
        <v>3000000</v>
      </c>
      <c r="E1607" s="4">
        <v>59833899</v>
      </c>
      <c r="F1607" s="4" t="s">
        <v>467</v>
      </c>
      <c r="G1607" t="s">
        <v>565</v>
      </c>
      <c r="H1607" t="e">
        <f>VLOOKUP(C1607,'[1]873'!$C$2:$C$711,1,0)</f>
        <v>#N/A</v>
      </c>
    </row>
    <row r="1608" spans="1:8" ht="15" customHeight="1" x14ac:dyDescent="0.25">
      <c r="A1608" s="3">
        <v>45650</v>
      </c>
      <c r="B1608" s="43">
        <v>2024003741</v>
      </c>
      <c r="C1608" s="4" t="s">
        <v>914</v>
      </c>
      <c r="D1608" s="5">
        <v>4750000</v>
      </c>
      <c r="E1608" s="4">
        <v>1018492767</v>
      </c>
      <c r="F1608" s="4" t="s">
        <v>915</v>
      </c>
      <c r="G1608" t="s">
        <v>565</v>
      </c>
      <c r="H1608" t="e">
        <f>VLOOKUP(C1608,'[1]873'!$C$2:$C$711,1,0)</f>
        <v>#N/A</v>
      </c>
    </row>
    <row r="1609" spans="1:8" ht="15" customHeight="1" x14ac:dyDescent="0.25">
      <c r="A1609" s="3">
        <v>45650</v>
      </c>
      <c r="B1609" s="43">
        <v>2024003742</v>
      </c>
      <c r="C1609" s="4" t="s">
        <v>690</v>
      </c>
      <c r="D1609" s="5">
        <v>2500000</v>
      </c>
      <c r="E1609" s="4">
        <v>1081595853</v>
      </c>
      <c r="F1609" s="4" t="s">
        <v>189</v>
      </c>
      <c r="G1609" t="s">
        <v>565</v>
      </c>
      <c r="H1609" t="e">
        <f>VLOOKUP(C1609,'[1]873'!$C$2:$C$711,1,0)</f>
        <v>#N/A</v>
      </c>
    </row>
    <row r="1610" spans="1:8" ht="15" customHeight="1" x14ac:dyDescent="0.25">
      <c r="A1610" s="3">
        <v>45650</v>
      </c>
      <c r="B1610" s="43">
        <v>2024003743</v>
      </c>
      <c r="C1610" s="4" t="s">
        <v>835</v>
      </c>
      <c r="D1610" s="5">
        <v>3000000</v>
      </c>
      <c r="E1610" s="4">
        <v>1081276146</v>
      </c>
      <c r="F1610" s="4" t="s">
        <v>836</v>
      </c>
      <c r="G1610" t="s">
        <v>565</v>
      </c>
      <c r="H1610" t="e">
        <f>VLOOKUP(C1610,'[1]873'!$C$2:$C$711,1,0)</f>
        <v>#N/A</v>
      </c>
    </row>
    <row r="1611" spans="1:8" ht="15" customHeight="1" x14ac:dyDescent="0.25">
      <c r="A1611" s="3">
        <v>45650</v>
      </c>
      <c r="B1611" s="43">
        <v>2024003744</v>
      </c>
      <c r="C1611" s="4" t="s">
        <v>623</v>
      </c>
      <c r="D1611" s="5">
        <v>4750000</v>
      </c>
      <c r="E1611" s="4">
        <v>1085260497</v>
      </c>
      <c r="F1611" s="4" t="s">
        <v>429</v>
      </c>
      <c r="G1611" t="s">
        <v>565</v>
      </c>
      <c r="H1611" t="e">
        <f>VLOOKUP(C1611,'[1]873'!$C$2:$C$711,1,0)</f>
        <v>#N/A</v>
      </c>
    </row>
    <row r="1612" spans="1:8" ht="15" customHeight="1" x14ac:dyDescent="0.25">
      <c r="A1612" s="3">
        <v>45650</v>
      </c>
      <c r="B1612" s="43">
        <v>2024003745</v>
      </c>
      <c r="C1612" s="4" t="s">
        <v>768</v>
      </c>
      <c r="D1612" s="5">
        <v>3000000</v>
      </c>
      <c r="E1612" s="4">
        <v>59314601</v>
      </c>
      <c r="F1612" s="4" t="s">
        <v>71</v>
      </c>
      <c r="G1612" t="s">
        <v>565</v>
      </c>
      <c r="H1612" t="e">
        <f>VLOOKUP(C1612,'[1]873'!$C$2:$C$711,1,0)</f>
        <v>#N/A</v>
      </c>
    </row>
    <row r="1613" spans="1:8" ht="15" customHeight="1" x14ac:dyDescent="0.25">
      <c r="A1613" s="3">
        <v>45650</v>
      </c>
      <c r="B1613" s="43">
        <v>2024003746</v>
      </c>
      <c r="C1613" s="4" t="s">
        <v>936</v>
      </c>
      <c r="D1613" s="5">
        <v>7540000</v>
      </c>
      <c r="E1613" s="4">
        <v>79800150</v>
      </c>
      <c r="F1613" s="4" t="s">
        <v>937</v>
      </c>
      <c r="G1613" t="s">
        <v>565</v>
      </c>
      <c r="H1613" t="e">
        <f>VLOOKUP(C1613,'[1]873'!$C$2:$C$711,1,0)</f>
        <v>#N/A</v>
      </c>
    </row>
    <row r="1614" spans="1:8" ht="15" customHeight="1" x14ac:dyDescent="0.25">
      <c r="A1614" s="3">
        <v>45650</v>
      </c>
      <c r="B1614" s="43">
        <v>2024003747</v>
      </c>
      <c r="C1614" s="4" t="s">
        <v>1028</v>
      </c>
      <c r="D1614" s="5">
        <v>2500000</v>
      </c>
      <c r="E1614" s="4">
        <v>12996869</v>
      </c>
      <c r="F1614" s="4" t="s">
        <v>1029</v>
      </c>
      <c r="G1614" t="s">
        <v>565</v>
      </c>
      <c r="H1614" t="e">
        <f>VLOOKUP(C1614,'[1]873'!$C$2:$C$711,1,0)</f>
        <v>#N/A</v>
      </c>
    </row>
    <row r="1615" spans="1:8" ht="15" customHeight="1" x14ac:dyDescent="0.25">
      <c r="A1615" s="3">
        <v>45650</v>
      </c>
      <c r="B1615" s="43">
        <v>2024003748</v>
      </c>
      <c r="C1615" s="4" t="s">
        <v>627</v>
      </c>
      <c r="D1615" s="5">
        <v>3000000</v>
      </c>
      <c r="E1615" s="4">
        <v>1085271641</v>
      </c>
      <c r="F1615" s="4" t="s">
        <v>251</v>
      </c>
      <c r="G1615" t="s">
        <v>565</v>
      </c>
      <c r="H1615" t="e">
        <f>VLOOKUP(C1615,'[1]873'!$C$2:$C$711,1,0)</f>
        <v>#N/A</v>
      </c>
    </row>
    <row r="1616" spans="1:8" ht="15" customHeight="1" x14ac:dyDescent="0.25">
      <c r="A1616" s="3">
        <v>45650</v>
      </c>
      <c r="B1616" s="43">
        <v>2024003749</v>
      </c>
      <c r="C1616" s="4" t="s">
        <v>1023</v>
      </c>
      <c r="D1616" s="5">
        <v>2500000</v>
      </c>
      <c r="E1616" s="4">
        <v>36757507</v>
      </c>
      <c r="F1616" s="4" t="s">
        <v>1024</v>
      </c>
      <c r="G1616" t="s">
        <v>565</v>
      </c>
      <c r="H1616" t="e">
        <f>VLOOKUP(C1616,'[1]873'!$C$2:$C$711,1,0)</f>
        <v>#N/A</v>
      </c>
    </row>
    <row r="1617" spans="1:8" ht="15" customHeight="1" x14ac:dyDescent="0.25">
      <c r="A1617" s="3">
        <v>45650</v>
      </c>
      <c r="B1617" s="43">
        <v>2024003750</v>
      </c>
      <c r="C1617" s="4" t="s">
        <v>1081</v>
      </c>
      <c r="D1617" s="5">
        <v>4825000</v>
      </c>
      <c r="E1617" s="4">
        <v>1122783646</v>
      </c>
      <c r="F1617" s="4" t="s">
        <v>1082</v>
      </c>
      <c r="G1617" t="s">
        <v>565</v>
      </c>
      <c r="H1617" t="e">
        <f>VLOOKUP(C1617,'[1]873'!$C$2:$C$711,1,0)</f>
        <v>#N/A</v>
      </c>
    </row>
    <row r="1618" spans="1:8" ht="15" customHeight="1" x14ac:dyDescent="0.25">
      <c r="A1618" s="3">
        <v>45650</v>
      </c>
      <c r="B1618" s="43">
        <v>2024003751</v>
      </c>
      <c r="C1618" s="4" t="s">
        <v>1043</v>
      </c>
      <c r="D1618" s="5">
        <v>4825000</v>
      </c>
      <c r="E1618" s="4">
        <v>12983807</v>
      </c>
      <c r="F1618" s="4" t="s">
        <v>299</v>
      </c>
      <c r="G1618" t="s">
        <v>565</v>
      </c>
      <c r="H1618" t="e">
        <f>VLOOKUP(C1618,'[1]873'!$C$2:$C$711,1,0)</f>
        <v>#N/A</v>
      </c>
    </row>
    <row r="1619" spans="1:8" ht="15" customHeight="1" x14ac:dyDescent="0.25">
      <c r="A1619" s="3">
        <v>45650</v>
      </c>
      <c r="B1619" s="43">
        <v>2024003752</v>
      </c>
      <c r="C1619" s="4" t="s">
        <v>790</v>
      </c>
      <c r="D1619" s="5">
        <v>7540000</v>
      </c>
      <c r="E1619" s="4">
        <v>1085329980</v>
      </c>
      <c r="F1619" s="4" t="s">
        <v>791</v>
      </c>
      <c r="G1619" t="s">
        <v>565</v>
      </c>
      <c r="H1619" t="e">
        <f>VLOOKUP(C1619,'[1]873'!$C$2:$C$711,1,0)</f>
        <v>#N/A</v>
      </c>
    </row>
    <row r="1620" spans="1:8" ht="15" customHeight="1" x14ac:dyDescent="0.25">
      <c r="A1620" s="3">
        <v>45650</v>
      </c>
      <c r="B1620" s="43">
        <v>2024003753</v>
      </c>
      <c r="C1620" s="4" t="s">
        <v>882</v>
      </c>
      <c r="D1620" s="5">
        <v>3000000</v>
      </c>
      <c r="E1620" s="4">
        <v>5930737</v>
      </c>
      <c r="F1620" s="4" t="s">
        <v>213</v>
      </c>
      <c r="G1620" t="s">
        <v>565</v>
      </c>
      <c r="H1620" t="e">
        <f>VLOOKUP(C1620,'[1]873'!$C$2:$C$711,1,0)</f>
        <v>#N/A</v>
      </c>
    </row>
    <row r="1621" spans="1:8" ht="15" customHeight="1" x14ac:dyDescent="0.25">
      <c r="A1621" s="3">
        <v>45650</v>
      </c>
      <c r="B1621" s="43">
        <v>2024003754</v>
      </c>
      <c r="C1621" s="4" t="s">
        <v>1081</v>
      </c>
      <c r="D1621" s="5">
        <v>4825000</v>
      </c>
      <c r="E1621" s="4">
        <v>1122783646</v>
      </c>
      <c r="F1621" s="4" t="s">
        <v>1082</v>
      </c>
      <c r="G1621" t="s">
        <v>565</v>
      </c>
      <c r="H1621" t="e">
        <f>VLOOKUP(C1621,'[1]873'!$C$2:$C$711,1,0)</f>
        <v>#N/A</v>
      </c>
    </row>
    <row r="1622" spans="1:8" ht="15" customHeight="1" x14ac:dyDescent="0.25">
      <c r="A1622" s="3">
        <v>45650</v>
      </c>
      <c r="B1622" s="43">
        <v>2024003755</v>
      </c>
      <c r="C1622" s="4" t="s">
        <v>837</v>
      </c>
      <c r="D1622" s="5">
        <v>2500000</v>
      </c>
      <c r="E1622" s="4">
        <v>27309586</v>
      </c>
      <c r="F1622" s="4" t="s">
        <v>345</v>
      </c>
      <c r="G1622" t="s">
        <v>565</v>
      </c>
      <c r="H1622" t="e">
        <f>VLOOKUP(C1622,'[1]873'!$C$2:$C$711,1,0)</f>
        <v>#N/A</v>
      </c>
    </row>
    <row r="1623" spans="1:8" ht="15" customHeight="1" x14ac:dyDescent="0.25">
      <c r="A1623" s="3">
        <v>45650</v>
      </c>
      <c r="B1623" s="43">
        <v>2024003756</v>
      </c>
      <c r="C1623" s="4" t="s">
        <v>1083</v>
      </c>
      <c r="D1623" s="5">
        <v>6000000</v>
      </c>
      <c r="E1623" s="4">
        <v>1085277976</v>
      </c>
      <c r="F1623" s="4" t="s">
        <v>1084</v>
      </c>
      <c r="G1623" t="s">
        <v>565</v>
      </c>
      <c r="H1623" t="e">
        <f>VLOOKUP(C1623,'[1]873'!$C$2:$C$711,1,0)</f>
        <v>#N/A</v>
      </c>
    </row>
    <row r="1624" spans="1:8" ht="15" customHeight="1" x14ac:dyDescent="0.25">
      <c r="A1624" s="3">
        <v>45650</v>
      </c>
      <c r="B1624" s="43">
        <v>2024003757</v>
      </c>
      <c r="C1624" s="4" t="s">
        <v>902</v>
      </c>
      <c r="D1624" s="5">
        <v>3000000</v>
      </c>
      <c r="E1624" s="4">
        <v>1080043348</v>
      </c>
      <c r="F1624" s="4" t="s">
        <v>903</v>
      </c>
      <c r="G1624" t="s">
        <v>565</v>
      </c>
      <c r="H1624" t="e">
        <f>VLOOKUP(C1624,'[1]873'!$C$2:$C$711,1,0)</f>
        <v>#N/A</v>
      </c>
    </row>
    <row r="1625" spans="1:8" ht="15" customHeight="1" x14ac:dyDescent="0.25">
      <c r="A1625" s="3">
        <v>45650</v>
      </c>
      <c r="B1625" s="43">
        <v>2024003758</v>
      </c>
      <c r="C1625" s="4" t="s">
        <v>832</v>
      </c>
      <c r="D1625" s="5">
        <v>3000000</v>
      </c>
      <c r="E1625" s="4">
        <v>59311233</v>
      </c>
      <c r="F1625" s="4" t="s">
        <v>833</v>
      </c>
      <c r="G1625" t="s">
        <v>565</v>
      </c>
      <c r="H1625" t="e">
        <f>VLOOKUP(C1625,'[1]873'!$C$2:$C$711,1,0)</f>
        <v>#N/A</v>
      </c>
    </row>
    <row r="1626" spans="1:8" ht="15" customHeight="1" x14ac:dyDescent="0.25">
      <c r="A1626" s="3">
        <v>45650</v>
      </c>
      <c r="B1626" s="43">
        <v>2024003759</v>
      </c>
      <c r="C1626" s="4" t="s">
        <v>608</v>
      </c>
      <c r="D1626" s="5">
        <v>3000000</v>
      </c>
      <c r="E1626" s="4">
        <v>1085331508</v>
      </c>
      <c r="F1626" s="4" t="s">
        <v>35</v>
      </c>
      <c r="G1626" t="s">
        <v>565</v>
      </c>
      <c r="H1626" t="e">
        <f>VLOOKUP(C1626,'[1]873'!$C$2:$C$711,1,0)</f>
        <v>#N/A</v>
      </c>
    </row>
    <row r="1627" spans="1:8" ht="15" customHeight="1" x14ac:dyDescent="0.25">
      <c r="A1627" s="3">
        <v>45650</v>
      </c>
      <c r="B1627" s="43">
        <v>2024003760</v>
      </c>
      <c r="C1627" s="4" t="s">
        <v>815</v>
      </c>
      <c r="D1627" s="5">
        <v>6000000</v>
      </c>
      <c r="E1627" s="4">
        <v>59836926</v>
      </c>
      <c r="F1627" s="4" t="s">
        <v>311</v>
      </c>
      <c r="G1627" t="s">
        <v>565</v>
      </c>
      <c r="H1627" t="e">
        <f>VLOOKUP(C1627,'[1]873'!$C$2:$C$711,1,0)</f>
        <v>#N/A</v>
      </c>
    </row>
    <row r="1628" spans="1:8" ht="15" customHeight="1" x14ac:dyDescent="0.25">
      <c r="A1628" s="3">
        <v>45650</v>
      </c>
      <c r="B1628" s="43">
        <v>2024003761</v>
      </c>
      <c r="C1628" s="4" t="s">
        <v>641</v>
      </c>
      <c r="D1628" s="5">
        <v>2500000</v>
      </c>
      <c r="E1628" s="4">
        <v>1085251468</v>
      </c>
      <c r="F1628" s="4" t="s">
        <v>303</v>
      </c>
      <c r="G1628" t="s">
        <v>565</v>
      </c>
      <c r="H1628" t="e">
        <f>VLOOKUP(C1628,'[1]873'!$C$2:$C$711,1,0)</f>
        <v>#N/A</v>
      </c>
    </row>
    <row r="1629" spans="1:8" ht="15" customHeight="1" x14ac:dyDescent="0.25">
      <c r="A1629" s="3">
        <v>45650</v>
      </c>
      <c r="B1629" s="43">
        <v>2024003762</v>
      </c>
      <c r="C1629" s="4" t="s">
        <v>800</v>
      </c>
      <c r="D1629" s="5">
        <v>3000000</v>
      </c>
      <c r="E1629" s="4">
        <v>59833702</v>
      </c>
      <c r="F1629" s="4" t="s">
        <v>173</v>
      </c>
      <c r="G1629" t="s">
        <v>565</v>
      </c>
      <c r="H1629" t="e">
        <f>VLOOKUP(C1629,'[1]873'!$C$2:$C$711,1,0)</f>
        <v>#N/A</v>
      </c>
    </row>
    <row r="1630" spans="1:8" ht="15" customHeight="1" x14ac:dyDescent="0.25">
      <c r="A1630" s="3">
        <v>45650</v>
      </c>
      <c r="B1630" s="43">
        <v>2024003763</v>
      </c>
      <c r="C1630" s="4" t="s">
        <v>642</v>
      </c>
      <c r="D1630" s="5">
        <v>6000000</v>
      </c>
      <c r="E1630" s="4">
        <v>1085292185</v>
      </c>
      <c r="F1630" s="4" t="s">
        <v>27</v>
      </c>
      <c r="G1630" t="s">
        <v>565</v>
      </c>
      <c r="H1630" t="e">
        <f>VLOOKUP(C1630,'[1]873'!$C$2:$C$711,1,0)</f>
        <v>#N/A</v>
      </c>
    </row>
    <row r="1631" spans="1:8" ht="15" customHeight="1" x14ac:dyDescent="0.25">
      <c r="A1631" s="3">
        <v>45650</v>
      </c>
      <c r="B1631" s="43">
        <v>2024003764</v>
      </c>
      <c r="C1631" s="4" t="s">
        <v>905</v>
      </c>
      <c r="D1631" s="5">
        <v>3000000</v>
      </c>
      <c r="E1631" s="4">
        <v>1085302942</v>
      </c>
      <c r="F1631" s="4" t="s">
        <v>417</v>
      </c>
      <c r="G1631" t="s">
        <v>565</v>
      </c>
      <c r="H1631" t="e">
        <f>VLOOKUP(C1631,'[1]873'!$C$2:$C$711,1,0)</f>
        <v>#N/A</v>
      </c>
    </row>
    <row r="1632" spans="1:8" ht="15" customHeight="1" x14ac:dyDescent="0.25">
      <c r="A1632" s="3">
        <v>45650</v>
      </c>
      <c r="B1632" s="43">
        <v>2024003765</v>
      </c>
      <c r="C1632" s="4" t="s">
        <v>863</v>
      </c>
      <c r="D1632" s="5">
        <v>7540000</v>
      </c>
      <c r="E1632" s="4">
        <v>1085255870</v>
      </c>
      <c r="F1632" s="4" t="s">
        <v>864</v>
      </c>
      <c r="G1632" t="s">
        <v>565</v>
      </c>
      <c r="H1632" t="e">
        <f>VLOOKUP(C1632,'[1]873'!$C$2:$C$711,1,0)</f>
        <v>#N/A</v>
      </c>
    </row>
    <row r="1633" spans="1:8" ht="15" customHeight="1" x14ac:dyDescent="0.25">
      <c r="A1633" s="3">
        <v>45650</v>
      </c>
      <c r="B1633" s="43">
        <v>2024003766</v>
      </c>
      <c r="C1633" s="4" t="s">
        <v>1050</v>
      </c>
      <c r="D1633" s="5">
        <v>4750000</v>
      </c>
      <c r="E1633" s="4">
        <v>1085313870</v>
      </c>
      <c r="F1633" s="4" t="s">
        <v>513</v>
      </c>
      <c r="G1633" t="s">
        <v>565</v>
      </c>
      <c r="H1633" t="e">
        <f>VLOOKUP(C1633,'[1]873'!$C$2:$C$711,1,0)</f>
        <v>#N/A</v>
      </c>
    </row>
    <row r="1634" spans="1:8" ht="15" customHeight="1" x14ac:dyDescent="0.25">
      <c r="A1634" s="3">
        <v>45650</v>
      </c>
      <c r="B1634" s="43">
        <v>2024003767</v>
      </c>
      <c r="C1634" s="4" t="s">
        <v>865</v>
      </c>
      <c r="D1634" s="5">
        <v>2500000</v>
      </c>
      <c r="E1634" s="4">
        <v>1085281545</v>
      </c>
      <c r="F1634" s="4" t="s">
        <v>866</v>
      </c>
      <c r="G1634" t="s">
        <v>565</v>
      </c>
      <c r="H1634" t="e">
        <f>VLOOKUP(C1634,'[1]873'!$C$2:$C$711,1,0)</f>
        <v>#N/A</v>
      </c>
    </row>
    <row r="1635" spans="1:8" ht="15" customHeight="1" x14ac:dyDescent="0.25">
      <c r="A1635" s="3">
        <v>45650</v>
      </c>
      <c r="B1635" s="43">
        <v>2024003768</v>
      </c>
      <c r="C1635" s="4" t="s">
        <v>629</v>
      </c>
      <c r="D1635" s="5">
        <v>2500000</v>
      </c>
      <c r="E1635" s="4">
        <v>27211504</v>
      </c>
      <c r="F1635" s="4" t="s">
        <v>203</v>
      </c>
      <c r="G1635" t="s">
        <v>565</v>
      </c>
      <c r="H1635" t="e">
        <f>VLOOKUP(C1635,'[1]873'!$C$2:$C$711,1,0)</f>
        <v>#N/A</v>
      </c>
    </row>
    <row r="1636" spans="1:8" ht="15" customHeight="1" x14ac:dyDescent="0.25">
      <c r="A1636" s="3">
        <v>45650</v>
      </c>
      <c r="B1636" s="43">
        <v>2024003769</v>
      </c>
      <c r="C1636" s="4" t="s">
        <v>1069</v>
      </c>
      <c r="D1636" s="5">
        <v>7540000</v>
      </c>
      <c r="E1636" s="4">
        <v>10859376713</v>
      </c>
      <c r="F1636" s="4" t="s">
        <v>1070</v>
      </c>
      <c r="G1636" t="s">
        <v>565</v>
      </c>
      <c r="H1636" t="e">
        <f>VLOOKUP(C1636,'[1]873'!$C$2:$C$711,1,0)</f>
        <v>#N/A</v>
      </c>
    </row>
    <row r="1637" spans="1:8" ht="15" customHeight="1" x14ac:dyDescent="0.25">
      <c r="A1637" s="3">
        <v>45650</v>
      </c>
      <c r="B1637" s="43">
        <v>2024003770</v>
      </c>
      <c r="C1637" s="4" t="s">
        <v>813</v>
      </c>
      <c r="D1637" s="5">
        <v>6000000</v>
      </c>
      <c r="E1637" s="4">
        <v>1131085780</v>
      </c>
      <c r="F1637" s="4" t="s">
        <v>814</v>
      </c>
      <c r="G1637" t="s">
        <v>565</v>
      </c>
      <c r="H1637" t="e">
        <f>VLOOKUP(C1637,'[1]873'!$C$2:$C$711,1,0)</f>
        <v>#N/A</v>
      </c>
    </row>
    <row r="1638" spans="1:8" ht="15" customHeight="1" x14ac:dyDescent="0.25">
      <c r="A1638" s="3">
        <v>45650</v>
      </c>
      <c r="B1638" s="43">
        <v>2024003771</v>
      </c>
      <c r="C1638" s="4" t="s">
        <v>840</v>
      </c>
      <c r="D1638" s="5">
        <v>3000000</v>
      </c>
      <c r="E1638" s="4">
        <v>1233188273</v>
      </c>
      <c r="F1638" s="4" t="s">
        <v>473</v>
      </c>
      <c r="G1638" t="s">
        <v>565</v>
      </c>
      <c r="H1638" t="e">
        <f>VLOOKUP(C1638,'[1]873'!$C$2:$C$711,1,0)</f>
        <v>#N/A</v>
      </c>
    </row>
    <row r="1639" spans="1:8" ht="15" customHeight="1" x14ac:dyDescent="0.25">
      <c r="A1639" s="3">
        <v>45650</v>
      </c>
      <c r="B1639" s="43">
        <v>2024003772</v>
      </c>
      <c r="C1639" s="4" t="s">
        <v>1037</v>
      </c>
      <c r="D1639" s="5">
        <v>4750000</v>
      </c>
      <c r="E1639" s="4">
        <v>1085325540</v>
      </c>
      <c r="F1639" s="4" t="s">
        <v>1038</v>
      </c>
      <c r="G1639" t="s">
        <v>565</v>
      </c>
      <c r="H1639" t="e">
        <f>VLOOKUP(C1639,'[1]873'!$C$2:$C$711,1,0)</f>
        <v>#N/A</v>
      </c>
    </row>
    <row r="1640" spans="1:8" ht="15" customHeight="1" x14ac:dyDescent="0.25">
      <c r="A1640" s="3">
        <v>45650</v>
      </c>
      <c r="B1640" s="43">
        <v>2024003773</v>
      </c>
      <c r="C1640" s="4" t="s">
        <v>717</v>
      </c>
      <c r="D1640" s="5">
        <v>3000000</v>
      </c>
      <c r="E1640" s="4">
        <v>1007403454</v>
      </c>
      <c r="F1640" s="4" t="s">
        <v>718</v>
      </c>
      <c r="G1640" t="s">
        <v>565</v>
      </c>
      <c r="H1640" t="e">
        <f>VLOOKUP(C1640,'[1]873'!$C$2:$C$711,1,0)</f>
        <v>#N/A</v>
      </c>
    </row>
    <row r="1641" spans="1:8" ht="15" customHeight="1" x14ac:dyDescent="0.25">
      <c r="A1641" s="3">
        <v>45650</v>
      </c>
      <c r="B1641" s="43">
        <v>2024003774</v>
      </c>
      <c r="C1641" s="4" t="s">
        <v>1025</v>
      </c>
      <c r="D1641" s="5">
        <v>3000000</v>
      </c>
      <c r="E1641" s="4">
        <v>37083324</v>
      </c>
      <c r="F1641" s="4" t="s">
        <v>485</v>
      </c>
      <c r="G1641" t="s">
        <v>565</v>
      </c>
      <c r="H1641" t="e">
        <f>VLOOKUP(C1641,'[1]873'!$C$2:$C$711,1,0)</f>
        <v>#N/A</v>
      </c>
    </row>
    <row r="1642" spans="1:8" ht="15" customHeight="1" x14ac:dyDescent="0.25">
      <c r="A1642" s="3">
        <v>45650</v>
      </c>
      <c r="B1642" s="43">
        <v>2024003775</v>
      </c>
      <c r="C1642" s="4" t="s">
        <v>817</v>
      </c>
      <c r="D1642" s="5">
        <v>3000000</v>
      </c>
      <c r="E1642" s="4">
        <v>1085252263</v>
      </c>
      <c r="F1642" s="4" t="s">
        <v>33</v>
      </c>
      <c r="G1642" t="s">
        <v>565</v>
      </c>
      <c r="H1642" t="e">
        <f>VLOOKUP(C1642,'[1]873'!$C$2:$C$711,1,0)</f>
        <v>#N/A</v>
      </c>
    </row>
    <row r="1643" spans="1:8" ht="15" customHeight="1" x14ac:dyDescent="0.25">
      <c r="A1643" s="3">
        <v>45650</v>
      </c>
      <c r="B1643" s="43">
        <v>2024003776</v>
      </c>
      <c r="C1643" s="4" t="s">
        <v>1036</v>
      </c>
      <c r="D1643" s="5">
        <v>3000000</v>
      </c>
      <c r="E1643" s="4">
        <v>27388522</v>
      </c>
      <c r="F1643" s="4" t="s">
        <v>525</v>
      </c>
      <c r="G1643" t="s">
        <v>565</v>
      </c>
      <c r="H1643" t="e">
        <f>VLOOKUP(C1643,'[1]873'!$C$2:$C$711,1,0)</f>
        <v>#N/A</v>
      </c>
    </row>
    <row r="1644" spans="1:8" ht="15" customHeight="1" x14ac:dyDescent="0.25">
      <c r="A1644" s="3">
        <v>45650</v>
      </c>
      <c r="B1644" s="43">
        <v>2024003777</v>
      </c>
      <c r="C1644" s="4" t="s">
        <v>850</v>
      </c>
      <c r="D1644" s="5">
        <v>3000000</v>
      </c>
      <c r="E1644" s="4">
        <v>1004215136</v>
      </c>
      <c r="F1644" s="4" t="s">
        <v>413</v>
      </c>
      <c r="G1644" t="s">
        <v>565</v>
      </c>
      <c r="H1644" t="e">
        <f>VLOOKUP(C1644,'[1]873'!$C$2:$C$711,1,0)</f>
        <v>#N/A</v>
      </c>
    </row>
    <row r="1645" spans="1:8" ht="15" customHeight="1" x14ac:dyDescent="0.25">
      <c r="A1645" s="3">
        <v>45650</v>
      </c>
      <c r="B1645" s="43">
        <v>2024003778</v>
      </c>
      <c r="C1645" s="4" t="s">
        <v>848</v>
      </c>
      <c r="D1645" s="5">
        <v>3000000</v>
      </c>
      <c r="E1645" s="4">
        <v>1004299312</v>
      </c>
      <c r="F1645" s="4" t="s">
        <v>849</v>
      </c>
      <c r="G1645" t="s">
        <v>565</v>
      </c>
      <c r="H1645" t="e">
        <f>VLOOKUP(C1645,'[1]873'!$C$2:$C$711,1,0)</f>
        <v>#N/A</v>
      </c>
    </row>
    <row r="1646" spans="1:8" ht="15" customHeight="1" x14ac:dyDescent="0.25">
      <c r="A1646" s="3">
        <v>45650</v>
      </c>
      <c r="B1646" s="43">
        <v>2024003779</v>
      </c>
      <c r="C1646" s="4" t="s">
        <v>825</v>
      </c>
      <c r="D1646" s="5">
        <v>3000000</v>
      </c>
      <c r="E1646" s="4">
        <v>1085313463</v>
      </c>
      <c r="F1646" s="4" t="s">
        <v>331</v>
      </c>
      <c r="G1646" t="s">
        <v>565</v>
      </c>
      <c r="H1646" t="e">
        <f>VLOOKUP(C1646,'[1]873'!$C$2:$C$711,1,0)</f>
        <v>#N/A</v>
      </c>
    </row>
    <row r="1647" spans="1:8" ht="15" customHeight="1" x14ac:dyDescent="0.25">
      <c r="A1647" s="3">
        <v>45650</v>
      </c>
      <c r="B1647" s="43">
        <v>2024003780</v>
      </c>
      <c r="C1647" s="4" t="s">
        <v>1048</v>
      </c>
      <c r="D1647" s="5">
        <v>2500000</v>
      </c>
      <c r="E1647" s="4">
        <v>1085324252</v>
      </c>
      <c r="F1647" s="4" t="s">
        <v>1049</v>
      </c>
      <c r="G1647" t="s">
        <v>565</v>
      </c>
      <c r="H1647" t="e">
        <f>VLOOKUP(C1647,'[1]873'!$C$2:$C$711,1,0)</f>
        <v>#N/A</v>
      </c>
    </row>
    <row r="1648" spans="1:8" ht="15" customHeight="1" x14ac:dyDescent="0.25">
      <c r="A1648" s="3">
        <v>45650</v>
      </c>
      <c r="B1648" s="43">
        <v>2024003781</v>
      </c>
      <c r="C1648" s="4" t="s">
        <v>807</v>
      </c>
      <c r="D1648" s="5">
        <v>2500000</v>
      </c>
      <c r="E1648" s="4">
        <v>37087268</v>
      </c>
      <c r="F1648" s="4" t="s">
        <v>257</v>
      </c>
      <c r="G1648" t="s">
        <v>565</v>
      </c>
      <c r="H1648" t="e">
        <f>VLOOKUP(C1648,'[1]873'!$C$2:$C$711,1,0)</f>
        <v>#N/A</v>
      </c>
    </row>
    <row r="1649" spans="1:8" ht="15" customHeight="1" x14ac:dyDescent="0.25">
      <c r="A1649" s="3">
        <v>45650</v>
      </c>
      <c r="B1649" s="43">
        <v>2024003782</v>
      </c>
      <c r="C1649" s="4" t="s">
        <v>993</v>
      </c>
      <c r="D1649" s="5">
        <v>3000000</v>
      </c>
      <c r="E1649" s="4">
        <v>1004508436</v>
      </c>
      <c r="F1649" s="4" t="s">
        <v>367</v>
      </c>
      <c r="G1649" t="s">
        <v>565</v>
      </c>
      <c r="H1649" t="e">
        <f>VLOOKUP(C1649,'[1]873'!$C$2:$C$711,1,0)</f>
        <v>#N/A</v>
      </c>
    </row>
    <row r="1650" spans="1:8" ht="15" customHeight="1" x14ac:dyDescent="0.25">
      <c r="A1650" s="3">
        <v>45650</v>
      </c>
      <c r="B1650" s="43">
        <v>2024003783</v>
      </c>
      <c r="C1650" s="4" t="s">
        <v>1032</v>
      </c>
      <c r="D1650" s="5">
        <v>3000000</v>
      </c>
      <c r="E1650" s="4">
        <v>1004598784</v>
      </c>
      <c r="F1650" s="4" t="s">
        <v>552</v>
      </c>
      <c r="G1650" t="s">
        <v>565</v>
      </c>
      <c r="H1650" t="e">
        <f>VLOOKUP(C1650,'[1]873'!$C$2:$C$711,1,0)</f>
        <v>#N/A</v>
      </c>
    </row>
    <row r="1651" spans="1:8" ht="15" customHeight="1" x14ac:dyDescent="0.25">
      <c r="A1651" s="3">
        <v>45650</v>
      </c>
      <c r="B1651" s="43">
        <v>2024003784</v>
      </c>
      <c r="C1651" s="4" t="s">
        <v>628</v>
      </c>
      <c r="D1651" s="5">
        <v>3000000</v>
      </c>
      <c r="E1651" s="4">
        <v>1192717330</v>
      </c>
      <c r="F1651" s="4" t="s">
        <v>277</v>
      </c>
      <c r="G1651" t="s">
        <v>565</v>
      </c>
      <c r="H1651" t="e">
        <f>VLOOKUP(C1651,'[1]873'!$C$2:$C$711,1,0)</f>
        <v>#N/A</v>
      </c>
    </row>
    <row r="1652" spans="1:8" ht="15" customHeight="1" x14ac:dyDescent="0.25">
      <c r="A1652" s="3">
        <v>45650</v>
      </c>
      <c r="B1652" s="43">
        <v>2024003785</v>
      </c>
      <c r="C1652" s="4" t="s">
        <v>901</v>
      </c>
      <c r="D1652" s="5">
        <v>3000000</v>
      </c>
      <c r="E1652" s="4">
        <v>1004235479</v>
      </c>
      <c r="F1652" s="4" t="s">
        <v>477</v>
      </c>
      <c r="G1652" t="s">
        <v>565</v>
      </c>
      <c r="H1652" t="e">
        <f>VLOOKUP(C1652,'[1]873'!$C$2:$C$711,1,0)</f>
        <v>#N/A</v>
      </c>
    </row>
    <row r="1653" spans="1:8" ht="15" customHeight="1" x14ac:dyDescent="0.25">
      <c r="A1653" s="3">
        <v>45650</v>
      </c>
      <c r="B1653" s="43">
        <v>2024003786</v>
      </c>
      <c r="C1653" s="4" t="s">
        <v>838</v>
      </c>
      <c r="D1653" s="5">
        <v>3000000</v>
      </c>
      <c r="E1653" s="4">
        <v>59310433</v>
      </c>
      <c r="F1653" s="4" t="s">
        <v>839</v>
      </c>
      <c r="G1653" t="s">
        <v>565</v>
      </c>
      <c r="H1653" t="e">
        <f>VLOOKUP(C1653,'[1]873'!$C$2:$C$711,1,0)</f>
        <v>#N/A</v>
      </c>
    </row>
    <row r="1654" spans="1:8" ht="15" customHeight="1" x14ac:dyDescent="0.25">
      <c r="A1654" s="3">
        <v>45652</v>
      </c>
      <c r="B1654" s="43">
        <v>2024003787</v>
      </c>
      <c r="C1654" s="4" t="s">
        <v>613</v>
      </c>
      <c r="D1654" s="5">
        <v>6000000</v>
      </c>
      <c r="E1654" s="4">
        <v>1085313872</v>
      </c>
      <c r="F1654" s="4" t="s">
        <v>614</v>
      </c>
      <c r="G1654" t="s">
        <v>565</v>
      </c>
      <c r="H1654" t="e">
        <f>VLOOKUP(C1654,'[1]873'!$C$2:$C$711,1,0)</f>
        <v>#N/A</v>
      </c>
    </row>
    <row r="1655" spans="1:8" ht="15" customHeight="1" x14ac:dyDescent="0.25">
      <c r="A1655" s="3">
        <v>45652</v>
      </c>
      <c r="B1655" s="43">
        <v>2024003788</v>
      </c>
      <c r="C1655" s="4" t="s">
        <v>824</v>
      </c>
      <c r="D1655" s="5">
        <v>4825000</v>
      </c>
      <c r="E1655" s="4">
        <v>1085321943</v>
      </c>
      <c r="F1655" s="4" t="s">
        <v>363</v>
      </c>
      <c r="G1655" t="s">
        <v>565</v>
      </c>
      <c r="H1655" t="e">
        <f>VLOOKUP(C1655,'[1]873'!$C$2:$C$711,1,0)</f>
        <v>#N/A</v>
      </c>
    </row>
    <row r="1656" spans="1:8" ht="15" customHeight="1" x14ac:dyDescent="0.25">
      <c r="A1656" s="3">
        <v>45652</v>
      </c>
      <c r="B1656" s="43">
        <v>2024003789</v>
      </c>
      <c r="C1656" s="4" t="s">
        <v>823</v>
      </c>
      <c r="D1656" s="5">
        <v>4750000</v>
      </c>
      <c r="E1656" s="4">
        <v>59312865</v>
      </c>
      <c r="F1656" s="4" t="s">
        <v>127</v>
      </c>
      <c r="G1656" t="s">
        <v>565</v>
      </c>
      <c r="H1656" t="e">
        <f>VLOOKUP(C1656,'[1]873'!$C$2:$C$711,1,0)</f>
        <v>#N/A</v>
      </c>
    </row>
    <row r="1657" spans="1:8" ht="15" customHeight="1" x14ac:dyDescent="0.25">
      <c r="A1657" s="3">
        <v>45652</v>
      </c>
      <c r="B1657" s="43">
        <v>2024003790</v>
      </c>
      <c r="C1657" s="4" t="s">
        <v>697</v>
      </c>
      <c r="D1657" s="5">
        <v>7540000</v>
      </c>
      <c r="E1657" s="4">
        <v>37087120</v>
      </c>
      <c r="F1657" s="4" t="s">
        <v>159</v>
      </c>
      <c r="G1657" t="s">
        <v>565</v>
      </c>
      <c r="H1657" t="e">
        <f>VLOOKUP(C1657,'[1]873'!$C$2:$C$711,1,0)</f>
        <v>#N/A</v>
      </c>
    </row>
    <row r="1658" spans="1:8" ht="15" customHeight="1" x14ac:dyDescent="0.25">
      <c r="A1658" s="3">
        <v>45652</v>
      </c>
      <c r="B1658" s="43">
        <v>2024003791</v>
      </c>
      <c r="C1658" s="4" t="s">
        <v>728</v>
      </c>
      <c r="D1658" s="5">
        <v>3000000</v>
      </c>
      <c r="E1658" s="4">
        <v>1010113730</v>
      </c>
      <c r="F1658" s="4" t="s">
        <v>219</v>
      </c>
      <c r="G1658" t="s">
        <v>565</v>
      </c>
      <c r="H1658" t="e">
        <f>VLOOKUP(C1658,'[1]873'!$C$2:$C$711,1,0)</f>
        <v>#N/A</v>
      </c>
    </row>
    <row r="1659" spans="1:8" ht="15" customHeight="1" x14ac:dyDescent="0.25">
      <c r="A1659" s="3">
        <v>45652</v>
      </c>
      <c r="B1659" s="43">
        <v>2024003792</v>
      </c>
      <c r="C1659" s="4" t="s">
        <v>880</v>
      </c>
      <c r="D1659" s="5">
        <v>3000000</v>
      </c>
      <c r="E1659" s="4">
        <v>1085323101</v>
      </c>
      <c r="F1659" s="4" t="s">
        <v>73</v>
      </c>
      <c r="G1659" t="s">
        <v>565</v>
      </c>
      <c r="H1659" t="e">
        <f>VLOOKUP(C1659,'[1]873'!$C$2:$C$711,1,0)</f>
        <v>#N/A</v>
      </c>
    </row>
    <row r="1660" spans="1:8" ht="15" customHeight="1" x14ac:dyDescent="0.25">
      <c r="A1660" s="3">
        <v>45652</v>
      </c>
      <c r="B1660" s="43">
        <v>2024003793</v>
      </c>
      <c r="C1660" s="4" t="s">
        <v>603</v>
      </c>
      <c r="D1660" s="5">
        <v>6000000</v>
      </c>
      <c r="E1660" s="4">
        <v>1085286476</v>
      </c>
      <c r="F1660" s="4" t="s">
        <v>385</v>
      </c>
      <c r="G1660" t="s">
        <v>565</v>
      </c>
      <c r="H1660" t="e">
        <f>VLOOKUP(C1660,'[1]873'!$C$2:$C$711,1,0)</f>
        <v>#N/A</v>
      </c>
    </row>
    <row r="1661" spans="1:8" ht="15" customHeight="1" x14ac:dyDescent="0.25">
      <c r="A1661" s="3">
        <v>45652</v>
      </c>
      <c r="B1661" s="43">
        <v>2024003794</v>
      </c>
      <c r="C1661" s="4" t="s">
        <v>798</v>
      </c>
      <c r="D1661" s="5">
        <v>6000000</v>
      </c>
      <c r="E1661" s="4">
        <v>27109314</v>
      </c>
      <c r="F1661" s="4" t="s">
        <v>217</v>
      </c>
      <c r="G1661" t="s">
        <v>565</v>
      </c>
      <c r="H1661" t="e">
        <f>VLOOKUP(C1661,'[1]873'!$C$2:$C$711,1,0)</f>
        <v>#N/A</v>
      </c>
    </row>
    <row r="1662" spans="1:8" ht="15" customHeight="1" x14ac:dyDescent="0.25">
      <c r="A1662" s="3">
        <v>45652</v>
      </c>
      <c r="B1662" s="43">
        <v>2024003795</v>
      </c>
      <c r="C1662" s="4" t="s">
        <v>812</v>
      </c>
      <c r="D1662" s="5">
        <v>4750000</v>
      </c>
      <c r="E1662" s="4">
        <v>59816986</v>
      </c>
      <c r="F1662" s="4" t="s">
        <v>415</v>
      </c>
      <c r="G1662" t="s">
        <v>565</v>
      </c>
      <c r="H1662" t="e">
        <f>VLOOKUP(C1662,'[1]873'!$C$2:$C$711,1,0)</f>
        <v>#N/A</v>
      </c>
    </row>
    <row r="1663" spans="1:8" ht="15" customHeight="1" x14ac:dyDescent="0.25">
      <c r="A1663" s="3">
        <v>45652</v>
      </c>
      <c r="B1663" s="43">
        <v>2024003796</v>
      </c>
      <c r="C1663" s="4" t="s">
        <v>606</v>
      </c>
      <c r="D1663" s="5">
        <v>3000000</v>
      </c>
      <c r="E1663" s="4">
        <v>1088799034</v>
      </c>
      <c r="F1663" s="4" t="s">
        <v>81</v>
      </c>
      <c r="G1663" t="s">
        <v>565</v>
      </c>
      <c r="H1663" t="e">
        <f>VLOOKUP(C1663,'[1]873'!$C$2:$C$711,1,0)</f>
        <v>#N/A</v>
      </c>
    </row>
    <row r="1664" spans="1:8" ht="15" customHeight="1" x14ac:dyDescent="0.25">
      <c r="A1664" s="3">
        <v>45652</v>
      </c>
      <c r="B1664" s="43">
        <v>2024003797</v>
      </c>
      <c r="C1664" s="4" t="s">
        <v>755</v>
      </c>
      <c r="D1664" s="5">
        <v>3000000</v>
      </c>
      <c r="E1664" s="4">
        <v>1085347540</v>
      </c>
      <c r="F1664" s="4" t="s">
        <v>321</v>
      </c>
      <c r="G1664" t="s">
        <v>565</v>
      </c>
      <c r="H1664" t="e">
        <f>VLOOKUP(C1664,'[1]873'!$C$2:$C$711,1,0)</f>
        <v>#N/A</v>
      </c>
    </row>
    <row r="1665" spans="1:8" ht="15" customHeight="1" x14ac:dyDescent="0.25">
      <c r="A1665" s="3">
        <v>45652</v>
      </c>
      <c r="B1665" s="43">
        <v>2024003798</v>
      </c>
      <c r="C1665" s="4" t="s">
        <v>632</v>
      </c>
      <c r="D1665" s="5">
        <v>6000000</v>
      </c>
      <c r="E1665" s="4">
        <v>36951002</v>
      </c>
      <c r="F1665" s="4" t="s">
        <v>125</v>
      </c>
      <c r="G1665" t="s">
        <v>565</v>
      </c>
      <c r="H1665" t="e">
        <f>VLOOKUP(C1665,'[1]873'!$C$2:$C$711,1,0)</f>
        <v>#N/A</v>
      </c>
    </row>
    <row r="1666" spans="1:8" ht="15" customHeight="1" x14ac:dyDescent="0.25">
      <c r="A1666" s="3">
        <v>45652</v>
      </c>
      <c r="B1666" s="43">
        <v>2024003799</v>
      </c>
      <c r="C1666" s="4" t="s">
        <v>607</v>
      </c>
      <c r="D1666" s="5">
        <v>3000000</v>
      </c>
      <c r="E1666" s="4">
        <v>1085295383</v>
      </c>
      <c r="F1666" s="4" t="s">
        <v>139</v>
      </c>
      <c r="G1666" t="s">
        <v>565</v>
      </c>
      <c r="H1666" t="e">
        <f>VLOOKUP(C1666,'[1]873'!$C$2:$C$711,1,0)</f>
        <v>#N/A</v>
      </c>
    </row>
    <row r="1667" spans="1:8" ht="15" customHeight="1" x14ac:dyDescent="0.25">
      <c r="A1667" s="3">
        <v>45652</v>
      </c>
      <c r="B1667" s="43">
        <v>2024003801</v>
      </c>
      <c r="C1667" s="4" t="s">
        <v>604</v>
      </c>
      <c r="D1667" s="5">
        <v>7540000</v>
      </c>
      <c r="E1667" s="4">
        <v>1085336362</v>
      </c>
      <c r="F1667" s="4" t="s">
        <v>41</v>
      </c>
      <c r="G1667" t="s">
        <v>565</v>
      </c>
      <c r="H1667" t="e">
        <f>VLOOKUP(C1667,'[1]873'!$C$2:$C$711,1,0)</f>
        <v>#N/A</v>
      </c>
    </row>
    <row r="1668" spans="1:8" ht="15" customHeight="1" x14ac:dyDescent="0.25">
      <c r="A1668" s="3">
        <v>45652</v>
      </c>
      <c r="B1668" s="43">
        <v>2024003803</v>
      </c>
      <c r="C1668" s="4" t="s">
        <v>626</v>
      </c>
      <c r="D1668" s="5">
        <v>4825000</v>
      </c>
      <c r="E1668" s="4">
        <v>1085338534</v>
      </c>
      <c r="F1668" s="4" t="s">
        <v>15</v>
      </c>
      <c r="G1668" t="s">
        <v>565</v>
      </c>
      <c r="H1668" t="e">
        <f>VLOOKUP(C1668,'[1]873'!$C$2:$C$711,1,0)</f>
        <v>#N/A</v>
      </c>
    </row>
    <row r="1669" spans="1:8" ht="15" customHeight="1" x14ac:dyDescent="0.25">
      <c r="A1669" s="3">
        <v>45652</v>
      </c>
      <c r="B1669" s="43">
        <v>2024003805</v>
      </c>
      <c r="C1669" s="4" t="s">
        <v>602</v>
      </c>
      <c r="D1669" s="5">
        <v>7540000</v>
      </c>
      <c r="E1669" s="4">
        <v>1151934571</v>
      </c>
      <c r="F1669" s="4" t="s">
        <v>137</v>
      </c>
      <c r="G1669" t="s">
        <v>565</v>
      </c>
      <c r="H1669" t="e">
        <f>VLOOKUP(C1669,'[1]873'!$C$2:$C$711,1,0)</f>
        <v>#N/A</v>
      </c>
    </row>
    <row r="1670" spans="1:8" ht="15" customHeight="1" x14ac:dyDescent="0.25">
      <c r="A1670" s="3">
        <v>45652</v>
      </c>
      <c r="B1670" s="43">
        <v>2024003806</v>
      </c>
      <c r="C1670" s="4" t="s">
        <v>831</v>
      </c>
      <c r="D1670" s="5">
        <v>3000000</v>
      </c>
      <c r="E1670" s="4">
        <v>27087122</v>
      </c>
      <c r="F1670" s="4" t="s">
        <v>37</v>
      </c>
      <c r="G1670" t="s">
        <v>565</v>
      </c>
      <c r="H1670" t="e">
        <f>VLOOKUP(C1670,'[1]873'!$C$2:$C$711,1,0)</f>
        <v>#N/A</v>
      </c>
    </row>
    <row r="1671" spans="1:8" ht="15" customHeight="1" x14ac:dyDescent="0.25">
      <c r="A1671" s="3">
        <v>45652</v>
      </c>
      <c r="B1671" s="43">
        <v>2024003807</v>
      </c>
      <c r="C1671" s="4" t="s">
        <v>959</v>
      </c>
      <c r="D1671" s="5">
        <v>3000000</v>
      </c>
      <c r="E1671" s="4">
        <v>1085286725</v>
      </c>
      <c r="F1671" s="4" t="s">
        <v>111</v>
      </c>
      <c r="G1671" t="s">
        <v>565</v>
      </c>
      <c r="H1671" t="e">
        <f>VLOOKUP(C1671,'[1]873'!$C$2:$C$711,1,0)</f>
        <v>#N/A</v>
      </c>
    </row>
    <row r="1672" spans="1:8" ht="15" customHeight="1" x14ac:dyDescent="0.25">
      <c r="A1672" s="3">
        <v>45652</v>
      </c>
      <c r="B1672" s="43">
        <v>2024003808</v>
      </c>
      <c r="C1672" s="4" t="s">
        <v>601</v>
      </c>
      <c r="D1672" s="5">
        <v>6000000</v>
      </c>
      <c r="E1672" s="4">
        <v>27097289</v>
      </c>
      <c r="F1672" s="4" t="s">
        <v>49</v>
      </c>
      <c r="G1672" t="s">
        <v>565</v>
      </c>
      <c r="H1672" t="e">
        <f>VLOOKUP(C1672,'[1]873'!$C$2:$C$711,1,0)</f>
        <v>#N/A</v>
      </c>
    </row>
    <row r="1673" spans="1:8" ht="15" customHeight="1" x14ac:dyDescent="0.25">
      <c r="A1673" s="3">
        <v>45652</v>
      </c>
      <c r="B1673" s="43">
        <v>2024003809</v>
      </c>
      <c r="C1673" s="4" t="s">
        <v>795</v>
      </c>
      <c r="D1673" s="5">
        <v>3000000</v>
      </c>
      <c r="E1673" s="4">
        <v>1007356378</v>
      </c>
      <c r="F1673" s="4" t="s">
        <v>45</v>
      </c>
      <c r="G1673" t="s">
        <v>565</v>
      </c>
      <c r="H1673" t="e">
        <f>VLOOKUP(C1673,'[1]873'!$C$2:$C$711,1,0)</f>
        <v>#N/A</v>
      </c>
    </row>
    <row r="1674" spans="1:8" ht="15" customHeight="1" x14ac:dyDescent="0.25">
      <c r="A1674" s="3">
        <v>45652</v>
      </c>
      <c r="B1674" s="43">
        <v>2024003810</v>
      </c>
      <c r="C1674" s="4" t="s">
        <v>869</v>
      </c>
      <c r="D1674" s="5">
        <v>3000000</v>
      </c>
      <c r="E1674" s="4">
        <v>1004410201</v>
      </c>
      <c r="F1674" s="4" t="s">
        <v>403</v>
      </c>
      <c r="G1674" t="s">
        <v>565</v>
      </c>
      <c r="H1674" t="e">
        <f>VLOOKUP(C1674,'[1]873'!$C$2:$C$711,1,0)</f>
        <v>#N/A</v>
      </c>
    </row>
    <row r="1675" spans="1:8" ht="15" customHeight="1" x14ac:dyDescent="0.25">
      <c r="A1675" s="3">
        <v>45652</v>
      </c>
      <c r="B1675" s="43">
        <v>2024003811</v>
      </c>
      <c r="C1675" s="4" t="s">
        <v>911</v>
      </c>
      <c r="D1675" s="5">
        <v>2500000</v>
      </c>
      <c r="E1675" s="4">
        <v>13072447</v>
      </c>
      <c r="F1675" s="4" t="s">
        <v>205</v>
      </c>
      <c r="G1675" t="s">
        <v>565</v>
      </c>
      <c r="H1675" t="e">
        <f>VLOOKUP(C1675,'[1]873'!$C$2:$C$711,1,0)</f>
        <v>#N/A</v>
      </c>
    </row>
    <row r="1676" spans="1:8" ht="15" customHeight="1" x14ac:dyDescent="0.25">
      <c r="A1676" s="3">
        <v>45652</v>
      </c>
      <c r="B1676" s="43">
        <v>2024003812</v>
      </c>
      <c r="C1676" s="4" t="s">
        <v>1018</v>
      </c>
      <c r="D1676" s="5">
        <v>2500000</v>
      </c>
      <c r="E1676" s="4">
        <v>1081052090</v>
      </c>
      <c r="F1676" s="4" t="s">
        <v>319</v>
      </c>
      <c r="G1676" t="s">
        <v>565</v>
      </c>
      <c r="H1676" t="e">
        <f>VLOOKUP(C1676,'[1]873'!$C$2:$C$711,1,0)</f>
        <v>#N/A</v>
      </c>
    </row>
    <row r="1677" spans="1:8" ht="15" customHeight="1" x14ac:dyDescent="0.25">
      <c r="A1677" s="3">
        <v>45652</v>
      </c>
      <c r="B1677" s="43">
        <v>2024003813</v>
      </c>
      <c r="C1677" s="4" t="s">
        <v>812</v>
      </c>
      <c r="D1677" s="5">
        <v>4750000</v>
      </c>
      <c r="E1677" s="4">
        <v>59816986</v>
      </c>
      <c r="F1677" s="4" t="s">
        <v>415</v>
      </c>
      <c r="G1677" t="s">
        <v>565</v>
      </c>
      <c r="H1677" t="e">
        <f>VLOOKUP(C1677,'[1]873'!$C$2:$C$711,1,0)</f>
        <v>#N/A</v>
      </c>
    </row>
    <row r="1678" spans="1:8" ht="15" customHeight="1" x14ac:dyDescent="0.25">
      <c r="A1678" s="3">
        <v>45652</v>
      </c>
      <c r="B1678" s="43">
        <v>2024003814</v>
      </c>
      <c r="C1678" s="4" t="s">
        <v>1019</v>
      </c>
      <c r="D1678" s="5">
        <v>2499900</v>
      </c>
      <c r="E1678" s="4">
        <v>12990231</v>
      </c>
      <c r="F1678" s="4" t="s">
        <v>1020</v>
      </c>
      <c r="G1678" t="s">
        <v>565</v>
      </c>
      <c r="H1678" t="e">
        <f>VLOOKUP(C1678,'[1]873'!$C$2:$C$711,1,0)</f>
        <v>#N/A</v>
      </c>
    </row>
    <row r="1679" spans="1:8" ht="15" customHeight="1" x14ac:dyDescent="0.25">
      <c r="A1679" s="3">
        <v>45652</v>
      </c>
      <c r="B1679" s="43">
        <v>2024003815</v>
      </c>
      <c r="C1679" s="4" t="s">
        <v>780</v>
      </c>
      <c r="D1679" s="5">
        <v>4825000</v>
      </c>
      <c r="E1679" s="4">
        <v>1085311814</v>
      </c>
      <c r="F1679" s="4" t="s">
        <v>781</v>
      </c>
      <c r="G1679" t="s">
        <v>565</v>
      </c>
      <c r="H1679" t="e">
        <f>VLOOKUP(C1679,'[1]873'!$C$2:$C$711,1,0)</f>
        <v>#N/A</v>
      </c>
    </row>
    <row r="1680" spans="1:8" ht="15" customHeight="1" x14ac:dyDescent="0.25">
      <c r="A1680" s="3">
        <v>45652</v>
      </c>
      <c r="B1680" s="43">
        <v>2024003816</v>
      </c>
      <c r="C1680" s="4" t="s">
        <v>1014</v>
      </c>
      <c r="D1680" s="5">
        <v>2500000</v>
      </c>
      <c r="E1680" s="4">
        <v>30736949</v>
      </c>
      <c r="F1680" s="4" t="s">
        <v>557</v>
      </c>
      <c r="G1680" t="s">
        <v>565</v>
      </c>
      <c r="H1680" t="e">
        <f>VLOOKUP(C1680,'[1]873'!$C$2:$C$711,1,0)</f>
        <v>#N/A</v>
      </c>
    </row>
    <row r="1681" spans="1:8" ht="15" customHeight="1" x14ac:dyDescent="0.25">
      <c r="A1681" s="3">
        <v>45652</v>
      </c>
      <c r="B1681" s="43">
        <v>2024003817</v>
      </c>
      <c r="C1681" s="4" t="s">
        <v>605</v>
      </c>
      <c r="D1681" s="5">
        <v>3000000</v>
      </c>
      <c r="E1681" s="4">
        <v>1085326198</v>
      </c>
      <c r="F1681" s="4" t="s">
        <v>79</v>
      </c>
      <c r="G1681" t="s">
        <v>565</v>
      </c>
      <c r="H1681" t="e">
        <f>VLOOKUP(C1681,'[1]873'!$C$2:$C$711,1,0)</f>
        <v>#N/A</v>
      </c>
    </row>
    <row r="1682" spans="1:8" ht="15" customHeight="1" x14ac:dyDescent="0.25">
      <c r="A1682" s="3">
        <v>45652</v>
      </c>
      <c r="B1682" s="43">
        <v>2024003818</v>
      </c>
      <c r="C1682" s="4" t="s">
        <v>712</v>
      </c>
      <c r="D1682" s="5">
        <v>7540000</v>
      </c>
      <c r="E1682" s="4">
        <v>1233192708</v>
      </c>
      <c r="F1682" s="4" t="s">
        <v>591</v>
      </c>
      <c r="G1682" t="s">
        <v>565</v>
      </c>
      <c r="H1682" t="e">
        <f>VLOOKUP(C1682,'[1]873'!$C$2:$C$711,1,0)</f>
        <v>#N/A</v>
      </c>
    </row>
    <row r="1683" spans="1:8" ht="15" customHeight="1" x14ac:dyDescent="0.25">
      <c r="A1683" s="3">
        <v>45652</v>
      </c>
      <c r="B1683" s="43">
        <v>2024003819</v>
      </c>
      <c r="C1683" s="4" t="s">
        <v>997</v>
      </c>
      <c r="D1683" s="5">
        <v>4750000</v>
      </c>
      <c r="E1683" s="4">
        <v>1085264667</v>
      </c>
      <c r="F1683" s="4" t="s">
        <v>464</v>
      </c>
      <c r="G1683" t="s">
        <v>565</v>
      </c>
      <c r="H1683" t="e">
        <f>VLOOKUP(C1683,'[1]873'!$C$2:$C$711,1,0)</f>
        <v>#N/A</v>
      </c>
    </row>
    <row r="1684" spans="1:8" ht="15" customHeight="1" x14ac:dyDescent="0.25">
      <c r="A1684" s="3">
        <v>45652</v>
      </c>
      <c r="B1684" s="43">
        <v>2024003820</v>
      </c>
      <c r="C1684" s="4" t="s">
        <v>819</v>
      </c>
      <c r="D1684" s="5">
        <v>4825000</v>
      </c>
      <c r="E1684" s="4">
        <v>1081595485</v>
      </c>
      <c r="F1684" s="4" t="s">
        <v>820</v>
      </c>
      <c r="G1684" t="s">
        <v>565</v>
      </c>
      <c r="H1684" t="e">
        <f>VLOOKUP(C1684,'[1]873'!$C$2:$C$711,1,0)</f>
        <v>#N/A</v>
      </c>
    </row>
    <row r="1685" spans="1:8" ht="15" customHeight="1" x14ac:dyDescent="0.25">
      <c r="A1685" s="3">
        <v>45652</v>
      </c>
      <c r="B1685" s="41">
        <v>2024003821</v>
      </c>
      <c r="C1685" s="1" t="s">
        <v>439</v>
      </c>
      <c r="D1685" s="5">
        <v>4825000</v>
      </c>
      <c r="E1685" s="1">
        <v>1088730712</v>
      </c>
      <c r="F1685" s="1" t="s">
        <v>295</v>
      </c>
      <c r="G1685" s="1" t="s">
        <v>9</v>
      </c>
      <c r="H1685" t="e">
        <f>VLOOKUP(C1685,'[1]873'!$C$2:$C$711,1,0)</f>
        <v>#N/A</v>
      </c>
    </row>
    <row r="1686" spans="1:8" ht="15" customHeight="1" x14ac:dyDescent="0.25">
      <c r="A1686" s="3">
        <v>45652</v>
      </c>
      <c r="B1686" s="43">
        <v>2024003822</v>
      </c>
      <c r="C1686" s="4" t="s">
        <v>996</v>
      </c>
      <c r="D1686" s="5">
        <v>3000000</v>
      </c>
      <c r="E1686" s="4">
        <v>98391531</v>
      </c>
      <c r="F1686" s="4" t="s">
        <v>499</v>
      </c>
      <c r="G1686" t="s">
        <v>565</v>
      </c>
      <c r="H1686" t="e">
        <f>VLOOKUP(C1686,'[1]873'!$C$2:$C$711,1,0)</f>
        <v>#N/A</v>
      </c>
    </row>
    <row r="1687" spans="1:8" ht="15" customHeight="1" x14ac:dyDescent="0.25">
      <c r="A1687" s="3">
        <v>45652</v>
      </c>
      <c r="B1687" s="43">
        <v>2024003823</v>
      </c>
      <c r="C1687" s="4" t="s">
        <v>757</v>
      </c>
      <c r="D1687" s="5">
        <v>3000000</v>
      </c>
      <c r="E1687" s="4">
        <v>1085309422</v>
      </c>
      <c r="F1687" s="4" t="s">
        <v>758</v>
      </c>
      <c r="G1687" t="s">
        <v>565</v>
      </c>
      <c r="H1687" t="e">
        <f>VLOOKUP(C1687,'[1]873'!$C$2:$C$711,1,0)</f>
        <v>#N/A</v>
      </c>
    </row>
    <row r="1688" spans="1:8" ht="15" customHeight="1" x14ac:dyDescent="0.25">
      <c r="A1688" s="3">
        <v>45652</v>
      </c>
      <c r="B1688" s="43">
        <v>2024003824</v>
      </c>
      <c r="C1688" s="4" t="s">
        <v>753</v>
      </c>
      <c r="D1688" s="5">
        <v>3000000</v>
      </c>
      <c r="E1688" s="4">
        <v>1085272140</v>
      </c>
      <c r="F1688" s="4" t="s">
        <v>754</v>
      </c>
      <c r="G1688" t="s">
        <v>565</v>
      </c>
      <c r="H1688" t="e">
        <f>VLOOKUP(C1688,'[1]873'!$C$2:$C$711,1,0)</f>
        <v>#N/A</v>
      </c>
    </row>
    <row r="1689" spans="1:8" ht="15" customHeight="1" x14ac:dyDescent="0.25">
      <c r="A1689" s="3">
        <v>45652</v>
      </c>
      <c r="B1689" s="43">
        <v>2024003826</v>
      </c>
      <c r="C1689" s="4" t="s">
        <v>799</v>
      </c>
      <c r="D1689" s="5">
        <v>2500000</v>
      </c>
      <c r="E1689" s="4">
        <v>1085320930</v>
      </c>
      <c r="F1689" s="4" t="s">
        <v>259</v>
      </c>
      <c r="G1689" t="s">
        <v>565</v>
      </c>
      <c r="H1689" t="e">
        <f>VLOOKUP(C1689,'[1]873'!$C$2:$C$711,1,0)</f>
        <v>#N/A</v>
      </c>
    </row>
    <row r="1690" spans="1:8" ht="15" customHeight="1" x14ac:dyDescent="0.25">
      <c r="A1690" s="3">
        <v>45652</v>
      </c>
      <c r="B1690" s="43">
        <v>2024003827</v>
      </c>
      <c r="C1690" s="4" t="s">
        <v>624</v>
      </c>
      <c r="D1690" s="5">
        <v>4825000</v>
      </c>
      <c r="E1690" s="4">
        <v>37082349</v>
      </c>
      <c r="F1690" s="4" t="s">
        <v>377</v>
      </c>
      <c r="G1690" t="s">
        <v>565</v>
      </c>
      <c r="H1690" t="e">
        <f>VLOOKUP(C1690,'[1]873'!$C$2:$C$711,1,0)</f>
        <v>#N/A</v>
      </c>
    </row>
    <row r="1691" spans="1:8" ht="15" customHeight="1" x14ac:dyDescent="0.25">
      <c r="A1691" s="3">
        <v>45652</v>
      </c>
      <c r="B1691" s="43">
        <v>2024003828</v>
      </c>
      <c r="C1691" s="4" t="s">
        <v>1017</v>
      </c>
      <c r="D1691" s="5">
        <v>6283000</v>
      </c>
      <c r="E1691" s="4">
        <v>1193279435</v>
      </c>
      <c r="F1691" s="4" t="s">
        <v>435</v>
      </c>
      <c r="G1691" t="s">
        <v>565</v>
      </c>
      <c r="H1691" t="e">
        <f>VLOOKUP(C1691,'[1]873'!$C$2:$C$711,1,0)</f>
        <v>#N/A</v>
      </c>
    </row>
    <row r="1692" spans="1:8" ht="15" customHeight="1" x14ac:dyDescent="0.25">
      <c r="A1692" s="3">
        <v>45652</v>
      </c>
      <c r="B1692" s="43">
        <v>2024003829</v>
      </c>
      <c r="C1692" s="4" t="s">
        <v>740</v>
      </c>
      <c r="D1692" s="5">
        <v>6000000</v>
      </c>
      <c r="E1692" s="4">
        <v>37013610</v>
      </c>
      <c r="F1692" s="4" t="s">
        <v>25</v>
      </c>
      <c r="G1692" t="s">
        <v>565</v>
      </c>
      <c r="H1692" t="e">
        <f>VLOOKUP(C1692,'[1]873'!$C$2:$C$711,1,0)</f>
        <v>#N/A</v>
      </c>
    </row>
    <row r="1693" spans="1:8" ht="15" customHeight="1" x14ac:dyDescent="0.25">
      <c r="A1693" s="3">
        <v>45652</v>
      </c>
      <c r="B1693" s="43">
        <v>2024003830</v>
      </c>
      <c r="C1693" s="4" t="s">
        <v>1085</v>
      </c>
      <c r="D1693" s="5">
        <v>500000</v>
      </c>
      <c r="E1693" s="4">
        <v>1080690337</v>
      </c>
      <c r="F1693" s="4" t="s">
        <v>1086</v>
      </c>
      <c r="G1693" t="s">
        <v>565</v>
      </c>
      <c r="H1693" t="e">
        <f>VLOOKUP(C1693,'[1]873'!$C$2:$C$711,1,0)</f>
        <v>#N/A</v>
      </c>
    </row>
    <row r="1694" spans="1:8" ht="15" customHeight="1" x14ac:dyDescent="0.25">
      <c r="A1694" s="3">
        <v>45652</v>
      </c>
      <c r="B1694" s="43">
        <v>2024003831</v>
      </c>
      <c r="C1694" s="4" t="s">
        <v>1085</v>
      </c>
      <c r="D1694" s="5">
        <v>3000000</v>
      </c>
      <c r="E1694" s="4">
        <v>1080690337</v>
      </c>
      <c r="F1694" s="4" t="s">
        <v>1086</v>
      </c>
      <c r="G1694" t="s">
        <v>565</v>
      </c>
      <c r="H1694" t="e">
        <f>VLOOKUP(C1694,'[1]873'!$C$2:$C$711,1,0)</f>
        <v>#N/A</v>
      </c>
    </row>
    <row r="1695" spans="1:8" ht="15" customHeight="1" x14ac:dyDescent="0.25">
      <c r="A1695" s="3">
        <v>45652</v>
      </c>
      <c r="B1695" s="43">
        <v>2024003833</v>
      </c>
      <c r="C1695" s="4" t="s">
        <v>872</v>
      </c>
      <c r="D1695" s="5">
        <v>3000000</v>
      </c>
      <c r="E1695" s="4">
        <v>1085250095</v>
      </c>
      <c r="F1695" s="4" t="s">
        <v>179</v>
      </c>
      <c r="G1695" t="s">
        <v>565</v>
      </c>
      <c r="H1695" t="e">
        <f>VLOOKUP(C1695,'[1]873'!$C$2:$C$711,1,0)</f>
        <v>#N/A</v>
      </c>
    </row>
    <row r="1696" spans="1:8" ht="15" customHeight="1" x14ac:dyDescent="0.25">
      <c r="A1696" s="3">
        <v>45652</v>
      </c>
      <c r="B1696" s="43">
        <v>2024003834</v>
      </c>
      <c r="C1696" s="4" t="s">
        <v>917</v>
      </c>
      <c r="D1696" s="5">
        <v>7540000</v>
      </c>
      <c r="E1696" s="4">
        <v>87940284</v>
      </c>
      <c r="F1696" s="4" t="s">
        <v>918</v>
      </c>
      <c r="G1696" t="s">
        <v>565</v>
      </c>
      <c r="H1696" t="e">
        <f>VLOOKUP(C1696,'[1]873'!$C$2:$C$711,1,0)</f>
        <v>#N/A</v>
      </c>
    </row>
    <row r="1697" spans="1:8" ht="15" customHeight="1" x14ac:dyDescent="0.25">
      <c r="A1697" s="3">
        <v>45652</v>
      </c>
      <c r="B1697" s="43">
        <v>2024003836</v>
      </c>
      <c r="C1697" s="4" t="s">
        <v>904</v>
      </c>
      <c r="D1697" s="5">
        <v>3000000</v>
      </c>
      <c r="E1697" s="4">
        <v>1193224810</v>
      </c>
      <c r="F1697" s="4" t="s">
        <v>409</v>
      </c>
      <c r="G1697" t="s">
        <v>565</v>
      </c>
      <c r="H1697" t="e">
        <f>VLOOKUP(C1697,'[1]873'!$C$2:$C$711,1,0)</f>
        <v>#N/A</v>
      </c>
    </row>
    <row r="1698" spans="1:8" ht="15" customHeight="1" x14ac:dyDescent="0.25">
      <c r="A1698" s="3">
        <v>45652</v>
      </c>
      <c r="B1698" s="43">
        <v>2024003837</v>
      </c>
      <c r="C1698" s="4" t="s">
        <v>999</v>
      </c>
      <c r="D1698" s="5">
        <v>3000000</v>
      </c>
      <c r="E1698" s="4">
        <v>59313539</v>
      </c>
      <c r="F1698" s="4" t="s">
        <v>1000</v>
      </c>
      <c r="G1698" t="s">
        <v>565</v>
      </c>
      <c r="H1698" t="e">
        <f>VLOOKUP(C1698,'[1]873'!$C$2:$C$711,1,0)</f>
        <v>#N/A</v>
      </c>
    </row>
    <row r="1699" spans="1:8" ht="15" customHeight="1" x14ac:dyDescent="0.25">
      <c r="A1699" s="3">
        <v>45652</v>
      </c>
      <c r="B1699" s="43">
        <v>2024003838</v>
      </c>
      <c r="C1699" s="4" t="s">
        <v>1026</v>
      </c>
      <c r="D1699" s="5">
        <v>2500000</v>
      </c>
      <c r="E1699" s="4">
        <v>1085254615</v>
      </c>
      <c r="F1699" s="4" t="s">
        <v>1027</v>
      </c>
      <c r="G1699" t="s">
        <v>565</v>
      </c>
      <c r="H1699" t="e">
        <f>VLOOKUP(C1699,'[1]873'!$C$2:$C$711,1,0)</f>
        <v>#N/A</v>
      </c>
    </row>
    <row r="1700" spans="1:8" ht="15" customHeight="1" x14ac:dyDescent="0.25">
      <c r="A1700" s="3">
        <v>45652</v>
      </c>
      <c r="B1700" s="43">
        <v>2024003839</v>
      </c>
      <c r="C1700" s="4" t="s">
        <v>827</v>
      </c>
      <c r="D1700" s="5">
        <v>6000000</v>
      </c>
      <c r="E1700" s="4">
        <v>27097745</v>
      </c>
      <c r="F1700" s="4" t="s">
        <v>828</v>
      </c>
      <c r="G1700" t="s">
        <v>565</v>
      </c>
      <c r="H1700" t="e">
        <f>VLOOKUP(C1700,'[1]873'!$C$2:$C$711,1,0)</f>
        <v>#N/A</v>
      </c>
    </row>
    <row r="1701" spans="1:8" ht="15" customHeight="1" x14ac:dyDescent="0.25">
      <c r="A1701" s="3">
        <v>45652</v>
      </c>
      <c r="B1701" s="43">
        <v>2024003840</v>
      </c>
      <c r="C1701" s="4" t="s">
        <v>878</v>
      </c>
      <c r="D1701" s="5">
        <v>3000000</v>
      </c>
      <c r="E1701" s="4">
        <v>1085338575</v>
      </c>
      <c r="F1701" s="4" t="s">
        <v>227</v>
      </c>
      <c r="G1701" t="s">
        <v>565</v>
      </c>
      <c r="H1701" t="e">
        <f>VLOOKUP(C1701,'[1]873'!$C$2:$C$711,1,0)</f>
        <v>#N/A</v>
      </c>
    </row>
    <row r="1702" spans="1:8" ht="15" customHeight="1" x14ac:dyDescent="0.25">
      <c r="A1702" s="3">
        <v>45652</v>
      </c>
      <c r="B1702" s="43">
        <v>2024003841</v>
      </c>
      <c r="C1702" s="4" t="s">
        <v>899</v>
      </c>
      <c r="D1702" s="5">
        <v>4750000</v>
      </c>
      <c r="E1702" s="4">
        <v>36950073</v>
      </c>
      <c r="F1702" s="4" t="s">
        <v>900</v>
      </c>
      <c r="G1702" t="s">
        <v>565</v>
      </c>
      <c r="H1702" t="e">
        <f>VLOOKUP(C1702,'[1]873'!$C$2:$C$711,1,0)</f>
        <v>#N/A</v>
      </c>
    </row>
    <row r="1703" spans="1:8" ht="15" customHeight="1" x14ac:dyDescent="0.25">
      <c r="A1703" s="3">
        <v>45652</v>
      </c>
      <c r="B1703" s="43">
        <v>2024003843</v>
      </c>
      <c r="C1703" s="4" t="s">
        <v>821</v>
      </c>
      <c r="D1703" s="5">
        <v>3000000</v>
      </c>
      <c r="E1703" s="4">
        <v>1085255972</v>
      </c>
      <c r="F1703" s="4" t="s">
        <v>147</v>
      </c>
      <c r="G1703" t="s">
        <v>565</v>
      </c>
      <c r="H1703" t="e">
        <f>VLOOKUP(C1703,'[1]873'!$C$2:$C$711,1,0)</f>
        <v>#N/A</v>
      </c>
    </row>
    <row r="1704" spans="1:8" ht="15" customHeight="1" x14ac:dyDescent="0.25">
      <c r="A1704" s="3">
        <v>45652</v>
      </c>
      <c r="B1704" s="43">
        <v>2024003844</v>
      </c>
      <c r="C1704" s="4" t="s">
        <v>841</v>
      </c>
      <c r="D1704" s="5">
        <v>4825000</v>
      </c>
      <c r="E1704" s="4">
        <v>1085265622</v>
      </c>
      <c r="F1704" s="4" t="s">
        <v>460</v>
      </c>
      <c r="G1704" t="s">
        <v>565</v>
      </c>
      <c r="H1704" t="e">
        <f>VLOOKUP(C1704,'[1]873'!$C$2:$C$711,1,0)</f>
        <v>#N/A</v>
      </c>
    </row>
    <row r="1705" spans="1:8" ht="15" customHeight="1" x14ac:dyDescent="0.25">
      <c r="A1705" s="3">
        <v>45652</v>
      </c>
      <c r="B1705" s="43">
        <v>2024003845</v>
      </c>
      <c r="C1705" s="4" t="s">
        <v>877</v>
      </c>
      <c r="D1705" s="5">
        <v>3000000</v>
      </c>
      <c r="E1705" s="4">
        <v>87070661</v>
      </c>
      <c r="F1705" s="4" t="s">
        <v>185</v>
      </c>
      <c r="G1705" t="s">
        <v>565</v>
      </c>
      <c r="H1705" t="e">
        <f>VLOOKUP(C1705,'[1]873'!$C$2:$C$711,1,0)</f>
        <v>#N/A</v>
      </c>
    </row>
    <row r="1706" spans="1:8" ht="15" customHeight="1" x14ac:dyDescent="0.25">
      <c r="A1706" s="3">
        <v>45652</v>
      </c>
      <c r="B1706" s="43">
        <v>2024003846</v>
      </c>
      <c r="C1706" s="4" t="s">
        <v>703</v>
      </c>
      <c r="D1706" s="5">
        <v>3000000</v>
      </c>
      <c r="E1706" s="4">
        <v>1233191675</v>
      </c>
      <c r="F1706" s="4" t="s">
        <v>523</v>
      </c>
      <c r="G1706" t="s">
        <v>565</v>
      </c>
      <c r="H1706" t="e">
        <f>VLOOKUP(C1706,'[1]873'!$C$2:$C$711,1,0)</f>
        <v>#N/A</v>
      </c>
    </row>
    <row r="1707" spans="1:8" ht="15" customHeight="1" x14ac:dyDescent="0.25">
      <c r="A1707" s="3">
        <v>45652</v>
      </c>
      <c r="B1707" s="43">
        <v>2024003848</v>
      </c>
      <c r="C1707" s="4" t="s">
        <v>1001</v>
      </c>
      <c r="D1707" s="5">
        <v>3000000</v>
      </c>
      <c r="E1707" s="4">
        <v>1081053820</v>
      </c>
      <c r="F1707" s="4" t="s">
        <v>431</v>
      </c>
      <c r="G1707" t="s">
        <v>565</v>
      </c>
      <c r="H1707" t="e">
        <f>VLOOKUP(C1707,'[1]873'!$C$2:$C$711,1,0)</f>
        <v>#N/A</v>
      </c>
    </row>
    <row r="1708" spans="1:8" ht="15" customHeight="1" x14ac:dyDescent="0.25">
      <c r="A1708" s="3">
        <v>45652</v>
      </c>
      <c r="B1708" s="43">
        <v>2024003849</v>
      </c>
      <c r="C1708" s="4" t="s">
        <v>977</v>
      </c>
      <c r="D1708" s="5">
        <v>4825000</v>
      </c>
      <c r="E1708" s="4">
        <v>59177204</v>
      </c>
      <c r="F1708" s="4" t="s">
        <v>978</v>
      </c>
      <c r="G1708" t="s">
        <v>565</v>
      </c>
      <c r="H1708" t="e">
        <f>VLOOKUP(C1708,'[1]873'!$C$2:$C$711,1,0)</f>
        <v>#N/A</v>
      </c>
    </row>
    <row r="1709" spans="1:8" ht="15" customHeight="1" x14ac:dyDescent="0.25">
      <c r="A1709" s="3">
        <v>45652</v>
      </c>
      <c r="B1709" s="43">
        <v>2024003850</v>
      </c>
      <c r="C1709" s="4" t="s">
        <v>666</v>
      </c>
      <c r="D1709" s="5">
        <v>2500000</v>
      </c>
      <c r="E1709" s="4">
        <v>12974849</v>
      </c>
      <c r="F1709" s="4" t="s">
        <v>51</v>
      </c>
      <c r="G1709" t="s">
        <v>565</v>
      </c>
      <c r="H1709" t="e">
        <f>VLOOKUP(C1709,'[1]873'!$C$2:$C$711,1,0)</f>
        <v>#N/A</v>
      </c>
    </row>
    <row r="1710" spans="1:8" ht="15" customHeight="1" x14ac:dyDescent="0.25">
      <c r="A1710" s="3">
        <v>45652</v>
      </c>
      <c r="B1710" s="43">
        <v>2024003851</v>
      </c>
      <c r="C1710" s="4" t="s">
        <v>625</v>
      </c>
      <c r="D1710" s="5">
        <v>4750000</v>
      </c>
      <c r="E1710" s="4">
        <v>1085263018</v>
      </c>
      <c r="F1710" s="4" t="s">
        <v>91</v>
      </c>
      <c r="G1710" t="s">
        <v>565</v>
      </c>
      <c r="H1710" t="e">
        <f>VLOOKUP(C1710,'[1]873'!$C$2:$C$711,1,0)</f>
        <v>#N/A</v>
      </c>
    </row>
    <row r="1711" spans="1:8" ht="15" customHeight="1" x14ac:dyDescent="0.25">
      <c r="A1711" s="3">
        <v>45652</v>
      </c>
      <c r="B1711" s="43">
        <v>2024003852</v>
      </c>
      <c r="C1711" s="4" t="s">
        <v>935</v>
      </c>
      <c r="D1711" s="5">
        <v>3000000</v>
      </c>
      <c r="E1711" s="4">
        <v>59828916</v>
      </c>
      <c r="F1711" s="4" t="s">
        <v>181</v>
      </c>
      <c r="G1711" t="s">
        <v>565</v>
      </c>
      <c r="H1711" t="e">
        <f>VLOOKUP(C1711,'[1]873'!$C$2:$C$711,1,0)</f>
        <v>#N/A</v>
      </c>
    </row>
    <row r="1712" spans="1:8" ht="15" customHeight="1" x14ac:dyDescent="0.25">
      <c r="A1712" s="3">
        <v>45652</v>
      </c>
      <c r="B1712" s="43">
        <v>2024003854</v>
      </c>
      <c r="C1712" s="4" t="s">
        <v>879</v>
      </c>
      <c r="D1712" s="5">
        <v>2500000</v>
      </c>
      <c r="E1712" s="4">
        <v>30737741</v>
      </c>
      <c r="F1712" s="4" t="s">
        <v>199</v>
      </c>
      <c r="G1712" t="s">
        <v>565</v>
      </c>
      <c r="H1712" t="e">
        <f>VLOOKUP(C1712,'[1]873'!$C$2:$C$711,1,0)</f>
        <v>#N/A</v>
      </c>
    </row>
    <row r="1713" spans="1:8" ht="15" customHeight="1" x14ac:dyDescent="0.25">
      <c r="A1713" s="3">
        <v>45652</v>
      </c>
      <c r="B1713" s="43">
        <v>2024003855</v>
      </c>
      <c r="C1713" s="4" t="s">
        <v>881</v>
      </c>
      <c r="D1713" s="5">
        <v>4750000</v>
      </c>
      <c r="E1713" s="4">
        <v>1085318684</v>
      </c>
      <c r="F1713" s="4" t="s">
        <v>355</v>
      </c>
      <c r="G1713" t="s">
        <v>565</v>
      </c>
      <c r="H1713" t="e">
        <f>VLOOKUP(C1713,'[1]873'!$C$2:$C$711,1,0)</f>
        <v>#N/A</v>
      </c>
    </row>
    <row r="1714" spans="1:8" ht="15" customHeight="1" x14ac:dyDescent="0.25">
      <c r="A1714" s="3">
        <v>45652</v>
      </c>
      <c r="B1714" s="43">
        <v>2024003856</v>
      </c>
      <c r="C1714" s="4" t="s">
        <v>949</v>
      </c>
      <c r="D1714" s="5">
        <v>3000000</v>
      </c>
      <c r="E1714" s="4">
        <v>1081272318</v>
      </c>
      <c r="F1714" s="4" t="s">
        <v>950</v>
      </c>
      <c r="G1714" t="s">
        <v>565</v>
      </c>
      <c r="H1714" t="e">
        <f>VLOOKUP(C1714,'[1]873'!$C$2:$C$711,1,0)</f>
        <v>#N/A</v>
      </c>
    </row>
    <row r="1715" spans="1:8" ht="15" customHeight="1" x14ac:dyDescent="0.25">
      <c r="A1715" s="3">
        <v>45652</v>
      </c>
      <c r="B1715" s="43">
        <v>2024003857</v>
      </c>
      <c r="C1715" s="4" t="s">
        <v>998</v>
      </c>
      <c r="D1715" s="5">
        <v>2500000</v>
      </c>
      <c r="E1715" s="4">
        <v>1085318898</v>
      </c>
      <c r="F1715" s="4" t="s">
        <v>517</v>
      </c>
      <c r="G1715" t="s">
        <v>565</v>
      </c>
      <c r="H1715" t="e">
        <f>VLOOKUP(C1715,'[1]873'!$C$2:$C$711,1,0)</f>
        <v>#N/A</v>
      </c>
    </row>
    <row r="1716" spans="1:8" ht="15" customHeight="1" x14ac:dyDescent="0.25">
      <c r="A1716" s="3">
        <v>45652</v>
      </c>
      <c r="B1716" s="43">
        <v>2024003858</v>
      </c>
      <c r="C1716" s="4" t="s">
        <v>873</v>
      </c>
      <c r="D1716" s="5">
        <v>4750000</v>
      </c>
      <c r="E1716" s="4">
        <v>1085318201</v>
      </c>
      <c r="F1716" s="4" t="s">
        <v>235</v>
      </c>
      <c r="G1716" t="s">
        <v>565</v>
      </c>
      <c r="H1716" t="e">
        <f>VLOOKUP(C1716,'[1]873'!$C$2:$C$711,1,0)</f>
        <v>#N/A</v>
      </c>
    </row>
    <row r="1717" spans="1:8" ht="15" customHeight="1" x14ac:dyDescent="0.25">
      <c r="A1717" s="3">
        <v>45652</v>
      </c>
      <c r="B1717" s="43">
        <v>2024003859</v>
      </c>
      <c r="C1717" s="4" t="s">
        <v>1087</v>
      </c>
      <c r="D1717" s="5">
        <v>2691100</v>
      </c>
      <c r="E1717" s="4">
        <v>59830379</v>
      </c>
      <c r="F1717" s="4" t="s">
        <v>1088</v>
      </c>
      <c r="G1717" t="s">
        <v>565</v>
      </c>
      <c r="H1717" t="e">
        <f>VLOOKUP(C1717,'[1]873'!$C$2:$C$711,1,0)</f>
        <v>#N/A</v>
      </c>
    </row>
    <row r="1718" spans="1:8" ht="15" customHeight="1" x14ac:dyDescent="0.25">
      <c r="A1718" s="3">
        <v>45652</v>
      </c>
      <c r="B1718" s="43">
        <v>2024003860</v>
      </c>
      <c r="C1718" s="4" t="s">
        <v>826</v>
      </c>
      <c r="D1718" s="5">
        <v>2500000</v>
      </c>
      <c r="E1718" s="4">
        <v>59311646</v>
      </c>
      <c r="F1718" s="4" t="s">
        <v>373</v>
      </c>
      <c r="G1718" t="s">
        <v>565</v>
      </c>
      <c r="H1718" t="e">
        <f>VLOOKUP(C1718,'[1]873'!$C$2:$C$711,1,0)</f>
        <v>#N/A</v>
      </c>
    </row>
    <row r="1719" spans="1:8" ht="15" customHeight="1" x14ac:dyDescent="0.25">
      <c r="A1719" s="3">
        <v>45652</v>
      </c>
      <c r="B1719" s="43">
        <v>2024003861</v>
      </c>
      <c r="C1719" s="4" t="s">
        <v>873</v>
      </c>
      <c r="D1719" s="5">
        <v>4750000</v>
      </c>
      <c r="E1719" s="4">
        <v>1085318201</v>
      </c>
      <c r="F1719" s="4" t="s">
        <v>235</v>
      </c>
      <c r="G1719" t="s">
        <v>565</v>
      </c>
      <c r="H1719" t="e">
        <f>VLOOKUP(C1719,'[1]873'!$C$2:$C$711,1,0)</f>
        <v>#N/A</v>
      </c>
    </row>
    <row r="1720" spans="1:8" ht="15" customHeight="1" x14ac:dyDescent="0.25">
      <c r="A1720" s="3">
        <v>45652</v>
      </c>
      <c r="B1720" s="43">
        <v>2024003862</v>
      </c>
      <c r="C1720" s="4" t="s">
        <v>1021</v>
      </c>
      <c r="D1720" s="5">
        <v>4825000</v>
      </c>
      <c r="E1720" s="4">
        <v>1085319572</v>
      </c>
      <c r="F1720" s="4" t="s">
        <v>1022</v>
      </c>
      <c r="G1720" t="s">
        <v>565</v>
      </c>
      <c r="H1720" t="e">
        <f>VLOOKUP(C1720,'[1]873'!$C$2:$C$711,1,0)</f>
        <v>#N/A</v>
      </c>
    </row>
    <row r="1721" spans="1:8" ht="15" customHeight="1" x14ac:dyDescent="0.25">
      <c r="A1721" s="3">
        <v>45652</v>
      </c>
      <c r="B1721" s="43">
        <v>2024003863</v>
      </c>
      <c r="C1721" s="4" t="s">
        <v>1087</v>
      </c>
      <c r="D1721" s="5">
        <v>4750000</v>
      </c>
      <c r="E1721" s="4">
        <v>59830379</v>
      </c>
      <c r="F1721" s="4" t="s">
        <v>1088</v>
      </c>
      <c r="G1721" t="s">
        <v>565</v>
      </c>
      <c r="H1721" t="e">
        <f>VLOOKUP(C1721,'[1]873'!$C$2:$C$711,1,0)</f>
        <v>#N/A</v>
      </c>
    </row>
    <row r="1722" spans="1:8" ht="15" customHeight="1" x14ac:dyDescent="0.25">
      <c r="A1722" s="3">
        <v>45652</v>
      </c>
      <c r="B1722" s="43">
        <v>2024003864</v>
      </c>
      <c r="C1722" s="4" t="s">
        <v>938</v>
      </c>
      <c r="D1722" s="5">
        <v>4825000</v>
      </c>
      <c r="E1722" s="4">
        <v>52048780</v>
      </c>
      <c r="F1722" s="4" t="s">
        <v>939</v>
      </c>
      <c r="G1722" t="s">
        <v>565</v>
      </c>
      <c r="H1722" t="e">
        <f>VLOOKUP(C1722,'[1]873'!$C$2:$C$711,1,0)</f>
        <v>#N/A</v>
      </c>
    </row>
    <row r="1723" spans="1:8" ht="15" customHeight="1" x14ac:dyDescent="0.25">
      <c r="A1723" s="3">
        <v>45652</v>
      </c>
      <c r="B1723" s="43">
        <v>2024003865</v>
      </c>
      <c r="C1723" s="4" t="s">
        <v>925</v>
      </c>
      <c r="D1723" s="5">
        <v>4825000</v>
      </c>
      <c r="E1723" s="4">
        <v>1004508471</v>
      </c>
      <c r="F1723" s="4" t="s">
        <v>926</v>
      </c>
      <c r="G1723" t="s">
        <v>565</v>
      </c>
      <c r="H1723" t="e">
        <f>VLOOKUP(C1723,'[1]873'!$C$2:$C$711,1,0)</f>
        <v>#N/A</v>
      </c>
    </row>
    <row r="1724" spans="1:8" ht="15" customHeight="1" x14ac:dyDescent="0.25">
      <c r="A1724" s="3">
        <v>45653</v>
      </c>
      <c r="B1724" s="43">
        <v>2024003935</v>
      </c>
      <c r="C1724" s="4" t="s">
        <v>1051</v>
      </c>
      <c r="D1724" s="5">
        <v>4750000</v>
      </c>
      <c r="E1724" s="4">
        <v>1085334685</v>
      </c>
      <c r="F1724" s="4" t="s">
        <v>1052</v>
      </c>
      <c r="G1724" t="s">
        <v>565</v>
      </c>
      <c r="H1724" t="e">
        <f>VLOOKUP(C1724,'[1]873'!$C$2:$C$711,1,0)</f>
        <v>#N/A</v>
      </c>
    </row>
    <row r="1725" spans="1:8" ht="15" customHeight="1" x14ac:dyDescent="0.25">
      <c r="A1725" s="3">
        <v>45653</v>
      </c>
      <c r="B1725" s="43">
        <v>2024003936</v>
      </c>
      <c r="C1725" s="4" t="s">
        <v>1061</v>
      </c>
      <c r="D1725" s="5">
        <v>6000000</v>
      </c>
      <c r="E1725" s="4">
        <v>1084228089</v>
      </c>
      <c r="F1725" s="4" t="s">
        <v>1062</v>
      </c>
      <c r="G1725" t="s">
        <v>565</v>
      </c>
      <c r="H1725" t="e">
        <f>VLOOKUP(C1725,'[1]873'!$C$2:$C$711,1,0)</f>
        <v>#N/A</v>
      </c>
    </row>
    <row r="1726" spans="1:8" ht="15" customHeight="1" x14ac:dyDescent="0.25">
      <c r="A1726" s="3">
        <v>45653</v>
      </c>
      <c r="B1726" s="43">
        <v>2024003938</v>
      </c>
      <c r="C1726" s="4" t="s">
        <v>984</v>
      </c>
      <c r="D1726" s="5">
        <v>4825000</v>
      </c>
      <c r="E1726" s="4">
        <v>59835376</v>
      </c>
      <c r="F1726" s="4" t="s">
        <v>985</v>
      </c>
      <c r="G1726" t="s">
        <v>565</v>
      </c>
      <c r="H1726" t="e">
        <f>VLOOKUP(C1726,'[1]873'!$C$2:$C$711,1,0)</f>
        <v>#N/A</v>
      </c>
    </row>
    <row r="1727" spans="1:8" ht="15" customHeight="1" x14ac:dyDescent="0.25">
      <c r="A1727" s="3">
        <v>45653</v>
      </c>
      <c r="B1727" s="43">
        <v>2024003939</v>
      </c>
      <c r="C1727" s="4" t="s">
        <v>906</v>
      </c>
      <c r="D1727" s="5">
        <v>3000000</v>
      </c>
      <c r="E1727" s="4">
        <v>1004216993</v>
      </c>
      <c r="F1727" s="4" t="s">
        <v>511</v>
      </c>
      <c r="G1727" t="s">
        <v>565</v>
      </c>
      <c r="H1727" t="e">
        <f>VLOOKUP(C1727,'[1]873'!$C$2:$C$711,1,0)</f>
        <v>#N/A</v>
      </c>
    </row>
    <row r="1728" spans="1:8" ht="15" customHeight="1" x14ac:dyDescent="0.25">
      <c r="A1728" s="3">
        <v>45653</v>
      </c>
      <c r="B1728" s="43">
        <v>2024003942</v>
      </c>
      <c r="C1728" s="4" t="s">
        <v>1089</v>
      </c>
      <c r="D1728" s="5">
        <v>20049120</v>
      </c>
      <c r="E1728" s="4">
        <v>900441119</v>
      </c>
      <c r="F1728" s="4" t="s">
        <v>652</v>
      </c>
      <c r="G1728" t="s">
        <v>565</v>
      </c>
      <c r="H1728" t="e">
        <f>VLOOKUP(C1728,'[1]873'!$C$2:$C$711,1,0)</f>
        <v>#N/A</v>
      </c>
    </row>
    <row r="1729" spans="1:8" ht="15" customHeight="1" x14ac:dyDescent="0.25">
      <c r="A1729" s="3">
        <v>45653</v>
      </c>
      <c r="B1729" s="43">
        <v>2024003943</v>
      </c>
      <c r="C1729" s="4" t="s">
        <v>1090</v>
      </c>
      <c r="D1729" s="5">
        <v>33001556</v>
      </c>
      <c r="E1729" s="4">
        <v>12746875</v>
      </c>
      <c r="F1729" s="4" t="s">
        <v>1091</v>
      </c>
      <c r="G1729" t="s">
        <v>565</v>
      </c>
      <c r="H1729" t="e">
        <f>VLOOKUP(C1729,'[1]873'!$C$2:$C$711,1,0)</f>
        <v>#N/A</v>
      </c>
    </row>
    <row r="1730" spans="1:8" ht="15" customHeight="1" x14ac:dyDescent="0.25">
      <c r="A1730" s="3">
        <v>45653</v>
      </c>
      <c r="B1730" s="43">
        <v>2024003944</v>
      </c>
      <c r="C1730" s="4" t="s">
        <v>1092</v>
      </c>
      <c r="D1730" s="5">
        <v>25704000</v>
      </c>
      <c r="E1730" s="4">
        <v>830004892</v>
      </c>
      <c r="F1730" s="4" t="s">
        <v>616</v>
      </c>
      <c r="G1730" t="s">
        <v>565</v>
      </c>
      <c r="H1730" t="e">
        <f>VLOOKUP(C1730,'[1]873'!$C$2:$C$711,1,0)</f>
        <v>#N/A</v>
      </c>
    </row>
    <row r="1731" spans="1:8" ht="15" customHeight="1" x14ac:dyDescent="0.25">
      <c r="A1731" s="3">
        <v>45656</v>
      </c>
      <c r="B1731" s="43">
        <v>2024003959</v>
      </c>
      <c r="C1731" s="4" t="s">
        <v>637</v>
      </c>
      <c r="D1731" s="5">
        <v>122800000</v>
      </c>
      <c r="E1731" s="4">
        <v>900633448</v>
      </c>
      <c r="F1731" s="4" t="s">
        <v>165</v>
      </c>
      <c r="G1731" t="s">
        <v>565</v>
      </c>
      <c r="H1731" t="e">
        <f>VLOOKUP(C1731,'[1]873'!$C$2:$C$711,1,0)</f>
        <v>#N/A</v>
      </c>
    </row>
    <row r="1732" spans="1:8" ht="15" customHeight="1" x14ac:dyDescent="0.25">
      <c r="A1732" s="3">
        <v>45656</v>
      </c>
      <c r="B1732" s="43">
        <v>2024003960</v>
      </c>
      <c r="C1732" s="4" t="s">
        <v>644</v>
      </c>
      <c r="D1732" s="5">
        <v>61371100</v>
      </c>
      <c r="E1732" s="4">
        <v>900633448</v>
      </c>
      <c r="F1732" s="4" t="s">
        <v>165</v>
      </c>
      <c r="G1732" t="s">
        <v>565</v>
      </c>
      <c r="H1732" t="e">
        <f>VLOOKUP(C1732,'[1]873'!$C$2:$C$711,1,0)</f>
        <v>#N/A</v>
      </c>
    </row>
    <row r="1733" spans="1:8" ht="15" customHeight="1" x14ac:dyDescent="0.25">
      <c r="A1733" s="3">
        <v>45656</v>
      </c>
      <c r="B1733" s="43">
        <v>2024003961</v>
      </c>
      <c r="C1733" s="4" t="s">
        <v>636</v>
      </c>
      <c r="D1733" s="5">
        <v>43950000</v>
      </c>
      <c r="E1733" s="4">
        <v>900633448</v>
      </c>
      <c r="F1733" s="4" t="s">
        <v>165</v>
      </c>
      <c r="G1733" t="s">
        <v>565</v>
      </c>
      <c r="H1733" t="e">
        <f>VLOOKUP(C1733,'[1]873'!$C$2:$C$711,1,0)</f>
        <v>#N/A</v>
      </c>
    </row>
    <row r="1734" spans="1:8" ht="15" customHeight="1" x14ac:dyDescent="0.25">
      <c r="A1734" s="3">
        <v>45656</v>
      </c>
      <c r="B1734" s="43">
        <v>2024003962</v>
      </c>
      <c r="C1734" s="4" t="s">
        <v>635</v>
      </c>
      <c r="D1734" s="5">
        <v>50900000</v>
      </c>
      <c r="E1734" s="4">
        <v>900633448</v>
      </c>
      <c r="F1734" s="4" t="s">
        <v>165</v>
      </c>
      <c r="G1734" t="s">
        <v>565</v>
      </c>
      <c r="H1734" t="e">
        <f>VLOOKUP(C1734,'[1]873'!$C$2:$C$711,1,0)</f>
        <v>#N/A</v>
      </c>
    </row>
    <row r="1735" spans="1:8" ht="15" customHeight="1" x14ac:dyDescent="0.25">
      <c r="A1735" s="2">
        <v>45735</v>
      </c>
      <c r="B1735" s="42">
        <v>2025000317</v>
      </c>
      <c r="C1735" t="s">
        <v>564</v>
      </c>
      <c r="D1735" s="11">
        <v>2000000</v>
      </c>
      <c r="E1735">
        <v>1085324107</v>
      </c>
      <c r="F1735" t="s">
        <v>381</v>
      </c>
      <c r="G1735" t="s">
        <v>565</v>
      </c>
      <c r="H1735" t="e">
        <f>VLOOKUP(C1735,'[1]873'!$C$2:$C$711,1,0)</f>
        <v>#N/A</v>
      </c>
    </row>
    <row r="1736" spans="1:8" ht="15" customHeight="1" x14ac:dyDescent="0.25">
      <c r="A1736" s="2">
        <v>45736</v>
      </c>
      <c r="B1736" s="42">
        <v>2025000374</v>
      </c>
      <c r="C1736" t="s">
        <v>566</v>
      </c>
      <c r="D1736" s="11">
        <v>3000000</v>
      </c>
      <c r="E1736">
        <v>1193035720</v>
      </c>
      <c r="F1736" t="s">
        <v>567</v>
      </c>
      <c r="G1736" t="s">
        <v>565</v>
      </c>
      <c r="H1736" t="e">
        <f>VLOOKUP(C1736,'[1]873'!$C$2:$C$711,1,0)</f>
        <v>#N/A</v>
      </c>
    </row>
    <row r="1737" spans="1:8" ht="15" customHeight="1" x14ac:dyDescent="0.25">
      <c r="A1737" s="2">
        <v>45736</v>
      </c>
      <c r="B1737" s="42">
        <v>2025000388</v>
      </c>
      <c r="C1737" t="s">
        <v>568</v>
      </c>
      <c r="D1737" s="11">
        <v>5000000</v>
      </c>
      <c r="E1737">
        <v>1193265831</v>
      </c>
      <c r="F1737" t="s">
        <v>317</v>
      </c>
      <c r="G1737" t="s">
        <v>565</v>
      </c>
      <c r="H1737" t="e">
        <f>VLOOKUP(C1737,'[1]873'!$C$2:$C$711,1,0)</f>
        <v>#N/A</v>
      </c>
    </row>
    <row r="1738" spans="1:8" ht="15" customHeight="1" x14ac:dyDescent="0.25">
      <c r="A1738" s="3">
        <v>45786</v>
      </c>
      <c r="B1738" s="41">
        <v>2025000649</v>
      </c>
      <c r="C1738" s="1" t="s">
        <v>440</v>
      </c>
      <c r="D1738" s="5">
        <v>2600000</v>
      </c>
      <c r="E1738" s="1">
        <v>1004233343</v>
      </c>
      <c r="F1738" s="1" t="s">
        <v>441</v>
      </c>
      <c r="G1738" s="1" t="s">
        <v>9</v>
      </c>
      <c r="H1738" t="e">
        <f>VLOOKUP(C1738,'[1]873'!$C$2:$C$711,1,0)</f>
        <v>#N/A</v>
      </c>
    </row>
    <row r="1739" spans="1:8" ht="15" customHeight="1" x14ac:dyDescent="0.25">
      <c r="A1739" s="3">
        <v>45786</v>
      </c>
      <c r="B1739" s="41">
        <v>2025000651</v>
      </c>
      <c r="C1739" s="1" t="s">
        <v>442</v>
      </c>
      <c r="D1739" s="5">
        <v>3000000</v>
      </c>
      <c r="E1739" s="1">
        <v>1086329609</v>
      </c>
      <c r="F1739" s="1" t="s">
        <v>443</v>
      </c>
      <c r="G1739" s="1" t="s">
        <v>9</v>
      </c>
      <c r="H1739" t="e">
        <f>VLOOKUP(C1739,'[1]873'!$C$2:$C$711,1,0)</f>
        <v>#N/A</v>
      </c>
    </row>
    <row r="1740" spans="1:8" ht="15" customHeight="1" x14ac:dyDescent="0.25">
      <c r="A1740" s="3">
        <v>45786</v>
      </c>
      <c r="B1740" s="41">
        <v>2025000652</v>
      </c>
      <c r="C1740" s="1" t="s">
        <v>444</v>
      </c>
      <c r="D1740" s="5">
        <v>3000000</v>
      </c>
      <c r="E1740" s="1">
        <v>1004234290</v>
      </c>
      <c r="F1740" s="1" t="s">
        <v>237</v>
      </c>
      <c r="G1740" s="1" t="s">
        <v>9</v>
      </c>
      <c r="H1740" t="e">
        <f>VLOOKUP(C1740,'[1]873'!$C$2:$C$711,1,0)</f>
        <v>#N/A</v>
      </c>
    </row>
    <row r="1741" spans="1:8" ht="15" customHeight="1" x14ac:dyDescent="0.25">
      <c r="A1741" s="3">
        <v>45790</v>
      </c>
      <c r="B1741" s="41">
        <v>2025000668</v>
      </c>
      <c r="C1741" s="1" t="s">
        <v>445</v>
      </c>
      <c r="D1741" s="5">
        <v>4750000</v>
      </c>
      <c r="E1741" s="1">
        <v>59824313</v>
      </c>
      <c r="F1741" s="1" t="s">
        <v>151</v>
      </c>
      <c r="G1741" s="1" t="s">
        <v>9</v>
      </c>
      <c r="H1741" t="e">
        <f>VLOOKUP(C1741,'[1]873'!$C$2:$C$711,1,0)</f>
        <v>#N/A</v>
      </c>
    </row>
    <row r="1742" spans="1:8" ht="15" customHeight="1" x14ac:dyDescent="0.25">
      <c r="A1742" s="3">
        <v>45790</v>
      </c>
      <c r="B1742" s="41">
        <v>2025000669</v>
      </c>
      <c r="C1742" s="1" t="s">
        <v>446</v>
      </c>
      <c r="D1742" s="5">
        <v>4825000</v>
      </c>
      <c r="E1742" s="1">
        <v>12748383</v>
      </c>
      <c r="F1742" s="1" t="s">
        <v>447</v>
      </c>
      <c r="G1742" s="1" t="s">
        <v>9</v>
      </c>
      <c r="H1742" t="e">
        <f>VLOOKUP(C1742,'[1]873'!$C$2:$C$711,1,0)</f>
        <v>#N/A</v>
      </c>
    </row>
    <row r="1743" spans="1:8" ht="15" customHeight="1" x14ac:dyDescent="0.25">
      <c r="A1743" s="3">
        <v>45790</v>
      </c>
      <c r="B1743" s="41">
        <v>2025000683</v>
      </c>
      <c r="C1743" s="1" t="s">
        <v>448</v>
      </c>
      <c r="D1743" s="5">
        <v>3000000</v>
      </c>
      <c r="E1743" s="1">
        <v>1137624011</v>
      </c>
      <c r="F1743" s="1" t="s">
        <v>243</v>
      </c>
      <c r="G1743" s="1" t="s">
        <v>9</v>
      </c>
      <c r="H1743" t="e">
        <f>VLOOKUP(C1743,'[1]873'!$C$2:$C$711,1,0)</f>
        <v>#N/A</v>
      </c>
    </row>
    <row r="1744" spans="1:8" ht="15" customHeight="1" x14ac:dyDescent="0.25">
      <c r="A1744" s="3">
        <v>45791</v>
      </c>
      <c r="B1744" s="41">
        <v>2025000685</v>
      </c>
      <c r="C1744" s="1" t="s">
        <v>449</v>
      </c>
      <c r="D1744" s="5">
        <v>6000000</v>
      </c>
      <c r="E1744" s="1">
        <v>1082748420</v>
      </c>
      <c r="F1744" s="1" t="s">
        <v>450</v>
      </c>
      <c r="G1744" s="1" t="s">
        <v>9</v>
      </c>
      <c r="H1744" t="e">
        <f>VLOOKUP(C1744,'[1]873'!$C$2:$C$711,1,0)</f>
        <v>#N/A</v>
      </c>
    </row>
    <row r="1745" spans="1:8" ht="15" customHeight="1" x14ac:dyDescent="0.25">
      <c r="A1745" s="2">
        <v>45791</v>
      </c>
      <c r="B1745" s="42">
        <v>2025000686</v>
      </c>
      <c r="C1745" t="s">
        <v>569</v>
      </c>
      <c r="D1745" s="11">
        <v>6000000</v>
      </c>
      <c r="E1745">
        <v>1085292185</v>
      </c>
      <c r="F1745" t="s">
        <v>27</v>
      </c>
      <c r="G1745" t="s">
        <v>565</v>
      </c>
      <c r="H1745" t="e">
        <f>VLOOKUP(C1745,'[1]873'!$C$2:$C$711,1,0)</f>
        <v>#N/A</v>
      </c>
    </row>
    <row r="1746" spans="1:8" ht="15" customHeight="1" x14ac:dyDescent="0.25">
      <c r="A1746" s="3">
        <v>45791</v>
      </c>
      <c r="B1746" s="41">
        <v>2025000687</v>
      </c>
      <c r="C1746" s="1" t="s">
        <v>451</v>
      </c>
      <c r="D1746" s="5">
        <v>3000000</v>
      </c>
      <c r="E1746" s="1">
        <v>37084285</v>
      </c>
      <c r="F1746" s="1" t="s">
        <v>119</v>
      </c>
      <c r="G1746" s="1" t="s">
        <v>9</v>
      </c>
      <c r="H1746" t="e">
        <f>VLOOKUP(C1746,'[1]873'!$C$2:$C$711,1,0)</f>
        <v>#N/A</v>
      </c>
    </row>
    <row r="1747" spans="1:8" ht="15" customHeight="1" x14ac:dyDescent="0.25">
      <c r="A1747" s="3">
        <v>45791</v>
      </c>
      <c r="B1747" s="41">
        <v>2025000688</v>
      </c>
      <c r="C1747" s="1" t="s">
        <v>452</v>
      </c>
      <c r="D1747" s="5">
        <v>6000000</v>
      </c>
      <c r="E1747" s="1">
        <v>36757221</v>
      </c>
      <c r="F1747" s="1" t="s">
        <v>453</v>
      </c>
      <c r="G1747" s="1" t="s">
        <v>9</v>
      </c>
      <c r="H1747" t="e">
        <f>VLOOKUP(C1747,'[1]873'!$C$2:$C$711,1,0)</f>
        <v>#N/A</v>
      </c>
    </row>
    <row r="1748" spans="1:8" ht="15" customHeight="1" x14ac:dyDescent="0.25">
      <c r="A1748" s="3">
        <v>45791</v>
      </c>
      <c r="B1748" s="41">
        <v>2025000689</v>
      </c>
      <c r="C1748" s="1" t="s">
        <v>454</v>
      </c>
      <c r="D1748" s="5">
        <v>3000000</v>
      </c>
      <c r="E1748" s="1">
        <v>1086223299</v>
      </c>
      <c r="F1748" s="1" t="s">
        <v>455</v>
      </c>
      <c r="G1748" s="1" t="s">
        <v>9</v>
      </c>
      <c r="H1748" t="e">
        <f>VLOOKUP(C1748,'[1]873'!$C$2:$C$711,1,0)</f>
        <v>#N/A</v>
      </c>
    </row>
    <row r="1749" spans="1:8" ht="15" customHeight="1" x14ac:dyDescent="0.25">
      <c r="A1749" s="2">
        <v>45791</v>
      </c>
      <c r="B1749" s="42">
        <v>2025000690</v>
      </c>
      <c r="C1749" t="s">
        <v>570</v>
      </c>
      <c r="D1749" s="11">
        <v>4750000</v>
      </c>
      <c r="E1749">
        <v>27087475</v>
      </c>
      <c r="F1749" t="s">
        <v>571</v>
      </c>
      <c r="G1749" t="s">
        <v>565</v>
      </c>
      <c r="H1749" t="e">
        <f>VLOOKUP(C1749,'[1]873'!$C$2:$C$711,1,0)</f>
        <v>#N/A</v>
      </c>
    </row>
    <row r="1750" spans="1:8" ht="15" customHeight="1" x14ac:dyDescent="0.25">
      <c r="A1750" s="3">
        <v>45791</v>
      </c>
      <c r="B1750" s="41">
        <v>2025000691</v>
      </c>
      <c r="C1750" s="1" t="s">
        <v>456</v>
      </c>
      <c r="D1750" s="5">
        <v>6000000</v>
      </c>
      <c r="E1750" s="1">
        <v>59820414</v>
      </c>
      <c r="F1750" s="1" t="s">
        <v>457</v>
      </c>
      <c r="G1750" s="1" t="s">
        <v>9</v>
      </c>
      <c r="H1750" t="e">
        <f>VLOOKUP(C1750,'[1]873'!$C$2:$C$711,1,0)</f>
        <v>#N/A</v>
      </c>
    </row>
    <row r="1751" spans="1:8" ht="15" customHeight="1" x14ac:dyDescent="0.25">
      <c r="A1751" s="3">
        <v>45791</v>
      </c>
      <c r="B1751" s="41">
        <v>2025000692</v>
      </c>
      <c r="C1751" s="1" t="s">
        <v>458</v>
      </c>
      <c r="D1751" s="5">
        <v>3000000</v>
      </c>
      <c r="E1751" s="1">
        <v>1010082397</v>
      </c>
      <c r="F1751" s="1" t="s">
        <v>209</v>
      </c>
      <c r="G1751" s="1" t="s">
        <v>9</v>
      </c>
      <c r="H1751" t="e">
        <f>VLOOKUP(C1751,'[1]873'!$C$2:$C$711,1,0)</f>
        <v>#N/A</v>
      </c>
    </row>
    <row r="1752" spans="1:8" ht="15" customHeight="1" x14ac:dyDescent="0.25">
      <c r="A1752" s="3">
        <v>45791</v>
      </c>
      <c r="B1752" s="41">
        <v>2025000693</v>
      </c>
      <c r="C1752" s="1" t="s">
        <v>459</v>
      </c>
      <c r="D1752" s="5">
        <v>4825000</v>
      </c>
      <c r="E1752" s="1">
        <v>1085265622</v>
      </c>
      <c r="F1752" s="1" t="s">
        <v>460</v>
      </c>
      <c r="G1752" s="1" t="s">
        <v>9</v>
      </c>
      <c r="H1752" t="e">
        <f>VLOOKUP(C1752,'[1]873'!$C$2:$C$711,1,0)</f>
        <v>#N/A</v>
      </c>
    </row>
    <row r="1753" spans="1:8" ht="15" customHeight="1" x14ac:dyDescent="0.25">
      <c r="A1753" s="3">
        <v>45792</v>
      </c>
      <c r="B1753" s="41">
        <v>2025000694</v>
      </c>
      <c r="C1753" s="1" t="s">
        <v>461</v>
      </c>
      <c r="D1753" s="5">
        <v>3000000</v>
      </c>
      <c r="E1753" s="1">
        <v>1004232508</v>
      </c>
      <c r="F1753" s="1" t="s">
        <v>109</v>
      </c>
      <c r="G1753" s="1" t="s">
        <v>9</v>
      </c>
      <c r="H1753" t="e">
        <f>VLOOKUP(C1753,'[1]873'!$C$2:$C$711,1,0)</f>
        <v>#N/A</v>
      </c>
    </row>
    <row r="1754" spans="1:8" ht="15" customHeight="1" x14ac:dyDescent="0.25">
      <c r="A1754" s="3">
        <v>45792</v>
      </c>
      <c r="B1754" s="41">
        <v>2025000695</v>
      </c>
      <c r="C1754" s="1" t="s">
        <v>462</v>
      </c>
      <c r="D1754" s="5">
        <v>4750000</v>
      </c>
      <c r="E1754" s="1">
        <v>59816986</v>
      </c>
      <c r="F1754" s="1" t="s">
        <v>415</v>
      </c>
      <c r="G1754" s="1" t="s">
        <v>9</v>
      </c>
      <c r="H1754" t="e">
        <f>VLOOKUP(C1754,'[1]873'!$C$2:$C$711,1,0)</f>
        <v>#N/A</v>
      </c>
    </row>
    <row r="1755" spans="1:8" ht="15" customHeight="1" x14ac:dyDescent="0.25">
      <c r="A1755" s="3">
        <v>45792</v>
      </c>
      <c r="B1755" s="41">
        <v>2025000696</v>
      </c>
      <c r="C1755" s="1" t="s">
        <v>463</v>
      </c>
      <c r="D1755" s="5">
        <v>4750000</v>
      </c>
      <c r="E1755" s="1">
        <v>1085264667</v>
      </c>
      <c r="F1755" s="1" t="s">
        <v>464</v>
      </c>
      <c r="G1755" s="1" t="s">
        <v>9</v>
      </c>
      <c r="H1755" t="e">
        <f>VLOOKUP(C1755,'[1]873'!$C$2:$C$711,1,0)</f>
        <v>#N/A</v>
      </c>
    </row>
    <row r="1756" spans="1:8" ht="15" customHeight="1" x14ac:dyDescent="0.25">
      <c r="A1756" s="3">
        <v>45792</v>
      </c>
      <c r="B1756" s="41">
        <v>2025000697</v>
      </c>
      <c r="C1756" s="1" t="s">
        <v>465</v>
      </c>
      <c r="D1756" s="5">
        <v>3000000</v>
      </c>
      <c r="E1756" s="1">
        <v>1030606749</v>
      </c>
      <c r="F1756" s="1" t="s">
        <v>387</v>
      </c>
      <c r="G1756" s="1" t="s">
        <v>9</v>
      </c>
      <c r="H1756" t="e">
        <f>VLOOKUP(C1756,'[1]873'!$C$2:$C$711,1,0)</f>
        <v>#N/A</v>
      </c>
    </row>
    <row r="1757" spans="1:8" ht="15" customHeight="1" x14ac:dyDescent="0.25">
      <c r="A1757" s="3">
        <v>45792</v>
      </c>
      <c r="B1757" s="41">
        <v>2025000699</v>
      </c>
      <c r="C1757" s="1" t="s">
        <v>466</v>
      </c>
      <c r="D1757" s="5">
        <v>3000000</v>
      </c>
      <c r="E1757" s="1">
        <v>59833899</v>
      </c>
      <c r="F1757" s="1" t="s">
        <v>467</v>
      </c>
      <c r="G1757" s="1" t="s">
        <v>9</v>
      </c>
      <c r="H1757" t="e">
        <f>VLOOKUP(C1757,'[1]873'!$C$2:$C$711,1,0)</f>
        <v>#N/A</v>
      </c>
    </row>
    <row r="1758" spans="1:8" ht="15" customHeight="1" x14ac:dyDescent="0.25">
      <c r="A1758" s="3">
        <v>45792</v>
      </c>
      <c r="B1758" s="41">
        <v>2025000700</v>
      </c>
      <c r="C1758" s="1" t="s">
        <v>468</v>
      </c>
      <c r="D1758" s="5">
        <v>6000000</v>
      </c>
      <c r="E1758" s="1">
        <v>59837608</v>
      </c>
      <c r="F1758" s="1" t="s">
        <v>145</v>
      </c>
      <c r="G1758" s="1" t="s">
        <v>9</v>
      </c>
      <c r="H1758" t="e">
        <f>VLOOKUP(C1758,'[1]873'!$C$2:$C$711,1,0)</f>
        <v>#N/A</v>
      </c>
    </row>
    <row r="1759" spans="1:8" ht="15" customHeight="1" x14ac:dyDescent="0.25">
      <c r="A1759" s="3">
        <v>45792</v>
      </c>
      <c r="B1759" s="41">
        <v>2025000701</v>
      </c>
      <c r="C1759" s="1" t="s">
        <v>469</v>
      </c>
      <c r="D1759" s="5">
        <v>3000000</v>
      </c>
      <c r="E1759" s="1">
        <v>1086328142</v>
      </c>
      <c r="F1759" s="1" t="s">
        <v>470</v>
      </c>
      <c r="G1759" s="1" t="s">
        <v>9</v>
      </c>
      <c r="H1759" t="e">
        <f>VLOOKUP(C1759,'[1]873'!$C$2:$C$711,1,0)</f>
        <v>#N/A</v>
      </c>
    </row>
    <row r="1760" spans="1:8" ht="15" customHeight="1" x14ac:dyDescent="0.25">
      <c r="A1760" s="3">
        <v>45792</v>
      </c>
      <c r="B1760" s="41">
        <v>2025000702</v>
      </c>
      <c r="C1760" s="1" t="s">
        <v>471</v>
      </c>
      <c r="D1760" s="5">
        <v>3000000</v>
      </c>
      <c r="E1760" s="1">
        <v>1085318688</v>
      </c>
      <c r="F1760" s="1" t="s">
        <v>427</v>
      </c>
      <c r="G1760" s="1" t="s">
        <v>9</v>
      </c>
      <c r="H1760" t="e">
        <f>VLOOKUP(C1760,'[1]873'!$C$2:$C$711,1,0)</f>
        <v>#N/A</v>
      </c>
    </row>
    <row r="1761" spans="1:8" ht="15" customHeight="1" x14ac:dyDescent="0.25">
      <c r="A1761" s="3">
        <v>45793</v>
      </c>
      <c r="B1761" s="41">
        <v>2025000708</v>
      </c>
      <c r="C1761" s="1" t="s">
        <v>472</v>
      </c>
      <c r="D1761" s="5">
        <v>3000000</v>
      </c>
      <c r="E1761" s="1">
        <v>1233188273</v>
      </c>
      <c r="F1761" s="1" t="s">
        <v>473</v>
      </c>
      <c r="G1761" s="1" t="s">
        <v>9</v>
      </c>
      <c r="H1761" t="e">
        <f>VLOOKUP(C1761,'[1]873'!$C$2:$C$711,1,0)</f>
        <v>#N/A</v>
      </c>
    </row>
    <row r="1762" spans="1:8" ht="15" customHeight="1" x14ac:dyDescent="0.25">
      <c r="A1762" s="3">
        <v>45793</v>
      </c>
      <c r="B1762" s="41">
        <v>2025000709</v>
      </c>
      <c r="C1762" s="1" t="s">
        <v>474</v>
      </c>
      <c r="D1762" s="5">
        <v>4825000</v>
      </c>
      <c r="E1762" s="1">
        <v>27087851</v>
      </c>
      <c r="F1762" s="1" t="s">
        <v>177</v>
      </c>
      <c r="G1762" s="1" t="s">
        <v>9</v>
      </c>
      <c r="H1762" t="e">
        <f>VLOOKUP(C1762,'[1]873'!$C$2:$C$711,1,0)</f>
        <v>#N/A</v>
      </c>
    </row>
    <row r="1763" spans="1:8" ht="15" customHeight="1" x14ac:dyDescent="0.25">
      <c r="A1763" s="3">
        <v>45793</v>
      </c>
      <c r="B1763" s="41">
        <v>2025000710</v>
      </c>
      <c r="C1763" s="1" t="s">
        <v>475</v>
      </c>
      <c r="D1763" s="5">
        <v>3000000</v>
      </c>
      <c r="E1763" s="1">
        <v>98382500</v>
      </c>
      <c r="F1763" s="1" t="s">
        <v>183</v>
      </c>
      <c r="G1763" s="1" t="s">
        <v>9</v>
      </c>
      <c r="H1763" t="e">
        <f>VLOOKUP(C1763,'[1]873'!$C$2:$C$711,1,0)</f>
        <v>#N/A</v>
      </c>
    </row>
    <row r="1764" spans="1:8" ht="15" customHeight="1" x14ac:dyDescent="0.25">
      <c r="A1764" s="3">
        <v>45793</v>
      </c>
      <c r="B1764" s="41">
        <v>2025000711</v>
      </c>
      <c r="C1764" s="1" t="s">
        <v>438</v>
      </c>
      <c r="D1764" s="5">
        <v>4825000</v>
      </c>
      <c r="E1764" s="1">
        <v>1085267184</v>
      </c>
      <c r="F1764" s="1" t="s">
        <v>247</v>
      </c>
      <c r="G1764" s="1" t="s">
        <v>9</v>
      </c>
      <c r="H1764" t="e">
        <f>VLOOKUP(C1764,'[1]873'!$C$2:$C$711,1,0)</f>
        <v>#N/A</v>
      </c>
    </row>
    <row r="1765" spans="1:8" ht="15" customHeight="1" x14ac:dyDescent="0.25">
      <c r="A1765" s="3">
        <v>45793</v>
      </c>
      <c r="B1765" s="41">
        <v>2025000712</v>
      </c>
      <c r="C1765" s="1" t="s">
        <v>476</v>
      </c>
      <c r="D1765" s="5">
        <v>3000000</v>
      </c>
      <c r="E1765" s="1">
        <v>1004235479</v>
      </c>
      <c r="F1765" s="1" t="s">
        <v>477</v>
      </c>
      <c r="G1765" s="1" t="s">
        <v>9</v>
      </c>
      <c r="H1765" t="e">
        <f>VLOOKUP(C1765,'[1]873'!$C$2:$C$711,1,0)</f>
        <v>#N/A</v>
      </c>
    </row>
    <row r="1766" spans="1:8" ht="15" customHeight="1" x14ac:dyDescent="0.25">
      <c r="A1766" s="3">
        <v>45793</v>
      </c>
      <c r="B1766" s="41">
        <v>2025000713</v>
      </c>
      <c r="C1766" s="1" t="s">
        <v>478</v>
      </c>
      <c r="D1766" s="5">
        <v>3000000</v>
      </c>
      <c r="E1766" s="1">
        <v>1085326791</v>
      </c>
      <c r="F1766" s="1" t="s">
        <v>479</v>
      </c>
      <c r="G1766" s="1" t="s">
        <v>9</v>
      </c>
      <c r="H1766" t="e">
        <f>VLOOKUP(C1766,'[1]873'!$C$2:$C$711,1,0)</f>
        <v>#N/A</v>
      </c>
    </row>
    <row r="1767" spans="1:8" ht="15" customHeight="1" x14ac:dyDescent="0.25">
      <c r="A1767" s="3">
        <v>45793</v>
      </c>
      <c r="B1767" s="41">
        <v>2025000714</v>
      </c>
      <c r="C1767" s="1" t="s">
        <v>480</v>
      </c>
      <c r="D1767" s="5">
        <v>4750000</v>
      </c>
      <c r="E1767" s="1">
        <v>1085331141</v>
      </c>
      <c r="F1767" s="1" t="s">
        <v>481</v>
      </c>
      <c r="G1767" s="1" t="s">
        <v>9</v>
      </c>
      <c r="H1767" t="e">
        <f>VLOOKUP(C1767,'[1]873'!$C$2:$C$711,1,0)</f>
        <v>#N/A</v>
      </c>
    </row>
    <row r="1768" spans="1:8" ht="15" customHeight="1" x14ac:dyDescent="0.25">
      <c r="A1768" s="3">
        <v>45793</v>
      </c>
      <c r="B1768" s="41">
        <v>2025000715</v>
      </c>
      <c r="C1768" s="1" t="s">
        <v>482</v>
      </c>
      <c r="D1768" s="5">
        <v>2500000</v>
      </c>
      <c r="E1768" s="1">
        <v>59310145</v>
      </c>
      <c r="F1768" s="1" t="s">
        <v>129</v>
      </c>
      <c r="G1768" s="1" t="s">
        <v>9</v>
      </c>
      <c r="H1768" t="e">
        <f>VLOOKUP(C1768,'[1]873'!$C$2:$C$711,1,0)</f>
        <v>#N/A</v>
      </c>
    </row>
    <row r="1769" spans="1:8" ht="15" customHeight="1" x14ac:dyDescent="0.25">
      <c r="A1769" s="3">
        <v>45793</v>
      </c>
      <c r="B1769" s="41">
        <v>2025000716</v>
      </c>
      <c r="C1769" s="1" t="s">
        <v>483</v>
      </c>
      <c r="D1769" s="5">
        <v>4750000</v>
      </c>
      <c r="E1769" s="1">
        <v>1193383306</v>
      </c>
      <c r="F1769" s="1" t="s">
        <v>267</v>
      </c>
      <c r="G1769" s="1" t="s">
        <v>9</v>
      </c>
      <c r="H1769" t="e">
        <f>VLOOKUP(C1769,'[1]873'!$C$2:$C$711,1,0)</f>
        <v>#N/A</v>
      </c>
    </row>
    <row r="1770" spans="1:8" ht="15" customHeight="1" x14ac:dyDescent="0.25">
      <c r="A1770" s="3">
        <v>45793</v>
      </c>
      <c r="B1770" s="41">
        <v>2025000718</v>
      </c>
      <c r="C1770" s="1" t="s">
        <v>484</v>
      </c>
      <c r="D1770" s="5">
        <v>3000000</v>
      </c>
      <c r="E1770" s="1">
        <v>37083324</v>
      </c>
      <c r="F1770" s="1" t="s">
        <v>485</v>
      </c>
      <c r="G1770" s="1" t="s">
        <v>9</v>
      </c>
      <c r="H1770" t="e">
        <f>VLOOKUP(C1770,'[1]873'!$C$2:$C$711,1,0)</f>
        <v>#N/A</v>
      </c>
    </row>
    <row r="1771" spans="1:8" ht="15" customHeight="1" x14ac:dyDescent="0.25">
      <c r="A1771" s="3">
        <v>45793</v>
      </c>
      <c r="B1771" s="41">
        <v>2025000723</v>
      </c>
      <c r="C1771" s="1" t="s">
        <v>486</v>
      </c>
      <c r="D1771" s="5">
        <v>2500000</v>
      </c>
      <c r="E1771" s="1">
        <v>1085347173</v>
      </c>
      <c r="F1771" s="1" t="s">
        <v>487</v>
      </c>
      <c r="G1771" s="1" t="s">
        <v>9</v>
      </c>
      <c r="H1771" t="e">
        <f>VLOOKUP(C1771,'[1]873'!$C$2:$C$711,1,0)</f>
        <v>#N/A</v>
      </c>
    </row>
    <row r="1772" spans="1:8" ht="15" customHeight="1" x14ac:dyDescent="0.25">
      <c r="A1772" s="3">
        <v>45793</v>
      </c>
      <c r="B1772" s="41">
        <v>2025000724</v>
      </c>
      <c r="C1772" s="1" t="s">
        <v>488</v>
      </c>
      <c r="D1772" s="5">
        <v>3000000</v>
      </c>
      <c r="E1772" s="1">
        <v>1085288636</v>
      </c>
      <c r="F1772" s="1" t="s">
        <v>405</v>
      </c>
      <c r="G1772" s="1" t="s">
        <v>9</v>
      </c>
      <c r="H1772" t="e">
        <f>VLOOKUP(C1772,'[1]873'!$C$2:$C$711,1,0)</f>
        <v>#N/A</v>
      </c>
    </row>
    <row r="1773" spans="1:8" ht="15" customHeight="1" x14ac:dyDescent="0.25">
      <c r="A1773" s="3">
        <v>45793</v>
      </c>
      <c r="B1773" s="41">
        <v>2025000725</v>
      </c>
      <c r="C1773" s="1" t="s">
        <v>489</v>
      </c>
      <c r="D1773" s="5">
        <v>3000000</v>
      </c>
      <c r="E1773" s="1">
        <v>59834953</v>
      </c>
      <c r="F1773" s="1" t="s">
        <v>121</v>
      </c>
      <c r="G1773" s="1" t="s">
        <v>9</v>
      </c>
      <c r="H1773" t="e">
        <f>VLOOKUP(C1773,'[1]873'!$C$2:$C$711,1,0)</f>
        <v>#N/A</v>
      </c>
    </row>
    <row r="1774" spans="1:8" ht="15" customHeight="1" x14ac:dyDescent="0.25">
      <c r="A1774" s="3">
        <v>45793</v>
      </c>
      <c r="B1774" s="41">
        <v>2025000726</v>
      </c>
      <c r="C1774" s="1" t="s">
        <v>490</v>
      </c>
      <c r="D1774" s="5">
        <v>4750000</v>
      </c>
      <c r="E1774" s="1">
        <v>1085318684</v>
      </c>
      <c r="F1774" s="1" t="s">
        <v>355</v>
      </c>
      <c r="G1774" s="1" t="s">
        <v>9</v>
      </c>
      <c r="H1774" t="e">
        <f>VLOOKUP(C1774,'[1]873'!$C$2:$C$711,1,0)</f>
        <v>#N/A</v>
      </c>
    </row>
    <row r="1775" spans="1:8" ht="15" customHeight="1" x14ac:dyDescent="0.25">
      <c r="A1775" s="3">
        <v>45793</v>
      </c>
      <c r="B1775" s="41">
        <v>2025000727</v>
      </c>
      <c r="C1775" s="1" t="s">
        <v>491</v>
      </c>
      <c r="D1775" s="5">
        <v>3000000</v>
      </c>
      <c r="E1775" s="1">
        <v>13070330</v>
      </c>
      <c r="F1775" s="1" t="s">
        <v>101</v>
      </c>
      <c r="G1775" s="1" t="s">
        <v>9</v>
      </c>
      <c r="H1775" t="e">
        <f>VLOOKUP(C1775,'[1]873'!$C$2:$C$711,1,0)</f>
        <v>#N/A</v>
      </c>
    </row>
    <row r="1776" spans="1:8" ht="15" customHeight="1" x14ac:dyDescent="0.25">
      <c r="A1776" s="3">
        <v>45793</v>
      </c>
      <c r="B1776" s="41">
        <v>2025000728</v>
      </c>
      <c r="C1776" s="1" t="s">
        <v>492</v>
      </c>
      <c r="D1776" s="5">
        <v>4750000</v>
      </c>
      <c r="E1776" s="1">
        <v>59651018</v>
      </c>
      <c r="F1776" s="1" t="s">
        <v>493</v>
      </c>
      <c r="G1776" s="1" t="s">
        <v>9</v>
      </c>
      <c r="H1776" t="e">
        <f>VLOOKUP(C1776,'[1]873'!$C$2:$C$711,1,0)</f>
        <v>#N/A</v>
      </c>
    </row>
    <row r="1777" spans="1:8" ht="15" customHeight="1" x14ac:dyDescent="0.25">
      <c r="A1777" s="3">
        <v>45796</v>
      </c>
      <c r="B1777" s="41">
        <v>2025000729</v>
      </c>
      <c r="C1777" s="1" t="s">
        <v>494</v>
      </c>
      <c r="D1777" s="5">
        <v>3000000</v>
      </c>
      <c r="E1777" s="1">
        <v>1085317833</v>
      </c>
      <c r="F1777" s="1" t="s">
        <v>11</v>
      </c>
      <c r="G1777" s="1" t="s">
        <v>9</v>
      </c>
      <c r="H1777" t="e">
        <f>VLOOKUP(C1777,'[1]873'!$C$2:$C$711,1,0)</f>
        <v>#N/A</v>
      </c>
    </row>
    <row r="1778" spans="1:8" ht="15" customHeight="1" x14ac:dyDescent="0.25">
      <c r="A1778" s="3">
        <v>45796</v>
      </c>
      <c r="B1778" s="41">
        <v>2025000730</v>
      </c>
      <c r="C1778" s="1" t="s">
        <v>495</v>
      </c>
      <c r="D1778" s="5">
        <v>3000000</v>
      </c>
      <c r="E1778" s="1">
        <v>27436186</v>
      </c>
      <c r="F1778" s="1" t="s">
        <v>496</v>
      </c>
      <c r="G1778" s="1" t="s">
        <v>9</v>
      </c>
      <c r="H1778" t="e">
        <f>VLOOKUP(C1778,'[1]873'!$C$2:$C$711,1,0)</f>
        <v>#N/A</v>
      </c>
    </row>
    <row r="1779" spans="1:8" ht="15" customHeight="1" x14ac:dyDescent="0.25">
      <c r="A1779" s="3">
        <v>45796</v>
      </c>
      <c r="B1779" s="41">
        <v>2025000731</v>
      </c>
      <c r="C1779" s="1" t="s">
        <v>497</v>
      </c>
      <c r="D1779" s="5">
        <v>4750000</v>
      </c>
      <c r="E1779" s="1">
        <v>59312865</v>
      </c>
      <c r="F1779" s="1" t="s">
        <v>127</v>
      </c>
      <c r="G1779" s="1" t="s">
        <v>9</v>
      </c>
      <c r="H1779" t="e">
        <f>VLOOKUP(C1779,'[1]873'!$C$2:$C$711,1,0)</f>
        <v>#N/A</v>
      </c>
    </row>
    <row r="1780" spans="1:8" ht="15" customHeight="1" x14ac:dyDescent="0.25">
      <c r="A1780" s="3">
        <v>45796</v>
      </c>
      <c r="B1780" s="41">
        <v>2025000732</v>
      </c>
      <c r="C1780" s="1" t="s">
        <v>498</v>
      </c>
      <c r="D1780" s="5">
        <v>3000000</v>
      </c>
      <c r="E1780" s="1">
        <v>98391531</v>
      </c>
      <c r="F1780" s="1" t="s">
        <v>499</v>
      </c>
      <c r="G1780" s="1" t="s">
        <v>9</v>
      </c>
      <c r="H1780" t="e">
        <f>VLOOKUP(C1780,'[1]873'!$C$2:$C$711,1,0)</f>
        <v>#N/A</v>
      </c>
    </row>
    <row r="1781" spans="1:8" ht="15" customHeight="1" x14ac:dyDescent="0.25">
      <c r="A1781" s="3">
        <v>45796</v>
      </c>
      <c r="B1781" s="41">
        <v>2025000733</v>
      </c>
      <c r="C1781" s="1" t="s">
        <v>500</v>
      </c>
      <c r="D1781" s="5">
        <v>4750000</v>
      </c>
      <c r="E1781" s="1">
        <v>1085303067</v>
      </c>
      <c r="F1781" s="1" t="s">
        <v>105</v>
      </c>
      <c r="G1781" s="1" t="s">
        <v>9</v>
      </c>
      <c r="H1781" t="e">
        <f>VLOOKUP(C1781,'[1]873'!$C$2:$C$711,1,0)</f>
        <v>#N/A</v>
      </c>
    </row>
    <row r="1782" spans="1:8" ht="15" customHeight="1" x14ac:dyDescent="0.25">
      <c r="A1782" s="3">
        <v>45796</v>
      </c>
      <c r="B1782" s="41">
        <v>2025000734</v>
      </c>
      <c r="C1782" s="1" t="s">
        <v>501</v>
      </c>
      <c r="D1782" s="5">
        <v>7500000</v>
      </c>
      <c r="E1782" s="1">
        <v>1006946167</v>
      </c>
      <c r="F1782" s="1" t="s">
        <v>63</v>
      </c>
      <c r="G1782" s="1" t="s">
        <v>9</v>
      </c>
      <c r="H1782" t="e">
        <f>VLOOKUP(C1782,'[1]873'!$C$2:$C$711,1,0)</f>
        <v>#N/A</v>
      </c>
    </row>
    <row r="1783" spans="1:8" ht="15" customHeight="1" x14ac:dyDescent="0.25">
      <c r="A1783" s="3">
        <v>45796</v>
      </c>
      <c r="B1783" s="41">
        <v>2025000735</v>
      </c>
      <c r="C1783" s="1" t="s">
        <v>502</v>
      </c>
      <c r="D1783" s="5">
        <v>6000000</v>
      </c>
      <c r="E1783" s="1">
        <v>1085248939</v>
      </c>
      <c r="F1783" s="1" t="s">
        <v>437</v>
      </c>
      <c r="G1783" s="1" t="s">
        <v>9</v>
      </c>
      <c r="H1783" t="e">
        <f>VLOOKUP(C1783,'[1]873'!$C$2:$C$711,1,0)</f>
        <v>#N/A</v>
      </c>
    </row>
    <row r="1784" spans="1:8" ht="15" customHeight="1" x14ac:dyDescent="0.25">
      <c r="A1784" s="3">
        <v>45796</v>
      </c>
      <c r="B1784" s="41">
        <v>2025000736</v>
      </c>
      <c r="C1784" s="1" t="s">
        <v>503</v>
      </c>
      <c r="D1784" s="5">
        <v>3000000</v>
      </c>
      <c r="E1784" s="1">
        <v>30743783</v>
      </c>
      <c r="F1784" s="1" t="s">
        <v>504</v>
      </c>
      <c r="G1784" s="1" t="s">
        <v>9</v>
      </c>
      <c r="H1784" t="e">
        <f>VLOOKUP(C1784,'[1]873'!$C$2:$C$711,1,0)</f>
        <v>#N/A</v>
      </c>
    </row>
    <row r="1785" spans="1:8" ht="15" customHeight="1" x14ac:dyDescent="0.25">
      <c r="A1785" s="3">
        <v>45796</v>
      </c>
      <c r="B1785" s="41">
        <v>2025000737</v>
      </c>
      <c r="C1785" s="1" t="s">
        <v>505</v>
      </c>
      <c r="D1785" s="5">
        <v>3000000</v>
      </c>
      <c r="E1785" s="1">
        <v>1085286742</v>
      </c>
      <c r="F1785" s="1" t="s">
        <v>75</v>
      </c>
      <c r="G1785" s="1" t="s">
        <v>9</v>
      </c>
      <c r="H1785" t="e">
        <f>VLOOKUP(C1785,'[1]873'!$C$2:$C$711,1,0)</f>
        <v>#N/A</v>
      </c>
    </row>
    <row r="1786" spans="1:8" ht="15" customHeight="1" x14ac:dyDescent="0.25">
      <c r="A1786" s="3">
        <v>45796</v>
      </c>
      <c r="B1786" s="41">
        <v>2025000738</v>
      </c>
      <c r="C1786" s="1" t="s">
        <v>506</v>
      </c>
      <c r="D1786" s="5">
        <v>3000000</v>
      </c>
      <c r="E1786" s="1">
        <v>1004535234</v>
      </c>
      <c r="F1786" s="1" t="s">
        <v>507</v>
      </c>
      <c r="G1786" s="1" t="s">
        <v>9</v>
      </c>
      <c r="H1786" t="e">
        <f>VLOOKUP(C1786,'[1]873'!$C$2:$C$711,1,0)</f>
        <v>#N/A</v>
      </c>
    </row>
    <row r="1787" spans="1:8" ht="15" customHeight="1" x14ac:dyDescent="0.25">
      <c r="A1787" s="3">
        <v>45796</v>
      </c>
      <c r="B1787" s="41">
        <v>2025000739</v>
      </c>
      <c r="C1787" s="1" t="s">
        <v>508</v>
      </c>
      <c r="D1787" s="5">
        <v>4825000</v>
      </c>
      <c r="E1787" s="1">
        <v>1085324891</v>
      </c>
      <c r="F1787" s="1" t="s">
        <v>509</v>
      </c>
      <c r="G1787" s="1" t="s">
        <v>9</v>
      </c>
      <c r="H1787" t="e">
        <f>VLOOKUP(C1787,'[1]873'!$C$2:$C$711,1,0)</f>
        <v>#N/A</v>
      </c>
    </row>
    <row r="1788" spans="1:8" ht="15" customHeight="1" x14ac:dyDescent="0.25">
      <c r="A1788" s="3">
        <v>45796</v>
      </c>
      <c r="B1788" s="41">
        <v>2025000740</v>
      </c>
      <c r="C1788" s="1" t="s">
        <v>510</v>
      </c>
      <c r="D1788" s="5">
        <v>3000000</v>
      </c>
      <c r="E1788" s="1">
        <v>1004216993</v>
      </c>
      <c r="F1788" s="1" t="s">
        <v>511</v>
      </c>
      <c r="G1788" s="1" t="s">
        <v>9</v>
      </c>
      <c r="H1788" t="e">
        <f>VLOOKUP(C1788,'[1]873'!$C$2:$C$711,1,0)</f>
        <v>#N/A</v>
      </c>
    </row>
    <row r="1789" spans="1:8" ht="15" customHeight="1" x14ac:dyDescent="0.25">
      <c r="A1789" s="3">
        <v>45796</v>
      </c>
      <c r="B1789" s="41">
        <v>2025000741</v>
      </c>
      <c r="C1789" s="1" t="s">
        <v>512</v>
      </c>
      <c r="D1789" s="5">
        <v>4750000</v>
      </c>
      <c r="E1789" s="1">
        <v>1085313870</v>
      </c>
      <c r="F1789" s="1" t="s">
        <v>513</v>
      </c>
      <c r="G1789" s="1" t="s">
        <v>9</v>
      </c>
      <c r="H1789" t="e">
        <f>VLOOKUP(C1789,'[1]873'!$C$2:$C$711,1,0)</f>
        <v>#N/A</v>
      </c>
    </row>
    <row r="1790" spans="1:8" ht="15" customHeight="1" x14ac:dyDescent="0.25">
      <c r="A1790" s="3">
        <v>45796</v>
      </c>
      <c r="B1790" s="41">
        <v>2025000742</v>
      </c>
      <c r="C1790" s="1" t="s">
        <v>514</v>
      </c>
      <c r="D1790" s="5">
        <v>4825000</v>
      </c>
      <c r="E1790" s="1">
        <v>27088141</v>
      </c>
      <c r="F1790" s="1" t="s">
        <v>515</v>
      </c>
      <c r="G1790" s="1" t="s">
        <v>9</v>
      </c>
      <c r="H1790" t="e">
        <f>VLOOKUP(C1790,'[1]873'!$C$2:$C$711,1,0)</f>
        <v>#N/A</v>
      </c>
    </row>
    <row r="1791" spans="1:8" ht="15" customHeight="1" x14ac:dyDescent="0.25">
      <c r="A1791" s="3">
        <v>45797</v>
      </c>
      <c r="B1791" s="41">
        <v>2025000744</v>
      </c>
      <c r="C1791" s="1" t="s">
        <v>516</v>
      </c>
      <c r="D1791" s="5">
        <v>2500000</v>
      </c>
      <c r="E1791" s="1">
        <v>1085318898</v>
      </c>
      <c r="F1791" s="1" t="s">
        <v>517</v>
      </c>
      <c r="G1791" s="1" t="s">
        <v>9</v>
      </c>
      <c r="H1791" t="e">
        <f>VLOOKUP(C1791,'[1]873'!$C$2:$C$711,1,0)</f>
        <v>#N/A</v>
      </c>
    </row>
    <row r="1792" spans="1:8" ht="15" customHeight="1" x14ac:dyDescent="0.25">
      <c r="A1792" s="3">
        <v>45797</v>
      </c>
      <c r="B1792" s="41">
        <v>2025000745</v>
      </c>
      <c r="C1792" s="1" t="s">
        <v>518</v>
      </c>
      <c r="D1792" s="5">
        <v>3000000</v>
      </c>
      <c r="E1792" s="1">
        <v>27097289</v>
      </c>
      <c r="F1792" s="1" t="s">
        <v>49</v>
      </c>
      <c r="G1792" s="1" t="s">
        <v>9</v>
      </c>
      <c r="H1792" t="e">
        <f>VLOOKUP(C1792,'[1]873'!$C$2:$C$711,1,0)</f>
        <v>#N/A</v>
      </c>
    </row>
    <row r="1793" spans="1:8" ht="15" customHeight="1" x14ac:dyDescent="0.25">
      <c r="A1793" s="3">
        <v>45797</v>
      </c>
      <c r="B1793" s="41">
        <v>2025000746</v>
      </c>
      <c r="C1793" s="1" t="s">
        <v>519</v>
      </c>
      <c r="D1793" s="5">
        <v>2500000</v>
      </c>
      <c r="E1793" s="1">
        <v>37087268</v>
      </c>
      <c r="F1793" s="1" t="s">
        <v>257</v>
      </c>
      <c r="G1793" s="1" t="s">
        <v>9</v>
      </c>
      <c r="H1793" t="e">
        <f>VLOOKUP(C1793,'[1]873'!$C$2:$C$711,1,0)</f>
        <v>#N/A</v>
      </c>
    </row>
    <row r="1794" spans="1:8" ht="15" customHeight="1" x14ac:dyDescent="0.25">
      <c r="A1794" s="3">
        <v>45797</v>
      </c>
      <c r="B1794" s="41">
        <v>2025000747</v>
      </c>
      <c r="C1794" s="1" t="s">
        <v>520</v>
      </c>
      <c r="D1794" s="5">
        <v>7500000</v>
      </c>
      <c r="E1794" s="1">
        <v>87067123</v>
      </c>
      <c r="F1794" s="1" t="s">
        <v>521</v>
      </c>
      <c r="G1794" s="1" t="s">
        <v>9</v>
      </c>
      <c r="H1794" t="e">
        <f>VLOOKUP(C1794,'[1]873'!$C$2:$C$711,1,0)</f>
        <v>#N/A</v>
      </c>
    </row>
    <row r="1795" spans="1:8" ht="15" customHeight="1" x14ac:dyDescent="0.25">
      <c r="A1795" s="3">
        <v>45797</v>
      </c>
      <c r="B1795" s="41">
        <v>2025000748</v>
      </c>
      <c r="C1795" s="1" t="s">
        <v>522</v>
      </c>
      <c r="D1795" s="5">
        <v>3000000</v>
      </c>
      <c r="E1795" s="1">
        <v>1233191675</v>
      </c>
      <c r="F1795" s="1" t="s">
        <v>523</v>
      </c>
      <c r="G1795" s="1" t="s">
        <v>9</v>
      </c>
      <c r="H1795" t="e">
        <f>VLOOKUP(C1795,'[1]873'!$C$2:$C$711,1,0)</f>
        <v>#N/A</v>
      </c>
    </row>
    <row r="1796" spans="1:8" ht="15" customHeight="1" x14ac:dyDescent="0.25">
      <c r="A1796" s="3">
        <v>45797</v>
      </c>
      <c r="B1796" s="41">
        <v>2025000749</v>
      </c>
      <c r="C1796" s="1" t="s">
        <v>524</v>
      </c>
      <c r="D1796" s="5">
        <v>3000000</v>
      </c>
      <c r="E1796" s="1">
        <v>27388522</v>
      </c>
      <c r="F1796" s="1" t="s">
        <v>525</v>
      </c>
      <c r="G1796" s="1" t="s">
        <v>9</v>
      </c>
      <c r="H1796" t="e">
        <f>VLOOKUP(C1796,'[1]873'!$C$2:$C$711,1,0)</f>
        <v>#N/A</v>
      </c>
    </row>
    <row r="1797" spans="1:8" ht="15" customHeight="1" x14ac:dyDescent="0.25">
      <c r="A1797" s="3">
        <v>45797</v>
      </c>
      <c r="B1797" s="41">
        <v>2025000750</v>
      </c>
      <c r="C1797" s="1" t="s">
        <v>526</v>
      </c>
      <c r="D1797" s="5">
        <v>6000000</v>
      </c>
      <c r="E1797" s="1">
        <v>1085275879</v>
      </c>
      <c r="F1797" s="1" t="s">
        <v>117</v>
      </c>
      <c r="G1797" s="1" t="s">
        <v>9</v>
      </c>
      <c r="H1797" t="e">
        <f>VLOOKUP(C1797,'[1]873'!$C$2:$C$711,1,0)</f>
        <v>#N/A</v>
      </c>
    </row>
    <row r="1798" spans="1:8" ht="15" customHeight="1" x14ac:dyDescent="0.25">
      <c r="A1798" s="3">
        <v>45797</v>
      </c>
      <c r="B1798" s="41">
        <v>2025000751</v>
      </c>
      <c r="C1798" s="1" t="s">
        <v>527</v>
      </c>
      <c r="D1798" s="5">
        <v>2500000</v>
      </c>
      <c r="E1798" s="1">
        <v>59821094</v>
      </c>
      <c r="F1798" s="1" t="s">
        <v>528</v>
      </c>
      <c r="G1798" s="1" t="s">
        <v>9</v>
      </c>
      <c r="H1798" t="e">
        <f>VLOOKUP(C1798,'[1]873'!$C$2:$C$711,1,0)</f>
        <v>#N/A</v>
      </c>
    </row>
    <row r="1799" spans="1:8" ht="15" customHeight="1" x14ac:dyDescent="0.25">
      <c r="A1799" s="3">
        <v>45797</v>
      </c>
      <c r="B1799" s="41">
        <v>2025000752</v>
      </c>
      <c r="C1799" s="1" t="s">
        <v>529</v>
      </c>
      <c r="D1799" s="5">
        <v>4750000</v>
      </c>
      <c r="E1799" s="1">
        <v>27190772</v>
      </c>
      <c r="F1799" s="1" t="s">
        <v>530</v>
      </c>
      <c r="G1799" s="1" t="s">
        <v>9</v>
      </c>
      <c r="H1799" t="e">
        <f>VLOOKUP(C1799,'[1]873'!$C$2:$C$711,1,0)</f>
        <v>#N/A</v>
      </c>
    </row>
    <row r="1800" spans="1:8" ht="15" customHeight="1" x14ac:dyDescent="0.25">
      <c r="A1800" s="3">
        <v>45797</v>
      </c>
      <c r="B1800" s="41">
        <v>2025000753</v>
      </c>
      <c r="C1800" s="1" t="s">
        <v>531</v>
      </c>
      <c r="D1800" s="5">
        <v>4750000</v>
      </c>
      <c r="E1800" s="1">
        <v>13069636</v>
      </c>
      <c r="F1800" s="1" t="s">
        <v>532</v>
      </c>
      <c r="G1800" s="1" t="s">
        <v>9</v>
      </c>
      <c r="H1800" t="e">
        <f>VLOOKUP(C1800,'[1]873'!$C$2:$C$711,1,0)</f>
        <v>#N/A</v>
      </c>
    </row>
    <row r="1801" spans="1:8" ht="15" customHeight="1" x14ac:dyDescent="0.25">
      <c r="A1801" s="3">
        <v>45797</v>
      </c>
      <c r="B1801" s="41">
        <v>2025000754</v>
      </c>
      <c r="C1801" s="1" t="s">
        <v>533</v>
      </c>
      <c r="D1801" s="5">
        <v>2500000</v>
      </c>
      <c r="E1801" s="1">
        <v>12974849</v>
      </c>
      <c r="F1801" s="1" t="s">
        <v>51</v>
      </c>
      <c r="G1801" s="1" t="s">
        <v>9</v>
      </c>
      <c r="H1801" t="e">
        <f>VLOOKUP(C1801,'[1]873'!$C$2:$C$711,1,0)</f>
        <v>#N/A</v>
      </c>
    </row>
    <row r="1802" spans="1:8" ht="15" customHeight="1" x14ac:dyDescent="0.25">
      <c r="A1802" s="2">
        <v>45797</v>
      </c>
      <c r="B1802" s="42">
        <v>2025000755</v>
      </c>
      <c r="C1802" t="s">
        <v>572</v>
      </c>
      <c r="D1802" s="11">
        <v>80825000</v>
      </c>
      <c r="E1802">
        <v>900633448</v>
      </c>
      <c r="F1802" t="s">
        <v>165</v>
      </c>
      <c r="G1802" t="s">
        <v>565</v>
      </c>
      <c r="H1802" t="e">
        <f>VLOOKUP(C1802,'[1]873'!$C$2:$C$711,1,0)</f>
        <v>#N/A</v>
      </c>
    </row>
    <row r="1803" spans="1:8" ht="15" customHeight="1" x14ac:dyDescent="0.25">
      <c r="A1803" s="3">
        <v>45797</v>
      </c>
      <c r="B1803" s="41">
        <v>2025000756</v>
      </c>
      <c r="C1803" s="1" t="s">
        <v>534</v>
      </c>
      <c r="D1803" s="5">
        <v>3000000</v>
      </c>
      <c r="E1803" s="1">
        <v>1081592303</v>
      </c>
      <c r="F1803" s="1" t="s">
        <v>353</v>
      </c>
      <c r="G1803" s="1" t="s">
        <v>9</v>
      </c>
      <c r="H1803" t="e">
        <f>VLOOKUP(C1803,'[1]873'!$C$2:$C$711,1,0)</f>
        <v>#N/A</v>
      </c>
    </row>
    <row r="1804" spans="1:8" ht="15" customHeight="1" x14ac:dyDescent="0.25">
      <c r="A1804" s="3">
        <v>45797</v>
      </c>
      <c r="B1804" s="41">
        <v>2025000757</v>
      </c>
      <c r="C1804" s="1" t="s">
        <v>535</v>
      </c>
      <c r="D1804" s="5">
        <v>4750000</v>
      </c>
      <c r="E1804" s="1">
        <v>1085260497</v>
      </c>
      <c r="F1804" s="1" t="s">
        <v>429</v>
      </c>
      <c r="G1804" s="1" t="s">
        <v>9</v>
      </c>
      <c r="H1804" t="e">
        <f>VLOOKUP(C1804,'[1]873'!$C$2:$C$711,1,0)</f>
        <v>#N/A</v>
      </c>
    </row>
    <row r="1805" spans="1:8" ht="15" customHeight="1" x14ac:dyDescent="0.25">
      <c r="A1805" s="3">
        <v>45798</v>
      </c>
      <c r="B1805" s="41">
        <v>2025000761</v>
      </c>
      <c r="C1805" s="1" t="s">
        <v>536</v>
      </c>
      <c r="D1805" s="5">
        <v>6000000</v>
      </c>
      <c r="E1805" s="1">
        <v>97470681</v>
      </c>
      <c r="F1805" s="1" t="s">
        <v>329</v>
      </c>
      <c r="G1805" s="1" t="s">
        <v>9</v>
      </c>
      <c r="H1805" t="e">
        <f>VLOOKUP(C1805,'[1]873'!$C$2:$C$711,1,0)</f>
        <v>#N/A</v>
      </c>
    </row>
    <row r="1806" spans="1:8" ht="15" customHeight="1" x14ac:dyDescent="0.25">
      <c r="A1806" s="2">
        <v>45798</v>
      </c>
      <c r="B1806" s="42">
        <v>2025000762</v>
      </c>
      <c r="C1806" t="s">
        <v>573</v>
      </c>
      <c r="D1806" s="11">
        <v>3000000</v>
      </c>
      <c r="E1806">
        <v>1085286725</v>
      </c>
      <c r="F1806" t="s">
        <v>111</v>
      </c>
      <c r="G1806" t="s">
        <v>565</v>
      </c>
      <c r="H1806" t="e">
        <f>VLOOKUP(C1806,'[1]873'!$C$2:$C$711,1,0)</f>
        <v>#N/A</v>
      </c>
    </row>
    <row r="1807" spans="1:8" ht="15" customHeight="1" x14ac:dyDescent="0.25">
      <c r="A1807" s="3">
        <v>45798</v>
      </c>
      <c r="B1807" s="41">
        <v>2025000763</v>
      </c>
      <c r="C1807" s="1" t="s">
        <v>537</v>
      </c>
      <c r="D1807" s="5">
        <v>3000000</v>
      </c>
      <c r="E1807" s="1">
        <v>1085252263</v>
      </c>
      <c r="F1807" s="1" t="s">
        <v>33</v>
      </c>
      <c r="G1807" s="1" t="s">
        <v>9</v>
      </c>
      <c r="H1807" t="e">
        <f>VLOOKUP(C1807,'[1]873'!$C$2:$C$711,1,0)</f>
        <v>#N/A</v>
      </c>
    </row>
    <row r="1808" spans="1:8" ht="15" customHeight="1" x14ac:dyDescent="0.25">
      <c r="A1808" s="3">
        <v>45798</v>
      </c>
      <c r="B1808" s="41">
        <v>2025000764</v>
      </c>
      <c r="C1808" s="1" t="s">
        <v>538</v>
      </c>
      <c r="D1808" s="5">
        <v>2500000</v>
      </c>
      <c r="E1808" s="1">
        <v>27087720</v>
      </c>
      <c r="F1808" s="1" t="s">
        <v>539</v>
      </c>
      <c r="G1808" s="1" t="s">
        <v>9</v>
      </c>
      <c r="H1808" t="e">
        <f>VLOOKUP(C1808,'[1]873'!$C$2:$C$711,1,0)</f>
        <v>#N/A</v>
      </c>
    </row>
    <row r="1809" spans="1:8" ht="15" customHeight="1" x14ac:dyDescent="0.25">
      <c r="A1809" s="3">
        <v>45799</v>
      </c>
      <c r="B1809" s="41">
        <v>2025000767</v>
      </c>
      <c r="C1809" s="1" t="s">
        <v>540</v>
      </c>
      <c r="D1809" s="5">
        <v>3000000</v>
      </c>
      <c r="E1809" s="1">
        <v>1089243630</v>
      </c>
      <c r="F1809" s="1" t="s">
        <v>197</v>
      </c>
      <c r="G1809" s="1" t="s">
        <v>9</v>
      </c>
      <c r="H1809" t="e">
        <f>VLOOKUP(C1809,'[1]873'!$C$2:$C$711,1,0)</f>
        <v>#N/A</v>
      </c>
    </row>
    <row r="1810" spans="1:8" ht="15" customHeight="1" x14ac:dyDescent="0.25">
      <c r="A1810" s="3">
        <v>45799</v>
      </c>
      <c r="B1810" s="41">
        <v>2025000768</v>
      </c>
      <c r="C1810" s="1" t="s">
        <v>541</v>
      </c>
      <c r="D1810" s="5">
        <v>2500000</v>
      </c>
      <c r="E1810" s="1">
        <v>1085320930</v>
      </c>
      <c r="F1810" s="1" t="s">
        <v>259</v>
      </c>
      <c r="G1810" s="1" t="s">
        <v>9</v>
      </c>
      <c r="H1810" t="e">
        <f>VLOOKUP(C1810,'[1]873'!$C$2:$C$711,1,0)</f>
        <v>#N/A</v>
      </c>
    </row>
    <row r="1811" spans="1:8" ht="15" customHeight="1" x14ac:dyDescent="0.25">
      <c r="A1811" s="3">
        <v>45799</v>
      </c>
      <c r="B1811" s="41">
        <v>2025000769</v>
      </c>
      <c r="C1811" s="1" t="s">
        <v>542</v>
      </c>
      <c r="D1811" s="5">
        <v>2500000</v>
      </c>
      <c r="E1811" s="1">
        <v>1088729401</v>
      </c>
      <c r="F1811" s="1" t="s">
        <v>543</v>
      </c>
      <c r="G1811" s="1" t="s">
        <v>9</v>
      </c>
      <c r="H1811" t="e">
        <f>VLOOKUP(C1811,'[1]873'!$C$2:$C$711,1,0)</f>
        <v>#N/A</v>
      </c>
    </row>
    <row r="1812" spans="1:8" ht="15" customHeight="1" x14ac:dyDescent="0.25">
      <c r="A1812" s="3">
        <v>45800</v>
      </c>
      <c r="B1812" s="41">
        <v>2025000770</v>
      </c>
      <c r="C1812" s="1" t="s">
        <v>544</v>
      </c>
      <c r="D1812" s="5">
        <v>4750000</v>
      </c>
      <c r="E1812" s="1">
        <v>1085345772</v>
      </c>
      <c r="F1812" s="1" t="s">
        <v>221</v>
      </c>
      <c r="G1812" s="1" t="s">
        <v>9</v>
      </c>
      <c r="H1812" t="e">
        <f>VLOOKUP(C1812,'[1]873'!$C$2:$C$711,1,0)</f>
        <v>#N/A</v>
      </c>
    </row>
    <row r="1813" spans="1:8" ht="15" customHeight="1" x14ac:dyDescent="0.25">
      <c r="A1813" s="3">
        <v>45800</v>
      </c>
      <c r="B1813" s="41">
        <v>2025000771</v>
      </c>
      <c r="C1813" s="1" t="s">
        <v>545</v>
      </c>
      <c r="D1813" s="5">
        <v>3000000</v>
      </c>
      <c r="E1813" s="1">
        <v>13069881</v>
      </c>
      <c r="F1813" s="1" t="s">
        <v>546</v>
      </c>
      <c r="G1813" s="1" t="s">
        <v>9</v>
      </c>
      <c r="H1813" t="e">
        <f>VLOOKUP(C1813,'[1]873'!$C$2:$C$711,1,0)</f>
        <v>#N/A</v>
      </c>
    </row>
    <row r="1814" spans="1:8" ht="15" customHeight="1" x14ac:dyDescent="0.25">
      <c r="A1814" s="3">
        <v>45800</v>
      </c>
      <c r="B1814" s="41">
        <v>2025000772</v>
      </c>
      <c r="C1814" s="1" t="s">
        <v>547</v>
      </c>
      <c r="D1814" s="5">
        <v>3000000</v>
      </c>
      <c r="E1814" s="1">
        <v>1082747438</v>
      </c>
      <c r="F1814" s="1" t="s">
        <v>548</v>
      </c>
      <c r="G1814" s="1" t="s">
        <v>9</v>
      </c>
      <c r="H1814" t="e">
        <f>VLOOKUP(C1814,'[1]873'!$C$2:$C$711,1,0)</f>
        <v>#N/A</v>
      </c>
    </row>
    <row r="1815" spans="1:8" ht="15" customHeight="1" x14ac:dyDescent="0.25">
      <c r="A1815" s="3">
        <v>45800</v>
      </c>
      <c r="B1815" s="41">
        <v>2025000773</v>
      </c>
      <c r="C1815" s="1" t="s">
        <v>549</v>
      </c>
      <c r="D1815" s="5">
        <v>2500000</v>
      </c>
      <c r="E1815" s="1">
        <v>1233189896</v>
      </c>
      <c r="F1815" s="1" t="s">
        <v>279</v>
      </c>
      <c r="G1815" s="1" t="s">
        <v>9</v>
      </c>
      <c r="H1815" t="e">
        <f>VLOOKUP(C1815,'[1]873'!$C$2:$C$711,1,0)</f>
        <v>#N/A</v>
      </c>
    </row>
    <row r="1816" spans="1:8" ht="15" customHeight="1" x14ac:dyDescent="0.25">
      <c r="A1816" s="3">
        <v>45803</v>
      </c>
      <c r="B1816" s="41">
        <v>2025000784</v>
      </c>
      <c r="C1816" s="1" t="s">
        <v>550</v>
      </c>
      <c r="D1816" s="5">
        <v>700000</v>
      </c>
      <c r="E1816" s="1">
        <v>69028150</v>
      </c>
      <c r="F1816" s="1" t="s">
        <v>171</v>
      </c>
      <c r="G1816" s="1" t="s">
        <v>9</v>
      </c>
      <c r="H1816" t="e">
        <f>VLOOKUP(C1816,'[1]873'!$C$2:$C$711,1,0)</f>
        <v>#N/A</v>
      </c>
    </row>
    <row r="1817" spans="1:8" ht="15" customHeight="1" x14ac:dyDescent="0.25">
      <c r="A1817" s="3">
        <v>45803</v>
      </c>
      <c r="B1817" s="41">
        <v>2025000785</v>
      </c>
      <c r="C1817" s="1" t="s">
        <v>551</v>
      </c>
      <c r="D1817" s="5">
        <v>3000000</v>
      </c>
      <c r="E1817" s="1">
        <v>1004598784</v>
      </c>
      <c r="F1817" s="1" t="s">
        <v>552</v>
      </c>
      <c r="G1817" s="1" t="s">
        <v>9</v>
      </c>
      <c r="H1817" t="e">
        <f>VLOOKUP(C1817,'[1]873'!$C$2:$C$711,1,0)</f>
        <v>#N/A</v>
      </c>
    </row>
    <row r="1818" spans="1:8" ht="15" customHeight="1" x14ac:dyDescent="0.25">
      <c r="A1818" s="3">
        <v>45803</v>
      </c>
      <c r="B1818" s="41">
        <v>2025000786</v>
      </c>
      <c r="C1818" s="1" t="s">
        <v>553</v>
      </c>
      <c r="D1818" s="5">
        <v>3000000</v>
      </c>
      <c r="E1818" s="1">
        <v>1085339190</v>
      </c>
      <c r="F1818" s="1" t="s">
        <v>149</v>
      </c>
      <c r="G1818" s="1" t="s">
        <v>9</v>
      </c>
      <c r="H1818" t="e">
        <f>VLOOKUP(C1818,'[1]873'!$C$2:$C$711,1,0)</f>
        <v>#N/A</v>
      </c>
    </row>
    <row r="1819" spans="1:8" ht="15" customHeight="1" x14ac:dyDescent="0.25">
      <c r="A1819" s="3">
        <v>45803</v>
      </c>
      <c r="B1819" s="41">
        <v>2025000787</v>
      </c>
      <c r="C1819" s="1" t="s">
        <v>554</v>
      </c>
      <c r="D1819" s="5">
        <v>3000000</v>
      </c>
      <c r="E1819" s="1">
        <v>1081572043</v>
      </c>
      <c r="F1819" s="1" t="s">
        <v>555</v>
      </c>
      <c r="G1819" s="1" t="s">
        <v>9</v>
      </c>
      <c r="H1819" t="e">
        <f>VLOOKUP(C1819,'[1]873'!$C$2:$C$711,1,0)</f>
        <v>#N/A</v>
      </c>
    </row>
    <row r="1820" spans="1:8" ht="15" customHeight="1" x14ac:dyDescent="0.25">
      <c r="A1820" s="2">
        <v>45805</v>
      </c>
      <c r="B1820" s="42">
        <v>2025000792</v>
      </c>
      <c r="C1820" t="s">
        <v>574</v>
      </c>
      <c r="D1820" s="11">
        <v>73000000</v>
      </c>
      <c r="E1820">
        <v>900994364</v>
      </c>
      <c r="F1820" t="s">
        <v>269</v>
      </c>
      <c r="G1820" t="s">
        <v>565</v>
      </c>
      <c r="H1820" t="e">
        <f>VLOOKUP(C1820,'[1]873'!$C$2:$C$711,1,0)</f>
        <v>#N/A</v>
      </c>
    </row>
    <row r="1821" spans="1:8" ht="15" customHeight="1" x14ac:dyDescent="0.25">
      <c r="A1821" s="2">
        <v>45805</v>
      </c>
      <c r="B1821" s="42">
        <v>2025000793</v>
      </c>
      <c r="C1821" t="s">
        <v>575</v>
      </c>
      <c r="D1821" s="11">
        <v>53823767</v>
      </c>
      <c r="E1821">
        <v>900994364</v>
      </c>
      <c r="F1821" t="s">
        <v>269</v>
      </c>
      <c r="G1821" t="s">
        <v>565</v>
      </c>
      <c r="H1821" t="e">
        <f>VLOOKUP(C1821,'[1]873'!$C$2:$C$711,1,0)</f>
        <v>#N/A</v>
      </c>
    </row>
    <row r="1822" spans="1:8" ht="15" customHeight="1" x14ac:dyDescent="0.25">
      <c r="A1822" s="2">
        <v>45806</v>
      </c>
      <c r="B1822" s="42">
        <v>2025000795</v>
      </c>
      <c r="C1822" t="s">
        <v>576</v>
      </c>
      <c r="D1822" s="11">
        <v>600000</v>
      </c>
      <c r="E1822">
        <v>59813323</v>
      </c>
      <c r="F1822" t="s">
        <v>103</v>
      </c>
      <c r="G1822" t="s">
        <v>565</v>
      </c>
      <c r="H1822" t="e">
        <f>VLOOKUP(C1822,'[1]873'!$C$2:$C$711,1,0)</f>
        <v>#N/A</v>
      </c>
    </row>
    <row r="1823" spans="1:8" ht="15" customHeight="1" x14ac:dyDescent="0.25">
      <c r="A1823" s="3">
        <v>45807</v>
      </c>
      <c r="B1823" s="41">
        <v>2025000797</v>
      </c>
      <c r="C1823" s="1" t="s">
        <v>556</v>
      </c>
      <c r="D1823" s="5">
        <v>2500000</v>
      </c>
      <c r="E1823" s="1">
        <v>30736949</v>
      </c>
      <c r="F1823" s="1" t="s">
        <v>557</v>
      </c>
      <c r="G1823" s="1" t="s">
        <v>9</v>
      </c>
      <c r="H1823" t="e">
        <f>VLOOKUP(C1823,'[1]873'!$C$2:$C$711,1,0)</f>
        <v>#N/A</v>
      </c>
    </row>
    <row r="1824" spans="1:8" ht="15" customHeight="1" x14ac:dyDescent="0.25">
      <c r="A1824" s="2">
        <v>45812</v>
      </c>
      <c r="B1824" s="42">
        <v>2025000814</v>
      </c>
      <c r="C1824" t="s">
        <v>577</v>
      </c>
      <c r="D1824" s="11">
        <v>2500000</v>
      </c>
      <c r="E1824">
        <v>1233188479</v>
      </c>
      <c r="F1824" t="s">
        <v>578</v>
      </c>
      <c r="G1824" t="s">
        <v>565</v>
      </c>
      <c r="H1824" t="e">
        <f>VLOOKUP(C1824,'[1]873'!$C$2:$C$711,1,0)</f>
        <v>#N/A</v>
      </c>
    </row>
    <row r="1825" spans="1:8" ht="15" customHeight="1" x14ac:dyDescent="0.25">
      <c r="A1825" s="2">
        <v>45813</v>
      </c>
      <c r="B1825" s="42">
        <v>2025000833</v>
      </c>
      <c r="C1825" t="s">
        <v>579</v>
      </c>
      <c r="D1825" s="11">
        <v>600000</v>
      </c>
      <c r="E1825">
        <v>1004437571</v>
      </c>
      <c r="F1825" t="s">
        <v>580</v>
      </c>
      <c r="G1825" t="s">
        <v>565</v>
      </c>
      <c r="H1825" t="e">
        <f>VLOOKUP(C1825,'[1]873'!$C$2:$C$711,1,0)</f>
        <v>#N/A</v>
      </c>
    </row>
    <row r="1826" spans="1:8" ht="15" customHeight="1" x14ac:dyDescent="0.25">
      <c r="A1826" s="2">
        <v>45824</v>
      </c>
      <c r="B1826" s="42">
        <v>2025000948</v>
      </c>
      <c r="C1826" t="s">
        <v>581</v>
      </c>
      <c r="D1826" s="11">
        <v>2500000</v>
      </c>
      <c r="E1826">
        <v>1081052090</v>
      </c>
      <c r="F1826" t="s">
        <v>319</v>
      </c>
      <c r="G1826" t="s">
        <v>565</v>
      </c>
      <c r="H1826" t="e">
        <f>VLOOKUP(C1826,'[1]873'!$C$2:$C$711,1,0)</f>
        <v>#N/A</v>
      </c>
    </row>
    <row r="1827" spans="1:8" ht="15" customHeight="1" x14ac:dyDescent="0.25">
      <c r="A1827" s="3">
        <v>45826</v>
      </c>
      <c r="B1827" s="41">
        <v>2025000957</v>
      </c>
      <c r="C1827" s="1" t="s">
        <v>471</v>
      </c>
      <c r="D1827" s="5">
        <v>3000000</v>
      </c>
      <c r="E1827" s="1">
        <v>1085318688</v>
      </c>
      <c r="F1827" s="1" t="s">
        <v>427</v>
      </c>
      <c r="G1827" s="1" t="s">
        <v>9</v>
      </c>
      <c r="H1827" t="e">
        <f>VLOOKUP(C1827,'[1]873'!$C$2:$C$711,1,0)</f>
        <v>#N/A</v>
      </c>
    </row>
    <row r="1828" spans="1:8" ht="15" customHeight="1" x14ac:dyDescent="0.25">
      <c r="A1828" s="3">
        <v>45826</v>
      </c>
      <c r="B1828" s="41">
        <v>2025000958</v>
      </c>
      <c r="C1828" s="1" t="s">
        <v>465</v>
      </c>
      <c r="D1828" s="5">
        <v>3000000</v>
      </c>
      <c r="E1828" s="1">
        <v>1030606749</v>
      </c>
      <c r="F1828" s="1" t="s">
        <v>387</v>
      </c>
      <c r="G1828" s="1" t="s">
        <v>9</v>
      </c>
      <c r="H1828" t="e">
        <f>VLOOKUP(C1828,'[1]873'!$C$2:$C$711,1,0)</f>
        <v>#N/A</v>
      </c>
    </row>
    <row r="1829" spans="1:8" ht="15" customHeight="1" x14ac:dyDescent="0.25">
      <c r="A1829" s="3">
        <v>45826</v>
      </c>
      <c r="B1829" s="41">
        <v>2025000959</v>
      </c>
      <c r="C1829" s="1" t="s">
        <v>469</v>
      </c>
      <c r="D1829" s="5">
        <v>3000000</v>
      </c>
      <c r="E1829" s="1">
        <v>1086328142</v>
      </c>
      <c r="F1829" s="1" t="s">
        <v>470</v>
      </c>
      <c r="G1829" s="1" t="s">
        <v>9</v>
      </c>
      <c r="H1829" t="e">
        <f>VLOOKUP(C1829,'[1]873'!$C$2:$C$711,1,0)</f>
        <v>#N/A</v>
      </c>
    </row>
    <row r="1830" spans="1:8" ht="15" customHeight="1" x14ac:dyDescent="0.25">
      <c r="A1830" s="3">
        <v>45826</v>
      </c>
      <c r="B1830" s="41">
        <v>2025000960</v>
      </c>
      <c r="C1830" s="1" t="s">
        <v>466</v>
      </c>
      <c r="D1830" s="5">
        <v>3000000</v>
      </c>
      <c r="E1830" s="1">
        <v>59833899</v>
      </c>
      <c r="F1830" s="1" t="s">
        <v>467</v>
      </c>
      <c r="G1830" s="1" t="s">
        <v>9</v>
      </c>
      <c r="H1830" t="e">
        <f>VLOOKUP(C1830,'[1]873'!$C$2:$C$711,1,0)</f>
        <v>#N/A</v>
      </c>
    </row>
    <row r="1831" spans="1:8" ht="15" customHeight="1" x14ac:dyDescent="0.25">
      <c r="A1831" s="2">
        <v>45826</v>
      </c>
      <c r="B1831" s="42">
        <v>2025000972</v>
      </c>
      <c r="C1831" t="s">
        <v>575</v>
      </c>
      <c r="D1831" s="11">
        <v>53181733</v>
      </c>
      <c r="E1831">
        <v>900994364</v>
      </c>
      <c r="F1831" t="s">
        <v>269</v>
      </c>
      <c r="G1831" t="s">
        <v>565</v>
      </c>
      <c r="H1831" t="e">
        <f>VLOOKUP(C1831,'[1]873'!$C$2:$C$711,1,0)</f>
        <v>#N/A</v>
      </c>
    </row>
    <row r="1832" spans="1:8" ht="15" customHeight="1" x14ac:dyDescent="0.25">
      <c r="A1832" s="2">
        <v>45828</v>
      </c>
      <c r="B1832" s="42">
        <v>2025001006</v>
      </c>
      <c r="C1832" t="s">
        <v>574</v>
      </c>
      <c r="D1832" s="11">
        <v>73000000</v>
      </c>
      <c r="E1832">
        <v>900994364</v>
      </c>
      <c r="F1832" t="s">
        <v>269</v>
      </c>
      <c r="G1832" t="s">
        <v>565</v>
      </c>
      <c r="H1832" t="e">
        <f>VLOOKUP(C1832,'[1]873'!$C$2:$C$711,1,0)</f>
        <v>#N/A</v>
      </c>
    </row>
    <row r="1833" spans="1:8" ht="15" customHeight="1" x14ac:dyDescent="0.25">
      <c r="A1833" s="3">
        <v>45828</v>
      </c>
      <c r="B1833" s="41">
        <v>2025001007</v>
      </c>
      <c r="C1833" s="1" t="s">
        <v>518</v>
      </c>
      <c r="D1833" s="5">
        <v>6000000</v>
      </c>
      <c r="E1833" s="1">
        <v>27097289</v>
      </c>
      <c r="F1833" s="1" t="s">
        <v>49</v>
      </c>
      <c r="G1833" s="1" t="s">
        <v>9</v>
      </c>
      <c r="H1833" t="e">
        <f>VLOOKUP(C1833,'[1]873'!$C$2:$C$711,1,0)</f>
        <v>#N/A</v>
      </c>
    </row>
    <row r="1834" spans="1:8" ht="15" customHeight="1" x14ac:dyDescent="0.25">
      <c r="A1834" s="3">
        <v>45828</v>
      </c>
      <c r="B1834" s="41">
        <v>2025001008</v>
      </c>
      <c r="C1834" s="1" t="s">
        <v>516</v>
      </c>
      <c r="D1834" s="5">
        <v>2500000</v>
      </c>
      <c r="E1834" s="1">
        <v>1085318898</v>
      </c>
      <c r="F1834" s="1" t="s">
        <v>517</v>
      </c>
      <c r="G1834" s="1" t="s">
        <v>9</v>
      </c>
      <c r="H1834" t="e">
        <f>VLOOKUP(C1834,'[1]873'!$C$2:$C$711,1,0)</f>
        <v>#N/A</v>
      </c>
    </row>
    <row r="1835" spans="1:8" ht="15" customHeight="1" x14ac:dyDescent="0.25">
      <c r="A1835" s="3">
        <v>45828</v>
      </c>
      <c r="B1835" s="41">
        <v>2025001009</v>
      </c>
      <c r="C1835" s="1" t="s">
        <v>483</v>
      </c>
      <c r="D1835" s="5">
        <v>4750000</v>
      </c>
      <c r="E1835" s="1">
        <v>1193383306</v>
      </c>
      <c r="F1835" s="1" t="s">
        <v>267</v>
      </c>
      <c r="G1835" s="1" t="s">
        <v>9</v>
      </c>
      <c r="H1835" t="e">
        <f>VLOOKUP(C1835,'[1]873'!$C$2:$C$711,1,0)</f>
        <v>#N/A</v>
      </c>
    </row>
    <row r="1836" spans="1:8" ht="15" customHeight="1" x14ac:dyDescent="0.25">
      <c r="A1836" s="3">
        <v>45828</v>
      </c>
      <c r="B1836" s="41">
        <v>2025001010</v>
      </c>
      <c r="C1836" s="1" t="s">
        <v>448</v>
      </c>
      <c r="D1836" s="5">
        <v>3000000</v>
      </c>
      <c r="E1836" s="1">
        <v>1137624011</v>
      </c>
      <c r="F1836" s="1" t="s">
        <v>243</v>
      </c>
      <c r="G1836" s="1" t="s">
        <v>9</v>
      </c>
      <c r="H1836" t="e">
        <f>VLOOKUP(C1836,'[1]873'!$C$2:$C$711,1,0)</f>
        <v>#N/A</v>
      </c>
    </row>
    <row r="1837" spans="1:8" ht="15" customHeight="1" x14ac:dyDescent="0.25">
      <c r="A1837" s="3">
        <v>45828</v>
      </c>
      <c r="B1837" s="41">
        <v>2025001011</v>
      </c>
      <c r="C1837" s="1" t="s">
        <v>537</v>
      </c>
      <c r="D1837" s="5">
        <v>3000000</v>
      </c>
      <c r="E1837" s="1">
        <v>1085252263</v>
      </c>
      <c r="F1837" s="1" t="s">
        <v>33</v>
      </c>
      <c r="G1837" s="1" t="s">
        <v>9</v>
      </c>
      <c r="H1837" t="e">
        <f>VLOOKUP(C1837,'[1]873'!$C$2:$C$711,1,0)</f>
        <v>#N/A</v>
      </c>
    </row>
    <row r="1838" spans="1:8" ht="15" customHeight="1" x14ac:dyDescent="0.25">
      <c r="A1838" s="3">
        <v>45828</v>
      </c>
      <c r="B1838" s="41">
        <v>2025001012</v>
      </c>
      <c r="C1838" s="1" t="s">
        <v>459</v>
      </c>
      <c r="D1838" s="5">
        <v>4825000</v>
      </c>
      <c r="E1838" s="1">
        <v>1085265622</v>
      </c>
      <c r="F1838" s="1" t="s">
        <v>460</v>
      </c>
      <c r="G1838" s="1" t="s">
        <v>9</v>
      </c>
      <c r="H1838" t="e">
        <f>VLOOKUP(C1838,'[1]873'!$C$2:$C$711,1,0)</f>
        <v>#N/A</v>
      </c>
    </row>
    <row r="1839" spans="1:8" ht="15" customHeight="1" x14ac:dyDescent="0.25">
      <c r="A1839" s="3">
        <v>45828</v>
      </c>
      <c r="B1839" s="41">
        <v>2025001013</v>
      </c>
      <c r="C1839" s="1" t="s">
        <v>520</v>
      </c>
      <c r="D1839" s="5">
        <v>7500000</v>
      </c>
      <c r="E1839" s="1">
        <v>87067123</v>
      </c>
      <c r="F1839" s="1" t="s">
        <v>521</v>
      </c>
      <c r="G1839" s="1" t="s">
        <v>9</v>
      </c>
      <c r="H1839" t="e">
        <f>VLOOKUP(C1839,'[1]873'!$C$2:$C$711,1,0)</f>
        <v>#N/A</v>
      </c>
    </row>
    <row r="1840" spans="1:8" ht="15" customHeight="1" x14ac:dyDescent="0.25">
      <c r="A1840" s="3">
        <v>45828</v>
      </c>
      <c r="B1840" s="41">
        <v>2025001014</v>
      </c>
      <c r="C1840" s="1" t="s">
        <v>463</v>
      </c>
      <c r="D1840" s="5">
        <v>4750000</v>
      </c>
      <c r="E1840" s="1">
        <v>1085264667</v>
      </c>
      <c r="F1840" s="1" t="s">
        <v>464</v>
      </c>
      <c r="G1840" s="1" t="s">
        <v>9</v>
      </c>
      <c r="H1840" t="e">
        <f>VLOOKUP(C1840,'[1]873'!$C$2:$C$711,1,0)</f>
        <v>#N/A</v>
      </c>
    </row>
    <row r="1841" spans="1:8" ht="15" customHeight="1" x14ac:dyDescent="0.25">
      <c r="A1841" s="3">
        <v>45832</v>
      </c>
      <c r="B1841" s="41">
        <v>2025001017</v>
      </c>
      <c r="C1841" s="1" t="s">
        <v>438</v>
      </c>
      <c r="D1841" s="5">
        <v>4825000</v>
      </c>
      <c r="E1841" s="1">
        <v>1085267184</v>
      </c>
      <c r="F1841" s="1" t="s">
        <v>247</v>
      </c>
      <c r="G1841" s="1" t="s">
        <v>9</v>
      </c>
      <c r="H1841" t="e">
        <f>VLOOKUP(C1841,'[1]873'!$C$2:$C$711,1,0)</f>
        <v>#N/A</v>
      </c>
    </row>
    <row r="1842" spans="1:8" ht="15" customHeight="1" x14ac:dyDescent="0.25">
      <c r="A1842" s="3">
        <v>45832</v>
      </c>
      <c r="B1842" s="41">
        <v>2025001018</v>
      </c>
      <c r="C1842" s="1" t="s">
        <v>482</v>
      </c>
      <c r="D1842" s="5">
        <v>2500000</v>
      </c>
      <c r="E1842" s="1">
        <v>59310145</v>
      </c>
      <c r="F1842" s="1" t="s">
        <v>129</v>
      </c>
      <c r="G1842" s="1" t="s">
        <v>9</v>
      </c>
      <c r="H1842" t="e">
        <f>VLOOKUP(C1842,'[1]873'!$C$2:$C$711,1,0)</f>
        <v>#N/A</v>
      </c>
    </row>
    <row r="1843" spans="1:8" ht="15" customHeight="1" x14ac:dyDescent="0.25">
      <c r="A1843" s="3">
        <v>45832</v>
      </c>
      <c r="B1843" s="41">
        <v>2025001019</v>
      </c>
      <c r="C1843" s="1" t="s">
        <v>498</v>
      </c>
      <c r="D1843" s="5">
        <v>3000000</v>
      </c>
      <c r="E1843" s="1">
        <v>98391531</v>
      </c>
      <c r="F1843" s="1" t="s">
        <v>499</v>
      </c>
      <c r="G1843" s="1" t="s">
        <v>9</v>
      </c>
      <c r="H1843" t="e">
        <f>VLOOKUP(C1843,'[1]873'!$C$2:$C$711,1,0)</f>
        <v>#N/A</v>
      </c>
    </row>
    <row r="1844" spans="1:8" ht="15" customHeight="1" x14ac:dyDescent="0.25">
      <c r="A1844" s="3">
        <v>45832</v>
      </c>
      <c r="B1844" s="41">
        <v>2025001020</v>
      </c>
      <c r="C1844" s="1" t="s">
        <v>500</v>
      </c>
      <c r="D1844" s="5">
        <v>4750000</v>
      </c>
      <c r="E1844" s="1">
        <v>1085303067</v>
      </c>
      <c r="F1844" s="1" t="s">
        <v>105</v>
      </c>
      <c r="G1844" s="1" t="s">
        <v>9</v>
      </c>
      <c r="H1844" t="e">
        <f>VLOOKUP(C1844,'[1]873'!$C$2:$C$711,1,0)</f>
        <v>#N/A</v>
      </c>
    </row>
    <row r="1845" spans="1:8" ht="15" customHeight="1" x14ac:dyDescent="0.25">
      <c r="A1845" s="3">
        <v>45832</v>
      </c>
      <c r="B1845" s="41">
        <v>2025001021</v>
      </c>
      <c r="C1845" s="1" t="s">
        <v>474</v>
      </c>
      <c r="D1845" s="5">
        <v>4825000</v>
      </c>
      <c r="E1845" s="1">
        <v>27087851</v>
      </c>
      <c r="F1845" s="1" t="s">
        <v>177</v>
      </c>
      <c r="G1845" s="1" t="s">
        <v>9</v>
      </c>
      <c r="H1845" t="e">
        <f>VLOOKUP(C1845,'[1]873'!$C$2:$C$711,1,0)</f>
        <v>#N/A</v>
      </c>
    </row>
    <row r="1846" spans="1:8" ht="15" customHeight="1" x14ac:dyDescent="0.25">
      <c r="A1846" s="3">
        <v>45832</v>
      </c>
      <c r="B1846" s="41">
        <v>2025001022</v>
      </c>
      <c r="C1846" s="1" t="s">
        <v>527</v>
      </c>
      <c r="D1846" s="5">
        <v>2500000</v>
      </c>
      <c r="E1846" s="1">
        <v>59821094</v>
      </c>
      <c r="F1846" s="1" t="s">
        <v>528</v>
      </c>
      <c r="G1846" s="1" t="s">
        <v>9</v>
      </c>
      <c r="H1846" t="e">
        <f>VLOOKUP(C1846,'[1]873'!$C$2:$C$711,1,0)</f>
        <v>#N/A</v>
      </c>
    </row>
    <row r="1847" spans="1:8" ht="15" customHeight="1" x14ac:dyDescent="0.25">
      <c r="A1847" s="3">
        <v>45832</v>
      </c>
      <c r="B1847" s="41">
        <v>2025001023</v>
      </c>
      <c r="C1847" s="1" t="s">
        <v>489</v>
      </c>
      <c r="D1847" s="5">
        <v>3000000</v>
      </c>
      <c r="E1847" s="1">
        <v>59834953</v>
      </c>
      <c r="F1847" s="1" t="s">
        <v>121</v>
      </c>
      <c r="G1847" s="1" t="s">
        <v>9</v>
      </c>
      <c r="H1847" t="e">
        <f>VLOOKUP(C1847,'[1]873'!$C$2:$C$711,1,0)</f>
        <v>#N/A</v>
      </c>
    </row>
    <row r="1848" spans="1:8" ht="15" customHeight="1" x14ac:dyDescent="0.25">
      <c r="A1848" s="3">
        <v>45832</v>
      </c>
      <c r="B1848" s="41">
        <v>2025001024</v>
      </c>
      <c r="C1848" s="1" t="s">
        <v>492</v>
      </c>
      <c r="D1848" s="5">
        <v>4750000</v>
      </c>
      <c r="E1848" s="1">
        <v>59651018</v>
      </c>
      <c r="F1848" s="1" t="s">
        <v>493</v>
      </c>
      <c r="G1848" s="1" t="s">
        <v>9</v>
      </c>
      <c r="H1848" t="e">
        <f>VLOOKUP(C1848,'[1]873'!$C$2:$C$711,1,0)</f>
        <v>#N/A</v>
      </c>
    </row>
    <row r="1849" spans="1:8" ht="15" customHeight="1" x14ac:dyDescent="0.25">
      <c r="A1849" s="3">
        <v>45832</v>
      </c>
      <c r="B1849" s="41">
        <v>2025001025</v>
      </c>
      <c r="C1849" s="1" t="s">
        <v>494</v>
      </c>
      <c r="D1849" s="5">
        <v>3000000</v>
      </c>
      <c r="E1849" s="1">
        <v>1085317833</v>
      </c>
      <c r="F1849" s="1" t="s">
        <v>11</v>
      </c>
      <c r="G1849" s="1" t="s">
        <v>9</v>
      </c>
      <c r="H1849" t="e">
        <f>VLOOKUP(C1849,'[1]873'!$C$2:$C$711,1,0)</f>
        <v>#N/A</v>
      </c>
    </row>
    <row r="1850" spans="1:8" ht="15" customHeight="1" x14ac:dyDescent="0.25">
      <c r="A1850" s="2">
        <v>45832</v>
      </c>
      <c r="B1850" s="42">
        <v>2025001026</v>
      </c>
      <c r="C1850" t="s">
        <v>584</v>
      </c>
      <c r="D1850" s="11">
        <v>2500000</v>
      </c>
      <c r="E1850">
        <v>1085314334</v>
      </c>
      <c r="F1850" t="s">
        <v>585</v>
      </c>
      <c r="G1850" t="s">
        <v>565</v>
      </c>
      <c r="H1850" t="e">
        <f>VLOOKUP(C1850,'[1]873'!$C$2:$C$711,1,0)</f>
        <v>#N/A</v>
      </c>
    </row>
    <row r="1851" spans="1:8" ht="15" customHeight="1" x14ac:dyDescent="0.25">
      <c r="A1851" s="3">
        <v>45832</v>
      </c>
      <c r="B1851" s="41">
        <v>2025001027</v>
      </c>
      <c r="C1851" s="1" t="s">
        <v>536</v>
      </c>
      <c r="D1851" s="5">
        <v>6000000</v>
      </c>
      <c r="E1851" s="1">
        <v>97470681</v>
      </c>
      <c r="F1851" s="1" t="s">
        <v>329</v>
      </c>
      <c r="G1851" s="1" t="s">
        <v>9</v>
      </c>
      <c r="H1851" t="e">
        <f>VLOOKUP(C1851,'[1]873'!$C$2:$C$711,1,0)</f>
        <v>#N/A</v>
      </c>
    </row>
    <row r="1852" spans="1:8" ht="15" customHeight="1" x14ac:dyDescent="0.25">
      <c r="A1852" s="3">
        <v>45832</v>
      </c>
      <c r="B1852" s="41">
        <v>2025001028</v>
      </c>
      <c r="C1852" s="1" t="s">
        <v>501</v>
      </c>
      <c r="D1852" s="5">
        <v>7500000</v>
      </c>
      <c r="E1852" s="1">
        <v>1006946167</v>
      </c>
      <c r="F1852" s="1" t="s">
        <v>63</v>
      </c>
      <c r="G1852" s="1" t="s">
        <v>9</v>
      </c>
      <c r="H1852" t="e">
        <f>VLOOKUP(C1852,'[1]873'!$C$2:$C$711,1,0)</f>
        <v>#N/A</v>
      </c>
    </row>
    <row r="1853" spans="1:8" ht="15" customHeight="1" x14ac:dyDescent="0.25">
      <c r="A1853" s="3">
        <v>45832</v>
      </c>
      <c r="B1853" s="41">
        <v>2025001029</v>
      </c>
      <c r="C1853" s="1" t="s">
        <v>475</v>
      </c>
      <c r="D1853" s="5">
        <v>3000000</v>
      </c>
      <c r="E1853" s="1">
        <v>98382500</v>
      </c>
      <c r="F1853" s="1" t="s">
        <v>183</v>
      </c>
      <c r="G1853" s="1" t="s">
        <v>9</v>
      </c>
      <c r="H1853" t="e">
        <f>VLOOKUP(C1853,'[1]873'!$C$2:$C$711,1,0)</f>
        <v>#N/A</v>
      </c>
    </row>
    <row r="1854" spans="1:8" ht="15" customHeight="1" x14ac:dyDescent="0.25">
      <c r="A1854" s="3">
        <v>45832</v>
      </c>
      <c r="B1854" s="41">
        <v>2025001030</v>
      </c>
      <c r="C1854" s="1" t="s">
        <v>468</v>
      </c>
      <c r="D1854" s="5">
        <v>6000000</v>
      </c>
      <c r="E1854" s="1">
        <v>59837608</v>
      </c>
      <c r="F1854" s="1" t="s">
        <v>145</v>
      </c>
      <c r="G1854" s="1" t="s">
        <v>9</v>
      </c>
      <c r="H1854" t="e">
        <f>VLOOKUP(C1854,'[1]873'!$C$2:$C$711,1,0)</f>
        <v>#N/A</v>
      </c>
    </row>
    <row r="1855" spans="1:8" ht="15" customHeight="1" x14ac:dyDescent="0.25">
      <c r="A1855" s="3">
        <v>45832</v>
      </c>
      <c r="B1855" s="41">
        <v>2025001031</v>
      </c>
      <c r="C1855" s="1" t="s">
        <v>558</v>
      </c>
      <c r="D1855" s="5">
        <v>3000000</v>
      </c>
      <c r="E1855" s="1">
        <v>1088733625</v>
      </c>
      <c r="F1855" s="1" t="s">
        <v>559</v>
      </c>
      <c r="G1855" s="1" t="s">
        <v>9</v>
      </c>
      <c r="H1855" t="e">
        <f>VLOOKUP(C1855,'[1]873'!$C$2:$C$711,1,0)</f>
        <v>#N/A</v>
      </c>
    </row>
    <row r="1856" spans="1:8" ht="15" customHeight="1" x14ac:dyDescent="0.25">
      <c r="A1856" s="2">
        <v>45833</v>
      </c>
      <c r="B1856" s="42">
        <v>2025001036</v>
      </c>
      <c r="C1856" t="s">
        <v>582</v>
      </c>
      <c r="D1856" s="11">
        <v>1400000</v>
      </c>
      <c r="E1856">
        <v>1014212900</v>
      </c>
      <c r="F1856" t="s">
        <v>583</v>
      </c>
      <c r="G1856" t="s">
        <v>565</v>
      </c>
      <c r="H1856" t="e">
        <f>VLOOKUP(C1856,'[1]873'!$C$2:$C$711,1,0)</f>
        <v>#N/A</v>
      </c>
    </row>
    <row r="1857" spans="1:8" ht="15" customHeight="1" x14ac:dyDescent="0.25">
      <c r="A1857" s="3">
        <v>45834</v>
      </c>
      <c r="B1857" s="41">
        <v>2025001037</v>
      </c>
      <c r="C1857" s="1" t="s">
        <v>545</v>
      </c>
      <c r="D1857" s="5">
        <v>3000000</v>
      </c>
      <c r="E1857" s="1">
        <v>13069881</v>
      </c>
      <c r="F1857" s="1" t="s">
        <v>546</v>
      </c>
      <c r="G1857" s="1" t="s">
        <v>9</v>
      </c>
      <c r="H1857" t="e">
        <f>VLOOKUP(C1857,'[1]873'!$C$2:$C$711,1,0)</f>
        <v>#N/A</v>
      </c>
    </row>
    <row r="1858" spans="1:8" ht="15" customHeight="1" x14ac:dyDescent="0.25">
      <c r="A1858" s="3">
        <v>45834</v>
      </c>
      <c r="B1858" s="41">
        <v>2025001038</v>
      </c>
      <c r="C1858" s="1" t="s">
        <v>445</v>
      </c>
      <c r="D1858" s="5">
        <v>4750000</v>
      </c>
      <c r="E1858" s="1">
        <v>59824313</v>
      </c>
      <c r="F1858" s="1" t="s">
        <v>151</v>
      </c>
      <c r="G1858" s="1" t="s">
        <v>9</v>
      </c>
      <c r="H1858" t="e">
        <f>VLOOKUP(C1858,'[1]873'!$C$2:$C$711,1,0)</f>
        <v>#N/A</v>
      </c>
    </row>
    <row r="1859" spans="1:8" ht="15" customHeight="1" x14ac:dyDescent="0.25">
      <c r="A1859" s="3">
        <v>45834</v>
      </c>
      <c r="B1859" s="41">
        <v>2025001040</v>
      </c>
      <c r="C1859" s="1" t="s">
        <v>461</v>
      </c>
      <c r="D1859" s="5">
        <v>3000000</v>
      </c>
      <c r="E1859" s="1">
        <v>1004232508</v>
      </c>
      <c r="F1859" s="1" t="s">
        <v>109</v>
      </c>
      <c r="G1859" s="1" t="s">
        <v>9</v>
      </c>
      <c r="H1859" t="e">
        <f>VLOOKUP(C1859,'[1]873'!$C$2:$C$711,1,0)</f>
        <v>#N/A</v>
      </c>
    </row>
    <row r="1860" spans="1:8" ht="15" customHeight="1" x14ac:dyDescent="0.25">
      <c r="A1860" s="3">
        <v>45834</v>
      </c>
      <c r="B1860" s="41">
        <v>2025001041</v>
      </c>
      <c r="C1860" s="1" t="s">
        <v>462</v>
      </c>
      <c r="D1860" s="5">
        <v>4750000</v>
      </c>
      <c r="E1860" s="1">
        <v>59816986</v>
      </c>
      <c r="F1860" s="1" t="s">
        <v>415</v>
      </c>
      <c r="G1860" s="1" t="s">
        <v>9</v>
      </c>
      <c r="H1860" t="e">
        <f>VLOOKUP(C1860,'[1]873'!$C$2:$C$711,1,0)</f>
        <v>#N/A</v>
      </c>
    </row>
    <row r="1861" spans="1:8" ht="15" customHeight="1" x14ac:dyDescent="0.25">
      <c r="A1861" s="2">
        <v>45834</v>
      </c>
      <c r="B1861" s="42">
        <v>2025001042</v>
      </c>
      <c r="C1861" t="s">
        <v>586</v>
      </c>
      <c r="D1861" s="11">
        <v>6000000</v>
      </c>
      <c r="E1861">
        <v>1085245375</v>
      </c>
      <c r="F1861" t="s">
        <v>587</v>
      </c>
      <c r="G1861" t="s">
        <v>565</v>
      </c>
      <c r="H1861" t="e">
        <f>VLOOKUP(C1861,'[1]873'!$C$2:$C$711,1,0)</f>
        <v>#N/A</v>
      </c>
    </row>
    <row r="1862" spans="1:8" ht="15" customHeight="1" x14ac:dyDescent="0.25">
      <c r="A1862" s="3">
        <v>45834</v>
      </c>
      <c r="B1862" s="41">
        <v>2025001043</v>
      </c>
      <c r="C1862" s="1" t="s">
        <v>558</v>
      </c>
      <c r="D1862" s="5">
        <v>3000000</v>
      </c>
      <c r="E1862" s="1">
        <v>1088733625</v>
      </c>
      <c r="F1862" s="1" t="s">
        <v>559</v>
      </c>
      <c r="G1862" s="1" t="s">
        <v>9</v>
      </c>
      <c r="H1862" t="e">
        <f>VLOOKUP(C1862,'[1]873'!$C$2:$C$711,1,0)</f>
        <v>#N/A</v>
      </c>
    </row>
    <row r="1863" spans="1:8" ht="15" customHeight="1" x14ac:dyDescent="0.25">
      <c r="A1863" s="3">
        <v>45834</v>
      </c>
      <c r="B1863" s="41">
        <v>2025001044</v>
      </c>
      <c r="C1863" s="1" t="s">
        <v>472</v>
      </c>
      <c r="D1863" s="5">
        <v>3000000</v>
      </c>
      <c r="E1863" s="1">
        <v>1233188273</v>
      </c>
      <c r="F1863" s="1" t="s">
        <v>473</v>
      </c>
      <c r="G1863" s="1" t="s">
        <v>9</v>
      </c>
      <c r="H1863" t="e">
        <f>VLOOKUP(C1863,'[1]873'!$C$2:$C$711,1,0)</f>
        <v>#N/A</v>
      </c>
    </row>
    <row r="1864" spans="1:8" ht="15" customHeight="1" x14ac:dyDescent="0.25">
      <c r="A1864" s="3">
        <v>45834</v>
      </c>
      <c r="B1864" s="41">
        <v>2025001045</v>
      </c>
      <c r="C1864" s="1" t="s">
        <v>549</v>
      </c>
      <c r="D1864" s="5">
        <v>2500000</v>
      </c>
      <c r="E1864" s="1">
        <v>1233189896</v>
      </c>
      <c r="F1864" s="1" t="s">
        <v>279</v>
      </c>
      <c r="G1864" s="1" t="s">
        <v>9</v>
      </c>
      <c r="H1864" t="e">
        <f>VLOOKUP(C1864,'[1]873'!$C$2:$C$711,1,0)</f>
        <v>#N/A</v>
      </c>
    </row>
    <row r="1865" spans="1:8" ht="15" customHeight="1" x14ac:dyDescent="0.25">
      <c r="A1865" s="3">
        <v>45834</v>
      </c>
      <c r="B1865" s="41">
        <v>2025001047</v>
      </c>
      <c r="C1865" s="1" t="s">
        <v>480</v>
      </c>
      <c r="D1865" s="5">
        <v>4750000</v>
      </c>
      <c r="E1865" s="1">
        <v>1085331141</v>
      </c>
      <c r="F1865" s="1" t="s">
        <v>481</v>
      </c>
      <c r="G1865" s="1" t="s">
        <v>9</v>
      </c>
      <c r="H1865" t="e">
        <f>VLOOKUP(C1865,'[1]873'!$C$2:$C$711,1,0)</f>
        <v>#N/A</v>
      </c>
    </row>
    <row r="1866" spans="1:8" ht="15" customHeight="1" x14ac:dyDescent="0.25">
      <c r="A1866" s="3">
        <v>45834</v>
      </c>
      <c r="B1866" s="41">
        <v>2025001048</v>
      </c>
      <c r="C1866" s="1" t="s">
        <v>484</v>
      </c>
      <c r="D1866" s="5">
        <v>3000000</v>
      </c>
      <c r="E1866" s="1">
        <v>37083324</v>
      </c>
      <c r="F1866" s="1" t="s">
        <v>485</v>
      </c>
      <c r="G1866" s="1" t="s">
        <v>9</v>
      </c>
      <c r="H1866" t="e">
        <f>VLOOKUP(C1866,'[1]873'!$C$2:$C$711,1,0)</f>
        <v>#N/A</v>
      </c>
    </row>
    <row r="1867" spans="1:8" ht="15" customHeight="1" x14ac:dyDescent="0.25">
      <c r="A1867" s="3">
        <v>45834</v>
      </c>
      <c r="B1867" s="41">
        <v>2025001049</v>
      </c>
      <c r="C1867" s="1" t="s">
        <v>444</v>
      </c>
      <c r="D1867" s="5">
        <v>3000000</v>
      </c>
      <c r="E1867" s="1">
        <v>1004234290</v>
      </c>
      <c r="F1867" s="1" t="s">
        <v>237</v>
      </c>
      <c r="G1867" s="1" t="s">
        <v>9</v>
      </c>
      <c r="H1867" t="e">
        <f>VLOOKUP(C1867,'[1]873'!$C$2:$C$711,1,0)</f>
        <v>#N/A</v>
      </c>
    </row>
    <row r="1868" spans="1:8" ht="15" customHeight="1" x14ac:dyDescent="0.25">
      <c r="A1868" s="3">
        <v>45834</v>
      </c>
      <c r="B1868" s="41">
        <v>2025001050</v>
      </c>
      <c r="C1868" s="1" t="s">
        <v>554</v>
      </c>
      <c r="D1868" s="5">
        <v>3000000</v>
      </c>
      <c r="E1868" s="1">
        <v>1081572043</v>
      </c>
      <c r="F1868" s="1" t="s">
        <v>555</v>
      </c>
      <c r="G1868" s="1" t="s">
        <v>9</v>
      </c>
      <c r="H1868" t="e">
        <f>VLOOKUP(C1868,'[1]873'!$C$2:$C$711,1,0)</f>
        <v>#N/A</v>
      </c>
    </row>
    <row r="1869" spans="1:8" ht="15" customHeight="1" x14ac:dyDescent="0.25">
      <c r="A1869" s="2">
        <v>45834</v>
      </c>
      <c r="B1869" s="42">
        <v>2025001052</v>
      </c>
      <c r="C1869" t="s">
        <v>570</v>
      </c>
      <c r="D1869" s="11">
        <v>4750000</v>
      </c>
      <c r="E1869">
        <v>27087475</v>
      </c>
      <c r="F1869" t="s">
        <v>571</v>
      </c>
      <c r="G1869" t="s">
        <v>565</v>
      </c>
      <c r="H1869" t="e">
        <f>VLOOKUP(C1869,'[1]873'!$C$2:$C$711,1,0)</f>
        <v>#N/A</v>
      </c>
    </row>
    <row r="1870" spans="1:8" ht="15" customHeight="1" x14ac:dyDescent="0.25">
      <c r="A1870" s="3">
        <v>45834</v>
      </c>
      <c r="B1870" s="41">
        <v>2025001053</v>
      </c>
      <c r="C1870" s="1" t="s">
        <v>560</v>
      </c>
      <c r="D1870" s="5">
        <v>400000</v>
      </c>
      <c r="E1870" s="1">
        <v>1085324685</v>
      </c>
      <c r="F1870" s="1" t="s">
        <v>561</v>
      </c>
      <c r="G1870" s="1" t="s">
        <v>9</v>
      </c>
      <c r="H1870" t="e">
        <f>VLOOKUP(C1870,'[1]873'!$C$2:$C$711,1,0)</f>
        <v>#N/A</v>
      </c>
    </row>
    <row r="1871" spans="1:8" ht="15" customHeight="1" x14ac:dyDescent="0.25">
      <c r="A1871" s="3">
        <v>45834</v>
      </c>
      <c r="B1871" s="41">
        <v>2025001054</v>
      </c>
      <c r="C1871" s="1" t="s">
        <v>519</v>
      </c>
      <c r="D1871" s="5">
        <v>2500000</v>
      </c>
      <c r="E1871" s="1">
        <v>37087268</v>
      </c>
      <c r="F1871" s="1" t="s">
        <v>257</v>
      </c>
      <c r="G1871" s="1" t="s">
        <v>9</v>
      </c>
      <c r="H1871" t="e">
        <f>VLOOKUP(C1871,'[1]873'!$C$2:$C$711,1,0)</f>
        <v>#N/A</v>
      </c>
    </row>
    <row r="1872" spans="1:8" ht="15" customHeight="1" x14ac:dyDescent="0.25">
      <c r="A1872" s="3">
        <v>45834</v>
      </c>
      <c r="B1872" s="41">
        <v>2025001055</v>
      </c>
      <c r="C1872" s="1" t="s">
        <v>538</v>
      </c>
      <c r="D1872" s="5">
        <v>2500000</v>
      </c>
      <c r="E1872" s="1">
        <v>27087720</v>
      </c>
      <c r="F1872" s="1" t="s">
        <v>539</v>
      </c>
      <c r="G1872" s="1" t="s">
        <v>9</v>
      </c>
      <c r="H1872" t="e">
        <f>VLOOKUP(C1872,'[1]873'!$C$2:$C$711,1,0)</f>
        <v>#N/A</v>
      </c>
    </row>
    <row r="1873" spans="1:8" ht="15" customHeight="1" x14ac:dyDescent="0.25">
      <c r="A1873" s="3">
        <v>45834</v>
      </c>
      <c r="B1873" s="41">
        <v>2025001056</v>
      </c>
      <c r="C1873" s="1" t="s">
        <v>458</v>
      </c>
      <c r="D1873" s="5">
        <v>3000000</v>
      </c>
      <c r="E1873" s="1">
        <v>1010082397</v>
      </c>
      <c r="F1873" s="1" t="s">
        <v>209</v>
      </c>
      <c r="G1873" s="1" t="s">
        <v>9</v>
      </c>
      <c r="H1873" t="e">
        <f>VLOOKUP(C1873,'[1]873'!$C$2:$C$711,1,0)</f>
        <v>#N/A</v>
      </c>
    </row>
    <row r="1874" spans="1:8" ht="15" customHeight="1" x14ac:dyDescent="0.25">
      <c r="A1874" s="3">
        <v>45834</v>
      </c>
      <c r="B1874" s="41">
        <v>2025001057</v>
      </c>
      <c r="C1874" s="1" t="s">
        <v>452</v>
      </c>
      <c r="D1874" s="5">
        <v>6000000</v>
      </c>
      <c r="E1874" s="1">
        <v>36757221</v>
      </c>
      <c r="F1874" s="1" t="s">
        <v>453</v>
      </c>
      <c r="G1874" s="1" t="s">
        <v>9</v>
      </c>
      <c r="H1874" t="e">
        <f>VLOOKUP(C1874,'[1]873'!$C$2:$C$711,1,0)</f>
        <v>#N/A</v>
      </c>
    </row>
    <row r="1875" spans="1:8" ht="15" customHeight="1" x14ac:dyDescent="0.25">
      <c r="A1875" s="3">
        <v>45834</v>
      </c>
      <c r="B1875" s="41">
        <v>2025001063</v>
      </c>
      <c r="C1875" s="1" t="s">
        <v>550</v>
      </c>
      <c r="D1875" s="5">
        <v>3000000</v>
      </c>
      <c r="E1875" s="1">
        <v>69028150</v>
      </c>
      <c r="F1875" s="1" t="s">
        <v>171</v>
      </c>
      <c r="G1875" s="1" t="s">
        <v>9</v>
      </c>
      <c r="H1875" t="e">
        <f>VLOOKUP(C1875,'[1]873'!$C$2:$C$711,1,0)</f>
        <v>#N/A</v>
      </c>
    </row>
    <row r="1876" spans="1:8" ht="15" customHeight="1" x14ac:dyDescent="0.25">
      <c r="A1876" s="3">
        <v>45834</v>
      </c>
      <c r="B1876" s="41">
        <v>2025001064</v>
      </c>
      <c r="C1876" s="1" t="s">
        <v>512</v>
      </c>
      <c r="D1876" s="5">
        <v>4750000</v>
      </c>
      <c r="E1876" s="1">
        <v>1085313870</v>
      </c>
      <c r="F1876" s="1" t="s">
        <v>513</v>
      </c>
      <c r="G1876" s="1" t="s">
        <v>9</v>
      </c>
      <c r="H1876" t="e">
        <f>VLOOKUP(C1876,'[1]873'!$C$2:$C$711,1,0)</f>
        <v>#N/A</v>
      </c>
    </row>
    <row r="1877" spans="1:8" ht="15" customHeight="1" x14ac:dyDescent="0.25">
      <c r="A1877" s="3">
        <v>45834</v>
      </c>
      <c r="B1877" s="41">
        <v>2025001065</v>
      </c>
      <c r="C1877" s="1" t="s">
        <v>508</v>
      </c>
      <c r="D1877" s="5">
        <v>4825000</v>
      </c>
      <c r="E1877" s="1">
        <v>1085324891</v>
      </c>
      <c r="F1877" s="1" t="s">
        <v>509</v>
      </c>
      <c r="G1877" s="1" t="s">
        <v>9</v>
      </c>
      <c r="H1877" t="e">
        <f>VLOOKUP(C1877,'[1]873'!$C$2:$C$711,1,0)</f>
        <v>#N/A</v>
      </c>
    </row>
    <row r="1878" spans="1:8" ht="15" customHeight="1" x14ac:dyDescent="0.25">
      <c r="A1878" s="3">
        <v>45834</v>
      </c>
      <c r="B1878" s="41">
        <v>2025001067</v>
      </c>
      <c r="C1878" s="1" t="s">
        <v>533</v>
      </c>
      <c r="D1878" s="5">
        <v>2500000</v>
      </c>
      <c r="E1878" s="1">
        <v>12974849</v>
      </c>
      <c r="F1878" s="1" t="s">
        <v>51</v>
      </c>
      <c r="G1878" s="1" t="s">
        <v>9</v>
      </c>
      <c r="H1878" t="e">
        <f>VLOOKUP(C1878,'[1]873'!$C$2:$C$711,1,0)</f>
        <v>#N/A</v>
      </c>
    </row>
    <row r="1879" spans="1:8" ht="15" customHeight="1" x14ac:dyDescent="0.25">
      <c r="A1879" s="2">
        <v>45834</v>
      </c>
      <c r="B1879" s="42">
        <v>2025001068</v>
      </c>
      <c r="C1879" t="s">
        <v>577</v>
      </c>
      <c r="D1879" s="11">
        <v>2500000</v>
      </c>
      <c r="E1879">
        <v>1233188479</v>
      </c>
      <c r="F1879" t="s">
        <v>578</v>
      </c>
      <c r="G1879" t="s">
        <v>565</v>
      </c>
      <c r="H1879" t="e">
        <f>VLOOKUP(C1879,'[1]873'!$C$2:$C$711,1,0)</f>
        <v>#N/A</v>
      </c>
    </row>
    <row r="1880" spans="1:8" ht="15" customHeight="1" x14ac:dyDescent="0.25">
      <c r="A1880" s="3">
        <v>45834</v>
      </c>
      <c r="B1880" s="41">
        <v>2025001069</v>
      </c>
      <c r="C1880" s="1" t="s">
        <v>497</v>
      </c>
      <c r="D1880" s="5">
        <v>4750000</v>
      </c>
      <c r="E1880" s="1">
        <v>59312865</v>
      </c>
      <c r="F1880" s="1" t="s">
        <v>127</v>
      </c>
      <c r="G1880" s="1" t="s">
        <v>9</v>
      </c>
      <c r="H1880" t="e">
        <f>VLOOKUP(C1880,'[1]873'!$C$2:$C$711,1,0)</f>
        <v>#N/A</v>
      </c>
    </row>
    <row r="1881" spans="1:8" ht="15" customHeight="1" x14ac:dyDescent="0.25">
      <c r="A1881" s="3">
        <v>45834</v>
      </c>
      <c r="B1881" s="41">
        <v>2025001070</v>
      </c>
      <c r="C1881" s="1" t="s">
        <v>526</v>
      </c>
      <c r="D1881" s="5">
        <v>6000000</v>
      </c>
      <c r="E1881" s="1">
        <v>1085275879</v>
      </c>
      <c r="F1881" s="1" t="s">
        <v>117</v>
      </c>
      <c r="G1881" s="1" t="s">
        <v>9</v>
      </c>
      <c r="H1881" t="e">
        <f>VLOOKUP(C1881,'[1]873'!$C$2:$C$711,1,0)</f>
        <v>#N/A</v>
      </c>
    </row>
    <row r="1882" spans="1:8" ht="15" customHeight="1" x14ac:dyDescent="0.25">
      <c r="A1882" s="3">
        <v>45834</v>
      </c>
      <c r="B1882" s="41">
        <v>2025001071</v>
      </c>
      <c r="C1882" s="1" t="s">
        <v>541</v>
      </c>
      <c r="D1882" s="5">
        <v>2500000</v>
      </c>
      <c r="E1882" s="1">
        <v>1085320930</v>
      </c>
      <c r="F1882" s="1" t="s">
        <v>259</v>
      </c>
      <c r="G1882" s="1" t="s">
        <v>9</v>
      </c>
      <c r="H1882" t="e">
        <f>VLOOKUP(C1882,'[1]873'!$C$2:$C$711,1,0)</f>
        <v>#N/A</v>
      </c>
    </row>
    <row r="1883" spans="1:8" ht="15" customHeight="1" x14ac:dyDescent="0.25">
      <c r="A1883" s="3">
        <v>45841</v>
      </c>
      <c r="B1883" s="41">
        <v>2025001101</v>
      </c>
      <c r="C1883" s="1" t="s">
        <v>446</v>
      </c>
      <c r="D1883" s="5">
        <v>4825000</v>
      </c>
      <c r="E1883" s="1">
        <v>12748383</v>
      </c>
      <c r="F1883" s="1" t="s">
        <v>447</v>
      </c>
      <c r="G1883" s="1" t="s">
        <v>9</v>
      </c>
      <c r="H1883" t="e">
        <f>VLOOKUP(C1883,'[1]873'!$C$2:$C$711,1,0)</f>
        <v>#N/A</v>
      </c>
    </row>
    <row r="1884" spans="1:8" ht="15" customHeight="1" x14ac:dyDescent="0.25">
      <c r="A1884" s="3">
        <v>45841</v>
      </c>
      <c r="B1884" s="41">
        <v>2025001102</v>
      </c>
      <c r="C1884" s="1" t="s">
        <v>454</v>
      </c>
      <c r="D1884" s="5">
        <v>3000000</v>
      </c>
      <c r="E1884" s="1">
        <v>1086223299</v>
      </c>
      <c r="F1884" s="1" t="s">
        <v>455</v>
      </c>
      <c r="G1884" s="1" t="s">
        <v>9</v>
      </c>
      <c r="H1884" t="e">
        <f>VLOOKUP(C1884,'[1]873'!$C$2:$C$711,1,0)</f>
        <v>#N/A</v>
      </c>
    </row>
    <row r="1885" spans="1:8" ht="15" customHeight="1" x14ac:dyDescent="0.25">
      <c r="A1885" s="3">
        <v>45842</v>
      </c>
      <c r="B1885" s="41">
        <v>2025001103</v>
      </c>
      <c r="C1885" s="1" t="s">
        <v>456</v>
      </c>
      <c r="D1885" s="5">
        <v>6000000</v>
      </c>
      <c r="E1885" s="1">
        <v>59820414</v>
      </c>
      <c r="F1885" s="1" t="s">
        <v>457</v>
      </c>
      <c r="G1885" s="1" t="s">
        <v>9</v>
      </c>
      <c r="H1885" t="e">
        <f>VLOOKUP(C1885,'[1]873'!$C$2:$C$711,1,0)</f>
        <v>#N/A</v>
      </c>
    </row>
    <row r="1886" spans="1:8" ht="15" customHeight="1" x14ac:dyDescent="0.25">
      <c r="A1886" s="3">
        <v>45842</v>
      </c>
      <c r="B1886" s="41">
        <v>2025001104</v>
      </c>
      <c r="C1886" s="1" t="s">
        <v>451</v>
      </c>
      <c r="D1886" s="5">
        <v>3000000</v>
      </c>
      <c r="E1886" s="1">
        <v>37084285</v>
      </c>
      <c r="F1886" s="1" t="s">
        <v>119</v>
      </c>
      <c r="G1886" s="1" t="s">
        <v>9</v>
      </c>
      <c r="H1886" t="e">
        <f>VLOOKUP(C1886,'[1]873'!$C$2:$C$711,1,0)</f>
        <v>#N/A</v>
      </c>
    </row>
    <row r="1887" spans="1:8" ht="15" customHeight="1" x14ac:dyDescent="0.25">
      <c r="A1887" s="2">
        <v>45842</v>
      </c>
      <c r="B1887" s="42">
        <v>2025001105</v>
      </c>
      <c r="C1887" t="s">
        <v>588</v>
      </c>
      <c r="D1887" s="11">
        <v>3000000</v>
      </c>
      <c r="E1887">
        <v>1085314138</v>
      </c>
      <c r="F1887" t="s">
        <v>589</v>
      </c>
      <c r="G1887" t="s">
        <v>565</v>
      </c>
      <c r="H1887" t="e">
        <f>VLOOKUP(C1887,'[1]873'!$C$2:$C$711,1,0)</f>
        <v>#N/A</v>
      </c>
    </row>
    <row r="1888" spans="1:8" ht="15" customHeight="1" x14ac:dyDescent="0.25">
      <c r="A1888" s="3">
        <v>45842</v>
      </c>
      <c r="B1888" s="41">
        <v>2025001107</v>
      </c>
      <c r="C1888" s="1" t="s">
        <v>478</v>
      </c>
      <c r="D1888" s="5">
        <v>3000000</v>
      </c>
      <c r="E1888" s="1">
        <v>1085326791</v>
      </c>
      <c r="F1888" s="1" t="s">
        <v>479</v>
      </c>
      <c r="G1888" s="1" t="s">
        <v>9</v>
      </c>
      <c r="H1888" t="e">
        <f>VLOOKUP(C1888,'[1]873'!$C$2:$C$711,1,0)</f>
        <v>#N/A</v>
      </c>
    </row>
    <row r="1889" spans="1:8" ht="15" customHeight="1" x14ac:dyDescent="0.25">
      <c r="A1889" s="3">
        <v>45842</v>
      </c>
      <c r="B1889" s="41">
        <v>2025001108</v>
      </c>
      <c r="C1889" s="1" t="s">
        <v>495</v>
      </c>
      <c r="D1889" s="5">
        <v>3000000</v>
      </c>
      <c r="E1889" s="1">
        <v>27436186</v>
      </c>
      <c r="F1889" s="1" t="s">
        <v>496</v>
      </c>
      <c r="G1889" s="1" t="s">
        <v>9</v>
      </c>
      <c r="H1889" t="e">
        <f>VLOOKUP(C1889,'[1]873'!$C$2:$C$711,1,0)</f>
        <v>#N/A</v>
      </c>
    </row>
    <row r="1890" spans="1:8" ht="15" customHeight="1" x14ac:dyDescent="0.25">
      <c r="A1890" s="3">
        <v>45842</v>
      </c>
      <c r="B1890" s="41">
        <v>2025001109</v>
      </c>
      <c r="C1890" s="1" t="s">
        <v>529</v>
      </c>
      <c r="D1890" s="5">
        <v>4750000</v>
      </c>
      <c r="E1890" s="1">
        <v>27190772</v>
      </c>
      <c r="F1890" s="1" t="s">
        <v>530</v>
      </c>
      <c r="G1890" s="1" t="s">
        <v>9</v>
      </c>
      <c r="H1890" t="e">
        <f>VLOOKUP(C1890,'[1]873'!$C$2:$C$711,1,0)</f>
        <v>#N/A</v>
      </c>
    </row>
    <row r="1891" spans="1:8" ht="15" customHeight="1" x14ac:dyDescent="0.25">
      <c r="A1891" s="3">
        <v>45842</v>
      </c>
      <c r="B1891" s="41">
        <v>2025001110</v>
      </c>
      <c r="C1891" s="1" t="s">
        <v>553</v>
      </c>
      <c r="D1891" s="5">
        <v>3000000</v>
      </c>
      <c r="E1891" s="1">
        <v>1085339190</v>
      </c>
      <c r="F1891" s="1" t="s">
        <v>149</v>
      </c>
      <c r="G1891" s="1" t="s">
        <v>9</v>
      </c>
      <c r="H1891" t="e">
        <f>VLOOKUP(C1891,'[1]873'!$C$2:$C$711,1,0)</f>
        <v>#N/A</v>
      </c>
    </row>
    <row r="1892" spans="1:8" ht="15" customHeight="1" x14ac:dyDescent="0.25">
      <c r="A1892" s="3">
        <v>45842</v>
      </c>
      <c r="B1892" s="41">
        <v>2025001111</v>
      </c>
      <c r="C1892" s="1" t="s">
        <v>547</v>
      </c>
      <c r="D1892" s="5">
        <v>3000000</v>
      </c>
      <c r="E1892" s="1">
        <v>1082747438</v>
      </c>
      <c r="F1892" s="1" t="s">
        <v>548</v>
      </c>
      <c r="G1892" s="1" t="s">
        <v>9</v>
      </c>
      <c r="H1892" t="e">
        <f>VLOOKUP(C1892,'[1]873'!$C$2:$C$711,1,0)</f>
        <v>#N/A</v>
      </c>
    </row>
    <row r="1893" spans="1:8" ht="15" customHeight="1" x14ac:dyDescent="0.25">
      <c r="A1893" s="2">
        <v>45842</v>
      </c>
      <c r="B1893" s="42">
        <v>2025001112</v>
      </c>
      <c r="C1893" t="s">
        <v>590</v>
      </c>
      <c r="D1893" s="11">
        <v>7500000</v>
      </c>
      <c r="E1893">
        <v>1233192708</v>
      </c>
      <c r="F1893" t="s">
        <v>591</v>
      </c>
      <c r="G1893" t="s">
        <v>565</v>
      </c>
      <c r="H1893" t="e">
        <f>VLOOKUP(C1893,'[1]873'!$C$2:$C$711,1,0)</f>
        <v>#N/A</v>
      </c>
    </row>
    <row r="1894" spans="1:8" ht="15" customHeight="1" x14ac:dyDescent="0.25">
      <c r="A1894" s="3">
        <v>45842</v>
      </c>
      <c r="B1894" s="41">
        <v>2025001113</v>
      </c>
      <c r="C1894" s="1" t="s">
        <v>449</v>
      </c>
      <c r="D1894" s="5">
        <v>6000000</v>
      </c>
      <c r="E1894" s="1">
        <v>1082748420</v>
      </c>
      <c r="F1894" s="1" t="s">
        <v>450</v>
      </c>
      <c r="G1894" s="1" t="s">
        <v>9</v>
      </c>
      <c r="H1894" t="e">
        <f>VLOOKUP(C1894,'[1]873'!$C$2:$C$711,1,0)</f>
        <v>#N/A</v>
      </c>
    </row>
    <row r="1895" spans="1:8" ht="15" customHeight="1" x14ac:dyDescent="0.25">
      <c r="A1895" s="2">
        <v>45842</v>
      </c>
      <c r="B1895" s="42">
        <v>2025001121</v>
      </c>
      <c r="C1895" t="s">
        <v>573</v>
      </c>
      <c r="D1895" s="11">
        <v>3000000</v>
      </c>
      <c r="E1895">
        <v>1085286725</v>
      </c>
      <c r="F1895" t="s">
        <v>111</v>
      </c>
      <c r="G1895" t="s">
        <v>565</v>
      </c>
      <c r="H1895" t="e">
        <f>VLOOKUP(C1895,'[1]873'!$C$2:$C$711,1,0)</f>
        <v>#N/A</v>
      </c>
    </row>
    <row r="1896" spans="1:8" ht="15" customHeight="1" x14ac:dyDescent="0.25">
      <c r="A1896" s="2">
        <v>45842</v>
      </c>
      <c r="B1896" s="42">
        <v>2025001122</v>
      </c>
      <c r="C1896" t="s">
        <v>576</v>
      </c>
      <c r="D1896" s="11">
        <v>3000000</v>
      </c>
      <c r="E1896">
        <v>59813323</v>
      </c>
      <c r="F1896" t="s">
        <v>103</v>
      </c>
      <c r="G1896" t="s">
        <v>565</v>
      </c>
      <c r="H1896" t="e">
        <f>VLOOKUP(C1896,'[1]873'!$C$2:$C$711,1,0)</f>
        <v>#N/A</v>
      </c>
    </row>
    <row r="1897" spans="1:8" ht="15" customHeight="1" x14ac:dyDescent="0.25">
      <c r="A1897" s="3">
        <v>45842</v>
      </c>
      <c r="B1897" s="41">
        <v>2025001123</v>
      </c>
      <c r="C1897" s="1" t="s">
        <v>514</v>
      </c>
      <c r="D1897" s="5">
        <v>4825000</v>
      </c>
      <c r="E1897" s="1">
        <v>27088141</v>
      </c>
      <c r="F1897" s="1" t="s">
        <v>515</v>
      </c>
      <c r="G1897" s="1" t="s">
        <v>9</v>
      </c>
      <c r="H1897" t="e">
        <f>VLOOKUP(C1897,'[1]873'!$C$2:$C$711,1,0)</f>
        <v>#N/A</v>
      </c>
    </row>
    <row r="1898" spans="1:8" ht="15" customHeight="1" x14ac:dyDescent="0.25">
      <c r="A1898" s="3">
        <v>45842</v>
      </c>
      <c r="B1898" s="41">
        <v>2025001126</v>
      </c>
      <c r="C1898" s="1" t="s">
        <v>531</v>
      </c>
      <c r="D1898" s="5">
        <v>4750000</v>
      </c>
      <c r="E1898" s="1">
        <v>13069636</v>
      </c>
      <c r="F1898" s="1" t="s">
        <v>532</v>
      </c>
      <c r="G1898" s="1" t="s">
        <v>9</v>
      </c>
      <c r="H1898" t="e">
        <f>VLOOKUP(C1898,'[1]873'!$C$2:$C$711,1,0)</f>
        <v>#N/A</v>
      </c>
    </row>
    <row r="1899" spans="1:8" ht="15" customHeight="1" x14ac:dyDescent="0.25">
      <c r="A1899" s="3">
        <v>45842</v>
      </c>
      <c r="B1899" s="41">
        <v>2025001127</v>
      </c>
      <c r="C1899" s="1" t="s">
        <v>522</v>
      </c>
      <c r="D1899" s="5">
        <v>3000000</v>
      </c>
      <c r="E1899" s="1">
        <v>1233191675</v>
      </c>
      <c r="F1899" s="1" t="s">
        <v>523</v>
      </c>
      <c r="G1899" s="1" t="s">
        <v>9</v>
      </c>
      <c r="H1899" t="e">
        <f>VLOOKUP(C1899,'[1]873'!$C$2:$C$711,1,0)</f>
        <v>#N/A</v>
      </c>
    </row>
    <row r="1900" spans="1:8" ht="15" customHeight="1" x14ac:dyDescent="0.25">
      <c r="A1900" s="3">
        <v>45842</v>
      </c>
      <c r="B1900" s="41">
        <v>2025001128</v>
      </c>
      <c r="C1900" s="1" t="s">
        <v>551</v>
      </c>
      <c r="D1900" s="5">
        <v>3000000</v>
      </c>
      <c r="E1900" s="1">
        <v>1004598784</v>
      </c>
      <c r="F1900" s="1" t="s">
        <v>552</v>
      </c>
      <c r="G1900" s="1" t="s">
        <v>9</v>
      </c>
      <c r="H1900" t="e">
        <f>VLOOKUP(C1900,'[1]873'!$C$2:$C$711,1,0)</f>
        <v>#N/A</v>
      </c>
    </row>
    <row r="1901" spans="1:8" ht="15" customHeight="1" x14ac:dyDescent="0.25">
      <c r="A1901" s="3">
        <v>45842</v>
      </c>
      <c r="B1901" s="41">
        <v>2025001129</v>
      </c>
      <c r="C1901" s="1" t="s">
        <v>503</v>
      </c>
      <c r="D1901" s="5">
        <v>3000000</v>
      </c>
      <c r="E1901" s="1">
        <v>30743783</v>
      </c>
      <c r="F1901" s="1" t="s">
        <v>504</v>
      </c>
      <c r="G1901" s="1" t="s">
        <v>9</v>
      </c>
      <c r="H1901" t="e">
        <f>VLOOKUP(C1901,'[1]873'!$C$2:$C$711,1,0)</f>
        <v>#N/A</v>
      </c>
    </row>
    <row r="1902" spans="1:8" ht="15" customHeight="1" x14ac:dyDescent="0.25">
      <c r="A1902" s="3">
        <v>45842</v>
      </c>
      <c r="B1902" s="41">
        <v>2025001130</v>
      </c>
      <c r="C1902" s="1" t="s">
        <v>506</v>
      </c>
      <c r="D1902" s="5">
        <v>3000000</v>
      </c>
      <c r="E1902" s="1">
        <v>1004535234</v>
      </c>
      <c r="F1902" s="1" t="s">
        <v>507</v>
      </c>
      <c r="G1902" s="1" t="s">
        <v>9</v>
      </c>
      <c r="H1902" t="e">
        <f>VLOOKUP(C1902,'[1]873'!$C$2:$C$711,1,0)</f>
        <v>#N/A</v>
      </c>
    </row>
    <row r="1903" spans="1:8" ht="15" customHeight="1" x14ac:dyDescent="0.25">
      <c r="A1903" s="3">
        <v>45846</v>
      </c>
      <c r="B1903" s="41">
        <v>2025001185</v>
      </c>
      <c r="C1903" s="1" t="s">
        <v>542</v>
      </c>
      <c r="D1903" s="5">
        <v>2500000</v>
      </c>
      <c r="E1903" s="1">
        <v>1088729401</v>
      </c>
      <c r="F1903" s="1" t="s">
        <v>543</v>
      </c>
      <c r="G1903" s="1" t="s">
        <v>9</v>
      </c>
      <c r="H1903" t="e">
        <f>VLOOKUP(C1903,'[1]873'!$C$2:$C$711,1,0)</f>
        <v>#N/A</v>
      </c>
    </row>
    <row r="1904" spans="1:8" ht="15" customHeight="1" x14ac:dyDescent="0.25">
      <c r="A1904" s="2">
        <v>45846</v>
      </c>
      <c r="B1904" s="42">
        <v>2025001186</v>
      </c>
      <c r="C1904" t="s">
        <v>582</v>
      </c>
      <c r="D1904" s="11">
        <v>6000000</v>
      </c>
      <c r="E1904">
        <v>1014212900</v>
      </c>
      <c r="F1904" t="s">
        <v>583</v>
      </c>
      <c r="G1904" t="s">
        <v>565</v>
      </c>
      <c r="H1904" t="e">
        <f>VLOOKUP(C1904,'[1]873'!$C$2:$C$711,1,0)</f>
        <v>#N/A</v>
      </c>
    </row>
    <row r="1905" spans="1:8" ht="15" customHeight="1" x14ac:dyDescent="0.25">
      <c r="A1905" s="2">
        <v>45846</v>
      </c>
      <c r="B1905" s="42">
        <v>2025001187</v>
      </c>
      <c r="C1905" t="s">
        <v>579</v>
      </c>
      <c r="D1905" s="11">
        <v>3000000</v>
      </c>
      <c r="E1905">
        <v>1004437571</v>
      </c>
      <c r="F1905" t="s">
        <v>580</v>
      </c>
      <c r="G1905" t="s">
        <v>565</v>
      </c>
      <c r="H1905" t="e">
        <f>VLOOKUP(C1905,'[1]873'!$C$2:$C$711,1,0)</f>
        <v>#N/A</v>
      </c>
    </row>
    <row r="1906" spans="1:8" ht="15" customHeight="1" x14ac:dyDescent="0.25">
      <c r="A1906" s="2">
        <v>45846</v>
      </c>
      <c r="B1906" s="42">
        <v>2025001188</v>
      </c>
      <c r="C1906" t="s">
        <v>590</v>
      </c>
      <c r="D1906" s="11">
        <v>7500000</v>
      </c>
      <c r="E1906">
        <v>1233192708</v>
      </c>
      <c r="F1906" t="s">
        <v>591</v>
      </c>
      <c r="G1906" t="s">
        <v>565</v>
      </c>
      <c r="H1906" t="e">
        <f>VLOOKUP(C1906,'[1]873'!$C$2:$C$711,1,0)</f>
        <v>#N/A</v>
      </c>
    </row>
    <row r="1907" spans="1:8" ht="15" customHeight="1" x14ac:dyDescent="0.25">
      <c r="A1907" s="3">
        <v>45846</v>
      </c>
      <c r="B1907" s="41">
        <v>2025001190</v>
      </c>
      <c r="C1907" s="1" t="s">
        <v>486</v>
      </c>
      <c r="D1907" s="5">
        <v>2500000</v>
      </c>
      <c r="E1907" s="1">
        <v>1085347173</v>
      </c>
      <c r="F1907" s="1" t="s">
        <v>487</v>
      </c>
      <c r="G1907" s="1" t="s">
        <v>9</v>
      </c>
      <c r="H1907" t="e">
        <f>VLOOKUP(C1907,'[1]873'!$C$2:$C$711,1,0)</f>
        <v>#N/A</v>
      </c>
    </row>
    <row r="1908" spans="1:8" ht="15" customHeight="1" x14ac:dyDescent="0.25">
      <c r="A1908" s="3">
        <v>45847</v>
      </c>
      <c r="B1908" s="41">
        <v>2025001195</v>
      </c>
      <c r="C1908" s="1" t="s">
        <v>556</v>
      </c>
      <c r="D1908" s="5">
        <v>2500000</v>
      </c>
      <c r="E1908" s="1">
        <v>30736949</v>
      </c>
      <c r="F1908" s="1" t="s">
        <v>557</v>
      </c>
      <c r="G1908" s="1" t="s">
        <v>9</v>
      </c>
      <c r="H1908" t="e">
        <f>VLOOKUP(C1908,'[1]873'!$C$2:$C$711,1,0)</f>
        <v>#N/A</v>
      </c>
    </row>
    <row r="1909" spans="1:8" ht="15" customHeight="1" x14ac:dyDescent="0.25">
      <c r="A1909" s="2">
        <v>45847</v>
      </c>
      <c r="B1909" s="42">
        <v>2025001196</v>
      </c>
      <c r="C1909" t="s">
        <v>592</v>
      </c>
      <c r="D1909" s="11">
        <v>6000000</v>
      </c>
      <c r="E1909">
        <v>36954410</v>
      </c>
      <c r="F1909" t="s">
        <v>343</v>
      </c>
      <c r="G1909" t="s">
        <v>565</v>
      </c>
      <c r="H1909" t="e">
        <f>VLOOKUP(C1909,'[1]873'!$C$2:$C$711,1,0)</f>
        <v>#N/A</v>
      </c>
    </row>
    <row r="1910" spans="1:8" ht="15" customHeight="1" x14ac:dyDescent="0.25">
      <c r="A1910" s="2">
        <v>45847</v>
      </c>
      <c r="B1910" s="42">
        <v>2025001197</v>
      </c>
      <c r="C1910" t="s">
        <v>593</v>
      </c>
      <c r="D1910" s="11">
        <v>6000000</v>
      </c>
      <c r="E1910">
        <v>1085253062</v>
      </c>
      <c r="F1910" t="s">
        <v>31</v>
      </c>
      <c r="G1910" t="s">
        <v>565</v>
      </c>
      <c r="H1910" t="e">
        <f>VLOOKUP(C1910,'[1]873'!$C$2:$C$711,1,0)</f>
        <v>#N/A</v>
      </c>
    </row>
    <row r="1911" spans="1:8" ht="15" customHeight="1" x14ac:dyDescent="0.25">
      <c r="A1911" s="2">
        <v>45847</v>
      </c>
      <c r="B1911" s="42">
        <v>2025001198</v>
      </c>
      <c r="C1911" t="s">
        <v>572</v>
      </c>
      <c r="D1911" s="11">
        <v>82375000</v>
      </c>
      <c r="E1911">
        <v>900633448</v>
      </c>
      <c r="F1911" t="s">
        <v>165</v>
      </c>
      <c r="G1911" t="s">
        <v>565</v>
      </c>
      <c r="H1911" t="e">
        <f>VLOOKUP(C1911,'[1]873'!$C$2:$C$711,1,0)</f>
        <v>#N/A</v>
      </c>
    </row>
    <row r="1912" spans="1:8" ht="15" customHeight="1" x14ac:dyDescent="0.25">
      <c r="A1912" s="3">
        <v>45847</v>
      </c>
      <c r="B1912" s="41">
        <v>2025001199</v>
      </c>
      <c r="C1912" s="1" t="s">
        <v>505</v>
      </c>
      <c r="D1912" s="5">
        <v>3000000</v>
      </c>
      <c r="E1912" s="1">
        <v>1085286742</v>
      </c>
      <c r="F1912" s="1" t="s">
        <v>75</v>
      </c>
      <c r="G1912" s="1" t="s">
        <v>9</v>
      </c>
      <c r="H1912" t="e">
        <f>VLOOKUP(C1912,'[1]873'!$C$2:$C$711,1,0)</f>
        <v>#N/A</v>
      </c>
    </row>
    <row r="1913" spans="1:8" ht="15" customHeight="1" x14ac:dyDescent="0.25">
      <c r="A1913" s="3">
        <v>45847</v>
      </c>
      <c r="B1913" s="41">
        <v>2025001201</v>
      </c>
      <c r="C1913" s="1" t="s">
        <v>534</v>
      </c>
      <c r="D1913" s="5">
        <v>3000000</v>
      </c>
      <c r="E1913" s="1">
        <v>1081592303</v>
      </c>
      <c r="F1913" s="1" t="s">
        <v>562</v>
      </c>
      <c r="G1913" s="1" t="s">
        <v>9</v>
      </c>
      <c r="H1913" t="e">
        <f>VLOOKUP(C1913,'[1]873'!$C$2:$C$711,1,0)</f>
        <v>#N/A</v>
      </c>
    </row>
    <row r="1914" spans="1:8" ht="15" customHeight="1" x14ac:dyDescent="0.25">
      <c r="A1914" s="3">
        <v>45847</v>
      </c>
      <c r="B1914" s="41">
        <v>2025001205</v>
      </c>
      <c r="C1914" s="1" t="s">
        <v>491</v>
      </c>
      <c r="D1914" s="5">
        <v>3000000</v>
      </c>
      <c r="E1914" s="1">
        <v>13070330</v>
      </c>
      <c r="F1914" s="1" t="s">
        <v>101</v>
      </c>
      <c r="G1914" s="1" t="s">
        <v>9</v>
      </c>
      <c r="H1914" t="e">
        <f>VLOOKUP(C1914,'[1]873'!$C$2:$C$711,1,0)</f>
        <v>#N/A</v>
      </c>
    </row>
    <row r="1915" spans="1:8" ht="15" customHeight="1" x14ac:dyDescent="0.25">
      <c r="A1915" s="3">
        <v>45847</v>
      </c>
      <c r="B1915" s="41">
        <v>2025001207</v>
      </c>
      <c r="C1915" s="1" t="s">
        <v>524</v>
      </c>
      <c r="D1915" s="5">
        <v>3000000</v>
      </c>
      <c r="E1915" s="1">
        <v>27388522</v>
      </c>
      <c r="F1915" s="1" t="s">
        <v>525</v>
      </c>
      <c r="G1915" s="1" t="s">
        <v>9</v>
      </c>
      <c r="H1915" t="e">
        <f>VLOOKUP(C1915,'[1]873'!$C$2:$C$711,1,0)</f>
        <v>#N/A</v>
      </c>
    </row>
    <row r="1916" spans="1:8" ht="15" customHeight="1" x14ac:dyDescent="0.25">
      <c r="A1916" s="3">
        <v>45847</v>
      </c>
      <c r="B1916" s="41">
        <v>2025001208</v>
      </c>
      <c r="C1916" s="1" t="s">
        <v>544</v>
      </c>
      <c r="D1916" s="5">
        <v>4750000</v>
      </c>
      <c r="E1916" s="1">
        <v>1085345772</v>
      </c>
      <c r="F1916" s="1" t="s">
        <v>221</v>
      </c>
      <c r="G1916" s="1" t="s">
        <v>9</v>
      </c>
      <c r="H1916" t="e">
        <f>VLOOKUP(C1916,'[1]873'!$C$2:$C$711,1,0)</f>
        <v>#N/A</v>
      </c>
    </row>
    <row r="1917" spans="1:8" ht="15" customHeight="1" x14ac:dyDescent="0.25">
      <c r="A1917" s="3">
        <v>45847</v>
      </c>
      <c r="B1917" s="41">
        <v>2025001209</v>
      </c>
      <c r="C1917" s="1" t="s">
        <v>535</v>
      </c>
      <c r="D1917" s="5">
        <v>4750000</v>
      </c>
      <c r="E1917" s="1">
        <v>1085260497</v>
      </c>
      <c r="F1917" s="1" t="s">
        <v>429</v>
      </c>
      <c r="G1917" s="1" t="s">
        <v>9</v>
      </c>
      <c r="H1917" t="e">
        <f>VLOOKUP(C1917,'[1]873'!$C$2:$C$711,1,0)</f>
        <v>#N/A</v>
      </c>
    </row>
    <row r="1918" spans="1:8" ht="15" customHeight="1" x14ac:dyDescent="0.25">
      <c r="A1918" s="3">
        <v>45847</v>
      </c>
      <c r="B1918" s="41">
        <v>2025001210</v>
      </c>
      <c r="C1918" s="1" t="s">
        <v>510</v>
      </c>
      <c r="D1918" s="5">
        <v>3000000</v>
      </c>
      <c r="E1918" s="1">
        <v>1004216993</v>
      </c>
      <c r="F1918" s="1" t="s">
        <v>511</v>
      </c>
      <c r="G1918" s="1" t="s">
        <v>9</v>
      </c>
      <c r="H1918" t="e">
        <f>VLOOKUP(C1918,'[1]873'!$C$2:$C$711,1,0)</f>
        <v>#N/A</v>
      </c>
    </row>
    <row r="1919" spans="1:8" ht="15" customHeight="1" x14ac:dyDescent="0.25">
      <c r="A1919" s="2">
        <v>45847</v>
      </c>
      <c r="B1919" s="42">
        <v>2025001211</v>
      </c>
      <c r="C1919" t="s">
        <v>594</v>
      </c>
      <c r="D1919" s="11">
        <v>3000000</v>
      </c>
      <c r="E1919">
        <v>27082649</v>
      </c>
      <c r="F1919" t="s">
        <v>595</v>
      </c>
      <c r="G1919" t="s">
        <v>565</v>
      </c>
      <c r="H1919" t="e">
        <f>VLOOKUP(C1919,'[1]873'!$C$2:$C$711,1,0)</f>
        <v>#N/A</v>
      </c>
    </row>
    <row r="1920" spans="1:8" ht="15" customHeight="1" x14ac:dyDescent="0.25">
      <c r="A1920" s="3">
        <v>45847</v>
      </c>
      <c r="B1920" s="41">
        <v>2025001212</v>
      </c>
      <c r="C1920" s="1" t="s">
        <v>490</v>
      </c>
      <c r="D1920" s="5">
        <v>4750000</v>
      </c>
      <c r="E1920" s="1">
        <v>1085318684</v>
      </c>
      <c r="F1920" s="1" t="s">
        <v>355</v>
      </c>
      <c r="G1920" s="1" t="s">
        <v>9</v>
      </c>
      <c r="H1920" t="e">
        <f>VLOOKUP(C1920,'[1]873'!$C$2:$C$711,1,0)</f>
        <v>#N/A</v>
      </c>
    </row>
    <row r="1921" spans="1:8" ht="15" customHeight="1" x14ac:dyDescent="0.25">
      <c r="A1921" s="3">
        <v>45847</v>
      </c>
      <c r="B1921" s="41">
        <v>2025001213</v>
      </c>
      <c r="C1921" s="1" t="s">
        <v>476</v>
      </c>
      <c r="D1921" s="5">
        <v>3000000</v>
      </c>
      <c r="E1921" s="1">
        <v>1004235479</v>
      </c>
      <c r="F1921" s="1" t="s">
        <v>477</v>
      </c>
      <c r="G1921" s="1" t="s">
        <v>9</v>
      </c>
      <c r="H1921" t="e">
        <f>VLOOKUP(C1921,'[1]873'!$C$2:$C$711,1,0)</f>
        <v>#N/A</v>
      </c>
    </row>
    <row r="1922" spans="1:8" ht="15" customHeight="1" x14ac:dyDescent="0.25">
      <c r="A1922" s="3">
        <v>45847</v>
      </c>
      <c r="B1922" s="41">
        <v>2025001215</v>
      </c>
      <c r="C1922" s="1" t="s">
        <v>488</v>
      </c>
      <c r="D1922" s="5">
        <v>3000000</v>
      </c>
      <c r="E1922" s="1">
        <v>1085288636</v>
      </c>
      <c r="F1922" s="1" t="s">
        <v>405</v>
      </c>
      <c r="G1922" s="1" t="s">
        <v>9</v>
      </c>
      <c r="H1922" t="e">
        <f>VLOOKUP(C1922,'[1]873'!$C$2:$C$711,1,0)</f>
        <v>#N/A</v>
      </c>
    </row>
    <row r="1923" spans="1:8" ht="15" customHeight="1" x14ac:dyDescent="0.25">
      <c r="A1923" s="3">
        <v>45848</v>
      </c>
      <c r="B1923" s="41">
        <v>2025001227</v>
      </c>
      <c r="C1923" s="1" t="s">
        <v>442</v>
      </c>
      <c r="D1923" s="5">
        <v>3000000</v>
      </c>
      <c r="E1923" s="1">
        <v>1086329609</v>
      </c>
      <c r="F1923" s="1" t="s">
        <v>443</v>
      </c>
      <c r="G1923" s="1" t="s">
        <v>9</v>
      </c>
      <c r="H1923" t="e">
        <f>VLOOKUP(C1923,'[1]873'!$C$2:$C$711,1,0)</f>
        <v>#N/A</v>
      </c>
    </row>
    <row r="1924" spans="1:8" ht="15" customHeight="1" x14ac:dyDescent="0.25">
      <c r="A1924" s="2">
        <v>45849</v>
      </c>
      <c r="B1924" s="42">
        <v>2025001238</v>
      </c>
      <c r="C1924" t="s">
        <v>596</v>
      </c>
      <c r="D1924" s="11">
        <v>6000000</v>
      </c>
      <c r="E1924">
        <v>1233193716</v>
      </c>
      <c r="F1924" t="s">
        <v>597</v>
      </c>
      <c r="G1924" t="s">
        <v>565</v>
      </c>
      <c r="H1924" t="e">
        <f>VLOOKUP(C1924,'[1]873'!$C$2:$C$711,1,0)</f>
        <v>#N/A</v>
      </c>
    </row>
    <row r="1925" spans="1:8" ht="15" customHeight="1" x14ac:dyDescent="0.25">
      <c r="A1925" s="2">
        <v>45862</v>
      </c>
      <c r="B1925" s="42">
        <v>2025001445</v>
      </c>
      <c r="C1925" t="s">
        <v>581</v>
      </c>
      <c r="D1925" s="11">
        <v>2500000</v>
      </c>
      <c r="E1925">
        <v>1081052090</v>
      </c>
      <c r="F1925" t="s">
        <v>319</v>
      </c>
      <c r="G1925" t="s">
        <v>565</v>
      </c>
      <c r="H1925" t="e">
        <f>VLOOKUP(C1925,'[1]873'!$C$2:$C$711,1,0)</f>
        <v>#N/A</v>
      </c>
    </row>
    <row r="1926" spans="1:8" ht="15" customHeight="1" x14ac:dyDescent="0.25">
      <c r="A1926" s="2">
        <v>45867</v>
      </c>
      <c r="B1926">
        <v>2025001462</v>
      </c>
      <c r="C1926" t="s">
        <v>1270</v>
      </c>
      <c r="D1926" s="11">
        <v>4825000</v>
      </c>
      <c r="E1926">
        <v>36751052</v>
      </c>
      <c r="F1926" t="s">
        <v>1271</v>
      </c>
      <c r="G1926" t="s">
        <v>1094</v>
      </c>
      <c r="H1926" t="e">
        <f>VLOOKUP(C1926,'[1]873'!$C$2:$C$711,1,0)</f>
        <v>#N/A</v>
      </c>
    </row>
    <row r="1927" spans="1:8" ht="15" customHeight="1" x14ac:dyDescent="0.25">
      <c r="A1927" s="3">
        <v>45873</v>
      </c>
      <c r="B1927" s="41">
        <v>2025001499</v>
      </c>
      <c r="C1927" s="1" t="s">
        <v>540</v>
      </c>
      <c r="D1927" s="5">
        <v>1500000</v>
      </c>
      <c r="E1927" s="1">
        <v>1089243630</v>
      </c>
      <c r="F1927" s="1" t="s">
        <v>197</v>
      </c>
      <c r="G1927" s="1" t="s">
        <v>9</v>
      </c>
      <c r="H1927" t="e">
        <f>VLOOKUP(C1927,'[1]873'!$C$2:$C$711,1,0)</f>
        <v>#N/A</v>
      </c>
    </row>
    <row r="1928" spans="1:8" ht="15" customHeight="1" x14ac:dyDescent="0.25">
      <c r="A1928" s="3">
        <v>45881</v>
      </c>
      <c r="B1928" s="41">
        <v>2025001566</v>
      </c>
      <c r="C1928" s="1" t="s">
        <v>563</v>
      </c>
      <c r="D1928" s="5">
        <v>3000000</v>
      </c>
      <c r="E1928" s="1">
        <v>36757213</v>
      </c>
      <c r="F1928" s="1" t="s">
        <v>411</v>
      </c>
      <c r="G1928" s="1" t="s">
        <v>9</v>
      </c>
      <c r="H1928" t="e">
        <f>VLOOKUP(C1928,'[1]873'!$C$2:$C$711,1,0)</f>
        <v>#N/A</v>
      </c>
    </row>
    <row r="1929" spans="1:8" ht="15" customHeight="1" x14ac:dyDescent="0.25">
      <c r="A1929" s="3">
        <v>45908</v>
      </c>
      <c r="B1929" s="41">
        <v>2025001840</v>
      </c>
      <c r="C1929" s="1" t="s">
        <v>502</v>
      </c>
      <c r="D1929" s="5">
        <v>6000000</v>
      </c>
      <c r="E1929" s="1">
        <v>1085248939</v>
      </c>
      <c r="F1929" s="1" t="s">
        <v>437</v>
      </c>
      <c r="G1929" s="1" t="s">
        <v>9</v>
      </c>
      <c r="H1929" t="e">
        <f>VLOOKUP(C1929,'[1]873'!$C$2:$C$711,1,0)</f>
        <v>#N/A</v>
      </c>
    </row>
    <row r="1930" spans="1:8" ht="15" customHeight="1" x14ac:dyDescent="0.25">
      <c r="A1930" s="2">
        <v>45944</v>
      </c>
      <c r="B1930">
        <v>2025002229</v>
      </c>
      <c r="C1930" t="s">
        <v>1754</v>
      </c>
      <c r="D1930" s="11">
        <v>3150000</v>
      </c>
      <c r="E1930">
        <v>30743783</v>
      </c>
      <c r="F1930" t="s">
        <v>504</v>
      </c>
      <c r="G1930" t="s">
        <v>1755</v>
      </c>
      <c r="H1930" t="str">
        <f>VLOOKUP(C1930,'[1]873'!$C$2:$C$711,1,0)</f>
        <v>790-2025</v>
      </c>
    </row>
    <row r="1931" spans="1:8" ht="15" customHeight="1" x14ac:dyDescent="0.25">
      <c r="A1931" s="2">
        <v>45944</v>
      </c>
      <c r="B1931">
        <v>2025002236</v>
      </c>
      <c r="C1931" t="s">
        <v>1756</v>
      </c>
      <c r="D1931" s="11">
        <v>3150000</v>
      </c>
      <c r="E1931">
        <v>1081053045</v>
      </c>
      <c r="F1931" t="s">
        <v>1757</v>
      </c>
      <c r="G1931" t="s">
        <v>1755</v>
      </c>
      <c r="H1931" t="str">
        <f>VLOOKUP(C1931,'[1]873'!$C$2:$C$711,1,0)</f>
        <v>806-2025</v>
      </c>
    </row>
    <row r="1932" spans="1:8" ht="15" customHeight="1" x14ac:dyDescent="0.25">
      <c r="A1932" s="2">
        <v>45944</v>
      </c>
      <c r="B1932">
        <v>2025002237</v>
      </c>
      <c r="C1932" t="s">
        <v>1758</v>
      </c>
      <c r="D1932" s="11">
        <v>1575000</v>
      </c>
      <c r="E1932">
        <v>1085317226</v>
      </c>
      <c r="F1932" t="s">
        <v>1759</v>
      </c>
      <c r="G1932" t="s">
        <v>1755</v>
      </c>
      <c r="H1932" t="str">
        <f>VLOOKUP(C1932,'[1]873'!$C$2:$C$711,1,0)</f>
        <v>887-2025</v>
      </c>
    </row>
    <row r="1933" spans="1:8" ht="15" customHeight="1" x14ac:dyDescent="0.25">
      <c r="A1933" s="2">
        <v>45944</v>
      </c>
      <c r="B1933">
        <v>2025002242</v>
      </c>
      <c r="C1933" t="s">
        <v>1760</v>
      </c>
      <c r="D1933" s="11">
        <v>3150000</v>
      </c>
      <c r="E1933">
        <v>1085269090</v>
      </c>
      <c r="F1933" t="s">
        <v>371</v>
      </c>
      <c r="G1933" t="s">
        <v>1755</v>
      </c>
      <c r="H1933" t="str">
        <f>VLOOKUP(C1933,'[1]873'!$C$2:$C$711,1,0)</f>
        <v>761-2025</v>
      </c>
    </row>
    <row r="1934" spans="1:8" ht="15" customHeight="1" x14ac:dyDescent="0.25">
      <c r="A1934" s="2">
        <v>45944</v>
      </c>
      <c r="B1934">
        <v>2025002243</v>
      </c>
      <c r="C1934" t="s">
        <v>1761</v>
      </c>
      <c r="D1934" s="11">
        <v>3150000</v>
      </c>
      <c r="E1934">
        <v>1086329609</v>
      </c>
      <c r="F1934" t="s">
        <v>443</v>
      </c>
      <c r="G1934" t="s">
        <v>1755</v>
      </c>
      <c r="H1934" t="str">
        <f>VLOOKUP(C1934,'[1]873'!$C$2:$C$711,1,0)</f>
        <v>829-2025</v>
      </c>
    </row>
    <row r="1935" spans="1:8" ht="15" customHeight="1" x14ac:dyDescent="0.25">
      <c r="A1935" s="2">
        <v>45944</v>
      </c>
      <c r="B1935">
        <v>2025002244</v>
      </c>
      <c r="C1935" t="s">
        <v>1762</v>
      </c>
      <c r="D1935" s="11">
        <v>3150000</v>
      </c>
      <c r="E1935">
        <v>59837608</v>
      </c>
      <c r="F1935" t="s">
        <v>145</v>
      </c>
      <c r="G1935" t="s">
        <v>1755</v>
      </c>
      <c r="H1935" t="str">
        <f>VLOOKUP(C1935,'[1]873'!$C$2:$C$711,1,0)</f>
        <v>904-2025</v>
      </c>
    </row>
    <row r="1936" spans="1:8" ht="15" customHeight="1" x14ac:dyDescent="0.25">
      <c r="A1936" s="2">
        <v>45944</v>
      </c>
      <c r="B1936">
        <v>2025002247</v>
      </c>
      <c r="C1936" t="s">
        <v>1763</v>
      </c>
      <c r="D1936" s="11">
        <v>4730000</v>
      </c>
      <c r="E1936">
        <v>1193383306</v>
      </c>
      <c r="F1936" t="s">
        <v>267</v>
      </c>
      <c r="G1936" t="s">
        <v>1755</v>
      </c>
      <c r="H1936" t="str">
        <f>VLOOKUP(C1936,'[1]873'!$C$2:$C$711,1,0)</f>
        <v>714-2025</v>
      </c>
    </row>
    <row r="1937" spans="1:8" ht="15" customHeight="1" x14ac:dyDescent="0.25">
      <c r="A1937" s="2">
        <v>45945</v>
      </c>
      <c r="B1937">
        <v>2025002254</v>
      </c>
      <c r="C1937" t="s">
        <v>1764</v>
      </c>
      <c r="D1937" s="11">
        <v>151250000</v>
      </c>
      <c r="E1937">
        <v>900994364</v>
      </c>
      <c r="F1937" t="s">
        <v>269</v>
      </c>
      <c r="G1937" t="s">
        <v>1755</v>
      </c>
      <c r="H1937" t="str">
        <f>VLOOKUP(C1937,'[1]873'!$C$2:$C$711,1,0)</f>
        <v>696-2025</v>
      </c>
    </row>
    <row r="1938" spans="1:8" ht="15" customHeight="1" x14ac:dyDescent="0.25">
      <c r="A1938" s="2">
        <v>45945</v>
      </c>
      <c r="B1938">
        <v>2025002255</v>
      </c>
      <c r="C1938" t="s">
        <v>1765</v>
      </c>
      <c r="D1938" s="11">
        <v>6300000</v>
      </c>
      <c r="E1938">
        <v>1085347312</v>
      </c>
      <c r="F1938" t="s">
        <v>1766</v>
      </c>
      <c r="G1938" t="s">
        <v>1755</v>
      </c>
      <c r="H1938" t="str">
        <f>VLOOKUP(C1938,'[1]873'!$C$2:$C$711,1,0)</f>
        <v>862-2025</v>
      </c>
    </row>
    <row r="1939" spans="1:8" ht="15" customHeight="1" x14ac:dyDescent="0.25">
      <c r="A1939" s="2">
        <v>45945</v>
      </c>
      <c r="B1939">
        <v>2025002256</v>
      </c>
      <c r="C1939" t="s">
        <v>1767</v>
      </c>
      <c r="D1939" s="11">
        <v>3150000</v>
      </c>
      <c r="E1939">
        <v>37084285</v>
      </c>
      <c r="F1939" t="s">
        <v>119</v>
      </c>
      <c r="G1939" t="s">
        <v>1755</v>
      </c>
      <c r="H1939" t="str">
        <f>VLOOKUP(C1939,'[1]873'!$C$2:$C$711,1,0)</f>
        <v>810-2025</v>
      </c>
    </row>
    <row r="1940" spans="1:8" ht="15" customHeight="1" x14ac:dyDescent="0.25">
      <c r="A1940" s="2">
        <v>45945</v>
      </c>
      <c r="B1940">
        <v>2025002257</v>
      </c>
      <c r="C1940" t="s">
        <v>1768</v>
      </c>
      <c r="D1940" s="11">
        <v>3150000</v>
      </c>
      <c r="E1940">
        <v>59122805</v>
      </c>
      <c r="F1940" t="s">
        <v>1769</v>
      </c>
      <c r="G1940" t="s">
        <v>1755</v>
      </c>
      <c r="H1940" t="str">
        <f>VLOOKUP(C1940,'[1]873'!$C$2:$C$711,1,0)</f>
        <v>872-2025</v>
      </c>
    </row>
    <row r="1941" spans="1:8" ht="15" customHeight="1" x14ac:dyDescent="0.25">
      <c r="A1941" s="2">
        <v>45945</v>
      </c>
      <c r="B1941">
        <v>2025002258</v>
      </c>
      <c r="C1941" t="s">
        <v>1770</v>
      </c>
      <c r="D1941" s="11">
        <v>6300000</v>
      </c>
      <c r="E1941">
        <v>97470681</v>
      </c>
      <c r="F1941" t="s">
        <v>329</v>
      </c>
      <c r="G1941" t="s">
        <v>1755</v>
      </c>
      <c r="H1941" t="str">
        <f>VLOOKUP(C1941,'[1]873'!$C$2:$C$711,1,0)</f>
        <v>850-2025</v>
      </c>
    </row>
    <row r="1942" spans="1:8" ht="15" customHeight="1" x14ac:dyDescent="0.25">
      <c r="A1942" s="2">
        <v>45945</v>
      </c>
      <c r="B1942">
        <v>2025002259</v>
      </c>
      <c r="C1942" t="s">
        <v>1771</v>
      </c>
      <c r="D1942" s="11">
        <v>3150000</v>
      </c>
      <c r="E1942">
        <v>36953590</v>
      </c>
      <c r="F1942" t="s">
        <v>1772</v>
      </c>
      <c r="G1942" t="s">
        <v>1755</v>
      </c>
      <c r="H1942" t="str">
        <f>VLOOKUP(C1942,'[1]873'!$C$2:$C$711,1,0)</f>
        <v>832-2025</v>
      </c>
    </row>
    <row r="1943" spans="1:8" ht="15" customHeight="1" x14ac:dyDescent="0.25">
      <c r="A1943" s="2">
        <v>45945</v>
      </c>
      <c r="B1943">
        <v>2025002260</v>
      </c>
      <c r="C1943" t="s">
        <v>1773</v>
      </c>
      <c r="D1943" s="11">
        <v>6300000</v>
      </c>
      <c r="E1943">
        <v>1053793750</v>
      </c>
      <c r="F1943" t="s">
        <v>1774</v>
      </c>
      <c r="G1943" t="s">
        <v>1755</v>
      </c>
      <c r="H1943" t="str">
        <f>VLOOKUP(C1943,'[1]873'!$C$2:$C$711,1,0)</f>
        <v>817-2025</v>
      </c>
    </row>
    <row r="1944" spans="1:8" ht="15" customHeight="1" x14ac:dyDescent="0.25">
      <c r="A1944" s="2">
        <v>45945</v>
      </c>
      <c r="B1944">
        <v>2025002261</v>
      </c>
      <c r="C1944" t="s">
        <v>1775</v>
      </c>
      <c r="D1944" s="11">
        <v>3150000</v>
      </c>
      <c r="E1944">
        <v>1193224810</v>
      </c>
      <c r="F1944" t="s">
        <v>409</v>
      </c>
      <c r="G1944" t="s">
        <v>1755</v>
      </c>
      <c r="H1944" t="str">
        <f>VLOOKUP(C1944,'[1]873'!$C$2:$C$711,1,0)</f>
        <v>783-2025</v>
      </c>
    </row>
    <row r="1945" spans="1:8" ht="15" customHeight="1" x14ac:dyDescent="0.25">
      <c r="A1945" s="2">
        <v>45945</v>
      </c>
      <c r="B1945">
        <v>2025002262</v>
      </c>
      <c r="C1945" t="s">
        <v>1776</v>
      </c>
      <c r="D1945" s="11">
        <v>1575000</v>
      </c>
      <c r="E1945">
        <v>1082749295</v>
      </c>
      <c r="F1945" t="s">
        <v>1777</v>
      </c>
      <c r="G1945" t="s">
        <v>1755</v>
      </c>
      <c r="H1945" t="str">
        <f>VLOOKUP(C1945,'[1]873'!$C$2:$C$711,1,0)</f>
        <v>886-2025</v>
      </c>
    </row>
    <row r="1946" spans="1:8" ht="15" customHeight="1" x14ac:dyDescent="0.25">
      <c r="A1946" s="2">
        <v>45946</v>
      </c>
      <c r="B1946">
        <v>2025002278</v>
      </c>
      <c r="C1946" t="s">
        <v>1778</v>
      </c>
      <c r="D1946" s="11">
        <v>3150000</v>
      </c>
      <c r="E1946">
        <v>1085343154</v>
      </c>
      <c r="F1946" t="s">
        <v>1779</v>
      </c>
      <c r="G1946" t="s">
        <v>1755</v>
      </c>
      <c r="H1946" t="str">
        <f>VLOOKUP(C1946,'[1]873'!$C$2:$C$711,1,0)</f>
        <v>798-2025</v>
      </c>
    </row>
    <row r="1947" spans="1:8" ht="15" customHeight="1" x14ac:dyDescent="0.25">
      <c r="A1947" s="2">
        <v>45946</v>
      </c>
      <c r="B1947">
        <v>2025002279</v>
      </c>
      <c r="C1947" t="s">
        <v>1780</v>
      </c>
      <c r="D1947" s="11">
        <v>3150000</v>
      </c>
      <c r="E1947">
        <v>98382500</v>
      </c>
      <c r="F1947" t="s">
        <v>183</v>
      </c>
      <c r="G1947" t="s">
        <v>1755</v>
      </c>
      <c r="H1947" t="str">
        <f>VLOOKUP(C1947,'[1]873'!$C$2:$C$711,1,0)</f>
        <v>765-2025</v>
      </c>
    </row>
    <row r="1948" spans="1:8" ht="15" customHeight="1" x14ac:dyDescent="0.25">
      <c r="A1948" s="2">
        <v>45946</v>
      </c>
      <c r="B1948">
        <v>2025002280</v>
      </c>
      <c r="C1948" t="s">
        <v>1781</v>
      </c>
      <c r="D1948" s="11">
        <v>3150000</v>
      </c>
      <c r="E1948">
        <v>59311295</v>
      </c>
      <c r="F1948" t="s">
        <v>797</v>
      </c>
      <c r="G1948" t="s">
        <v>1755</v>
      </c>
      <c r="H1948" t="str">
        <f>VLOOKUP(C1948,'[1]873'!$C$2:$C$711,1,0)</f>
        <v>876-2025</v>
      </c>
    </row>
    <row r="1949" spans="1:8" ht="15" customHeight="1" x14ac:dyDescent="0.25">
      <c r="A1949" s="2">
        <v>45946</v>
      </c>
      <c r="B1949">
        <v>2025002281</v>
      </c>
      <c r="C1949" t="s">
        <v>1782</v>
      </c>
      <c r="D1949" s="11">
        <v>7800000</v>
      </c>
      <c r="E1949">
        <v>1233192708</v>
      </c>
      <c r="F1949" t="s">
        <v>591</v>
      </c>
      <c r="G1949" t="s">
        <v>1755</v>
      </c>
      <c r="H1949" t="str">
        <f>VLOOKUP(C1949,'[1]873'!$C$2:$C$711,1,0)</f>
        <v>808-2025</v>
      </c>
    </row>
    <row r="1950" spans="1:8" ht="15" customHeight="1" x14ac:dyDescent="0.25">
      <c r="A1950" s="2">
        <v>45946</v>
      </c>
      <c r="B1950">
        <v>2025002282</v>
      </c>
      <c r="C1950" t="s">
        <v>1783</v>
      </c>
      <c r="D1950" s="11">
        <v>6300000</v>
      </c>
      <c r="E1950">
        <v>59836480</v>
      </c>
      <c r="F1950" t="s">
        <v>1195</v>
      </c>
      <c r="G1950" t="s">
        <v>1755</v>
      </c>
      <c r="H1950" t="str">
        <f>VLOOKUP(C1950,'[1]873'!$C$2:$C$711,1,0)</f>
        <v>789-2025</v>
      </c>
    </row>
    <row r="1951" spans="1:8" ht="15" customHeight="1" x14ac:dyDescent="0.25">
      <c r="A1951" s="2">
        <v>45946</v>
      </c>
      <c r="B1951">
        <v>2025002283</v>
      </c>
      <c r="C1951" t="s">
        <v>1784</v>
      </c>
      <c r="D1951" s="11">
        <v>3150000</v>
      </c>
      <c r="E1951">
        <v>1192717330</v>
      </c>
      <c r="F1951" t="s">
        <v>277</v>
      </c>
      <c r="G1951" t="s">
        <v>1755</v>
      </c>
      <c r="H1951" t="str">
        <f>VLOOKUP(C1951,'[1]873'!$C$2:$C$711,1,0)</f>
        <v>812-2025</v>
      </c>
    </row>
    <row r="1952" spans="1:8" ht="15" customHeight="1" x14ac:dyDescent="0.25">
      <c r="A1952" s="2">
        <v>45946</v>
      </c>
      <c r="B1952">
        <v>2025002284</v>
      </c>
      <c r="C1952" t="s">
        <v>1785</v>
      </c>
      <c r="D1952" s="11">
        <v>3150000</v>
      </c>
      <c r="E1952">
        <v>27082649</v>
      </c>
      <c r="F1952" t="s">
        <v>595</v>
      </c>
      <c r="G1952" t="s">
        <v>1755</v>
      </c>
      <c r="H1952" t="str">
        <f>VLOOKUP(C1952,'[1]873'!$C$2:$C$711,1,0)</f>
        <v>821-2025</v>
      </c>
    </row>
    <row r="1953" spans="1:8" ht="15" customHeight="1" x14ac:dyDescent="0.25">
      <c r="A1953" s="2">
        <v>45946</v>
      </c>
      <c r="B1953">
        <v>2025002298</v>
      </c>
      <c r="C1953" t="s">
        <v>1786</v>
      </c>
      <c r="D1953" s="11">
        <v>3150000</v>
      </c>
      <c r="E1953">
        <v>1085252263</v>
      </c>
      <c r="F1953" t="s">
        <v>33</v>
      </c>
      <c r="G1953" t="s">
        <v>1755</v>
      </c>
      <c r="H1953" t="str">
        <f>VLOOKUP(C1953,'[1]873'!$C$2:$C$711,1,0)</f>
        <v>869-2025</v>
      </c>
    </row>
    <row r="1954" spans="1:8" ht="15" customHeight="1" x14ac:dyDescent="0.25">
      <c r="A1954" s="2">
        <v>45946</v>
      </c>
      <c r="B1954">
        <v>2025002301</v>
      </c>
      <c r="C1954" t="s">
        <v>1789</v>
      </c>
      <c r="D1954" s="11">
        <v>6300000</v>
      </c>
      <c r="E1954">
        <v>59825948</v>
      </c>
      <c r="F1954" t="s">
        <v>1192</v>
      </c>
      <c r="G1954" t="s">
        <v>1755</v>
      </c>
      <c r="H1954" t="str">
        <f>VLOOKUP(C1954,'[1]873'!$C$2:$C$711,1,0)</f>
        <v>865-2025</v>
      </c>
    </row>
    <row r="1955" spans="1:8" ht="15" customHeight="1" x14ac:dyDescent="0.25">
      <c r="A1955" s="2">
        <v>45946</v>
      </c>
      <c r="B1955">
        <v>2025002304</v>
      </c>
      <c r="C1955" s="4" t="s">
        <v>1787</v>
      </c>
      <c r="D1955" s="11">
        <v>1575000</v>
      </c>
      <c r="E1955">
        <v>27087122</v>
      </c>
      <c r="F1955" s="4" t="s">
        <v>1788</v>
      </c>
      <c r="G1955" t="s">
        <v>1755</v>
      </c>
      <c r="H1955" t="str">
        <f>VLOOKUP(C1955,'[1]873'!$C$2:$C$711,1,0)</f>
        <v>895-2025</v>
      </c>
    </row>
    <row r="1956" spans="1:8" ht="15" customHeight="1" x14ac:dyDescent="0.25">
      <c r="A1956" s="2">
        <v>45946</v>
      </c>
      <c r="B1956">
        <v>2025002306</v>
      </c>
      <c r="C1956" t="s">
        <v>1790</v>
      </c>
      <c r="D1956" s="11">
        <v>6300000</v>
      </c>
      <c r="E1956">
        <v>1010010954</v>
      </c>
      <c r="F1956" t="s">
        <v>337</v>
      </c>
      <c r="G1956" t="s">
        <v>1755</v>
      </c>
      <c r="H1956" t="str">
        <f>VLOOKUP(C1956,'[1]873'!$C$2:$C$711,1,0)</f>
        <v>781-2025</v>
      </c>
    </row>
    <row r="1957" spans="1:8" ht="15" customHeight="1" x14ac:dyDescent="0.25">
      <c r="A1957" s="2">
        <v>45947</v>
      </c>
      <c r="B1957">
        <v>2025002314</v>
      </c>
      <c r="C1957" t="s">
        <v>1791</v>
      </c>
      <c r="D1957" s="11">
        <v>4730000</v>
      </c>
      <c r="E1957">
        <v>1085343783</v>
      </c>
      <c r="F1957" t="s">
        <v>735</v>
      </c>
      <c r="G1957" t="s">
        <v>1755</v>
      </c>
      <c r="H1957" t="str">
        <f>VLOOKUP(C1957,'[1]873'!$C$2:$C$711,1,0)</f>
        <v>787-2025</v>
      </c>
    </row>
    <row r="1958" spans="1:8" ht="15" customHeight="1" x14ac:dyDescent="0.25">
      <c r="A1958" s="2">
        <v>45947</v>
      </c>
      <c r="B1958">
        <v>2025002315</v>
      </c>
      <c r="C1958" t="s">
        <v>1792</v>
      </c>
      <c r="D1958" s="11">
        <v>3150000</v>
      </c>
      <c r="E1958">
        <v>1085300095</v>
      </c>
      <c r="F1958" t="s">
        <v>201</v>
      </c>
      <c r="G1958" t="s">
        <v>1755</v>
      </c>
      <c r="H1958" t="str">
        <f>VLOOKUP(C1958,'[1]873'!$C$2:$C$711,1,0)</f>
        <v>795-2025</v>
      </c>
    </row>
    <row r="1959" spans="1:8" ht="15" customHeight="1" x14ac:dyDescent="0.25">
      <c r="A1959" s="2">
        <v>45947</v>
      </c>
      <c r="B1959">
        <v>2025002316</v>
      </c>
      <c r="C1959" t="s">
        <v>1793</v>
      </c>
      <c r="D1959" s="11">
        <v>3150000</v>
      </c>
      <c r="E1959">
        <v>1081272656</v>
      </c>
      <c r="F1959" t="s">
        <v>963</v>
      </c>
      <c r="G1959" t="s">
        <v>1755</v>
      </c>
      <c r="H1959" t="str">
        <f>VLOOKUP(C1959,'[1]873'!$C$2:$C$711,1,0)</f>
        <v>804-2025</v>
      </c>
    </row>
    <row r="1960" spans="1:8" ht="15" customHeight="1" x14ac:dyDescent="0.25">
      <c r="A1960" s="2">
        <v>45947</v>
      </c>
      <c r="B1960">
        <v>2025002317</v>
      </c>
      <c r="C1960" t="s">
        <v>1794</v>
      </c>
      <c r="D1960" s="11">
        <v>3150000</v>
      </c>
      <c r="E1960">
        <v>27088197</v>
      </c>
      <c r="F1960" t="s">
        <v>1235</v>
      </c>
      <c r="G1960" t="s">
        <v>1755</v>
      </c>
      <c r="H1960" t="str">
        <f>VLOOKUP(C1960,'[1]873'!$C$2:$C$711,1,0)</f>
        <v>827-2025</v>
      </c>
    </row>
    <row r="1961" spans="1:8" ht="15" customHeight="1" x14ac:dyDescent="0.25">
      <c r="A1961" s="2">
        <v>45947</v>
      </c>
      <c r="B1961">
        <v>2025002318</v>
      </c>
      <c r="C1961" t="s">
        <v>1795</v>
      </c>
      <c r="D1961" s="11">
        <v>6300000</v>
      </c>
      <c r="E1961">
        <v>1085286476</v>
      </c>
      <c r="F1961" t="s">
        <v>385</v>
      </c>
      <c r="G1961" t="s">
        <v>1755</v>
      </c>
      <c r="H1961" t="str">
        <f>VLOOKUP(C1961,'[1]873'!$C$2:$C$711,1,0)</f>
        <v>773-2025</v>
      </c>
    </row>
    <row r="1962" spans="1:8" ht="15" customHeight="1" x14ac:dyDescent="0.25">
      <c r="A1962" s="2">
        <v>45947</v>
      </c>
      <c r="B1962">
        <v>2025002319</v>
      </c>
      <c r="C1962" t="s">
        <v>1796</v>
      </c>
      <c r="D1962" s="11">
        <v>3150000</v>
      </c>
      <c r="E1962">
        <v>36952916</v>
      </c>
      <c r="F1962" t="s">
        <v>1797</v>
      </c>
      <c r="G1962" t="s">
        <v>1755</v>
      </c>
      <c r="H1962" t="str">
        <f>VLOOKUP(C1962,'[1]873'!$C$2:$C$711,1,0)</f>
        <v>920-2025</v>
      </c>
    </row>
    <row r="1963" spans="1:8" ht="15" customHeight="1" x14ac:dyDescent="0.25">
      <c r="A1963" s="2">
        <v>45947</v>
      </c>
      <c r="B1963">
        <v>2025002320</v>
      </c>
      <c r="C1963" t="s">
        <v>1798</v>
      </c>
      <c r="D1963" s="11">
        <v>3150000</v>
      </c>
      <c r="E1963">
        <v>1081272025</v>
      </c>
      <c r="F1963" t="s">
        <v>59</v>
      </c>
      <c r="G1963" t="s">
        <v>1755</v>
      </c>
      <c r="H1963" t="str">
        <f>VLOOKUP(C1963,'[1]873'!$C$2:$C$711,1,0)</f>
        <v>784-2025</v>
      </c>
    </row>
    <row r="1964" spans="1:8" ht="15" customHeight="1" x14ac:dyDescent="0.25">
      <c r="A1964" s="2">
        <v>45947</v>
      </c>
      <c r="B1964">
        <v>2025002321</v>
      </c>
      <c r="C1964" t="s">
        <v>1799</v>
      </c>
      <c r="D1964" s="11">
        <v>3150000</v>
      </c>
      <c r="E1964">
        <v>1080690337</v>
      </c>
      <c r="F1964" t="s">
        <v>1086</v>
      </c>
      <c r="G1964" t="s">
        <v>1755</v>
      </c>
      <c r="H1964" t="str">
        <f>VLOOKUP(C1964,'[1]873'!$C$2:$C$711,1,0)</f>
        <v>848-2025</v>
      </c>
    </row>
    <row r="1965" spans="1:8" ht="15" customHeight="1" x14ac:dyDescent="0.25">
      <c r="A1965" s="2">
        <v>45947</v>
      </c>
      <c r="B1965">
        <v>2025002322</v>
      </c>
      <c r="C1965" t="s">
        <v>1800</v>
      </c>
      <c r="D1965" s="11">
        <v>3150000</v>
      </c>
      <c r="E1965">
        <v>1081572043</v>
      </c>
      <c r="F1965" t="s">
        <v>555</v>
      </c>
      <c r="G1965" t="s">
        <v>1755</v>
      </c>
      <c r="H1965" t="str">
        <f>VLOOKUP(C1965,'[1]873'!$C$2:$C$711,1,0)</f>
        <v>849-2025</v>
      </c>
    </row>
    <row r="1966" spans="1:8" ht="15" customHeight="1" x14ac:dyDescent="0.25">
      <c r="A1966" s="2">
        <v>45947</v>
      </c>
      <c r="B1966">
        <v>2025002323</v>
      </c>
      <c r="C1966" t="s">
        <v>1801</v>
      </c>
      <c r="D1966" s="11">
        <v>3150000</v>
      </c>
      <c r="E1966">
        <v>1085265947</v>
      </c>
      <c r="F1966" t="s">
        <v>1802</v>
      </c>
      <c r="G1966" t="s">
        <v>1755</v>
      </c>
      <c r="H1966" t="str">
        <f>VLOOKUP(C1966,'[1]873'!$C$2:$C$711,1,0)</f>
        <v>877-2025</v>
      </c>
    </row>
    <row r="1967" spans="1:8" ht="15" customHeight="1" x14ac:dyDescent="0.25">
      <c r="A1967" s="2">
        <v>45950</v>
      </c>
      <c r="B1967">
        <v>2025002328</v>
      </c>
      <c r="C1967" t="s">
        <v>1803</v>
      </c>
      <c r="D1967" s="11">
        <v>3150000</v>
      </c>
      <c r="E1967">
        <v>1085339190</v>
      </c>
      <c r="F1967" t="s">
        <v>149</v>
      </c>
      <c r="G1967" t="s">
        <v>1755</v>
      </c>
      <c r="H1967" t="str">
        <f>VLOOKUP(C1967,'[1]873'!$C$2:$C$711,1,0)</f>
        <v>816-2025</v>
      </c>
    </row>
    <row r="1968" spans="1:8" ht="15" customHeight="1" x14ac:dyDescent="0.25">
      <c r="A1968" s="2">
        <v>45950</v>
      </c>
      <c r="B1968">
        <v>2025002329</v>
      </c>
      <c r="C1968" t="s">
        <v>1804</v>
      </c>
      <c r="D1968" s="11">
        <v>3150000</v>
      </c>
      <c r="E1968">
        <v>59314458</v>
      </c>
      <c r="F1968" t="s">
        <v>1233</v>
      </c>
      <c r="G1968" t="s">
        <v>1755</v>
      </c>
      <c r="H1968" t="str">
        <f>VLOOKUP(C1968,'[1]873'!$C$2:$C$711,1,0)</f>
        <v>910-2025</v>
      </c>
    </row>
    <row r="1969" spans="1:8" ht="15" customHeight="1" x14ac:dyDescent="0.25">
      <c r="A1969" s="2">
        <v>45950</v>
      </c>
      <c r="B1969">
        <v>2025002330</v>
      </c>
      <c r="C1969" t="s">
        <v>1805</v>
      </c>
      <c r="D1969" s="11">
        <v>3150000</v>
      </c>
      <c r="E1969">
        <v>1085315013</v>
      </c>
      <c r="F1969" t="s">
        <v>1158</v>
      </c>
      <c r="G1969" t="s">
        <v>1755</v>
      </c>
      <c r="H1969" t="str">
        <f>VLOOKUP(C1969,'[1]873'!$C$2:$C$711,1,0)</f>
        <v>774-2025</v>
      </c>
    </row>
    <row r="1970" spans="1:8" ht="15" customHeight="1" x14ac:dyDescent="0.25">
      <c r="A1970" s="2">
        <v>45950</v>
      </c>
      <c r="B1970">
        <v>2025002331</v>
      </c>
      <c r="C1970" t="s">
        <v>1806</v>
      </c>
      <c r="D1970" s="11">
        <v>3900000</v>
      </c>
      <c r="E1970">
        <v>1233193769</v>
      </c>
      <c r="F1970" t="s">
        <v>1807</v>
      </c>
      <c r="G1970" t="s">
        <v>1755</v>
      </c>
      <c r="H1970" t="str">
        <f>VLOOKUP(C1970,'[1]873'!$C$2:$C$711,1,0)</f>
        <v>888-2025</v>
      </c>
    </row>
    <row r="1971" spans="1:8" ht="15" customHeight="1" x14ac:dyDescent="0.25">
      <c r="A1971" s="2">
        <v>45950</v>
      </c>
      <c r="B1971">
        <v>2025002332</v>
      </c>
      <c r="C1971" t="s">
        <v>1808</v>
      </c>
      <c r="D1971" s="11">
        <v>3900000</v>
      </c>
      <c r="E1971">
        <v>1085274300</v>
      </c>
      <c r="F1971" t="s">
        <v>1809</v>
      </c>
      <c r="G1971" t="s">
        <v>1755</v>
      </c>
      <c r="H1971" t="str">
        <f>VLOOKUP(C1971,'[1]873'!$C$2:$C$711,1,0)</f>
        <v>906-2025</v>
      </c>
    </row>
    <row r="1972" spans="1:8" ht="15" customHeight="1" x14ac:dyDescent="0.25">
      <c r="A1972" s="2">
        <v>45950</v>
      </c>
      <c r="B1972">
        <v>2025002339</v>
      </c>
      <c r="C1972" t="s">
        <v>1810</v>
      </c>
      <c r="D1972" s="11">
        <v>3900000</v>
      </c>
      <c r="E1972">
        <v>1233188295</v>
      </c>
      <c r="F1972" t="s">
        <v>1811</v>
      </c>
      <c r="G1972" t="s">
        <v>1755</v>
      </c>
      <c r="H1972" t="str">
        <f>VLOOKUP(C1972,'[1]873'!$C$2:$C$711,1,0)</f>
        <v>929-2025</v>
      </c>
    </row>
    <row r="1973" spans="1:8" ht="15" customHeight="1" x14ac:dyDescent="0.25">
      <c r="A1973" s="2">
        <v>45950</v>
      </c>
      <c r="B1973">
        <v>2025002340</v>
      </c>
      <c r="C1973" t="s">
        <v>1812</v>
      </c>
      <c r="D1973" s="11">
        <v>3900000</v>
      </c>
      <c r="E1973">
        <v>1089846684</v>
      </c>
      <c r="F1973" t="s">
        <v>1813</v>
      </c>
      <c r="G1973" t="s">
        <v>1755</v>
      </c>
      <c r="H1973" t="str">
        <f>VLOOKUP(C1973,'[1]873'!$C$2:$C$711,1,0)</f>
        <v>913-2025</v>
      </c>
    </row>
    <row r="1974" spans="1:8" ht="15" customHeight="1" x14ac:dyDescent="0.25">
      <c r="A1974" s="2">
        <v>45950</v>
      </c>
      <c r="B1974">
        <v>2025002342</v>
      </c>
      <c r="C1974" t="s">
        <v>1814</v>
      </c>
      <c r="D1974" s="11">
        <v>3150000</v>
      </c>
      <c r="E1974">
        <v>1193383314</v>
      </c>
      <c r="F1974" t="s">
        <v>1815</v>
      </c>
      <c r="G1974" t="s">
        <v>1755</v>
      </c>
      <c r="H1974" t="str">
        <f>VLOOKUP(C1974,'[1]873'!$C$2:$C$711,1,0)</f>
        <v>908-2025</v>
      </c>
    </row>
    <row r="1975" spans="1:8" ht="15" customHeight="1" x14ac:dyDescent="0.25">
      <c r="A1975" s="2">
        <v>45950</v>
      </c>
      <c r="B1975">
        <v>2025002343</v>
      </c>
      <c r="C1975" t="s">
        <v>1816</v>
      </c>
      <c r="D1975" s="11">
        <v>1575000</v>
      </c>
      <c r="E1975">
        <v>37082272</v>
      </c>
      <c r="F1975" t="s">
        <v>1817</v>
      </c>
      <c r="G1975" t="s">
        <v>1755</v>
      </c>
      <c r="H1975" t="str">
        <f>VLOOKUP(C1975,'[1]873'!$C$2:$C$711,1,0)</f>
        <v>916-2025</v>
      </c>
    </row>
    <row r="1976" spans="1:8" ht="15" customHeight="1" x14ac:dyDescent="0.25">
      <c r="A1976" s="2">
        <v>45950</v>
      </c>
      <c r="B1976">
        <v>2025002344</v>
      </c>
      <c r="C1976" t="s">
        <v>1818</v>
      </c>
      <c r="D1976" s="11">
        <v>1575000</v>
      </c>
      <c r="E1976">
        <v>1085323163</v>
      </c>
      <c r="F1976" t="s">
        <v>1819</v>
      </c>
      <c r="G1976" t="s">
        <v>1755</v>
      </c>
      <c r="H1976" t="str">
        <f>VLOOKUP(C1976,'[1]873'!$C$2:$C$711,1,0)</f>
        <v>912-2025</v>
      </c>
    </row>
    <row r="1977" spans="1:8" ht="15" customHeight="1" x14ac:dyDescent="0.25">
      <c r="A1977" s="2">
        <v>45950</v>
      </c>
      <c r="B1977">
        <v>2025002345</v>
      </c>
      <c r="C1977" t="s">
        <v>1820</v>
      </c>
      <c r="D1977" s="11">
        <v>3150000</v>
      </c>
      <c r="E1977">
        <v>1085288636</v>
      </c>
      <c r="F1977" t="s">
        <v>405</v>
      </c>
      <c r="G1977" t="s">
        <v>1755</v>
      </c>
      <c r="H1977" t="str">
        <f>VLOOKUP(C1977,'[1]873'!$C$2:$C$711,1,0)</f>
        <v>793-2025</v>
      </c>
    </row>
    <row r="1978" spans="1:8" ht="15" customHeight="1" x14ac:dyDescent="0.25">
      <c r="A1978" s="2">
        <v>45950</v>
      </c>
      <c r="B1978">
        <v>2025002349</v>
      </c>
      <c r="C1978" t="s">
        <v>1821</v>
      </c>
      <c r="D1978" s="11">
        <v>3150000</v>
      </c>
      <c r="E1978">
        <v>1085255829</v>
      </c>
      <c r="F1978" t="s">
        <v>989</v>
      </c>
      <c r="G1978" t="s">
        <v>1755</v>
      </c>
      <c r="H1978" t="str">
        <f>VLOOKUP(C1978,'[1]873'!$C$2:$C$711,1,0)</f>
        <v>759-2025</v>
      </c>
    </row>
    <row r="1979" spans="1:8" ht="15" customHeight="1" x14ac:dyDescent="0.25">
      <c r="A1979" s="2">
        <v>45950</v>
      </c>
      <c r="B1979">
        <v>2025002351</v>
      </c>
      <c r="C1979" t="s">
        <v>1822</v>
      </c>
      <c r="D1979" s="11">
        <v>3150000</v>
      </c>
      <c r="E1979">
        <v>1004131976</v>
      </c>
      <c r="F1979" t="s">
        <v>1011</v>
      </c>
      <c r="G1979" t="s">
        <v>1755</v>
      </c>
      <c r="H1979" t="str">
        <f>VLOOKUP(C1979,'[1]873'!$C$2:$C$711,1,0)</f>
        <v>815-2025</v>
      </c>
    </row>
    <row r="1980" spans="1:8" ht="15" customHeight="1" x14ac:dyDescent="0.25">
      <c r="A1980" s="2">
        <v>45950</v>
      </c>
      <c r="B1980">
        <v>2025002353</v>
      </c>
      <c r="C1980" t="s">
        <v>1823</v>
      </c>
      <c r="D1980" s="11">
        <v>3150000</v>
      </c>
      <c r="E1980">
        <v>1085275473</v>
      </c>
      <c r="F1980" t="s">
        <v>693</v>
      </c>
      <c r="G1980" t="s">
        <v>1755</v>
      </c>
      <c r="H1980" t="str">
        <f>VLOOKUP(C1980,'[1]873'!$C$2:$C$711,1,0)</f>
        <v>839-2025</v>
      </c>
    </row>
    <row r="1981" spans="1:8" ht="15" customHeight="1" x14ac:dyDescent="0.25">
      <c r="A1981" s="2">
        <v>45951</v>
      </c>
      <c r="B1981">
        <v>2025002357</v>
      </c>
      <c r="C1981" t="s">
        <v>1824</v>
      </c>
      <c r="D1981" s="11">
        <v>4730000</v>
      </c>
      <c r="E1981">
        <v>36756149</v>
      </c>
      <c r="F1981" t="s">
        <v>1825</v>
      </c>
      <c r="G1981" t="s">
        <v>1755</v>
      </c>
      <c r="H1981" t="str">
        <f>VLOOKUP(C1981,'[1]873'!$C$2:$C$711,1,0)</f>
        <v>818-2025</v>
      </c>
    </row>
    <row r="1982" spans="1:8" ht="15" customHeight="1" x14ac:dyDescent="0.25">
      <c r="A1982" s="2">
        <v>45951</v>
      </c>
      <c r="B1982">
        <v>2025002361</v>
      </c>
      <c r="C1982" t="s">
        <v>1826</v>
      </c>
      <c r="D1982" s="11">
        <v>7800000</v>
      </c>
      <c r="E1982">
        <v>1233189066</v>
      </c>
      <c r="F1982" t="s">
        <v>239</v>
      </c>
      <c r="G1982" t="s">
        <v>1755</v>
      </c>
      <c r="H1982" t="str">
        <f>VLOOKUP(C1982,'[1]873'!$C$2:$C$711,1,0)</f>
        <v>833-2025</v>
      </c>
    </row>
    <row r="1983" spans="1:8" ht="15" customHeight="1" x14ac:dyDescent="0.25">
      <c r="A1983" s="2">
        <v>45951</v>
      </c>
      <c r="B1983">
        <v>2025002363</v>
      </c>
      <c r="C1983" t="s">
        <v>1827</v>
      </c>
      <c r="D1983" s="11">
        <v>3150000</v>
      </c>
      <c r="E1983">
        <v>1137624011</v>
      </c>
      <c r="F1983" t="s">
        <v>243</v>
      </c>
      <c r="G1983" t="s">
        <v>1755</v>
      </c>
      <c r="H1983" t="str">
        <f>VLOOKUP(C1983,'[1]873'!$C$2:$C$711,1,0)</f>
        <v>794-2025</v>
      </c>
    </row>
    <row r="1984" spans="1:8" ht="15" customHeight="1" x14ac:dyDescent="0.25">
      <c r="A1984" s="2">
        <v>45951</v>
      </c>
      <c r="B1984">
        <v>2025002365</v>
      </c>
      <c r="C1984" t="s">
        <v>1828</v>
      </c>
      <c r="D1984" s="11">
        <v>1575000</v>
      </c>
      <c r="E1984">
        <v>1086330124</v>
      </c>
      <c r="F1984" t="s">
        <v>1829</v>
      </c>
      <c r="G1984" t="s">
        <v>1755</v>
      </c>
      <c r="H1984" t="str">
        <f>VLOOKUP(C1984,'[1]873'!$C$2:$C$711,1,0)</f>
        <v>925-2025</v>
      </c>
    </row>
    <row r="1985" spans="1:8" ht="15" customHeight="1" x14ac:dyDescent="0.25">
      <c r="A1985" s="2">
        <v>45951</v>
      </c>
      <c r="B1985">
        <v>2025002366</v>
      </c>
      <c r="C1985" t="s">
        <v>1830</v>
      </c>
      <c r="D1985" s="11">
        <v>7800000</v>
      </c>
      <c r="E1985">
        <v>1084552063</v>
      </c>
      <c r="F1985" t="s">
        <v>1831</v>
      </c>
      <c r="G1985" t="s">
        <v>1755</v>
      </c>
      <c r="H1985" t="str">
        <f>VLOOKUP(C1985,'[1]873'!$C$2:$C$711,1,0)</f>
        <v>831-2025</v>
      </c>
    </row>
    <row r="1986" spans="1:8" ht="15" customHeight="1" x14ac:dyDescent="0.25">
      <c r="A1986" s="2">
        <v>45951</v>
      </c>
      <c r="B1986">
        <v>2025002367</v>
      </c>
      <c r="C1986" t="s">
        <v>1832</v>
      </c>
      <c r="D1986" s="11">
        <v>3150000</v>
      </c>
      <c r="E1986">
        <v>1004235479</v>
      </c>
      <c r="F1986" t="s">
        <v>477</v>
      </c>
      <c r="G1986" t="s">
        <v>1755</v>
      </c>
      <c r="H1986" t="str">
        <f>VLOOKUP(C1986,'[1]873'!$C$2:$C$711,1,0)</f>
        <v>811-2025</v>
      </c>
    </row>
    <row r="1987" spans="1:8" ht="15" customHeight="1" x14ac:dyDescent="0.25">
      <c r="A1987" s="2">
        <v>45951</v>
      </c>
      <c r="B1987">
        <v>2025002369</v>
      </c>
      <c r="C1987" t="s">
        <v>1833</v>
      </c>
      <c r="D1987" s="11">
        <v>6300000</v>
      </c>
      <c r="E1987">
        <v>59310291</v>
      </c>
      <c r="F1987" t="s">
        <v>1834</v>
      </c>
      <c r="G1987" t="s">
        <v>1755</v>
      </c>
      <c r="H1987" t="str">
        <f>VLOOKUP(C1987,'[1]873'!$C$2:$C$711,1,0)</f>
        <v>834-2025</v>
      </c>
    </row>
    <row r="1988" spans="1:8" ht="15" customHeight="1" x14ac:dyDescent="0.25">
      <c r="A1988" s="2">
        <v>45951</v>
      </c>
      <c r="B1988">
        <v>2025002370</v>
      </c>
      <c r="C1988" t="s">
        <v>1835</v>
      </c>
      <c r="D1988" s="11">
        <v>3150000</v>
      </c>
      <c r="E1988">
        <v>1085286725</v>
      </c>
      <c r="F1988" t="s">
        <v>111</v>
      </c>
      <c r="G1988" t="s">
        <v>1755</v>
      </c>
      <c r="H1988" t="str">
        <f>VLOOKUP(C1988,'[1]873'!$C$2:$C$711,1,0)</f>
        <v>826-2025</v>
      </c>
    </row>
    <row r="1989" spans="1:8" ht="15" customHeight="1" x14ac:dyDescent="0.25">
      <c r="A1989" s="2">
        <v>45951</v>
      </c>
      <c r="B1989">
        <v>2025002372</v>
      </c>
      <c r="C1989" t="s">
        <v>1836</v>
      </c>
      <c r="D1989" s="11">
        <v>4730000</v>
      </c>
      <c r="E1989">
        <v>36757491</v>
      </c>
      <c r="F1989" t="s">
        <v>1837</v>
      </c>
      <c r="G1989" t="s">
        <v>1755</v>
      </c>
      <c r="H1989" t="str">
        <f>VLOOKUP(C1989,'[1]873'!$C$2:$C$711,1,0)</f>
        <v>749-2025</v>
      </c>
    </row>
    <row r="1990" spans="1:8" ht="15" customHeight="1" x14ac:dyDescent="0.25">
      <c r="A1990" s="2">
        <v>45951</v>
      </c>
      <c r="B1990">
        <v>2025002373</v>
      </c>
      <c r="C1990" t="s">
        <v>1838</v>
      </c>
      <c r="D1990" s="11">
        <v>6300000</v>
      </c>
      <c r="E1990">
        <v>1084228089</v>
      </c>
      <c r="F1990" t="s">
        <v>1062</v>
      </c>
      <c r="G1990" t="s">
        <v>1755</v>
      </c>
      <c r="H1990" t="str">
        <f>VLOOKUP(C1990,'[1]873'!$C$2:$C$711,1,0)</f>
        <v>775-2025</v>
      </c>
    </row>
    <row r="1991" spans="1:8" ht="15" customHeight="1" x14ac:dyDescent="0.25">
      <c r="A1991" s="2">
        <v>45951</v>
      </c>
      <c r="B1991">
        <v>2025002374</v>
      </c>
      <c r="C1991" t="s">
        <v>1839</v>
      </c>
      <c r="D1991" s="11">
        <v>4730000</v>
      </c>
      <c r="E1991">
        <v>1085340885</v>
      </c>
      <c r="F1991" t="s">
        <v>1142</v>
      </c>
      <c r="G1991" t="s">
        <v>1755</v>
      </c>
      <c r="H1991" t="str">
        <f>VLOOKUP(C1991,'[1]873'!$C$2:$C$711,1,0)</f>
        <v>726-2025</v>
      </c>
    </row>
    <row r="1992" spans="1:8" ht="15" customHeight="1" x14ac:dyDescent="0.25">
      <c r="A1992" s="2">
        <v>45951</v>
      </c>
      <c r="B1992">
        <v>2025002375</v>
      </c>
      <c r="C1992" t="s">
        <v>1840</v>
      </c>
      <c r="D1992" s="11">
        <v>7800000</v>
      </c>
      <c r="E1992">
        <v>1085334279</v>
      </c>
      <c r="F1992" t="s">
        <v>1841</v>
      </c>
      <c r="G1992" t="s">
        <v>1755</v>
      </c>
      <c r="H1992" t="str">
        <f>VLOOKUP(C1992,'[1]873'!$C$2:$C$711,1,0)</f>
        <v>744-2025</v>
      </c>
    </row>
    <row r="1993" spans="1:8" ht="15" customHeight="1" x14ac:dyDescent="0.25">
      <c r="A1993" s="2">
        <v>45951</v>
      </c>
      <c r="B1993">
        <v>2025002376</v>
      </c>
      <c r="C1993" t="s">
        <v>1842</v>
      </c>
      <c r="D1993" s="11">
        <v>3150000</v>
      </c>
      <c r="E1993">
        <v>1089458776</v>
      </c>
      <c r="F1993" t="s">
        <v>1843</v>
      </c>
      <c r="G1993" t="s">
        <v>1755</v>
      </c>
      <c r="H1993" t="str">
        <f>VLOOKUP(C1993,'[1]873'!$C$2:$C$711,1,0)</f>
        <v>859-2025</v>
      </c>
    </row>
    <row r="1994" spans="1:8" ht="15" customHeight="1" x14ac:dyDescent="0.25">
      <c r="A1994" s="2">
        <v>45951</v>
      </c>
      <c r="B1994">
        <v>2025002377</v>
      </c>
      <c r="C1994" t="s">
        <v>1844</v>
      </c>
      <c r="D1994" s="11">
        <v>7800000</v>
      </c>
      <c r="E1994">
        <v>37087120</v>
      </c>
      <c r="F1994" t="s">
        <v>159</v>
      </c>
      <c r="G1994" t="s">
        <v>1755</v>
      </c>
      <c r="H1994" t="str">
        <f>VLOOKUP(C1994,'[1]873'!$C$2:$C$711,1,0)</f>
        <v>822-2025</v>
      </c>
    </row>
    <row r="1995" spans="1:8" ht="15" customHeight="1" x14ac:dyDescent="0.25">
      <c r="A1995" s="2">
        <v>45951</v>
      </c>
      <c r="B1995">
        <v>2025002378</v>
      </c>
      <c r="C1995" t="s">
        <v>1845</v>
      </c>
      <c r="D1995" s="11">
        <v>6300000</v>
      </c>
      <c r="E1995">
        <v>1084551863</v>
      </c>
      <c r="F1995" t="s">
        <v>1846</v>
      </c>
      <c r="G1995" t="s">
        <v>1755</v>
      </c>
      <c r="H1995" t="str">
        <f>VLOOKUP(C1995,'[1]873'!$C$2:$C$711,1,0)</f>
        <v>853-2025</v>
      </c>
    </row>
    <row r="1996" spans="1:8" ht="15" customHeight="1" x14ac:dyDescent="0.25">
      <c r="A1996" s="2">
        <v>45951</v>
      </c>
      <c r="B1996">
        <v>2025002379</v>
      </c>
      <c r="C1996" t="s">
        <v>1847</v>
      </c>
      <c r="D1996" s="11">
        <v>6300000</v>
      </c>
      <c r="E1996">
        <v>27090399</v>
      </c>
      <c r="F1996" t="s">
        <v>1848</v>
      </c>
      <c r="G1996" t="s">
        <v>1755</v>
      </c>
      <c r="H1996" t="str">
        <f>VLOOKUP(C1996,'[1]873'!$C$2:$C$711,1,0)</f>
        <v>856-2025</v>
      </c>
    </row>
    <row r="1997" spans="1:8" ht="15" customHeight="1" x14ac:dyDescent="0.25">
      <c r="A1997" s="2">
        <v>45951</v>
      </c>
      <c r="B1997">
        <v>2025002380</v>
      </c>
      <c r="C1997" t="s">
        <v>1849</v>
      </c>
      <c r="D1997" s="11">
        <v>7800000</v>
      </c>
      <c r="E1997">
        <v>1085336362</v>
      </c>
      <c r="F1997" t="s">
        <v>41</v>
      </c>
      <c r="G1997" t="s">
        <v>1755</v>
      </c>
      <c r="H1997" t="str">
        <f>VLOOKUP(C1997,'[1]873'!$C$2:$C$711,1,0)</f>
        <v>711-2025</v>
      </c>
    </row>
    <row r="1998" spans="1:8" ht="15" customHeight="1" x14ac:dyDescent="0.25">
      <c r="A1998" s="2">
        <v>45951</v>
      </c>
      <c r="B1998">
        <v>2025002381</v>
      </c>
      <c r="C1998" t="s">
        <v>1850</v>
      </c>
      <c r="D1998" s="11">
        <v>4730000</v>
      </c>
      <c r="E1998">
        <v>1085260497</v>
      </c>
      <c r="F1998" t="s">
        <v>429</v>
      </c>
      <c r="G1998" t="s">
        <v>1755</v>
      </c>
      <c r="H1998" t="str">
        <f>VLOOKUP(C1998,'[1]873'!$C$2:$C$711,1,0)</f>
        <v>748-2025</v>
      </c>
    </row>
    <row r="1999" spans="1:8" ht="15" customHeight="1" x14ac:dyDescent="0.25">
      <c r="A1999" s="2">
        <v>45951</v>
      </c>
      <c r="B1999">
        <v>2025002382</v>
      </c>
      <c r="C1999" t="s">
        <v>1851</v>
      </c>
      <c r="D1999" s="11">
        <v>7800000</v>
      </c>
      <c r="E1999">
        <v>1193292339</v>
      </c>
      <c r="F1999" t="s">
        <v>1852</v>
      </c>
      <c r="G1999" t="s">
        <v>1755</v>
      </c>
      <c r="H1999" t="str">
        <f>VLOOKUP(C1999,'[1]873'!$C$2:$C$711,1,0)</f>
        <v>772-2025</v>
      </c>
    </row>
    <row r="2000" spans="1:8" ht="15" customHeight="1" x14ac:dyDescent="0.25">
      <c r="A2000" s="2">
        <v>45951</v>
      </c>
      <c r="B2000">
        <v>2025002384</v>
      </c>
      <c r="C2000" t="s">
        <v>1853</v>
      </c>
      <c r="D2000" s="11">
        <v>4730000</v>
      </c>
      <c r="E2000">
        <v>1085318684</v>
      </c>
      <c r="F2000" t="s">
        <v>355</v>
      </c>
      <c r="G2000" t="s">
        <v>1755</v>
      </c>
      <c r="H2000" t="str">
        <f>VLOOKUP(C2000,'[1]873'!$C$2:$C$711,1,0)</f>
        <v>770-2025</v>
      </c>
    </row>
    <row r="2001" spans="1:8" ht="15" customHeight="1" x14ac:dyDescent="0.25">
      <c r="A2001" s="2">
        <v>45951</v>
      </c>
      <c r="B2001">
        <v>2025002385</v>
      </c>
      <c r="C2001" t="s">
        <v>1854</v>
      </c>
      <c r="D2001" s="11">
        <v>6300000</v>
      </c>
      <c r="E2001">
        <v>37086513</v>
      </c>
      <c r="F2001" t="s">
        <v>1855</v>
      </c>
      <c r="G2001" t="s">
        <v>1755</v>
      </c>
      <c r="H2001" t="str">
        <f>VLOOKUP(C2001,'[1]873'!$C$2:$C$711,1,0)</f>
        <v>788-2025</v>
      </c>
    </row>
    <row r="2002" spans="1:8" ht="15" customHeight="1" x14ac:dyDescent="0.25">
      <c r="A2002" s="2">
        <v>45951</v>
      </c>
      <c r="B2002">
        <v>2025002386</v>
      </c>
      <c r="C2002" t="s">
        <v>1856</v>
      </c>
      <c r="D2002" s="11">
        <v>3150000</v>
      </c>
      <c r="E2002">
        <v>1087006717</v>
      </c>
      <c r="F2002" t="s">
        <v>1163</v>
      </c>
      <c r="G2002" t="s">
        <v>1755</v>
      </c>
      <c r="H2002" t="str">
        <f>VLOOKUP(C2002,'[1]873'!$C$2:$C$711,1,0)</f>
        <v>737-2025</v>
      </c>
    </row>
    <row r="2003" spans="1:8" ht="15" customHeight="1" x14ac:dyDescent="0.25">
      <c r="A2003" s="2">
        <v>45951</v>
      </c>
      <c r="B2003">
        <v>2025002388</v>
      </c>
      <c r="C2003" t="s">
        <v>1857</v>
      </c>
      <c r="D2003" s="11">
        <v>3150000</v>
      </c>
      <c r="E2003">
        <v>1233189234</v>
      </c>
      <c r="F2003" t="s">
        <v>87</v>
      </c>
      <c r="G2003" t="s">
        <v>1755</v>
      </c>
      <c r="H2003" t="str">
        <f>VLOOKUP(C2003,'[1]873'!$C$2:$C$711,1,0)</f>
        <v>754-2025</v>
      </c>
    </row>
    <row r="2004" spans="1:8" ht="15" customHeight="1" x14ac:dyDescent="0.25">
      <c r="A2004" s="2">
        <v>45952</v>
      </c>
      <c r="B2004">
        <v>2025002389</v>
      </c>
      <c r="C2004" t="s">
        <v>1858</v>
      </c>
      <c r="D2004" s="11">
        <v>4730000</v>
      </c>
      <c r="E2004">
        <v>1087960287</v>
      </c>
      <c r="F2004" t="s">
        <v>1859</v>
      </c>
      <c r="G2004" t="s">
        <v>1755</v>
      </c>
      <c r="H2004" t="str">
        <f>VLOOKUP(C2004,'[1]873'!$C$2:$C$711,1,0)</f>
        <v>838-2025</v>
      </c>
    </row>
    <row r="2005" spans="1:8" ht="15" customHeight="1" x14ac:dyDescent="0.25">
      <c r="A2005" s="2">
        <v>45952</v>
      </c>
      <c r="B2005">
        <v>2025002390</v>
      </c>
      <c r="C2005" t="s">
        <v>1860</v>
      </c>
      <c r="D2005" s="11">
        <v>7800000</v>
      </c>
      <c r="E2005">
        <v>80765093</v>
      </c>
      <c r="F2005" t="s">
        <v>69</v>
      </c>
      <c r="G2005" t="s">
        <v>1755</v>
      </c>
      <c r="H2005" t="str">
        <f>VLOOKUP(C2005,'[1]873'!$C$2:$C$711,1,0)</f>
        <v>807-2025</v>
      </c>
    </row>
    <row r="2006" spans="1:8" ht="15" customHeight="1" x14ac:dyDescent="0.25">
      <c r="A2006" s="2">
        <v>45952</v>
      </c>
      <c r="B2006">
        <v>2025002393</v>
      </c>
      <c r="C2006" t="s">
        <v>1861</v>
      </c>
      <c r="D2006" s="11">
        <v>7800000</v>
      </c>
      <c r="E2006">
        <v>1006946167</v>
      </c>
      <c r="F2006" t="s">
        <v>63</v>
      </c>
      <c r="G2006" t="s">
        <v>1755</v>
      </c>
      <c r="H2006" t="str">
        <f>VLOOKUP(C2006,'[1]873'!$C$2:$C$711,1,0)</f>
        <v>723-2025</v>
      </c>
    </row>
    <row r="2007" spans="1:8" ht="15" customHeight="1" x14ac:dyDescent="0.25">
      <c r="A2007" s="2">
        <v>45952</v>
      </c>
      <c r="B2007">
        <v>2025002394</v>
      </c>
      <c r="C2007" t="s">
        <v>1862</v>
      </c>
      <c r="D2007" s="11">
        <v>6300000</v>
      </c>
      <c r="E2007">
        <v>1085284997</v>
      </c>
      <c r="F2007" t="s">
        <v>1863</v>
      </c>
      <c r="G2007" t="s">
        <v>1755</v>
      </c>
      <c r="H2007" t="str">
        <f>VLOOKUP(C2007,'[1]873'!$C$2:$C$711,1,0)</f>
        <v>785-2025</v>
      </c>
    </row>
    <row r="2008" spans="1:8" ht="15" customHeight="1" x14ac:dyDescent="0.25">
      <c r="A2008" s="2">
        <v>45952</v>
      </c>
      <c r="B2008">
        <v>2025002395</v>
      </c>
      <c r="C2008" t="s">
        <v>1864</v>
      </c>
      <c r="D2008" s="11">
        <v>3150000</v>
      </c>
      <c r="E2008">
        <v>1089458048</v>
      </c>
      <c r="F2008" t="s">
        <v>1865</v>
      </c>
      <c r="G2008" t="s">
        <v>1755</v>
      </c>
      <c r="H2008" t="str">
        <f>VLOOKUP(C2008,'[1]873'!$C$2:$C$711,1,0)</f>
        <v>813-2025</v>
      </c>
    </row>
    <row r="2009" spans="1:8" ht="15" customHeight="1" x14ac:dyDescent="0.25">
      <c r="A2009" s="2">
        <v>45952</v>
      </c>
      <c r="B2009">
        <v>2025002396</v>
      </c>
      <c r="C2009" t="s">
        <v>1866</v>
      </c>
      <c r="D2009" s="11">
        <v>3150000</v>
      </c>
      <c r="E2009">
        <v>1086358836</v>
      </c>
      <c r="F2009" t="s">
        <v>1867</v>
      </c>
      <c r="G2009" t="s">
        <v>1755</v>
      </c>
      <c r="H2009" t="str">
        <f>VLOOKUP(C2009,'[1]873'!$C$2:$C$711,1,0)</f>
        <v>803-2025</v>
      </c>
    </row>
    <row r="2010" spans="1:8" ht="15" customHeight="1" x14ac:dyDescent="0.25">
      <c r="A2010" s="2">
        <v>45952</v>
      </c>
      <c r="B2010">
        <v>2025002397</v>
      </c>
      <c r="C2010" t="s">
        <v>1868</v>
      </c>
      <c r="D2010" s="11">
        <v>3150000</v>
      </c>
      <c r="E2010">
        <v>36752202</v>
      </c>
      <c r="F2010" t="s">
        <v>263</v>
      </c>
      <c r="G2010" t="s">
        <v>1755</v>
      </c>
      <c r="H2010" t="str">
        <f>VLOOKUP(C2010,'[1]873'!$C$2:$C$711,1,0)</f>
        <v>732-2025</v>
      </c>
    </row>
    <row r="2011" spans="1:8" ht="15" customHeight="1" x14ac:dyDescent="0.25">
      <c r="A2011" s="2">
        <v>45952</v>
      </c>
      <c r="B2011">
        <v>2025002399</v>
      </c>
      <c r="C2011" t="s">
        <v>1869</v>
      </c>
      <c r="D2011" s="11">
        <v>7800000</v>
      </c>
      <c r="E2011">
        <v>1085329980</v>
      </c>
      <c r="F2011" t="s">
        <v>791</v>
      </c>
      <c r="G2011" t="s">
        <v>1755</v>
      </c>
      <c r="H2011" t="str">
        <f>VLOOKUP(C2011,'[1]873'!$C$2:$C$711,1,0)</f>
        <v>762-2025</v>
      </c>
    </row>
    <row r="2012" spans="1:8" ht="15" customHeight="1" x14ac:dyDescent="0.25">
      <c r="A2012" s="2">
        <v>45952</v>
      </c>
      <c r="B2012">
        <v>2025002400</v>
      </c>
      <c r="C2012" t="s">
        <v>1870</v>
      </c>
      <c r="D2012" s="11">
        <v>4730000</v>
      </c>
      <c r="E2012">
        <v>1087413951</v>
      </c>
      <c r="F2012" t="s">
        <v>95</v>
      </c>
      <c r="G2012" t="s">
        <v>1755</v>
      </c>
      <c r="H2012" t="str">
        <f>VLOOKUP(C2012,'[1]873'!$C$2:$C$711,1,0)</f>
        <v>730-2025</v>
      </c>
    </row>
    <row r="2013" spans="1:8" ht="15" customHeight="1" x14ac:dyDescent="0.25">
      <c r="A2013" s="2">
        <v>45952</v>
      </c>
      <c r="B2013">
        <v>2025002401</v>
      </c>
      <c r="C2013" t="s">
        <v>1871</v>
      </c>
      <c r="D2013" s="11">
        <v>7800000</v>
      </c>
      <c r="E2013">
        <v>1083814276</v>
      </c>
      <c r="F2013" t="s">
        <v>1872</v>
      </c>
      <c r="G2013" t="s">
        <v>1755</v>
      </c>
      <c r="H2013" t="str">
        <f>VLOOKUP(C2013,'[1]873'!$C$2:$C$711,1,0)</f>
        <v>786-2025</v>
      </c>
    </row>
    <row r="2014" spans="1:8" ht="15" customHeight="1" x14ac:dyDescent="0.25">
      <c r="A2014" s="2">
        <v>45952</v>
      </c>
      <c r="B2014">
        <v>2025002402</v>
      </c>
      <c r="C2014" t="s">
        <v>1873</v>
      </c>
      <c r="D2014" s="11">
        <v>3150000</v>
      </c>
      <c r="E2014">
        <v>1087644986</v>
      </c>
      <c r="F2014" t="s">
        <v>1874</v>
      </c>
      <c r="G2014" t="s">
        <v>1755</v>
      </c>
      <c r="H2014" t="str">
        <f>VLOOKUP(C2014,'[1]873'!$C$2:$C$711,1,0)</f>
        <v>782-2025</v>
      </c>
    </row>
    <row r="2015" spans="1:8" ht="15" customHeight="1" x14ac:dyDescent="0.25">
      <c r="A2015" s="2">
        <v>45952</v>
      </c>
      <c r="B2015">
        <v>2025002403</v>
      </c>
      <c r="C2015" t="s">
        <v>1875</v>
      </c>
      <c r="D2015" s="11">
        <v>7800000</v>
      </c>
      <c r="E2015">
        <v>1087006619</v>
      </c>
      <c r="F2015" t="s">
        <v>1218</v>
      </c>
      <c r="G2015" t="s">
        <v>1755</v>
      </c>
      <c r="H2015" t="str">
        <f>VLOOKUP(C2015,'[1]873'!$C$2:$C$711,1,0)</f>
        <v>755-2025</v>
      </c>
    </row>
    <row r="2016" spans="1:8" ht="15" customHeight="1" x14ac:dyDescent="0.25">
      <c r="A2016" s="2">
        <v>45952</v>
      </c>
      <c r="B2016">
        <v>2025002404</v>
      </c>
      <c r="C2016" t="s">
        <v>1876</v>
      </c>
      <c r="D2016" s="11">
        <v>3150000</v>
      </c>
      <c r="E2016">
        <v>1081052746</v>
      </c>
      <c r="F2016" t="s">
        <v>658</v>
      </c>
      <c r="G2016" t="s">
        <v>1755</v>
      </c>
      <c r="H2016" t="str">
        <f>VLOOKUP(C2016,'[1]873'!$C$2:$C$711,1,0)</f>
        <v>855-2025</v>
      </c>
    </row>
    <row r="2017" spans="1:8" ht="15" customHeight="1" x14ac:dyDescent="0.25">
      <c r="A2017" s="2">
        <v>45952</v>
      </c>
      <c r="B2017">
        <v>2025002405</v>
      </c>
      <c r="C2017" t="s">
        <v>1877</v>
      </c>
      <c r="D2017" s="11">
        <v>1575000</v>
      </c>
      <c r="E2017">
        <v>1084552048</v>
      </c>
      <c r="F2017" t="s">
        <v>1230</v>
      </c>
      <c r="G2017" t="s">
        <v>1755</v>
      </c>
      <c r="H2017" t="str">
        <f>VLOOKUP(C2017,'[1]873'!$C$2:$C$711,1,0)</f>
        <v>894-2025</v>
      </c>
    </row>
    <row r="2018" spans="1:8" ht="15" customHeight="1" x14ac:dyDescent="0.25">
      <c r="A2018" s="2">
        <v>45952</v>
      </c>
      <c r="B2018">
        <v>2025002406</v>
      </c>
      <c r="C2018" t="s">
        <v>1878</v>
      </c>
      <c r="D2018" s="11">
        <v>3150000</v>
      </c>
      <c r="E2018">
        <v>1085302942</v>
      </c>
      <c r="F2018" t="s">
        <v>417</v>
      </c>
      <c r="G2018" t="s">
        <v>1755</v>
      </c>
      <c r="H2018" t="str">
        <f>VLOOKUP(C2018,'[1]873'!$C$2:$C$711,1,0)</f>
        <v>840-2025</v>
      </c>
    </row>
    <row r="2019" spans="1:8" ht="15" customHeight="1" x14ac:dyDescent="0.25">
      <c r="A2019" s="2">
        <v>45952</v>
      </c>
      <c r="B2019">
        <v>2025002407</v>
      </c>
      <c r="C2019" t="s">
        <v>1879</v>
      </c>
      <c r="D2019" s="11">
        <v>3150000</v>
      </c>
      <c r="E2019">
        <v>1085335033</v>
      </c>
      <c r="F2019" t="s">
        <v>1880</v>
      </c>
      <c r="G2019" t="s">
        <v>1755</v>
      </c>
      <c r="H2019" t="str">
        <f>VLOOKUP(C2019,'[1]873'!$C$2:$C$711,1,0)</f>
        <v>830-2025</v>
      </c>
    </row>
    <row r="2020" spans="1:8" ht="15" customHeight="1" x14ac:dyDescent="0.25">
      <c r="A2020" s="2">
        <v>45952</v>
      </c>
      <c r="B2020">
        <v>2025002408</v>
      </c>
      <c r="C2020" t="s">
        <v>1881</v>
      </c>
      <c r="D2020" s="11">
        <v>3150000</v>
      </c>
      <c r="E2020">
        <v>1085267332</v>
      </c>
      <c r="F2020" t="s">
        <v>1882</v>
      </c>
      <c r="G2020" t="s">
        <v>1755</v>
      </c>
      <c r="H2020" t="str">
        <f>VLOOKUP(C2020,'[1]873'!$C$2:$C$711,1,0)</f>
        <v>864-2025</v>
      </c>
    </row>
    <row r="2021" spans="1:8" ht="15" customHeight="1" x14ac:dyDescent="0.25">
      <c r="A2021" s="2">
        <v>45952</v>
      </c>
      <c r="B2021">
        <v>2025002409</v>
      </c>
      <c r="C2021" t="s">
        <v>1883</v>
      </c>
      <c r="D2021" s="11">
        <v>6300000</v>
      </c>
      <c r="E2021">
        <v>1085296068</v>
      </c>
      <c r="F2021" t="s">
        <v>1884</v>
      </c>
      <c r="G2021" t="s">
        <v>1755</v>
      </c>
      <c r="H2021" t="str">
        <f>VLOOKUP(C2021,'[1]873'!$C$2:$C$711,1,0)</f>
        <v>757-2025</v>
      </c>
    </row>
    <row r="2022" spans="1:8" ht="15" customHeight="1" x14ac:dyDescent="0.25">
      <c r="A2022" s="2">
        <v>45952</v>
      </c>
      <c r="B2022">
        <v>2025002410</v>
      </c>
      <c r="C2022" t="s">
        <v>1885</v>
      </c>
      <c r="D2022" s="11">
        <v>3150000</v>
      </c>
      <c r="E2022">
        <v>27549931</v>
      </c>
      <c r="F2022" t="s">
        <v>1886</v>
      </c>
      <c r="G2022" t="s">
        <v>1755</v>
      </c>
      <c r="H2022" t="str">
        <f>VLOOKUP(C2022,'[1]873'!$C$2:$C$711,1,0)</f>
        <v>871-2025</v>
      </c>
    </row>
    <row r="2023" spans="1:8" ht="15" customHeight="1" x14ac:dyDescent="0.25">
      <c r="A2023" s="2">
        <v>45952</v>
      </c>
      <c r="B2023">
        <v>2025002412</v>
      </c>
      <c r="C2023" t="s">
        <v>1887</v>
      </c>
      <c r="D2023" s="11">
        <v>4730000</v>
      </c>
      <c r="E2023">
        <v>1084227101</v>
      </c>
      <c r="F2023" t="s">
        <v>1888</v>
      </c>
      <c r="G2023" t="s">
        <v>1755</v>
      </c>
      <c r="H2023" t="str">
        <f>VLOOKUP(C2023,'[1]873'!$C$2:$C$711,1,0)</f>
        <v>742-2025</v>
      </c>
    </row>
    <row r="2024" spans="1:8" ht="15" customHeight="1" x14ac:dyDescent="0.25">
      <c r="A2024" s="2">
        <v>45952</v>
      </c>
      <c r="B2024">
        <v>2025002413</v>
      </c>
      <c r="C2024" t="s">
        <v>1889</v>
      </c>
      <c r="D2024" s="11">
        <v>3150000</v>
      </c>
      <c r="E2024">
        <v>1082747438</v>
      </c>
      <c r="F2024" t="s">
        <v>548</v>
      </c>
      <c r="G2024" t="s">
        <v>1755</v>
      </c>
      <c r="H2024" t="str">
        <f>VLOOKUP(C2024,'[1]873'!$C$2:$C$711,1,0)</f>
        <v>854-2025</v>
      </c>
    </row>
    <row r="2025" spans="1:8" ht="15" customHeight="1" x14ac:dyDescent="0.25">
      <c r="A2025" s="2">
        <v>45952</v>
      </c>
      <c r="B2025">
        <v>2025002414</v>
      </c>
      <c r="C2025" t="s">
        <v>1890</v>
      </c>
      <c r="D2025" s="11">
        <v>4730000</v>
      </c>
      <c r="E2025">
        <v>1082749648</v>
      </c>
      <c r="F2025" t="s">
        <v>1891</v>
      </c>
      <c r="G2025" t="s">
        <v>1755</v>
      </c>
      <c r="H2025" t="str">
        <f>VLOOKUP(C2025,'[1]873'!$C$2:$C$711,1,0)</f>
        <v>747-2025</v>
      </c>
    </row>
    <row r="2026" spans="1:8" ht="15" customHeight="1" x14ac:dyDescent="0.25">
      <c r="A2026" s="2">
        <v>45952</v>
      </c>
      <c r="B2026">
        <v>2025002415</v>
      </c>
      <c r="C2026" t="s">
        <v>1892</v>
      </c>
      <c r="D2026" s="11">
        <v>3150000</v>
      </c>
      <c r="E2026">
        <v>37087117</v>
      </c>
      <c r="F2026" t="s">
        <v>1893</v>
      </c>
      <c r="G2026" t="s">
        <v>1755</v>
      </c>
      <c r="H2026" t="str">
        <f>VLOOKUP(C2026,'[1]873'!$C$2:$C$711,1,0)</f>
        <v>836-2025</v>
      </c>
    </row>
    <row r="2027" spans="1:8" ht="15" customHeight="1" x14ac:dyDescent="0.25">
      <c r="A2027" s="2">
        <v>45952</v>
      </c>
      <c r="B2027">
        <v>2025002416</v>
      </c>
      <c r="C2027" t="s">
        <v>1894</v>
      </c>
      <c r="D2027" s="11">
        <v>3150000</v>
      </c>
      <c r="E2027">
        <v>27276869</v>
      </c>
      <c r="F2027" t="s">
        <v>1895</v>
      </c>
      <c r="G2027" t="s">
        <v>1755</v>
      </c>
      <c r="H2027" t="str">
        <f>VLOOKUP(C2027,'[1]873'!$C$2:$C$711,1,0)</f>
        <v>846-2025</v>
      </c>
    </row>
    <row r="2028" spans="1:8" ht="15" customHeight="1" x14ac:dyDescent="0.25">
      <c r="A2028" s="2">
        <v>45952</v>
      </c>
      <c r="B2028">
        <v>2025002417</v>
      </c>
      <c r="C2028" t="s">
        <v>1896</v>
      </c>
      <c r="D2028" s="11">
        <v>1575000</v>
      </c>
      <c r="E2028">
        <v>1086224204</v>
      </c>
      <c r="F2028" t="s">
        <v>1897</v>
      </c>
      <c r="G2028" t="s">
        <v>1755</v>
      </c>
      <c r="H2028" t="str">
        <f>VLOOKUP(C2028,'[1]873'!$C$2:$C$711,1,0)</f>
        <v>896-2025</v>
      </c>
    </row>
    <row r="2029" spans="1:8" ht="15" customHeight="1" x14ac:dyDescent="0.25">
      <c r="A2029" s="2">
        <v>45952</v>
      </c>
      <c r="B2029">
        <v>2025002418</v>
      </c>
      <c r="C2029" t="s">
        <v>1898</v>
      </c>
      <c r="D2029" s="11">
        <v>3150000</v>
      </c>
      <c r="E2029">
        <v>59310056</v>
      </c>
      <c r="F2029" t="s">
        <v>1899</v>
      </c>
      <c r="G2029" t="s">
        <v>1755</v>
      </c>
      <c r="H2029" t="str">
        <f>VLOOKUP(C2029,'[1]873'!$C$2:$C$711,1,0)</f>
        <v>828-2025</v>
      </c>
    </row>
    <row r="2030" spans="1:8" ht="15" customHeight="1" x14ac:dyDescent="0.25">
      <c r="A2030" s="2">
        <v>45952</v>
      </c>
      <c r="B2030">
        <v>2025002419</v>
      </c>
      <c r="C2030" t="s">
        <v>1900</v>
      </c>
      <c r="D2030" s="11">
        <v>6300000</v>
      </c>
      <c r="E2030">
        <v>1082748420</v>
      </c>
      <c r="F2030" t="s">
        <v>450</v>
      </c>
      <c r="G2030" t="s">
        <v>1755</v>
      </c>
      <c r="H2030" t="str">
        <f>VLOOKUP(C2030,'[1]873'!$C$2:$C$711,1,0)</f>
        <v>843-2025</v>
      </c>
    </row>
    <row r="2031" spans="1:8" ht="15" customHeight="1" x14ac:dyDescent="0.25">
      <c r="A2031" s="32">
        <v>45958</v>
      </c>
      <c r="B2031" s="41">
        <v>2025002425</v>
      </c>
      <c r="C2031" s="18" t="s">
        <v>540</v>
      </c>
      <c r="D2031" s="5">
        <v>1500000</v>
      </c>
      <c r="E2031" s="18">
        <v>1089243630</v>
      </c>
      <c r="F2031" s="1" t="s">
        <v>197</v>
      </c>
      <c r="G2031" s="1" t="s">
        <v>9</v>
      </c>
      <c r="H2031" t="e">
        <f>VLOOKUP(C2031,'[1]873'!$C$2:$C$711,1,0)</f>
        <v>#N/A</v>
      </c>
    </row>
    <row r="2032" spans="1:8" ht="15" customHeight="1" x14ac:dyDescent="0.25">
      <c r="A2032" s="2">
        <v>45952</v>
      </c>
      <c r="B2032">
        <v>2025002426</v>
      </c>
      <c r="C2032" t="s">
        <v>1901</v>
      </c>
      <c r="D2032" s="11">
        <v>4730000</v>
      </c>
      <c r="E2032">
        <v>1005829176</v>
      </c>
      <c r="F2032" t="s">
        <v>1902</v>
      </c>
      <c r="G2032" t="s">
        <v>1755</v>
      </c>
      <c r="H2032" t="str">
        <f>VLOOKUP(C2032,'[1]873'!$C$2:$C$711,1,0)</f>
        <v>860-2025</v>
      </c>
    </row>
    <row r="2033" spans="1:8" ht="15" customHeight="1" x14ac:dyDescent="0.25">
      <c r="A2033" s="2">
        <v>45952</v>
      </c>
      <c r="B2033">
        <v>2025002427</v>
      </c>
      <c r="C2033" t="s">
        <v>1903</v>
      </c>
      <c r="D2033" s="11">
        <v>6300000</v>
      </c>
      <c r="E2033">
        <v>1014212900</v>
      </c>
      <c r="F2033" t="s">
        <v>583</v>
      </c>
      <c r="G2033" t="s">
        <v>1755</v>
      </c>
      <c r="H2033" t="str">
        <f>VLOOKUP(C2033,'[1]873'!$C$2:$C$711,1,0)</f>
        <v>823-2025</v>
      </c>
    </row>
    <row r="2034" spans="1:8" ht="15" customHeight="1" x14ac:dyDescent="0.25">
      <c r="A2034" s="2">
        <v>45953</v>
      </c>
      <c r="B2034">
        <v>2025002429</v>
      </c>
      <c r="C2034" t="s">
        <v>1904</v>
      </c>
      <c r="D2034" s="11">
        <v>6300000</v>
      </c>
      <c r="E2034">
        <v>1085277976</v>
      </c>
      <c r="F2034" t="s">
        <v>1084</v>
      </c>
      <c r="G2034" t="s">
        <v>1755</v>
      </c>
      <c r="H2034" t="str">
        <f>VLOOKUP(C2034,'[1]873'!$C$2:$C$711,1,0)</f>
        <v>763-2025</v>
      </c>
    </row>
    <row r="2035" spans="1:8" ht="15" customHeight="1" x14ac:dyDescent="0.25">
      <c r="A2035" s="2">
        <v>45953</v>
      </c>
      <c r="B2035">
        <v>2025002430</v>
      </c>
      <c r="C2035" t="s">
        <v>1905</v>
      </c>
      <c r="D2035" s="11">
        <v>7800000</v>
      </c>
      <c r="E2035">
        <v>1085293105</v>
      </c>
      <c r="F2035" t="s">
        <v>745</v>
      </c>
      <c r="G2035" t="s">
        <v>1755</v>
      </c>
      <c r="H2035" t="str">
        <f>VLOOKUP(C2035,'[1]873'!$C$2:$C$711,1,0)</f>
        <v>767-2025</v>
      </c>
    </row>
    <row r="2036" spans="1:8" ht="15" customHeight="1" x14ac:dyDescent="0.25">
      <c r="A2036" s="2">
        <v>45953</v>
      </c>
      <c r="B2036">
        <v>2025002431</v>
      </c>
      <c r="C2036" t="s">
        <v>1906</v>
      </c>
      <c r="D2036" s="11">
        <v>3150000</v>
      </c>
      <c r="E2036">
        <v>36758143</v>
      </c>
      <c r="F2036" t="s">
        <v>107</v>
      </c>
      <c r="G2036" t="s">
        <v>1755</v>
      </c>
      <c r="H2036" t="str">
        <f>VLOOKUP(C2036,'[1]873'!$C$2:$C$711,1,0)</f>
        <v>797-2025</v>
      </c>
    </row>
    <row r="2037" spans="1:8" ht="15" customHeight="1" x14ac:dyDescent="0.25">
      <c r="A2037" s="2">
        <v>45953</v>
      </c>
      <c r="B2037">
        <v>2025002434</v>
      </c>
      <c r="C2037" t="s">
        <v>1907</v>
      </c>
      <c r="D2037" s="11">
        <v>4730000</v>
      </c>
      <c r="E2037">
        <v>36953206</v>
      </c>
      <c r="F2037" t="s">
        <v>391</v>
      </c>
      <c r="G2037" t="s">
        <v>1755</v>
      </c>
      <c r="H2037" t="str">
        <f>VLOOKUP(C2037,'[1]873'!$C$2:$C$711,1,0)</f>
        <v>771-2025</v>
      </c>
    </row>
    <row r="2038" spans="1:8" ht="15" customHeight="1" x14ac:dyDescent="0.25">
      <c r="A2038" s="2">
        <v>45953</v>
      </c>
      <c r="B2038">
        <v>2025002435</v>
      </c>
      <c r="C2038" t="s">
        <v>1908</v>
      </c>
      <c r="D2038" s="11">
        <v>7800000</v>
      </c>
      <c r="E2038">
        <v>1193202097</v>
      </c>
      <c r="F2038" t="s">
        <v>163</v>
      </c>
      <c r="G2038" t="s">
        <v>1755</v>
      </c>
      <c r="H2038" t="str">
        <f>VLOOKUP(C2038,'[1]873'!$C$2:$C$711,1,0)</f>
        <v>706-2025</v>
      </c>
    </row>
    <row r="2039" spans="1:8" ht="15" customHeight="1" x14ac:dyDescent="0.25">
      <c r="A2039" s="2">
        <v>45953</v>
      </c>
      <c r="B2039">
        <v>2025002436</v>
      </c>
      <c r="C2039" t="s">
        <v>1909</v>
      </c>
      <c r="D2039" s="11">
        <v>6300000</v>
      </c>
      <c r="E2039">
        <v>59820414</v>
      </c>
      <c r="F2039" t="s">
        <v>457</v>
      </c>
      <c r="G2039" t="s">
        <v>1755</v>
      </c>
      <c r="H2039" t="str">
        <f>VLOOKUP(C2039,'[1]873'!$C$2:$C$711,1,0)</f>
        <v>741-2025</v>
      </c>
    </row>
    <row r="2040" spans="1:8" ht="15" customHeight="1" x14ac:dyDescent="0.25">
      <c r="A2040" s="2">
        <v>45953</v>
      </c>
      <c r="B2040">
        <v>2025002437</v>
      </c>
      <c r="C2040" t="s">
        <v>1910</v>
      </c>
      <c r="D2040" s="11">
        <v>4730000</v>
      </c>
      <c r="E2040">
        <v>59651018</v>
      </c>
      <c r="F2040" t="s">
        <v>493</v>
      </c>
      <c r="G2040" t="s">
        <v>1755</v>
      </c>
      <c r="H2040" t="str">
        <f>VLOOKUP(C2040,'[1]873'!$C$2:$C$711,1,0)</f>
        <v>764-2025</v>
      </c>
    </row>
    <row r="2041" spans="1:8" ht="15" customHeight="1" x14ac:dyDescent="0.25">
      <c r="A2041" s="2">
        <v>45953</v>
      </c>
      <c r="B2041">
        <v>2025002438</v>
      </c>
      <c r="C2041" t="s">
        <v>1911</v>
      </c>
      <c r="D2041" s="11">
        <v>3150000</v>
      </c>
      <c r="E2041">
        <v>1085271641</v>
      </c>
      <c r="F2041" t="s">
        <v>251</v>
      </c>
      <c r="G2041" t="s">
        <v>1755</v>
      </c>
      <c r="H2041" t="str">
        <f>VLOOKUP(C2041,'[1]873'!$C$2:$C$711,1,0)</f>
        <v>802-2025</v>
      </c>
    </row>
    <row r="2042" spans="1:8" ht="15" customHeight="1" x14ac:dyDescent="0.25">
      <c r="A2042" s="2">
        <v>45954</v>
      </c>
      <c r="B2042">
        <v>2025002439</v>
      </c>
      <c r="C2042" t="s">
        <v>1912</v>
      </c>
      <c r="D2042" s="11">
        <v>3150000</v>
      </c>
      <c r="E2042">
        <v>59310853</v>
      </c>
      <c r="F2042" t="s">
        <v>1202</v>
      </c>
      <c r="G2042" t="s">
        <v>1755</v>
      </c>
      <c r="H2042" t="str">
        <f>VLOOKUP(C2042,'[1]873'!$C$2:$C$711,1,0)</f>
        <v>837-2025</v>
      </c>
    </row>
    <row r="2043" spans="1:8" ht="15" customHeight="1" x14ac:dyDescent="0.25">
      <c r="A2043" s="2">
        <v>45954</v>
      </c>
      <c r="B2043">
        <v>2025002442</v>
      </c>
      <c r="C2043" t="s">
        <v>1913</v>
      </c>
      <c r="D2043" s="11">
        <v>7800000</v>
      </c>
      <c r="E2043">
        <v>1089483067</v>
      </c>
      <c r="F2043" t="s">
        <v>1266</v>
      </c>
      <c r="G2043" t="s">
        <v>1755</v>
      </c>
      <c r="H2043" t="str">
        <f>VLOOKUP(C2043,'[1]873'!$C$2:$C$711,1,0)</f>
        <v>868-2025</v>
      </c>
    </row>
    <row r="2044" spans="1:8" ht="15" customHeight="1" x14ac:dyDescent="0.25">
      <c r="A2044" s="2">
        <v>45954</v>
      </c>
      <c r="B2044">
        <v>2025002443</v>
      </c>
      <c r="C2044" t="s">
        <v>1914</v>
      </c>
      <c r="D2044" s="11">
        <v>6300000</v>
      </c>
      <c r="E2044">
        <v>1085299577</v>
      </c>
      <c r="F2044" t="s">
        <v>1182</v>
      </c>
      <c r="G2044" t="s">
        <v>1755</v>
      </c>
      <c r="H2044" t="str">
        <f>VLOOKUP(C2044,'[1]873'!$C$2:$C$711,1,0)</f>
        <v>778-2025</v>
      </c>
    </row>
    <row r="2045" spans="1:8" ht="15" customHeight="1" x14ac:dyDescent="0.25">
      <c r="A2045" s="2">
        <v>45954</v>
      </c>
      <c r="B2045">
        <v>2025002444</v>
      </c>
      <c r="C2045" t="s">
        <v>1915</v>
      </c>
      <c r="D2045" s="11">
        <v>3150000</v>
      </c>
      <c r="E2045">
        <v>59310524</v>
      </c>
      <c r="F2045" t="s">
        <v>992</v>
      </c>
      <c r="G2045" t="s">
        <v>1755</v>
      </c>
      <c r="H2045" t="str">
        <f>VLOOKUP(C2045,'[1]873'!$C$2:$C$711,1,0)</f>
        <v>824-2025</v>
      </c>
    </row>
    <row r="2046" spans="1:8" ht="15" customHeight="1" x14ac:dyDescent="0.25">
      <c r="A2046" s="2">
        <v>45954</v>
      </c>
      <c r="B2046">
        <v>2025002445</v>
      </c>
      <c r="C2046" t="s">
        <v>1916</v>
      </c>
      <c r="D2046" s="11">
        <v>3150000</v>
      </c>
      <c r="E2046">
        <v>1085275879</v>
      </c>
      <c r="F2046" t="s">
        <v>117</v>
      </c>
      <c r="G2046" t="s">
        <v>1755</v>
      </c>
      <c r="H2046" t="str">
        <f>VLOOKUP(C2046,'[1]873'!$C$2:$C$711,1,0)</f>
        <v>890-2025</v>
      </c>
    </row>
    <row r="2047" spans="1:8" ht="15" customHeight="1" x14ac:dyDescent="0.25">
      <c r="A2047" s="2">
        <v>45954</v>
      </c>
      <c r="B2047">
        <v>2025002446</v>
      </c>
      <c r="C2047" t="s">
        <v>1917</v>
      </c>
      <c r="D2047" s="11">
        <v>3900000</v>
      </c>
      <c r="E2047">
        <v>1087645723</v>
      </c>
      <c r="F2047" t="s">
        <v>1918</v>
      </c>
      <c r="G2047" t="s">
        <v>1755</v>
      </c>
      <c r="H2047" t="str">
        <f>VLOOKUP(C2047,'[1]873'!$C$2:$C$711,1,0)</f>
        <v>905-2025</v>
      </c>
    </row>
    <row r="2048" spans="1:8" ht="15" customHeight="1" x14ac:dyDescent="0.25">
      <c r="A2048" s="2">
        <v>45954</v>
      </c>
      <c r="B2048">
        <v>2025002447</v>
      </c>
      <c r="C2048" t="s">
        <v>1919</v>
      </c>
      <c r="D2048" s="11">
        <v>4730000</v>
      </c>
      <c r="E2048">
        <v>36950073</v>
      </c>
      <c r="F2048" t="s">
        <v>900</v>
      </c>
      <c r="G2048" t="s">
        <v>1755</v>
      </c>
      <c r="H2048" t="str">
        <f>VLOOKUP(C2048,'[1]873'!$C$2:$C$711,1,0)</f>
        <v>792-2025</v>
      </c>
    </row>
    <row r="2049" spans="1:8" ht="15" customHeight="1" x14ac:dyDescent="0.25">
      <c r="A2049" s="2">
        <v>45954</v>
      </c>
      <c r="B2049">
        <v>2025002448</v>
      </c>
      <c r="C2049" t="s">
        <v>1920</v>
      </c>
      <c r="D2049" s="11">
        <v>4730000</v>
      </c>
      <c r="E2049">
        <v>1086137686</v>
      </c>
      <c r="F2049" t="s">
        <v>1921</v>
      </c>
      <c r="G2049" t="s">
        <v>1755</v>
      </c>
      <c r="H2049" t="str">
        <f>VLOOKUP(C2049,'[1]873'!$C$2:$C$711,1,0)</f>
        <v>858-2025</v>
      </c>
    </row>
    <row r="2050" spans="1:8" ht="15" customHeight="1" x14ac:dyDescent="0.25">
      <c r="A2050" s="2">
        <v>45954</v>
      </c>
      <c r="B2050">
        <v>2025002449</v>
      </c>
      <c r="C2050" t="s">
        <v>1922</v>
      </c>
      <c r="D2050" s="11">
        <v>7800000</v>
      </c>
      <c r="E2050">
        <v>1086361969</v>
      </c>
      <c r="F2050" t="s">
        <v>1923</v>
      </c>
      <c r="G2050" t="s">
        <v>1755</v>
      </c>
      <c r="H2050" t="str">
        <f>VLOOKUP(C2050,'[1]873'!$C$2:$C$711,1,0)</f>
        <v>875-2025</v>
      </c>
    </row>
    <row r="2051" spans="1:8" ht="15" customHeight="1" x14ac:dyDescent="0.25">
      <c r="A2051" s="2">
        <v>45954</v>
      </c>
      <c r="B2051">
        <v>2025002450</v>
      </c>
      <c r="C2051" t="s">
        <v>1924</v>
      </c>
      <c r="D2051" s="11">
        <v>6300000</v>
      </c>
      <c r="E2051">
        <v>27146489</v>
      </c>
      <c r="F2051" t="s">
        <v>1102</v>
      </c>
      <c r="G2051" t="s">
        <v>1755</v>
      </c>
      <c r="H2051" t="str">
        <f>VLOOKUP(C2051,'[1]873'!$C$2:$C$711,1,0)</f>
        <v>805-2025</v>
      </c>
    </row>
    <row r="2052" spans="1:8" ht="15" customHeight="1" x14ac:dyDescent="0.25">
      <c r="A2052" s="2">
        <v>45954</v>
      </c>
      <c r="B2052">
        <v>2025002451</v>
      </c>
      <c r="C2052" t="s">
        <v>1925</v>
      </c>
      <c r="D2052" s="11">
        <v>4730000</v>
      </c>
      <c r="E2052">
        <v>1086360022</v>
      </c>
      <c r="F2052" t="s">
        <v>1926</v>
      </c>
      <c r="G2052" t="s">
        <v>1755</v>
      </c>
      <c r="H2052" t="str">
        <f>VLOOKUP(C2052,'[1]873'!$C$2:$C$711,1,0)</f>
        <v>847-2025</v>
      </c>
    </row>
    <row r="2053" spans="1:8" ht="15" customHeight="1" x14ac:dyDescent="0.25">
      <c r="A2053" s="2">
        <v>45954</v>
      </c>
      <c r="B2053">
        <v>2025002452</v>
      </c>
      <c r="C2053" t="s">
        <v>1927</v>
      </c>
      <c r="D2053" s="11">
        <v>1575000</v>
      </c>
      <c r="E2053">
        <v>1085295583</v>
      </c>
      <c r="F2053" t="s">
        <v>1928</v>
      </c>
      <c r="G2053" t="s">
        <v>1755</v>
      </c>
      <c r="H2053" t="str">
        <f>VLOOKUP(C2053,'[1]873'!$C$2:$C$711,1,0)</f>
        <v>899-2025</v>
      </c>
    </row>
    <row r="2054" spans="1:8" ht="15" customHeight="1" x14ac:dyDescent="0.25">
      <c r="A2054" s="2">
        <v>45954</v>
      </c>
      <c r="B2054">
        <v>2025002453</v>
      </c>
      <c r="C2054" t="s">
        <v>1929</v>
      </c>
      <c r="D2054" s="11">
        <v>6300000</v>
      </c>
      <c r="E2054">
        <v>1085272491</v>
      </c>
      <c r="F2054" t="s">
        <v>895</v>
      </c>
      <c r="G2054" t="s">
        <v>1755</v>
      </c>
      <c r="H2054" t="str">
        <f>VLOOKUP(C2054,'[1]873'!$C$2:$C$711,1,0)</f>
        <v>819-2025</v>
      </c>
    </row>
    <row r="2055" spans="1:8" ht="15" customHeight="1" x14ac:dyDescent="0.25">
      <c r="A2055" s="2">
        <v>45954</v>
      </c>
      <c r="B2055">
        <v>2025002455</v>
      </c>
      <c r="C2055" t="s">
        <v>1930</v>
      </c>
      <c r="D2055" s="11">
        <v>1575000</v>
      </c>
      <c r="E2055">
        <v>1086328063</v>
      </c>
      <c r="F2055" t="s">
        <v>1931</v>
      </c>
      <c r="G2055" t="s">
        <v>1755</v>
      </c>
      <c r="H2055" t="str">
        <f>VLOOKUP(C2055,'[1]873'!$C$2:$C$711,1,0)</f>
        <v>885-2025</v>
      </c>
    </row>
    <row r="2056" spans="1:8" ht="15" customHeight="1" x14ac:dyDescent="0.25">
      <c r="A2056" s="2">
        <v>45954</v>
      </c>
      <c r="B2056">
        <v>2025002457</v>
      </c>
      <c r="C2056" t="s">
        <v>1932</v>
      </c>
      <c r="D2056" s="11">
        <v>7800000</v>
      </c>
      <c r="E2056">
        <v>1233193882</v>
      </c>
      <c r="F2056" t="s">
        <v>889</v>
      </c>
      <c r="G2056" t="s">
        <v>1755</v>
      </c>
      <c r="H2056" t="str">
        <f>VLOOKUP(C2056,'[1]873'!$C$2:$C$711,1,0)</f>
        <v>750-2025</v>
      </c>
    </row>
    <row r="2057" spans="1:8" ht="15" customHeight="1" x14ac:dyDescent="0.25">
      <c r="A2057" s="32">
        <v>45954</v>
      </c>
      <c r="B2057" s="41">
        <v>2025002458</v>
      </c>
      <c r="C2057" s="1" t="s">
        <v>560</v>
      </c>
      <c r="D2057" s="5">
        <v>3600000</v>
      </c>
      <c r="E2057" s="1">
        <v>1085324685</v>
      </c>
      <c r="F2057" s="1" t="s">
        <v>561</v>
      </c>
      <c r="G2057" s="1" t="s">
        <v>9</v>
      </c>
      <c r="H2057" t="e">
        <f>VLOOKUP(C2057,'[1]873'!$C$2:$C$711,1,0)</f>
        <v>#N/A</v>
      </c>
    </row>
    <row r="2058" spans="1:8" ht="15" customHeight="1" x14ac:dyDescent="0.25">
      <c r="A2058" s="2">
        <v>45954</v>
      </c>
      <c r="B2058">
        <v>2025002459</v>
      </c>
      <c r="C2058" t="s">
        <v>1933</v>
      </c>
      <c r="D2058" s="11">
        <v>4730000</v>
      </c>
      <c r="E2058">
        <v>36759759</v>
      </c>
      <c r="F2058" t="s">
        <v>705</v>
      </c>
      <c r="G2058" t="s">
        <v>1755</v>
      </c>
      <c r="H2058" t="str">
        <f>VLOOKUP(C2058,'[1]873'!$C$2:$C$711,1,0)</f>
        <v>745-2025</v>
      </c>
    </row>
    <row r="2059" spans="1:8" ht="15" customHeight="1" x14ac:dyDescent="0.25">
      <c r="A2059" s="2">
        <v>45954</v>
      </c>
      <c r="B2059">
        <v>2025002460</v>
      </c>
      <c r="C2059" t="s">
        <v>1934</v>
      </c>
      <c r="D2059" s="11">
        <v>4730000</v>
      </c>
      <c r="E2059">
        <v>1085264667</v>
      </c>
      <c r="F2059" t="s">
        <v>464</v>
      </c>
      <c r="G2059" t="s">
        <v>1755</v>
      </c>
      <c r="H2059" t="str">
        <f>VLOOKUP(C2059,'[1]873'!$C$2:$C$711,1,0)</f>
        <v>768-2025</v>
      </c>
    </row>
    <row r="2060" spans="1:8" ht="15" customHeight="1" x14ac:dyDescent="0.25">
      <c r="A2060" s="2">
        <v>45954</v>
      </c>
      <c r="B2060">
        <v>2025002461</v>
      </c>
      <c r="C2060" t="s">
        <v>1935</v>
      </c>
      <c r="D2060" s="11">
        <v>1575000</v>
      </c>
      <c r="E2060">
        <v>27444591</v>
      </c>
      <c r="F2060" t="s">
        <v>1936</v>
      </c>
      <c r="G2060" t="s">
        <v>1755</v>
      </c>
      <c r="H2060" t="str">
        <f>VLOOKUP(C2060,'[1]873'!$C$2:$C$711,1,0)</f>
        <v>897-2025</v>
      </c>
    </row>
    <row r="2061" spans="1:8" ht="15" customHeight="1" x14ac:dyDescent="0.25">
      <c r="A2061" s="2">
        <v>45954</v>
      </c>
      <c r="B2061">
        <v>2025002462</v>
      </c>
      <c r="C2061" t="s">
        <v>1937</v>
      </c>
      <c r="D2061" s="11">
        <v>4730000</v>
      </c>
      <c r="E2061">
        <v>59824313</v>
      </c>
      <c r="F2061" t="s">
        <v>151</v>
      </c>
      <c r="G2061" t="s">
        <v>1755</v>
      </c>
      <c r="H2061" t="str">
        <f>VLOOKUP(C2061,'[1]873'!$C$2:$C$711,1,0)</f>
        <v>740-2025</v>
      </c>
    </row>
    <row r="2062" spans="1:8" ht="15" customHeight="1" x14ac:dyDescent="0.25">
      <c r="A2062" s="2">
        <v>45954</v>
      </c>
      <c r="B2062">
        <v>2025002463</v>
      </c>
      <c r="C2062" t="s">
        <v>1938</v>
      </c>
      <c r="D2062" s="11">
        <v>3150000</v>
      </c>
      <c r="E2062">
        <v>1004564013</v>
      </c>
      <c r="F2062" t="s">
        <v>1939</v>
      </c>
      <c r="G2062" t="s">
        <v>1755</v>
      </c>
      <c r="H2062" t="str">
        <f>VLOOKUP(C2062,'[1]873'!$C$2:$C$711,1,0)</f>
        <v>898-2025</v>
      </c>
    </row>
    <row r="2063" spans="1:8" ht="15" customHeight="1" x14ac:dyDescent="0.25">
      <c r="A2063" s="2">
        <v>45954</v>
      </c>
      <c r="B2063">
        <v>2025002464</v>
      </c>
      <c r="C2063" t="s">
        <v>1940</v>
      </c>
      <c r="D2063" s="11">
        <v>3150000</v>
      </c>
      <c r="E2063">
        <v>1010082397</v>
      </c>
      <c r="F2063" t="s">
        <v>209</v>
      </c>
      <c r="G2063" t="s">
        <v>1755</v>
      </c>
      <c r="H2063" t="str">
        <f>VLOOKUP(C2063,'[1]873'!$C$2:$C$711,1,0)</f>
        <v>743-2025</v>
      </c>
    </row>
    <row r="2064" spans="1:8" ht="15" customHeight="1" x14ac:dyDescent="0.25">
      <c r="A2064" s="2">
        <v>45954</v>
      </c>
      <c r="B2064">
        <v>2025002465</v>
      </c>
      <c r="C2064" t="s">
        <v>1941</v>
      </c>
      <c r="D2064" s="11">
        <v>3150000</v>
      </c>
      <c r="E2064">
        <v>27456421</v>
      </c>
      <c r="F2064" t="s">
        <v>1942</v>
      </c>
      <c r="G2064" t="s">
        <v>1755</v>
      </c>
      <c r="H2064" t="str">
        <f>VLOOKUP(C2064,'[1]873'!$C$2:$C$711,1,0)</f>
        <v>921-2025</v>
      </c>
    </row>
    <row r="2065" spans="1:8" ht="15" customHeight="1" x14ac:dyDescent="0.25">
      <c r="A2065" s="2">
        <v>45957</v>
      </c>
      <c r="B2065">
        <v>2025002466</v>
      </c>
      <c r="C2065" t="s">
        <v>1943</v>
      </c>
      <c r="D2065" s="11">
        <v>3150000</v>
      </c>
      <c r="E2065">
        <v>69028150</v>
      </c>
      <c r="F2065" t="s">
        <v>171</v>
      </c>
      <c r="G2065" t="s">
        <v>1755</v>
      </c>
      <c r="H2065" t="str">
        <f>VLOOKUP(C2065,'[1]873'!$C$2:$C$711,1,0)</f>
        <v>777-2025</v>
      </c>
    </row>
    <row r="2066" spans="1:8" ht="15" customHeight="1" x14ac:dyDescent="0.25">
      <c r="A2066" s="2">
        <v>45957</v>
      </c>
      <c r="B2066">
        <v>2025002467</v>
      </c>
      <c r="C2066" t="s">
        <v>1944</v>
      </c>
      <c r="D2066" s="11">
        <v>3150000</v>
      </c>
      <c r="E2066">
        <v>1086016304</v>
      </c>
      <c r="F2066" t="s">
        <v>1945</v>
      </c>
      <c r="G2066" t="s">
        <v>1755</v>
      </c>
      <c r="H2066" t="str">
        <f>VLOOKUP(C2066,'[1]873'!$C$2:$C$711,1,0)</f>
        <v>844-2025</v>
      </c>
    </row>
    <row r="2067" spans="1:8" ht="15" customHeight="1" x14ac:dyDescent="0.25">
      <c r="A2067" s="2">
        <v>45957</v>
      </c>
      <c r="B2067">
        <v>2025002468</v>
      </c>
      <c r="C2067" t="s">
        <v>1946</v>
      </c>
      <c r="D2067" s="11">
        <v>3150000</v>
      </c>
      <c r="E2067">
        <v>1004236159</v>
      </c>
      <c r="F2067" t="s">
        <v>1947</v>
      </c>
      <c r="G2067" t="s">
        <v>1755</v>
      </c>
      <c r="H2067" t="str">
        <f>VLOOKUP(C2067,'[1]873'!$C$2:$C$711,1,0)</f>
        <v>809-2025</v>
      </c>
    </row>
    <row r="2068" spans="1:8" ht="15" customHeight="1" x14ac:dyDescent="0.25">
      <c r="A2068" s="2">
        <v>45957</v>
      </c>
      <c r="B2068">
        <v>2025002470</v>
      </c>
      <c r="C2068" t="s">
        <v>1948</v>
      </c>
      <c r="D2068" s="11">
        <v>4730000</v>
      </c>
      <c r="E2068">
        <v>1193424771</v>
      </c>
      <c r="F2068" t="s">
        <v>1949</v>
      </c>
      <c r="G2068" t="s">
        <v>1755</v>
      </c>
      <c r="H2068" t="str">
        <f>VLOOKUP(C2068,'[1]873'!$C$2:$C$711,1,0)</f>
        <v>766-2025</v>
      </c>
    </row>
    <row r="2069" spans="1:8" ht="15" customHeight="1" x14ac:dyDescent="0.25">
      <c r="A2069" s="2">
        <v>45957</v>
      </c>
      <c r="B2069">
        <v>2025002471</v>
      </c>
      <c r="C2069" t="s">
        <v>1950</v>
      </c>
      <c r="D2069" s="11">
        <v>3150000</v>
      </c>
      <c r="E2069">
        <v>1233193191</v>
      </c>
      <c r="F2069" t="s">
        <v>1951</v>
      </c>
      <c r="G2069" t="s">
        <v>1755</v>
      </c>
      <c r="H2069" t="str">
        <f>VLOOKUP(C2069,'[1]873'!$C$2:$C$711,1,0)</f>
        <v>842-2025</v>
      </c>
    </row>
    <row r="2070" spans="1:8" ht="15" customHeight="1" x14ac:dyDescent="0.25">
      <c r="A2070" s="2">
        <v>45957</v>
      </c>
      <c r="B2070">
        <v>2025002472</v>
      </c>
      <c r="C2070" t="s">
        <v>1952</v>
      </c>
      <c r="D2070" s="11">
        <v>3150000</v>
      </c>
      <c r="E2070">
        <v>1085247449</v>
      </c>
      <c r="F2070" t="s">
        <v>1953</v>
      </c>
      <c r="G2070" t="s">
        <v>1755</v>
      </c>
      <c r="H2070" t="str">
        <f>VLOOKUP(C2070,'[1]873'!$C$2:$C$711,1,0)</f>
        <v>873-2025</v>
      </c>
    </row>
    <row r="2071" spans="1:8" ht="15" customHeight="1" x14ac:dyDescent="0.25">
      <c r="A2071" s="2">
        <v>45957</v>
      </c>
      <c r="B2071">
        <v>2025002473</v>
      </c>
      <c r="C2071" t="s">
        <v>1954</v>
      </c>
      <c r="D2071" s="11">
        <v>3150000</v>
      </c>
      <c r="E2071">
        <v>1004547484</v>
      </c>
      <c r="F2071" t="s">
        <v>1955</v>
      </c>
      <c r="G2071" t="s">
        <v>1755</v>
      </c>
      <c r="H2071" t="str">
        <f>VLOOKUP(C2071,'[1]873'!$C$2:$C$711,1,0)</f>
        <v>883-2025</v>
      </c>
    </row>
    <row r="2072" spans="1:8" ht="15" customHeight="1" x14ac:dyDescent="0.25">
      <c r="A2072" s="2">
        <v>45957</v>
      </c>
      <c r="B2072">
        <v>2025002474</v>
      </c>
      <c r="C2072" t="s">
        <v>1956</v>
      </c>
      <c r="D2072" s="11">
        <v>3150000</v>
      </c>
      <c r="E2072">
        <v>59313711</v>
      </c>
      <c r="F2072" t="s">
        <v>1957</v>
      </c>
      <c r="G2072" t="s">
        <v>1755</v>
      </c>
      <c r="H2072" t="str">
        <f>VLOOKUP(C2072,'[1]873'!$C$2:$C$711,1,0)</f>
        <v>841-2025</v>
      </c>
    </row>
    <row r="2073" spans="1:8" ht="15" customHeight="1" x14ac:dyDescent="0.25">
      <c r="A2073" s="2">
        <v>45957</v>
      </c>
      <c r="B2073">
        <v>2025002476</v>
      </c>
      <c r="C2073" t="s">
        <v>1958</v>
      </c>
      <c r="D2073" s="11">
        <v>7800000</v>
      </c>
      <c r="E2073">
        <v>1085246871</v>
      </c>
      <c r="F2073" t="s">
        <v>1959</v>
      </c>
      <c r="G2073" t="s">
        <v>1755</v>
      </c>
      <c r="H2073" t="str">
        <f>VLOOKUP(C2073,'[1]873'!$C$2:$C$711,1,0)</f>
        <v>861-2025</v>
      </c>
    </row>
    <row r="2074" spans="1:8" ht="15" customHeight="1" x14ac:dyDescent="0.25">
      <c r="A2074" s="2">
        <v>45957</v>
      </c>
      <c r="B2074">
        <v>2025002477</v>
      </c>
      <c r="C2074" t="s">
        <v>1960</v>
      </c>
      <c r="D2074" s="11">
        <v>3150000</v>
      </c>
      <c r="E2074">
        <v>1087645341</v>
      </c>
      <c r="F2074" t="s">
        <v>1961</v>
      </c>
      <c r="G2074" t="s">
        <v>1755</v>
      </c>
      <c r="H2074" t="str">
        <f>VLOOKUP(C2074,'[1]873'!$C$2:$C$711,1,0)</f>
        <v>878-2025</v>
      </c>
    </row>
    <row r="2075" spans="1:8" ht="15" customHeight="1" x14ac:dyDescent="0.25">
      <c r="A2075" s="2">
        <v>45957</v>
      </c>
      <c r="B2075">
        <v>2025002478</v>
      </c>
      <c r="C2075" t="s">
        <v>1962</v>
      </c>
      <c r="D2075" s="11">
        <v>4730000</v>
      </c>
      <c r="E2075">
        <v>1085263018</v>
      </c>
      <c r="F2075" t="s">
        <v>91</v>
      </c>
      <c r="G2075" t="s">
        <v>1755</v>
      </c>
      <c r="H2075" t="str">
        <f>VLOOKUP(C2075,'[1]873'!$C$2:$C$711,1,0)</f>
        <v>752-2025</v>
      </c>
    </row>
    <row r="2076" spans="1:8" ht="15" customHeight="1" x14ac:dyDescent="0.25">
      <c r="A2076" s="2">
        <v>45957</v>
      </c>
      <c r="B2076">
        <v>2025002479</v>
      </c>
      <c r="C2076" t="s">
        <v>1963</v>
      </c>
      <c r="D2076" s="11">
        <v>7800000</v>
      </c>
      <c r="E2076">
        <v>1022426162</v>
      </c>
      <c r="F2076" t="s">
        <v>1964</v>
      </c>
      <c r="G2076" t="s">
        <v>1755</v>
      </c>
      <c r="H2076" t="str">
        <f>VLOOKUP(C2076,'[1]873'!$C$2:$C$711,1,0)</f>
        <v>780-2025</v>
      </c>
    </row>
    <row r="2077" spans="1:8" ht="15" customHeight="1" x14ac:dyDescent="0.25">
      <c r="A2077" s="2">
        <v>45957</v>
      </c>
      <c r="B2077">
        <v>2025002480</v>
      </c>
      <c r="C2077" t="s">
        <v>1965</v>
      </c>
      <c r="D2077" s="11">
        <v>6300000</v>
      </c>
      <c r="E2077">
        <v>1084224761</v>
      </c>
      <c r="F2077" t="s">
        <v>1966</v>
      </c>
      <c r="G2077" t="s">
        <v>1755</v>
      </c>
      <c r="H2077" t="str">
        <f>VLOOKUP(C2077,'[1]873'!$C$2:$C$711,1,0)</f>
        <v>857-2025</v>
      </c>
    </row>
    <row r="2078" spans="1:8" ht="15" customHeight="1" x14ac:dyDescent="0.25">
      <c r="A2078" s="2">
        <v>45957</v>
      </c>
      <c r="B2078">
        <v>2025002481</v>
      </c>
      <c r="C2078" t="s">
        <v>1967</v>
      </c>
      <c r="D2078" s="11">
        <v>3150000</v>
      </c>
      <c r="E2078">
        <v>1089291166</v>
      </c>
      <c r="F2078" t="s">
        <v>1968</v>
      </c>
      <c r="G2078" t="s">
        <v>1755</v>
      </c>
      <c r="H2078" t="str">
        <f>VLOOKUP(C2078,'[1]873'!$C$2:$C$711,1,0)</f>
        <v>791-2025</v>
      </c>
    </row>
    <row r="2079" spans="1:8" ht="15" customHeight="1" x14ac:dyDescent="0.25">
      <c r="A2079" s="2">
        <v>45959</v>
      </c>
      <c r="B2079">
        <v>2025002500</v>
      </c>
      <c r="C2079" t="s">
        <v>1969</v>
      </c>
      <c r="D2079" s="11">
        <v>3900000</v>
      </c>
      <c r="E2079">
        <v>1144172704</v>
      </c>
      <c r="F2079" t="s">
        <v>1970</v>
      </c>
      <c r="G2079" t="s">
        <v>1755</v>
      </c>
      <c r="H2079" t="str">
        <f>VLOOKUP(C2079,'[1]873'!$C$2:$C$711,1,0)</f>
        <v>927-2025</v>
      </c>
    </row>
    <row r="2080" spans="1:8" ht="15" customHeight="1" x14ac:dyDescent="0.25">
      <c r="A2080" s="2">
        <v>45959</v>
      </c>
      <c r="B2080">
        <v>2025002501</v>
      </c>
      <c r="C2080" t="s">
        <v>1971</v>
      </c>
      <c r="D2080" s="11">
        <v>1575000</v>
      </c>
      <c r="E2080">
        <v>1085315209</v>
      </c>
      <c r="F2080" t="s">
        <v>701</v>
      </c>
      <c r="G2080" t="s">
        <v>1755</v>
      </c>
      <c r="H2080" t="str">
        <f>VLOOKUP(C2080,'[1]873'!$C$2:$C$711,1,0)</f>
        <v>901-2025</v>
      </c>
    </row>
    <row r="2081" spans="1:8" ht="15" customHeight="1" x14ac:dyDescent="0.25">
      <c r="A2081" s="2">
        <v>45959</v>
      </c>
      <c r="B2081">
        <v>2025002502</v>
      </c>
      <c r="C2081" t="s">
        <v>1972</v>
      </c>
      <c r="D2081" s="11">
        <v>1575000</v>
      </c>
      <c r="E2081">
        <v>1004134014</v>
      </c>
      <c r="F2081" t="s">
        <v>1973</v>
      </c>
      <c r="G2081" t="s">
        <v>1755</v>
      </c>
      <c r="H2081" t="str">
        <f>VLOOKUP(C2081,'[1]873'!$C$2:$C$711,1,0)</f>
        <v>919-2025</v>
      </c>
    </row>
    <row r="2082" spans="1:8" ht="15" customHeight="1" x14ac:dyDescent="0.25">
      <c r="A2082" s="2">
        <v>45959</v>
      </c>
      <c r="B2082">
        <v>2025002503</v>
      </c>
      <c r="C2082" t="s">
        <v>1974</v>
      </c>
      <c r="D2082" s="11">
        <v>1575000</v>
      </c>
      <c r="E2082">
        <v>1004508406</v>
      </c>
      <c r="F2082" t="s">
        <v>1975</v>
      </c>
      <c r="G2082" t="s">
        <v>1755</v>
      </c>
      <c r="H2082" t="str">
        <f>VLOOKUP(C2082,'[1]873'!$C$2:$C$711,1,0)</f>
        <v>923-2025</v>
      </c>
    </row>
    <row r="2083" spans="1:8" ht="15" customHeight="1" x14ac:dyDescent="0.25">
      <c r="A2083" s="2">
        <v>45959</v>
      </c>
      <c r="B2083">
        <v>2025002504</v>
      </c>
      <c r="C2083" t="s">
        <v>1976</v>
      </c>
      <c r="D2083" s="11">
        <v>1575000</v>
      </c>
      <c r="E2083">
        <v>1081594639</v>
      </c>
      <c r="F2083" t="s">
        <v>1110</v>
      </c>
      <c r="G2083" t="s">
        <v>1755</v>
      </c>
      <c r="H2083" t="str">
        <f>VLOOKUP(C2083,'[1]873'!$C$2:$C$711,1,0)</f>
        <v>903-2025</v>
      </c>
    </row>
    <row r="2084" spans="1:8" ht="15" customHeight="1" x14ac:dyDescent="0.25">
      <c r="A2084" s="2">
        <v>45959</v>
      </c>
      <c r="B2084">
        <v>2025002505</v>
      </c>
      <c r="C2084" t="s">
        <v>1977</v>
      </c>
      <c r="D2084" s="11">
        <v>1575000</v>
      </c>
      <c r="E2084">
        <v>1081592303</v>
      </c>
      <c r="F2084" t="s">
        <v>562</v>
      </c>
      <c r="G2084" t="s">
        <v>1755</v>
      </c>
      <c r="H2084" t="str">
        <f>VLOOKUP(C2084,'[1]873'!$C$2:$C$711,1,0)</f>
        <v>907-2025</v>
      </c>
    </row>
    <row r="2085" spans="1:8" ht="15" customHeight="1" x14ac:dyDescent="0.25">
      <c r="A2085" s="2">
        <v>45959</v>
      </c>
      <c r="B2085">
        <v>2025002506</v>
      </c>
      <c r="C2085" t="s">
        <v>1978</v>
      </c>
      <c r="D2085" s="11">
        <v>6300000</v>
      </c>
      <c r="E2085">
        <v>36757221</v>
      </c>
      <c r="F2085" t="s">
        <v>453</v>
      </c>
      <c r="G2085" t="s">
        <v>1755</v>
      </c>
      <c r="H2085" t="str">
        <f>VLOOKUP(C2085,'[1]873'!$C$2:$C$711,1,0)</f>
        <v>751-2025</v>
      </c>
    </row>
    <row r="2086" spans="1:8" ht="15" customHeight="1" x14ac:dyDescent="0.25">
      <c r="A2086" s="2">
        <v>45959</v>
      </c>
      <c r="B2086">
        <v>2025002507</v>
      </c>
      <c r="C2086" t="s">
        <v>1979</v>
      </c>
      <c r="D2086" s="11">
        <v>4730000</v>
      </c>
      <c r="E2086">
        <v>27087475</v>
      </c>
      <c r="F2086" t="s">
        <v>571</v>
      </c>
      <c r="G2086" t="s">
        <v>1755</v>
      </c>
      <c r="H2086" t="str">
        <f>VLOOKUP(C2086,'[1]873'!$C$2:$C$711,1,0)</f>
        <v>769-2025</v>
      </c>
    </row>
    <row r="2087" spans="1:8" ht="15" customHeight="1" x14ac:dyDescent="0.25">
      <c r="A2087" s="2">
        <v>45959</v>
      </c>
      <c r="B2087">
        <v>2025002508</v>
      </c>
      <c r="C2087" t="s">
        <v>1980</v>
      </c>
      <c r="D2087" s="11">
        <v>4730000</v>
      </c>
      <c r="E2087">
        <v>1085330309</v>
      </c>
      <c r="F2087" t="s">
        <v>249</v>
      </c>
      <c r="G2087" t="s">
        <v>1755</v>
      </c>
      <c r="H2087" t="str">
        <f>VLOOKUP(C2087,'[1]873'!$C$2:$C$711,1,0)</f>
        <v>731-2025</v>
      </c>
    </row>
    <row r="2088" spans="1:8" ht="15" customHeight="1" x14ac:dyDescent="0.25">
      <c r="A2088" s="2">
        <v>45959</v>
      </c>
      <c r="B2088">
        <v>2025002509</v>
      </c>
      <c r="C2088" t="s">
        <v>1981</v>
      </c>
      <c r="D2088" s="11">
        <v>6300000</v>
      </c>
      <c r="E2088">
        <v>1085283868</v>
      </c>
      <c r="F2088" t="s">
        <v>1131</v>
      </c>
      <c r="G2088" t="s">
        <v>1755</v>
      </c>
      <c r="H2088" t="str">
        <f>VLOOKUP(C2088,'[1]873'!$C$2:$C$711,1,0)</f>
        <v>760-2025</v>
      </c>
    </row>
    <row r="2089" spans="1:8" ht="15" customHeight="1" x14ac:dyDescent="0.25">
      <c r="A2089" s="2">
        <v>45960</v>
      </c>
      <c r="B2089">
        <v>2025002517</v>
      </c>
      <c r="C2089" t="s">
        <v>1982</v>
      </c>
      <c r="D2089" s="11">
        <v>3900000</v>
      </c>
      <c r="E2089">
        <v>1085244624</v>
      </c>
      <c r="F2089" t="s">
        <v>1983</v>
      </c>
      <c r="G2089" t="s">
        <v>1755</v>
      </c>
      <c r="H2089" t="str">
        <f>VLOOKUP(C2089,'[1]873'!$C$2:$C$711,1,0)</f>
        <v>835-2025</v>
      </c>
    </row>
    <row r="2090" spans="1:8" ht="15" customHeight="1" x14ac:dyDescent="0.25">
      <c r="A2090" s="2">
        <v>45960</v>
      </c>
      <c r="B2090">
        <v>2025002518</v>
      </c>
      <c r="C2090" t="s">
        <v>1984</v>
      </c>
      <c r="D2090" s="11">
        <v>1575000</v>
      </c>
      <c r="E2090">
        <v>37083086</v>
      </c>
      <c r="F2090" t="s">
        <v>884</v>
      </c>
      <c r="G2090" t="s">
        <v>1755</v>
      </c>
      <c r="H2090" t="str">
        <f>VLOOKUP(C2090,'[1]873'!$C$2:$C$711,1,0)</f>
        <v>926-2025</v>
      </c>
    </row>
    <row r="2091" spans="1:8" ht="15" customHeight="1" x14ac:dyDescent="0.25">
      <c r="A2091" s="2">
        <v>45960</v>
      </c>
      <c r="B2091">
        <v>2025002519</v>
      </c>
      <c r="C2091" t="s">
        <v>1985</v>
      </c>
      <c r="D2091" s="11">
        <v>7800000</v>
      </c>
      <c r="E2091">
        <v>1088734182</v>
      </c>
      <c r="F2091" t="s">
        <v>1986</v>
      </c>
      <c r="G2091" t="s">
        <v>1755</v>
      </c>
      <c r="H2091" t="str">
        <f>VLOOKUP(C2091,'[1]873'!$C$2:$C$711,1,0)</f>
        <v>779-2025</v>
      </c>
    </row>
    <row r="2092" spans="1:8" ht="15" customHeight="1" x14ac:dyDescent="0.25">
      <c r="A2092" s="2">
        <v>45960</v>
      </c>
      <c r="B2092">
        <v>2025002521</v>
      </c>
      <c r="C2092" t="s">
        <v>1987</v>
      </c>
      <c r="D2092" s="11">
        <v>3150000</v>
      </c>
      <c r="E2092">
        <v>1087960258</v>
      </c>
      <c r="F2092" t="s">
        <v>1988</v>
      </c>
      <c r="G2092" t="s">
        <v>1755</v>
      </c>
      <c r="H2092" t="str">
        <f>VLOOKUP(C2092,'[1]873'!$C$2:$C$711,1,0)</f>
        <v>820-2025</v>
      </c>
    </row>
    <row r="2093" spans="1:8" ht="15" customHeight="1" x14ac:dyDescent="0.25">
      <c r="A2093" s="2">
        <v>45960</v>
      </c>
      <c r="B2093">
        <v>2025002522</v>
      </c>
      <c r="C2093" t="s">
        <v>1989</v>
      </c>
      <c r="D2093" s="11">
        <v>1575000</v>
      </c>
      <c r="E2093">
        <v>1004709928</v>
      </c>
      <c r="F2093" t="s">
        <v>289</v>
      </c>
      <c r="G2093" t="s">
        <v>1755</v>
      </c>
      <c r="H2093" t="str">
        <f>VLOOKUP(C2093,'[1]873'!$C$2:$C$711,1,0)</f>
        <v>909-2025</v>
      </c>
    </row>
    <row r="2094" spans="1:8" ht="15" customHeight="1" x14ac:dyDescent="0.25">
      <c r="A2094" s="2">
        <v>45960</v>
      </c>
      <c r="B2094">
        <v>2025002524</v>
      </c>
      <c r="C2094" t="s">
        <v>1990</v>
      </c>
      <c r="D2094" s="11">
        <v>3150000</v>
      </c>
      <c r="E2094">
        <v>1004543161</v>
      </c>
      <c r="F2094" t="s">
        <v>1991</v>
      </c>
      <c r="G2094" t="s">
        <v>1755</v>
      </c>
      <c r="H2094" t="str">
        <f>VLOOKUP(C2094,'[1]873'!$C$2:$C$711,1,0)</f>
        <v>851-2025</v>
      </c>
    </row>
    <row r="2095" spans="1:8" ht="15" customHeight="1" x14ac:dyDescent="0.25">
      <c r="A2095" s="2">
        <v>45960</v>
      </c>
      <c r="B2095">
        <v>2025002526</v>
      </c>
      <c r="C2095" t="s">
        <v>1992</v>
      </c>
      <c r="D2095" s="11">
        <v>1575000</v>
      </c>
      <c r="E2095">
        <v>1004437571</v>
      </c>
      <c r="F2095" t="s">
        <v>580</v>
      </c>
      <c r="G2095" t="s">
        <v>1755</v>
      </c>
      <c r="H2095" t="str">
        <f>VLOOKUP(C2095,'[1]873'!$C$2:$C$711,1,0)</f>
        <v>924-2025</v>
      </c>
    </row>
    <row r="2096" spans="1:8" ht="15" customHeight="1" x14ac:dyDescent="0.25">
      <c r="A2096" s="2">
        <v>45960</v>
      </c>
      <c r="B2096">
        <v>2025002527</v>
      </c>
      <c r="C2096" t="s">
        <v>1993</v>
      </c>
      <c r="D2096" s="11">
        <v>1575000</v>
      </c>
      <c r="E2096">
        <v>1005977438</v>
      </c>
      <c r="F2096" t="s">
        <v>1994</v>
      </c>
      <c r="G2096" t="s">
        <v>1755</v>
      </c>
      <c r="H2096" t="str">
        <f>VLOOKUP(C2096,'[1]873'!$C$2:$C$711,1,0)</f>
        <v>928-2025</v>
      </c>
    </row>
    <row r="2097" spans="1:8" ht="15" customHeight="1" x14ac:dyDescent="0.25">
      <c r="A2097" s="2">
        <v>45960</v>
      </c>
      <c r="B2097">
        <v>2025002528</v>
      </c>
      <c r="C2097" t="s">
        <v>1995</v>
      </c>
      <c r="D2097" s="11">
        <v>4730000</v>
      </c>
      <c r="E2097">
        <v>1085318201</v>
      </c>
      <c r="F2097" t="s">
        <v>235</v>
      </c>
      <c r="G2097" t="s">
        <v>1755</v>
      </c>
      <c r="H2097" t="str">
        <f>VLOOKUP(C2097,'[1]873'!$C$2:$C$711,1,0)</f>
        <v>776-2025</v>
      </c>
    </row>
    <row r="2098" spans="1:8" ht="15" customHeight="1" x14ac:dyDescent="0.25">
      <c r="A2098" s="2">
        <v>45960</v>
      </c>
      <c r="B2098">
        <v>2025002529</v>
      </c>
      <c r="C2098" t="s">
        <v>1996</v>
      </c>
      <c r="D2098" s="11">
        <v>1575000</v>
      </c>
      <c r="E2098">
        <v>1004726621</v>
      </c>
      <c r="F2098" t="s">
        <v>1997</v>
      </c>
      <c r="G2098" t="s">
        <v>1755</v>
      </c>
      <c r="H2098" t="str">
        <f>VLOOKUP(C2098,'[1]873'!$C$2:$C$711,1,0)</f>
        <v>917-2025</v>
      </c>
    </row>
    <row r="2099" spans="1:8" ht="15" customHeight="1" x14ac:dyDescent="0.25">
      <c r="A2099" s="2">
        <v>45960</v>
      </c>
      <c r="B2099">
        <v>2025002530</v>
      </c>
      <c r="C2099" t="s">
        <v>1998</v>
      </c>
      <c r="D2099" s="11">
        <v>3900000</v>
      </c>
      <c r="E2099">
        <v>1110594073</v>
      </c>
      <c r="F2099" t="s">
        <v>1999</v>
      </c>
      <c r="G2099" t="s">
        <v>1755</v>
      </c>
      <c r="H2099" t="str">
        <f>VLOOKUP(C2099,'[1]873'!$C$2:$C$711,1,0)</f>
        <v>900-2025</v>
      </c>
    </row>
    <row r="2100" spans="1:8" ht="15" customHeight="1" x14ac:dyDescent="0.25">
      <c r="A2100" s="2">
        <v>45961</v>
      </c>
      <c r="B2100">
        <v>2025002535</v>
      </c>
      <c r="C2100" t="s">
        <v>2000</v>
      </c>
      <c r="D2100" s="11">
        <v>72218841.359999999</v>
      </c>
      <c r="E2100">
        <v>901329717</v>
      </c>
      <c r="F2100" t="s">
        <v>8</v>
      </c>
      <c r="G2100" t="s">
        <v>1755</v>
      </c>
      <c r="H2100" t="str">
        <f>VLOOKUP(C2100,'[1]873'!$C$2:$C$711,1,0)</f>
        <v>1076-2025</v>
      </c>
    </row>
    <row r="2101" spans="1:8" ht="15" customHeight="1" x14ac:dyDescent="0.25">
      <c r="A2101" s="2">
        <v>45965</v>
      </c>
      <c r="B2101">
        <v>2025002552</v>
      </c>
      <c r="C2101" s="35" t="s">
        <v>1252</v>
      </c>
      <c r="D2101" s="11">
        <v>3000000</v>
      </c>
      <c r="E2101">
        <v>1085325325</v>
      </c>
      <c r="F2101" t="s">
        <v>1741</v>
      </c>
      <c r="G2101" t="s">
        <v>1094</v>
      </c>
      <c r="H2101" t="e">
        <f>VLOOKUP(C2101,'[1]873'!$C$2:$C$711,1,0)</f>
        <v>#N/A</v>
      </c>
    </row>
    <row r="2102" spans="1:8" ht="15" customHeight="1" x14ac:dyDescent="0.25">
      <c r="A2102" s="2">
        <v>45965</v>
      </c>
      <c r="B2102">
        <v>2025002553</v>
      </c>
      <c r="C2102" t="s">
        <v>1250</v>
      </c>
      <c r="D2102" s="11">
        <v>3000000</v>
      </c>
      <c r="E2102">
        <v>59833899</v>
      </c>
      <c r="F2102" t="s">
        <v>1737</v>
      </c>
      <c r="G2102" t="s">
        <v>1094</v>
      </c>
      <c r="H2102" t="e">
        <f>VLOOKUP(C2102,'[1]873'!$C$2:$C$711,1,0)</f>
        <v>#N/A</v>
      </c>
    </row>
    <row r="2103" spans="1:8" ht="15" customHeight="1" x14ac:dyDescent="0.25">
      <c r="A2103" s="2">
        <v>45965</v>
      </c>
      <c r="B2103">
        <v>2025002554</v>
      </c>
      <c r="C2103" t="s">
        <v>1256</v>
      </c>
      <c r="D2103" s="11">
        <v>3000000</v>
      </c>
      <c r="E2103">
        <v>59830040</v>
      </c>
      <c r="F2103" t="s">
        <v>297</v>
      </c>
      <c r="G2103" t="s">
        <v>1094</v>
      </c>
      <c r="H2103" t="e">
        <f>VLOOKUP(C2103,'[1]873'!$C$2:$C$711,1,0)</f>
        <v>#N/A</v>
      </c>
    </row>
    <row r="2104" spans="1:8" ht="15" customHeight="1" x14ac:dyDescent="0.25">
      <c r="A2104" s="2">
        <v>45965.400694444397</v>
      </c>
      <c r="B2104">
        <v>2025002555</v>
      </c>
      <c r="C2104" t="s">
        <v>2001</v>
      </c>
      <c r="D2104" s="11">
        <v>4730000</v>
      </c>
      <c r="E2104" s="19" t="s">
        <v>2002</v>
      </c>
      <c r="F2104" t="s">
        <v>47</v>
      </c>
      <c r="G2104" t="s">
        <v>1755</v>
      </c>
      <c r="H2104" t="str">
        <f>VLOOKUP(C2104,'[1]873'!$C$2:$C$711,1,0)</f>
        <v>756-2025</v>
      </c>
    </row>
    <row r="2105" spans="1:8" ht="15" customHeight="1" x14ac:dyDescent="0.25">
      <c r="A2105" s="2">
        <v>45966</v>
      </c>
      <c r="B2105">
        <v>2025002569</v>
      </c>
      <c r="C2105" s="35" t="s">
        <v>1258</v>
      </c>
      <c r="D2105" s="11">
        <v>3000000</v>
      </c>
      <c r="E2105">
        <v>59828916</v>
      </c>
      <c r="F2105" t="s">
        <v>1747</v>
      </c>
      <c r="G2105" t="s">
        <v>1094</v>
      </c>
      <c r="H2105" t="e">
        <f>VLOOKUP(C2105,'[1]873'!$C$2:$C$711,1,0)</f>
        <v>#N/A</v>
      </c>
    </row>
    <row r="2106" spans="1:8" ht="15" customHeight="1" x14ac:dyDescent="0.25">
      <c r="A2106" s="2">
        <v>45967.729861111096</v>
      </c>
      <c r="B2106">
        <v>2025002631</v>
      </c>
      <c r="C2106" t="s">
        <v>2003</v>
      </c>
      <c r="D2106" s="11">
        <v>3153000</v>
      </c>
      <c r="E2106" s="19" t="s">
        <v>2004</v>
      </c>
      <c r="F2106" t="s">
        <v>127</v>
      </c>
      <c r="G2106" t="s">
        <v>1755</v>
      </c>
      <c r="H2106" t="str">
        <f>VLOOKUP(C2106,'[1]873'!$C$2:$C$711,1,0)</f>
        <v>739-2025</v>
      </c>
    </row>
    <row r="2107" spans="1:8" ht="15" customHeight="1" x14ac:dyDescent="0.25">
      <c r="A2107" s="2">
        <v>45972.429166666698</v>
      </c>
      <c r="B2107">
        <v>2025002677</v>
      </c>
      <c r="C2107" t="s">
        <v>1764</v>
      </c>
      <c r="D2107" s="11">
        <v>152157500</v>
      </c>
      <c r="E2107" s="19" t="s">
        <v>1598</v>
      </c>
      <c r="F2107" t="s">
        <v>269</v>
      </c>
      <c r="G2107" t="s">
        <v>1755</v>
      </c>
      <c r="H2107" t="str">
        <f>VLOOKUP(C2107,'[1]873'!$C$2:$C$711,1,0)</f>
        <v>696-2025</v>
      </c>
    </row>
    <row r="2108" spans="1:8" ht="15" customHeight="1" x14ac:dyDescent="0.25">
      <c r="A2108" s="2">
        <v>45973.394444444399</v>
      </c>
      <c r="B2108">
        <v>2025002687</v>
      </c>
      <c r="C2108" t="s">
        <v>1795</v>
      </c>
      <c r="D2108" s="11">
        <v>6300000</v>
      </c>
      <c r="E2108" s="19" t="s">
        <v>1600</v>
      </c>
      <c r="F2108" t="s">
        <v>385</v>
      </c>
      <c r="G2108" t="s">
        <v>1755</v>
      </c>
      <c r="H2108" t="str">
        <f>VLOOKUP(C2108,'[1]873'!$C$2:$C$711,1,0)</f>
        <v>773-2025</v>
      </c>
    </row>
    <row r="2109" spans="1:8" ht="15" customHeight="1" x14ac:dyDescent="0.25">
      <c r="A2109" s="2">
        <v>45973.397916666698</v>
      </c>
      <c r="B2109">
        <v>2025002688</v>
      </c>
      <c r="C2109" t="s">
        <v>1901</v>
      </c>
      <c r="D2109" s="11">
        <v>4730000</v>
      </c>
      <c r="E2109" s="19" t="s">
        <v>2005</v>
      </c>
      <c r="F2109" t="s">
        <v>1902</v>
      </c>
      <c r="G2109" t="s">
        <v>1755</v>
      </c>
      <c r="H2109" t="str">
        <f>VLOOKUP(C2109,'[1]873'!$C$2:$C$711,1,0)</f>
        <v>860-2025</v>
      </c>
    </row>
    <row r="2110" spans="1:8" ht="15" customHeight="1" x14ac:dyDescent="0.25">
      <c r="A2110" s="2">
        <v>45973.4</v>
      </c>
      <c r="B2110">
        <v>2025002689</v>
      </c>
      <c r="C2110" t="s">
        <v>1857</v>
      </c>
      <c r="D2110" s="11">
        <v>3150000</v>
      </c>
      <c r="E2110" s="19" t="s">
        <v>1616</v>
      </c>
      <c r="F2110" t="s">
        <v>87</v>
      </c>
      <c r="G2110" t="s">
        <v>1755</v>
      </c>
      <c r="H2110" t="str">
        <f>VLOOKUP(C2110,'[1]873'!$C$2:$C$711,1,0)</f>
        <v>754-2025</v>
      </c>
    </row>
    <row r="2111" spans="1:8" ht="15" customHeight="1" x14ac:dyDescent="0.25">
      <c r="A2111" s="2">
        <v>45973.402777777803</v>
      </c>
      <c r="B2111">
        <v>2025002690</v>
      </c>
      <c r="C2111" t="s">
        <v>1856</v>
      </c>
      <c r="D2111" s="11">
        <v>3150000</v>
      </c>
      <c r="E2111" s="19" t="s">
        <v>1660</v>
      </c>
      <c r="F2111" t="s">
        <v>1163</v>
      </c>
      <c r="G2111" t="s">
        <v>1755</v>
      </c>
      <c r="H2111" t="str">
        <f>VLOOKUP(C2111,'[1]873'!$C$2:$C$711,1,0)</f>
        <v>737-2025</v>
      </c>
    </row>
    <row r="2112" spans="1:8" ht="15" customHeight="1" x14ac:dyDescent="0.25">
      <c r="A2112" s="2">
        <v>45973.404861111099</v>
      </c>
      <c r="B2112">
        <v>2025002691</v>
      </c>
      <c r="C2112" t="s">
        <v>1943</v>
      </c>
      <c r="D2112" s="11">
        <v>3150000</v>
      </c>
      <c r="E2112" s="19" t="s">
        <v>1601</v>
      </c>
      <c r="F2112" t="s">
        <v>171</v>
      </c>
      <c r="G2112" t="s">
        <v>1755</v>
      </c>
      <c r="H2112" t="str">
        <f>VLOOKUP(C2112,'[1]873'!$C$2:$C$711,1,0)</f>
        <v>777-2025</v>
      </c>
    </row>
    <row r="2113" spans="1:8" ht="15" customHeight="1" x14ac:dyDescent="0.25">
      <c r="A2113" s="2">
        <v>45973.406944444403</v>
      </c>
      <c r="B2113">
        <v>2025002692</v>
      </c>
      <c r="C2113" t="s">
        <v>1868</v>
      </c>
      <c r="D2113" s="11">
        <v>3150000</v>
      </c>
      <c r="E2113" s="19" t="s">
        <v>1605</v>
      </c>
      <c r="F2113" t="s">
        <v>263</v>
      </c>
      <c r="G2113" t="s">
        <v>1755</v>
      </c>
      <c r="H2113" t="str">
        <f>VLOOKUP(C2113,'[1]873'!$C$2:$C$711,1,0)</f>
        <v>732-2025</v>
      </c>
    </row>
    <row r="2114" spans="1:8" ht="15" customHeight="1" x14ac:dyDescent="0.25">
      <c r="A2114" s="2">
        <v>45974.409722222197</v>
      </c>
      <c r="B2114">
        <v>2025002699</v>
      </c>
      <c r="C2114" t="s">
        <v>1798</v>
      </c>
      <c r="D2114" s="11">
        <v>3150000</v>
      </c>
      <c r="E2114" s="19" t="s">
        <v>1657</v>
      </c>
      <c r="F2114" t="s">
        <v>59</v>
      </c>
      <c r="G2114" t="s">
        <v>1755</v>
      </c>
      <c r="H2114" t="str">
        <f>VLOOKUP(C2114,'[1]873'!$C$2:$C$711,1,0)</f>
        <v>784-2025</v>
      </c>
    </row>
    <row r="2115" spans="1:8" ht="15" customHeight="1" x14ac:dyDescent="0.25">
      <c r="A2115" s="2">
        <v>45974.418055555601</v>
      </c>
      <c r="B2115">
        <v>2025002700</v>
      </c>
      <c r="C2115" t="s">
        <v>1778</v>
      </c>
      <c r="D2115" s="11">
        <v>3150000</v>
      </c>
      <c r="E2115" s="19" t="s">
        <v>2006</v>
      </c>
      <c r="F2115" t="s">
        <v>1779</v>
      </c>
      <c r="G2115" t="s">
        <v>1755</v>
      </c>
      <c r="H2115" t="str">
        <f>VLOOKUP(C2115,'[1]873'!$C$2:$C$711,1,0)</f>
        <v>798-2025</v>
      </c>
    </row>
    <row r="2116" spans="1:8" ht="15" customHeight="1" x14ac:dyDescent="0.25">
      <c r="A2116" s="2">
        <v>45974.420833333301</v>
      </c>
      <c r="B2116">
        <v>2025002703</v>
      </c>
      <c r="C2116" t="s">
        <v>1954</v>
      </c>
      <c r="D2116" s="11">
        <v>3150000</v>
      </c>
      <c r="E2116" s="19" t="s">
        <v>2007</v>
      </c>
      <c r="F2116" t="s">
        <v>1955</v>
      </c>
      <c r="G2116" t="s">
        <v>1755</v>
      </c>
      <c r="H2116" t="str">
        <f>VLOOKUP(C2116,'[1]873'!$C$2:$C$711,1,0)</f>
        <v>883-2025</v>
      </c>
    </row>
    <row r="2117" spans="1:8" ht="15" customHeight="1" x14ac:dyDescent="0.25">
      <c r="A2117" s="2">
        <v>45974.422916666699</v>
      </c>
      <c r="B2117">
        <v>2025002704</v>
      </c>
      <c r="C2117" t="s">
        <v>1948</v>
      </c>
      <c r="D2117" s="11">
        <v>4730000</v>
      </c>
      <c r="E2117" s="19" t="s">
        <v>2008</v>
      </c>
      <c r="F2117" t="s">
        <v>1949</v>
      </c>
      <c r="G2117" t="s">
        <v>1755</v>
      </c>
      <c r="H2117" t="str">
        <f>VLOOKUP(C2117,'[1]873'!$C$2:$C$711,1,0)</f>
        <v>766-2025</v>
      </c>
    </row>
    <row r="2118" spans="1:8" ht="15" customHeight="1" x14ac:dyDescent="0.25">
      <c r="A2118" s="2">
        <v>45974.427083333299</v>
      </c>
      <c r="B2118">
        <v>2025002706</v>
      </c>
      <c r="C2118" t="s">
        <v>1765</v>
      </c>
      <c r="D2118" s="11">
        <v>6300000</v>
      </c>
      <c r="E2118" s="19" t="s">
        <v>2009</v>
      </c>
      <c r="F2118" t="s">
        <v>1766</v>
      </c>
      <c r="G2118" t="s">
        <v>1755</v>
      </c>
      <c r="H2118" t="str">
        <f>VLOOKUP(C2118,'[1]873'!$C$2:$C$711,1,0)</f>
        <v>862-2025</v>
      </c>
    </row>
    <row r="2119" spans="1:8" ht="15" customHeight="1" x14ac:dyDescent="0.25">
      <c r="A2119" s="2">
        <v>45974.431250000001</v>
      </c>
      <c r="B2119">
        <v>2025002707</v>
      </c>
      <c r="C2119" t="s">
        <v>1830</v>
      </c>
      <c r="D2119" s="11">
        <v>7800000</v>
      </c>
      <c r="E2119" s="19" t="s">
        <v>2010</v>
      </c>
      <c r="F2119" t="s">
        <v>1831</v>
      </c>
      <c r="G2119" t="s">
        <v>1755</v>
      </c>
      <c r="H2119" t="str">
        <f>VLOOKUP(C2119,'[1]873'!$C$2:$C$711,1,0)</f>
        <v>831-2025</v>
      </c>
    </row>
    <row r="2120" spans="1:8" ht="15" customHeight="1" x14ac:dyDescent="0.25">
      <c r="A2120" s="2">
        <v>45974.433333333298</v>
      </c>
      <c r="B2120">
        <v>2025002708</v>
      </c>
      <c r="C2120" t="s">
        <v>1762</v>
      </c>
      <c r="D2120" s="11">
        <v>6300000</v>
      </c>
      <c r="E2120" s="19" t="s">
        <v>1635</v>
      </c>
      <c r="F2120" t="s">
        <v>145</v>
      </c>
      <c r="G2120" t="s">
        <v>1755</v>
      </c>
      <c r="H2120" t="str">
        <f>VLOOKUP(C2120,'[1]873'!$C$2:$C$711,1,0)</f>
        <v>904-2025</v>
      </c>
    </row>
    <row r="2121" spans="1:8" ht="15" customHeight="1" x14ac:dyDescent="0.25">
      <c r="A2121" s="2">
        <v>45974.435416666704</v>
      </c>
      <c r="B2121">
        <v>2025002709</v>
      </c>
      <c r="C2121" t="s">
        <v>1984</v>
      </c>
      <c r="D2121" s="11">
        <v>3150000</v>
      </c>
      <c r="E2121" s="19" t="s">
        <v>2011</v>
      </c>
      <c r="F2121" t="s">
        <v>884</v>
      </c>
      <c r="G2121" t="s">
        <v>1755</v>
      </c>
      <c r="H2121" t="str">
        <f>VLOOKUP(C2121,'[1]873'!$C$2:$C$711,1,0)</f>
        <v>926-2025</v>
      </c>
    </row>
    <row r="2122" spans="1:8" ht="15" customHeight="1" x14ac:dyDescent="0.25">
      <c r="A2122" s="2">
        <v>45974.4375</v>
      </c>
      <c r="B2122">
        <v>2025002710</v>
      </c>
      <c r="C2122" t="s">
        <v>1873</v>
      </c>
      <c r="D2122" s="11">
        <v>3150000</v>
      </c>
      <c r="E2122" s="19" t="s">
        <v>2012</v>
      </c>
      <c r="F2122" t="s">
        <v>1874</v>
      </c>
      <c r="G2122" t="s">
        <v>1755</v>
      </c>
      <c r="H2122" t="str">
        <f>VLOOKUP(C2122,'[1]873'!$C$2:$C$711,1,0)</f>
        <v>782-2025</v>
      </c>
    </row>
    <row r="2123" spans="1:8" ht="15" customHeight="1" x14ac:dyDescent="0.25">
      <c r="A2123" s="2">
        <v>45974.443055555603</v>
      </c>
      <c r="B2123">
        <v>2025002711</v>
      </c>
      <c r="C2123" t="s">
        <v>1836</v>
      </c>
      <c r="D2123" s="11">
        <v>4730000</v>
      </c>
      <c r="E2123" s="19" t="s">
        <v>2013</v>
      </c>
      <c r="F2123" t="s">
        <v>1837</v>
      </c>
      <c r="G2123" t="s">
        <v>1755</v>
      </c>
      <c r="H2123" t="str">
        <f>VLOOKUP(C2123,'[1]873'!$C$2:$C$711,1,0)</f>
        <v>749-2025</v>
      </c>
    </row>
    <row r="2124" spans="1:8" ht="15" customHeight="1" x14ac:dyDescent="0.25">
      <c r="A2124" s="2">
        <v>45974.447222222203</v>
      </c>
      <c r="B2124">
        <v>2025002712</v>
      </c>
      <c r="C2124" t="s">
        <v>1776</v>
      </c>
      <c r="D2124" s="11">
        <v>3150000</v>
      </c>
      <c r="E2124" s="19" t="s">
        <v>2014</v>
      </c>
      <c r="F2124" t="s">
        <v>1777</v>
      </c>
      <c r="G2124" t="s">
        <v>1755</v>
      </c>
      <c r="H2124" t="str">
        <f>VLOOKUP(C2124,'[1]873'!$C$2:$C$711,1,0)</f>
        <v>886-2025</v>
      </c>
    </row>
    <row r="2125" spans="1:8" ht="15" customHeight="1" x14ac:dyDescent="0.25">
      <c r="A2125" s="2">
        <v>45974.451388888898</v>
      </c>
      <c r="B2125">
        <v>2025002714</v>
      </c>
      <c r="C2125" t="s">
        <v>1758</v>
      </c>
      <c r="D2125" s="11">
        <v>3150000</v>
      </c>
      <c r="E2125" s="19" t="s">
        <v>2015</v>
      </c>
      <c r="F2125" t="s">
        <v>1759</v>
      </c>
      <c r="G2125" t="s">
        <v>1755</v>
      </c>
      <c r="H2125" t="str">
        <f>VLOOKUP(C2125,'[1]873'!$C$2:$C$711,1,0)</f>
        <v>887-2025</v>
      </c>
    </row>
    <row r="2126" spans="1:8" ht="15" customHeight="1" x14ac:dyDescent="0.25">
      <c r="A2126" s="2">
        <v>45974.457638888904</v>
      </c>
      <c r="B2126">
        <v>2025002715</v>
      </c>
      <c r="C2126" t="s">
        <v>1851</v>
      </c>
      <c r="D2126" s="11">
        <v>7800000</v>
      </c>
      <c r="E2126" s="19" t="s">
        <v>2016</v>
      </c>
      <c r="F2126" t="s">
        <v>1852</v>
      </c>
      <c r="G2126" t="s">
        <v>1755</v>
      </c>
      <c r="H2126" t="str">
        <f>VLOOKUP(C2126,'[1]873'!$C$2:$C$711,1,0)</f>
        <v>772-2025</v>
      </c>
    </row>
    <row r="2127" spans="1:8" ht="15" customHeight="1" x14ac:dyDescent="0.25">
      <c r="A2127" s="2">
        <v>45979.377083333296</v>
      </c>
      <c r="B2127">
        <v>2025002728</v>
      </c>
      <c r="C2127" t="s">
        <v>2017</v>
      </c>
      <c r="D2127" s="11">
        <v>4572333</v>
      </c>
      <c r="E2127" s="19" t="s">
        <v>2018</v>
      </c>
      <c r="F2127" t="s">
        <v>2019</v>
      </c>
      <c r="G2127" t="s">
        <v>1755</v>
      </c>
      <c r="H2127" t="str">
        <f>VLOOKUP(C2127,'[1]873'!$C$2:$C$711,1,0)</f>
        <v>845-2025</v>
      </c>
    </row>
    <row r="2128" spans="1:8" ht="15" customHeight="1" x14ac:dyDescent="0.25">
      <c r="A2128" s="2">
        <v>45979.381249999999</v>
      </c>
      <c r="B2128">
        <v>2025002729</v>
      </c>
      <c r="C2128" t="s">
        <v>1792</v>
      </c>
      <c r="D2128" s="11">
        <v>3150000</v>
      </c>
      <c r="E2128" s="19" t="s">
        <v>1690</v>
      </c>
      <c r="F2128" t="s">
        <v>201</v>
      </c>
      <c r="G2128" t="s">
        <v>1755</v>
      </c>
      <c r="H2128" t="str">
        <f>VLOOKUP(C2128,'[1]873'!$C$2:$C$711,1,0)</f>
        <v>795-2025</v>
      </c>
    </row>
    <row r="2129" spans="1:8" ht="15" customHeight="1" x14ac:dyDescent="0.25">
      <c r="A2129" s="2">
        <v>45979.386111111096</v>
      </c>
      <c r="B2129">
        <v>2025002731</v>
      </c>
      <c r="C2129" t="s">
        <v>1890</v>
      </c>
      <c r="D2129" s="11">
        <v>4730000</v>
      </c>
      <c r="E2129" s="19" t="s">
        <v>2020</v>
      </c>
      <c r="F2129" t="s">
        <v>1891</v>
      </c>
      <c r="G2129" t="s">
        <v>1755</v>
      </c>
      <c r="H2129" t="str">
        <f>VLOOKUP(C2129,'[1]873'!$C$2:$C$711,1,0)</f>
        <v>747-2025</v>
      </c>
    </row>
    <row r="2130" spans="1:8" ht="15" customHeight="1" x14ac:dyDescent="0.25">
      <c r="A2130" s="2">
        <v>45979.390277777798</v>
      </c>
      <c r="B2130">
        <v>2025002732</v>
      </c>
      <c r="C2130" t="s">
        <v>1761</v>
      </c>
      <c r="D2130" s="11">
        <v>3150000</v>
      </c>
      <c r="E2130" s="19" t="s">
        <v>1671</v>
      </c>
      <c r="F2130" t="s">
        <v>443</v>
      </c>
      <c r="G2130" t="s">
        <v>1755</v>
      </c>
      <c r="H2130" t="str">
        <f>VLOOKUP(C2130,'[1]873'!$C$2:$C$711,1,0)</f>
        <v>829-2025</v>
      </c>
    </row>
    <row r="2131" spans="1:8" ht="15" customHeight="1" x14ac:dyDescent="0.25">
      <c r="A2131" s="2">
        <v>45979.392361111102</v>
      </c>
      <c r="B2131">
        <v>2025002733</v>
      </c>
      <c r="C2131" t="s">
        <v>1864</v>
      </c>
      <c r="D2131" s="11">
        <v>3150000</v>
      </c>
      <c r="E2131" s="19" t="s">
        <v>2021</v>
      </c>
      <c r="F2131" t="s">
        <v>1865</v>
      </c>
      <c r="G2131" t="s">
        <v>1755</v>
      </c>
      <c r="H2131" t="str">
        <f>VLOOKUP(C2131,'[1]873'!$C$2:$C$711,1,0)</f>
        <v>813-2025</v>
      </c>
    </row>
    <row r="2132" spans="1:8" ht="15" customHeight="1" x14ac:dyDescent="0.25">
      <c r="A2132" s="2">
        <v>45979.395833333299</v>
      </c>
      <c r="B2132">
        <v>2025002734</v>
      </c>
      <c r="C2132" t="s">
        <v>1775</v>
      </c>
      <c r="D2132" s="11">
        <v>3150000</v>
      </c>
      <c r="E2132" s="19" t="s">
        <v>1639</v>
      </c>
      <c r="F2132" t="s">
        <v>409</v>
      </c>
      <c r="G2132" t="s">
        <v>1755</v>
      </c>
      <c r="H2132" t="str">
        <f>VLOOKUP(C2132,'[1]873'!$C$2:$C$711,1,0)</f>
        <v>783-2025</v>
      </c>
    </row>
    <row r="2133" spans="1:8" ht="15" customHeight="1" x14ac:dyDescent="0.25">
      <c r="A2133" s="2">
        <v>45979.397916666698</v>
      </c>
      <c r="B2133">
        <v>2025002735</v>
      </c>
      <c r="C2133" t="s">
        <v>1839</v>
      </c>
      <c r="D2133" s="11">
        <v>4730000</v>
      </c>
      <c r="E2133" s="19" t="s">
        <v>1641</v>
      </c>
      <c r="F2133" t="s">
        <v>1142</v>
      </c>
      <c r="G2133" t="s">
        <v>1755</v>
      </c>
      <c r="H2133" t="str">
        <f>VLOOKUP(C2133,'[1]873'!$C$2:$C$711,1,0)</f>
        <v>726-2025</v>
      </c>
    </row>
    <row r="2134" spans="1:8" ht="15" customHeight="1" x14ac:dyDescent="0.25">
      <c r="A2134" s="2">
        <v>45979.401388888902</v>
      </c>
      <c r="B2134">
        <v>2025002736</v>
      </c>
      <c r="C2134" t="s">
        <v>1877</v>
      </c>
      <c r="D2134" s="11">
        <v>3150000</v>
      </c>
      <c r="E2134" s="19" t="s">
        <v>1719</v>
      </c>
      <c r="F2134" t="s">
        <v>1230</v>
      </c>
      <c r="G2134" t="s">
        <v>1755</v>
      </c>
      <c r="H2134" t="str">
        <f>VLOOKUP(C2134,'[1]873'!$C$2:$C$711,1,0)</f>
        <v>894-2025</v>
      </c>
    </row>
    <row r="2135" spans="1:8" ht="15" customHeight="1" x14ac:dyDescent="0.25">
      <c r="A2135" s="2">
        <v>45979.403472222199</v>
      </c>
      <c r="B2135">
        <v>2025002737</v>
      </c>
      <c r="C2135" t="s">
        <v>1900</v>
      </c>
      <c r="D2135" s="11">
        <v>6300000</v>
      </c>
      <c r="E2135" s="19" t="s">
        <v>1705</v>
      </c>
      <c r="F2135" t="s">
        <v>450</v>
      </c>
      <c r="G2135" t="s">
        <v>1755</v>
      </c>
      <c r="H2135" t="str">
        <f>VLOOKUP(C2135,'[1]873'!$C$2:$C$711,1,0)</f>
        <v>843-2025</v>
      </c>
    </row>
    <row r="2136" spans="1:8" ht="15" customHeight="1" x14ac:dyDescent="0.25">
      <c r="A2136" s="2">
        <v>45979.405555555597</v>
      </c>
      <c r="B2136">
        <v>2025002738</v>
      </c>
      <c r="C2136" t="s">
        <v>2022</v>
      </c>
      <c r="D2136" s="11">
        <v>36863960</v>
      </c>
      <c r="E2136" s="19" t="s">
        <v>1710</v>
      </c>
      <c r="F2136" t="s">
        <v>1220</v>
      </c>
      <c r="G2136" t="s">
        <v>1755</v>
      </c>
      <c r="H2136" t="str">
        <f>VLOOKUP(C2136,'[1]873'!$C$2:$C$711,1,0)</f>
        <v>874-2025</v>
      </c>
    </row>
    <row r="2137" spans="1:8" ht="15" customHeight="1" x14ac:dyDescent="0.25">
      <c r="A2137" s="2">
        <v>45980.470833333296</v>
      </c>
      <c r="B2137">
        <v>2025002742</v>
      </c>
      <c r="C2137" t="s">
        <v>1963</v>
      </c>
      <c r="D2137" s="11">
        <v>7800000</v>
      </c>
      <c r="E2137" s="19" t="s">
        <v>2023</v>
      </c>
      <c r="F2137" t="s">
        <v>1964</v>
      </c>
      <c r="G2137" t="s">
        <v>1755</v>
      </c>
      <c r="H2137" t="str">
        <f>VLOOKUP(C2137,'[1]873'!$C$2:$C$711,1,0)</f>
        <v>780-2025</v>
      </c>
    </row>
    <row r="2138" spans="1:8" ht="15" customHeight="1" x14ac:dyDescent="0.25">
      <c r="A2138" s="2">
        <v>45980.474999999999</v>
      </c>
      <c r="B2138">
        <v>2025002743</v>
      </c>
      <c r="C2138" t="s">
        <v>1887</v>
      </c>
      <c r="D2138" s="11">
        <v>4730000</v>
      </c>
      <c r="E2138" s="19" t="s">
        <v>2024</v>
      </c>
      <c r="F2138" t="s">
        <v>1888</v>
      </c>
      <c r="G2138" t="s">
        <v>1755</v>
      </c>
      <c r="H2138" t="str">
        <f>VLOOKUP(C2138,'[1]873'!$C$2:$C$711,1,0)</f>
        <v>742-2025</v>
      </c>
    </row>
    <row r="2139" spans="1:8" ht="15" customHeight="1" x14ac:dyDescent="0.25">
      <c r="A2139" s="2">
        <v>45980.476388888899</v>
      </c>
      <c r="B2139">
        <v>2025002744</v>
      </c>
      <c r="C2139" t="s">
        <v>1987</v>
      </c>
      <c r="D2139" s="11">
        <v>3150000</v>
      </c>
      <c r="E2139" s="19" t="s">
        <v>2025</v>
      </c>
      <c r="F2139" t="s">
        <v>1988</v>
      </c>
      <c r="G2139" t="s">
        <v>1755</v>
      </c>
      <c r="H2139" t="str">
        <f>VLOOKUP(C2139,'[1]873'!$C$2:$C$711,1,0)</f>
        <v>820-2025</v>
      </c>
    </row>
    <row r="2140" spans="1:8" ht="15" customHeight="1" x14ac:dyDescent="0.25">
      <c r="A2140" s="2">
        <v>45980.479166666701</v>
      </c>
      <c r="B2140">
        <v>2025002745</v>
      </c>
      <c r="C2140" t="s">
        <v>2026</v>
      </c>
      <c r="D2140" s="11">
        <v>2000000</v>
      </c>
      <c r="E2140" s="19" t="s">
        <v>2027</v>
      </c>
      <c r="F2140" t="s">
        <v>2028</v>
      </c>
      <c r="G2140" t="s">
        <v>1755</v>
      </c>
      <c r="H2140" t="str">
        <f>VLOOKUP(C2140,'[1]873'!$C$2:$C$711,1,0)</f>
        <v>1021-2025</v>
      </c>
    </row>
    <row r="2141" spans="1:8" ht="15" customHeight="1" x14ac:dyDescent="0.25">
      <c r="A2141" s="2">
        <v>45980.4819444444</v>
      </c>
      <c r="B2141">
        <v>2025002746</v>
      </c>
      <c r="C2141" t="s">
        <v>2029</v>
      </c>
      <c r="D2141" s="11">
        <v>3150000</v>
      </c>
      <c r="E2141" s="19" t="s">
        <v>1712</v>
      </c>
      <c r="F2141" t="s">
        <v>1222</v>
      </c>
      <c r="G2141" t="s">
        <v>1755</v>
      </c>
      <c r="H2141" t="str">
        <f>VLOOKUP(C2141,'[1]873'!$C$2:$C$711,1,0)</f>
        <v>960-2025</v>
      </c>
    </row>
    <row r="2142" spans="1:8" ht="15" customHeight="1" x14ac:dyDescent="0.25">
      <c r="A2142" s="2">
        <v>45980.484722222202</v>
      </c>
      <c r="B2142">
        <v>2025002747</v>
      </c>
      <c r="C2142" t="s">
        <v>1875</v>
      </c>
      <c r="D2142" s="11">
        <v>7800000</v>
      </c>
      <c r="E2142" s="19" t="s">
        <v>1708</v>
      </c>
      <c r="F2142" t="s">
        <v>1218</v>
      </c>
      <c r="G2142" t="s">
        <v>1755</v>
      </c>
      <c r="H2142" t="str">
        <f>VLOOKUP(C2142,'[1]873'!$C$2:$C$711,1,0)</f>
        <v>755-2025</v>
      </c>
    </row>
    <row r="2143" spans="1:8" ht="15" customHeight="1" x14ac:dyDescent="0.25">
      <c r="A2143" s="2">
        <v>45980.487500000003</v>
      </c>
      <c r="B2143">
        <v>2025002748</v>
      </c>
      <c r="C2143" t="s">
        <v>1960</v>
      </c>
      <c r="D2143" s="11">
        <v>1575000</v>
      </c>
      <c r="E2143" s="19" t="s">
        <v>2030</v>
      </c>
      <c r="F2143" t="s">
        <v>1961</v>
      </c>
      <c r="G2143" t="s">
        <v>1755</v>
      </c>
      <c r="H2143" t="str">
        <f>VLOOKUP(C2143,'[1]873'!$C$2:$C$711,1,0)</f>
        <v>878-2025</v>
      </c>
    </row>
    <row r="2144" spans="1:8" ht="15" customHeight="1" x14ac:dyDescent="0.25">
      <c r="A2144" s="2">
        <v>45980.490277777797</v>
      </c>
      <c r="B2144">
        <v>2025002749</v>
      </c>
      <c r="C2144" t="s">
        <v>1870</v>
      </c>
      <c r="D2144" s="11">
        <v>4730000</v>
      </c>
      <c r="E2144" s="19" t="s">
        <v>2031</v>
      </c>
      <c r="F2144" t="s">
        <v>95</v>
      </c>
      <c r="G2144" t="s">
        <v>1755</v>
      </c>
      <c r="H2144" t="str">
        <f>VLOOKUP(C2144,'[1]873'!$C$2:$C$711,1,0)</f>
        <v>730-2025</v>
      </c>
    </row>
    <row r="2145" spans="1:9" ht="15" customHeight="1" x14ac:dyDescent="0.25">
      <c r="A2145" s="2">
        <v>45980.492361111101</v>
      </c>
      <c r="B2145">
        <v>2025002750</v>
      </c>
      <c r="C2145" t="s">
        <v>1883</v>
      </c>
      <c r="D2145" s="11">
        <v>6300000</v>
      </c>
      <c r="E2145" s="19" t="s">
        <v>2032</v>
      </c>
      <c r="F2145" t="s">
        <v>1884</v>
      </c>
      <c r="G2145" t="s">
        <v>1755</v>
      </c>
      <c r="H2145" t="str">
        <f>VLOOKUP(C2145,'[1]873'!$C$2:$C$711,1,0)</f>
        <v>757-2025</v>
      </c>
    </row>
    <row r="2146" spans="1:9" ht="15" customHeight="1" x14ac:dyDescent="0.25">
      <c r="A2146" s="2">
        <v>45980.586111111101</v>
      </c>
      <c r="B2146">
        <v>2025002751</v>
      </c>
      <c r="C2146" t="s">
        <v>1853</v>
      </c>
      <c r="D2146" s="11">
        <v>4730000</v>
      </c>
      <c r="E2146" s="19" t="s">
        <v>2033</v>
      </c>
      <c r="F2146" t="s">
        <v>355</v>
      </c>
      <c r="G2146" t="s">
        <v>1755</v>
      </c>
      <c r="H2146" t="str">
        <f>VLOOKUP(C2146,'[1]873'!$C$2:$C$711,1,0)</f>
        <v>770-2025</v>
      </c>
    </row>
    <row r="2147" spans="1:9" ht="15" customHeight="1" x14ac:dyDescent="0.25">
      <c r="A2147" s="2">
        <v>45980.668055555601</v>
      </c>
      <c r="B2147">
        <v>2025002768</v>
      </c>
      <c r="C2147" t="s">
        <v>1844</v>
      </c>
      <c r="D2147" s="11">
        <v>7800000</v>
      </c>
      <c r="E2147" s="19" t="s">
        <v>1682</v>
      </c>
      <c r="F2147" t="s">
        <v>159</v>
      </c>
      <c r="G2147" t="s">
        <v>1755</v>
      </c>
      <c r="H2147" t="str">
        <f>VLOOKUP(C2147,'[1]873'!$C$2:$C$711,1,0)</f>
        <v>822-2025</v>
      </c>
    </row>
    <row r="2148" spans="1:9" ht="15" customHeight="1" x14ac:dyDescent="0.25">
      <c r="A2148" s="2">
        <v>45980.673611111102</v>
      </c>
      <c r="B2148">
        <v>2025002773</v>
      </c>
      <c r="C2148" t="s">
        <v>1879</v>
      </c>
      <c r="D2148" s="11">
        <v>3150000</v>
      </c>
      <c r="E2148" s="19" t="s">
        <v>2034</v>
      </c>
      <c r="F2148" t="s">
        <v>1880</v>
      </c>
      <c r="G2148" t="s">
        <v>1755</v>
      </c>
      <c r="H2148" t="str">
        <f>VLOOKUP(C2148,'[1]873'!$C$2:$C$711,1,0)</f>
        <v>830-2025</v>
      </c>
    </row>
    <row r="2149" spans="1:9" ht="15" customHeight="1" x14ac:dyDescent="0.25">
      <c r="A2149" s="2">
        <v>45980.676388888904</v>
      </c>
      <c r="B2149">
        <v>2025002774</v>
      </c>
      <c r="C2149" t="s">
        <v>1956</v>
      </c>
      <c r="D2149" s="11">
        <v>3150000</v>
      </c>
      <c r="E2149" s="19" t="s">
        <v>2035</v>
      </c>
      <c r="F2149" t="s">
        <v>1957</v>
      </c>
      <c r="G2149" t="s">
        <v>1755</v>
      </c>
      <c r="H2149" t="str">
        <f>VLOOKUP(C2149,'[1]873'!$C$2:$C$711,1,0)</f>
        <v>841-2025</v>
      </c>
    </row>
    <row r="2150" spans="1:9" ht="15" customHeight="1" x14ac:dyDescent="0.25">
      <c r="A2150" s="2">
        <v>45980.681250000001</v>
      </c>
      <c r="B2150">
        <v>2025002778</v>
      </c>
      <c r="C2150" t="s">
        <v>1849</v>
      </c>
      <c r="D2150" s="11">
        <v>7800000</v>
      </c>
      <c r="E2150" s="19" t="s">
        <v>1620</v>
      </c>
      <c r="F2150" t="s">
        <v>41</v>
      </c>
      <c r="G2150" t="s">
        <v>1755</v>
      </c>
      <c r="H2150" t="str">
        <f>VLOOKUP(C2150,'[1]873'!$C$2:$C$711,1,0)</f>
        <v>711-2025</v>
      </c>
    </row>
    <row r="2151" spans="1:9" ht="15" customHeight="1" x14ac:dyDescent="0.25">
      <c r="A2151" s="2">
        <v>45980.684722222199</v>
      </c>
      <c r="B2151">
        <v>2025002779</v>
      </c>
      <c r="C2151" t="s">
        <v>1760</v>
      </c>
      <c r="D2151" s="11">
        <v>3150000</v>
      </c>
      <c r="E2151" s="19" t="s">
        <v>1652</v>
      </c>
      <c r="F2151" t="s">
        <v>371</v>
      </c>
      <c r="G2151" t="s">
        <v>1755</v>
      </c>
      <c r="H2151" t="str">
        <f>VLOOKUP(C2151,'[1]873'!$C$2:$C$711,1,0)</f>
        <v>761-2025</v>
      </c>
    </row>
    <row r="2152" spans="1:9" ht="15" customHeight="1" x14ac:dyDescent="0.25">
      <c r="A2152" s="2">
        <v>45980.686805555597</v>
      </c>
      <c r="B2152">
        <v>2025002780</v>
      </c>
      <c r="C2152" t="s">
        <v>1773</v>
      </c>
      <c r="D2152" s="11">
        <v>6300000</v>
      </c>
      <c r="E2152" s="19" t="s">
        <v>2036</v>
      </c>
      <c r="F2152" t="s">
        <v>1774</v>
      </c>
      <c r="G2152" t="s">
        <v>1755</v>
      </c>
      <c r="H2152" t="str">
        <f>VLOOKUP(C2152,'[1]873'!$C$2:$C$711,1,0)</f>
        <v>817-2025</v>
      </c>
    </row>
    <row r="2153" spans="1:9" ht="15" customHeight="1" x14ac:dyDescent="0.25">
      <c r="A2153" s="2">
        <v>45980.688888888901</v>
      </c>
      <c r="B2153">
        <v>2025002781</v>
      </c>
      <c r="C2153" t="s">
        <v>1835</v>
      </c>
      <c r="D2153" s="11">
        <v>3150000</v>
      </c>
      <c r="E2153" s="19" t="s">
        <v>1679</v>
      </c>
      <c r="F2153" t="s">
        <v>111</v>
      </c>
      <c r="G2153" t="s">
        <v>1755</v>
      </c>
      <c r="H2153" t="str">
        <f>VLOOKUP(C2153,'[1]873'!$C$2:$C$711,1,0)</f>
        <v>826-2025</v>
      </c>
    </row>
    <row r="2154" spans="1:9" ht="15" customHeight="1" x14ac:dyDescent="0.25">
      <c r="A2154" s="2">
        <v>45980.691666666702</v>
      </c>
      <c r="B2154">
        <v>2025002782</v>
      </c>
      <c r="C2154" t="s">
        <v>1878</v>
      </c>
      <c r="D2154" s="11">
        <v>3150000</v>
      </c>
      <c r="E2154" s="19" t="s">
        <v>2037</v>
      </c>
      <c r="F2154" t="s">
        <v>417</v>
      </c>
      <c r="G2154" t="s">
        <v>1755</v>
      </c>
      <c r="H2154" t="str">
        <f>VLOOKUP(C2154,'[1]873'!$C$2:$C$711,1,0)</f>
        <v>840-2025</v>
      </c>
    </row>
    <row r="2155" spans="1:9" ht="15" customHeight="1" x14ac:dyDescent="0.25">
      <c r="A2155" s="2">
        <v>45980.7409722222</v>
      </c>
      <c r="B2155">
        <v>2025002783</v>
      </c>
      <c r="C2155" t="s">
        <v>1940</v>
      </c>
      <c r="D2155" s="11">
        <v>3150000</v>
      </c>
      <c r="E2155" s="19" t="s">
        <v>1634</v>
      </c>
      <c r="F2155" t="s">
        <v>209</v>
      </c>
      <c r="G2155" t="s">
        <v>1755</v>
      </c>
      <c r="H2155" t="str">
        <f>VLOOKUP(C2155,'[1]873'!$C$2:$C$711,1,0)</f>
        <v>743-2025</v>
      </c>
    </row>
    <row r="2156" spans="1:9" ht="15" customHeight="1" x14ac:dyDescent="0.25">
      <c r="A2156" s="2">
        <v>45981.306944444397</v>
      </c>
      <c r="B2156">
        <v>2025002784</v>
      </c>
      <c r="C2156" t="s">
        <v>1932</v>
      </c>
      <c r="D2156" s="11">
        <v>7800000</v>
      </c>
      <c r="E2156" s="19" t="s">
        <v>2038</v>
      </c>
      <c r="F2156" t="s">
        <v>889</v>
      </c>
      <c r="G2156" t="s">
        <v>1755</v>
      </c>
      <c r="H2156" t="str">
        <f>VLOOKUP(C2156,'[1]873'!$C$2:$C$711,1,0)</f>
        <v>750-2025</v>
      </c>
    </row>
    <row r="2157" spans="1:9" ht="15" customHeight="1" x14ac:dyDescent="0.25">
      <c r="A2157" s="2">
        <v>45981.311111111099</v>
      </c>
      <c r="B2157">
        <v>2025002785</v>
      </c>
      <c r="C2157" t="s">
        <v>1934</v>
      </c>
      <c r="D2157" s="11">
        <v>4730000</v>
      </c>
      <c r="E2157" s="19" t="s">
        <v>2039</v>
      </c>
      <c r="F2157" t="s">
        <v>464</v>
      </c>
      <c r="G2157" t="s">
        <v>1755</v>
      </c>
      <c r="H2157" t="str">
        <f>VLOOKUP(C2157,'[1]873'!$C$2:$C$711,1,0)</f>
        <v>768-2025</v>
      </c>
    </row>
    <row r="2158" spans="1:9" ht="15" customHeight="1" x14ac:dyDescent="0.25">
      <c r="A2158" s="2">
        <v>45981.313194444403</v>
      </c>
      <c r="B2158">
        <v>2025002786</v>
      </c>
      <c r="C2158" t="s">
        <v>1805</v>
      </c>
      <c r="D2158" s="11">
        <v>3150000</v>
      </c>
      <c r="E2158" s="19" t="s">
        <v>1658</v>
      </c>
      <c r="F2158" t="s">
        <v>1158</v>
      </c>
      <c r="G2158" t="s">
        <v>1755</v>
      </c>
      <c r="H2158" t="str">
        <f>VLOOKUP(C2158,'[1]873'!$C$2:$C$711,1,0)</f>
        <v>774-2025</v>
      </c>
    </row>
    <row r="2159" spans="1:9" ht="15" customHeight="1" x14ac:dyDescent="0.25">
      <c r="A2159" s="2">
        <v>45981.320138888899</v>
      </c>
      <c r="B2159">
        <v>2025002787</v>
      </c>
      <c r="C2159" t="s">
        <v>1914</v>
      </c>
      <c r="D2159" s="11">
        <v>6300000</v>
      </c>
      <c r="E2159" s="19" t="s">
        <v>1673</v>
      </c>
      <c r="F2159" t="s">
        <v>1182</v>
      </c>
      <c r="G2159" t="s">
        <v>1755</v>
      </c>
      <c r="H2159" t="str">
        <f>VLOOKUP(C2159,'[1]873'!$C$2:$C$711,1,0)</f>
        <v>778-2025</v>
      </c>
    </row>
    <row r="2160" spans="1:9" ht="15" customHeight="1" x14ac:dyDescent="0.25">
      <c r="A2160" s="2">
        <v>45974</v>
      </c>
      <c r="B2160">
        <v>2025002788</v>
      </c>
      <c r="C2160" t="s">
        <v>1241</v>
      </c>
      <c r="D2160" s="11">
        <v>3000000</v>
      </c>
      <c r="E2160">
        <v>1085344795</v>
      </c>
      <c r="F2160" t="s">
        <v>1242</v>
      </c>
      <c r="G2160" t="s">
        <v>1094</v>
      </c>
      <c r="H2160" t="e">
        <f>VLOOKUP(C2160,'[1]873'!$C$2:$C$711,1,0)</f>
        <v>#N/A</v>
      </c>
      <c r="I2160" s="11"/>
    </row>
    <row r="2161" spans="1:9" ht="15" customHeight="1" x14ac:dyDescent="0.25">
      <c r="A2161" s="2">
        <v>45981.329166666699</v>
      </c>
      <c r="B2161">
        <v>2025002789</v>
      </c>
      <c r="C2161" t="s">
        <v>1806</v>
      </c>
      <c r="D2161" s="11">
        <v>7800000</v>
      </c>
      <c r="E2161" s="19" t="s">
        <v>2040</v>
      </c>
      <c r="F2161" t="s">
        <v>1807</v>
      </c>
      <c r="G2161" t="s">
        <v>1755</v>
      </c>
      <c r="H2161" t="str">
        <f>VLOOKUP(C2161,'[1]873'!$C$2:$C$711,1,0)</f>
        <v>888-2025</v>
      </c>
    </row>
    <row r="2162" spans="1:9" ht="15" customHeight="1" x14ac:dyDescent="0.25">
      <c r="A2162" s="2">
        <v>45981.331944444399</v>
      </c>
      <c r="B2162">
        <v>2025002790</v>
      </c>
      <c r="C2162" t="s">
        <v>1922</v>
      </c>
      <c r="D2162" s="11">
        <v>7800000</v>
      </c>
      <c r="E2162" s="19" t="s">
        <v>2041</v>
      </c>
      <c r="F2162" t="s">
        <v>1923</v>
      </c>
      <c r="G2162" t="s">
        <v>1755</v>
      </c>
      <c r="H2162" t="str">
        <f>VLOOKUP(C2162,'[1]873'!$C$2:$C$711,1,0)</f>
        <v>875-2025</v>
      </c>
    </row>
    <row r="2163" spans="1:9" ht="15" customHeight="1" x14ac:dyDescent="0.25">
      <c r="A2163" s="2">
        <v>45981.335416666698</v>
      </c>
      <c r="B2163">
        <v>2025002791</v>
      </c>
      <c r="C2163" t="s">
        <v>1823</v>
      </c>
      <c r="D2163" s="11">
        <v>3150000</v>
      </c>
      <c r="E2163" s="19" t="s">
        <v>2042</v>
      </c>
      <c r="F2163" t="s">
        <v>693</v>
      </c>
      <c r="G2163" t="s">
        <v>1755</v>
      </c>
      <c r="H2163" t="str">
        <f>VLOOKUP(C2163,'[1]873'!$C$2:$C$711,1,0)</f>
        <v>839-2025</v>
      </c>
    </row>
    <row r="2164" spans="1:9" ht="15" customHeight="1" x14ac:dyDescent="0.25">
      <c r="A2164" s="2">
        <v>45981.337500000001</v>
      </c>
      <c r="B2164">
        <v>2025002792</v>
      </c>
      <c r="C2164" t="s">
        <v>1803</v>
      </c>
      <c r="D2164" s="11">
        <v>3150000</v>
      </c>
      <c r="E2164" s="19" t="s">
        <v>1662</v>
      </c>
      <c r="F2164" t="s">
        <v>149</v>
      </c>
      <c r="G2164" t="s">
        <v>1755</v>
      </c>
      <c r="H2164" t="str">
        <f>VLOOKUP(C2164,'[1]873'!$C$2:$C$711,1,0)</f>
        <v>816-2025</v>
      </c>
    </row>
    <row r="2165" spans="1:9" ht="15" customHeight="1" x14ac:dyDescent="0.25">
      <c r="A2165" s="2">
        <v>45981.342361111099</v>
      </c>
      <c r="B2165">
        <v>2025002793</v>
      </c>
      <c r="C2165" t="s">
        <v>1924</v>
      </c>
      <c r="D2165" s="11">
        <v>6300000</v>
      </c>
      <c r="E2165" s="19" t="s">
        <v>1594</v>
      </c>
      <c r="F2165" t="s">
        <v>1102</v>
      </c>
      <c r="G2165" t="s">
        <v>1755</v>
      </c>
      <c r="H2165" t="str">
        <f>VLOOKUP(C2165,'[1]873'!$C$2:$C$711,1,0)</f>
        <v>805-2025</v>
      </c>
    </row>
    <row r="2166" spans="1:9" ht="15" customHeight="1" x14ac:dyDescent="0.25">
      <c r="A2166" s="2">
        <v>45981.345138888901</v>
      </c>
      <c r="B2166">
        <v>2025002794</v>
      </c>
      <c r="C2166" t="s">
        <v>1861</v>
      </c>
      <c r="D2166" s="11">
        <v>7800000</v>
      </c>
      <c r="E2166" s="19" t="s">
        <v>1622</v>
      </c>
      <c r="F2166" t="s">
        <v>63</v>
      </c>
      <c r="G2166" t="s">
        <v>1755</v>
      </c>
      <c r="H2166" t="str">
        <f>VLOOKUP(C2166,'[1]873'!$C$2:$C$711,1,0)</f>
        <v>723-2025</v>
      </c>
    </row>
    <row r="2167" spans="1:9" ht="15" customHeight="1" x14ac:dyDescent="0.25">
      <c r="A2167" s="2">
        <v>45981.347222222197</v>
      </c>
      <c r="B2167">
        <v>2025002795</v>
      </c>
      <c r="C2167" t="s">
        <v>1820</v>
      </c>
      <c r="D2167" s="11">
        <v>3150000</v>
      </c>
      <c r="E2167" s="19" t="s">
        <v>2043</v>
      </c>
      <c r="F2167" t="s">
        <v>405</v>
      </c>
      <c r="G2167" t="s">
        <v>1755</v>
      </c>
      <c r="H2167" t="str">
        <f>VLOOKUP(C2167,'[1]873'!$C$2:$C$711,1,0)</f>
        <v>793-2025</v>
      </c>
    </row>
    <row r="2168" spans="1:9" ht="15" customHeight="1" x14ac:dyDescent="0.25">
      <c r="A2168" s="2">
        <v>45981</v>
      </c>
      <c r="B2168">
        <v>2025002796</v>
      </c>
      <c r="C2168" t="s">
        <v>1245</v>
      </c>
      <c r="D2168" s="11">
        <v>3000000</v>
      </c>
      <c r="E2168">
        <v>1193271854</v>
      </c>
      <c r="F2168" t="s">
        <v>229</v>
      </c>
      <c r="G2168" t="s">
        <v>1094</v>
      </c>
      <c r="H2168" t="e">
        <f>VLOOKUP(C2168,'[1]873'!$C$2:$C$711,1,0)</f>
        <v>#N/A</v>
      </c>
    </row>
    <row r="2169" spans="1:9" ht="15" customHeight="1" x14ac:dyDescent="0.25">
      <c r="A2169" s="2">
        <v>45982</v>
      </c>
      <c r="B2169">
        <v>2025002797</v>
      </c>
      <c r="C2169" t="s">
        <v>1268</v>
      </c>
      <c r="D2169" s="11">
        <v>3000000</v>
      </c>
      <c r="E2169">
        <v>1082748783</v>
      </c>
      <c r="F2169" t="s">
        <v>1269</v>
      </c>
      <c r="G2169" t="s">
        <v>1094</v>
      </c>
      <c r="H2169" t="e">
        <f>VLOOKUP(C2169,'[1]873'!$C$2:$C$711,1,0)</f>
        <v>#N/A</v>
      </c>
      <c r="I2169" s="11"/>
    </row>
    <row r="2170" spans="1:9" ht="15" customHeight="1" x14ac:dyDescent="0.25">
      <c r="A2170" s="2">
        <v>45982</v>
      </c>
      <c r="B2170">
        <v>2025002798</v>
      </c>
      <c r="C2170" t="s">
        <v>1236</v>
      </c>
      <c r="D2170" s="11">
        <v>4825000</v>
      </c>
      <c r="E2170">
        <v>1085311814</v>
      </c>
      <c r="F2170" t="s">
        <v>1725</v>
      </c>
      <c r="G2170" t="s">
        <v>1094</v>
      </c>
      <c r="H2170" t="e">
        <f>VLOOKUP(C2170,'[1]873'!$C$2:$C$711,1,0)</f>
        <v>#N/A</v>
      </c>
      <c r="I2170" s="11"/>
    </row>
    <row r="2171" spans="1:9" ht="15" customHeight="1" x14ac:dyDescent="0.25">
      <c r="A2171" s="2">
        <v>45981.359027777798</v>
      </c>
      <c r="B2171">
        <v>2025002799</v>
      </c>
      <c r="C2171" t="s">
        <v>1827</v>
      </c>
      <c r="D2171" s="11">
        <v>3150000</v>
      </c>
      <c r="E2171" s="19" t="s">
        <v>1626</v>
      </c>
      <c r="F2171" t="s">
        <v>243</v>
      </c>
      <c r="G2171" t="s">
        <v>1755</v>
      </c>
      <c r="H2171" t="str">
        <f>VLOOKUP(C2171,'[1]873'!$C$2:$C$711,1,0)</f>
        <v>794-2025</v>
      </c>
    </row>
    <row r="2172" spans="1:9" ht="15" customHeight="1" x14ac:dyDescent="0.25">
      <c r="A2172" s="2">
        <v>45981.376388888901</v>
      </c>
      <c r="B2172">
        <v>2025002800</v>
      </c>
      <c r="C2172" t="s">
        <v>1866</v>
      </c>
      <c r="D2172" s="11">
        <v>3150000</v>
      </c>
      <c r="E2172" s="19" t="s">
        <v>2044</v>
      </c>
      <c r="F2172" t="s">
        <v>1867</v>
      </c>
      <c r="G2172" t="s">
        <v>1755</v>
      </c>
      <c r="H2172" t="str">
        <f>VLOOKUP(C2172,'[1]873'!$C$2:$C$711,1,0)</f>
        <v>803-2025</v>
      </c>
    </row>
    <row r="2173" spans="1:9" ht="15" customHeight="1" x14ac:dyDescent="0.25">
      <c r="A2173" s="2">
        <v>45981.399305555598</v>
      </c>
      <c r="B2173">
        <v>2025002802</v>
      </c>
      <c r="C2173" t="s">
        <v>1950</v>
      </c>
      <c r="D2173" s="11">
        <v>3150000</v>
      </c>
      <c r="E2173" s="19" t="s">
        <v>2045</v>
      </c>
      <c r="F2173" t="s">
        <v>1951</v>
      </c>
      <c r="G2173" t="s">
        <v>1755</v>
      </c>
      <c r="H2173" t="str">
        <f>VLOOKUP(C2173,'[1]873'!$C$2:$C$711,1,0)</f>
        <v>842-2025</v>
      </c>
    </row>
    <row r="2174" spans="1:9" ht="15" customHeight="1" x14ac:dyDescent="0.25">
      <c r="A2174" s="2">
        <v>45981.388888888898</v>
      </c>
      <c r="B2174">
        <v>2025002803</v>
      </c>
      <c r="C2174" t="s">
        <v>1889</v>
      </c>
      <c r="D2174" s="11">
        <v>3150000</v>
      </c>
      <c r="E2174" s="19" t="s">
        <v>1731</v>
      </c>
      <c r="F2174" t="s">
        <v>548</v>
      </c>
      <c r="G2174" t="s">
        <v>1755</v>
      </c>
      <c r="H2174" t="str">
        <f>VLOOKUP(C2174,'[1]873'!$C$2:$C$711,1,0)</f>
        <v>854-2025</v>
      </c>
    </row>
    <row r="2175" spans="1:9" ht="15" customHeight="1" x14ac:dyDescent="0.25">
      <c r="A2175" s="2">
        <v>45981.390972222202</v>
      </c>
      <c r="B2175">
        <v>2025002804</v>
      </c>
      <c r="C2175" t="s">
        <v>1881</v>
      </c>
      <c r="D2175" s="11">
        <v>3150000</v>
      </c>
      <c r="E2175" s="19" t="s">
        <v>2046</v>
      </c>
      <c r="F2175" t="s">
        <v>1882</v>
      </c>
      <c r="G2175" t="s">
        <v>1755</v>
      </c>
      <c r="H2175" t="str">
        <f>VLOOKUP(C2175,'[1]873'!$C$2:$C$711,1,0)</f>
        <v>864-2025</v>
      </c>
    </row>
    <row r="2176" spans="1:9" ht="15" customHeight="1" x14ac:dyDescent="0.25">
      <c r="A2176" s="2">
        <v>45981.3930555556</v>
      </c>
      <c r="B2176">
        <v>2025002805</v>
      </c>
      <c r="C2176" t="s">
        <v>1965</v>
      </c>
      <c r="D2176" s="11">
        <v>6300000</v>
      </c>
      <c r="E2176" s="19" t="s">
        <v>2047</v>
      </c>
      <c r="F2176" t="s">
        <v>1966</v>
      </c>
      <c r="G2176" t="s">
        <v>1755</v>
      </c>
      <c r="H2176" t="str">
        <f>VLOOKUP(C2176,'[1]873'!$C$2:$C$711,1,0)</f>
        <v>857-2025</v>
      </c>
    </row>
    <row r="2177" spans="1:8" ht="15" customHeight="1" x14ac:dyDescent="0.25">
      <c r="A2177" s="2">
        <v>45981.395138888904</v>
      </c>
      <c r="B2177">
        <v>2025002806</v>
      </c>
      <c r="C2177" t="s">
        <v>1946</v>
      </c>
      <c r="D2177" s="11">
        <v>3150000</v>
      </c>
      <c r="E2177" s="19" t="s">
        <v>2048</v>
      </c>
      <c r="F2177" t="s">
        <v>1947</v>
      </c>
      <c r="G2177" t="s">
        <v>1755</v>
      </c>
      <c r="H2177" t="str">
        <f>VLOOKUP(C2177,'[1]873'!$C$2:$C$711,1,0)</f>
        <v>809-2025</v>
      </c>
    </row>
    <row r="2178" spans="1:8" ht="15" customHeight="1" x14ac:dyDescent="0.25">
      <c r="A2178" s="2">
        <v>45981.396527777797</v>
      </c>
      <c r="B2178">
        <v>2025002807</v>
      </c>
      <c r="C2178" t="s">
        <v>1952</v>
      </c>
      <c r="D2178" s="11">
        <v>3150000</v>
      </c>
      <c r="E2178" s="19" t="s">
        <v>2049</v>
      </c>
      <c r="F2178" t="s">
        <v>1953</v>
      </c>
      <c r="G2178" t="s">
        <v>1755</v>
      </c>
      <c r="H2178" t="str">
        <f>VLOOKUP(C2178,'[1]873'!$C$2:$C$711,1,0)</f>
        <v>873-2025</v>
      </c>
    </row>
    <row r="2179" spans="1:8" ht="15" customHeight="1" x14ac:dyDescent="0.25">
      <c r="A2179" s="2">
        <v>45981.398611111101</v>
      </c>
      <c r="B2179">
        <v>2025002808</v>
      </c>
      <c r="C2179" t="s">
        <v>1838</v>
      </c>
      <c r="D2179" s="11">
        <v>6300000</v>
      </c>
      <c r="E2179" s="19" t="s">
        <v>2050</v>
      </c>
      <c r="F2179" t="s">
        <v>1062</v>
      </c>
      <c r="G2179" t="s">
        <v>1755</v>
      </c>
      <c r="H2179" t="str">
        <f>VLOOKUP(C2179,'[1]873'!$C$2:$C$711,1,0)</f>
        <v>775-2025</v>
      </c>
    </row>
    <row r="2180" spans="1:8" ht="15" customHeight="1" x14ac:dyDescent="0.25">
      <c r="A2180" s="2">
        <v>45981.402777777803</v>
      </c>
      <c r="B2180">
        <v>2025002809</v>
      </c>
      <c r="C2180" t="s">
        <v>1840</v>
      </c>
      <c r="D2180" s="11">
        <v>7800000</v>
      </c>
      <c r="E2180" s="19" t="s">
        <v>2051</v>
      </c>
      <c r="F2180" t="s">
        <v>1841</v>
      </c>
      <c r="G2180" t="s">
        <v>1755</v>
      </c>
      <c r="H2180" t="str">
        <f>VLOOKUP(C2180,'[1]873'!$C$2:$C$711,1,0)</f>
        <v>744-2025</v>
      </c>
    </row>
    <row r="2181" spans="1:8" ht="15" customHeight="1" x14ac:dyDescent="0.25">
      <c r="A2181" s="2">
        <v>45981.405555555597</v>
      </c>
      <c r="B2181">
        <v>2025002810</v>
      </c>
      <c r="C2181" t="s">
        <v>1756</v>
      </c>
      <c r="D2181" s="11">
        <v>3150000</v>
      </c>
      <c r="E2181" s="19" t="s">
        <v>2052</v>
      </c>
      <c r="F2181" t="s">
        <v>1757</v>
      </c>
      <c r="G2181" t="s">
        <v>1755</v>
      </c>
      <c r="H2181" t="str">
        <f>VLOOKUP(C2181,'[1]873'!$C$2:$C$711,1,0)</f>
        <v>806-2025</v>
      </c>
    </row>
    <row r="2182" spans="1:8" ht="15" customHeight="1" x14ac:dyDescent="0.25">
      <c r="A2182" s="2">
        <v>45981.407638888901</v>
      </c>
      <c r="B2182">
        <v>2025002811</v>
      </c>
      <c r="C2182" t="s">
        <v>1967</v>
      </c>
      <c r="D2182" s="11">
        <v>3150000</v>
      </c>
      <c r="E2182" s="19" t="s">
        <v>2053</v>
      </c>
      <c r="F2182" t="s">
        <v>1968</v>
      </c>
      <c r="G2182" t="s">
        <v>1755</v>
      </c>
      <c r="H2182" t="str">
        <f>VLOOKUP(C2182,'[1]873'!$C$2:$C$711,1,0)</f>
        <v>791-2025</v>
      </c>
    </row>
    <row r="2183" spans="1:8" ht="15" customHeight="1" x14ac:dyDescent="0.25">
      <c r="A2183" s="2">
        <v>45981.411111111098</v>
      </c>
      <c r="B2183">
        <v>2025002812</v>
      </c>
      <c r="C2183" t="s">
        <v>1871</v>
      </c>
      <c r="D2183" s="11">
        <v>7800000</v>
      </c>
      <c r="E2183" s="19" t="s">
        <v>2054</v>
      </c>
      <c r="F2183" t="s">
        <v>1872</v>
      </c>
      <c r="G2183" t="s">
        <v>1755</v>
      </c>
      <c r="H2183" t="str">
        <f>VLOOKUP(C2183,'[1]873'!$C$2:$C$711,1,0)</f>
        <v>786-2025</v>
      </c>
    </row>
    <row r="2184" spans="1:8" ht="15" customHeight="1" x14ac:dyDescent="0.25">
      <c r="A2184" s="2">
        <v>45981.413194444402</v>
      </c>
      <c r="B2184">
        <v>2025002813</v>
      </c>
      <c r="C2184" t="s">
        <v>1770</v>
      </c>
      <c r="D2184" s="11">
        <v>6300000</v>
      </c>
      <c r="E2184" s="19" t="s">
        <v>1664</v>
      </c>
      <c r="F2184" t="s">
        <v>329</v>
      </c>
      <c r="G2184" t="s">
        <v>1755</v>
      </c>
      <c r="H2184" t="str">
        <f>VLOOKUP(C2184,'[1]873'!$C$2:$C$711,1,0)</f>
        <v>850-2025</v>
      </c>
    </row>
    <row r="2185" spans="1:8" ht="15" customHeight="1" x14ac:dyDescent="0.25">
      <c r="A2185" s="2">
        <v>45981.4152777778</v>
      </c>
      <c r="B2185">
        <v>2025002814</v>
      </c>
      <c r="C2185" t="s">
        <v>1847</v>
      </c>
      <c r="D2185" s="11">
        <v>6300000</v>
      </c>
      <c r="E2185" s="19" t="s">
        <v>2055</v>
      </c>
      <c r="F2185" t="s">
        <v>1848</v>
      </c>
      <c r="G2185" t="s">
        <v>1755</v>
      </c>
      <c r="H2185" t="str">
        <f>VLOOKUP(C2185,'[1]873'!$C$2:$C$711,1,0)</f>
        <v>856-2025</v>
      </c>
    </row>
    <row r="2186" spans="1:8" ht="15" customHeight="1" x14ac:dyDescent="0.25">
      <c r="A2186" s="2">
        <v>45981.418749999997</v>
      </c>
      <c r="B2186">
        <v>2025002815</v>
      </c>
      <c r="C2186" t="s">
        <v>1810</v>
      </c>
      <c r="D2186" s="11">
        <v>7800000</v>
      </c>
      <c r="E2186" s="19" t="s">
        <v>2056</v>
      </c>
      <c r="F2186" t="s">
        <v>1811</v>
      </c>
      <c r="G2186" t="s">
        <v>1755</v>
      </c>
      <c r="H2186" t="str">
        <f>VLOOKUP(C2186,'[1]873'!$C$2:$C$711,1,0)</f>
        <v>929-2025</v>
      </c>
    </row>
    <row r="2187" spans="1:8" ht="15" customHeight="1" x14ac:dyDescent="0.25">
      <c r="A2187" s="2">
        <v>45981.422222222202</v>
      </c>
      <c r="B2187">
        <v>2025002816</v>
      </c>
      <c r="C2187" t="s">
        <v>1812</v>
      </c>
      <c r="D2187" s="11">
        <v>7800000</v>
      </c>
      <c r="E2187" s="19" t="s">
        <v>2057</v>
      </c>
      <c r="F2187" t="s">
        <v>1813</v>
      </c>
      <c r="G2187" t="s">
        <v>1755</v>
      </c>
      <c r="H2187" t="str">
        <f>VLOOKUP(C2187,'[1]873'!$C$2:$C$711,1,0)</f>
        <v>913-2025</v>
      </c>
    </row>
    <row r="2188" spans="1:8" ht="15" customHeight="1" x14ac:dyDescent="0.25">
      <c r="A2188" s="2">
        <v>45981.425694444399</v>
      </c>
      <c r="B2188">
        <v>2025002817</v>
      </c>
      <c r="C2188" t="s">
        <v>1808</v>
      </c>
      <c r="D2188" s="11">
        <v>7800000</v>
      </c>
      <c r="E2188" s="19" t="s">
        <v>2058</v>
      </c>
      <c r="F2188" t="s">
        <v>1809</v>
      </c>
      <c r="G2188" t="s">
        <v>1755</v>
      </c>
      <c r="H2188" t="str">
        <f>VLOOKUP(C2188,'[1]873'!$C$2:$C$711,1,0)</f>
        <v>906-2025</v>
      </c>
    </row>
    <row r="2189" spans="1:8" ht="15" customHeight="1" x14ac:dyDescent="0.25">
      <c r="A2189" s="2">
        <v>45981.435416666704</v>
      </c>
      <c r="B2189">
        <v>2025002818</v>
      </c>
      <c r="C2189" t="s">
        <v>1998</v>
      </c>
      <c r="D2189" s="11">
        <v>7800000</v>
      </c>
      <c r="E2189" s="19" t="s">
        <v>2059</v>
      </c>
      <c r="F2189" t="s">
        <v>1999</v>
      </c>
      <c r="G2189" t="s">
        <v>1755</v>
      </c>
      <c r="H2189" t="str">
        <f>VLOOKUP(C2189,'[1]873'!$C$2:$C$711,1,0)</f>
        <v>900-2025</v>
      </c>
    </row>
    <row r="2190" spans="1:8" ht="15" customHeight="1" x14ac:dyDescent="0.25">
      <c r="A2190" s="2">
        <v>45988.729166666701</v>
      </c>
      <c r="B2190">
        <v>2025002819</v>
      </c>
      <c r="C2190" t="s">
        <v>1938</v>
      </c>
      <c r="D2190" s="11">
        <v>6300000</v>
      </c>
      <c r="E2190" s="19" t="s">
        <v>2060</v>
      </c>
      <c r="F2190" t="s">
        <v>1939</v>
      </c>
      <c r="G2190" t="s">
        <v>1755</v>
      </c>
      <c r="H2190" t="str">
        <f>VLOOKUP(C2190,'[1]873'!$C$2:$C$711,1,0)</f>
        <v>898-2025</v>
      </c>
    </row>
    <row r="2191" spans="1:8" ht="15" customHeight="1" x14ac:dyDescent="0.25">
      <c r="A2191" s="2">
        <v>45981.463194444397</v>
      </c>
      <c r="B2191">
        <v>2025002820</v>
      </c>
      <c r="C2191" t="s">
        <v>1935</v>
      </c>
      <c r="D2191" s="11">
        <v>3150000</v>
      </c>
      <c r="E2191" s="19" t="s">
        <v>2061</v>
      </c>
      <c r="F2191" t="s">
        <v>1936</v>
      </c>
      <c r="G2191" t="s">
        <v>1755</v>
      </c>
      <c r="H2191" t="str">
        <f>VLOOKUP(C2191,'[1]873'!$C$2:$C$711,1,0)</f>
        <v>897-2025</v>
      </c>
    </row>
    <row r="2192" spans="1:8" ht="15" customHeight="1" x14ac:dyDescent="0.25">
      <c r="A2192" s="2">
        <v>45981.465277777803</v>
      </c>
      <c r="B2192">
        <v>2025002821</v>
      </c>
      <c r="C2192" t="s">
        <v>1916</v>
      </c>
      <c r="D2192" s="11">
        <v>6300000</v>
      </c>
      <c r="E2192" s="19" t="s">
        <v>1651</v>
      </c>
      <c r="F2192" t="s">
        <v>117</v>
      </c>
      <c r="G2192" t="s">
        <v>1755</v>
      </c>
      <c r="H2192" t="str">
        <f>VLOOKUP(C2192,'[1]873'!$C$2:$C$711,1,0)</f>
        <v>890-2025</v>
      </c>
    </row>
    <row r="2193" spans="1:8" ht="15" customHeight="1" x14ac:dyDescent="0.25">
      <c r="A2193" s="2">
        <v>45981.670138888898</v>
      </c>
      <c r="B2193">
        <v>2025002823</v>
      </c>
      <c r="C2193" t="s">
        <v>1791</v>
      </c>
      <c r="D2193" s="11">
        <v>4730000</v>
      </c>
      <c r="E2193" s="19" t="s">
        <v>1614</v>
      </c>
      <c r="F2193" t="s">
        <v>735</v>
      </c>
      <c r="G2193" t="s">
        <v>1755</v>
      </c>
      <c r="H2193" t="str">
        <f>VLOOKUP(C2193,'[1]873'!$C$2:$C$711,1,0)</f>
        <v>787-2025</v>
      </c>
    </row>
    <row r="2194" spans="1:8" ht="15" customHeight="1" x14ac:dyDescent="0.25">
      <c r="A2194" s="2">
        <v>45981.672222222202</v>
      </c>
      <c r="B2194">
        <v>2025002824</v>
      </c>
      <c r="C2194" t="s">
        <v>1767</v>
      </c>
      <c r="D2194" s="11">
        <v>3150000</v>
      </c>
      <c r="E2194" s="19" t="s">
        <v>1647</v>
      </c>
      <c r="F2194" t="s">
        <v>119</v>
      </c>
      <c r="G2194" t="s">
        <v>1755</v>
      </c>
      <c r="H2194" t="str">
        <f>VLOOKUP(C2194,'[1]873'!$C$2:$C$711,1,0)</f>
        <v>810-2025</v>
      </c>
    </row>
    <row r="2195" spans="1:8" ht="15" customHeight="1" x14ac:dyDescent="0.25">
      <c r="A2195" s="2">
        <v>45981.6743055556</v>
      </c>
      <c r="B2195">
        <v>2025002825</v>
      </c>
      <c r="C2195" t="s">
        <v>1842</v>
      </c>
      <c r="D2195" s="11">
        <v>3150000</v>
      </c>
      <c r="E2195" s="19" t="s">
        <v>2062</v>
      </c>
      <c r="F2195" t="s">
        <v>1843</v>
      </c>
      <c r="G2195" t="s">
        <v>1755</v>
      </c>
      <c r="H2195" t="str">
        <f>VLOOKUP(C2195,'[1]873'!$C$2:$C$711,1,0)</f>
        <v>859-2025</v>
      </c>
    </row>
    <row r="2196" spans="1:8" ht="15" customHeight="1" x14ac:dyDescent="0.25">
      <c r="A2196" s="2">
        <v>45981.677083333299</v>
      </c>
      <c r="B2196">
        <v>2025002826</v>
      </c>
      <c r="C2196" t="s">
        <v>1896</v>
      </c>
      <c r="D2196" s="11">
        <v>3150000</v>
      </c>
      <c r="E2196" s="19" t="s">
        <v>2063</v>
      </c>
      <c r="F2196" t="s">
        <v>1897</v>
      </c>
      <c r="G2196" t="s">
        <v>1755</v>
      </c>
      <c r="H2196" t="str">
        <f>VLOOKUP(C2196,'[1]873'!$C$2:$C$711,1,0)</f>
        <v>896-2025</v>
      </c>
    </row>
    <row r="2197" spans="1:8" ht="15" customHeight="1" x14ac:dyDescent="0.25">
      <c r="A2197" s="2">
        <v>45982.411111111098</v>
      </c>
      <c r="B2197">
        <v>2025002828</v>
      </c>
      <c r="C2197" t="s">
        <v>1763</v>
      </c>
      <c r="D2197" s="11">
        <v>4730000</v>
      </c>
      <c r="E2197" s="19" t="s">
        <v>2064</v>
      </c>
      <c r="F2197" t="s">
        <v>267</v>
      </c>
      <c r="G2197" t="s">
        <v>1755</v>
      </c>
      <c r="H2197" t="str">
        <f>VLOOKUP(C2197,'[1]873'!$C$2:$C$711,1,0)</f>
        <v>714-2025</v>
      </c>
    </row>
    <row r="2198" spans="1:8" ht="15" customHeight="1" x14ac:dyDescent="0.25">
      <c r="A2198" s="2">
        <v>45982.413194444402</v>
      </c>
      <c r="B2198">
        <v>2025002830</v>
      </c>
      <c r="C2198" t="s">
        <v>2065</v>
      </c>
      <c r="D2198" s="11">
        <v>2000000</v>
      </c>
      <c r="E2198" s="19" t="s">
        <v>2066</v>
      </c>
      <c r="F2198" t="s">
        <v>2067</v>
      </c>
      <c r="G2198" t="s">
        <v>1755</v>
      </c>
      <c r="H2198" t="str">
        <f>VLOOKUP(C2198,'[1]873'!$C$2:$C$711,1,0)</f>
        <v>1039-2025</v>
      </c>
    </row>
    <row r="2199" spans="1:8" ht="15" customHeight="1" x14ac:dyDescent="0.25">
      <c r="A2199" s="2">
        <v>45982.416666666701</v>
      </c>
      <c r="B2199">
        <v>2025002833</v>
      </c>
      <c r="C2199" t="s">
        <v>2068</v>
      </c>
      <c r="D2199" s="11">
        <v>2000000</v>
      </c>
      <c r="E2199" s="19" t="s">
        <v>2069</v>
      </c>
      <c r="F2199" t="s">
        <v>2070</v>
      </c>
      <c r="G2199" t="s">
        <v>1755</v>
      </c>
      <c r="H2199" t="str">
        <f>VLOOKUP(C2199,'[1]873'!$C$2:$C$711,1,0)</f>
        <v>1027-2025</v>
      </c>
    </row>
    <row r="2200" spans="1:8" ht="15" customHeight="1" x14ac:dyDescent="0.25">
      <c r="A2200" s="2">
        <v>45982.418749999997</v>
      </c>
      <c r="B2200">
        <v>2025002835</v>
      </c>
      <c r="C2200" t="s">
        <v>2071</v>
      </c>
      <c r="D2200" s="11">
        <v>2000000</v>
      </c>
      <c r="E2200" s="19" t="s">
        <v>2072</v>
      </c>
      <c r="F2200" t="s">
        <v>2073</v>
      </c>
      <c r="G2200" t="s">
        <v>1755</v>
      </c>
      <c r="H2200" t="str">
        <f>VLOOKUP(C2200,'[1]873'!$C$2:$C$711,1,0)</f>
        <v>1032-2025</v>
      </c>
    </row>
    <row r="2201" spans="1:8" ht="15" customHeight="1" x14ac:dyDescent="0.25">
      <c r="A2201" s="2">
        <v>45982.421527777798</v>
      </c>
      <c r="B2201">
        <v>2025002837</v>
      </c>
      <c r="C2201" t="s">
        <v>1828</v>
      </c>
      <c r="D2201" s="11">
        <v>3150000</v>
      </c>
      <c r="E2201" s="19" t="s">
        <v>2074</v>
      </c>
      <c r="F2201" t="s">
        <v>1829</v>
      </c>
      <c r="G2201" t="s">
        <v>1755</v>
      </c>
      <c r="H2201" t="str">
        <f>VLOOKUP(C2201,'[1]873'!$C$2:$C$711,1,0)</f>
        <v>925-2025</v>
      </c>
    </row>
    <row r="2202" spans="1:8" ht="15" customHeight="1" x14ac:dyDescent="0.25">
      <c r="A2202" s="2">
        <v>45982.425000000003</v>
      </c>
      <c r="B2202">
        <v>2025002840</v>
      </c>
      <c r="C2202" t="s">
        <v>1869</v>
      </c>
      <c r="D2202" s="11">
        <v>7800000</v>
      </c>
      <c r="E2202" s="19" t="s">
        <v>1591</v>
      </c>
      <c r="F2202" t="s">
        <v>791</v>
      </c>
      <c r="G2202" t="s">
        <v>1755</v>
      </c>
      <c r="H2202" t="str">
        <f>VLOOKUP(C2202,'[1]873'!$C$2:$C$711,1,0)</f>
        <v>762-2025</v>
      </c>
    </row>
    <row r="2203" spans="1:8" ht="15" customHeight="1" x14ac:dyDescent="0.25">
      <c r="A2203" s="2">
        <v>45982.427777777797</v>
      </c>
      <c r="B2203">
        <v>2025002842</v>
      </c>
      <c r="C2203" t="s">
        <v>1862</v>
      </c>
      <c r="D2203" s="11">
        <v>6300000</v>
      </c>
      <c r="E2203" s="19" t="s">
        <v>2075</v>
      </c>
      <c r="F2203" t="s">
        <v>1863</v>
      </c>
      <c r="G2203" t="s">
        <v>1755</v>
      </c>
      <c r="H2203" t="str">
        <f>VLOOKUP(C2203,'[1]873'!$C$2:$C$711,1,0)</f>
        <v>785-2025</v>
      </c>
    </row>
    <row r="2204" spans="1:8" ht="15" customHeight="1" x14ac:dyDescent="0.25">
      <c r="A2204" s="2">
        <v>45982.429861111101</v>
      </c>
      <c r="B2204">
        <v>2025002844</v>
      </c>
      <c r="C2204" t="s">
        <v>1850</v>
      </c>
      <c r="D2204" s="11">
        <v>4730000</v>
      </c>
      <c r="E2204" s="19" t="s">
        <v>2076</v>
      </c>
      <c r="F2204" t="s">
        <v>429</v>
      </c>
      <c r="G2204" t="s">
        <v>1755</v>
      </c>
      <c r="H2204" t="str">
        <f>VLOOKUP(C2204,'[1]873'!$C$2:$C$711,1,0)</f>
        <v>748-2025</v>
      </c>
    </row>
    <row r="2205" spans="1:8" ht="15" customHeight="1" x14ac:dyDescent="0.25">
      <c r="A2205" s="2">
        <v>45982.432638888902</v>
      </c>
      <c r="B2205">
        <v>2025002846</v>
      </c>
      <c r="C2205" t="s">
        <v>1858</v>
      </c>
      <c r="D2205" s="11">
        <v>4730000</v>
      </c>
      <c r="E2205" s="19" t="s">
        <v>2077</v>
      </c>
      <c r="F2205" t="s">
        <v>1859</v>
      </c>
      <c r="G2205" t="s">
        <v>1755</v>
      </c>
      <c r="H2205" t="str">
        <f>VLOOKUP(C2205,'[1]873'!$C$2:$C$711,1,0)</f>
        <v>838-2025</v>
      </c>
    </row>
    <row r="2206" spans="1:8" ht="15" customHeight="1" x14ac:dyDescent="0.25">
      <c r="A2206" s="2">
        <v>45982.435416666704</v>
      </c>
      <c r="B2206">
        <v>2025002849</v>
      </c>
      <c r="C2206" t="s">
        <v>2078</v>
      </c>
      <c r="D2206" s="11">
        <v>2000000</v>
      </c>
      <c r="E2206" s="19" t="s">
        <v>1699</v>
      </c>
      <c r="F2206" t="s">
        <v>1020</v>
      </c>
      <c r="G2206" t="s">
        <v>1755</v>
      </c>
      <c r="H2206" t="str">
        <f>VLOOKUP(C2206,'[1]873'!$C$2:$C$711,1,0)</f>
        <v>1003-2025</v>
      </c>
    </row>
    <row r="2207" spans="1:8" ht="15" customHeight="1" x14ac:dyDescent="0.25">
      <c r="A2207" s="2">
        <v>45982.438194444403</v>
      </c>
      <c r="B2207">
        <v>2025002851</v>
      </c>
      <c r="C2207" t="s">
        <v>1793</v>
      </c>
      <c r="D2207" s="11">
        <v>3150000</v>
      </c>
      <c r="E2207" s="19" t="s">
        <v>2079</v>
      </c>
      <c r="F2207" t="s">
        <v>963</v>
      </c>
      <c r="G2207" t="s">
        <v>1755</v>
      </c>
      <c r="H2207" t="str">
        <f>VLOOKUP(C2207,'[1]873'!$C$2:$C$711,1,0)</f>
        <v>804-2025</v>
      </c>
    </row>
    <row r="2208" spans="1:8" ht="15" customHeight="1" x14ac:dyDescent="0.25">
      <c r="A2208" s="2">
        <v>45982.440277777801</v>
      </c>
      <c r="B2208">
        <v>2025002852</v>
      </c>
      <c r="C2208" t="s">
        <v>2080</v>
      </c>
      <c r="D2208" s="11">
        <v>3150000</v>
      </c>
      <c r="E2208" s="19" t="s">
        <v>2081</v>
      </c>
      <c r="F2208" t="s">
        <v>2082</v>
      </c>
      <c r="G2208" t="s">
        <v>1755</v>
      </c>
      <c r="H2208" t="str">
        <f>VLOOKUP(C2208,'[1]873'!$C$2:$C$711,1,0)</f>
        <v>1066-2025</v>
      </c>
    </row>
    <row r="2209" spans="1:9" ht="15" customHeight="1" x14ac:dyDescent="0.25">
      <c r="A2209" s="2">
        <v>45982.442361111098</v>
      </c>
      <c r="B2209">
        <v>2025002853</v>
      </c>
      <c r="C2209" t="s">
        <v>1801</v>
      </c>
      <c r="D2209" s="11">
        <v>3150000</v>
      </c>
      <c r="E2209" s="19" t="s">
        <v>2083</v>
      </c>
      <c r="F2209" t="s">
        <v>1802</v>
      </c>
      <c r="G2209" t="s">
        <v>1755</v>
      </c>
      <c r="H2209" t="str">
        <f>VLOOKUP(C2209,'[1]873'!$C$2:$C$711,1,0)</f>
        <v>877-2025</v>
      </c>
    </row>
    <row r="2210" spans="1:9" ht="15" customHeight="1" x14ac:dyDescent="0.25">
      <c r="A2210" s="2">
        <v>45982.444444444402</v>
      </c>
      <c r="B2210">
        <v>2025002854</v>
      </c>
      <c r="C2210" t="s">
        <v>1794</v>
      </c>
      <c r="D2210" s="11">
        <v>3150000</v>
      </c>
      <c r="E2210" s="19" t="s">
        <v>1724</v>
      </c>
      <c r="F2210" t="s">
        <v>1235</v>
      </c>
      <c r="G2210" t="s">
        <v>1755</v>
      </c>
      <c r="H2210" t="str">
        <f>VLOOKUP(C2210,'[1]873'!$C$2:$C$711,1,0)</f>
        <v>827-2025</v>
      </c>
    </row>
    <row r="2211" spans="1:9" ht="15" customHeight="1" x14ac:dyDescent="0.25">
      <c r="A2211" s="2">
        <v>45982.476388888899</v>
      </c>
      <c r="B2211">
        <v>2025002855</v>
      </c>
      <c r="C2211" t="s">
        <v>1800</v>
      </c>
      <c r="D2211" s="11">
        <v>3150000</v>
      </c>
      <c r="E2211" s="19" t="s">
        <v>1667</v>
      </c>
      <c r="F2211" t="s">
        <v>555</v>
      </c>
      <c r="G2211" t="s">
        <v>1755</v>
      </c>
      <c r="H2211" t="str">
        <f>VLOOKUP(C2211,'[1]873'!$C$2:$C$711,1,0)</f>
        <v>849-2025</v>
      </c>
    </row>
    <row r="2212" spans="1:9" ht="15" customHeight="1" x14ac:dyDescent="0.25">
      <c r="A2212" s="2">
        <v>45982.479861111096</v>
      </c>
      <c r="B2212">
        <v>2025002856</v>
      </c>
      <c r="C2212" t="s">
        <v>2084</v>
      </c>
      <c r="D2212" s="11">
        <v>2000000</v>
      </c>
      <c r="E2212" s="19" t="s">
        <v>2085</v>
      </c>
      <c r="F2212" t="s">
        <v>2086</v>
      </c>
      <c r="G2212" t="s">
        <v>1755</v>
      </c>
      <c r="H2212" t="str">
        <f>VLOOKUP(C2212,'[1]873'!$C$2:$C$711,1,0)</f>
        <v>1028-2025</v>
      </c>
    </row>
    <row r="2213" spans="1:9" ht="15" customHeight="1" x14ac:dyDescent="0.25">
      <c r="A2213" s="2">
        <v>45982.483333333301</v>
      </c>
      <c r="B2213">
        <v>2025002857</v>
      </c>
      <c r="C2213" t="s">
        <v>2087</v>
      </c>
      <c r="D2213" s="11">
        <v>1575000</v>
      </c>
      <c r="E2213" s="19" t="s">
        <v>2088</v>
      </c>
      <c r="F2213" t="s">
        <v>2089</v>
      </c>
      <c r="G2213" t="s">
        <v>1755</v>
      </c>
      <c r="H2213" t="str">
        <f>VLOOKUP(C2213,'[1]873'!$C$2:$C$711,1,0)</f>
        <v>1049-2025</v>
      </c>
    </row>
    <row r="2214" spans="1:9" ht="15" customHeight="1" x14ac:dyDescent="0.25">
      <c r="A2214" s="2">
        <v>45982.586805555598</v>
      </c>
      <c r="B2214">
        <v>2025002858</v>
      </c>
      <c r="C2214" t="s">
        <v>1754</v>
      </c>
      <c r="D2214" s="11">
        <v>3150000</v>
      </c>
      <c r="E2214" s="19" t="s">
        <v>2090</v>
      </c>
      <c r="F2214" t="s">
        <v>504</v>
      </c>
      <c r="G2214" t="s">
        <v>1755</v>
      </c>
      <c r="H2214" t="str">
        <f>VLOOKUP(C2214,'[1]873'!$C$2:$C$711,1,0)</f>
        <v>790-2025</v>
      </c>
    </row>
    <row r="2215" spans="1:9" ht="15" customHeight="1" x14ac:dyDescent="0.25">
      <c r="A2215" s="2">
        <v>45982.609722222202</v>
      </c>
      <c r="B2215">
        <v>2025002859</v>
      </c>
      <c r="C2215" t="s">
        <v>1860</v>
      </c>
      <c r="D2215" s="11">
        <v>7800000</v>
      </c>
      <c r="E2215" s="19" t="s">
        <v>1602</v>
      </c>
      <c r="F2215" t="s">
        <v>69</v>
      </c>
      <c r="G2215" t="s">
        <v>1755</v>
      </c>
      <c r="H2215" t="str">
        <f>VLOOKUP(C2215,'[1]873'!$C$2:$C$711,1,0)</f>
        <v>807-2025</v>
      </c>
    </row>
    <row r="2216" spans="1:9" ht="15" customHeight="1" x14ac:dyDescent="0.25">
      <c r="A2216" s="2">
        <v>45985.488194444399</v>
      </c>
      <c r="B2216">
        <v>2025002860</v>
      </c>
      <c r="C2216" t="s">
        <v>2091</v>
      </c>
      <c r="D2216" s="11">
        <v>1575000</v>
      </c>
      <c r="E2216" s="19" t="s">
        <v>2092</v>
      </c>
      <c r="F2216" t="s">
        <v>2093</v>
      </c>
      <c r="G2216" t="s">
        <v>1755</v>
      </c>
      <c r="H2216" t="str">
        <f>VLOOKUP(C2216,'[1]873'!$C$2:$C$711,1,0)</f>
        <v>1063-2025</v>
      </c>
    </row>
    <row r="2217" spans="1:9" ht="15" customHeight="1" x14ac:dyDescent="0.25">
      <c r="A2217" s="2">
        <v>45986.337500000001</v>
      </c>
      <c r="B2217">
        <v>2025002882</v>
      </c>
      <c r="C2217" t="s">
        <v>1818</v>
      </c>
      <c r="D2217" s="11">
        <v>3150000</v>
      </c>
      <c r="E2217" s="19" t="s">
        <v>2094</v>
      </c>
      <c r="F2217" t="s">
        <v>1819</v>
      </c>
      <c r="G2217" t="s">
        <v>1755</v>
      </c>
      <c r="H2217" t="str">
        <f>VLOOKUP(C2217,'[1]873'!$C$2:$C$711,1,0)</f>
        <v>912-2025</v>
      </c>
    </row>
    <row r="2218" spans="1:9" ht="15" customHeight="1" x14ac:dyDescent="0.25">
      <c r="A2218" s="2">
        <v>45986.356249999997</v>
      </c>
      <c r="B2218">
        <v>2025002883</v>
      </c>
      <c r="C2218" t="s">
        <v>1903</v>
      </c>
      <c r="D2218" s="11">
        <v>6300000</v>
      </c>
      <c r="E2218" s="19" t="s">
        <v>1653</v>
      </c>
      <c r="F2218" t="s">
        <v>583</v>
      </c>
      <c r="G2218" t="s">
        <v>1755</v>
      </c>
      <c r="H2218" t="str">
        <f>VLOOKUP(C2218,'[1]873'!$C$2:$C$711,1,0)</f>
        <v>823-2025</v>
      </c>
    </row>
    <row r="2219" spans="1:9" ht="15" customHeight="1" x14ac:dyDescent="0.25">
      <c r="A2219" s="2">
        <v>45986.360416666699</v>
      </c>
      <c r="B2219">
        <v>2025002885</v>
      </c>
      <c r="C2219" t="s">
        <v>1915</v>
      </c>
      <c r="D2219" s="11">
        <v>3150000</v>
      </c>
      <c r="E2219" s="19" t="s">
        <v>1617</v>
      </c>
      <c r="F2219" t="s">
        <v>992</v>
      </c>
      <c r="G2219" t="s">
        <v>1755</v>
      </c>
      <c r="H2219" t="str">
        <f>VLOOKUP(C2219,'[1]873'!$C$2:$C$711,1,0)</f>
        <v>824-2025</v>
      </c>
    </row>
    <row r="2220" spans="1:9" ht="15" customHeight="1" x14ac:dyDescent="0.25">
      <c r="A2220" s="2">
        <v>45986.372916666704</v>
      </c>
      <c r="B2220">
        <v>2025002886</v>
      </c>
      <c r="C2220" t="s">
        <v>1824</v>
      </c>
      <c r="D2220" s="11">
        <v>4730000</v>
      </c>
      <c r="E2220" s="19" t="s">
        <v>2095</v>
      </c>
      <c r="F2220" t="s">
        <v>1825</v>
      </c>
      <c r="G2220" t="s">
        <v>1755</v>
      </c>
      <c r="H2220" t="str">
        <f>VLOOKUP(C2220,'[1]873'!$C$2:$C$711,1,0)</f>
        <v>818-2025</v>
      </c>
    </row>
    <row r="2221" spans="1:9" ht="15" customHeight="1" x14ac:dyDescent="0.25">
      <c r="A2221" s="2">
        <v>45986</v>
      </c>
      <c r="B2221">
        <v>2025002887</v>
      </c>
      <c r="C2221" t="s">
        <v>1260</v>
      </c>
      <c r="D2221" s="11">
        <v>3000000</v>
      </c>
      <c r="E2221">
        <v>1085310466</v>
      </c>
      <c r="F2221" t="s">
        <v>1261</v>
      </c>
      <c r="G2221" t="s">
        <v>1094</v>
      </c>
      <c r="H2221" t="e">
        <f>VLOOKUP(C2221,'[1]873'!$C$2:$C$711,1,0)</f>
        <v>#N/A</v>
      </c>
      <c r="I2221" s="11"/>
    </row>
    <row r="2222" spans="1:9" ht="15" customHeight="1" x14ac:dyDescent="0.25">
      <c r="A2222" s="2">
        <v>45986.378472222197</v>
      </c>
      <c r="B2222">
        <v>2025002888</v>
      </c>
      <c r="C2222" t="s">
        <v>2096</v>
      </c>
      <c r="D2222" s="11">
        <v>1575000</v>
      </c>
      <c r="E2222" s="19" t="s">
        <v>2097</v>
      </c>
      <c r="F2222" t="s">
        <v>2098</v>
      </c>
      <c r="G2222" t="s">
        <v>1755</v>
      </c>
      <c r="H2222" t="str">
        <f>VLOOKUP(C2222,'[1]873'!$C$2:$C$711,1,0)</f>
        <v>1043-2025</v>
      </c>
    </row>
    <row r="2223" spans="1:9" ht="15" customHeight="1" x14ac:dyDescent="0.25">
      <c r="A2223" s="2">
        <v>45986.381249999999</v>
      </c>
      <c r="B2223">
        <v>2025002889</v>
      </c>
      <c r="C2223" t="s">
        <v>1822</v>
      </c>
      <c r="D2223" s="11">
        <v>3150000</v>
      </c>
      <c r="E2223" s="19" t="s">
        <v>2099</v>
      </c>
      <c r="F2223" t="s">
        <v>1011</v>
      </c>
      <c r="G2223" t="s">
        <v>1755</v>
      </c>
      <c r="H2223" t="str">
        <f>VLOOKUP(C2223,'[1]873'!$C$2:$C$711,1,0)</f>
        <v>815-2025</v>
      </c>
    </row>
    <row r="2224" spans="1:9" ht="15" customHeight="1" x14ac:dyDescent="0.25">
      <c r="A2224" s="2">
        <v>45986.384722222203</v>
      </c>
      <c r="B2224">
        <v>2025002890</v>
      </c>
      <c r="C2224" t="s">
        <v>1930</v>
      </c>
      <c r="D2224" s="11">
        <v>3150000</v>
      </c>
      <c r="E2224" s="19" t="s">
        <v>2100</v>
      </c>
      <c r="F2224" t="s">
        <v>1931</v>
      </c>
      <c r="G2224" t="s">
        <v>1755</v>
      </c>
      <c r="H2224" t="str">
        <f>VLOOKUP(C2224,'[1]873'!$C$2:$C$711,1,0)</f>
        <v>885-2025</v>
      </c>
    </row>
    <row r="2225" spans="1:9" ht="15" customHeight="1" x14ac:dyDescent="0.25">
      <c r="A2225" s="2">
        <v>45986.387499999997</v>
      </c>
      <c r="B2225">
        <v>2025002891</v>
      </c>
      <c r="C2225" t="s">
        <v>1816</v>
      </c>
      <c r="D2225" s="11">
        <v>3150000</v>
      </c>
      <c r="E2225" s="19" t="s">
        <v>2101</v>
      </c>
      <c r="F2225" t="s">
        <v>1817</v>
      </c>
      <c r="G2225" t="s">
        <v>1755</v>
      </c>
      <c r="H2225" t="str">
        <f>VLOOKUP(C2225,'[1]873'!$C$2:$C$711,1,0)</f>
        <v>916-2025</v>
      </c>
    </row>
    <row r="2226" spans="1:9" ht="15" customHeight="1" x14ac:dyDescent="0.25">
      <c r="A2226" s="2">
        <v>45986.389583333301</v>
      </c>
      <c r="B2226">
        <v>2025002892</v>
      </c>
      <c r="C2226" t="s">
        <v>1920</v>
      </c>
      <c r="D2226" s="11">
        <v>4730000</v>
      </c>
      <c r="E2226" s="19" t="s">
        <v>2102</v>
      </c>
      <c r="F2226" t="s">
        <v>1921</v>
      </c>
      <c r="G2226" t="s">
        <v>1755</v>
      </c>
      <c r="H2226" t="str">
        <f>VLOOKUP(C2226,'[1]873'!$C$2:$C$711,1,0)</f>
        <v>858-2025</v>
      </c>
    </row>
    <row r="2227" spans="1:9" ht="15" customHeight="1" x14ac:dyDescent="0.25">
      <c r="A2227" s="2">
        <v>45986.399305555598</v>
      </c>
      <c r="B2227">
        <v>2025002893</v>
      </c>
      <c r="C2227" t="s">
        <v>2103</v>
      </c>
      <c r="D2227" s="11">
        <v>6300000</v>
      </c>
      <c r="E2227" s="19" t="s">
        <v>1748</v>
      </c>
      <c r="F2227" t="s">
        <v>437</v>
      </c>
      <c r="G2227" t="s">
        <v>1755</v>
      </c>
      <c r="H2227" t="str">
        <f>VLOOKUP(C2227,'[1]873'!$C$2:$C$711,1,0)</f>
        <v>1012-2025</v>
      </c>
    </row>
    <row r="2228" spans="1:9" ht="15" customHeight="1" x14ac:dyDescent="0.25">
      <c r="A2228" s="2">
        <v>45986.402083333298</v>
      </c>
      <c r="B2228">
        <v>2025002894</v>
      </c>
      <c r="C2228" t="s">
        <v>2104</v>
      </c>
      <c r="D2228" s="11">
        <v>2000000</v>
      </c>
      <c r="E2228" s="19" t="s">
        <v>2105</v>
      </c>
      <c r="F2228" t="s">
        <v>2106</v>
      </c>
      <c r="G2228" t="s">
        <v>1755</v>
      </c>
      <c r="H2228" t="str">
        <f>VLOOKUP(C2228,'[1]873'!$C$2:$C$711,1,0)</f>
        <v>1011-2025</v>
      </c>
    </row>
    <row r="2229" spans="1:9" ht="15" customHeight="1" x14ac:dyDescent="0.25">
      <c r="A2229" s="2">
        <v>45986.407638888901</v>
      </c>
      <c r="B2229">
        <v>2025002895</v>
      </c>
      <c r="C2229" t="s">
        <v>2107</v>
      </c>
      <c r="D2229" s="11">
        <v>2000000</v>
      </c>
      <c r="E2229" s="19" t="s">
        <v>2108</v>
      </c>
      <c r="F2229" t="s">
        <v>2109</v>
      </c>
      <c r="G2229" t="s">
        <v>1755</v>
      </c>
      <c r="H2229" t="str">
        <f>VLOOKUP(C2229,'[1]873'!$C$2:$C$711,1,0)</f>
        <v>1005-2025</v>
      </c>
    </row>
    <row r="2230" spans="1:9" ht="15" customHeight="1" x14ac:dyDescent="0.25">
      <c r="A2230" s="2">
        <v>45986.410416666702</v>
      </c>
      <c r="B2230">
        <v>2025002896</v>
      </c>
      <c r="C2230" t="s">
        <v>1989</v>
      </c>
      <c r="D2230" s="11">
        <v>3150000</v>
      </c>
      <c r="E2230" s="19" t="s">
        <v>2110</v>
      </c>
      <c r="F2230" t="s">
        <v>289</v>
      </c>
      <c r="G2230" t="s">
        <v>1755</v>
      </c>
      <c r="H2230" t="str">
        <f>VLOOKUP(C2230,'[1]873'!$C$2:$C$711,1,0)</f>
        <v>909-2025</v>
      </c>
    </row>
    <row r="2231" spans="1:9" ht="15" customHeight="1" x14ac:dyDescent="0.25">
      <c r="A2231" s="2">
        <v>45986</v>
      </c>
      <c r="B2231">
        <v>2025002897</v>
      </c>
      <c r="C2231" t="s">
        <v>1251</v>
      </c>
      <c r="D2231" s="11">
        <v>6000000</v>
      </c>
      <c r="E2231">
        <v>1193223736</v>
      </c>
      <c r="F2231" t="s">
        <v>1739</v>
      </c>
      <c r="G2231" t="s">
        <v>1094</v>
      </c>
      <c r="H2231" t="e">
        <f>VLOOKUP(C2231,'[1]873'!$C$2:$C$711,1,0)</f>
        <v>#N/A</v>
      </c>
      <c r="I2231" s="11"/>
    </row>
    <row r="2232" spans="1:9" ht="15" customHeight="1" x14ac:dyDescent="0.25">
      <c r="A2232" s="2">
        <v>45987.337500000001</v>
      </c>
      <c r="B2232">
        <v>2025002898</v>
      </c>
      <c r="C2232" t="s">
        <v>1832</v>
      </c>
      <c r="D2232" s="11">
        <v>3150000</v>
      </c>
      <c r="E2232" s="19" t="s">
        <v>1695</v>
      </c>
      <c r="F2232" t="s">
        <v>477</v>
      </c>
      <c r="G2232" t="s">
        <v>1755</v>
      </c>
      <c r="H2232" t="str">
        <f>VLOOKUP(C2232,'[1]873'!$C$2:$C$711,1,0)</f>
        <v>811-2025</v>
      </c>
    </row>
    <row r="2233" spans="1:9" ht="15" customHeight="1" x14ac:dyDescent="0.25">
      <c r="A2233" s="2">
        <v>45986.427083333299</v>
      </c>
      <c r="B2233">
        <v>2025002899</v>
      </c>
      <c r="C2233" t="s">
        <v>1962</v>
      </c>
      <c r="D2233" s="11">
        <v>4730000</v>
      </c>
      <c r="E2233" s="19" t="s">
        <v>2111</v>
      </c>
      <c r="F2233" t="s">
        <v>91</v>
      </c>
      <c r="G2233" t="s">
        <v>1755</v>
      </c>
      <c r="H2233" t="str">
        <f>VLOOKUP(C2233,'[1]873'!$C$2:$C$711,1,0)</f>
        <v>752-2025</v>
      </c>
    </row>
    <row r="2234" spans="1:9" ht="15" customHeight="1" x14ac:dyDescent="0.25">
      <c r="A2234" s="2">
        <v>45986.452083333301</v>
      </c>
      <c r="B2234">
        <v>2025002900</v>
      </c>
      <c r="C2234" t="s">
        <v>1985</v>
      </c>
      <c r="D2234" s="11">
        <v>7800000</v>
      </c>
      <c r="E2234" s="19" t="s">
        <v>2112</v>
      </c>
      <c r="F2234" t="s">
        <v>1986</v>
      </c>
      <c r="G2234" t="s">
        <v>1755</v>
      </c>
      <c r="H2234" t="str">
        <f>VLOOKUP(C2234,'[1]873'!$C$2:$C$711,1,0)</f>
        <v>779-2025</v>
      </c>
    </row>
    <row r="2235" spans="1:9" ht="15" customHeight="1" x14ac:dyDescent="0.25">
      <c r="A2235" s="2">
        <v>45986.454861111102</v>
      </c>
      <c r="B2235">
        <v>2025002901</v>
      </c>
      <c r="C2235" t="s">
        <v>1876</v>
      </c>
      <c r="D2235" s="11">
        <v>3150000</v>
      </c>
      <c r="E2235" s="19" t="s">
        <v>2113</v>
      </c>
      <c r="F2235" t="s">
        <v>658</v>
      </c>
      <c r="G2235" t="s">
        <v>1755</v>
      </c>
      <c r="H2235" t="str">
        <f>VLOOKUP(C2235,'[1]873'!$C$2:$C$711,1,0)</f>
        <v>855-2025</v>
      </c>
    </row>
    <row r="2236" spans="1:9" ht="15" customHeight="1" x14ac:dyDescent="0.25">
      <c r="A2236" s="2">
        <v>45986.457638888904</v>
      </c>
      <c r="B2236">
        <v>2025002902</v>
      </c>
      <c r="C2236" t="s">
        <v>1771</v>
      </c>
      <c r="D2236" s="11">
        <v>1050000</v>
      </c>
      <c r="E2236" s="19" t="s">
        <v>2114</v>
      </c>
      <c r="F2236" t="s">
        <v>1772</v>
      </c>
      <c r="G2236" t="s">
        <v>1755</v>
      </c>
      <c r="H2236" t="str">
        <f>VLOOKUP(C2236,'[1]873'!$C$2:$C$711,1,0)</f>
        <v>832-2025</v>
      </c>
    </row>
    <row r="2237" spans="1:9" ht="15" customHeight="1" x14ac:dyDescent="0.25">
      <c r="A2237" s="2">
        <v>45986.461111111101</v>
      </c>
      <c r="B2237">
        <v>2025002903</v>
      </c>
      <c r="C2237" t="s">
        <v>1898</v>
      </c>
      <c r="D2237" s="11">
        <v>3150000</v>
      </c>
      <c r="E2237" s="19" t="s">
        <v>2115</v>
      </c>
      <c r="F2237" t="s">
        <v>1899</v>
      </c>
      <c r="G2237" t="s">
        <v>1755</v>
      </c>
      <c r="H2237" t="str">
        <f>VLOOKUP(C2237,'[1]873'!$C$2:$C$711,1,0)</f>
        <v>828-2025</v>
      </c>
    </row>
    <row r="2238" spans="1:9" ht="15" customHeight="1" x14ac:dyDescent="0.25">
      <c r="A2238" s="2">
        <v>45986.46875</v>
      </c>
      <c r="B2238">
        <v>2025002904</v>
      </c>
      <c r="C2238" t="s">
        <v>1894</v>
      </c>
      <c r="D2238" s="11">
        <v>3150000</v>
      </c>
      <c r="E2238" s="19" t="s">
        <v>2116</v>
      </c>
      <c r="F2238" t="s">
        <v>1895</v>
      </c>
      <c r="G2238" t="s">
        <v>1755</v>
      </c>
      <c r="H2238" t="str">
        <f>VLOOKUP(C2238,'[1]873'!$C$2:$C$711,1,0)</f>
        <v>846-2025</v>
      </c>
    </row>
    <row r="2239" spans="1:9" ht="15" customHeight="1" x14ac:dyDescent="0.25">
      <c r="A2239" s="2">
        <v>45986.613888888904</v>
      </c>
      <c r="B2239">
        <v>2025002905</v>
      </c>
      <c r="C2239" t="s">
        <v>2117</v>
      </c>
      <c r="D2239" s="11">
        <v>3150000</v>
      </c>
      <c r="E2239" s="19" t="s">
        <v>2118</v>
      </c>
      <c r="F2239" t="s">
        <v>2119</v>
      </c>
      <c r="G2239" t="s">
        <v>1755</v>
      </c>
      <c r="H2239" t="str">
        <f>VLOOKUP(C2239,'[1]873'!$C$2:$C$711,1,0)</f>
        <v>991-2025</v>
      </c>
    </row>
    <row r="2240" spans="1:9" ht="15" customHeight="1" x14ac:dyDescent="0.25">
      <c r="A2240" s="2">
        <v>45986.617361111101</v>
      </c>
      <c r="B2240">
        <v>2025002906</v>
      </c>
      <c r="C2240" t="s">
        <v>1892</v>
      </c>
      <c r="D2240" s="11">
        <v>3150000</v>
      </c>
      <c r="E2240" s="19" t="s">
        <v>2120</v>
      </c>
      <c r="F2240" t="s">
        <v>1893</v>
      </c>
      <c r="G2240" t="s">
        <v>1755</v>
      </c>
      <c r="H2240" t="str">
        <f>VLOOKUP(C2240,'[1]873'!$C$2:$C$711,1,0)</f>
        <v>836-2025</v>
      </c>
    </row>
    <row r="2241" spans="1:8" ht="15" customHeight="1" x14ac:dyDescent="0.25">
      <c r="A2241" s="2">
        <v>45986.618750000001</v>
      </c>
      <c r="B2241">
        <v>2025002907</v>
      </c>
      <c r="C2241" t="s">
        <v>1990</v>
      </c>
      <c r="D2241" s="11">
        <v>3150000</v>
      </c>
      <c r="E2241" s="19" t="s">
        <v>2121</v>
      </c>
      <c r="F2241" t="s">
        <v>1991</v>
      </c>
      <c r="G2241" t="s">
        <v>1755</v>
      </c>
      <c r="H2241" t="str">
        <f>VLOOKUP(C2241,'[1]873'!$C$2:$C$711,1,0)</f>
        <v>851-2025</v>
      </c>
    </row>
    <row r="2242" spans="1:8" ht="15" customHeight="1" x14ac:dyDescent="0.25">
      <c r="A2242" s="2">
        <v>45986.686111111099</v>
      </c>
      <c r="B2242">
        <v>2025002909</v>
      </c>
      <c r="C2242" t="s">
        <v>1783</v>
      </c>
      <c r="D2242" s="11">
        <v>6300000</v>
      </c>
      <c r="E2242" s="19" t="s">
        <v>1685</v>
      </c>
      <c r="F2242" t="s">
        <v>1195</v>
      </c>
      <c r="G2242" t="s">
        <v>1755</v>
      </c>
      <c r="H2242" t="str">
        <f>VLOOKUP(C2242,'[1]873'!$C$2:$C$711,1,0)</f>
        <v>789-2025</v>
      </c>
    </row>
    <row r="2243" spans="1:8" ht="15" customHeight="1" x14ac:dyDescent="0.25">
      <c r="A2243" s="2">
        <v>45986.688888888901</v>
      </c>
      <c r="B2243">
        <v>2025002910</v>
      </c>
      <c r="C2243" t="s">
        <v>2122</v>
      </c>
      <c r="D2243" s="11">
        <v>2000000</v>
      </c>
      <c r="E2243" s="19" t="s">
        <v>1642</v>
      </c>
      <c r="F2243" t="s">
        <v>51</v>
      </c>
      <c r="G2243" t="s">
        <v>1755</v>
      </c>
      <c r="H2243" t="str">
        <f>VLOOKUP(C2243,'[1]873'!$C$2:$C$711,1,0)</f>
        <v>1000-2025</v>
      </c>
    </row>
    <row r="2244" spans="1:8" ht="15" customHeight="1" x14ac:dyDescent="0.25">
      <c r="A2244" s="2">
        <v>45986.690972222197</v>
      </c>
      <c r="B2244">
        <v>2025002911</v>
      </c>
      <c r="C2244" t="s">
        <v>1905</v>
      </c>
      <c r="D2244" s="11">
        <v>7800000</v>
      </c>
      <c r="E2244" s="19" t="s">
        <v>1619</v>
      </c>
      <c r="F2244" t="s">
        <v>745</v>
      </c>
      <c r="G2244" t="s">
        <v>1755</v>
      </c>
      <c r="H2244" t="str">
        <f>VLOOKUP(C2244,'[1]873'!$C$2:$C$711,1,0)</f>
        <v>767-2025</v>
      </c>
    </row>
    <row r="2245" spans="1:8" ht="15" customHeight="1" x14ac:dyDescent="0.25">
      <c r="A2245" s="2">
        <v>45986.697916666701</v>
      </c>
      <c r="B2245">
        <v>2025002912</v>
      </c>
      <c r="C2245" t="s">
        <v>1913</v>
      </c>
      <c r="D2245" s="11">
        <v>7800000</v>
      </c>
      <c r="E2245" s="19" t="s">
        <v>1750</v>
      </c>
      <c r="F2245" t="s">
        <v>1266</v>
      </c>
      <c r="G2245" t="s">
        <v>1755</v>
      </c>
      <c r="H2245" t="str">
        <f>VLOOKUP(C2245,'[1]873'!$C$2:$C$711,1,0)</f>
        <v>868-2025</v>
      </c>
    </row>
    <row r="2246" spans="1:8" ht="15" customHeight="1" x14ac:dyDescent="0.25">
      <c r="A2246" s="2">
        <v>45986.702777777798</v>
      </c>
      <c r="B2246">
        <v>2025002913</v>
      </c>
      <c r="C2246" t="s">
        <v>2123</v>
      </c>
      <c r="D2246" s="11">
        <v>7800000</v>
      </c>
      <c r="E2246" s="19" t="s">
        <v>2124</v>
      </c>
      <c r="F2246" t="s">
        <v>2125</v>
      </c>
      <c r="G2246" t="s">
        <v>1755</v>
      </c>
      <c r="H2246" t="str">
        <f>VLOOKUP(C2246,'[1]873'!$C$2:$C$711,1,0)</f>
        <v>993-2025</v>
      </c>
    </row>
    <row r="2247" spans="1:8" ht="15" customHeight="1" x14ac:dyDescent="0.25">
      <c r="A2247" s="2">
        <v>45986.7097222222</v>
      </c>
      <c r="B2247">
        <v>2025002914</v>
      </c>
      <c r="C2247" t="s">
        <v>1908</v>
      </c>
      <c r="D2247" s="11">
        <v>7800000</v>
      </c>
      <c r="E2247" s="19" t="s">
        <v>1675</v>
      </c>
      <c r="F2247" t="s">
        <v>163</v>
      </c>
      <c r="G2247" t="s">
        <v>1755</v>
      </c>
      <c r="H2247" t="str">
        <f>VLOOKUP(C2247,'[1]873'!$C$2:$C$711,1,0)</f>
        <v>706-2025</v>
      </c>
    </row>
    <row r="2248" spans="1:8" ht="15" customHeight="1" x14ac:dyDescent="0.25">
      <c r="A2248" s="2">
        <v>45986.714583333298</v>
      </c>
      <c r="B2248">
        <v>2025002915</v>
      </c>
      <c r="C2248" t="s">
        <v>2126</v>
      </c>
      <c r="D2248" s="11">
        <v>2000000</v>
      </c>
      <c r="E2248" s="19" t="s">
        <v>2127</v>
      </c>
      <c r="F2248" t="s">
        <v>2128</v>
      </c>
      <c r="G2248" t="s">
        <v>1755</v>
      </c>
      <c r="H2248" t="str">
        <f>VLOOKUP(C2248,'[1]873'!$C$2:$C$711,1,0)</f>
        <v>1030-2025</v>
      </c>
    </row>
    <row r="2249" spans="1:8" ht="15" customHeight="1" x14ac:dyDescent="0.25">
      <c r="A2249" s="2">
        <v>45986.716666666704</v>
      </c>
      <c r="B2249">
        <v>2025002916</v>
      </c>
      <c r="C2249" t="s">
        <v>2129</v>
      </c>
      <c r="D2249" s="11">
        <v>3150000</v>
      </c>
      <c r="E2249" s="19" t="s">
        <v>2130</v>
      </c>
      <c r="F2249" t="s">
        <v>1056</v>
      </c>
      <c r="G2249" t="s">
        <v>1755</v>
      </c>
      <c r="H2249" t="str">
        <f>VLOOKUP(C2249,'[1]873'!$C$2:$C$711,1,0)</f>
        <v>934-2025</v>
      </c>
    </row>
    <row r="2250" spans="1:8" ht="15" customHeight="1" x14ac:dyDescent="0.25">
      <c r="A2250" s="2">
        <v>45986.719444444403</v>
      </c>
      <c r="B2250">
        <v>2025002917</v>
      </c>
      <c r="C2250" t="s">
        <v>1785</v>
      </c>
      <c r="D2250" s="11">
        <v>3150000</v>
      </c>
      <c r="E2250" s="19" t="s">
        <v>2131</v>
      </c>
      <c r="F2250" t="s">
        <v>595</v>
      </c>
      <c r="G2250" t="s">
        <v>1755</v>
      </c>
      <c r="H2250" t="str">
        <f>VLOOKUP(C2250,'[1]873'!$C$2:$C$711,1,0)</f>
        <v>821-2025</v>
      </c>
    </row>
    <row r="2251" spans="1:8" ht="15" customHeight="1" x14ac:dyDescent="0.25">
      <c r="A2251" s="2">
        <v>45986.721527777801</v>
      </c>
      <c r="B2251">
        <v>2025002918</v>
      </c>
      <c r="C2251" t="s">
        <v>1781</v>
      </c>
      <c r="D2251" s="11">
        <v>3150000</v>
      </c>
      <c r="E2251" s="19" t="s">
        <v>2132</v>
      </c>
      <c r="F2251" t="s">
        <v>797</v>
      </c>
      <c r="G2251" t="s">
        <v>1755</v>
      </c>
      <c r="H2251" t="str">
        <f>VLOOKUP(C2251,'[1]873'!$C$2:$C$711,1,0)</f>
        <v>876-2025</v>
      </c>
    </row>
    <row r="2252" spans="1:8" ht="15" customHeight="1" x14ac:dyDescent="0.25">
      <c r="A2252" s="2">
        <v>45986.725694444402</v>
      </c>
      <c r="B2252">
        <v>2025002919</v>
      </c>
      <c r="C2252" t="s">
        <v>1974</v>
      </c>
      <c r="D2252" s="11">
        <v>3150000</v>
      </c>
      <c r="E2252" s="19" t="s">
        <v>2133</v>
      </c>
      <c r="F2252" t="s">
        <v>1975</v>
      </c>
      <c r="G2252" t="s">
        <v>1755</v>
      </c>
      <c r="H2252" t="str">
        <f>VLOOKUP(C2252,'[1]873'!$C$2:$C$711,1,0)</f>
        <v>923-2025</v>
      </c>
    </row>
    <row r="2253" spans="1:8" ht="15" customHeight="1" x14ac:dyDescent="0.25">
      <c r="A2253" s="2">
        <v>45986.727083333302</v>
      </c>
      <c r="B2253">
        <v>2025002920</v>
      </c>
      <c r="C2253" t="s">
        <v>1906</v>
      </c>
      <c r="D2253" s="11">
        <v>3150000</v>
      </c>
      <c r="E2253" s="19" t="s">
        <v>2134</v>
      </c>
      <c r="F2253" t="s">
        <v>107</v>
      </c>
      <c r="G2253" t="s">
        <v>1755</v>
      </c>
      <c r="H2253" t="str">
        <f>VLOOKUP(C2253,'[1]873'!$C$2:$C$711,1,0)</f>
        <v>797-2025</v>
      </c>
    </row>
    <row r="2254" spans="1:8" ht="15" customHeight="1" x14ac:dyDescent="0.25">
      <c r="A2254" s="2">
        <v>45986.731249999997</v>
      </c>
      <c r="B2254">
        <v>2025002921</v>
      </c>
      <c r="C2254" t="s">
        <v>2135</v>
      </c>
      <c r="D2254" s="11">
        <v>2000000</v>
      </c>
      <c r="E2254" s="19" t="s">
        <v>2136</v>
      </c>
      <c r="F2254" t="s">
        <v>2137</v>
      </c>
      <c r="G2254" t="s">
        <v>1755</v>
      </c>
      <c r="H2254" t="str">
        <f>VLOOKUP(C2254,'[1]873'!$C$2:$C$711,1,0)</f>
        <v>1020-2025</v>
      </c>
    </row>
    <row r="2255" spans="1:8" ht="15" customHeight="1" x14ac:dyDescent="0.25">
      <c r="A2255" s="2">
        <v>45986.733333333301</v>
      </c>
      <c r="B2255">
        <v>2025002922</v>
      </c>
      <c r="C2255" t="s">
        <v>1977</v>
      </c>
      <c r="D2255" s="11">
        <v>3150000</v>
      </c>
      <c r="E2255" s="19" t="s">
        <v>1612</v>
      </c>
      <c r="F2255" t="s">
        <v>562</v>
      </c>
      <c r="G2255" t="s">
        <v>1755</v>
      </c>
      <c r="H2255" t="str">
        <f>VLOOKUP(C2255,'[1]873'!$C$2:$C$711,1,0)</f>
        <v>907-2025</v>
      </c>
    </row>
    <row r="2256" spans="1:8" ht="15" customHeight="1" x14ac:dyDescent="0.25">
      <c r="A2256" s="2">
        <v>45986.734722222202</v>
      </c>
      <c r="B2256">
        <v>2025002923</v>
      </c>
      <c r="C2256" t="s">
        <v>1904</v>
      </c>
      <c r="D2256" s="11">
        <v>6300000</v>
      </c>
      <c r="E2256" s="19" t="s">
        <v>2138</v>
      </c>
      <c r="F2256" t="s">
        <v>1084</v>
      </c>
      <c r="G2256" t="s">
        <v>1755</v>
      </c>
      <c r="H2256" t="str">
        <f>VLOOKUP(C2256,'[1]873'!$C$2:$C$711,1,0)</f>
        <v>763-2025</v>
      </c>
    </row>
    <row r="2257" spans="1:8" ht="15" customHeight="1" x14ac:dyDescent="0.25">
      <c r="A2257" s="2">
        <v>45986.736111111102</v>
      </c>
      <c r="B2257">
        <v>2025002924</v>
      </c>
      <c r="C2257" t="s">
        <v>1909</v>
      </c>
      <c r="D2257" s="11">
        <v>6300000</v>
      </c>
      <c r="E2257" s="19" t="s">
        <v>1669</v>
      </c>
      <c r="F2257" t="s">
        <v>457</v>
      </c>
      <c r="G2257" t="s">
        <v>1755</v>
      </c>
      <c r="H2257" t="str">
        <f>VLOOKUP(C2257,'[1]873'!$C$2:$C$711,1,0)</f>
        <v>741-2025</v>
      </c>
    </row>
    <row r="2258" spans="1:8" ht="15" customHeight="1" x14ac:dyDescent="0.25">
      <c r="A2258" s="2">
        <v>45987.356249999997</v>
      </c>
      <c r="B2258">
        <v>2025002926</v>
      </c>
      <c r="C2258" t="s">
        <v>2139</v>
      </c>
      <c r="D2258" s="11">
        <v>6300000</v>
      </c>
      <c r="E2258" s="19" t="s">
        <v>1703</v>
      </c>
      <c r="F2258" t="s">
        <v>113</v>
      </c>
      <c r="G2258" t="s">
        <v>1755</v>
      </c>
      <c r="H2258" t="str">
        <f>VLOOKUP(C2258,'[1]873'!$C$2:$C$711,1,0)</f>
        <v>992-2025</v>
      </c>
    </row>
    <row r="2259" spans="1:8" ht="15" customHeight="1" x14ac:dyDescent="0.25">
      <c r="A2259" s="2">
        <v>45987.365277777797</v>
      </c>
      <c r="B2259">
        <v>2025002927</v>
      </c>
      <c r="C2259" t="s">
        <v>2140</v>
      </c>
      <c r="D2259" s="11">
        <v>2000000</v>
      </c>
      <c r="E2259" s="19" t="s">
        <v>2141</v>
      </c>
      <c r="F2259" t="s">
        <v>2142</v>
      </c>
      <c r="G2259" t="s">
        <v>1755</v>
      </c>
      <c r="H2259" t="str">
        <f>VLOOKUP(C2259,'[1]873'!$C$2:$C$711,1,0)</f>
        <v>1025-2025</v>
      </c>
    </row>
    <row r="2260" spans="1:8" ht="15" customHeight="1" x14ac:dyDescent="0.25">
      <c r="A2260" s="2">
        <v>45987.368055555598</v>
      </c>
      <c r="B2260">
        <v>2025002928</v>
      </c>
      <c r="C2260" t="s">
        <v>2143</v>
      </c>
      <c r="D2260" s="11">
        <v>1575000</v>
      </c>
      <c r="E2260" s="19" t="s">
        <v>2144</v>
      </c>
      <c r="F2260" t="s">
        <v>2145</v>
      </c>
      <c r="G2260" t="s">
        <v>1755</v>
      </c>
      <c r="H2260" t="str">
        <f>VLOOKUP(C2260,'[1]873'!$C$2:$C$711,1,0)</f>
        <v>1061-2025</v>
      </c>
    </row>
    <row r="2261" spans="1:8" ht="15" customHeight="1" x14ac:dyDescent="0.25">
      <c r="A2261" s="2">
        <v>45987.372222222199</v>
      </c>
      <c r="B2261">
        <v>2025002929</v>
      </c>
      <c r="C2261" t="s">
        <v>2146</v>
      </c>
      <c r="D2261" s="11">
        <v>4730000</v>
      </c>
      <c r="E2261" s="19" t="s">
        <v>2147</v>
      </c>
      <c r="F2261" t="s">
        <v>2148</v>
      </c>
      <c r="G2261" t="s">
        <v>1755</v>
      </c>
      <c r="H2261" t="str">
        <f>VLOOKUP(C2261,'[1]873'!$C$2:$C$711,1,0)</f>
        <v>852-2025</v>
      </c>
    </row>
    <row r="2262" spans="1:8" ht="15" customHeight="1" x14ac:dyDescent="0.25">
      <c r="A2262" s="2">
        <v>45987.375694444403</v>
      </c>
      <c r="B2262">
        <v>2025002930</v>
      </c>
      <c r="C2262" t="s">
        <v>2149</v>
      </c>
      <c r="D2262" s="11">
        <v>3150000</v>
      </c>
      <c r="E2262" s="19" t="s">
        <v>2150</v>
      </c>
      <c r="F2262" t="s">
        <v>2151</v>
      </c>
      <c r="G2262" t="s">
        <v>1755</v>
      </c>
      <c r="H2262" t="str">
        <f>VLOOKUP(C2262,'[1]873'!$C$2:$C$711,1,0)</f>
        <v>1058-2025</v>
      </c>
    </row>
    <row r="2263" spans="1:8" ht="15" customHeight="1" x14ac:dyDescent="0.25">
      <c r="A2263" s="2">
        <v>45987.377777777801</v>
      </c>
      <c r="B2263">
        <v>2025002931</v>
      </c>
      <c r="C2263" t="s">
        <v>2152</v>
      </c>
      <c r="D2263" s="11">
        <v>3900000</v>
      </c>
      <c r="E2263" s="19" t="s">
        <v>2153</v>
      </c>
      <c r="F2263" t="s">
        <v>2154</v>
      </c>
      <c r="G2263" t="s">
        <v>1755</v>
      </c>
      <c r="H2263" t="str">
        <f>VLOOKUP(C2263,'[1]873'!$C$2:$C$711,1,0)</f>
        <v>1053-2025</v>
      </c>
    </row>
    <row r="2264" spans="1:8" ht="15" customHeight="1" x14ac:dyDescent="0.25">
      <c r="A2264" s="2">
        <v>45987.385416666701</v>
      </c>
      <c r="B2264">
        <v>2025002932</v>
      </c>
      <c r="C2264" t="s">
        <v>2155</v>
      </c>
      <c r="D2264" s="11">
        <v>3900000</v>
      </c>
      <c r="E2264" s="19" t="s">
        <v>2156</v>
      </c>
      <c r="F2264" t="s">
        <v>2157</v>
      </c>
      <c r="G2264" t="s">
        <v>1755</v>
      </c>
      <c r="H2264" t="str">
        <f>VLOOKUP(C2264,'[1]873'!$C$2:$C$711,1,0)</f>
        <v>1047-2025</v>
      </c>
    </row>
    <row r="2265" spans="1:8" ht="15" customHeight="1" x14ac:dyDescent="0.25">
      <c r="A2265" s="2">
        <v>45987.3881944444</v>
      </c>
      <c r="B2265">
        <v>2025002933</v>
      </c>
      <c r="C2265" t="s">
        <v>2158</v>
      </c>
      <c r="D2265" s="11">
        <v>1575000</v>
      </c>
      <c r="E2265" s="19" t="s">
        <v>2159</v>
      </c>
      <c r="F2265" t="s">
        <v>2160</v>
      </c>
      <c r="G2265" t="s">
        <v>1755</v>
      </c>
      <c r="H2265" t="str">
        <f>VLOOKUP(C2265,'[1]873'!$C$2:$C$711,1,0)</f>
        <v>1048-2025</v>
      </c>
    </row>
    <row r="2266" spans="1:8" ht="15" customHeight="1" x14ac:dyDescent="0.25">
      <c r="A2266" s="2">
        <v>45987.392361111102</v>
      </c>
      <c r="B2266">
        <v>2025002934</v>
      </c>
      <c r="C2266" t="s">
        <v>2161</v>
      </c>
      <c r="D2266" s="11">
        <v>1575000</v>
      </c>
      <c r="E2266" s="19" t="s">
        <v>2162</v>
      </c>
      <c r="F2266" t="s">
        <v>2163</v>
      </c>
      <c r="G2266" t="s">
        <v>1755</v>
      </c>
      <c r="H2266" t="str">
        <f>VLOOKUP(C2266,'[1]873'!$C$2:$C$711,1,0)</f>
        <v>1065-2025</v>
      </c>
    </row>
    <row r="2267" spans="1:8" ht="15" customHeight="1" x14ac:dyDescent="0.25">
      <c r="A2267" s="2">
        <v>45987.397916666698</v>
      </c>
      <c r="B2267">
        <v>2025002936</v>
      </c>
      <c r="C2267" t="s">
        <v>1972</v>
      </c>
      <c r="D2267" s="11">
        <v>3150000</v>
      </c>
      <c r="E2267" s="19" t="s">
        <v>2164</v>
      </c>
      <c r="F2267" t="s">
        <v>1973</v>
      </c>
      <c r="G2267" t="s">
        <v>1755</v>
      </c>
      <c r="H2267" t="str">
        <f>VLOOKUP(C2267,'[1]873'!$C$2:$C$711,1,0)</f>
        <v>919-2025</v>
      </c>
    </row>
    <row r="2268" spans="1:8" ht="15" customHeight="1" x14ac:dyDescent="0.25">
      <c r="A2268" s="2">
        <v>45987.397916666698</v>
      </c>
      <c r="B2268">
        <v>2025002937</v>
      </c>
      <c r="C2268" s="4" t="s">
        <v>2165</v>
      </c>
      <c r="D2268" s="11">
        <v>3150000</v>
      </c>
      <c r="E2268" s="19" t="s">
        <v>2166</v>
      </c>
      <c r="F2268" t="s">
        <v>567</v>
      </c>
      <c r="G2268" t="s">
        <v>1755</v>
      </c>
      <c r="H2268" t="str">
        <f>VLOOKUP(C2268,'[1]873'!$C$2:$C$711,1,0)</f>
        <v>947-2025</v>
      </c>
    </row>
    <row r="2269" spans="1:8" ht="15" customHeight="1" x14ac:dyDescent="0.25">
      <c r="A2269" s="2">
        <v>45987.402083333298</v>
      </c>
      <c r="B2269">
        <v>2025002938</v>
      </c>
      <c r="C2269" t="s">
        <v>1971</v>
      </c>
      <c r="D2269" s="11">
        <v>3150000</v>
      </c>
      <c r="E2269" s="19" t="s">
        <v>2167</v>
      </c>
      <c r="F2269" t="s">
        <v>701</v>
      </c>
      <c r="G2269" t="s">
        <v>1755</v>
      </c>
      <c r="H2269" t="str">
        <f>VLOOKUP(C2269,'[1]873'!$C$2:$C$711,1,0)</f>
        <v>901-2025</v>
      </c>
    </row>
    <row r="2270" spans="1:8" ht="15" customHeight="1" x14ac:dyDescent="0.25">
      <c r="A2270" s="2">
        <v>45987.406944444403</v>
      </c>
      <c r="B2270">
        <v>2025002939</v>
      </c>
      <c r="C2270" t="s">
        <v>2168</v>
      </c>
      <c r="D2270" s="11">
        <v>3150000</v>
      </c>
      <c r="E2270" s="19" t="s">
        <v>2169</v>
      </c>
      <c r="F2270" t="s">
        <v>950</v>
      </c>
      <c r="G2270" t="s">
        <v>1755</v>
      </c>
      <c r="H2270" t="str">
        <f>VLOOKUP(C2270,'[1]873'!$C$2:$C$711,1,0)</f>
        <v>983-2025</v>
      </c>
    </row>
    <row r="2271" spans="1:8" ht="15" customHeight="1" x14ac:dyDescent="0.25">
      <c r="A2271" s="2">
        <v>45987.409722222197</v>
      </c>
      <c r="B2271">
        <v>2025002940</v>
      </c>
      <c r="C2271" t="s">
        <v>1786</v>
      </c>
      <c r="D2271" s="11">
        <v>3150000</v>
      </c>
      <c r="E2271" s="19" t="s">
        <v>1688</v>
      </c>
      <c r="F2271" t="s">
        <v>33</v>
      </c>
      <c r="G2271" t="s">
        <v>1755</v>
      </c>
      <c r="H2271" t="str">
        <f>VLOOKUP(C2271,'[1]873'!$C$2:$C$711,1,0)</f>
        <v>869-2025</v>
      </c>
    </row>
    <row r="2272" spans="1:8" ht="15" customHeight="1" x14ac:dyDescent="0.25">
      <c r="A2272" s="2">
        <v>45987.413194444402</v>
      </c>
      <c r="B2272">
        <v>2025002941</v>
      </c>
      <c r="C2272" t="s">
        <v>2170</v>
      </c>
      <c r="D2272" s="11">
        <v>3150000</v>
      </c>
      <c r="E2272" s="19" t="s">
        <v>2171</v>
      </c>
      <c r="F2272" t="s">
        <v>2172</v>
      </c>
      <c r="G2272" t="s">
        <v>1755</v>
      </c>
      <c r="H2272" t="str">
        <f>VLOOKUP(C2272,'[1]873'!$C$2:$C$711,1,0)</f>
        <v>959-2025</v>
      </c>
    </row>
    <row r="2273" spans="1:8" ht="15" customHeight="1" x14ac:dyDescent="0.25">
      <c r="A2273" s="2">
        <v>45987.415972222203</v>
      </c>
      <c r="B2273">
        <v>2025002942</v>
      </c>
      <c r="C2273" t="s">
        <v>2173</v>
      </c>
      <c r="D2273" s="11">
        <v>4730000</v>
      </c>
      <c r="E2273" s="19" t="s">
        <v>2174</v>
      </c>
      <c r="F2273" t="s">
        <v>2175</v>
      </c>
      <c r="G2273" t="s">
        <v>1755</v>
      </c>
      <c r="H2273" t="str">
        <f>VLOOKUP(C2273,'[1]873'!$C$2:$C$711,1,0)</f>
        <v>968-2025</v>
      </c>
    </row>
    <row r="2274" spans="1:8" ht="15" customHeight="1" x14ac:dyDescent="0.25">
      <c r="A2274" s="2">
        <v>45987.420138888898</v>
      </c>
      <c r="B2274">
        <v>2025002943</v>
      </c>
      <c r="C2274" t="s">
        <v>2176</v>
      </c>
      <c r="D2274" s="11">
        <v>4730000</v>
      </c>
      <c r="E2274" s="19" t="s">
        <v>2177</v>
      </c>
      <c r="F2274" t="s">
        <v>155</v>
      </c>
      <c r="G2274" t="s">
        <v>1755</v>
      </c>
      <c r="H2274" t="str">
        <f>VLOOKUP(C2274,'[1]873'!$C$2:$C$711,1,0)</f>
        <v>970-2025</v>
      </c>
    </row>
    <row r="2275" spans="1:8" ht="15" customHeight="1" x14ac:dyDescent="0.25">
      <c r="A2275" s="2">
        <v>45987.431250000001</v>
      </c>
      <c r="B2275">
        <v>2025002944</v>
      </c>
      <c r="C2275" t="s">
        <v>1910</v>
      </c>
      <c r="D2275" s="11">
        <v>4730000</v>
      </c>
      <c r="E2275" s="19" t="s">
        <v>1610</v>
      </c>
      <c r="F2275" t="s">
        <v>493</v>
      </c>
      <c r="G2275" t="s">
        <v>1755</v>
      </c>
      <c r="H2275" t="str">
        <f>VLOOKUP(C2275,'[1]873'!$C$2:$C$711,1,0)</f>
        <v>764-2025</v>
      </c>
    </row>
    <row r="2276" spans="1:8" ht="15" customHeight="1" x14ac:dyDescent="0.25">
      <c r="A2276" s="2">
        <v>45987.434722222199</v>
      </c>
      <c r="B2276">
        <v>2025002945</v>
      </c>
      <c r="C2276" t="s">
        <v>1979</v>
      </c>
      <c r="D2276" s="11">
        <v>4730000</v>
      </c>
      <c r="E2276" s="19" t="s">
        <v>1644</v>
      </c>
      <c r="F2276" t="s">
        <v>571</v>
      </c>
      <c r="G2276" t="s">
        <v>1755</v>
      </c>
      <c r="H2276" t="str">
        <f>VLOOKUP(C2276,'[1]873'!$C$2:$C$711,1,0)</f>
        <v>769-2025</v>
      </c>
    </row>
    <row r="2277" spans="1:8" ht="15" customHeight="1" x14ac:dyDescent="0.25">
      <c r="A2277" s="2">
        <v>45987.438194444403</v>
      </c>
      <c r="B2277">
        <v>2025002946</v>
      </c>
      <c r="C2277" t="s">
        <v>2178</v>
      </c>
      <c r="D2277" s="11">
        <v>4730000</v>
      </c>
      <c r="E2277" s="19" t="s">
        <v>2179</v>
      </c>
      <c r="F2277" t="s">
        <v>513</v>
      </c>
      <c r="G2277" t="s">
        <v>1755</v>
      </c>
      <c r="H2277" t="str">
        <f>VLOOKUP(C2277,'[1]873'!$C$2:$C$711,1,0)</f>
        <v>948-2025</v>
      </c>
    </row>
    <row r="2278" spans="1:8" ht="15" customHeight="1" x14ac:dyDescent="0.25">
      <c r="A2278" s="2">
        <v>45987.441666666702</v>
      </c>
      <c r="B2278">
        <v>2025002947</v>
      </c>
      <c r="C2278" t="s">
        <v>2003</v>
      </c>
      <c r="D2278" s="11">
        <v>3626333</v>
      </c>
      <c r="E2278" s="19" t="s">
        <v>2004</v>
      </c>
      <c r="F2278" t="s">
        <v>127</v>
      </c>
      <c r="G2278" t="s">
        <v>1755</v>
      </c>
      <c r="H2278" t="str">
        <f>VLOOKUP(C2278,'[1]873'!$C$2:$C$711,1,0)</f>
        <v>739-2025</v>
      </c>
    </row>
    <row r="2279" spans="1:8" ht="15" customHeight="1" x14ac:dyDescent="0.25">
      <c r="A2279" s="2">
        <v>45987.444444444402</v>
      </c>
      <c r="B2279">
        <v>2025002948</v>
      </c>
      <c r="C2279" t="s">
        <v>1789</v>
      </c>
      <c r="D2279" s="11">
        <v>6300000</v>
      </c>
      <c r="E2279" s="19" t="s">
        <v>1683</v>
      </c>
      <c r="F2279" t="s">
        <v>1192</v>
      </c>
      <c r="G2279" t="s">
        <v>1755</v>
      </c>
      <c r="H2279" t="str">
        <f>VLOOKUP(C2279,'[1]873'!$C$2:$C$711,1,0)</f>
        <v>865-2025</v>
      </c>
    </row>
    <row r="2280" spans="1:8" ht="15" customHeight="1" x14ac:dyDescent="0.25">
      <c r="A2280" s="2">
        <v>45987.447222222203</v>
      </c>
      <c r="B2280">
        <v>2025002949</v>
      </c>
      <c r="C2280" t="s">
        <v>1912</v>
      </c>
      <c r="D2280" s="11">
        <v>3150000</v>
      </c>
      <c r="E2280" s="19" t="s">
        <v>1691</v>
      </c>
      <c r="F2280" t="s">
        <v>1202</v>
      </c>
      <c r="G2280" t="s">
        <v>1755</v>
      </c>
      <c r="H2280" t="str">
        <f>VLOOKUP(C2280,'[1]873'!$C$2:$C$711,1,0)</f>
        <v>837-2025</v>
      </c>
    </row>
    <row r="2281" spans="1:8" ht="15" customHeight="1" x14ac:dyDescent="0.25">
      <c r="A2281" s="2">
        <v>45987.449305555601</v>
      </c>
      <c r="B2281">
        <v>2025002950</v>
      </c>
      <c r="C2281" t="s">
        <v>1782</v>
      </c>
      <c r="D2281" s="11">
        <v>7800000</v>
      </c>
      <c r="E2281" s="19" t="s">
        <v>2180</v>
      </c>
      <c r="F2281" t="s">
        <v>591</v>
      </c>
      <c r="G2281" t="s">
        <v>1755</v>
      </c>
      <c r="H2281" t="str">
        <f>VLOOKUP(C2281,'[1]873'!$C$2:$C$711,1,0)</f>
        <v>808-2025</v>
      </c>
    </row>
    <row r="2282" spans="1:8" ht="15" customHeight="1" x14ac:dyDescent="0.25">
      <c r="A2282" s="2">
        <v>45987.452777777798</v>
      </c>
      <c r="B2282">
        <v>2025002951</v>
      </c>
      <c r="C2282" t="s">
        <v>1981</v>
      </c>
      <c r="D2282" s="11">
        <v>6300000</v>
      </c>
      <c r="E2282" s="19" t="s">
        <v>1629</v>
      </c>
      <c r="F2282" t="s">
        <v>1131</v>
      </c>
      <c r="G2282" t="s">
        <v>1755</v>
      </c>
      <c r="H2282" t="str">
        <f>VLOOKUP(C2282,'[1]873'!$C$2:$C$711,1,0)</f>
        <v>760-2025</v>
      </c>
    </row>
    <row r="2283" spans="1:8" ht="15" customHeight="1" x14ac:dyDescent="0.25">
      <c r="A2283" s="2">
        <v>45987.454861111102</v>
      </c>
      <c r="B2283">
        <v>2025002952</v>
      </c>
      <c r="C2283" t="s">
        <v>1780</v>
      </c>
      <c r="D2283" s="11">
        <v>3150000</v>
      </c>
      <c r="E2283" s="19" t="s">
        <v>1631</v>
      </c>
      <c r="F2283" t="s">
        <v>183</v>
      </c>
      <c r="G2283" t="s">
        <v>1755</v>
      </c>
      <c r="H2283" t="str">
        <f>VLOOKUP(C2283,'[1]873'!$C$2:$C$711,1,0)</f>
        <v>765-2025</v>
      </c>
    </row>
    <row r="2284" spans="1:8" ht="15" customHeight="1" x14ac:dyDescent="0.25">
      <c r="A2284" s="2">
        <v>45987.458333333299</v>
      </c>
      <c r="B2284">
        <v>2025002953</v>
      </c>
      <c r="C2284" t="s">
        <v>2181</v>
      </c>
      <c r="D2284" s="11">
        <v>4730000</v>
      </c>
      <c r="E2284" s="19" t="s">
        <v>2182</v>
      </c>
      <c r="F2284" t="s">
        <v>2183</v>
      </c>
      <c r="G2284" t="s">
        <v>1755</v>
      </c>
      <c r="H2284" t="str">
        <f>VLOOKUP(C2284,'[1]873'!$C$2:$C$711,1,0)</f>
        <v>966-2025</v>
      </c>
    </row>
    <row r="2285" spans="1:8" ht="15" customHeight="1" x14ac:dyDescent="0.25">
      <c r="A2285" s="2">
        <v>45988.3527777778</v>
      </c>
      <c r="B2285">
        <v>2025002958</v>
      </c>
      <c r="C2285" t="s">
        <v>2184</v>
      </c>
      <c r="D2285" s="11">
        <v>6300000</v>
      </c>
      <c r="E2285" s="19" t="s">
        <v>2185</v>
      </c>
      <c r="F2285" t="s">
        <v>2186</v>
      </c>
      <c r="G2285" t="s">
        <v>1755</v>
      </c>
      <c r="H2285" t="str">
        <f>VLOOKUP(C2285,'[1]873'!$C$2:$C$711,1,0)</f>
        <v>945-2025</v>
      </c>
    </row>
    <row r="2286" spans="1:8" ht="15" customHeight="1" x14ac:dyDescent="0.25">
      <c r="A2286" s="2">
        <v>45988.356249999997</v>
      </c>
      <c r="B2286">
        <v>2025002959</v>
      </c>
      <c r="C2286" t="s">
        <v>1927</v>
      </c>
      <c r="D2286" s="11">
        <v>3150000</v>
      </c>
      <c r="E2286" s="19" t="s">
        <v>2187</v>
      </c>
      <c r="F2286" t="s">
        <v>1928</v>
      </c>
      <c r="G2286" t="s">
        <v>1755</v>
      </c>
      <c r="H2286" t="str">
        <f>VLOOKUP(C2286,'[1]873'!$C$2:$C$711,1,0)</f>
        <v>899-2025</v>
      </c>
    </row>
    <row r="2287" spans="1:8" ht="15" customHeight="1" x14ac:dyDescent="0.25">
      <c r="A2287" s="2">
        <v>45988.359722222202</v>
      </c>
      <c r="B2287">
        <v>2025002960</v>
      </c>
      <c r="C2287" t="s">
        <v>1814</v>
      </c>
      <c r="D2287" s="11">
        <v>6300000</v>
      </c>
      <c r="E2287" s="19" t="s">
        <v>2188</v>
      </c>
      <c r="F2287" t="s">
        <v>1815</v>
      </c>
      <c r="G2287" t="s">
        <v>1755</v>
      </c>
      <c r="H2287" t="str">
        <f>VLOOKUP(C2287,'[1]873'!$C$2:$C$711,1,0)</f>
        <v>908-2025</v>
      </c>
    </row>
    <row r="2288" spans="1:8" ht="15" customHeight="1" x14ac:dyDescent="0.25">
      <c r="A2288" s="2">
        <v>45988.363888888904</v>
      </c>
      <c r="B2288">
        <v>2025002961</v>
      </c>
      <c r="C2288" t="s">
        <v>1917</v>
      </c>
      <c r="D2288" s="11">
        <v>7800000</v>
      </c>
      <c r="E2288" s="19" t="s">
        <v>2189</v>
      </c>
      <c r="F2288" t="s">
        <v>1918</v>
      </c>
      <c r="G2288" t="s">
        <v>1755</v>
      </c>
      <c r="H2288" t="str">
        <f>VLOOKUP(C2288,'[1]873'!$C$2:$C$711,1,0)</f>
        <v>905-2025</v>
      </c>
    </row>
    <row r="2289" spans="1:8" ht="15" customHeight="1" x14ac:dyDescent="0.25">
      <c r="A2289" s="2">
        <v>45988.377083333296</v>
      </c>
      <c r="B2289">
        <v>2025002962</v>
      </c>
      <c r="C2289" t="s">
        <v>1804</v>
      </c>
      <c r="D2289" s="11">
        <v>6300000</v>
      </c>
      <c r="E2289" s="19" t="s">
        <v>1723</v>
      </c>
      <c r="F2289" t="s">
        <v>1233</v>
      </c>
      <c r="G2289" t="s">
        <v>1755</v>
      </c>
      <c r="H2289" t="str">
        <f>VLOOKUP(C2289,'[1]873'!$C$2:$C$711,1,0)</f>
        <v>910-2025</v>
      </c>
    </row>
    <row r="2290" spans="1:8" ht="15" customHeight="1" x14ac:dyDescent="0.25">
      <c r="A2290" s="2">
        <v>45988.3840277778</v>
      </c>
      <c r="B2290">
        <v>2025002963</v>
      </c>
      <c r="C2290" t="s">
        <v>1941</v>
      </c>
      <c r="D2290" s="11">
        <v>6300000</v>
      </c>
      <c r="E2290" s="19" t="s">
        <v>2190</v>
      </c>
      <c r="F2290" t="s">
        <v>1942</v>
      </c>
      <c r="G2290" t="s">
        <v>1755</v>
      </c>
      <c r="H2290" t="str">
        <f>VLOOKUP(C2290,'[1]873'!$C$2:$C$711,1,0)</f>
        <v>921-2025</v>
      </c>
    </row>
    <row r="2291" spans="1:8" ht="15" customHeight="1" x14ac:dyDescent="0.25">
      <c r="A2291" s="2">
        <v>45988.387499999997</v>
      </c>
      <c r="B2291">
        <v>2025002964</v>
      </c>
      <c r="C2291" t="s">
        <v>1826</v>
      </c>
      <c r="D2291" s="11">
        <v>7800000</v>
      </c>
      <c r="E2291" s="19" t="s">
        <v>2191</v>
      </c>
      <c r="F2291" t="s">
        <v>239</v>
      </c>
      <c r="G2291" t="s">
        <v>1755</v>
      </c>
      <c r="H2291" t="str">
        <f>VLOOKUP(C2291,'[1]873'!$C$2:$C$711,1,0)</f>
        <v>833-2025</v>
      </c>
    </row>
    <row r="2292" spans="1:8" ht="15" customHeight="1" x14ac:dyDescent="0.25">
      <c r="A2292" s="2">
        <v>45988.390277777798</v>
      </c>
      <c r="B2292">
        <v>2025002965</v>
      </c>
      <c r="C2292" t="s">
        <v>1996</v>
      </c>
      <c r="D2292" s="11">
        <v>3150000</v>
      </c>
      <c r="E2292" s="19" t="s">
        <v>2192</v>
      </c>
      <c r="F2292" t="s">
        <v>1997</v>
      </c>
      <c r="G2292" t="s">
        <v>1755</v>
      </c>
      <c r="H2292" t="str">
        <f>VLOOKUP(C2292,'[1]873'!$C$2:$C$711,1,0)</f>
        <v>917-2025</v>
      </c>
    </row>
    <row r="2293" spans="1:8" ht="15" customHeight="1" x14ac:dyDescent="0.25">
      <c r="A2293" s="2">
        <v>45988.391666666699</v>
      </c>
      <c r="B2293">
        <v>2025002966</v>
      </c>
      <c r="C2293" t="s">
        <v>1821</v>
      </c>
      <c r="D2293" s="11">
        <v>3150000</v>
      </c>
      <c r="E2293" s="19" t="s">
        <v>1637</v>
      </c>
      <c r="F2293" t="s">
        <v>989</v>
      </c>
      <c r="G2293" t="s">
        <v>1755</v>
      </c>
      <c r="H2293" t="str">
        <f>VLOOKUP(C2293,'[1]873'!$C$2:$C$711,1,0)</f>
        <v>759-2025</v>
      </c>
    </row>
    <row r="2294" spans="1:8" ht="15" customHeight="1" x14ac:dyDescent="0.25">
      <c r="A2294" s="2">
        <v>45988.3972222222</v>
      </c>
      <c r="B2294">
        <v>2025002967</v>
      </c>
      <c r="C2294" t="s">
        <v>1933</v>
      </c>
      <c r="D2294" s="11">
        <v>4730000</v>
      </c>
      <c r="E2294" s="19" t="s">
        <v>1628</v>
      </c>
      <c r="F2294" t="s">
        <v>705</v>
      </c>
      <c r="G2294" t="s">
        <v>1755</v>
      </c>
      <c r="H2294" t="str">
        <f>VLOOKUP(C2294,'[1]873'!$C$2:$C$711,1,0)</f>
        <v>745-2025</v>
      </c>
    </row>
    <row r="2295" spans="1:8" ht="15" customHeight="1" x14ac:dyDescent="0.25">
      <c r="A2295" s="2">
        <v>45988.399305555598</v>
      </c>
      <c r="B2295">
        <v>2025002968</v>
      </c>
      <c r="C2295" t="s">
        <v>1993</v>
      </c>
      <c r="D2295" s="11">
        <v>3150000</v>
      </c>
      <c r="E2295" s="19" t="s">
        <v>2193</v>
      </c>
      <c r="F2295" t="s">
        <v>1994</v>
      </c>
      <c r="G2295" t="s">
        <v>1755</v>
      </c>
      <c r="H2295" t="str">
        <f>VLOOKUP(C2295,'[1]873'!$C$2:$C$711,1,0)</f>
        <v>928-2025</v>
      </c>
    </row>
    <row r="2296" spans="1:8" ht="15" customHeight="1" x14ac:dyDescent="0.25">
      <c r="A2296" s="2">
        <v>45988.670833333301</v>
      </c>
      <c r="B2296">
        <v>2025002973</v>
      </c>
      <c r="C2296" t="s">
        <v>2194</v>
      </c>
      <c r="D2296" s="11">
        <v>53230000</v>
      </c>
      <c r="E2296" s="19" t="s">
        <v>1710</v>
      </c>
      <c r="F2296" t="s">
        <v>1220</v>
      </c>
      <c r="G2296" t="s">
        <v>1755</v>
      </c>
      <c r="H2296" t="str">
        <f>VLOOKUP(C2296,'[1]873'!$C$2:$C$711,1,0)</f>
        <v>1041-2025</v>
      </c>
    </row>
    <row r="2297" spans="1:8" ht="15" customHeight="1" x14ac:dyDescent="0.25">
      <c r="A2297" s="2">
        <v>45988.6743055556</v>
      </c>
      <c r="B2297">
        <v>2025002974</v>
      </c>
      <c r="C2297" t="s">
        <v>2022</v>
      </c>
      <c r="D2297" s="11">
        <v>233136040</v>
      </c>
      <c r="E2297" s="19" t="s">
        <v>1710</v>
      </c>
      <c r="F2297" t="s">
        <v>1220</v>
      </c>
      <c r="G2297" t="s">
        <v>1755</v>
      </c>
      <c r="H2297" t="str">
        <f>VLOOKUP(C2297,'[1]873'!$C$2:$C$711,1,0)</f>
        <v>874-2025</v>
      </c>
    </row>
    <row r="2298" spans="1:8" ht="15" customHeight="1" x14ac:dyDescent="0.25">
      <c r="A2298" s="2">
        <v>45988.708333333299</v>
      </c>
      <c r="B2298">
        <v>2025002977</v>
      </c>
      <c r="C2298" t="s">
        <v>2195</v>
      </c>
      <c r="D2298" s="11">
        <v>1575000</v>
      </c>
      <c r="E2298" s="19" t="s">
        <v>2196</v>
      </c>
      <c r="F2298" t="s">
        <v>349</v>
      </c>
      <c r="G2298" t="s">
        <v>1755</v>
      </c>
      <c r="H2298" t="str">
        <f>VLOOKUP(C2298,'[1]873'!$C$2:$C$711,1,0)</f>
        <v>1055-2025</v>
      </c>
    </row>
    <row r="2299" spans="1:8" ht="15" customHeight="1" x14ac:dyDescent="0.25">
      <c r="A2299" s="2">
        <v>45988.711111111101</v>
      </c>
      <c r="B2299">
        <v>2025002979</v>
      </c>
      <c r="C2299" t="s">
        <v>2197</v>
      </c>
      <c r="D2299" s="11">
        <v>4730000</v>
      </c>
      <c r="E2299" s="19" t="s">
        <v>2198</v>
      </c>
      <c r="F2299" t="s">
        <v>2199</v>
      </c>
      <c r="G2299" t="s">
        <v>1755</v>
      </c>
      <c r="H2299" t="str">
        <f>VLOOKUP(C2299,'[1]873'!$C$2:$C$711,1,0)</f>
        <v>953-2025</v>
      </c>
    </row>
    <row r="2300" spans="1:8" ht="15" customHeight="1" x14ac:dyDescent="0.25">
      <c r="A2300" s="2">
        <v>45988.713194444397</v>
      </c>
      <c r="B2300">
        <v>2025002980</v>
      </c>
      <c r="C2300" t="s">
        <v>2200</v>
      </c>
      <c r="D2300" s="11">
        <v>2000000</v>
      </c>
      <c r="E2300" s="19" t="s">
        <v>2201</v>
      </c>
      <c r="F2300" t="s">
        <v>2202</v>
      </c>
      <c r="G2300" t="s">
        <v>1755</v>
      </c>
      <c r="H2300" t="str">
        <f>VLOOKUP(C2300,'[1]873'!$C$2:$C$711,1,0)</f>
        <v>1004-2025</v>
      </c>
    </row>
    <row r="2301" spans="1:8" ht="15" customHeight="1" x14ac:dyDescent="0.25">
      <c r="A2301" s="2">
        <v>45988.713194444397</v>
      </c>
      <c r="B2301">
        <v>2025002981</v>
      </c>
      <c r="C2301" t="s">
        <v>2203</v>
      </c>
      <c r="D2301" s="11">
        <v>1575000</v>
      </c>
      <c r="E2301" s="19" t="s">
        <v>2204</v>
      </c>
      <c r="F2301" t="s">
        <v>215</v>
      </c>
      <c r="G2301" t="s">
        <v>1755</v>
      </c>
      <c r="H2301" t="str">
        <f>VLOOKUP(C2301,'[1]873'!$C$2:$C$711,1,0)</f>
        <v>1064-2025</v>
      </c>
    </row>
    <row r="2302" spans="1:8" ht="15" customHeight="1" x14ac:dyDescent="0.25">
      <c r="A2302" s="2">
        <v>45988.714583333298</v>
      </c>
      <c r="B2302">
        <v>2025002982</v>
      </c>
      <c r="C2302" t="s">
        <v>1784</v>
      </c>
      <c r="D2302" s="11">
        <v>3150000</v>
      </c>
      <c r="E2302" s="19" t="s">
        <v>1650</v>
      </c>
      <c r="F2302" t="s">
        <v>277</v>
      </c>
      <c r="G2302" t="s">
        <v>1755</v>
      </c>
      <c r="H2302" t="str">
        <f>VLOOKUP(C2302,'[1]873'!$C$2:$C$711,1,0)</f>
        <v>812-2025</v>
      </c>
    </row>
    <row r="2303" spans="1:8" ht="15" customHeight="1" x14ac:dyDescent="0.25">
      <c r="A2303" s="2">
        <v>45988.715277777803</v>
      </c>
      <c r="B2303">
        <v>2025002983</v>
      </c>
      <c r="C2303" t="s">
        <v>2205</v>
      </c>
      <c r="D2303" s="11">
        <v>3150000</v>
      </c>
      <c r="E2303" s="19" t="s">
        <v>2206</v>
      </c>
      <c r="F2303" t="s">
        <v>2207</v>
      </c>
      <c r="G2303" t="s">
        <v>1755</v>
      </c>
      <c r="H2303" t="str">
        <f>VLOOKUP(C2303,'[1]873'!$C$2:$C$711,1,0)</f>
        <v>982-2025</v>
      </c>
    </row>
    <row r="2304" spans="1:8" ht="15" customHeight="1" x14ac:dyDescent="0.25">
      <c r="A2304" s="2">
        <v>45988.722916666702</v>
      </c>
      <c r="B2304">
        <v>2025002984</v>
      </c>
      <c r="C2304" t="s">
        <v>2208</v>
      </c>
      <c r="D2304" s="11">
        <v>3900000</v>
      </c>
      <c r="E2304" s="19" t="s">
        <v>2209</v>
      </c>
      <c r="F2304" t="s">
        <v>43</v>
      </c>
      <c r="G2304" t="s">
        <v>1755</v>
      </c>
      <c r="H2304" t="str">
        <f>VLOOKUP(C2304,'[1]873'!$C$2:$C$711,1,0)</f>
        <v>1040-2025</v>
      </c>
    </row>
    <row r="2305" spans="1:8" ht="15" customHeight="1" x14ac:dyDescent="0.25">
      <c r="A2305" s="2">
        <v>45988.726388888899</v>
      </c>
      <c r="B2305">
        <v>2025002985</v>
      </c>
      <c r="C2305" t="s">
        <v>1790</v>
      </c>
      <c r="D2305" s="11">
        <v>6300000</v>
      </c>
      <c r="E2305" s="19" t="s">
        <v>2210</v>
      </c>
      <c r="F2305" t="s">
        <v>337</v>
      </c>
      <c r="G2305" t="s">
        <v>1755</v>
      </c>
      <c r="H2305" t="str">
        <f>VLOOKUP(C2305,'[1]873'!$C$2:$C$711,1,0)</f>
        <v>781-2025</v>
      </c>
    </row>
    <row r="2306" spans="1:8" ht="15" customHeight="1" x14ac:dyDescent="0.25">
      <c r="A2306" s="2">
        <v>45988.735416666699</v>
      </c>
      <c r="B2306">
        <v>2025002986</v>
      </c>
      <c r="C2306" t="s">
        <v>1978</v>
      </c>
      <c r="D2306" s="11">
        <v>6300000</v>
      </c>
      <c r="E2306" s="19" t="s">
        <v>1665</v>
      </c>
      <c r="F2306" t="s">
        <v>453</v>
      </c>
      <c r="G2306" t="s">
        <v>1755</v>
      </c>
      <c r="H2306" t="str">
        <f>VLOOKUP(C2306,'[1]873'!$C$2:$C$711,1,0)</f>
        <v>751-2025</v>
      </c>
    </row>
    <row r="2307" spans="1:8" ht="15" customHeight="1" x14ac:dyDescent="0.25">
      <c r="A2307" s="2">
        <v>45992.3034722222</v>
      </c>
      <c r="B2307">
        <v>2025002987</v>
      </c>
      <c r="C2307" t="s">
        <v>2211</v>
      </c>
      <c r="D2307" s="11">
        <v>2000000</v>
      </c>
      <c r="E2307" s="19" t="s">
        <v>2212</v>
      </c>
      <c r="F2307" t="s">
        <v>319</v>
      </c>
      <c r="G2307" t="s">
        <v>1755</v>
      </c>
      <c r="H2307" t="str">
        <f>VLOOKUP(C2307,'[1]873'!$C$2:$C$711,1,0)</f>
        <v>999-2025</v>
      </c>
    </row>
    <row r="2308" spans="1:8" ht="15" customHeight="1" x14ac:dyDescent="0.25">
      <c r="A2308" s="2">
        <v>45989.4284722222</v>
      </c>
      <c r="B2308">
        <v>2025002994</v>
      </c>
      <c r="C2308" t="s">
        <v>2213</v>
      </c>
      <c r="D2308" s="11">
        <v>3150000</v>
      </c>
      <c r="E2308" s="19" t="s">
        <v>1701</v>
      </c>
      <c r="F2308" t="s">
        <v>335</v>
      </c>
      <c r="G2308" t="s">
        <v>1755</v>
      </c>
      <c r="H2308" t="str">
        <f>VLOOKUP(C2308,'[1]873'!$C$2:$C$711,1,0)</f>
        <v>977-2025</v>
      </c>
    </row>
    <row r="2309" spans="1:8" ht="15" customHeight="1" x14ac:dyDescent="0.25">
      <c r="A2309" s="2">
        <v>45989.431250000001</v>
      </c>
      <c r="B2309">
        <v>2025002995</v>
      </c>
      <c r="C2309" t="s">
        <v>1768</v>
      </c>
      <c r="D2309" s="11">
        <v>3150000</v>
      </c>
      <c r="E2309" s="19" t="s">
        <v>2214</v>
      </c>
      <c r="F2309" t="s">
        <v>1769</v>
      </c>
      <c r="G2309" t="s">
        <v>1755</v>
      </c>
      <c r="H2309" t="str">
        <f>VLOOKUP(C2309,'[1]873'!$C$2:$C$711,1,0)</f>
        <v>872-2025</v>
      </c>
    </row>
    <row r="2310" spans="1:8" ht="15" customHeight="1" x14ac:dyDescent="0.25">
      <c r="A2310" s="2">
        <v>45989</v>
      </c>
      <c r="B2310">
        <v>2025002997</v>
      </c>
      <c r="C2310" t="s">
        <v>1253</v>
      </c>
      <c r="D2310" s="11">
        <v>2500000</v>
      </c>
      <c r="E2310">
        <v>98386323</v>
      </c>
      <c r="F2310" t="s">
        <v>1742</v>
      </c>
      <c r="G2310" t="s">
        <v>1094</v>
      </c>
      <c r="H2310" t="e">
        <f>VLOOKUP(C2310,'[1]873'!$C$2:$C$711,1,0)</f>
        <v>#N/A</v>
      </c>
    </row>
    <row r="2311" spans="1:8" ht="15" customHeight="1" x14ac:dyDescent="0.25">
      <c r="A2311" s="2">
        <v>45989.440277777801</v>
      </c>
      <c r="B2311">
        <v>2025002999</v>
      </c>
      <c r="C2311" t="s">
        <v>1845</v>
      </c>
      <c r="D2311" s="11">
        <v>6300000</v>
      </c>
      <c r="E2311" s="19" t="s">
        <v>2215</v>
      </c>
      <c r="F2311" t="s">
        <v>1846</v>
      </c>
      <c r="G2311" t="s">
        <v>1755</v>
      </c>
      <c r="H2311" t="str">
        <f>VLOOKUP(C2311,'[1]873'!$C$2:$C$711,1,0)</f>
        <v>853-2025</v>
      </c>
    </row>
    <row r="2312" spans="1:8" ht="15" customHeight="1" x14ac:dyDescent="0.25">
      <c r="A2312" s="2">
        <v>45989.443749999999</v>
      </c>
      <c r="B2312">
        <v>2025003000</v>
      </c>
      <c r="C2312" t="s">
        <v>2216</v>
      </c>
      <c r="D2312" s="11">
        <v>3150000</v>
      </c>
      <c r="E2312" s="19" t="s">
        <v>2217</v>
      </c>
      <c r="F2312" t="s">
        <v>2218</v>
      </c>
      <c r="G2312" t="s">
        <v>1755</v>
      </c>
      <c r="H2312" t="str">
        <f>VLOOKUP(C2312,'[1]873'!$C$2:$C$711,1,0)</f>
        <v>976-2025</v>
      </c>
    </row>
    <row r="2313" spans="1:8" ht="15" customHeight="1" x14ac:dyDescent="0.25">
      <c r="A2313" s="2">
        <v>45989</v>
      </c>
      <c r="B2313">
        <v>2025003001</v>
      </c>
      <c r="C2313" t="s">
        <v>1249</v>
      </c>
      <c r="D2313" s="11">
        <v>2500000</v>
      </c>
      <c r="E2313">
        <v>1085327836</v>
      </c>
      <c r="F2313" t="s">
        <v>1735</v>
      </c>
      <c r="G2313" t="s">
        <v>1094</v>
      </c>
      <c r="H2313" t="e">
        <f>VLOOKUP(C2313,'[1]873'!$C$2:$C$711,1,0)</f>
        <v>#N/A</v>
      </c>
    </row>
    <row r="2314" spans="1:8" ht="15" customHeight="1" x14ac:dyDescent="0.25">
      <c r="A2314" s="2">
        <v>45989.451388888898</v>
      </c>
      <c r="B2314">
        <v>2025003002</v>
      </c>
      <c r="C2314" s="4" t="s">
        <v>2219</v>
      </c>
      <c r="D2314" s="11">
        <v>3150000</v>
      </c>
      <c r="E2314" s="19" t="s">
        <v>2220</v>
      </c>
      <c r="F2314" t="s">
        <v>2221</v>
      </c>
      <c r="G2314" t="s">
        <v>1755</v>
      </c>
      <c r="H2314" t="str">
        <f>VLOOKUP(C2314,'[1]873'!$C$2:$C$711,1,0)</f>
        <v>936-2025</v>
      </c>
    </row>
    <row r="2315" spans="1:8" ht="15" customHeight="1" x14ac:dyDescent="0.25">
      <c r="A2315" s="2">
        <v>45989.4555555556</v>
      </c>
      <c r="B2315">
        <v>2025003004</v>
      </c>
      <c r="C2315" s="4" t="s">
        <v>1787</v>
      </c>
      <c r="D2315" s="11">
        <v>3150000</v>
      </c>
      <c r="E2315" s="19" t="s">
        <v>1730</v>
      </c>
      <c r="F2315" t="s">
        <v>37</v>
      </c>
      <c r="G2315" t="s">
        <v>1755</v>
      </c>
      <c r="H2315" t="str">
        <f>VLOOKUP(C2315,'[1]873'!$C$2:$C$711,1,0)</f>
        <v>895-2025</v>
      </c>
    </row>
    <row r="2316" spans="1:8" ht="15" customHeight="1" x14ac:dyDescent="0.25">
      <c r="A2316" s="2">
        <v>45989.4597222222</v>
      </c>
      <c r="B2316">
        <v>2025003006</v>
      </c>
      <c r="C2316" t="s">
        <v>1969</v>
      </c>
      <c r="D2316" s="11">
        <v>7800000</v>
      </c>
      <c r="E2316" s="19" t="s">
        <v>2222</v>
      </c>
      <c r="F2316" t="s">
        <v>1970</v>
      </c>
      <c r="G2316" t="s">
        <v>1755</v>
      </c>
      <c r="H2316" t="str">
        <f>VLOOKUP(C2316,'[1]873'!$C$2:$C$711,1,0)</f>
        <v>927-2025</v>
      </c>
    </row>
    <row r="2317" spans="1:8" ht="15" customHeight="1" x14ac:dyDescent="0.25">
      <c r="A2317" s="2">
        <v>45989.463888888902</v>
      </c>
      <c r="B2317">
        <v>2025003007</v>
      </c>
      <c r="C2317" t="s">
        <v>1976</v>
      </c>
      <c r="D2317" s="11">
        <v>3150000</v>
      </c>
      <c r="E2317" s="19" t="s">
        <v>1604</v>
      </c>
      <c r="F2317" t="s">
        <v>1110</v>
      </c>
      <c r="G2317" t="s">
        <v>1755</v>
      </c>
      <c r="H2317" t="str">
        <f>VLOOKUP(C2317,'[1]873'!$C$2:$C$711,1,0)</f>
        <v>903-2025</v>
      </c>
    </row>
    <row r="2318" spans="1:8" ht="15" customHeight="1" x14ac:dyDescent="0.25">
      <c r="A2318" s="2">
        <v>45989.466666666704</v>
      </c>
      <c r="B2318">
        <v>2025003008</v>
      </c>
      <c r="C2318" t="s">
        <v>1980</v>
      </c>
      <c r="D2318" s="11">
        <v>4730000</v>
      </c>
      <c r="E2318" s="19" t="s">
        <v>1589</v>
      </c>
      <c r="F2318" t="s">
        <v>249</v>
      </c>
      <c r="G2318" t="s">
        <v>1755</v>
      </c>
      <c r="H2318" t="str">
        <f>VLOOKUP(C2318,'[1]873'!$C$2:$C$711,1,0)</f>
        <v>731-2025</v>
      </c>
    </row>
    <row r="2319" spans="1:8" ht="15" customHeight="1" x14ac:dyDescent="0.25">
      <c r="A2319" s="2">
        <v>45989.470138888901</v>
      </c>
      <c r="B2319">
        <v>2025003010</v>
      </c>
      <c r="C2319" t="s">
        <v>2001</v>
      </c>
      <c r="D2319" s="11">
        <v>4730000</v>
      </c>
      <c r="E2319" s="19" t="s">
        <v>2002</v>
      </c>
      <c r="F2319" t="s">
        <v>47</v>
      </c>
      <c r="G2319" t="s">
        <v>1755</v>
      </c>
      <c r="H2319" t="str">
        <f>VLOOKUP(C2319,'[1]873'!$C$2:$C$711,1,0)</f>
        <v>756-2025</v>
      </c>
    </row>
    <row r="2320" spans="1:8" ht="15" customHeight="1" x14ac:dyDescent="0.25">
      <c r="A2320" s="2">
        <v>45989.472222222197</v>
      </c>
      <c r="B2320">
        <v>2025003011</v>
      </c>
      <c r="C2320" t="s">
        <v>2223</v>
      </c>
      <c r="D2320" s="11">
        <v>2000000</v>
      </c>
      <c r="E2320" s="19" t="s">
        <v>2224</v>
      </c>
      <c r="F2320" t="s">
        <v>2225</v>
      </c>
      <c r="G2320" t="s">
        <v>1755</v>
      </c>
      <c r="H2320" t="str">
        <f>VLOOKUP(C2320,'[1]873'!$C$2:$C$711,1,0)</f>
        <v>1033-2025</v>
      </c>
    </row>
    <row r="2321" spans="1:8" ht="15" customHeight="1" x14ac:dyDescent="0.25">
      <c r="A2321" s="2">
        <v>45989.627777777801</v>
      </c>
      <c r="B2321">
        <v>2025003013</v>
      </c>
      <c r="C2321" t="s">
        <v>1833</v>
      </c>
      <c r="D2321" s="11">
        <v>6300000</v>
      </c>
      <c r="E2321" s="19" t="s">
        <v>2226</v>
      </c>
      <c r="F2321" t="s">
        <v>1834</v>
      </c>
      <c r="G2321" t="s">
        <v>1755</v>
      </c>
      <c r="H2321" t="str">
        <f>VLOOKUP(C2321,'[1]873'!$C$2:$C$711,1,0)</f>
        <v>834-2025</v>
      </c>
    </row>
    <row r="2322" spans="1:8" ht="15" customHeight="1" x14ac:dyDescent="0.25">
      <c r="A2322" s="2">
        <v>45989.6340277778</v>
      </c>
      <c r="B2322">
        <v>2025003014</v>
      </c>
      <c r="C2322" t="s">
        <v>2227</v>
      </c>
      <c r="D2322" s="11">
        <v>3150000</v>
      </c>
      <c r="E2322" s="19" t="s">
        <v>2228</v>
      </c>
      <c r="F2322" t="s">
        <v>431</v>
      </c>
      <c r="G2322" t="s">
        <v>1755</v>
      </c>
      <c r="H2322" t="str">
        <f>VLOOKUP(C2322,'[1]873'!$C$2:$C$711,1,0)</f>
        <v>952-2025</v>
      </c>
    </row>
    <row r="2323" spans="1:8" ht="15" customHeight="1" x14ac:dyDescent="0.25">
      <c r="A2323" s="2">
        <v>45993.440972222197</v>
      </c>
      <c r="B2323">
        <v>2025003061</v>
      </c>
      <c r="C2323" t="s">
        <v>2229</v>
      </c>
      <c r="D2323" s="11">
        <v>2000000</v>
      </c>
      <c r="E2323" t="s">
        <v>2230</v>
      </c>
      <c r="F2323" t="s">
        <v>2231</v>
      </c>
      <c r="G2323" t="s">
        <v>1755</v>
      </c>
      <c r="H2323" t="str">
        <f>VLOOKUP(C2323,'[1]873'!$C$2:$C$711,1,0)</f>
        <v>1026-2025</v>
      </c>
    </row>
    <row r="2324" spans="1:8" ht="15" customHeight="1" x14ac:dyDescent="0.25">
      <c r="A2324" s="2">
        <v>45993.447916666701</v>
      </c>
      <c r="B2324">
        <v>2025003062</v>
      </c>
      <c r="C2324" t="s">
        <v>2232</v>
      </c>
      <c r="D2324" s="11">
        <v>2000000</v>
      </c>
      <c r="E2324" t="s">
        <v>2233</v>
      </c>
      <c r="F2324" t="s">
        <v>2234</v>
      </c>
      <c r="G2324" t="s">
        <v>1755</v>
      </c>
      <c r="H2324" t="str">
        <f>VLOOKUP(C2324,'[1]873'!$C$2:$C$711,1,0)</f>
        <v>1015-2025</v>
      </c>
    </row>
    <row r="2325" spans="1:8" ht="15" customHeight="1" x14ac:dyDescent="0.25">
      <c r="A2325" s="2">
        <v>45993.4506944444</v>
      </c>
      <c r="B2325">
        <v>2025003063</v>
      </c>
      <c r="C2325" t="s">
        <v>1911</v>
      </c>
      <c r="D2325" s="11">
        <v>3150000</v>
      </c>
      <c r="E2325" t="s">
        <v>1648</v>
      </c>
      <c r="F2325" t="s">
        <v>251</v>
      </c>
      <c r="G2325" t="s">
        <v>1755</v>
      </c>
      <c r="H2325" t="str">
        <f>VLOOKUP(C2325,'[1]873'!$C$2:$C$711,1,0)</f>
        <v>802-2025</v>
      </c>
    </row>
    <row r="2326" spans="1:8" ht="15" customHeight="1" x14ac:dyDescent="0.25">
      <c r="A2326" s="2">
        <v>45995.675694444399</v>
      </c>
      <c r="B2326">
        <v>2025003064</v>
      </c>
      <c r="C2326" t="s">
        <v>2235</v>
      </c>
      <c r="D2326" s="11">
        <v>2000000</v>
      </c>
      <c r="E2326" t="s">
        <v>2236</v>
      </c>
      <c r="F2326" t="s">
        <v>2237</v>
      </c>
      <c r="G2326" t="s">
        <v>1755</v>
      </c>
      <c r="H2326" t="str">
        <f>VLOOKUP(C2326,'[1]873'!$C$2:$C$711,1,0)</f>
        <v>1022-2025</v>
      </c>
    </row>
    <row r="2327" spans="1:8" ht="15" customHeight="1" x14ac:dyDescent="0.25">
      <c r="A2327" s="2">
        <v>45995.6743055556</v>
      </c>
      <c r="B2327">
        <v>2025003066</v>
      </c>
      <c r="C2327" t="s">
        <v>2238</v>
      </c>
      <c r="D2327" s="11">
        <v>6300000</v>
      </c>
      <c r="E2327" t="s">
        <v>2239</v>
      </c>
      <c r="F2327" t="s">
        <v>2240</v>
      </c>
      <c r="G2327" t="s">
        <v>1755</v>
      </c>
      <c r="H2327" t="str">
        <f>VLOOKUP(C2327,'[1]873'!$C$2:$C$711,1,0)</f>
        <v>951-2025</v>
      </c>
    </row>
    <row r="2328" spans="1:8" ht="15" customHeight="1" x14ac:dyDescent="0.25">
      <c r="A2328" s="2">
        <v>45993.473611111098</v>
      </c>
      <c r="B2328">
        <v>2025003067</v>
      </c>
      <c r="C2328" t="s">
        <v>2241</v>
      </c>
      <c r="D2328" s="11">
        <v>1575000</v>
      </c>
      <c r="E2328" t="s">
        <v>2242</v>
      </c>
      <c r="F2328" t="s">
        <v>2243</v>
      </c>
      <c r="G2328" t="s">
        <v>1755</v>
      </c>
      <c r="H2328" t="str">
        <f>VLOOKUP(C2328,'[1]873'!$C$2:$C$711,1,0)</f>
        <v>1050-2025</v>
      </c>
    </row>
    <row r="2329" spans="1:8" ht="15" customHeight="1" x14ac:dyDescent="0.25">
      <c r="A2329" s="2">
        <v>45993.477083333302</v>
      </c>
      <c r="B2329">
        <v>2025003068</v>
      </c>
      <c r="C2329" t="s">
        <v>2244</v>
      </c>
      <c r="D2329" s="11">
        <v>2000000</v>
      </c>
      <c r="E2329" t="s">
        <v>2245</v>
      </c>
      <c r="F2329" t="s">
        <v>2246</v>
      </c>
      <c r="G2329" t="s">
        <v>1755</v>
      </c>
      <c r="H2329" t="str">
        <f>VLOOKUP(C2329,'[1]873'!$C$2:$C$711,1,0)</f>
        <v>1034-2025</v>
      </c>
    </row>
    <row r="2330" spans="1:8" ht="15" customHeight="1" x14ac:dyDescent="0.25">
      <c r="A2330" s="2">
        <v>45993.481249999997</v>
      </c>
      <c r="B2330">
        <v>2025003069</v>
      </c>
      <c r="C2330" t="s">
        <v>1799</v>
      </c>
      <c r="D2330" s="11">
        <v>3150000</v>
      </c>
      <c r="E2330" t="s">
        <v>2247</v>
      </c>
      <c r="F2330" t="s">
        <v>1086</v>
      </c>
      <c r="G2330" t="s">
        <v>1755</v>
      </c>
      <c r="H2330" t="str">
        <f>VLOOKUP(C2330,'[1]873'!$C$2:$C$711,1,0)</f>
        <v>848-2025</v>
      </c>
    </row>
    <row r="2331" spans="1:8" ht="15" customHeight="1" x14ac:dyDescent="0.25">
      <c r="A2331" s="2">
        <v>45993.723611111098</v>
      </c>
      <c r="B2331">
        <v>2025003089</v>
      </c>
      <c r="C2331" t="s">
        <v>1885</v>
      </c>
      <c r="D2331" s="11">
        <v>1575000</v>
      </c>
      <c r="E2331" t="s">
        <v>2248</v>
      </c>
      <c r="F2331" t="s">
        <v>1886</v>
      </c>
      <c r="G2331" t="s">
        <v>1755</v>
      </c>
      <c r="H2331" t="str">
        <f>VLOOKUP(C2331,'[1]873'!$C$2:$C$711,1,0)</f>
        <v>871-2025</v>
      </c>
    </row>
    <row r="2332" spans="1:8" ht="15" customHeight="1" x14ac:dyDescent="0.25">
      <c r="A2332" s="2">
        <v>46000.629861111098</v>
      </c>
      <c r="B2332">
        <v>2025003144</v>
      </c>
      <c r="C2332" t="s">
        <v>2000</v>
      </c>
      <c r="D2332" s="11">
        <v>144437682.74000001</v>
      </c>
      <c r="E2332" t="s">
        <v>2249</v>
      </c>
      <c r="F2332" t="s">
        <v>8</v>
      </c>
      <c r="G2332" t="s">
        <v>1755</v>
      </c>
      <c r="H2332" t="str">
        <f>VLOOKUP(C2332,'[1]873'!$C$2:$C$711,1,0)</f>
        <v>1076-2025</v>
      </c>
    </row>
    <row r="2333" spans="1:8" ht="15" customHeight="1" x14ac:dyDescent="0.25">
      <c r="A2333" s="2">
        <v>46001.6743055556</v>
      </c>
      <c r="B2333">
        <v>2025003169</v>
      </c>
      <c r="C2333" t="s">
        <v>2250</v>
      </c>
      <c r="D2333" s="11">
        <v>3150000</v>
      </c>
      <c r="E2333" t="s">
        <v>2251</v>
      </c>
      <c r="F2333" t="s">
        <v>2252</v>
      </c>
      <c r="G2333" t="s">
        <v>1755</v>
      </c>
      <c r="H2333" t="str">
        <f>VLOOKUP(C2333,'[1]873'!$C$2:$C$711,1,0)</f>
        <v>965-2025</v>
      </c>
    </row>
    <row r="2334" spans="1:8" ht="15" customHeight="1" x14ac:dyDescent="0.25">
      <c r="A2334" s="2">
        <v>46001.677777777797</v>
      </c>
      <c r="B2334">
        <v>2025003171</v>
      </c>
      <c r="C2334" t="s">
        <v>2253</v>
      </c>
      <c r="D2334" s="11">
        <v>4730000</v>
      </c>
      <c r="E2334" t="s">
        <v>2254</v>
      </c>
      <c r="F2334" t="s">
        <v>415</v>
      </c>
      <c r="G2334" t="s">
        <v>1755</v>
      </c>
      <c r="H2334" t="str">
        <f>VLOOKUP(C2334,'[1]873'!$C$2:$C$711,1,0)</f>
        <v>946-2025</v>
      </c>
    </row>
    <row r="2335" spans="1:8" ht="15" customHeight="1" x14ac:dyDescent="0.25">
      <c r="A2335" s="2">
        <v>46001.680555555598</v>
      </c>
      <c r="B2335">
        <v>2025003173</v>
      </c>
      <c r="C2335" t="s">
        <v>1992</v>
      </c>
      <c r="D2335" s="11">
        <v>3150000</v>
      </c>
      <c r="E2335" t="s">
        <v>2255</v>
      </c>
      <c r="F2335" t="s">
        <v>580</v>
      </c>
      <c r="G2335" t="s">
        <v>1755</v>
      </c>
      <c r="H2335" t="str">
        <f>VLOOKUP(C2335,'[1]873'!$C$2:$C$711,1,0)</f>
        <v>924-2025</v>
      </c>
    </row>
    <row r="2336" spans="1:8" ht="15" customHeight="1" x14ac:dyDescent="0.25">
      <c r="A2336" s="2">
        <v>46001.681944444397</v>
      </c>
      <c r="B2336">
        <v>2025003174</v>
      </c>
      <c r="C2336" t="s">
        <v>1937</v>
      </c>
      <c r="D2336" s="11">
        <v>4730000</v>
      </c>
      <c r="E2336" t="s">
        <v>2256</v>
      </c>
      <c r="F2336" t="s">
        <v>151</v>
      </c>
      <c r="G2336" t="s">
        <v>1755</v>
      </c>
      <c r="H2336" t="str">
        <f>VLOOKUP(C2336,'[1]873'!$C$2:$C$711,1,0)</f>
        <v>740-2025</v>
      </c>
    </row>
    <row r="2337" spans="1:8" ht="15" customHeight="1" x14ac:dyDescent="0.25">
      <c r="A2337" s="2">
        <v>46001.684027777803</v>
      </c>
      <c r="B2337">
        <v>2025003176</v>
      </c>
      <c r="C2337" t="s">
        <v>2257</v>
      </c>
      <c r="D2337" s="11">
        <v>1575000</v>
      </c>
      <c r="E2337" t="s">
        <v>1680</v>
      </c>
      <c r="F2337" t="s">
        <v>525</v>
      </c>
      <c r="G2337" t="s">
        <v>1755</v>
      </c>
      <c r="H2337" t="str">
        <f>VLOOKUP(C2337,'[1]873'!$C$2:$C$711,1,0)</f>
        <v>1038-2025</v>
      </c>
    </row>
    <row r="2338" spans="1:8" ht="15" customHeight="1" x14ac:dyDescent="0.25">
      <c r="A2338" s="2">
        <v>46001.6875</v>
      </c>
      <c r="B2338">
        <v>2025003178</v>
      </c>
      <c r="C2338" t="s">
        <v>2258</v>
      </c>
      <c r="D2338" s="11">
        <v>1575000</v>
      </c>
      <c r="E2338" t="s">
        <v>2259</v>
      </c>
      <c r="F2338" t="s">
        <v>1054</v>
      </c>
      <c r="G2338" t="s">
        <v>1755</v>
      </c>
      <c r="H2338" t="str">
        <f>VLOOKUP(C2338,'[1]873'!$C$2:$C$711,1,0)</f>
        <v>1042-2025</v>
      </c>
    </row>
    <row r="2339" spans="1:8" ht="15" customHeight="1" x14ac:dyDescent="0.25">
      <c r="A2339" s="2">
        <v>46001.690972222197</v>
      </c>
      <c r="B2339">
        <v>2025003179</v>
      </c>
      <c r="C2339" t="s">
        <v>2260</v>
      </c>
      <c r="D2339" s="11">
        <v>1575000</v>
      </c>
      <c r="E2339" t="s">
        <v>1632</v>
      </c>
      <c r="F2339" t="s">
        <v>121</v>
      </c>
      <c r="G2339" t="s">
        <v>1755</v>
      </c>
      <c r="H2339" t="str">
        <f>VLOOKUP(C2339,'[1]873'!$C$2:$C$711,1,0)</f>
        <v>1069-2025</v>
      </c>
    </row>
    <row r="2340" spans="1:8" ht="15" customHeight="1" x14ac:dyDescent="0.25">
      <c r="A2340" s="2">
        <v>46001.693055555603</v>
      </c>
      <c r="B2340">
        <v>2025003181</v>
      </c>
      <c r="C2340" t="s">
        <v>2261</v>
      </c>
      <c r="D2340" s="11">
        <v>2000000</v>
      </c>
      <c r="E2340" t="s">
        <v>2262</v>
      </c>
      <c r="F2340" t="s">
        <v>2263</v>
      </c>
      <c r="G2340" t="s">
        <v>1755</v>
      </c>
      <c r="H2340" t="str">
        <f>VLOOKUP(C2340,'[1]873'!$C$2:$C$711,1,0)</f>
        <v>1007-2025</v>
      </c>
    </row>
    <row r="2341" spans="1:8" ht="15" customHeight="1" x14ac:dyDescent="0.25">
      <c r="A2341" s="2">
        <v>46001.695138888899</v>
      </c>
      <c r="B2341">
        <v>2025003183</v>
      </c>
      <c r="C2341" t="s">
        <v>2264</v>
      </c>
      <c r="D2341" s="11">
        <v>2000000</v>
      </c>
      <c r="E2341" t="s">
        <v>2265</v>
      </c>
      <c r="F2341" t="s">
        <v>2266</v>
      </c>
      <c r="G2341" t="s">
        <v>1755</v>
      </c>
      <c r="H2341" t="str">
        <f>VLOOKUP(C2341,'[1]873'!$C$2:$C$711,1,0)</f>
        <v>1031-2025</v>
      </c>
    </row>
    <row r="2342" spans="1:8" ht="15" customHeight="1" x14ac:dyDescent="0.25">
      <c r="A2342" s="2">
        <v>46001.704166666699</v>
      </c>
      <c r="B2342">
        <v>2025003184</v>
      </c>
      <c r="C2342" t="s">
        <v>2267</v>
      </c>
      <c r="D2342" s="11">
        <v>3150000</v>
      </c>
      <c r="E2342" t="s">
        <v>1696</v>
      </c>
      <c r="F2342" t="s">
        <v>123</v>
      </c>
      <c r="G2342" t="s">
        <v>1755</v>
      </c>
      <c r="H2342" t="str">
        <f>VLOOKUP(C2342,'[1]873'!$C$2:$C$711,1,0)</f>
        <v>963-2025</v>
      </c>
    </row>
    <row r="2343" spans="1:8" ht="15" customHeight="1" x14ac:dyDescent="0.25">
      <c r="A2343" s="2">
        <v>46001.706944444399</v>
      </c>
      <c r="B2343">
        <v>2025003185</v>
      </c>
      <c r="C2343" t="s">
        <v>2268</v>
      </c>
      <c r="D2343" s="11">
        <v>3150000</v>
      </c>
      <c r="E2343" t="s">
        <v>1713</v>
      </c>
      <c r="F2343" t="s">
        <v>1224</v>
      </c>
      <c r="G2343" t="s">
        <v>1755</v>
      </c>
      <c r="H2343" t="str">
        <f>VLOOKUP(C2343,'[1]873'!$C$2:$C$711,1,0)</f>
        <v>930-2025</v>
      </c>
    </row>
    <row r="2344" spans="1:8" ht="15" customHeight="1" x14ac:dyDescent="0.25">
      <c r="A2344" s="2">
        <v>46001.710416666698</v>
      </c>
      <c r="B2344">
        <v>2025003188</v>
      </c>
      <c r="C2344" t="s">
        <v>2269</v>
      </c>
      <c r="D2344" s="11">
        <v>3150000</v>
      </c>
      <c r="E2344" t="s">
        <v>1646</v>
      </c>
      <c r="F2344" t="s">
        <v>523</v>
      </c>
      <c r="G2344" t="s">
        <v>1755</v>
      </c>
      <c r="H2344" t="str">
        <f>VLOOKUP(C2344,'[1]873'!$C$2:$C$711,1,0)</f>
        <v>1029-2025</v>
      </c>
    </row>
    <row r="2345" spans="1:8" ht="15" customHeight="1" x14ac:dyDescent="0.25">
      <c r="A2345" s="2">
        <v>46001.718055555597</v>
      </c>
      <c r="B2345">
        <v>2025003189</v>
      </c>
      <c r="C2345" t="s">
        <v>2270</v>
      </c>
      <c r="D2345" s="11">
        <v>4725000</v>
      </c>
      <c r="E2345" t="s">
        <v>2271</v>
      </c>
      <c r="F2345" t="s">
        <v>213</v>
      </c>
      <c r="G2345" t="s">
        <v>1755</v>
      </c>
      <c r="H2345" t="str">
        <f>VLOOKUP(C2345,'[1]873'!$C$2:$C$711,1,0)</f>
        <v>889-2025</v>
      </c>
    </row>
    <row r="2346" spans="1:8" ht="15" customHeight="1" x14ac:dyDescent="0.25">
      <c r="A2346" s="2">
        <v>46001.720138888901</v>
      </c>
      <c r="B2346">
        <v>2025003191</v>
      </c>
      <c r="C2346" t="s">
        <v>2272</v>
      </c>
      <c r="D2346" s="11">
        <v>3150000</v>
      </c>
      <c r="E2346" t="s">
        <v>1743</v>
      </c>
      <c r="F2346" t="s">
        <v>1211</v>
      </c>
      <c r="G2346" t="s">
        <v>1755</v>
      </c>
      <c r="H2346" t="str">
        <f>VLOOKUP(C2346,'[1]873'!$C$2:$C$711,1,0)</f>
        <v>958-2025</v>
      </c>
    </row>
    <row r="2347" spans="1:8" ht="15" customHeight="1" x14ac:dyDescent="0.25">
      <c r="A2347" s="2">
        <v>46001.724305555603</v>
      </c>
      <c r="B2347">
        <v>2025003193</v>
      </c>
      <c r="C2347" t="s">
        <v>2273</v>
      </c>
      <c r="D2347" s="11">
        <v>2365000</v>
      </c>
      <c r="E2347" t="s">
        <v>2274</v>
      </c>
      <c r="F2347" t="s">
        <v>730</v>
      </c>
      <c r="G2347" t="s">
        <v>1755</v>
      </c>
      <c r="H2347" t="str">
        <f>VLOOKUP(C2347,'[1]873'!$C$2:$C$711,1,0)</f>
        <v>1062-2025</v>
      </c>
    </row>
    <row r="2348" spans="1:8" ht="15" customHeight="1" x14ac:dyDescent="0.25">
      <c r="A2348" s="2">
        <v>46001.727083333302</v>
      </c>
      <c r="B2348">
        <v>2025003195</v>
      </c>
      <c r="C2348" t="s">
        <v>2275</v>
      </c>
      <c r="D2348" s="11">
        <v>4730000</v>
      </c>
      <c r="E2348" t="s">
        <v>2276</v>
      </c>
      <c r="F2348" t="s">
        <v>2277</v>
      </c>
      <c r="G2348" t="s">
        <v>1755</v>
      </c>
      <c r="H2348" t="str">
        <f>VLOOKUP(C2348,'[1]873'!$C$2:$C$711,1,0)</f>
        <v>987-2025</v>
      </c>
    </row>
    <row r="2349" spans="1:8" ht="15" customHeight="1" x14ac:dyDescent="0.25">
      <c r="A2349" s="2">
        <v>46001.729166666701</v>
      </c>
      <c r="B2349">
        <v>2025003197</v>
      </c>
      <c r="C2349" t="s">
        <v>2278</v>
      </c>
      <c r="D2349" s="11">
        <v>6300000</v>
      </c>
      <c r="E2349" t="s">
        <v>1721</v>
      </c>
      <c r="F2349" t="s">
        <v>31</v>
      </c>
      <c r="G2349" t="s">
        <v>1755</v>
      </c>
      <c r="H2349" t="str">
        <f>VLOOKUP(C2349,'[1]873'!$C$2:$C$711,1,0)</f>
        <v>949-2025</v>
      </c>
    </row>
    <row r="2350" spans="1:8" ht="15" customHeight="1" x14ac:dyDescent="0.25">
      <c r="A2350" s="2">
        <v>46001.731249999997</v>
      </c>
      <c r="B2350">
        <v>2025003199</v>
      </c>
      <c r="C2350" t="s">
        <v>2279</v>
      </c>
      <c r="D2350" s="11">
        <v>2000000</v>
      </c>
      <c r="E2350" t="s">
        <v>1693</v>
      </c>
      <c r="F2350" t="s">
        <v>307</v>
      </c>
      <c r="G2350" t="s">
        <v>1755</v>
      </c>
      <c r="H2350" t="str">
        <f>VLOOKUP(C2350,'[1]873'!$C$2:$C$711,1,0)</f>
        <v>1013-2025</v>
      </c>
    </row>
    <row r="2351" spans="1:8" ht="15" customHeight="1" x14ac:dyDescent="0.25">
      <c r="A2351" s="2">
        <v>46001.733333333301</v>
      </c>
      <c r="B2351">
        <v>2025003201</v>
      </c>
      <c r="C2351" t="s">
        <v>2280</v>
      </c>
      <c r="D2351" s="11">
        <v>3150000</v>
      </c>
      <c r="E2351" t="s">
        <v>2281</v>
      </c>
      <c r="F2351" t="s">
        <v>2282</v>
      </c>
      <c r="G2351" t="s">
        <v>1755</v>
      </c>
      <c r="H2351" t="str">
        <f>VLOOKUP(C2351,'[1]873'!$C$2:$C$711,1,0)</f>
        <v>938-2025</v>
      </c>
    </row>
    <row r="2352" spans="1:8" ht="15" customHeight="1" x14ac:dyDescent="0.25">
      <c r="A2352" s="2">
        <v>46001.735416666699</v>
      </c>
      <c r="B2352">
        <v>2025003204</v>
      </c>
      <c r="C2352" t="s">
        <v>2283</v>
      </c>
      <c r="D2352" s="11">
        <v>3150000</v>
      </c>
      <c r="E2352" t="s">
        <v>1677</v>
      </c>
      <c r="F2352" t="s">
        <v>387</v>
      </c>
      <c r="G2352" t="s">
        <v>1755</v>
      </c>
      <c r="H2352" t="str">
        <f>VLOOKUP(C2352,'[1]873'!$C$2:$C$711,1,0)</f>
        <v>998-2025</v>
      </c>
    </row>
    <row r="2353" spans="1:8" ht="15" customHeight="1" x14ac:dyDescent="0.25">
      <c r="A2353" s="2">
        <v>46001.737500000003</v>
      </c>
      <c r="B2353">
        <v>2025003206</v>
      </c>
      <c r="C2353" t="s">
        <v>2284</v>
      </c>
      <c r="D2353" s="11">
        <v>1575000</v>
      </c>
      <c r="E2353" t="s">
        <v>2285</v>
      </c>
      <c r="F2353" t="s">
        <v>2286</v>
      </c>
      <c r="G2353" t="s">
        <v>1755</v>
      </c>
      <c r="H2353" t="str">
        <f>VLOOKUP(C2353,'[1]873'!$C$2:$C$711,1,0)</f>
        <v>1060-2025</v>
      </c>
    </row>
    <row r="2354" spans="1:8" ht="15" customHeight="1" x14ac:dyDescent="0.25">
      <c r="A2354" s="2">
        <v>46001</v>
      </c>
      <c r="B2354">
        <v>2025003207</v>
      </c>
      <c r="C2354" t="s">
        <v>1225</v>
      </c>
      <c r="D2354" s="11">
        <v>2500000</v>
      </c>
      <c r="E2354">
        <v>1087408320</v>
      </c>
      <c r="F2354" t="s">
        <v>1715</v>
      </c>
      <c r="G2354" t="s">
        <v>1094</v>
      </c>
      <c r="H2354" t="e">
        <f>VLOOKUP(C2354,'[1]873'!$C$2:$C$711,1,0)</f>
        <v>#N/A</v>
      </c>
    </row>
    <row r="2355" spans="1:8" ht="15" customHeight="1" x14ac:dyDescent="0.25">
      <c r="A2355" s="2">
        <v>46002.604861111096</v>
      </c>
      <c r="B2355">
        <v>2025003246</v>
      </c>
      <c r="C2355" t="s">
        <v>1995</v>
      </c>
      <c r="D2355" s="11">
        <v>4730000</v>
      </c>
      <c r="E2355" t="s">
        <v>2287</v>
      </c>
      <c r="F2355" t="s">
        <v>235</v>
      </c>
      <c r="G2355" t="s">
        <v>1755</v>
      </c>
      <c r="H2355" t="str">
        <f>VLOOKUP(C2355,'[1]873'!$C$2:$C$711,1,0)</f>
        <v>776-2025</v>
      </c>
    </row>
    <row r="2356" spans="1:8" ht="15" customHeight="1" x14ac:dyDescent="0.25">
      <c r="A2356" s="2">
        <v>46002.6069444444</v>
      </c>
      <c r="B2356">
        <v>2025003247</v>
      </c>
      <c r="C2356" t="s">
        <v>1925</v>
      </c>
      <c r="D2356" s="11">
        <v>4730000</v>
      </c>
      <c r="E2356" t="s">
        <v>2288</v>
      </c>
      <c r="F2356" t="s">
        <v>1926</v>
      </c>
      <c r="G2356" t="s">
        <v>1755</v>
      </c>
      <c r="H2356" t="str">
        <f>VLOOKUP(C2356,'[1]873'!$C$2:$C$711,1,0)</f>
        <v>847-2025</v>
      </c>
    </row>
    <row r="2357" spans="1:8" ht="15" customHeight="1" x14ac:dyDescent="0.25">
      <c r="A2357" s="2">
        <v>46002.608333333301</v>
      </c>
      <c r="B2357">
        <v>2025003249</v>
      </c>
      <c r="C2357" t="s">
        <v>1919</v>
      </c>
      <c r="D2357" s="11">
        <v>4730000</v>
      </c>
      <c r="E2357" t="s">
        <v>2289</v>
      </c>
      <c r="F2357" t="s">
        <v>900</v>
      </c>
      <c r="G2357" t="s">
        <v>1755</v>
      </c>
      <c r="H2357" t="str">
        <f>VLOOKUP(C2357,'[1]873'!$C$2:$C$711,1,0)</f>
        <v>792-2025</v>
      </c>
    </row>
    <row r="2358" spans="1:8" ht="15" customHeight="1" x14ac:dyDescent="0.25">
      <c r="A2358" s="2">
        <v>46002.610416666699</v>
      </c>
      <c r="B2358">
        <v>2025003252</v>
      </c>
      <c r="C2358" t="s">
        <v>1987</v>
      </c>
      <c r="D2358" s="11">
        <v>3150000</v>
      </c>
      <c r="E2358" t="s">
        <v>2025</v>
      </c>
      <c r="F2358" t="s">
        <v>1988</v>
      </c>
      <c r="G2358" t="s">
        <v>1755</v>
      </c>
      <c r="H2358" t="str">
        <f>VLOOKUP(C2358,'[1]873'!$C$2:$C$711,1,0)</f>
        <v>820-2025</v>
      </c>
    </row>
    <row r="2359" spans="1:8" ht="15" customHeight="1" x14ac:dyDescent="0.25">
      <c r="A2359" s="2">
        <v>46002.614583333299</v>
      </c>
      <c r="B2359">
        <v>2025003254</v>
      </c>
      <c r="C2359" t="s">
        <v>1836</v>
      </c>
      <c r="D2359" s="11">
        <v>4730000</v>
      </c>
      <c r="E2359" t="s">
        <v>2013</v>
      </c>
      <c r="F2359" t="s">
        <v>1837</v>
      </c>
      <c r="G2359" t="s">
        <v>1755</v>
      </c>
      <c r="H2359" t="str">
        <f>VLOOKUP(C2359,'[1]873'!$C$2:$C$711,1,0)</f>
        <v>749-2025</v>
      </c>
    </row>
    <row r="2360" spans="1:8" ht="15" customHeight="1" x14ac:dyDescent="0.25">
      <c r="A2360" s="2">
        <v>46002.616666666698</v>
      </c>
      <c r="B2360">
        <v>2025003255</v>
      </c>
      <c r="C2360" t="s">
        <v>1870</v>
      </c>
      <c r="D2360" s="11">
        <v>4730000</v>
      </c>
      <c r="E2360" t="s">
        <v>2031</v>
      </c>
      <c r="F2360" t="s">
        <v>95</v>
      </c>
      <c r="G2360" t="s">
        <v>1755</v>
      </c>
      <c r="H2360" t="str">
        <f>VLOOKUP(C2360,'[1]873'!$C$2:$C$711,1,0)</f>
        <v>730-2025</v>
      </c>
    </row>
    <row r="2361" spans="1:8" ht="15" customHeight="1" x14ac:dyDescent="0.25">
      <c r="A2361" s="2">
        <v>46002.623611111099</v>
      </c>
      <c r="B2361">
        <v>2025003256</v>
      </c>
      <c r="C2361" t="s">
        <v>1853</v>
      </c>
      <c r="D2361" s="11">
        <v>4730000</v>
      </c>
      <c r="E2361" t="s">
        <v>2033</v>
      </c>
      <c r="F2361" t="s">
        <v>355</v>
      </c>
      <c r="G2361" t="s">
        <v>1755</v>
      </c>
      <c r="H2361" t="str">
        <f>VLOOKUP(C2361,'[1]873'!$C$2:$C$711,1,0)</f>
        <v>770-2025</v>
      </c>
    </row>
    <row r="2362" spans="1:8" ht="15" customHeight="1" x14ac:dyDescent="0.25">
      <c r="A2362" s="2">
        <v>46002.626388888901</v>
      </c>
      <c r="B2362">
        <v>2025003257</v>
      </c>
      <c r="C2362" t="s">
        <v>1962</v>
      </c>
      <c r="D2362" s="11">
        <v>4730000</v>
      </c>
      <c r="E2362" t="s">
        <v>2111</v>
      </c>
      <c r="F2362" t="s">
        <v>91</v>
      </c>
      <c r="G2362" t="s">
        <v>1755</v>
      </c>
      <c r="H2362" t="str">
        <f>VLOOKUP(C2362,'[1]873'!$C$2:$C$711,1,0)</f>
        <v>752-2025</v>
      </c>
    </row>
    <row r="2363" spans="1:8" ht="15" customHeight="1" x14ac:dyDescent="0.25">
      <c r="A2363" s="2">
        <v>46002.629166666702</v>
      </c>
      <c r="B2363">
        <v>2025003258</v>
      </c>
      <c r="C2363" t="s">
        <v>1839</v>
      </c>
      <c r="D2363" s="11">
        <v>4730000</v>
      </c>
      <c r="E2363" t="s">
        <v>1641</v>
      </c>
      <c r="F2363" t="s">
        <v>1142</v>
      </c>
      <c r="G2363" t="s">
        <v>1755</v>
      </c>
      <c r="H2363" t="str">
        <f>VLOOKUP(C2363,'[1]873'!$C$2:$C$711,1,0)</f>
        <v>726-2025</v>
      </c>
    </row>
    <row r="2364" spans="1:8" ht="15" customHeight="1" x14ac:dyDescent="0.25">
      <c r="A2364" s="2">
        <v>46002.638888888898</v>
      </c>
      <c r="B2364">
        <v>2025003261</v>
      </c>
      <c r="C2364" t="s">
        <v>1875</v>
      </c>
      <c r="D2364" s="11">
        <v>7800000</v>
      </c>
      <c r="E2364" t="s">
        <v>1708</v>
      </c>
      <c r="F2364" t="s">
        <v>1218</v>
      </c>
      <c r="G2364" t="s">
        <v>1755</v>
      </c>
      <c r="H2364" t="str">
        <f>VLOOKUP(C2364,'[1]873'!$C$2:$C$711,1,0)</f>
        <v>755-2025</v>
      </c>
    </row>
    <row r="2365" spans="1:8" ht="15" customHeight="1" x14ac:dyDescent="0.25">
      <c r="A2365" s="2">
        <v>46002.643750000003</v>
      </c>
      <c r="B2365">
        <v>2025003262</v>
      </c>
      <c r="C2365" t="s">
        <v>1871</v>
      </c>
      <c r="D2365" s="11">
        <v>7800000</v>
      </c>
      <c r="E2365" t="s">
        <v>2054</v>
      </c>
      <c r="F2365" t="s">
        <v>1872</v>
      </c>
      <c r="G2365" t="s">
        <v>1755</v>
      </c>
      <c r="H2365" t="str">
        <f>VLOOKUP(C2365,'[1]873'!$C$2:$C$711,1,0)</f>
        <v>786-2025</v>
      </c>
    </row>
    <row r="2366" spans="1:8" ht="15" customHeight="1" x14ac:dyDescent="0.25">
      <c r="A2366" s="2">
        <v>46002.6472222222</v>
      </c>
      <c r="B2366">
        <v>2025003263</v>
      </c>
      <c r="C2366" t="s">
        <v>1851</v>
      </c>
      <c r="D2366" s="11">
        <v>7800000</v>
      </c>
      <c r="E2366" t="s">
        <v>2016</v>
      </c>
      <c r="F2366" t="s">
        <v>1852</v>
      </c>
      <c r="G2366" t="s">
        <v>1755</v>
      </c>
      <c r="H2366" t="str">
        <f>VLOOKUP(C2366,'[1]873'!$C$2:$C$711,1,0)</f>
        <v>772-2025</v>
      </c>
    </row>
    <row r="2367" spans="1:8" ht="15" customHeight="1" x14ac:dyDescent="0.25">
      <c r="A2367" s="2">
        <v>46002.648611111101</v>
      </c>
      <c r="B2367">
        <v>2025003264</v>
      </c>
      <c r="C2367" t="s">
        <v>1862</v>
      </c>
      <c r="D2367" s="11">
        <v>6300000</v>
      </c>
      <c r="E2367" t="s">
        <v>2075</v>
      </c>
      <c r="F2367" t="s">
        <v>1863</v>
      </c>
      <c r="G2367" t="s">
        <v>1755</v>
      </c>
      <c r="H2367" t="str">
        <f>VLOOKUP(C2367,'[1]873'!$C$2:$C$711,1,0)</f>
        <v>785-2025</v>
      </c>
    </row>
    <row r="2368" spans="1:8" ht="15" customHeight="1" x14ac:dyDescent="0.25">
      <c r="A2368" s="2">
        <v>46002.652083333298</v>
      </c>
      <c r="B2368">
        <v>2025003265</v>
      </c>
      <c r="C2368" t="s">
        <v>1830</v>
      </c>
      <c r="D2368" s="11">
        <v>7800000</v>
      </c>
      <c r="E2368" t="s">
        <v>2010</v>
      </c>
      <c r="F2368" t="s">
        <v>1831</v>
      </c>
      <c r="G2368" t="s">
        <v>1755</v>
      </c>
      <c r="H2368" t="str">
        <f>VLOOKUP(C2368,'[1]873'!$C$2:$C$711,1,0)</f>
        <v>831-2025</v>
      </c>
    </row>
    <row r="2369" spans="1:8" ht="15" customHeight="1" x14ac:dyDescent="0.25">
      <c r="A2369" s="2">
        <v>46002.655555555597</v>
      </c>
      <c r="B2369">
        <v>2025003266</v>
      </c>
      <c r="C2369" t="s">
        <v>1849</v>
      </c>
      <c r="D2369" s="11">
        <v>7800000</v>
      </c>
      <c r="E2369" t="s">
        <v>1620</v>
      </c>
      <c r="F2369" t="s">
        <v>41</v>
      </c>
      <c r="G2369" t="s">
        <v>1755</v>
      </c>
      <c r="H2369" t="str">
        <f>VLOOKUP(C2369,'[1]873'!$C$2:$C$711,1,0)</f>
        <v>711-2025</v>
      </c>
    </row>
    <row r="2370" spans="1:8" ht="15" customHeight="1" x14ac:dyDescent="0.25">
      <c r="A2370" s="2">
        <v>46002.663888888899</v>
      </c>
      <c r="B2370">
        <v>2025003267</v>
      </c>
      <c r="C2370" t="s">
        <v>1985</v>
      </c>
      <c r="D2370" s="11">
        <v>7800000</v>
      </c>
      <c r="E2370" t="s">
        <v>2112</v>
      </c>
      <c r="F2370" t="s">
        <v>1986</v>
      </c>
      <c r="G2370" t="s">
        <v>1755</v>
      </c>
      <c r="H2370" t="str">
        <f>VLOOKUP(C2370,'[1]873'!$C$2:$C$711,1,0)</f>
        <v>779-2025</v>
      </c>
    </row>
    <row r="2371" spans="1:8" ht="15" customHeight="1" x14ac:dyDescent="0.25">
      <c r="A2371" s="2">
        <v>46002.666666666701</v>
      </c>
      <c r="B2371">
        <v>2025003268</v>
      </c>
      <c r="C2371" t="s">
        <v>1770</v>
      </c>
      <c r="D2371" s="11">
        <v>6300000</v>
      </c>
      <c r="E2371" t="s">
        <v>1664</v>
      </c>
      <c r="F2371" t="s">
        <v>329</v>
      </c>
      <c r="G2371" t="s">
        <v>1755</v>
      </c>
      <c r="H2371" t="str">
        <f>VLOOKUP(C2371,'[1]873'!$C$2:$C$711,1,0)</f>
        <v>850-2025</v>
      </c>
    </row>
    <row r="2372" spans="1:8" ht="15" customHeight="1" x14ac:dyDescent="0.25">
      <c r="A2372" s="2">
        <v>46002.6694444444</v>
      </c>
      <c r="B2372">
        <v>2025003269</v>
      </c>
      <c r="C2372" t="s">
        <v>1762</v>
      </c>
      <c r="D2372" s="11">
        <v>6300000</v>
      </c>
      <c r="E2372" t="s">
        <v>1635</v>
      </c>
      <c r="F2372" t="s">
        <v>145</v>
      </c>
      <c r="G2372" t="s">
        <v>1755</v>
      </c>
      <c r="H2372" t="str">
        <f>VLOOKUP(C2372,'[1]873'!$C$2:$C$711,1,0)</f>
        <v>904-2025</v>
      </c>
    </row>
    <row r="2373" spans="1:8" ht="15" customHeight="1" x14ac:dyDescent="0.25">
      <c r="A2373" s="2">
        <v>46002.670833333301</v>
      </c>
      <c r="B2373">
        <v>2025003270</v>
      </c>
      <c r="C2373" t="s">
        <v>1838</v>
      </c>
      <c r="D2373" s="11">
        <v>6300000</v>
      </c>
      <c r="E2373" t="s">
        <v>2050</v>
      </c>
      <c r="F2373" t="s">
        <v>1062</v>
      </c>
      <c r="G2373" t="s">
        <v>1755</v>
      </c>
      <c r="H2373" t="str">
        <f>VLOOKUP(C2373,'[1]873'!$C$2:$C$711,1,0)</f>
        <v>775-2025</v>
      </c>
    </row>
    <row r="2374" spans="1:8" ht="15" customHeight="1" x14ac:dyDescent="0.25">
      <c r="A2374" s="2">
        <v>46002.673611111102</v>
      </c>
      <c r="B2374">
        <v>2025003272</v>
      </c>
      <c r="C2374" t="s">
        <v>1773</v>
      </c>
      <c r="D2374" s="11">
        <v>6300000</v>
      </c>
      <c r="E2374" t="s">
        <v>2036</v>
      </c>
      <c r="F2374" t="s">
        <v>1774</v>
      </c>
      <c r="G2374" t="s">
        <v>1755</v>
      </c>
      <c r="H2374" t="str">
        <f>VLOOKUP(C2374,'[1]873'!$C$2:$C$711,1,0)</f>
        <v>817-2025</v>
      </c>
    </row>
    <row r="2375" spans="1:8" ht="15" customHeight="1" x14ac:dyDescent="0.25">
      <c r="A2375" s="2">
        <v>46002.675000000003</v>
      </c>
      <c r="B2375">
        <v>2025003273</v>
      </c>
      <c r="C2375" t="s">
        <v>1883</v>
      </c>
      <c r="D2375" s="11">
        <v>6300000</v>
      </c>
      <c r="E2375" t="s">
        <v>2032</v>
      </c>
      <c r="F2375" t="s">
        <v>1884</v>
      </c>
      <c r="G2375" t="s">
        <v>1755</v>
      </c>
      <c r="H2375" t="str">
        <f>VLOOKUP(C2375,'[1]873'!$C$2:$C$711,1,0)</f>
        <v>757-2025</v>
      </c>
    </row>
    <row r="2376" spans="1:8" ht="15" customHeight="1" x14ac:dyDescent="0.25">
      <c r="A2376" s="2">
        <v>46002.679861111101</v>
      </c>
      <c r="B2376">
        <v>2025003275</v>
      </c>
      <c r="C2376" t="s">
        <v>1840</v>
      </c>
      <c r="D2376" s="11">
        <v>7800000</v>
      </c>
      <c r="E2376" t="s">
        <v>2051</v>
      </c>
      <c r="F2376" t="s">
        <v>1841</v>
      </c>
      <c r="G2376" t="s">
        <v>1755</v>
      </c>
      <c r="H2376" t="str">
        <f>VLOOKUP(C2376,'[1]873'!$C$2:$C$711,1,0)</f>
        <v>744-2025</v>
      </c>
    </row>
    <row r="2377" spans="1:8" ht="15" customHeight="1" x14ac:dyDescent="0.25">
      <c r="A2377" s="2">
        <v>46002.686111111099</v>
      </c>
      <c r="B2377">
        <v>2025003276</v>
      </c>
      <c r="C2377" t="s">
        <v>1832</v>
      </c>
      <c r="D2377" s="11">
        <v>3150000</v>
      </c>
      <c r="E2377" t="s">
        <v>1695</v>
      </c>
      <c r="F2377" t="s">
        <v>477</v>
      </c>
      <c r="G2377" t="s">
        <v>1755</v>
      </c>
      <c r="H2377" t="str">
        <f>VLOOKUP(C2377,'[1]873'!$C$2:$C$711,1,0)</f>
        <v>811-2025</v>
      </c>
    </row>
    <row r="2378" spans="1:8" ht="15" customHeight="1" x14ac:dyDescent="0.25">
      <c r="A2378" s="2">
        <v>46002.690972222197</v>
      </c>
      <c r="B2378">
        <v>2025003278</v>
      </c>
      <c r="C2378" t="s">
        <v>1761</v>
      </c>
      <c r="D2378" s="11">
        <v>3150000</v>
      </c>
      <c r="E2378" t="s">
        <v>1671</v>
      </c>
      <c r="F2378" t="s">
        <v>443</v>
      </c>
      <c r="G2378" t="s">
        <v>1755</v>
      </c>
      <c r="H2378" t="str">
        <f>VLOOKUP(C2378,'[1]873'!$C$2:$C$711,1,0)</f>
        <v>829-2025</v>
      </c>
    </row>
    <row r="2379" spans="1:8" ht="15" customHeight="1" x14ac:dyDescent="0.25">
      <c r="A2379" s="2">
        <v>46002.7006944444</v>
      </c>
      <c r="B2379">
        <v>2025003279</v>
      </c>
      <c r="C2379" t="s">
        <v>1876</v>
      </c>
      <c r="D2379" s="11">
        <v>3150000</v>
      </c>
      <c r="E2379" t="s">
        <v>2113</v>
      </c>
      <c r="F2379" t="s">
        <v>658</v>
      </c>
      <c r="G2379" t="s">
        <v>1755</v>
      </c>
      <c r="H2379" t="str">
        <f>VLOOKUP(C2379,'[1]873'!$C$2:$C$711,1,0)</f>
        <v>855-2025</v>
      </c>
    </row>
    <row r="2380" spans="1:8" ht="15" customHeight="1" x14ac:dyDescent="0.25">
      <c r="A2380" s="2">
        <v>46002.695138888899</v>
      </c>
      <c r="B2380">
        <v>2025003280</v>
      </c>
      <c r="C2380" t="s">
        <v>1878</v>
      </c>
      <c r="D2380" s="11">
        <v>3150000</v>
      </c>
      <c r="E2380" t="s">
        <v>2037</v>
      </c>
      <c r="F2380" t="s">
        <v>417</v>
      </c>
      <c r="G2380" t="s">
        <v>1755</v>
      </c>
      <c r="H2380" t="str">
        <f>VLOOKUP(C2380,'[1]873'!$C$2:$C$711,1,0)</f>
        <v>840-2025</v>
      </c>
    </row>
    <row r="2381" spans="1:8" ht="15" customHeight="1" x14ac:dyDescent="0.25">
      <c r="A2381" s="2">
        <v>46002.697916666701</v>
      </c>
      <c r="B2381">
        <v>2025003282</v>
      </c>
      <c r="C2381" t="s">
        <v>1869</v>
      </c>
      <c r="D2381" s="11">
        <v>7800000</v>
      </c>
      <c r="E2381" t="s">
        <v>1591</v>
      </c>
      <c r="F2381" t="s">
        <v>791</v>
      </c>
      <c r="G2381" t="s">
        <v>1755</v>
      </c>
      <c r="H2381" t="str">
        <f>VLOOKUP(C2381,'[1]873'!$C$2:$C$711,1,0)</f>
        <v>762-2025</v>
      </c>
    </row>
    <row r="2382" spans="1:8" ht="15" customHeight="1" x14ac:dyDescent="0.25">
      <c r="A2382" s="2">
        <v>46002.699305555601</v>
      </c>
      <c r="B2382">
        <v>2025003283</v>
      </c>
      <c r="C2382" t="s">
        <v>1776</v>
      </c>
      <c r="D2382" s="11">
        <v>3150000</v>
      </c>
      <c r="E2382" t="s">
        <v>2014</v>
      </c>
      <c r="F2382" t="s">
        <v>1777</v>
      </c>
      <c r="G2382" t="s">
        <v>1755</v>
      </c>
      <c r="H2382" t="str">
        <f>VLOOKUP(C2382,'[1]873'!$C$2:$C$711,1,0)</f>
        <v>886-2025</v>
      </c>
    </row>
    <row r="2383" spans="1:8" ht="15" customHeight="1" x14ac:dyDescent="0.25">
      <c r="A2383" s="2">
        <v>46002.702083333301</v>
      </c>
      <c r="B2383">
        <v>2025003284</v>
      </c>
      <c r="C2383" t="s">
        <v>1758</v>
      </c>
      <c r="D2383" s="11">
        <v>3150000</v>
      </c>
      <c r="E2383" t="s">
        <v>2015</v>
      </c>
      <c r="F2383" t="s">
        <v>1759</v>
      </c>
      <c r="G2383" t="s">
        <v>1755</v>
      </c>
      <c r="H2383" t="str">
        <f>VLOOKUP(C2383,'[1]873'!$C$2:$C$711,1,0)</f>
        <v>887-2025</v>
      </c>
    </row>
    <row r="2384" spans="1:8" ht="15" customHeight="1" x14ac:dyDescent="0.25">
      <c r="A2384" s="2">
        <v>46002.704861111102</v>
      </c>
      <c r="B2384">
        <v>2025003285</v>
      </c>
      <c r="C2384" t="s">
        <v>2290</v>
      </c>
      <c r="D2384" s="11">
        <v>4730000</v>
      </c>
      <c r="E2384" t="s">
        <v>2291</v>
      </c>
      <c r="F2384" t="s">
        <v>2292</v>
      </c>
      <c r="G2384" t="s">
        <v>1755</v>
      </c>
      <c r="H2384" t="str">
        <f>VLOOKUP(C2384,'[1]873'!$C$2:$C$711,1,0)</f>
        <v>933-2025</v>
      </c>
    </row>
    <row r="2385" spans="1:8" ht="15" customHeight="1" x14ac:dyDescent="0.25">
      <c r="A2385" s="2">
        <v>46002.706944444399</v>
      </c>
      <c r="B2385">
        <v>2025003286</v>
      </c>
      <c r="C2385" t="s">
        <v>2293</v>
      </c>
      <c r="D2385" s="11">
        <v>4730000</v>
      </c>
      <c r="E2385" t="s">
        <v>2294</v>
      </c>
      <c r="F2385" t="s">
        <v>2295</v>
      </c>
      <c r="G2385" t="s">
        <v>1755</v>
      </c>
      <c r="H2385" t="str">
        <f>VLOOKUP(C2385,'[1]873'!$C$2:$C$711,1,0)</f>
        <v>937-2025</v>
      </c>
    </row>
    <row r="2386" spans="1:8" ht="15" customHeight="1" x14ac:dyDescent="0.25">
      <c r="A2386" s="2">
        <v>46003.385416666701</v>
      </c>
      <c r="B2386">
        <v>2025003290</v>
      </c>
      <c r="C2386" t="s">
        <v>2296</v>
      </c>
      <c r="D2386" s="11">
        <v>6300000</v>
      </c>
      <c r="E2386" t="s">
        <v>2297</v>
      </c>
      <c r="F2386" t="s">
        <v>2298</v>
      </c>
      <c r="G2386" t="s">
        <v>1755</v>
      </c>
      <c r="H2386" t="str">
        <f>VLOOKUP(C2386,'[1]873'!$C$2:$C$711,1,0)</f>
        <v>931-2025</v>
      </c>
    </row>
    <row r="2387" spans="1:8" ht="15" customHeight="1" x14ac:dyDescent="0.25">
      <c r="A2387" s="2">
        <v>46003.390972222202</v>
      </c>
      <c r="B2387">
        <v>2025003291</v>
      </c>
      <c r="C2387" t="s">
        <v>2299</v>
      </c>
      <c r="D2387" s="11">
        <v>3150000</v>
      </c>
      <c r="E2387" t="s">
        <v>2300</v>
      </c>
      <c r="F2387" t="s">
        <v>2301</v>
      </c>
      <c r="G2387" t="s">
        <v>1755</v>
      </c>
      <c r="H2387" t="str">
        <f>VLOOKUP(C2387,'[1]873'!$C$2:$C$711,1,0)</f>
        <v>939-2025</v>
      </c>
    </row>
    <row r="2388" spans="1:8" ht="15" customHeight="1" x14ac:dyDescent="0.25">
      <c r="A2388" s="2">
        <v>46003.396527777797</v>
      </c>
      <c r="B2388">
        <v>2025003292</v>
      </c>
      <c r="C2388" t="s">
        <v>2302</v>
      </c>
      <c r="D2388" s="11">
        <v>7800000</v>
      </c>
      <c r="E2388" t="s">
        <v>2303</v>
      </c>
      <c r="F2388" t="s">
        <v>2304</v>
      </c>
      <c r="G2388" t="s">
        <v>1755</v>
      </c>
      <c r="H2388" t="str">
        <f>VLOOKUP(C2388,'[1]873'!$C$2:$C$711,1,0)</f>
        <v>1010-2025</v>
      </c>
    </row>
    <row r="2389" spans="1:8" ht="15" customHeight="1" x14ac:dyDescent="0.25">
      <c r="A2389" s="2">
        <v>46003.400694444397</v>
      </c>
      <c r="B2389">
        <v>2025003293</v>
      </c>
      <c r="C2389" t="s">
        <v>2305</v>
      </c>
      <c r="D2389" s="11">
        <v>4730000</v>
      </c>
      <c r="E2389" t="s">
        <v>2306</v>
      </c>
      <c r="F2389" t="s">
        <v>2307</v>
      </c>
      <c r="G2389" t="s">
        <v>1755</v>
      </c>
      <c r="H2389" t="str">
        <f>VLOOKUP(C2389,'[1]873'!$C$2:$C$711,1,0)</f>
        <v>962-2025</v>
      </c>
    </row>
    <row r="2390" spans="1:8" ht="15" customHeight="1" x14ac:dyDescent="0.25">
      <c r="A2390" s="2">
        <v>46003.402083333298</v>
      </c>
      <c r="B2390">
        <v>2025003294</v>
      </c>
      <c r="C2390" t="s">
        <v>1798</v>
      </c>
      <c r="D2390" s="11">
        <v>3150000</v>
      </c>
      <c r="E2390" t="s">
        <v>1657</v>
      </c>
      <c r="F2390" t="s">
        <v>59</v>
      </c>
      <c r="G2390" t="s">
        <v>1755</v>
      </c>
      <c r="H2390" t="str">
        <f>VLOOKUP(C2390,'[1]873'!$C$2:$C$711,1,0)</f>
        <v>784-2025</v>
      </c>
    </row>
    <row r="2391" spans="1:8" ht="15" customHeight="1" x14ac:dyDescent="0.25">
      <c r="A2391" s="2">
        <v>46003.40625</v>
      </c>
      <c r="B2391">
        <v>2025003295</v>
      </c>
      <c r="C2391" t="s">
        <v>1861</v>
      </c>
      <c r="D2391" s="11">
        <v>7800000</v>
      </c>
      <c r="E2391" t="s">
        <v>1622</v>
      </c>
      <c r="F2391" t="s">
        <v>63</v>
      </c>
      <c r="G2391" t="s">
        <v>1755</v>
      </c>
      <c r="H2391" t="str">
        <f>VLOOKUP(C2391,'[1]873'!$C$2:$C$711,1,0)</f>
        <v>723-2025</v>
      </c>
    </row>
    <row r="2392" spans="1:8" ht="15" customHeight="1" x14ac:dyDescent="0.25">
      <c r="A2392" s="2">
        <v>46003.409027777801</v>
      </c>
      <c r="B2392">
        <v>2025003296</v>
      </c>
      <c r="C2392" t="s">
        <v>1791</v>
      </c>
      <c r="D2392" s="11">
        <v>4730000</v>
      </c>
      <c r="E2392" t="s">
        <v>1614</v>
      </c>
      <c r="F2392" t="s">
        <v>735</v>
      </c>
      <c r="G2392" t="s">
        <v>1755</v>
      </c>
      <c r="H2392" t="str">
        <f>VLOOKUP(C2392,'[1]873'!$C$2:$C$711,1,0)</f>
        <v>787-2025</v>
      </c>
    </row>
    <row r="2393" spans="1:8" ht="15" customHeight="1" x14ac:dyDescent="0.25">
      <c r="A2393" s="2">
        <v>46003.409722222197</v>
      </c>
      <c r="B2393">
        <v>2025003297</v>
      </c>
      <c r="C2393" t="s">
        <v>1929</v>
      </c>
      <c r="D2393" s="11">
        <v>6300000</v>
      </c>
      <c r="E2393" t="s">
        <v>2308</v>
      </c>
      <c r="F2393" t="s">
        <v>895</v>
      </c>
      <c r="G2393" t="s">
        <v>1755</v>
      </c>
      <c r="H2393" t="str">
        <f>VLOOKUP(C2393,'[1]873'!$C$2:$C$711,1,0)</f>
        <v>819-2025</v>
      </c>
    </row>
    <row r="2394" spans="1:8" ht="15" customHeight="1" x14ac:dyDescent="0.25">
      <c r="A2394" s="2">
        <v>46003.431250000001</v>
      </c>
      <c r="B2394">
        <v>2025003298</v>
      </c>
      <c r="C2394" t="s">
        <v>2309</v>
      </c>
      <c r="D2394" s="11">
        <v>3150000</v>
      </c>
      <c r="E2394" t="s">
        <v>2310</v>
      </c>
      <c r="F2394" t="s">
        <v>2311</v>
      </c>
      <c r="G2394" t="s">
        <v>1755</v>
      </c>
      <c r="H2394" t="str">
        <f>VLOOKUP(C2394,'[1]873'!$C$2:$C$711,1,0)</f>
        <v>980-2025</v>
      </c>
    </row>
    <row r="2395" spans="1:8" ht="15" customHeight="1" x14ac:dyDescent="0.25">
      <c r="A2395" s="2">
        <v>46003.412499999999</v>
      </c>
      <c r="B2395">
        <v>2025003299</v>
      </c>
      <c r="C2395" t="s">
        <v>2312</v>
      </c>
      <c r="D2395" s="11">
        <v>7800000</v>
      </c>
      <c r="E2395" t="s">
        <v>2313</v>
      </c>
      <c r="F2395" t="s">
        <v>2314</v>
      </c>
      <c r="G2395" t="s">
        <v>1755</v>
      </c>
      <c r="H2395" t="str">
        <f>VLOOKUP(C2395,'[1]873'!$C$2:$C$711,1,0)</f>
        <v>955-2025</v>
      </c>
    </row>
    <row r="2396" spans="1:8" ht="15" customHeight="1" x14ac:dyDescent="0.25">
      <c r="A2396" s="2">
        <v>46003.432638888902</v>
      </c>
      <c r="B2396">
        <v>2025003300</v>
      </c>
      <c r="C2396" t="s">
        <v>2309</v>
      </c>
      <c r="D2396" s="11">
        <v>3150000</v>
      </c>
      <c r="E2396" t="s">
        <v>2310</v>
      </c>
      <c r="F2396" t="s">
        <v>2311</v>
      </c>
      <c r="G2396" t="s">
        <v>1755</v>
      </c>
      <c r="H2396" t="str">
        <f>VLOOKUP(C2396,'[1]873'!$C$2:$C$711,1,0)</f>
        <v>980-2025</v>
      </c>
    </row>
    <row r="2397" spans="1:8" ht="15" customHeight="1" x14ac:dyDescent="0.25">
      <c r="A2397" s="2">
        <v>46003.436111111099</v>
      </c>
      <c r="B2397">
        <v>2025003301</v>
      </c>
      <c r="C2397" t="s">
        <v>2091</v>
      </c>
      <c r="D2397" s="11">
        <v>3150000</v>
      </c>
      <c r="E2397" t="s">
        <v>2092</v>
      </c>
      <c r="F2397" t="s">
        <v>2093</v>
      </c>
      <c r="G2397" t="s">
        <v>1755</v>
      </c>
      <c r="H2397" t="str">
        <f>VLOOKUP(C2397,'[1]873'!$C$2:$C$711,1,0)</f>
        <v>1063-2025</v>
      </c>
    </row>
    <row r="2398" spans="1:8" ht="15" customHeight="1" x14ac:dyDescent="0.25">
      <c r="A2398" s="2">
        <v>46003.438194444403</v>
      </c>
      <c r="B2398">
        <v>2025003302</v>
      </c>
      <c r="C2398" t="s">
        <v>1763</v>
      </c>
      <c r="D2398" s="11">
        <v>4730000</v>
      </c>
      <c r="E2398" t="s">
        <v>2064</v>
      </c>
      <c r="F2398" t="s">
        <v>267</v>
      </c>
      <c r="G2398" t="s">
        <v>1755</v>
      </c>
      <c r="H2398" t="str">
        <f>VLOOKUP(C2398,'[1]873'!$C$2:$C$711,1,0)</f>
        <v>714-2025</v>
      </c>
    </row>
    <row r="2399" spans="1:8" ht="15" customHeight="1" x14ac:dyDescent="0.25">
      <c r="A2399" s="2">
        <v>46003.438194444403</v>
      </c>
      <c r="B2399">
        <v>2025003303</v>
      </c>
      <c r="C2399" s="35" t="s">
        <v>1270</v>
      </c>
      <c r="D2399" s="11">
        <v>4825000</v>
      </c>
      <c r="E2399">
        <v>36751052</v>
      </c>
      <c r="F2399" t="s">
        <v>1271</v>
      </c>
      <c r="G2399" t="s">
        <v>1094</v>
      </c>
      <c r="H2399" t="e">
        <f>VLOOKUP(C2399,'[1]873'!$C$2:$C$711,1,0)</f>
        <v>#N/A</v>
      </c>
    </row>
    <row r="2400" spans="1:8" ht="15" customHeight="1" x14ac:dyDescent="0.25">
      <c r="A2400" s="2">
        <v>46003.596527777801</v>
      </c>
      <c r="B2400">
        <v>2025003304</v>
      </c>
      <c r="C2400" t="s">
        <v>1764</v>
      </c>
      <c r="D2400" s="11">
        <v>150342500</v>
      </c>
      <c r="E2400" t="s">
        <v>1598</v>
      </c>
      <c r="F2400" t="s">
        <v>269</v>
      </c>
      <c r="G2400" t="s">
        <v>1755</v>
      </c>
      <c r="H2400" t="str">
        <f>VLOOKUP(C2400,'[1]873'!$C$2:$C$711,1,0)</f>
        <v>696-2025</v>
      </c>
    </row>
    <row r="2401" spans="1:8" ht="15" customHeight="1" x14ac:dyDescent="0.25">
      <c r="A2401" s="2">
        <v>46003.597916666702</v>
      </c>
      <c r="B2401">
        <v>2025003305</v>
      </c>
      <c r="C2401" t="s">
        <v>2200</v>
      </c>
      <c r="D2401" s="11">
        <v>2000000</v>
      </c>
      <c r="E2401" t="s">
        <v>2201</v>
      </c>
      <c r="F2401" t="s">
        <v>2202</v>
      </c>
      <c r="G2401" t="s">
        <v>1755</v>
      </c>
      <c r="H2401" t="str">
        <f>VLOOKUP(C2401,'[1]873'!$C$2:$C$711,1,0)</f>
        <v>1004-2025</v>
      </c>
    </row>
    <row r="2402" spans="1:8" ht="15" customHeight="1" x14ac:dyDescent="0.25">
      <c r="A2402" s="2">
        <v>46003.6</v>
      </c>
      <c r="B2402">
        <v>2025003306</v>
      </c>
      <c r="C2402" t="s">
        <v>2161</v>
      </c>
      <c r="D2402" s="11">
        <v>3150000</v>
      </c>
      <c r="E2402" t="s">
        <v>2162</v>
      </c>
      <c r="F2402" t="s">
        <v>2163</v>
      </c>
      <c r="G2402" t="s">
        <v>1755</v>
      </c>
      <c r="H2402" t="str">
        <f>VLOOKUP(C2402,'[1]873'!$C$2:$C$711,1,0)</f>
        <v>1065-2025</v>
      </c>
    </row>
    <row r="2403" spans="1:8" ht="15" customHeight="1" x14ac:dyDescent="0.25">
      <c r="A2403" s="2">
        <v>46003.6027777778</v>
      </c>
      <c r="B2403">
        <v>2025003308</v>
      </c>
      <c r="C2403" t="s">
        <v>1795</v>
      </c>
      <c r="D2403" s="11">
        <v>6300000</v>
      </c>
      <c r="E2403" t="s">
        <v>1600</v>
      </c>
      <c r="F2403" t="s">
        <v>385</v>
      </c>
      <c r="G2403" t="s">
        <v>1755</v>
      </c>
      <c r="H2403" t="str">
        <f>VLOOKUP(C2403,'[1]873'!$C$2:$C$711,1,0)</f>
        <v>773-2025</v>
      </c>
    </row>
    <row r="2404" spans="1:8" ht="15" customHeight="1" x14ac:dyDescent="0.25">
      <c r="A2404" s="2">
        <v>46003.613194444399</v>
      </c>
      <c r="B2404">
        <v>2025003309</v>
      </c>
      <c r="C2404" t="s">
        <v>1754</v>
      </c>
      <c r="D2404" s="11">
        <v>3150000</v>
      </c>
      <c r="E2404" t="s">
        <v>2090</v>
      </c>
      <c r="F2404" t="s">
        <v>504</v>
      </c>
      <c r="G2404" t="s">
        <v>1755</v>
      </c>
      <c r="H2404" t="str">
        <f>VLOOKUP(C2404,'[1]873'!$C$2:$C$711,1,0)</f>
        <v>790-2025</v>
      </c>
    </row>
    <row r="2405" spans="1:8" ht="15" customHeight="1" x14ac:dyDescent="0.25">
      <c r="A2405" s="2">
        <v>46003.615277777797</v>
      </c>
      <c r="B2405">
        <v>2025003310</v>
      </c>
      <c r="C2405" t="s">
        <v>2315</v>
      </c>
      <c r="D2405" s="11">
        <v>2000000</v>
      </c>
      <c r="E2405" t="s">
        <v>2316</v>
      </c>
      <c r="F2405" t="s">
        <v>2317</v>
      </c>
      <c r="G2405" t="s">
        <v>1755</v>
      </c>
      <c r="H2405" t="str">
        <f>VLOOKUP(C2405,'[1]873'!$C$2:$C$711,1,0)</f>
        <v>1107-2025</v>
      </c>
    </row>
    <row r="2406" spans="1:8" ht="15" customHeight="1" x14ac:dyDescent="0.25">
      <c r="A2406" s="2">
        <v>46003.618750000001</v>
      </c>
      <c r="B2406">
        <v>2025003311</v>
      </c>
      <c r="C2406" t="s">
        <v>2318</v>
      </c>
      <c r="D2406" s="11">
        <v>3150000</v>
      </c>
      <c r="E2406" t="s">
        <v>1624</v>
      </c>
      <c r="F2406" t="s">
        <v>11</v>
      </c>
      <c r="G2406" t="s">
        <v>1755</v>
      </c>
      <c r="H2406" t="str">
        <f>VLOOKUP(C2406,'[1]873'!$C$2:$C$711,1,0)</f>
        <v>1167-2025</v>
      </c>
    </row>
    <row r="2407" spans="1:8" ht="15" customHeight="1" x14ac:dyDescent="0.25">
      <c r="A2407" s="2">
        <v>46003.622222222199</v>
      </c>
      <c r="B2407">
        <v>2025003312</v>
      </c>
      <c r="C2407" t="s">
        <v>1943</v>
      </c>
      <c r="D2407" s="11">
        <v>3150000</v>
      </c>
      <c r="E2407" t="s">
        <v>1601</v>
      </c>
      <c r="F2407" t="s">
        <v>171</v>
      </c>
      <c r="G2407" t="s">
        <v>1755</v>
      </c>
      <c r="H2407" t="str">
        <f>VLOOKUP(C2407,'[1]873'!$C$2:$C$711,1,0)</f>
        <v>777-2025</v>
      </c>
    </row>
    <row r="2408" spans="1:8" ht="15" customHeight="1" x14ac:dyDescent="0.25">
      <c r="A2408" s="2">
        <v>46003.625694444403</v>
      </c>
      <c r="B2408">
        <v>2025003314</v>
      </c>
      <c r="C2408" t="s">
        <v>1792</v>
      </c>
      <c r="D2408" s="11">
        <v>3150000</v>
      </c>
      <c r="E2408" t="s">
        <v>1690</v>
      </c>
      <c r="F2408" t="s">
        <v>201</v>
      </c>
      <c r="G2408" t="s">
        <v>1755</v>
      </c>
      <c r="H2408" t="str">
        <f>VLOOKUP(C2408,'[1]873'!$C$2:$C$711,1,0)</f>
        <v>795-2025</v>
      </c>
    </row>
    <row r="2409" spans="1:8" ht="15" customHeight="1" x14ac:dyDescent="0.25">
      <c r="A2409" s="2">
        <v>46003.629166666702</v>
      </c>
      <c r="B2409">
        <v>2025003316</v>
      </c>
      <c r="C2409" t="s">
        <v>2155</v>
      </c>
      <c r="D2409" s="11">
        <v>7800000</v>
      </c>
      <c r="E2409" t="s">
        <v>2156</v>
      </c>
      <c r="F2409" t="s">
        <v>2157</v>
      </c>
      <c r="G2409" t="s">
        <v>1755</v>
      </c>
      <c r="H2409" t="str">
        <f>VLOOKUP(C2409,'[1]873'!$C$2:$C$711,1,0)</f>
        <v>1047-2025</v>
      </c>
    </row>
    <row r="2410" spans="1:8" ht="15" customHeight="1" x14ac:dyDescent="0.25">
      <c r="A2410" s="2">
        <v>46003.630555555603</v>
      </c>
      <c r="B2410">
        <v>2025003318</v>
      </c>
      <c r="C2410" t="s">
        <v>1868</v>
      </c>
      <c r="D2410" s="11">
        <v>3150000</v>
      </c>
      <c r="E2410" t="s">
        <v>1605</v>
      </c>
      <c r="F2410" t="s">
        <v>263</v>
      </c>
      <c r="G2410" t="s">
        <v>1755</v>
      </c>
      <c r="H2410" t="str">
        <f>VLOOKUP(C2410,'[1]873'!$C$2:$C$711,1,0)</f>
        <v>732-2025</v>
      </c>
    </row>
    <row r="2411" spans="1:8" ht="15" customHeight="1" x14ac:dyDescent="0.25">
      <c r="A2411" s="2">
        <v>46003.632638888899</v>
      </c>
      <c r="B2411">
        <v>2025003320</v>
      </c>
      <c r="C2411" t="s">
        <v>1857</v>
      </c>
      <c r="D2411" s="11">
        <v>3150000</v>
      </c>
      <c r="E2411" t="s">
        <v>1616</v>
      </c>
      <c r="F2411" t="s">
        <v>87</v>
      </c>
      <c r="G2411" t="s">
        <v>1755</v>
      </c>
      <c r="H2411" t="str">
        <f>VLOOKUP(C2411,'[1]873'!$C$2:$C$711,1,0)</f>
        <v>754-2025</v>
      </c>
    </row>
    <row r="2412" spans="1:8" ht="15" customHeight="1" x14ac:dyDescent="0.25">
      <c r="A2412" s="2">
        <v>46003.648611111101</v>
      </c>
      <c r="B2412">
        <v>2025003322</v>
      </c>
      <c r="C2412" t="s">
        <v>2319</v>
      </c>
      <c r="D2412" s="11">
        <v>1575000</v>
      </c>
      <c r="E2412" t="s">
        <v>1732</v>
      </c>
      <c r="F2412" t="s">
        <v>103</v>
      </c>
      <c r="G2412" t="s">
        <v>1755</v>
      </c>
      <c r="H2412" t="str">
        <f>VLOOKUP(C2412,'[1]873'!$C$2:$C$711,1,0)</f>
        <v>1067-2025</v>
      </c>
    </row>
    <row r="2413" spans="1:8" ht="15" customHeight="1" x14ac:dyDescent="0.25">
      <c r="A2413" s="2">
        <v>46003.652083333298</v>
      </c>
      <c r="B2413">
        <v>2025003323</v>
      </c>
      <c r="C2413" t="s">
        <v>2078</v>
      </c>
      <c r="D2413" s="11">
        <v>2000000</v>
      </c>
      <c r="E2413" t="s">
        <v>1699</v>
      </c>
      <c r="F2413" t="s">
        <v>1020</v>
      </c>
      <c r="G2413" t="s">
        <v>1755</v>
      </c>
      <c r="H2413" t="str">
        <f>VLOOKUP(C2413,'[1]873'!$C$2:$C$711,1,0)</f>
        <v>1003-2025</v>
      </c>
    </row>
    <row r="2414" spans="1:8" ht="15" customHeight="1" x14ac:dyDescent="0.25">
      <c r="A2414" s="2">
        <v>46003.654861111099</v>
      </c>
      <c r="B2414">
        <v>2025003324</v>
      </c>
      <c r="C2414" t="s">
        <v>2320</v>
      </c>
      <c r="D2414" s="11">
        <v>2000000</v>
      </c>
      <c r="E2414" t="s">
        <v>2321</v>
      </c>
      <c r="F2414" t="s">
        <v>2322</v>
      </c>
      <c r="G2414" t="s">
        <v>1755</v>
      </c>
      <c r="H2414" t="str">
        <f>VLOOKUP(C2414,'[1]873'!$C$2:$C$711,1,0)</f>
        <v>1009-2025</v>
      </c>
    </row>
    <row r="2415" spans="1:8" ht="15" customHeight="1" x14ac:dyDescent="0.25">
      <c r="A2415" s="2">
        <v>46003.65625</v>
      </c>
      <c r="B2415">
        <v>2025003325</v>
      </c>
      <c r="C2415" t="s">
        <v>1856</v>
      </c>
      <c r="D2415" s="11">
        <v>3150000</v>
      </c>
      <c r="E2415" t="s">
        <v>1660</v>
      </c>
      <c r="F2415" t="s">
        <v>1163</v>
      </c>
      <c r="G2415" t="s">
        <v>1755</v>
      </c>
      <c r="H2415" t="str">
        <f>VLOOKUP(C2415,'[1]873'!$C$2:$C$711,1,0)</f>
        <v>737-2025</v>
      </c>
    </row>
    <row r="2416" spans="1:8" ht="15" customHeight="1" x14ac:dyDescent="0.25">
      <c r="A2416" s="2">
        <v>46003.659027777801</v>
      </c>
      <c r="B2416">
        <v>2025003326</v>
      </c>
      <c r="C2416" t="s">
        <v>2323</v>
      </c>
      <c r="D2416" s="11">
        <v>2000000</v>
      </c>
      <c r="E2416" t="s">
        <v>2324</v>
      </c>
      <c r="F2416" t="s">
        <v>2325</v>
      </c>
      <c r="G2416" t="s">
        <v>1755</v>
      </c>
      <c r="H2416" t="str">
        <f>VLOOKUP(C2416,'[1]873'!$C$2:$C$711,1,0)</f>
        <v>1164-2025</v>
      </c>
    </row>
    <row r="2417" spans="1:8" ht="15" customHeight="1" x14ac:dyDescent="0.25">
      <c r="A2417" s="2">
        <v>46006</v>
      </c>
      <c r="B2417">
        <v>2025003339</v>
      </c>
      <c r="C2417" t="s">
        <v>2197</v>
      </c>
      <c r="D2417" s="11">
        <v>4730000</v>
      </c>
      <c r="E2417" t="s">
        <v>2198</v>
      </c>
      <c r="F2417" t="s">
        <v>2199</v>
      </c>
      <c r="G2417" t="s">
        <v>1755</v>
      </c>
      <c r="H2417" t="str">
        <f>VLOOKUP(C2417,'[1]873'!$C$2:$C$711,1,0)</f>
        <v>953-2025</v>
      </c>
    </row>
    <row r="2418" spans="1:8" ht="15" customHeight="1" x14ac:dyDescent="0.25">
      <c r="A2418" s="2">
        <v>46006</v>
      </c>
      <c r="B2418">
        <v>2025003340</v>
      </c>
      <c r="C2418" t="s">
        <v>1801</v>
      </c>
      <c r="D2418" s="11">
        <v>3150000</v>
      </c>
      <c r="E2418" t="s">
        <v>2083</v>
      </c>
      <c r="F2418" t="s">
        <v>1802</v>
      </c>
      <c r="G2418" t="s">
        <v>1755</v>
      </c>
      <c r="H2418" t="str">
        <f>VLOOKUP(C2418,'[1]873'!$C$2:$C$711,1,0)</f>
        <v>877-2025</v>
      </c>
    </row>
    <row r="2419" spans="1:8" ht="15" customHeight="1" x14ac:dyDescent="0.25">
      <c r="A2419" s="2">
        <v>46006</v>
      </c>
      <c r="B2419">
        <v>2025003341</v>
      </c>
      <c r="C2419" t="s">
        <v>2205</v>
      </c>
      <c r="D2419" s="11">
        <v>3150000</v>
      </c>
      <c r="E2419" t="s">
        <v>2206</v>
      </c>
      <c r="F2419" t="s">
        <v>2207</v>
      </c>
      <c r="G2419" t="s">
        <v>1755</v>
      </c>
      <c r="H2419" t="str">
        <f>VLOOKUP(C2419,'[1]873'!$C$2:$C$711,1,0)</f>
        <v>982-2025</v>
      </c>
    </row>
    <row r="2420" spans="1:8" ht="15" customHeight="1" x14ac:dyDescent="0.25">
      <c r="A2420" s="2">
        <v>46006</v>
      </c>
      <c r="B2420">
        <v>2025003342</v>
      </c>
      <c r="C2420" t="s">
        <v>2244</v>
      </c>
      <c r="D2420" s="11">
        <v>2000000</v>
      </c>
      <c r="E2420" t="s">
        <v>2245</v>
      </c>
      <c r="F2420" t="s">
        <v>2246</v>
      </c>
      <c r="G2420" t="s">
        <v>1755</v>
      </c>
      <c r="H2420" t="str">
        <f>VLOOKUP(C2420,'[1]873'!$C$2:$C$711,1,0)</f>
        <v>1034-2025</v>
      </c>
    </row>
    <row r="2421" spans="1:8" ht="15" customHeight="1" x14ac:dyDescent="0.25">
      <c r="A2421" s="2">
        <v>46006</v>
      </c>
      <c r="B2421">
        <v>2025003343</v>
      </c>
      <c r="C2421" t="s">
        <v>2326</v>
      </c>
      <c r="D2421" s="11">
        <v>3150000</v>
      </c>
      <c r="E2421" t="s">
        <v>2327</v>
      </c>
      <c r="F2421" t="s">
        <v>35</v>
      </c>
      <c r="G2421" t="s">
        <v>1755</v>
      </c>
      <c r="H2421" t="str">
        <f>VLOOKUP(C2421,'[1]873'!$C$2:$C$711,1,0)</f>
        <v>1150-2025</v>
      </c>
    </row>
    <row r="2422" spans="1:8" ht="15" customHeight="1" x14ac:dyDescent="0.25">
      <c r="A2422" s="2">
        <v>46006</v>
      </c>
      <c r="B2422">
        <v>2025003344</v>
      </c>
      <c r="C2422" t="s">
        <v>1794</v>
      </c>
      <c r="D2422" s="11">
        <v>3150000</v>
      </c>
      <c r="E2422" t="s">
        <v>1724</v>
      </c>
      <c r="F2422" t="s">
        <v>1235</v>
      </c>
      <c r="G2422" t="s">
        <v>1755</v>
      </c>
      <c r="H2422" t="str">
        <f>VLOOKUP(C2422,'[1]873'!$C$2:$C$711,1,0)</f>
        <v>827-2025</v>
      </c>
    </row>
    <row r="2423" spans="1:8" ht="15" customHeight="1" x14ac:dyDescent="0.25">
      <c r="A2423" s="2">
        <v>46006</v>
      </c>
      <c r="B2423">
        <v>2025003345</v>
      </c>
      <c r="C2423" t="s">
        <v>2238</v>
      </c>
      <c r="D2423" s="11">
        <v>6300000</v>
      </c>
      <c r="E2423" t="s">
        <v>2239</v>
      </c>
      <c r="F2423" t="s">
        <v>2240</v>
      </c>
      <c r="G2423" t="s">
        <v>1755</v>
      </c>
      <c r="H2423" t="str">
        <f>VLOOKUP(C2423,'[1]873'!$C$2:$C$711,1,0)</f>
        <v>951-2025</v>
      </c>
    </row>
    <row r="2424" spans="1:8" ht="15" customHeight="1" x14ac:dyDescent="0.25">
      <c r="A2424" s="2">
        <v>46006</v>
      </c>
      <c r="B2424">
        <v>2025003346</v>
      </c>
      <c r="C2424" t="s">
        <v>2328</v>
      </c>
      <c r="D2424" s="11">
        <v>6300000</v>
      </c>
      <c r="E2424" t="s">
        <v>2329</v>
      </c>
      <c r="F2424" t="s">
        <v>845</v>
      </c>
      <c r="G2424" t="s">
        <v>1755</v>
      </c>
      <c r="H2424" t="str">
        <f>VLOOKUP(C2424,'[1]873'!$C$2:$C$711,1,0)</f>
        <v>1112-2025</v>
      </c>
    </row>
    <row r="2425" spans="1:8" ht="15" customHeight="1" x14ac:dyDescent="0.25">
      <c r="A2425" s="2">
        <v>46006</v>
      </c>
      <c r="B2425">
        <v>2025003347</v>
      </c>
      <c r="C2425" t="s">
        <v>2330</v>
      </c>
      <c r="D2425" s="11">
        <v>3150000</v>
      </c>
      <c r="E2425" t="s">
        <v>2331</v>
      </c>
      <c r="F2425" t="s">
        <v>2332</v>
      </c>
      <c r="G2425" t="s">
        <v>1755</v>
      </c>
      <c r="H2425" t="str">
        <f>VLOOKUP(C2425,'[1]873'!$C$2:$C$711,1,0)</f>
        <v>1165-2025</v>
      </c>
    </row>
    <row r="2426" spans="1:8" ht="15" customHeight="1" x14ac:dyDescent="0.25">
      <c r="A2426" s="2">
        <v>46006</v>
      </c>
      <c r="B2426">
        <v>2025003348</v>
      </c>
      <c r="C2426" t="s">
        <v>2333</v>
      </c>
      <c r="D2426" s="11">
        <v>7800000</v>
      </c>
      <c r="E2426" t="s">
        <v>2334</v>
      </c>
      <c r="F2426" t="s">
        <v>2335</v>
      </c>
      <c r="G2426" t="s">
        <v>1755</v>
      </c>
      <c r="H2426" t="str">
        <f>VLOOKUP(C2426,'[1]873'!$C$2:$C$711,1,0)</f>
        <v>1140-2025</v>
      </c>
    </row>
    <row r="2427" spans="1:8" ht="15" customHeight="1" x14ac:dyDescent="0.25">
      <c r="A2427" s="2">
        <v>46006</v>
      </c>
      <c r="B2427">
        <v>2025003349</v>
      </c>
      <c r="C2427" t="s">
        <v>1901</v>
      </c>
      <c r="D2427" s="11">
        <v>4730000</v>
      </c>
      <c r="E2427" t="s">
        <v>2005</v>
      </c>
      <c r="F2427" t="s">
        <v>1902</v>
      </c>
      <c r="G2427" t="s">
        <v>1755</v>
      </c>
      <c r="H2427" t="str">
        <f>VLOOKUP(C2427,'[1]873'!$C$2:$C$711,1,0)</f>
        <v>860-2025</v>
      </c>
    </row>
    <row r="2428" spans="1:8" ht="15" customHeight="1" x14ac:dyDescent="0.25">
      <c r="A2428" s="2">
        <v>46006</v>
      </c>
      <c r="B2428">
        <v>2025003350</v>
      </c>
      <c r="C2428" t="s">
        <v>2208</v>
      </c>
      <c r="D2428" s="11">
        <v>7800000</v>
      </c>
      <c r="E2428" t="s">
        <v>2209</v>
      </c>
      <c r="F2428" t="s">
        <v>43</v>
      </c>
      <c r="G2428" t="s">
        <v>1755</v>
      </c>
      <c r="H2428" t="str">
        <f>VLOOKUP(C2428,'[1]873'!$C$2:$C$711,1,0)</f>
        <v>1040-2025</v>
      </c>
    </row>
    <row r="2429" spans="1:8" ht="15" customHeight="1" x14ac:dyDescent="0.25">
      <c r="A2429" s="2">
        <v>46006</v>
      </c>
      <c r="B2429">
        <v>2025003352</v>
      </c>
      <c r="C2429" t="s">
        <v>2195</v>
      </c>
      <c r="D2429" s="11">
        <v>3150000</v>
      </c>
      <c r="E2429" t="s">
        <v>2196</v>
      </c>
      <c r="F2429" t="s">
        <v>349</v>
      </c>
      <c r="G2429" t="s">
        <v>1755</v>
      </c>
      <c r="H2429" t="str">
        <f>VLOOKUP(C2429,'[1]873'!$C$2:$C$711,1,0)</f>
        <v>1055-2025</v>
      </c>
    </row>
    <row r="2430" spans="1:8" ht="15" customHeight="1" x14ac:dyDescent="0.25">
      <c r="A2430" s="2">
        <v>46006</v>
      </c>
      <c r="B2430">
        <v>2025003353</v>
      </c>
      <c r="C2430" t="s">
        <v>2140</v>
      </c>
      <c r="D2430" s="11">
        <v>2000000</v>
      </c>
      <c r="E2430" t="s">
        <v>2141</v>
      </c>
      <c r="F2430" t="s">
        <v>2142</v>
      </c>
      <c r="G2430" t="s">
        <v>1755</v>
      </c>
      <c r="H2430" t="str">
        <f>VLOOKUP(C2430,'[1]873'!$C$2:$C$711,1,0)</f>
        <v>1025-2025</v>
      </c>
    </row>
    <row r="2431" spans="1:8" ht="15" customHeight="1" x14ac:dyDescent="0.25">
      <c r="A2431" s="2">
        <v>46006</v>
      </c>
      <c r="B2431">
        <v>2025003355</v>
      </c>
      <c r="C2431" t="s">
        <v>2241</v>
      </c>
      <c r="D2431" s="11">
        <v>3150000</v>
      </c>
      <c r="E2431" t="s">
        <v>2242</v>
      </c>
      <c r="F2431" t="s">
        <v>2243</v>
      </c>
      <c r="G2431" t="s">
        <v>1755</v>
      </c>
      <c r="H2431" t="str">
        <f>VLOOKUP(C2431,'[1]873'!$C$2:$C$711,1,0)</f>
        <v>1050-2025</v>
      </c>
    </row>
    <row r="2432" spans="1:8" ht="15" customHeight="1" x14ac:dyDescent="0.25">
      <c r="A2432" s="2">
        <v>46006</v>
      </c>
      <c r="B2432">
        <v>2025003356</v>
      </c>
      <c r="C2432" t="s">
        <v>2158</v>
      </c>
      <c r="D2432" s="11">
        <v>3150000</v>
      </c>
      <c r="E2432" t="s">
        <v>2159</v>
      </c>
      <c r="F2432" t="s">
        <v>2160</v>
      </c>
      <c r="G2432" t="s">
        <v>1755</v>
      </c>
      <c r="H2432" t="str">
        <f>VLOOKUP(C2432,'[1]873'!$C$2:$C$711,1,0)</f>
        <v>1048-2025</v>
      </c>
    </row>
    <row r="2433" spans="1:8" ht="15" customHeight="1" x14ac:dyDescent="0.25">
      <c r="A2433" s="2">
        <v>46006</v>
      </c>
      <c r="B2433">
        <v>2025003357</v>
      </c>
      <c r="C2433" t="s">
        <v>2084</v>
      </c>
      <c r="D2433" s="11">
        <v>2000000</v>
      </c>
      <c r="E2433" t="s">
        <v>2085</v>
      </c>
      <c r="F2433" t="s">
        <v>2086</v>
      </c>
      <c r="G2433" t="s">
        <v>1755</v>
      </c>
      <c r="H2433" t="str">
        <f>VLOOKUP(C2433,'[1]873'!$C$2:$C$711,1,0)</f>
        <v>1028-2025</v>
      </c>
    </row>
    <row r="2434" spans="1:8" ht="15" customHeight="1" x14ac:dyDescent="0.25">
      <c r="A2434" s="2">
        <v>46006</v>
      </c>
      <c r="B2434">
        <v>2025003358</v>
      </c>
      <c r="C2434" t="s">
        <v>2149</v>
      </c>
      <c r="D2434" s="11">
        <v>6300000</v>
      </c>
      <c r="E2434" t="s">
        <v>2150</v>
      </c>
      <c r="F2434" t="s">
        <v>2151</v>
      </c>
      <c r="G2434" t="s">
        <v>1755</v>
      </c>
      <c r="H2434" t="str">
        <f>VLOOKUP(C2434,'[1]873'!$C$2:$C$711,1,0)</f>
        <v>1058-2025</v>
      </c>
    </row>
    <row r="2435" spans="1:8" ht="15" customHeight="1" x14ac:dyDescent="0.25">
      <c r="A2435" s="2">
        <v>46006</v>
      </c>
      <c r="B2435">
        <v>2025003359</v>
      </c>
      <c r="C2435" t="s">
        <v>1858</v>
      </c>
      <c r="D2435" s="11">
        <v>4730000</v>
      </c>
      <c r="E2435" t="s">
        <v>2077</v>
      </c>
      <c r="F2435" t="s">
        <v>1859</v>
      </c>
      <c r="G2435" t="s">
        <v>1755</v>
      </c>
      <c r="H2435" t="str">
        <f>VLOOKUP(C2435,'[1]873'!$C$2:$C$711,1,0)</f>
        <v>838-2025</v>
      </c>
    </row>
    <row r="2436" spans="1:8" ht="15" customHeight="1" x14ac:dyDescent="0.25">
      <c r="A2436" s="2">
        <v>46006</v>
      </c>
      <c r="B2436">
        <v>2025003361</v>
      </c>
      <c r="C2436" t="s">
        <v>1793</v>
      </c>
      <c r="D2436" s="11">
        <v>3150000</v>
      </c>
      <c r="E2436" t="s">
        <v>2079</v>
      </c>
      <c r="F2436" t="s">
        <v>963</v>
      </c>
      <c r="G2436" t="s">
        <v>1755</v>
      </c>
      <c r="H2436" t="str">
        <f>VLOOKUP(C2436,'[1]873'!$C$2:$C$711,1,0)</f>
        <v>804-2025</v>
      </c>
    </row>
    <row r="2437" spans="1:8" ht="15" customHeight="1" x14ac:dyDescent="0.25">
      <c r="A2437" s="2">
        <v>46007</v>
      </c>
      <c r="B2437">
        <v>2025003387</v>
      </c>
      <c r="C2437" t="s">
        <v>1906</v>
      </c>
      <c r="D2437" s="11">
        <v>3150000</v>
      </c>
      <c r="E2437" t="s">
        <v>2134</v>
      </c>
      <c r="F2437" t="s">
        <v>107</v>
      </c>
      <c r="G2437" t="s">
        <v>1755</v>
      </c>
      <c r="H2437" t="str">
        <f>VLOOKUP(C2437,'[1]873'!$C$2:$C$711,1,0)</f>
        <v>797-2025</v>
      </c>
    </row>
    <row r="2438" spans="1:8" ht="15" customHeight="1" x14ac:dyDescent="0.25">
      <c r="A2438" s="2">
        <v>46007</v>
      </c>
      <c r="B2438">
        <v>2025003388</v>
      </c>
      <c r="C2438" t="s">
        <v>1912</v>
      </c>
      <c r="D2438" s="11">
        <v>3150000</v>
      </c>
      <c r="E2438" t="s">
        <v>1691</v>
      </c>
      <c r="F2438" t="s">
        <v>1202</v>
      </c>
      <c r="G2438" t="s">
        <v>1755</v>
      </c>
      <c r="H2438" t="str">
        <f>VLOOKUP(C2438,'[1]873'!$C$2:$C$711,1,0)</f>
        <v>837-2025</v>
      </c>
    </row>
    <row r="2439" spans="1:8" ht="15" customHeight="1" x14ac:dyDescent="0.25">
      <c r="A2439" s="2">
        <v>46007</v>
      </c>
      <c r="B2439">
        <v>2025003389</v>
      </c>
      <c r="C2439" t="s">
        <v>1981</v>
      </c>
      <c r="D2439" s="11">
        <v>6300000</v>
      </c>
      <c r="E2439" t="s">
        <v>1629</v>
      </c>
      <c r="F2439" t="s">
        <v>1131</v>
      </c>
      <c r="G2439" t="s">
        <v>1755</v>
      </c>
      <c r="H2439" t="str">
        <f>VLOOKUP(C2439,'[1]873'!$C$2:$C$711,1,0)</f>
        <v>760-2025</v>
      </c>
    </row>
    <row r="2440" spans="1:8" ht="15" customHeight="1" x14ac:dyDescent="0.25">
      <c r="A2440" s="2">
        <v>46007</v>
      </c>
      <c r="B2440">
        <v>2025003390</v>
      </c>
      <c r="C2440" t="s">
        <v>1969</v>
      </c>
      <c r="D2440" s="11">
        <v>7800000</v>
      </c>
      <c r="E2440" t="s">
        <v>2222</v>
      </c>
      <c r="F2440" t="s">
        <v>1970</v>
      </c>
      <c r="G2440" t="s">
        <v>1755</v>
      </c>
      <c r="H2440" t="str">
        <f>VLOOKUP(C2440,'[1]873'!$C$2:$C$711,1,0)</f>
        <v>927-2025</v>
      </c>
    </row>
    <row r="2441" spans="1:8" ht="15" customHeight="1" x14ac:dyDescent="0.25">
      <c r="A2441" s="2">
        <v>46007</v>
      </c>
      <c r="B2441">
        <v>2025003391</v>
      </c>
      <c r="C2441" t="s">
        <v>1905</v>
      </c>
      <c r="D2441" s="11">
        <v>7800000</v>
      </c>
      <c r="E2441" t="s">
        <v>1619</v>
      </c>
      <c r="F2441" t="s">
        <v>745</v>
      </c>
      <c r="G2441" t="s">
        <v>1755</v>
      </c>
      <c r="H2441" t="str">
        <f>VLOOKUP(C2441,'[1]873'!$C$2:$C$711,1,0)</f>
        <v>767-2025</v>
      </c>
    </row>
    <row r="2442" spans="1:8" ht="15" customHeight="1" x14ac:dyDescent="0.25">
      <c r="A2442" s="2">
        <v>46007</v>
      </c>
      <c r="B2442">
        <v>2025003392</v>
      </c>
      <c r="C2442" t="s">
        <v>2178</v>
      </c>
      <c r="D2442" s="11">
        <v>4730000</v>
      </c>
      <c r="E2442" t="s">
        <v>2179</v>
      </c>
      <c r="F2442" t="s">
        <v>513</v>
      </c>
      <c r="G2442" t="s">
        <v>1755</v>
      </c>
      <c r="H2442" t="str">
        <f>VLOOKUP(C2442,'[1]873'!$C$2:$C$711,1,0)</f>
        <v>948-2025</v>
      </c>
    </row>
    <row r="2443" spans="1:8" ht="15" customHeight="1" x14ac:dyDescent="0.25">
      <c r="A2443" s="2">
        <v>46007</v>
      </c>
      <c r="B2443">
        <v>2025003393</v>
      </c>
      <c r="C2443" t="s">
        <v>2126</v>
      </c>
      <c r="D2443" s="11">
        <v>2000000</v>
      </c>
      <c r="E2443" t="s">
        <v>2127</v>
      </c>
      <c r="F2443" t="s">
        <v>2128</v>
      </c>
      <c r="G2443" t="s">
        <v>1755</v>
      </c>
      <c r="H2443" t="str">
        <f>VLOOKUP(C2443,'[1]873'!$C$2:$C$711,1,0)</f>
        <v>1030-2025</v>
      </c>
    </row>
    <row r="2444" spans="1:8" ht="15" customHeight="1" x14ac:dyDescent="0.25">
      <c r="A2444" s="2">
        <v>46007</v>
      </c>
      <c r="B2444">
        <v>2025003394</v>
      </c>
      <c r="C2444" t="s">
        <v>2135</v>
      </c>
      <c r="D2444" s="11">
        <v>2000000</v>
      </c>
      <c r="E2444" t="s">
        <v>2136</v>
      </c>
      <c r="F2444" t="s">
        <v>2137</v>
      </c>
      <c r="G2444" t="s">
        <v>1755</v>
      </c>
      <c r="H2444" t="str">
        <f>VLOOKUP(C2444,'[1]873'!$C$2:$C$711,1,0)</f>
        <v>1020-2025</v>
      </c>
    </row>
    <row r="2445" spans="1:8" ht="15" customHeight="1" x14ac:dyDescent="0.25">
      <c r="A2445" s="2">
        <v>46007</v>
      </c>
      <c r="B2445">
        <v>2025003395</v>
      </c>
      <c r="C2445" t="s">
        <v>1911</v>
      </c>
      <c r="D2445" s="11">
        <v>3150000</v>
      </c>
      <c r="E2445" t="s">
        <v>1648</v>
      </c>
      <c r="F2445" t="s">
        <v>251</v>
      </c>
      <c r="G2445" t="s">
        <v>1755</v>
      </c>
      <c r="H2445" t="str">
        <f>VLOOKUP(C2445,'[1]873'!$C$2:$C$711,1,0)</f>
        <v>802-2025</v>
      </c>
    </row>
    <row r="2446" spans="1:8" ht="15" customHeight="1" x14ac:dyDescent="0.25">
      <c r="A2446" s="2">
        <v>46007</v>
      </c>
      <c r="B2446">
        <v>2025003396</v>
      </c>
      <c r="C2446" t="s">
        <v>2001</v>
      </c>
      <c r="D2446" s="11">
        <v>4730000</v>
      </c>
      <c r="E2446" t="s">
        <v>2002</v>
      </c>
      <c r="F2446" t="s">
        <v>47</v>
      </c>
      <c r="G2446" t="s">
        <v>1755</v>
      </c>
      <c r="H2446" t="str">
        <f>VLOOKUP(C2446,'[1]873'!$C$2:$C$711,1,0)</f>
        <v>756-2025</v>
      </c>
    </row>
    <row r="2447" spans="1:8" ht="15" customHeight="1" x14ac:dyDescent="0.25">
      <c r="A2447" s="2">
        <v>46007</v>
      </c>
      <c r="B2447">
        <v>2025003397</v>
      </c>
      <c r="C2447" t="s">
        <v>2181</v>
      </c>
      <c r="D2447" s="11">
        <v>4730000</v>
      </c>
      <c r="E2447" t="s">
        <v>2182</v>
      </c>
      <c r="F2447" t="s">
        <v>2183</v>
      </c>
      <c r="G2447" t="s">
        <v>1755</v>
      </c>
      <c r="H2447" t="str">
        <f>VLOOKUP(C2447,'[1]873'!$C$2:$C$711,1,0)</f>
        <v>966-2025</v>
      </c>
    </row>
    <row r="2448" spans="1:8" ht="15" customHeight="1" x14ac:dyDescent="0.25">
      <c r="A2448" s="2">
        <v>46007</v>
      </c>
      <c r="B2448">
        <v>2025003398</v>
      </c>
      <c r="C2448" t="s">
        <v>2123</v>
      </c>
      <c r="D2448" s="11">
        <v>7800000</v>
      </c>
      <c r="E2448" t="s">
        <v>2124</v>
      </c>
      <c r="F2448" t="s">
        <v>2125</v>
      </c>
      <c r="G2448" t="s">
        <v>1755</v>
      </c>
      <c r="H2448" t="str">
        <f>VLOOKUP(C2448,'[1]873'!$C$2:$C$711,1,0)</f>
        <v>993-2025</v>
      </c>
    </row>
    <row r="2449" spans="1:8" ht="15" customHeight="1" x14ac:dyDescent="0.25">
      <c r="A2449" s="2">
        <v>46007</v>
      </c>
      <c r="B2449">
        <v>2025003399</v>
      </c>
      <c r="C2449" t="s">
        <v>2170</v>
      </c>
      <c r="D2449" s="11">
        <v>3150000</v>
      </c>
      <c r="E2449" t="s">
        <v>2171</v>
      </c>
      <c r="F2449" t="s">
        <v>2172</v>
      </c>
      <c r="G2449" t="s">
        <v>1755</v>
      </c>
      <c r="H2449" t="str">
        <f>VLOOKUP(C2449,'[1]873'!$C$2:$C$711,1,0)</f>
        <v>959-2025</v>
      </c>
    </row>
    <row r="2450" spans="1:8" ht="15" customHeight="1" x14ac:dyDescent="0.25">
      <c r="A2450" s="2">
        <v>46007</v>
      </c>
      <c r="B2450">
        <v>2025003400</v>
      </c>
      <c r="C2450" t="s">
        <v>2336</v>
      </c>
      <c r="D2450" s="11">
        <v>7800000</v>
      </c>
      <c r="E2450" t="s">
        <v>2337</v>
      </c>
      <c r="F2450" t="s">
        <v>2338</v>
      </c>
      <c r="G2450" t="s">
        <v>1755</v>
      </c>
      <c r="H2450" t="str">
        <f>VLOOKUP(C2450,'[1]873'!$C$2:$C$711,1,0)</f>
        <v>1151-2025</v>
      </c>
    </row>
    <row r="2451" spans="1:8" ht="15" customHeight="1" x14ac:dyDescent="0.25">
      <c r="A2451" s="2">
        <v>46007</v>
      </c>
      <c r="B2451">
        <v>2025003401</v>
      </c>
      <c r="C2451" t="s">
        <v>2129</v>
      </c>
      <c r="D2451" s="11">
        <v>3150000</v>
      </c>
      <c r="E2451" t="s">
        <v>2130</v>
      </c>
      <c r="F2451" t="s">
        <v>1056</v>
      </c>
      <c r="G2451" t="s">
        <v>1755</v>
      </c>
      <c r="H2451" t="str">
        <f>VLOOKUP(C2451,'[1]873'!$C$2:$C$711,1,0)</f>
        <v>934-2025</v>
      </c>
    </row>
    <row r="2452" spans="1:8" ht="15" customHeight="1" x14ac:dyDescent="0.25">
      <c r="A2452" s="2">
        <v>46007</v>
      </c>
      <c r="B2452">
        <v>2025003402</v>
      </c>
      <c r="C2452" t="s">
        <v>2339</v>
      </c>
      <c r="D2452" s="11">
        <v>3150000</v>
      </c>
      <c r="E2452" t="s">
        <v>1726</v>
      </c>
      <c r="F2452" t="s">
        <v>1242</v>
      </c>
      <c r="G2452" t="s">
        <v>1755</v>
      </c>
      <c r="H2452" t="str">
        <f>VLOOKUP(C2452,'[1]873'!$C$2:$C$711,1,0)</f>
        <v>1099-2025</v>
      </c>
    </row>
    <row r="2453" spans="1:8" ht="15" customHeight="1" x14ac:dyDescent="0.25">
      <c r="A2453" s="2">
        <v>46007</v>
      </c>
      <c r="B2453">
        <v>2025003403</v>
      </c>
      <c r="C2453" t="s">
        <v>1979</v>
      </c>
      <c r="D2453" s="11">
        <v>4730000</v>
      </c>
      <c r="E2453" t="s">
        <v>1644</v>
      </c>
      <c r="F2453" t="s">
        <v>571</v>
      </c>
      <c r="G2453" t="s">
        <v>1755</v>
      </c>
      <c r="H2453" t="str">
        <f>VLOOKUP(C2453,'[1]873'!$C$2:$C$711,1,0)</f>
        <v>769-2025</v>
      </c>
    </row>
    <row r="2454" spans="1:8" ht="15" customHeight="1" x14ac:dyDescent="0.25">
      <c r="A2454" s="2">
        <v>46007</v>
      </c>
      <c r="B2454">
        <v>2025003404</v>
      </c>
      <c r="C2454" t="s">
        <v>1789</v>
      </c>
      <c r="D2454" s="11">
        <v>6300000</v>
      </c>
      <c r="E2454" t="s">
        <v>1683</v>
      </c>
      <c r="F2454" t="s">
        <v>1192</v>
      </c>
      <c r="G2454" t="s">
        <v>1755</v>
      </c>
      <c r="H2454" t="str">
        <f>VLOOKUP(C2454,'[1]873'!$C$2:$C$711,1,0)</f>
        <v>865-2025</v>
      </c>
    </row>
    <row r="2455" spans="1:8" ht="15" customHeight="1" x14ac:dyDescent="0.25">
      <c r="A2455" s="2">
        <v>46007</v>
      </c>
      <c r="B2455">
        <v>2025003405</v>
      </c>
      <c r="C2455" t="s">
        <v>1790</v>
      </c>
      <c r="D2455" s="11">
        <v>6300000</v>
      </c>
      <c r="E2455" t="s">
        <v>2210</v>
      </c>
      <c r="F2455" t="s">
        <v>337</v>
      </c>
      <c r="G2455" t="s">
        <v>1755</v>
      </c>
      <c r="H2455" t="str">
        <f>VLOOKUP(C2455,'[1]873'!$C$2:$C$711,1,0)</f>
        <v>781-2025</v>
      </c>
    </row>
    <row r="2456" spans="1:8" ht="15" customHeight="1" x14ac:dyDescent="0.25">
      <c r="A2456" s="2">
        <v>46007</v>
      </c>
      <c r="B2456">
        <v>2025003406</v>
      </c>
      <c r="C2456" t="s">
        <v>2340</v>
      </c>
      <c r="D2456" s="11">
        <v>3150000</v>
      </c>
      <c r="E2456" t="s">
        <v>1736</v>
      </c>
      <c r="F2456" t="s">
        <v>467</v>
      </c>
      <c r="G2456" t="s">
        <v>1755</v>
      </c>
      <c r="H2456" t="str">
        <f>VLOOKUP(C2456,'[1]873'!$C$2:$C$711,1,0)</f>
        <v>1124-2025</v>
      </c>
    </row>
    <row r="2457" spans="1:8" ht="15" customHeight="1" x14ac:dyDescent="0.25">
      <c r="A2457" s="2">
        <v>46007</v>
      </c>
      <c r="B2457">
        <v>2025003407</v>
      </c>
      <c r="C2457" t="s">
        <v>2235</v>
      </c>
      <c r="D2457" s="11">
        <v>2000000</v>
      </c>
      <c r="E2457" t="s">
        <v>2236</v>
      </c>
      <c r="F2457" t="s">
        <v>2237</v>
      </c>
      <c r="G2457" t="s">
        <v>1755</v>
      </c>
      <c r="H2457" t="str">
        <f>VLOOKUP(C2457,'[1]873'!$C$2:$C$711,1,0)</f>
        <v>1022-2025</v>
      </c>
    </row>
    <row r="2458" spans="1:8" ht="15" customHeight="1" x14ac:dyDescent="0.25">
      <c r="A2458" s="2">
        <v>46007</v>
      </c>
      <c r="B2458">
        <v>2025003408</v>
      </c>
      <c r="C2458" s="4" t="s">
        <v>1787</v>
      </c>
      <c r="D2458" s="11">
        <v>3150000</v>
      </c>
      <c r="E2458" t="s">
        <v>1730</v>
      </c>
      <c r="F2458" t="s">
        <v>37</v>
      </c>
      <c r="G2458" t="s">
        <v>1755</v>
      </c>
      <c r="H2458" t="str">
        <f>VLOOKUP(C2458,'[1]873'!$C$2:$C$711,1,0)</f>
        <v>895-2025</v>
      </c>
    </row>
    <row r="2459" spans="1:8" ht="15" customHeight="1" x14ac:dyDescent="0.25">
      <c r="A2459" s="2">
        <v>46007</v>
      </c>
      <c r="B2459">
        <v>2025003409</v>
      </c>
      <c r="C2459" t="s">
        <v>2122</v>
      </c>
      <c r="D2459" s="11">
        <v>2000000</v>
      </c>
      <c r="E2459" t="s">
        <v>1642</v>
      </c>
      <c r="F2459" t="s">
        <v>51</v>
      </c>
      <c r="G2459" t="s">
        <v>1755</v>
      </c>
      <c r="H2459" t="str">
        <f>VLOOKUP(C2459,'[1]873'!$C$2:$C$711,1,0)</f>
        <v>1000-2025</v>
      </c>
    </row>
    <row r="2460" spans="1:8" ht="15" customHeight="1" x14ac:dyDescent="0.25">
      <c r="A2460" s="2">
        <v>46007</v>
      </c>
      <c r="B2460">
        <v>2025003410</v>
      </c>
      <c r="C2460" t="s">
        <v>1971</v>
      </c>
      <c r="D2460" s="11">
        <v>3150000</v>
      </c>
      <c r="E2460" t="s">
        <v>2167</v>
      </c>
      <c r="F2460" t="s">
        <v>701</v>
      </c>
      <c r="G2460" t="s">
        <v>1755</v>
      </c>
      <c r="H2460" t="str">
        <f>VLOOKUP(C2460,'[1]873'!$C$2:$C$711,1,0)</f>
        <v>901-2025</v>
      </c>
    </row>
    <row r="2461" spans="1:8" ht="15" customHeight="1" x14ac:dyDescent="0.25">
      <c r="A2461" s="2">
        <v>46007</v>
      </c>
      <c r="B2461">
        <v>2025003411</v>
      </c>
      <c r="C2461" t="s">
        <v>2173</v>
      </c>
      <c r="D2461" s="11">
        <v>4730000</v>
      </c>
      <c r="E2461" t="s">
        <v>2174</v>
      </c>
      <c r="F2461" t="s">
        <v>2175</v>
      </c>
      <c r="G2461" t="s">
        <v>1755</v>
      </c>
      <c r="H2461" t="str">
        <f>VLOOKUP(C2461,'[1]873'!$C$2:$C$711,1,0)</f>
        <v>968-2025</v>
      </c>
    </row>
    <row r="2462" spans="1:8" ht="15" customHeight="1" x14ac:dyDescent="0.25">
      <c r="A2462" s="2">
        <v>46007</v>
      </c>
      <c r="B2462">
        <v>2025003412</v>
      </c>
      <c r="C2462" t="s">
        <v>2203</v>
      </c>
      <c r="D2462" s="11">
        <v>3150000</v>
      </c>
      <c r="E2462" t="s">
        <v>2204</v>
      </c>
      <c r="F2462" t="s">
        <v>215</v>
      </c>
      <c r="G2462" t="s">
        <v>1755</v>
      </c>
      <c r="H2462" t="str">
        <f>VLOOKUP(C2462,'[1]873'!$C$2:$C$711,1,0)</f>
        <v>1064-2025</v>
      </c>
    </row>
    <row r="2463" spans="1:8" ht="15" customHeight="1" x14ac:dyDescent="0.25">
      <c r="A2463" s="2">
        <v>46007</v>
      </c>
      <c r="B2463">
        <v>2025003413</v>
      </c>
      <c r="C2463" t="s">
        <v>2341</v>
      </c>
      <c r="D2463" s="11">
        <v>3150000</v>
      </c>
      <c r="E2463" t="s">
        <v>2342</v>
      </c>
      <c r="F2463" t="s">
        <v>499</v>
      </c>
      <c r="G2463" t="s">
        <v>1755</v>
      </c>
      <c r="H2463" t="str">
        <f>VLOOKUP(C2463,'[1]873'!$C$2:$C$711,1,0)</f>
        <v>1095-2025</v>
      </c>
    </row>
    <row r="2464" spans="1:8" ht="15" customHeight="1" x14ac:dyDescent="0.25">
      <c r="A2464" s="2">
        <v>46007</v>
      </c>
      <c r="B2464">
        <v>2025003414</v>
      </c>
      <c r="C2464" t="s">
        <v>1976</v>
      </c>
      <c r="D2464" s="11">
        <v>3150000</v>
      </c>
      <c r="E2464" t="s">
        <v>1604</v>
      </c>
      <c r="F2464" t="s">
        <v>1110</v>
      </c>
      <c r="G2464" t="s">
        <v>1755</v>
      </c>
      <c r="H2464" t="str">
        <f>VLOOKUP(C2464,'[1]873'!$C$2:$C$711,1,0)</f>
        <v>903-2025</v>
      </c>
    </row>
    <row r="2465" spans="1:8" ht="15" customHeight="1" x14ac:dyDescent="0.25">
      <c r="A2465" s="2">
        <v>46007</v>
      </c>
      <c r="B2465">
        <v>2025003415</v>
      </c>
      <c r="C2465" t="s">
        <v>2343</v>
      </c>
      <c r="D2465" s="11">
        <v>1575000</v>
      </c>
      <c r="E2465" t="s">
        <v>2344</v>
      </c>
      <c r="F2465" t="s">
        <v>197</v>
      </c>
      <c r="G2465" t="s">
        <v>1755</v>
      </c>
      <c r="H2465" t="str">
        <f>VLOOKUP(C2465,'[1]873'!$C$2:$C$711,1,0)</f>
        <v>1185-2025</v>
      </c>
    </row>
    <row r="2466" spans="1:8" ht="15" customHeight="1" x14ac:dyDescent="0.25">
      <c r="A2466" s="2">
        <v>46007</v>
      </c>
      <c r="B2466">
        <v>2025003416</v>
      </c>
      <c r="C2466" t="s">
        <v>1908</v>
      </c>
      <c r="D2466" s="11">
        <v>7800000</v>
      </c>
      <c r="E2466" t="s">
        <v>1675</v>
      </c>
      <c r="F2466" t="s">
        <v>163</v>
      </c>
      <c r="G2466" t="s">
        <v>1755</v>
      </c>
      <c r="H2466" t="str">
        <f>VLOOKUP(C2466,'[1]873'!$C$2:$C$711,1,0)</f>
        <v>706-2025</v>
      </c>
    </row>
    <row r="2467" spans="1:8" ht="15" customHeight="1" x14ac:dyDescent="0.25">
      <c r="A2467" s="2">
        <v>46007</v>
      </c>
      <c r="B2467">
        <v>2025003417</v>
      </c>
      <c r="C2467" t="s">
        <v>2345</v>
      </c>
      <c r="D2467" s="11">
        <v>3150000</v>
      </c>
      <c r="E2467" t="s">
        <v>2346</v>
      </c>
      <c r="F2467" t="s">
        <v>2347</v>
      </c>
      <c r="G2467" t="s">
        <v>1755</v>
      </c>
      <c r="H2467" t="str">
        <f>VLOOKUP(C2467,'[1]873'!$C$2:$C$711,1,0)</f>
        <v>1143-2025</v>
      </c>
    </row>
    <row r="2468" spans="1:8" ht="15" customHeight="1" x14ac:dyDescent="0.25">
      <c r="A2468" s="2">
        <v>46007</v>
      </c>
      <c r="B2468">
        <v>2025003418</v>
      </c>
      <c r="C2468" t="s">
        <v>2223</v>
      </c>
      <c r="D2468" s="11">
        <v>2000000</v>
      </c>
      <c r="E2468" t="s">
        <v>2224</v>
      </c>
      <c r="F2468" t="s">
        <v>2225</v>
      </c>
      <c r="G2468" t="s">
        <v>1755</v>
      </c>
      <c r="H2468" t="str">
        <f>VLOOKUP(C2468,'[1]873'!$C$2:$C$711,1,0)</f>
        <v>1033-2025</v>
      </c>
    </row>
    <row r="2469" spans="1:8" ht="15" customHeight="1" x14ac:dyDescent="0.25">
      <c r="A2469" s="2">
        <v>46007</v>
      </c>
      <c r="B2469">
        <v>2025003419</v>
      </c>
      <c r="C2469" t="s">
        <v>2348</v>
      </c>
      <c r="D2469" s="11">
        <v>3150000</v>
      </c>
      <c r="E2469" t="s">
        <v>2349</v>
      </c>
      <c r="F2469" t="s">
        <v>2350</v>
      </c>
      <c r="G2469" t="s">
        <v>1755</v>
      </c>
      <c r="H2469" t="str">
        <f>VLOOKUP(C2469,'[1]873'!$C$2:$C$711,1,0)</f>
        <v>1086-2025</v>
      </c>
    </row>
    <row r="2470" spans="1:8" ht="15" customHeight="1" x14ac:dyDescent="0.25">
      <c r="A2470" s="2">
        <v>46007</v>
      </c>
      <c r="B2470">
        <v>2025003420</v>
      </c>
      <c r="C2470" t="s">
        <v>1783</v>
      </c>
      <c r="D2470" s="11">
        <v>6300000</v>
      </c>
      <c r="E2470" t="s">
        <v>1685</v>
      </c>
      <c r="F2470" t="s">
        <v>2351</v>
      </c>
      <c r="G2470" t="s">
        <v>1755</v>
      </c>
      <c r="H2470" t="str">
        <f>VLOOKUP(C2470,'[1]873'!$C$2:$C$711,1,0)</f>
        <v>789-2025</v>
      </c>
    </row>
    <row r="2471" spans="1:8" ht="15" customHeight="1" x14ac:dyDescent="0.25">
      <c r="A2471" s="2">
        <v>46007</v>
      </c>
      <c r="B2471">
        <v>2025003421</v>
      </c>
      <c r="C2471" t="s">
        <v>1974</v>
      </c>
      <c r="D2471" s="11">
        <v>3150000</v>
      </c>
      <c r="E2471" t="s">
        <v>2133</v>
      </c>
      <c r="F2471" t="s">
        <v>1975</v>
      </c>
      <c r="G2471" t="s">
        <v>1755</v>
      </c>
      <c r="H2471" t="str">
        <f>VLOOKUP(C2471,'[1]873'!$C$2:$C$711,1,0)</f>
        <v>923-2025</v>
      </c>
    </row>
    <row r="2472" spans="1:8" ht="15" customHeight="1" x14ac:dyDescent="0.25">
      <c r="A2472" s="2">
        <v>46007</v>
      </c>
      <c r="B2472">
        <v>2025003422</v>
      </c>
      <c r="C2472" t="s">
        <v>1978</v>
      </c>
      <c r="D2472" s="11">
        <v>2240000</v>
      </c>
      <c r="E2472" t="s">
        <v>1665</v>
      </c>
      <c r="F2472" t="s">
        <v>453</v>
      </c>
      <c r="G2472" t="s">
        <v>1755</v>
      </c>
      <c r="H2472" t="str">
        <f>VLOOKUP(C2472,'[1]873'!$C$2:$C$711,1,0)</f>
        <v>751-2025</v>
      </c>
    </row>
    <row r="2473" spans="1:8" ht="15" customHeight="1" x14ac:dyDescent="0.25">
      <c r="A2473" s="2">
        <v>46007</v>
      </c>
      <c r="B2473">
        <v>2025003423</v>
      </c>
      <c r="C2473" t="s">
        <v>1780</v>
      </c>
      <c r="D2473" s="11">
        <v>3150000</v>
      </c>
      <c r="E2473" t="s">
        <v>1631</v>
      </c>
      <c r="F2473" t="s">
        <v>183</v>
      </c>
      <c r="G2473" t="s">
        <v>1755</v>
      </c>
      <c r="H2473" t="str">
        <f>VLOOKUP(C2473,'[1]873'!$C$2:$C$711,1,0)</f>
        <v>765-2025</v>
      </c>
    </row>
    <row r="2474" spans="1:8" ht="15" customHeight="1" x14ac:dyDescent="0.25">
      <c r="A2474" s="2">
        <v>46007</v>
      </c>
      <c r="B2474">
        <v>2025003425</v>
      </c>
      <c r="C2474" t="s">
        <v>2352</v>
      </c>
      <c r="D2474" s="11">
        <v>3150000</v>
      </c>
      <c r="E2474" t="s">
        <v>1744</v>
      </c>
      <c r="F2474" t="s">
        <v>297</v>
      </c>
      <c r="G2474" t="s">
        <v>1755</v>
      </c>
      <c r="H2474" t="str">
        <f>VLOOKUP(C2474,'[1]873'!$C$2:$C$711,1,0)</f>
        <v>1106-2025</v>
      </c>
    </row>
    <row r="2475" spans="1:8" ht="15" customHeight="1" x14ac:dyDescent="0.25">
      <c r="A2475" s="2">
        <v>46007</v>
      </c>
      <c r="B2475">
        <v>2025003437</v>
      </c>
      <c r="C2475" t="s">
        <v>2353</v>
      </c>
      <c r="D2475" s="11">
        <v>3150000</v>
      </c>
      <c r="E2475" t="s">
        <v>1698</v>
      </c>
      <c r="F2475" t="s">
        <v>115</v>
      </c>
      <c r="G2475" t="s">
        <v>1755</v>
      </c>
      <c r="H2475" t="str">
        <f>VLOOKUP(C2475,'[1]873'!$C$2:$C$711,1,0)</f>
        <v>1097-2025</v>
      </c>
    </row>
    <row r="2476" spans="1:8" ht="15" customHeight="1" x14ac:dyDescent="0.25">
      <c r="A2476" s="2">
        <v>46007</v>
      </c>
      <c r="B2476">
        <v>2025003442</v>
      </c>
      <c r="C2476" t="s">
        <v>1800</v>
      </c>
      <c r="D2476" s="11">
        <v>3150000</v>
      </c>
      <c r="E2476" t="s">
        <v>1667</v>
      </c>
      <c r="F2476" t="s">
        <v>555</v>
      </c>
      <c r="G2476" t="s">
        <v>1755</v>
      </c>
      <c r="H2476" t="str">
        <f>VLOOKUP(C2476,'[1]873'!$C$2:$C$711,1,0)</f>
        <v>849-2025</v>
      </c>
    </row>
    <row r="2477" spans="1:8" ht="15" customHeight="1" x14ac:dyDescent="0.25">
      <c r="A2477" s="2">
        <v>46008</v>
      </c>
      <c r="B2477">
        <v>2025003446</v>
      </c>
      <c r="C2477" t="s">
        <v>1977</v>
      </c>
      <c r="D2477" s="11">
        <v>3150000</v>
      </c>
      <c r="E2477" t="s">
        <v>1612</v>
      </c>
      <c r="F2477" t="s">
        <v>562</v>
      </c>
      <c r="G2477" t="s">
        <v>1755</v>
      </c>
      <c r="H2477" t="str">
        <f>VLOOKUP(C2477,'[1]873'!$C$2:$C$711,1,0)</f>
        <v>907-2025</v>
      </c>
    </row>
    <row r="2478" spans="1:8" ht="15" customHeight="1" x14ac:dyDescent="0.25">
      <c r="A2478" s="2">
        <v>46008</v>
      </c>
      <c r="B2478">
        <v>2025003447</v>
      </c>
      <c r="C2478" t="s">
        <v>2354</v>
      </c>
      <c r="D2478" s="11">
        <v>7800000</v>
      </c>
      <c r="E2478" t="s">
        <v>2355</v>
      </c>
      <c r="F2478" t="s">
        <v>2356</v>
      </c>
      <c r="G2478" t="s">
        <v>1755</v>
      </c>
      <c r="H2478" t="str">
        <f>VLOOKUP(C2478,'[1]873'!$C$2:$C$711,1,0)</f>
        <v>1122-2025</v>
      </c>
    </row>
    <row r="2479" spans="1:8" ht="15" customHeight="1" x14ac:dyDescent="0.25">
      <c r="A2479" s="2">
        <v>46008</v>
      </c>
      <c r="B2479">
        <v>2025003449</v>
      </c>
      <c r="C2479" t="s">
        <v>2357</v>
      </c>
      <c r="D2479" s="11">
        <v>3150000</v>
      </c>
      <c r="E2479" t="s">
        <v>2358</v>
      </c>
      <c r="F2479" t="s">
        <v>2359</v>
      </c>
      <c r="G2479" t="s">
        <v>1755</v>
      </c>
      <c r="H2479" t="str">
        <f>VLOOKUP(C2479,'[1]873'!$C$2:$C$711,1,0)</f>
        <v>1142-2025</v>
      </c>
    </row>
    <row r="2480" spans="1:8" ht="15" customHeight="1" x14ac:dyDescent="0.25">
      <c r="A2480" s="2">
        <v>46008</v>
      </c>
      <c r="B2480">
        <v>2025003450</v>
      </c>
      <c r="C2480" t="s">
        <v>1938</v>
      </c>
      <c r="D2480" s="11">
        <v>6300000</v>
      </c>
      <c r="E2480" t="s">
        <v>2060</v>
      </c>
      <c r="F2480" t="s">
        <v>1939</v>
      </c>
      <c r="G2480" t="s">
        <v>1755</v>
      </c>
      <c r="H2480" t="str">
        <f>VLOOKUP(C2480,'[1]873'!$C$2:$C$711,1,0)</f>
        <v>898-2025</v>
      </c>
    </row>
    <row r="2481" spans="1:8" ht="15" customHeight="1" x14ac:dyDescent="0.25">
      <c r="A2481" s="2">
        <v>46008</v>
      </c>
      <c r="B2481">
        <v>2025003451</v>
      </c>
      <c r="C2481" t="s">
        <v>1904</v>
      </c>
      <c r="D2481" s="11">
        <v>6300000</v>
      </c>
      <c r="E2481" t="s">
        <v>2138</v>
      </c>
      <c r="F2481" t="s">
        <v>1084</v>
      </c>
      <c r="G2481" t="s">
        <v>1755</v>
      </c>
      <c r="H2481" t="str">
        <f>VLOOKUP(C2481,'[1]873'!$C$2:$C$711,1,0)</f>
        <v>763-2025</v>
      </c>
    </row>
    <row r="2482" spans="1:8" ht="15" customHeight="1" x14ac:dyDescent="0.25">
      <c r="A2482" s="2">
        <v>46008</v>
      </c>
      <c r="B2482">
        <v>2025003452</v>
      </c>
      <c r="C2482" t="s">
        <v>2360</v>
      </c>
      <c r="D2482" s="11">
        <v>7800000</v>
      </c>
      <c r="E2482" t="s">
        <v>2361</v>
      </c>
      <c r="F2482" t="s">
        <v>2362</v>
      </c>
      <c r="G2482" t="s">
        <v>1755</v>
      </c>
      <c r="H2482" t="str">
        <f>VLOOKUP(C2482,'[1]873'!$C$2:$C$711,1,0)</f>
        <v>1115-2025</v>
      </c>
    </row>
    <row r="2483" spans="1:8" ht="15" customHeight="1" x14ac:dyDescent="0.25">
      <c r="A2483" s="2">
        <v>46008</v>
      </c>
      <c r="B2483">
        <v>2025003453</v>
      </c>
      <c r="C2483" t="s">
        <v>2363</v>
      </c>
      <c r="D2483" s="11">
        <v>2000000</v>
      </c>
      <c r="E2483" t="s">
        <v>1734</v>
      </c>
      <c r="F2483" t="s">
        <v>283</v>
      </c>
      <c r="G2483" t="s">
        <v>1755</v>
      </c>
      <c r="H2483" t="str">
        <f>VLOOKUP(C2483,'[1]873'!$C$2:$C$711,1,0)</f>
        <v>1133-2025</v>
      </c>
    </row>
    <row r="2484" spans="1:8" ht="15" customHeight="1" x14ac:dyDescent="0.25">
      <c r="A2484" s="2">
        <v>46008</v>
      </c>
      <c r="B2484">
        <v>2025003454</v>
      </c>
      <c r="C2484" t="s">
        <v>2229</v>
      </c>
      <c r="D2484" s="11">
        <v>2000000</v>
      </c>
      <c r="E2484" t="s">
        <v>2230</v>
      </c>
      <c r="F2484" t="s">
        <v>2231</v>
      </c>
      <c r="G2484" t="s">
        <v>1755</v>
      </c>
      <c r="H2484" t="str">
        <f>VLOOKUP(C2484,'[1]873'!$C$2:$C$711,1,0)</f>
        <v>1026-2025</v>
      </c>
    </row>
    <row r="2485" spans="1:8" ht="15" customHeight="1" x14ac:dyDescent="0.25">
      <c r="A2485" s="2">
        <v>46008</v>
      </c>
      <c r="B2485">
        <v>2025003455</v>
      </c>
      <c r="C2485" t="s">
        <v>2364</v>
      </c>
      <c r="D2485" s="11">
        <v>1050000</v>
      </c>
      <c r="E2485" t="s">
        <v>2365</v>
      </c>
      <c r="F2485" t="s">
        <v>496</v>
      </c>
      <c r="G2485" t="s">
        <v>1755</v>
      </c>
      <c r="H2485" t="str">
        <f>VLOOKUP(C2485,'[1]873'!$C$2:$C$711,1,0)</f>
        <v>1198-2025</v>
      </c>
    </row>
    <row r="2486" spans="1:8" ht="15" customHeight="1" x14ac:dyDescent="0.25">
      <c r="A2486" s="2">
        <v>46008</v>
      </c>
      <c r="B2486">
        <v>2025003456</v>
      </c>
      <c r="C2486" t="s">
        <v>1785</v>
      </c>
      <c r="D2486" s="11">
        <v>3150000</v>
      </c>
      <c r="E2486" t="s">
        <v>2131</v>
      </c>
      <c r="F2486" t="s">
        <v>595</v>
      </c>
      <c r="G2486" t="s">
        <v>1755</v>
      </c>
      <c r="H2486" t="str">
        <f>VLOOKUP(C2486,'[1]873'!$C$2:$C$711,1,0)</f>
        <v>821-2025</v>
      </c>
    </row>
    <row r="2487" spans="1:8" ht="15" customHeight="1" x14ac:dyDescent="0.25">
      <c r="A2487" s="2">
        <v>46008</v>
      </c>
      <c r="B2487">
        <v>2025003457</v>
      </c>
      <c r="C2487" t="s">
        <v>1781</v>
      </c>
      <c r="D2487" s="11">
        <v>3150000</v>
      </c>
      <c r="E2487" t="s">
        <v>2132</v>
      </c>
      <c r="F2487" t="s">
        <v>797</v>
      </c>
      <c r="G2487" t="s">
        <v>1755</v>
      </c>
      <c r="H2487" t="str">
        <f>VLOOKUP(C2487,'[1]873'!$C$2:$C$711,1,0)</f>
        <v>876-2025</v>
      </c>
    </row>
    <row r="2488" spans="1:8" ht="15" customHeight="1" x14ac:dyDescent="0.25">
      <c r="A2488" s="2">
        <v>46008</v>
      </c>
      <c r="B2488">
        <v>2025003458</v>
      </c>
      <c r="C2488" t="s">
        <v>2366</v>
      </c>
      <c r="D2488" s="11">
        <v>3150000</v>
      </c>
      <c r="E2488" t="s">
        <v>2367</v>
      </c>
      <c r="F2488" t="s">
        <v>2368</v>
      </c>
      <c r="G2488" t="s">
        <v>1755</v>
      </c>
      <c r="H2488" t="str">
        <f>VLOOKUP(C2488,'[1]873'!$C$2:$C$711,1,0)</f>
        <v>1114-2025</v>
      </c>
    </row>
    <row r="2489" spans="1:8" ht="15" customHeight="1" x14ac:dyDescent="0.25">
      <c r="A2489" s="2">
        <v>46008</v>
      </c>
      <c r="B2489">
        <v>2025003459</v>
      </c>
      <c r="C2489" t="s">
        <v>2369</v>
      </c>
      <c r="D2489" s="11">
        <v>2000000</v>
      </c>
      <c r="E2489" t="s">
        <v>2370</v>
      </c>
      <c r="F2489" t="s">
        <v>976</v>
      </c>
      <c r="G2489" t="s">
        <v>1755</v>
      </c>
      <c r="H2489" t="str">
        <f>VLOOKUP(C2489,'[1]873'!$C$2:$C$711,1,0)</f>
        <v>1104-2025</v>
      </c>
    </row>
    <row r="2490" spans="1:8" ht="15" customHeight="1" x14ac:dyDescent="0.25">
      <c r="A2490" s="2">
        <v>46008</v>
      </c>
      <c r="B2490">
        <v>2025003460</v>
      </c>
      <c r="C2490" t="s">
        <v>2371</v>
      </c>
      <c r="D2490" s="11">
        <v>3150000</v>
      </c>
      <c r="E2490" t="s">
        <v>2372</v>
      </c>
      <c r="F2490" t="s">
        <v>779</v>
      </c>
      <c r="G2490" t="s">
        <v>1755</v>
      </c>
      <c r="H2490" t="str">
        <f>VLOOKUP(C2490,'[1]873'!$C$2:$C$711,1,0)</f>
        <v>1155-2025</v>
      </c>
    </row>
    <row r="2491" spans="1:8" ht="15" customHeight="1" x14ac:dyDescent="0.25">
      <c r="A2491" s="2">
        <v>46008</v>
      </c>
      <c r="B2491">
        <v>2025003461</v>
      </c>
      <c r="C2491" t="s">
        <v>2373</v>
      </c>
      <c r="D2491" s="11">
        <v>1050000</v>
      </c>
      <c r="E2491" t="s">
        <v>2374</v>
      </c>
      <c r="F2491" t="s">
        <v>2375</v>
      </c>
      <c r="G2491" t="s">
        <v>1755</v>
      </c>
      <c r="H2491" t="str">
        <f>VLOOKUP(C2491,'[1]873'!$C$2:$C$711,1,0)</f>
        <v>1197-2025</v>
      </c>
    </row>
    <row r="2492" spans="1:8" ht="15" customHeight="1" x14ac:dyDescent="0.25">
      <c r="A2492" s="2">
        <v>46008</v>
      </c>
      <c r="B2492">
        <v>2025003462</v>
      </c>
      <c r="C2492" t="s">
        <v>2176</v>
      </c>
      <c r="D2492" s="11">
        <v>4730000</v>
      </c>
      <c r="E2492" t="s">
        <v>2177</v>
      </c>
      <c r="F2492" t="s">
        <v>155</v>
      </c>
      <c r="G2492" t="s">
        <v>1755</v>
      </c>
      <c r="H2492" t="str">
        <f>VLOOKUP(C2492,'[1]873'!$C$2:$C$711,1,0)</f>
        <v>970-2025</v>
      </c>
    </row>
    <row r="2493" spans="1:8" ht="15" customHeight="1" x14ac:dyDescent="0.25">
      <c r="A2493" s="2">
        <v>46008</v>
      </c>
      <c r="B2493">
        <v>2025003463</v>
      </c>
      <c r="C2493" t="s">
        <v>2376</v>
      </c>
      <c r="D2493" s="11">
        <v>3150000</v>
      </c>
      <c r="E2493" t="s">
        <v>2377</v>
      </c>
      <c r="F2493" t="s">
        <v>1269</v>
      </c>
      <c r="G2493" t="s">
        <v>1755</v>
      </c>
      <c r="H2493" t="str">
        <f>VLOOKUP(C2493,'[1]873'!$C$2:$C$711,1,0)</f>
        <v>1125-2025</v>
      </c>
    </row>
    <row r="2494" spans="1:8" ht="15" customHeight="1" x14ac:dyDescent="0.25">
      <c r="A2494" s="2">
        <v>46008</v>
      </c>
      <c r="B2494">
        <v>2025003464</v>
      </c>
      <c r="C2494" t="s">
        <v>2232</v>
      </c>
      <c r="D2494" s="11">
        <v>2000000</v>
      </c>
      <c r="E2494" t="s">
        <v>2233</v>
      </c>
      <c r="F2494" t="s">
        <v>2234</v>
      </c>
      <c r="G2494" t="s">
        <v>1755</v>
      </c>
      <c r="H2494" t="str">
        <f>VLOOKUP(C2494,'[1]873'!$C$2:$C$711,1,0)</f>
        <v>1015-2025</v>
      </c>
    </row>
    <row r="2495" spans="1:8" ht="15" customHeight="1" x14ac:dyDescent="0.25">
      <c r="A2495" s="2">
        <v>46008</v>
      </c>
      <c r="B2495">
        <v>2025003465</v>
      </c>
      <c r="C2495" t="s">
        <v>1910</v>
      </c>
      <c r="D2495" s="11">
        <v>4730000</v>
      </c>
      <c r="E2495" t="s">
        <v>1610</v>
      </c>
      <c r="F2495" t="s">
        <v>493</v>
      </c>
      <c r="G2495" t="s">
        <v>1755</v>
      </c>
      <c r="H2495" t="str">
        <f>VLOOKUP(C2495,'[1]873'!$C$2:$C$711,1,0)</f>
        <v>764-2025</v>
      </c>
    </row>
    <row r="2496" spans="1:8" ht="15" customHeight="1" x14ac:dyDescent="0.25">
      <c r="A2496" s="2">
        <v>46008</v>
      </c>
      <c r="B2496">
        <v>2025003466</v>
      </c>
      <c r="C2496" t="s">
        <v>1980</v>
      </c>
      <c r="D2496" s="11">
        <v>4730000</v>
      </c>
      <c r="E2496" t="s">
        <v>1589</v>
      </c>
      <c r="F2496" t="s">
        <v>249</v>
      </c>
      <c r="G2496" t="s">
        <v>1755</v>
      </c>
      <c r="H2496" t="str">
        <f>VLOOKUP(C2496,'[1]873'!$C$2:$C$711,1,0)</f>
        <v>731-2025</v>
      </c>
    </row>
    <row r="2497" spans="1:8" ht="15" customHeight="1" x14ac:dyDescent="0.25">
      <c r="A2497" s="2">
        <v>46008</v>
      </c>
      <c r="B2497">
        <v>2025003467</v>
      </c>
      <c r="C2497" t="s">
        <v>2165</v>
      </c>
      <c r="D2497" s="11">
        <v>3150000</v>
      </c>
      <c r="E2497" t="s">
        <v>2166</v>
      </c>
      <c r="F2497" t="s">
        <v>567</v>
      </c>
      <c r="G2497" t="s">
        <v>1755</v>
      </c>
      <c r="H2497" t="str">
        <f>VLOOKUP(C2497,'[1]873'!$C$2:$C$711,1,0)</f>
        <v>947-2025</v>
      </c>
    </row>
    <row r="2498" spans="1:8" ht="15" customHeight="1" x14ac:dyDescent="0.25">
      <c r="A2498" s="2">
        <v>46008</v>
      </c>
      <c r="B2498">
        <v>2025003468</v>
      </c>
      <c r="C2498" t="s">
        <v>1972</v>
      </c>
      <c r="D2498" s="11">
        <v>3150000</v>
      </c>
      <c r="E2498" t="s">
        <v>2164</v>
      </c>
      <c r="F2498" t="s">
        <v>1973</v>
      </c>
      <c r="G2498" t="s">
        <v>1755</v>
      </c>
      <c r="H2498" t="str">
        <f>VLOOKUP(C2498,'[1]873'!$C$2:$C$711,1,0)</f>
        <v>919-2025</v>
      </c>
    </row>
    <row r="2499" spans="1:8" ht="15" customHeight="1" x14ac:dyDescent="0.25">
      <c r="A2499" s="2">
        <v>46008</v>
      </c>
      <c r="B2499">
        <v>2025003469</v>
      </c>
      <c r="C2499" t="s">
        <v>1782</v>
      </c>
      <c r="D2499" s="11">
        <v>7800000</v>
      </c>
      <c r="E2499" t="s">
        <v>2180</v>
      </c>
      <c r="F2499" t="s">
        <v>591</v>
      </c>
      <c r="G2499" t="s">
        <v>1755</v>
      </c>
      <c r="H2499" t="str">
        <f>VLOOKUP(C2499,'[1]873'!$C$2:$C$711,1,0)</f>
        <v>808-2025</v>
      </c>
    </row>
    <row r="2500" spans="1:8" ht="15" customHeight="1" x14ac:dyDescent="0.25">
      <c r="A2500" s="2">
        <v>46008</v>
      </c>
      <c r="B2500">
        <v>2025003470</v>
      </c>
      <c r="C2500" t="s">
        <v>1913</v>
      </c>
      <c r="D2500" s="11">
        <v>7800000</v>
      </c>
      <c r="E2500" t="s">
        <v>1750</v>
      </c>
      <c r="F2500" t="s">
        <v>1266</v>
      </c>
      <c r="G2500" t="s">
        <v>1755</v>
      </c>
      <c r="H2500" t="str">
        <f>VLOOKUP(C2500,'[1]873'!$C$2:$C$711,1,0)</f>
        <v>868-2025</v>
      </c>
    </row>
    <row r="2501" spans="1:8" ht="15" customHeight="1" x14ac:dyDescent="0.25">
      <c r="A2501" s="2">
        <v>46008</v>
      </c>
      <c r="B2501">
        <v>2025003471</v>
      </c>
      <c r="C2501" t="s">
        <v>1784</v>
      </c>
      <c r="D2501" s="11">
        <v>3150000</v>
      </c>
      <c r="E2501" t="s">
        <v>1650</v>
      </c>
      <c r="F2501" t="s">
        <v>277</v>
      </c>
      <c r="G2501" t="s">
        <v>1755</v>
      </c>
      <c r="H2501" t="str">
        <f>VLOOKUP(C2501,'[1]873'!$C$2:$C$711,1,0)</f>
        <v>812-2025</v>
      </c>
    </row>
    <row r="2502" spans="1:8" ht="15" customHeight="1" x14ac:dyDescent="0.25">
      <c r="A2502" s="2">
        <v>46008</v>
      </c>
      <c r="B2502">
        <v>2025003472</v>
      </c>
      <c r="C2502" t="s">
        <v>2378</v>
      </c>
      <c r="D2502" s="11">
        <v>3150000</v>
      </c>
      <c r="E2502" t="s">
        <v>2379</v>
      </c>
      <c r="F2502" t="s">
        <v>2380</v>
      </c>
      <c r="G2502" t="s">
        <v>1755</v>
      </c>
      <c r="H2502" t="str">
        <f>VLOOKUP(C2502,'[1]873'!$C$2:$C$711,1,0)</f>
        <v>1126-2025</v>
      </c>
    </row>
    <row r="2503" spans="1:8" ht="15" customHeight="1" x14ac:dyDescent="0.25">
      <c r="A2503" s="2">
        <v>46008</v>
      </c>
      <c r="B2503">
        <v>2025003473</v>
      </c>
      <c r="C2503" t="s">
        <v>2381</v>
      </c>
      <c r="D2503" s="11">
        <v>2000000</v>
      </c>
      <c r="E2503" t="s">
        <v>2382</v>
      </c>
      <c r="F2503" t="s">
        <v>2383</v>
      </c>
      <c r="G2503" t="s">
        <v>1755</v>
      </c>
      <c r="H2503" t="str">
        <f>VLOOKUP(C2503,'[1]873'!$C$2:$C$711,1,0)</f>
        <v>1149-2025</v>
      </c>
    </row>
    <row r="2504" spans="1:8" ht="15" customHeight="1" x14ac:dyDescent="0.25">
      <c r="A2504" s="2">
        <v>46008</v>
      </c>
      <c r="B2504">
        <v>2025003474</v>
      </c>
      <c r="C2504" t="s">
        <v>1909</v>
      </c>
      <c r="D2504" s="11">
        <v>6300000</v>
      </c>
      <c r="E2504" t="s">
        <v>1669</v>
      </c>
      <c r="F2504" t="s">
        <v>457</v>
      </c>
      <c r="G2504" t="s">
        <v>1755</v>
      </c>
      <c r="H2504" t="str">
        <f>VLOOKUP(C2504,'[1]873'!$C$2:$C$711,1,0)</f>
        <v>741-2025</v>
      </c>
    </row>
    <row r="2505" spans="1:8" ht="15" customHeight="1" x14ac:dyDescent="0.25">
      <c r="A2505" s="2">
        <v>46008</v>
      </c>
      <c r="B2505">
        <v>2025003475</v>
      </c>
      <c r="C2505" t="s">
        <v>2384</v>
      </c>
      <c r="D2505" s="11">
        <v>2000000</v>
      </c>
      <c r="E2505" t="s">
        <v>2385</v>
      </c>
      <c r="F2505" t="s">
        <v>2386</v>
      </c>
      <c r="G2505" t="s">
        <v>1755</v>
      </c>
      <c r="H2505" t="str">
        <f>VLOOKUP(C2505,'[1]873'!$C$2:$C$711,1,0)</f>
        <v>1113-2025</v>
      </c>
    </row>
    <row r="2506" spans="1:8" ht="15" customHeight="1" x14ac:dyDescent="0.25">
      <c r="A2506" s="2">
        <v>46008</v>
      </c>
      <c r="B2506">
        <v>2025003476</v>
      </c>
      <c r="C2506" t="s">
        <v>1786</v>
      </c>
      <c r="D2506" s="11">
        <v>3150000</v>
      </c>
      <c r="E2506" t="s">
        <v>1688</v>
      </c>
      <c r="F2506" t="s">
        <v>33</v>
      </c>
      <c r="G2506" t="s">
        <v>1755</v>
      </c>
      <c r="H2506" t="str">
        <f>VLOOKUP(C2506,'[1]873'!$C$2:$C$711,1,0)</f>
        <v>869-2025</v>
      </c>
    </row>
    <row r="2507" spans="1:8" ht="15" customHeight="1" x14ac:dyDescent="0.25">
      <c r="A2507" s="2">
        <v>46008</v>
      </c>
      <c r="B2507">
        <v>2025003477</v>
      </c>
      <c r="C2507" t="s">
        <v>2003</v>
      </c>
      <c r="D2507" s="11">
        <v>4730000</v>
      </c>
      <c r="E2507" t="s">
        <v>2004</v>
      </c>
      <c r="F2507" t="s">
        <v>127</v>
      </c>
      <c r="G2507" t="s">
        <v>1755</v>
      </c>
      <c r="H2507" t="str">
        <f>VLOOKUP(C2507,'[1]873'!$C$2:$C$711,1,0)</f>
        <v>739-2025</v>
      </c>
    </row>
    <row r="2508" spans="1:8" ht="15" customHeight="1" x14ac:dyDescent="0.25">
      <c r="A2508" s="2">
        <v>46008</v>
      </c>
      <c r="B2508">
        <v>2025003479</v>
      </c>
      <c r="C2508" t="s">
        <v>2387</v>
      </c>
      <c r="D2508" s="11">
        <v>1575000</v>
      </c>
      <c r="E2508" t="s">
        <v>2388</v>
      </c>
      <c r="F2508" t="s">
        <v>2389</v>
      </c>
      <c r="G2508" t="s">
        <v>1755</v>
      </c>
      <c r="H2508" t="str">
        <f>VLOOKUP(C2508,'[1]873'!$C$2:$C$711,1,0)</f>
        <v>1184-2025</v>
      </c>
    </row>
    <row r="2509" spans="1:8" ht="15" customHeight="1" x14ac:dyDescent="0.25">
      <c r="A2509" s="2">
        <v>46008</v>
      </c>
      <c r="B2509">
        <v>2025003483</v>
      </c>
      <c r="C2509" s="4" t="s">
        <v>2390</v>
      </c>
      <c r="D2509" s="11">
        <v>265680000</v>
      </c>
      <c r="E2509" t="s">
        <v>2391</v>
      </c>
      <c r="F2509" t="s">
        <v>2392</v>
      </c>
      <c r="G2509" t="s">
        <v>1755</v>
      </c>
      <c r="H2509" t="str">
        <f>VLOOKUP(C2509,'[1]873'!$C$2:$C$711,1,0)</f>
        <v>1016-2025</v>
      </c>
    </row>
    <row r="2510" spans="1:8" ht="15" customHeight="1" x14ac:dyDescent="0.25">
      <c r="A2510" s="2">
        <v>46008</v>
      </c>
      <c r="B2510">
        <v>2025003484</v>
      </c>
      <c r="C2510" t="s">
        <v>2393</v>
      </c>
      <c r="D2510" s="11">
        <v>144210000</v>
      </c>
      <c r="E2510" t="s">
        <v>2391</v>
      </c>
      <c r="F2510" t="s">
        <v>2392</v>
      </c>
      <c r="G2510" t="s">
        <v>1755</v>
      </c>
      <c r="H2510" t="str">
        <f>VLOOKUP(C2510,'[1]873'!$C$2:$C$711,1,0)</f>
        <v>1017-2025</v>
      </c>
    </row>
    <row r="2511" spans="1:8" ht="15" customHeight="1" x14ac:dyDescent="0.25">
      <c r="A2511" s="2">
        <v>46008</v>
      </c>
      <c r="B2511">
        <v>2025003485</v>
      </c>
      <c r="C2511" t="s">
        <v>2296</v>
      </c>
      <c r="D2511" s="11">
        <v>6300000</v>
      </c>
      <c r="E2511" t="s">
        <v>2297</v>
      </c>
      <c r="F2511" t="s">
        <v>2298</v>
      </c>
      <c r="G2511" t="s">
        <v>1755</v>
      </c>
      <c r="H2511" t="str">
        <f>VLOOKUP(C2511,'[1]873'!$C$2:$C$711,1,0)</f>
        <v>931-2025</v>
      </c>
    </row>
    <row r="2512" spans="1:8" ht="15" customHeight="1" x14ac:dyDescent="0.25">
      <c r="A2512" s="2">
        <v>46008</v>
      </c>
      <c r="B2512">
        <v>2025003486</v>
      </c>
      <c r="C2512" t="s">
        <v>2299</v>
      </c>
      <c r="D2512" s="11">
        <v>3150000</v>
      </c>
      <c r="E2512" t="s">
        <v>2300</v>
      </c>
      <c r="F2512" t="s">
        <v>2301</v>
      </c>
      <c r="G2512" t="s">
        <v>1755</v>
      </c>
      <c r="H2512" t="str">
        <f>VLOOKUP(C2512,'[1]873'!$C$2:$C$711,1,0)</f>
        <v>939-2025</v>
      </c>
    </row>
    <row r="2513" spans="1:8" ht="15" customHeight="1" x14ac:dyDescent="0.25">
      <c r="A2513" s="2">
        <v>46008</v>
      </c>
      <c r="B2513">
        <v>2025003487</v>
      </c>
      <c r="C2513" t="s">
        <v>2261</v>
      </c>
      <c r="D2513" s="11">
        <v>2000000</v>
      </c>
      <c r="E2513" t="s">
        <v>2262</v>
      </c>
      <c r="F2513" t="s">
        <v>2263</v>
      </c>
      <c r="G2513" t="s">
        <v>1755</v>
      </c>
      <c r="H2513" t="str">
        <f>VLOOKUP(C2513,'[1]873'!$C$2:$C$711,1,0)</f>
        <v>1007-2025</v>
      </c>
    </row>
    <row r="2514" spans="1:8" ht="15" customHeight="1" x14ac:dyDescent="0.25">
      <c r="A2514" s="2">
        <v>46008</v>
      </c>
      <c r="B2514">
        <v>2025003490</v>
      </c>
      <c r="C2514" t="s">
        <v>2279</v>
      </c>
      <c r="D2514" s="11">
        <v>2000000</v>
      </c>
      <c r="E2514" t="s">
        <v>1693</v>
      </c>
      <c r="F2514" t="s">
        <v>307</v>
      </c>
      <c r="G2514" t="s">
        <v>1755</v>
      </c>
      <c r="H2514" t="str">
        <f>VLOOKUP(C2514,'[1]873'!$C$2:$C$711,1,0)</f>
        <v>1013-2025</v>
      </c>
    </row>
    <row r="2515" spans="1:8" ht="15" customHeight="1" x14ac:dyDescent="0.25">
      <c r="A2515" s="2">
        <v>46008</v>
      </c>
      <c r="B2515">
        <v>2025003491</v>
      </c>
      <c r="C2515" t="s">
        <v>2278</v>
      </c>
      <c r="D2515" s="11">
        <v>6300000</v>
      </c>
      <c r="E2515" t="s">
        <v>1721</v>
      </c>
      <c r="F2515" t="s">
        <v>31</v>
      </c>
      <c r="G2515" t="s">
        <v>1755</v>
      </c>
      <c r="H2515" t="str">
        <f>VLOOKUP(C2515,'[1]873'!$C$2:$C$711,1,0)</f>
        <v>949-2025</v>
      </c>
    </row>
    <row r="2516" spans="1:8" ht="15" customHeight="1" x14ac:dyDescent="0.25">
      <c r="A2516" s="2">
        <v>46008</v>
      </c>
      <c r="B2516">
        <v>2025003492</v>
      </c>
      <c r="C2516" t="s">
        <v>2275</v>
      </c>
      <c r="D2516" s="11">
        <v>4730000</v>
      </c>
      <c r="E2516" t="s">
        <v>2276</v>
      </c>
      <c r="F2516" t="s">
        <v>2277</v>
      </c>
      <c r="G2516" t="s">
        <v>1755</v>
      </c>
      <c r="H2516" t="str">
        <f>VLOOKUP(C2516,'[1]873'!$C$2:$C$711,1,0)</f>
        <v>987-2025</v>
      </c>
    </row>
    <row r="2517" spans="1:8" ht="15" customHeight="1" x14ac:dyDescent="0.25">
      <c r="A2517" s="2">
        <v>46008</v>
      </c>
      <c r="B2517">
        <v>2025003493</v>
      </c>
      <c r="C2517" t="s">
        <v>2394</v>
      </c>
      <c r="D2517" s="11">
        <v>3150000</v>
      </c>
      <c r="E2517" t="s">
        <v>2395</v>
      </c>
      <c r="F2517" t="s">
        <v>2396</v>
      </c>
      <c r="G2517" t="s">
        <v>1755</v>
      </c>
      <c r="H2517" t="str">
        <f>VLOOKUP(C2517,'[1]873'!$C$2:$C$711,1,0)</f>
        <v>1084-2025</v>
      </c>
    </row>
    <row r="2518" spans="1:8" ht="15" customHeight="1" x14ac:dyDescent="0.25">
      <c r="A2518" s="2">
        <v>46008</v>
      </c>
      <c r="B2518">
        <v>2025003494</v>
      </c>
      <c r="C2518" t="s">
        <v>2397</v>
      </c>
      <c r="D2518" s="11">
        <v>3150000</v>
      </c>
      <c r="E2518" t="s">
        <v>1717</v>
      </c>
      <c r="F2518" t="s">
        <v>886</v>
      </c>
      <c r="G2518" t="s">
        <v>1755</v>
      </c>
      <c r="H2518" t="str">
        <f>VLOOKUP(C2518,'[1]873'!$C$2:$C$711,1,0)</f>
        <v>1100-2025</v>
      </c>
    </row>
    <row r="2519" spans="1:8" ht="15" customHeight="1" x14ac:dyDescent="0.25">
      <c r="A2519" s="2">
        <v>46008</v>
      </c>
      <c r="B2519">
        <v>2025003495</v>
      </c>
      <c r="C2519" t="s">
        <v>2398</v>
      </c>
      <c r="D2519" s="11">
        <v>3150000</v>
      </c>
      <c r="E2519" t="s">
        <v>2399</v>
      </c>
      <c r="F2519" t="s">
        <v>2400</v>
      </c>
      <c r="G2519" t="s">
        <v>1755</v>
      </c>
      <c r="H2519" t="str">
        <f>VLOOKUP(C2519,'[1]873'!$C$2:$C$711,1,0)</f>
        <v>1119-2025</v>
      </c>
    </row>
    <row r="2520" spans="1:8" ht="15" customHeight="1" x14ac:dyDescent="0.25">
      <c r="A2520" s="2">
        <v>46008</v>
      </c>
      <c r="B2520">
        <v>2025003496</v>
      </c>
      <c r="C2520" t="s">
        <v>2401</v>
      </c>
      <c r="D2520" s="11">
        <v>3150000</v>
      </c>
      <c r="E2520" t="s">
        <v>1728</v>
      </c>
      <c r="F2520" t="s">
        <v>2402</v>
      </c>
      <c r="G2520" t="s">
        <v>1755</v>
      </c>
      <c r="H2520" t="str">
        <f>VLOOKUP(C2520,'[1]873'!$C$2:$C$711,1,0)</f>
        <v>1128-2025</v>
      </c>
    </row>
    <row r="2521" spans="1:8" ht="15" customHeight="1" x14ac:dyDescent="0.25">
      <c r="A2521" s="2">
        <v>46008</v>
      </c>
      <c r="B2521">
        <v>2025003497</v>
      </c>
      <c r="C2521" t="s">
        <v>2403</v>
      </c>
      <c r="D2521" s="11">
        <v>3150000</v>
      </c>
      <c r="E2521" t="s">
        <v>2404</v>
      </c>
      <c r="F2521" t="s">
        <v>2405</v>
      </c>
      <c r="G2521" t="s">
        <v>1755</v>
      </c>
      <c r="H2521" t="str">
        <f>VLOOKUP(C2521,'[1]873'!$C$2:$C$711,1,0)</f>
        <v>1139-2025</v>
      </c>
    </row>
    <row r="2522" spans="1:8" ht="15" customHeight="1" x14ac:dyDescent="0.25">
      <c r="A2522" s="2">
        <v>46008</v>
      </c>
      <c r="B2522">
        <v>2025003498</v>
      </c>
      <c r="C2522" t="s">
        <v>2080</v>
      </c>
      <c r="D2522" s="11">
        <v>6300000</v>
      </c>
      <c r="E2522" t="s">
        <v>2081</v>
      </c>
      <c r="F2522" t="s">
        <v>2082</v>
      </c>
      <c r="G2522" t="s">
        <v>1755</v>
      </c>
      <c r="H2522" t="str">
        <f>VLOOKUP(C2522,'[1]873'!$C$2:$C$711,1,0)</f>
        <v>1066-2025</v>
      </c>
    </row>
    <row r="2523" spans="1:8" ht="15" customHeight="1" x14ac:dyDescent="0.25">
      <c r="A2523" s="2">
        <v>46008</v>
      </c>
      <c r="B2523">
        <v>2025003500</v>
      </c>
      <c r="C2523" t="s">
        <v>1860</v>
      </c>
      <c r="D2523" s="11">
        <v>7800000</v>
      </c>
      <c r="E2523" t="s">
        <v>1602</v>
      </c>
      <c r="F2523" t="s">
        <v>69</v>
      </c>
      <c r="G2523" t="s">
        <v>1755</v>
      </c>
      <c r="H2523" t="str">
        <f>VLOOKUP(C2523,'[1]873'!$C$2:$C$711,1,0)</f>
        <v>807-2025</v>
      </c>
    </row>
    <row r="2524" spans="1:8" ht="15" customHeight="1" x14ac:dyDescent="0.25">
      <c r="A2524" s="2">
        <v>46008</v>
      </c>
      <c r="B2524">
        <v>2025003501</v>
      </c>
      <c r="C2524" t="s">
        <v>2139</v>
      </c>
      <c r="D2524" s="11">
        <v>6300000</v>
      </c>
      <c r="E2524" t="s">
        <v>1703</v>
      </c>
      <c r="F2524" t="s">
        <v>113</v>
      </c>
      <c r="G2524" t="s">
        <v>1755</v>
      </c>
      <c r="H2524" t="str">
        <f>VLOOKUP(C2524,'[1]873'!$C$2:$C$711,1,0)</f>
        <v>992-2025</v>
      </c>
    </row>
    <row r="2525" spans="1:8" ht="15" customHeight="1" x14ac:dyDescent="0.25">
      <c r="A2525" s="2">
        <v>46008</v>
      </c>
      <c r="B2525">
        <v>2025003502</v>
      </c>
      <c r="C2525" t="s">
        <v>2152</v>
      </c>
      <c r="D2525" s="11">
        <v>7800000</v>
      </c>
      <c r="E2525" t="s">
        <v>2153</v>
      </c>
      <c r="F2525" t="s">
        <v>2154</v>
      </c>
      <c r="G2525" t="s">
        <v>1755</v>
      </c>
      <c r="H2525" t="str">
        <f>VLOOKUP(C2525,'[1]873'!$C$2:$C$711,1,0)</f>
        <v>1053-2025</v>
      </c>
    </row>
    <row r="2526" spans="1:8" ht="15" customHeight="1" x14ac:dyDescent="0.25">
      <c r="A2526" s="2">
        <v>46008</v>
      </c>
      <c r="B2526">
        <v>2025003503</v>
      </c>
      <c r="C2526" t="s">
        <v>2406</v>
      </c>
      <c r="D2526" s="11">
        <v>3150000</v>
      </c>
      <c r="E2526" t="s">
        <v>1608</v>
      </c>
      <c r="F2526" t="s">
        <v>1114</v>
      </c>
      <c r="G2526" t="s">
        <v>1755</v>
      </c>
      <c r="H2526" t="str">
        <f>VLOOKUP(C2526,'[1]873'!$C$2:$C$711,1,0)</f>
        <v>1160-2025</v>
      </c>
    </row>
    <row r="2527" spans="1:8" ht="15" customHeight="1" x14ac:dyDescent="0.25">
      <c r="A2527" s="2">
        <v>46008</v>
      </c>
      <c r="B2527">
        <v>2025003504</v>
      </c>
      <c r="C2527" t="s">
        <v>2143</v>
      </c>
      <c r="D2527" s="11">
        <v>3150000</v>
      </c>
      <c r="E2527" t="s">
        <v>2144</v>
      </c>
      <c r="F2527" t="s">
        <v>2145</v>
      </c>
      <c r="G2527" t="s">
        <v>1755</v>
      </c>
      <c r="H2527" t="str">
        <f>VLOOKUP(C2527,'[1]873'!$C$2:$C$711,1,0)</f>
        <v>1061-2025</v>
      </c>
    </row>
    <row r="2528" spans="1:8" ht="15" customHeight="1" x14ac:dyDescent="0.25">
      <c r="A2528" s="2">
        <v>46008</v>
      </c>
      <c r="B2528">
        <v>2025003505</v>
      </c>
      <c r="C2528" t="s">
        <v>2407</v>
      </c>
      <c r="D2528" s="11">
        <v>3150000</v>
      </c>
      <c r="E2528" t="s">
        <v>2408</v>
      </c>
      <c r="F2528" t="s">
        <v>2409</v>
      </c>
      <c r="G2528" t="s">
        <v>1755</v>
      </c>
      <c r="H2528" t="str">
        <f>VLOOKUP(C2528,'[1]873'!$C$2:$C$711,1,0)</f>
        <v>1145-2025</v>
      </c>
    </row>
    <row r="2529" spans="1:8" ht="15" customHeight="1" x14ac:dyDescent="0.25">
      <c r="A2529" s="2">
        <v>46008</v>
      </c>
      <c r="B2529">
        <v>2025003507</v>
      </c>
      <c r="C2529" t="s">
        <v>1796</v>
      </c>
      <c r="D2529" s="11">
        <v>4200000</v>
      </c>
      <c r="E2529" t="s">
        <v>2410</v>
      </c>
      <c r="F2529" t="s">
        <v>1797</v>
      </c>
      <c r="G2529" t="s">
        <v>1755</v>
      </c>
      <c r="H2529" t="str">
        <f>VLOOKUP(C2529,'[1]873'!$C$2:$C$711,1,0)</f>
        <v>920-2025</v>
      </c>
    </row>
    <row r="2530" spans="1:8" ht="15" customHeight="1" x14ac:dyDescent="0.25">
      <c r="A2530" s="2">
        <v>46008</v>
      </c>
      <c r="B2530">
        <v>2025003508</v>
      </c>
      <c r="C2530" t="s">
        <v>2087</v>
      </c>
      <c r="D2530" s="11">
        <v>3150000</v>
      </c>
      <c r="E2530" t="s">
        <v>2088</v>
      </c>
      <c r="F2530" t="s">
        <v>2089</v>
      </c>
      <c r="G2530" t="s">
        <v>1755</v>
      </c>
      <c r="H2530" t="str">
        <f>VLOOKUP(C2530,'[1]873'!$C$2:$C$711,1,0)</f>
        <v>1049-2025</v>
      </c>
    </row>
    <row r="2531" spans="1:8" ht="15" customHeight="1" x14ac:dyDescent="0.25">
      <c r="A2531" s="2">
        <v>46008</v>
      </c>
      <c r="B2531">
        <v>2025003509</v>
      </c>
      <c r="C2531" t="s">
        <v>2319</v>
      </c>
      <c r="D2531" s="11">
        <v>3150000</v>
      </c>
      <c r="E2531" t="s">
        <v>1732</v>
      </c>
      <c r="F2531" t="s">
        <v>103</v>
      </c>
      <c r="G2531" t="s">
        <v>1755</v>
      </c>
      <c r="H2531" t="str">
        <f>VLOOKUP(C2531,'[1]873'!$C$2:$C$711,1,0)</f>
        <v>1067-2025</v>
      </c>
    </row>
    <row r="2532" spans="1:8" ht="15" customHeight="1" x14ac:dyDescent="0.25">
      <c r="A2532" s="2">
        <v>46008</v>
      </c>
      <c r="B2532">
        <v>2025003511</v>
      </c>
      <c r="C2532" t="s">
        <v>2411</v>
      </c>
      <c r="D2532" s="11">
        <v>15600000</v>
      </c>
      <c r="E2532" t="s">
        <v>2412</v>
      </c>
      <c r="F2532" t="s">
        <v>309</v>
      </c>
      <c r="G2532" t="s">
        <v>1755</v>
      </c>
      <c r="H2532" t="str">
        <f>VLOOKUP(C2532,'[1]873'!$C$2:$C$711,1,0)</f>
        <v>944-2025</v>
      </c>
    </row>
    <row r="2533" spans="1:8" ht="15" customHeight="1" x14ac:dyDescent="0.25">
      <c r="A2533" s="2">
        <v>46008</v>
      </c>
      <c r="B2533">
        <v>2025003514</v>
      </c>
      <c r="C2533" t="s">
        <v>1844</v>
      </c>
      <c r="D2533" s="11">
        <v>7800000</v>
      </c>
      <c r="E2533" t="s">
        <v>1682</v>
      </c>
      <c r="F2533" t="s">
        <v>159</v>
      </c>
      <c r="G2533" t="s">
        <v>1755</v>
      </c>
      <c r="H2533" t="str">
        <f>VLOOKUP(C2533,'[1]873'!$C$2:$C$711,1,0)</f>
        <v>822-2025</v>
      </c>
    </row>
    <row r="2534" spans="1:8" ht="15" customHeight="1" x14ac:dyDescent="0.25">
      <c r="A2534" s="2">
        <v>46008</v>
      </c>
      <c r="B2534">
        <v>2025003516</v>
      </c>
      <c r="C2534" t="s">
        <v>1877</v>
      </c>
      <c r="D2534" s="11">
        <v>3150000</v>
      </c>
      <c r="E2534" t="s">
        <v>1719</v>
      </c>
      <c r="F2534" t="s">
        <v>1230</v>
      </c>
      <c r="G2534" t="s">
        <v>1755</v>
      </c>
      <c r="H2534" t="str">
        <f>VLOOKUP(C2534,'[1]873'!$C$2:$C$711,1,0)</f>
        <v>894-2025</v>
      </c>
    </row>
    <row r="2535" spans="1:8" ht="15" customHeight="1" x14ac:dyDescent="0.25">
      <c r="A2535" s="2">
        <v>46008</v>
      </c>
      <c r="B2535">
        <v>2025003519</v>
      </c>
      <c r="C2535" t="s">
        <v>1889</v>
      </c>
      <c r="D2535" s="11">
        <v>3150000</v>
      </c>
      <c r="E2535" t="s">
        <v>1731</v>
      </c>
      <c r="F2535" t="s">
        <v>548</v>
      </c>
      <c r="G2535" t="s">
        <v>1755</v>
      </c>
      <c r="H2535" t="str">
        <f>VLOOKUP(C2535,'[1]873'!$C$2:$C$711,1,0)</f>
        <v>854-2025</v>
      </c>
    </row>
    <row r="2536" spans="1:8" ht="15" customHeight="1" x14ac:dyDescent="0.25">
      <c r="A2536" s="2">
        <v>46008</v>
      </c>
      <c r="B2536">
        <v>2025003521</v>
      </c>
      <c r="C2536" t="s">
        <v>1767</v>
      </c>
      <c r="D2536" s="11">
        <v>3150000</v>
      </c>
      <c r="E2536" t="s">
        <v>1647</v>
      </c>
      <c r="F2536" t="s">
        <v>119</v>
      </c>
      <c r="G2536" t="s">
        <v>1755</v>
      </c>
      <c r="H2536" t="str">
        <f>VLOOKUP(C2536,'[1]873'!$C$2:$C$711,1,0)</f>
        <v>810-2025</v>
      </c>
    </row>
    <row r="2537" spans="1:8" ht="15" customHeight="1" x14ac:dyDescent="0.25">
      <c r="A2537" s="2">
        <v>46008</v>
      </c>
      <c r="B2537">
        <v>2025003523</v>
      </c>
      <c r="C2537" t="s">
        <v>1879</v>
      </c>
      <c r="D2537" s="11">
        <v>3150000</v>
      </c>
      <c r="E2537" t="s">
        <v>2034</v>
      </c>
      <c r="F2537" t="s">
        <v>1880</v>
      </c>
      <c r="G2537" t="s">
        <v>1755</v>
      </c>
      <c r="H2537" t="str">
        <f>VLOOKUP(C2537,'[1]873'!$C$2:$C$711,1,0)</f>
        <v>830-2025</v>
      </c>
    </row>
    <row r="2538" spans="1:8" ht="15" customHeight="1" x14ac:dyDescent="0.25">
      <c r="A2538" s="2">
        <v>46008</v>
      </c>
      <c r="B2538">
        <v>2025003525</v>
      </c>
      <c r="C2538" t="s">
        <v>1828</v>
      </c>
      <c r="D2538" s="11">
        <v>3150000</v>
      </c>
      <c r="E2538" t="s">
        <v>2074</v>
      </c>
      <c r="F2538" t="s">
        <v>1829</v>
      </c>
      <c r="G2538" t="s">
        <v>1755</v>
      </c>
      <c r="H2538" t="str">
        <f>VLOOKUP(C2538,'[1]873'!$C$2:$C$711,1,0)</f>
        <v>925-2025</v>
      </c>
    </row>
    <row r="2539" spans="1:8" ht="15" customHeight="1" x14ac:dyDescent="0.25">
      <c r="A2539" s="2">
        <v>46008</v>
      </c>
      <c r="B2539">
        <v>2025003528</v>
      </c>
      <c r="C2539" t="s">
        <v>1835</v>
      </c>
      <c r="D2539" s="11">
        <v>3150000</v>
      </c>
      <c r="E2539" t="s">
        <v>1679</v>
      </c>
      <c r="F2539" t="s">
        <v>111</v>
      </c>
      <c r="G2539" t="s">
        <v>1755</v>
      </c>
      <c r="H2539" t="str">
        <f>VLOOKUP(C2539,'[1]873'!$C$2:$C$711,1,0)</f>
        <v>826-2025</v>
      </c>
    </row>
    <row r="2540" spans="1:8" ht="15" customHeight="1" x14ac:dyDescent="0.25">
      <c r="A2540" s="2">
        <v>46008</v>
      </c>
      <c r="B2540">
        <v>2025003529</v>
      </c>
      <c r="C2540" t="s">
        <v>1833</v>
      </c>
      <c r="D2540" s="11">
        <v>6300000</v>
      </c>
      <c r="E2540" t="s">
        <v>2226</v>
      </c>
      <c r="F2540" t="s">
        <v>1834</v>
      </c>
      <c r="G2540" t="s">
        <v>1755</v>
      </c>
      <c r="H2540" t="str">
        <f>VLOOKUP(C2540,'[1]873'!$C$2:$C$711,1,0)</f>
        <v>834-2025</v>
      </c>
    </row>
    <row r="2541" spans="1:8" ht="15" customHeight="1" x14ac:dyDescent="0.25">
      <c r="A2541" s="2">
        <v>46008</v>
      </c>
      <c r="B2541">
        <v>2025003530</v>
      </c>
      <c r="C2541" t="s">
        <v>2026</v>
      </c>
      <c r="D2541" s="11">
        <v>2000000</v>
      </c>
      <c r="E2541" t="s">
        <v>2027</v>
      </c>
      <c r="F2541" t="s">
        <v>2028</v>
      </c>
      <c r="G2541" t="s">
        <v>1755</v>
      </c>
      <c r="H2541" t="str">
        <f>VLOOKUP(C2541,'[1]873'!$C$2:$C$711,1,0)</f>
        <v>1021-2025</v>
      </c>
    </row>
    <row r="2542" spans="1:8" ht="15" customHeight="1" x14ac:dyDescent="0.25">
      <c r="A2542" s="2">
        <v>46008</v>
      </c>
      <c r="B2542">
        <v>2025003531</v>
      </c>
      <c r="C2542" t="s">
        <v>2413</v>
      </c>
      <c r="D2542" s="11">
        <v>2000000</v>
      </c>
      <c r="E2542" t="s">
        <v>2414</v>
      </c>
      <c r="F2542" t="s">
        <v>2415</v>
      </c>
      <c r="G2542" t="s">
        <v>1755</v>
      </c>
      <c r="H2542" t="str">
        <f>VLOOKUP(C2542,'[1]873'!$C$2:$C$711,1,0)</f>
        <v>1101-2025</v>
      </c>
    </row>
    <row r="2543" spans="1:8" ht="15" customHeight="1" x14ac:dyDescent="0.25">
      <c r="A2543" s="2">
        <v>46008</v>
      </c>
      <c r="B2543">
        <v>2025003532</v>
      </c>
      <c r="C2543" t="s">
        <v>1873</v>
      </c>
      <c r="D2543" s="11">
        <v>3150000</v>
      </c>
      <c r="E2543" t="s">
        <v>2012</v>
      </c>
      <c r="F2543" t="s">
        <v>1874</v>
      </c>
      <c r="G2543" t="s">
        <v>1755</v>
      </c>
      <c r="H2543" t="str">
        <f>VLOOKUP(C2543,'[1]873'!$C$2:$C$711,1,0)</f>
        <v>782-2025</v>
      </c>
    </row>
    <row r="2544" spans="1:8" ht="15" customHeight="1" x14ac:dyDescent="0.25">
      <c r="A2544" s="2">
        <v>46008</v>
      </c>
      <c r="B2544">
        <v>2025003533</v>
      </c>
      <c r="C2544" t="s">
        <v>1756</v>
      </c>
      <c r="D2544" s="11">
        <v>3150000</v>
      </c>
      <c r="E2544" t="s">
        <v>2052</v>
      </c>
      <c r="F2544" t="s">
        <v>1757</v>
      </c>
      <c r="G2544" t="s">
        <v>1755</v>
      </c>
      <c r="H2544" t="str">
        <f>VLOOKUP(C2544,'[1]873'!$C$2:$C$711,1,0)</f>
        <v>806-2025</v>
      </c>
    </row>
    <row r="2545" spans="1:8" ht="15" customHeight="1" x14ac:dyDescent="0.25">
      <c r="A2545" s="2">
        <v>46008</v>
      </c>
      <c r="B2545">
        <v>2025003534</v>
      </c>
      <c r="C2545" t="s">
        <v>1778</v>
      </c>
      <c r="D2545" s="11">
        <v>3150000</v>
      </c>
      <c r="E2545" t="s">
        <v>2006</v>
      </c>
      <c r="F2545" t="s">
        <v>1779</v>
      </c>
      <c r="G2545" t="s">
        <v>1755</v>
      </c>
      <c r="H2545" t="str">
        <f>VLOOKUP(C2545,'[1]873'!$C$2:$C$711,1,0)</f>
        <v>798-2025</v>
      </c>
    </row>
    <row r="2546" spans="1:8" ht="15" customHeight="1" x14ac:dyDescent="0.25">
      <c r="A2546" s="2">
        <v>46008</v>
      </c>
      <c r="B2546">
        <v>2025003535</v>
      </c>
      <c r="C2546" t="s">
        <v>1954</v>
      </c>
      <c r="D2546" s="11">
        <v>3150000</v>
      </c>
      <c r="E2546" t="s">
        <v>2007</v>
      </c>
      <c r="F2546" t="s">
        <v>1955</v>
      </c>
      <c r="G2546" t="s">
        <v>1755</v>
      </c>
      <c r="H2546" t="str">
        <f>VLOOKUP(C2546,'[1]873'!$C$2:$C$711,1,0)</f>
        <v>883-2025</v>
      </c>
    </row>
    <row r="2547" spans="1:8" ht="15" customHeight="1" x14ac:dyDescent="0.25">
      <c r="A2547" s="2">
        <v>46008</v>
      </c>
      <c r="B2547">
        <v>2025003536</v>
      </c>
      <c r="C2547" t="s">
        <v>2416</v>
      </c>
      <c r="D2547" s="11">
        <v>7800000</v>
      </c>
      <c r="E2547" t="s">
        <v>2417</v>
      </c>
      <c r="F2547" t="s">
        <v>2418</v>
      </c>
      <c r="G2547" t="s">
        <v>1755</v>
      </c>
      <c r="H2547" t="str">
        <f>VLOOKUP(C2547,'[1]873'!$C$2:$C$711,1,0)</f>
        <v>1148-2025</v>
      </c>
    </row>
    <row r="2548" spans="1:8" ht="15" customHeight="1" x14ac:dyDescent="0.25">
      <c r="A2548" s="2">
        <v>46008</v>
      </c>
      <c r="B2548">
        <v>2025003537</v>
      </c>
      <c r="C2548" t="s">
        <v>1866</v>
      </c>
      <c r="D2548" s="11">
        <v>3150000</v>
      </c>
      <c r="E2548" t="s">
        <v>2044</v>
      </c>
      <c r="F2548" t="s">
        <v>1867</v>
      </c>
      <c r="G2548" t="s">
        <v>1755</v>
      </c>
      <c r="H2548" t="str">
        <f>VLOOKUP(C2548,'[1]873'!$C$2:$C$711,1,0)</f>
        <v>803-2025</v>
      </c>
    </row>
    <row r="2549" spans="1:8" ht="15" customHeight="1" x14ac:dyDescent="0.25">
      <c r="A2549" s="2">
        <v>46008</v>
      </c>
      <c r="B2549">
        <v>2025003539</v>
      </c>
      <c r="C2549" t="s">
        <v>1984</v>
      </c>
      <c r="D2549" s="11">
        <v>3150000</v>
      </c>
      <c r="E2549" t="s">
        <v>2011</v>
      </c>
      <c r="F2549" t="s">
        <v>884</v>
      </c>
      <c r="G2549" t="s">
        <v>1755</v>
      </c>
      <c r="H2549" t="str">
        <f>VLOOKUP(C2549,'[1]873'!$C$2:$C$711,1,0)</f>
        <v>926-2025</v>
      </c>
    </row>
    <row r="2550" spans="1:8" ht="15" customHeight="1" x14ac:dyDescent="0.25">
      <c r="A2550" s="2">
        <v>46008</v>
      </c>
      <c r="B2550">
        <v>2025003540</v>
      </c>
      <c r="C2550" t="s">
        <v>1864</v>
      </c>
      <c r="D2550" s="11">
        <v>3150000</v>
      </c>
      <c r="E2550" t="s">
        <v>2021</v>
      </c>
      <c r="F2550" t="s">
        <v>1865</v>
      </c>
      <c r="G2550" t="s">
        <v>1755</v>
      </c>
      <c r="H2550" t="str">
        <f>VLOOKUP(C2550,'[1]873'!$C$2:$C$711,1,0)</f>
        <v>813-2025</v>
      </c>
    </row>
    <row r="2551" spans="1:8" ht="15" customHeight="1" x14ac:dyDescent="0.25">
      <c r="A2551" s="2">
        <v>46009</v>
      </c>
      <c r="B2551">
        <v>2025003541</v>
      </c>
      <c r="C2551" t="s">
        <v>1775</v>
      </c>
      <c r="D2551" s="11">
        <v>3150000</v>
      </c>
      <c r="E2551" t="s">
        <v>1639</v>
      </c>
      <c r="F2551" t="s">
        <v>409</v>
      </c>
      <c r="G2551" t="s">
        <v>1755</v>
      </c>
      <c r="H2551" t="str">
        <f>VLOOKUP(C2551,'[1]873'!$C$2:$C$711,1,0)</f>
        <v>783-2025</v>
      </c>
    </row>
    <row r="2552" spans="1:8" ht="15" customHeight="1" x14ac:dyDescent="0.25">
      <c r="A2552" s="2">
        <v>46009</v>
      </c>
      <c r="B2552">
        <v>2025003542</v>
      </c>
      <c r="C2552" t="s">
        <v>1894</v>
      </c>
      <c r="D2552" s="11">
        <v>3150000</v>
      </c>
      <c r="E2552" t="s">
        <v>2116</v>
      </c>
      <c r="F2552" t="s">
        <v>1895</v>
      </c>
      <c r="G2552" t="s">
        <v>1755</v>
      </c>
      <c r="H2552" t="str">
        <f>VLOOKUP(C2552,'[1]873'!$C$2:$C$711,1,0)</f>
        <v>846-2025</v>
      </c>
    </row>
    <row r="2553" spans="1:8" ht="15" customHeight="1" x14ac:dyDescent="0.25">
      <c r="A2553" s="2">
        <v>46009</v>
      </c>
      <c r="B2553">
        <v>2025003543</v>
      </c>
      <c r="C2553" t="s">
        <v>2419</v>
      </c>
      <c r="D2553" s="11">
        <v>2000000</v>
      </c>
      <c r="E2553" t="s">
        <v>2420</v>
      </c>
      <c r="F2553" t="s">
        <v>219</v>
      </c>
      <c r="G2553" t="s">
        <v>1755</v>
      </c>
      <c r="H2553" t="str">
        <f>VLOOKUP(C2553,'[1]873'!$C$2:$C$711,1,0)</f>
        <v>1111-2025</v>
      </c>
    </row>
    <row r="2554" spans="1:8" ht="15" customHeight="1" x14ac:dyDescent="0.25">
      <c r="A2554" s="2">
        <v>46009</v>
      </c>
      <c r="B2554">
        <v>2025003544</v>
      </c>
      <c r="C2554" t="s">
        <v>1842</v>
      </c>
      <c r="D2554" s="11">
        <v>3150000</v>
      </c>
      <c r="E2554" t="s">
        <v>2062</v>
      </c>
      <c r="F2554" t="s">
        <v>1843</v>
      </c>
      <c r="G2554" t="s">
        <v>1755</v>
      </c>
      <c r="H2554" t="str">
        <f>VLOOKUP(C2554,'[1]873'!$C$2:$C$711,1,0)</f>
        <v>859-2025</v>
      </c>
    </row>
    <row r="2555" spans="1:8" ht="15" customHeight="1" x14ac:dyDescent="0.25">
      <c r="A2555" s="2">
        <v>46009</v>
      </c>
      <c r="B2555">
        <v>2025003545</v>
      </c>
      <c r="C2555" t="s">
        <v>1950</v>
      </c>
      <c r="D2555" s="11">
        <v>3150000</v>
      </c>
      <c r="E2555" t="s">
        <v>2045</v>
      </c>
      <c r="F2555" t="s">
        <v>1951</v>
      </c>
      <c r="G2555" t="s">
        <v>1755</v>
      </c>
      <c r="H2555" t="str">
        <f>VLOOKUP(C2555,'[1]873'!$C$2:$C$711,1,0)</f>
        <v>842-2025</v>
      </c>
    </row>
    <row r="2556" spans="1:8" ht="15" customHeight="1" x14ac:dyDescent="0.25">
      <c r="A2556" s="2">
        <v>46009</v>
      </c>
      <c r="B2556">
        <v>2025003546</v>
      </c>
      <c r="C2556" t="s">
        <v>2216</v>
      </c>
      <c r="D2556" s="11">
        <v>3150000</v>
      </c>
      <c r="E2556" t="s">
        <v>2217</v>
      </c>
      <c r="F2556" t="s">
        <v>2218</v>
      </c>
      <c r="G2556" t="s">
        <v>1755</v>
      </c>
      <c r="H2556" t="str">
        <f>VLOOKUP(C2556,'[1]873'!$C$2:$C$711,1,0)</f>
        <v>976-2025</v>
      </c>
    </row>
    <row r="2557" spans="1:8" ht="15" customHeight="1" x14ac:dyDescent="0.25">
      <c r="A2557" s="2">
        <v>46009</v>
      </c>
      <c r="B2557">
        <v>2025003547</v>
      </c>
      <c r="C2557" t="s">
        <v>1881</v>
      </c>
      <c r="D2557" s="11">
        <v>3150000</v>
      </c>
      <c r="E2557" t="s">
        <v>2046</v>
      </c>
      <c r="F2557" t="s">
        <v>1882</v>
      </c>
      <c r="G2557" t="s">
        <v>1755</v>
      </c>
      <c r="H2557" t="str">
        <f>VLOOKUP(C2557,'[1]873'!$C$2:$C$711,1,0)</f>
        <v>864-2025</v>
      </c>
    </row>
    <row r="2558" spans="1:8" ht="15" customHeight="1" x14ac:dyDescent="0.25">
      <c r="A2558" s="2">
        <v>46009</v>
      </c>
      <c r="B2558">
        <v>2025003548</v>
      </c>
      <c r="C2558" t="s">
        <v>1948</v>
      </c>
      <c r="D2558" s="11">
        <v>4730000</v>
      </c>
      <c r="E2558" t="s">
        <v>2008</v>
      </c>
      <c r="F2558" t="s">
        <v>1949</v>
      </c>
      <c r="G2558" t="s">
        <v>1755</v>
      </c>
      <c r="H2558" t="str">
        <f>VLOOKUP(C2558,'[1]873'!$C$2:$C$711,1,0)</f>
        <v>766-2025</v>
      </c>
    </row>
    <row r="2559" spans="1:8" ht="15" customHeight="1" x14ac:dyDescent="0.25">
      <c r="A2559" s="2">
        <v>46009</v>
      </c>
      <c r="B2559">
        <v>2025003549</v>
      </c>
      <c r="C2559" t="s">
        <v>1995</v>
      </c>
      <c r="D2559" s="11">
        <v>4730000</v>
      </c>
      <c r="E2559" t="s">
        <v>2287</v>
      </c>
      <c r="F2559" t="s">
        <v>235</v>
      </c>
      <c r="G2559" t="s">
        <v>1755</v>
      </c>
      <c r="H2559" t="str">
        <f>VLOOKUP(C2559,'[1]873'!$C$2:$C$711,1,0)</f>
        <v>776-2025</v>
      </c>
    </row>
    <row r="2560" spans="1:8" ht="15" customHeight="1" x14ac:dyDescent="0.25">
      <c r="A2560" s="2">
        <v>46009</v>
      </c>
      <c r="B2560">
        <v>2025003551</v>
      </c>
      <c r="C2560" t="s">
        <v>1990</v>
      </c>
      <c r="D2560" s="11">
        <v>3150000</v>
      </c>
      <c r="E2560" t="s">
        <v>2121</v>
      </c>
      <c r="F2560" t="s">
        <v>1991</v>
      </c>
      <c r="G2560" t="s">
        <v>1755</v>
      </c>
      <c r="H2560" t="str">
        <f>VLOOKUP(C2560,'[1]873'!$C$2:$C$711,1,0)</f>
        <v>851-2025</v>
      </c>
    </row>
    <row r="2561" spans="1:8" ht="15" customHeight="1" x14ac:dyDescent="0.25">
      <c r="A2561" s="2">
        <v>46009</v>
      </c>
      <c r="B2561">
        <v>2025003552</v>
      </c>
      <c r="C2561" t="s">
        <v>2065</v>
      </c>
      <c r="D2561" s="11">
        <v>2000000</v>
      </c>
      <c r="E2561" t="s">
        <v>2066</v>
      </c>
      <c r="F2561" t="s">
        <v>2067</v>
      </c>
      <c r="G2561" t="s">
        <v>1755</v>
      </c>
      <c r="H2561" t="str">
        <f>VLOOKUP(C2561,'[1]873'!$C$2:$C$711,1,0)</f>
        <v>1039-2025</v>
      </c>
    </row>
    <row r="2562" spans="1:8" ht="15" customHeight="1" x14ac:dyDescent="0.25">
      <c r="A2562" s="2">
        <v>46009</v>
      </c>
      <c r="B2562">
        <v>2025003553</v>
      </c>
      <c r="C2562" t="s">
        <v>2071</v>
      </c>
      <c r="D2562" s="11">
        <v>2000000</v>
      </c>
      <c r="E2562" t="s">
        <v>2072</v>
      </c>
      <c r="F2562" t="s">
        <v>2073</v>
      </c>
      <c r="G2562" t="s">
        <v>1755</v>
      </c>
      <c r="H2562" t="str">
        <f>VLOOKUP(C2562,'[1]873'!$C$2:$C$711,1,0)</f>
        <v>1032-2025</v>
      </c>
    </row>
    <row r="2563" spans="1:8" ht="15" customHeight="1" x14ac:dyDescent="0.25">
      <c r="A2563" s="2">
        <v>46009</v>
      </c>
      <c r="B2563">
        <v>2025003556</v>
      </c>
      <c r="C2563" t="s">
        <v>2269</v>
      </c>
      <c r="D2563" s="11">
        <v>3150000</v>
      </c>
      <c r="E2563" t="s">
        <v>1646</v>
      </c>
      <c r="F2563" t="s">
        <v>523</v>
      </c>
      <c r="G2563" t="s">
        <v>1755</v>
      </c>
      <c r="H2563" t="str">
        <f>VLOOKUP(C2563,'[1]873'!$C$2:$C$711,1,0)</f>
        <v>1029-2025</v>
      </c>
    </row>
    <row r="2564" spans="1:8" ht="15" customHeight="1" x14ac:dyDescent="0.25">
      <c r="A2564" s="2">
        <v>46009</v>
      </c>
      <c r="B2564">
        <v>2025003557</v>
      </c>
      <c r="C2564" t="s">
        <v>2284</v>
      </c>
      <c r="D2564" s="11">
        <v>3150000</v>
      </c>
      <c r="E2564" t="s">
        <v>2285</v>
      </c>
      <c r="F2564" t="s">
        <v>2286</v>
      </c>
      <c r="G2564" t="s">
        <v>1755</v>
      </c>
      <c r="H2564" t="str">
        <f>VLOOKUP(C2564,'[1]873'!$C$2:$C$711,1,0)</f>
        <v>1060-2025</v>
      </c>
    </row>
    <row r="2565" spans="1:8" ht="15" customHeight="1" x14ac:dyDescent="0.25">
      <c r="A2565" s="2">
        <v>46009</v>
      </c>
      <c r="B2565">
        <v>2025003558</v>
      </c>
      <c r="C2565" t="s">
        <v>1915</v>
      </c>
      <c r="D2565" s="11">
        <v>3150000</v>
      </c>
      <c r="E2565" t="s">
        <v>1617</v>
      </c>
      <c r="F2565" t="s">
        <v>992</v>
      </c>
      <c r="G2565" t="s">
        <v>1755</v>
      </c>
      <c r="H2565" t="str">
        <f>VLOOKUP(C2565,'[1]873'!$C$2:$C$711,1,0)</f>
        <v>824-2025</v>
      </c>
    </row>
    <row r="2566" spans="1:8" ht="15" customHeight="1" x14ac:dyDescent="0.25">
      <c r="A2566" s="2">
        <v>46009</v>
      </c>
      <c r="B2566">
        <v>2025003559</v>
      </c>
      <c r="C2566" t="s">
        <v>1941</v>
      </c>
      <c r="D2566" s="11">
        <v>6300000</v>
      </c>
      <c r="E2566" t="s">
        <v>2190</v>
      </c>
      <c r="F2566" t="s">
        <v>1942</v>
      </c>
      <c r="G2566" t="s">
        <v>1755</v>
      </c>
      <c r="H2566" t="str">
        <f>VLOOKUP(C2566,'[1]873'!$C$2:$C$711,1,0)</f>
        <v>921-2025</v>
      </c>
    </row>
    <row r="2567" spans="1:8" ht="15" customHeight="1" x14ac:dyDescent="0.25">
      <c r="A2567" s="2">
        <v>46009</v>
      </c>
      <c r="B2567">
        <v>2025003561</v>
      </c>
      <c r="C2567" t="s">
        <v>2268</v>
      </c>
      <c r="D2567" s="11">
        <v>6300000</v>
      </c>
      <c r="E2567" t="s">
        <v>1713</v>
      </c>
      <c r="F2567" t="s">
        <v>1224</v>
      </c>
      <c r="G2567" t="s">
        <v>1755</v>
      </c>
      <c r="H2567" t="str">
        <f>VLOOKUP(C2567,'[1]873'!$C$2:$C$711,1,0)</f>
        <v>930-2025</v>
      </c>
    </row>
    <row r="2568" spans="1:8" ht="15" customHeight="1" x14ac:dyDescent="0.25">
      <c r="A2568" s="2">
        <v>46009</v>
      </c>
      <c r="B2568">
        <v>2025003562</v>
      </c>
      <c r="C2568" t="s">
        <v>1996</v>
      </c>
      <c r="D2568" s="11">
        <v>3150000</v>
      </c>
      <c r="E2568" t="s">
        <v>2192</v>
      </c>
      <c r="F2568" t="s">
        <v>1997</v>
      </c>
      <c r="G2568" t="s">
        <v>1755</v>
      </c>
      <c r="H2568" t="str">
        <f>VLOOKUP(C2568,'[1]873'!$C$2:$C$711,1,0)</f>
        <v>917-2025</v>
      </c>
    </row>
    <row r="2569" spans="1:8" ht="15" customHeight="1" x14ac:dyDescent="0.25">
      <c r="A2569" s="2">
        <v>46009</v>
      </c>
      <c r="B2569">
        <v>2025003563</v>
      </c>
      <c r="C2569" t="s">
        <v>2421</v>
      </c>
      <c r="D2569" s="11">
        <v>2000000</v>
      </c>
      <c r="E2569" t="s">
        <v>2422</v>
      </c>
      <c r="F2569" t="s">
        <v>313</v>
      </c>
      <c r="G2569" t="s">
        <v>1755</v>
      </c>
      <c r="H2569" t="str">
        <f>VLOOKUP(C2569,'[1]873'!$C$2:$C$711,1,0)</f>
        <v>1098-2025</v>
      </c>
    </row>
    <row r="2570" spans="1:8" ht="15" customHeight="1" x14ac:dyDescent="0.25">
      <c r="A2570" s="2">
        <v>46009</v>
      </c>
      <c r="B2570">
        <v>2025003564</v>
      </c>
      <c r="C2570" t="s">
        <v>2096</v>
      </c>
      <c r="D2570" s="11">
        <v>3150000</v>
      </c>
      <c r="E2570" t="s">
        <v>2097</v>
      </c>
      <c r="F2570" t="s">
        <v>2098</v>
      </c>
      <c r="G2570" t="s">
        <v>1755</v>
      </c>
      <c r="H2570" t="str">
        <f>VLOOKUP(C2570,'[1]873'!$C$2:$C$711,1,0)</f>
        <v>1043-2025</v>
      </c>
    </row>
    <row r="2571" spans="1:8" ht="15" customHeight="1" x14ac:dyDescent="0.25">
      <c r="A2571" s="2">
        <v>46009</v>
      </c>
      <c r="B2571">
        <v>2025003565</v>
      </c>
      <c r="C2571" t="s">
        <v>1803</v>
      </c>
      <c r="D2571" s="11">
        <v>3150000</v>
      </c>
      <c r="E2571" t="s">
        <v>1662</v>
      </c>
      <c r="F2571" t="s">
        <v>149</v>
      </c>
      <c r="G2571" t="s">
        <v>1755</v>
      </c>
      <c r="H2571" t="str">
        <f>VLOOKUP(C2571,'[1]873'!$C$2:$C$711,1,0)</f>
        <v>816-2025</v>
      </c>
    </row>
    <row r="2572" spans="1:8" ht="15" customHeight="1" x14ac:dyDescent="0.25">
      <c r="A2572" s="2">
        <v>46009</v>
      </c>
      <c r="B2572">
        <v>2025003566</v>
      </c>
      <c r="C2572" t="s">
        <v>1925</v>
      </c>
      <c r="D2572" s="11">
        <v>4730000</v>
      </c>
      <c r="E2572" t="s">
        <v>2288</v>
      </c>
      <c r="F2572" t="s">
        <v>1926</v>
      </c>
      <c r="G2572" t="s">
        <v>1755</v>
      </c>
      <c r="H2572" t="str">
        <f>VLOOKUP(C2572,'[1]873'!$C$2:$C$711,1,0)</f>
        <v>847-2025</v>
      </c>
    </row>
    <row r="2573" spans="1:8" ht="15" customHeight="1" x14ac:dyDescent="0.25">
      <c r="A2573" s="2">
        <v>46009</v>
      </c>
      <c r="B2573">
        <v>2025003567</v>
      </c>
      <c r="C2573" t="s">
        <v>1765</v>
      </c>
      <c r="D2573" s="11">
        <v>6300000</v>
      </c>
      <c r="E2573" t="s">
        <v>2009</v>
      </c>
      <c r="F2573" t="s">
        <v>1766</v>
      </c>
      <c r="G2573" t="s">
        <v>1755</v>
      </c>
      <c r="H2573" t="str">
        <f>VLOOKUP(C2573,'[1]873'!$C$2:$C$711,1,0)</f>
        <v>862-2025</v>
      </c>
    </row>
    <row r="2574" spans="1:8" ht="15" customHeight="1" x14ac:dyDescent="0.25">
      <c r="A2574" s="2">
        <v>46009</v>
      </c>
      <c r="B2574">
        <v>2025003568</v>
      </c>
      <c r="C2574" t="s">
        <v>1900</v>
      </c>
      <c r="D2574" s="11">
        <v>6300000</v>
      </c>
      <c r="E2574" t="s">
        <v>1705</v>
      </c>
      <c r="F2574" t="s">
        <v>450</v>
      </c>
      <c r="G2574" t="s">
        <v>1755</v>
      </c>
      <c r="H2574" t="str">
        <f>VLOOKUP(C2574,'[1]873'!$C$2:$C$711,1,0)</f>
        <v>843-2025</v>
      </c>
    </row>
    <row r="2575" spans="1:8" ht="15" customHeight="1" x14ac:dyDescent="0.25">
      <c r="A2575" s="2">
        <v>46009</v>
      </c>
      <c r="B2575">
        <v>2025003569</v>
      </c>
      <c r="C2575" t="s">
        <v>1956</v>
      </c>
      <c r="D2575" s="11">
        <v>3150000</v>
      </c>
      <c r="E2575" t="s">
        <v>2035</v>
      </c>
      <c r="F2575" t="s">
        <v>1957</v>
      </c>
      <c r="G2575" t="s">
        <v>1755</v>
      </c>
      <c r="H2575" t="str">
        <f>VLOOKUP(C2575,'[1]873'!$C$2:$C$711,1,0)</f>
        <v>841-2025</v>
      </c>
    </row>
    <row r="2576" spans="1:8" ht="15" customHeight="1" x14ac:dyDescent="0.25">
      <c r="A2576" s="2">
        <v>46009</v>
      </c>
      <c r="B2576">
        <v>2025003570</v>
      </c>
      <c r="C2576" t="s">
        <v>1890</v>
      </c>
      <c r="D2576" s="11">
        <v>4730000</v>
      </c>
      <c r="E2576" t="s">
        <v>2020</v>
      </c>
      <c r="F2576" t="s">
        <v>1891</v>
      </c>
      <c r="G2576" t="s">
        <v>1755</v>
      </c>
      <c r="H2576" t="str">
        <f>VLOOKUP(C2576,'[1]873'!$C$2:$C$711,1,0)</f>
        <v>747-2025</v>
      </c>
    </row>
    <row r="2577" spans="1:8" ht="15" customHeight="1" x14ac:dyDescent="0.25">
      <c r="A2577" s="2">
        <v>46009</v>
      </c>
      <c r="B2577">
        <v>2025003571</v>
      </c>
      <c r="C2577" t="s">
        <v>1845</v>
      </c>
      <c r="D2577" s="11">
        <v>6300000</v>
      </c>
      <c r="E2577" t="s">
        <v>2215</v>
      </c>
      <c r="F2577" t="s">
        <v>1846</v>
      </c>
      <c r="G2577" t="s">
        <v>1755</v>
      </c>
      <c r="H2577" t="str">
        <f>VLOOKUP(C2577,'[1]873'!$C$2:$C$711,1,0)</f>
        <v>853-2025</v>
      </c>
    </row>
    <row r="2578" spans="1:8" ht="15" customHeight="1" x14ac:dyDescent="0.25">
      <c r="A2578" s="2">
        <v>46009</v>
      </c>
      <c r="B2578">
        <v>2025003572</v>
      </c>
      <c r="C2578" t="s">
        <v>1892</v>
      </c>
      <c r="D2578" s="11">
        <v>3150000</v>
      </c>
      <c r="E2578" t="s">
        <v>2120</v>
      </c>
      <c r="F2578" t="s">
        <v>1893</v>
      </c>
      <c r="G2578" t="s">
        <v>1755</v>
      </c>
      <c r="H2578" t="str">
        <f>VLOOKUP(C2578,'[1]873'!$C$2:$C$711,1,0)</f>
        <v>836-2025</v>
      </c>
    </row>
    <row r="2579" spans="1:8" ht="15" customHeight="1" x14ac:dyDescent="0.25">
      <c r="A2579" s="2">
        <v>46009</v>
      </c>
      <c r="B2579">
        <v>2025003573</v>
      </c>
      <c r="C2579" t="s">
        <v>2068</v>
      </c>
      <c r="D2579" s="11">
        <v>2000000</v>
      </c>
      <c r="E2579" t="s">
        <v>2069</v>
      </c>
      <c r="F2579" t="s">
        <v>2070</v>
      </c>
      <c r="G2579" t="s">
        <v>1755</v>
      </c>
      <c r="H2579" t="str">
        <f>VLOOKUP(C2579,'[1]873'!$C$2:$C$711,1,0)</f>
        <v>1027-2025</v>
      </c>
    </row>
    <row r="2580" spans="1:8" ht="15" customHeight="1" x14ac:dyDescent="0.25">
      <c r="A2580" s="2">
        <v>46009</v>
      </c>
      <c r="B2580">
        <v>2025003574</v>
      </c>
      <c r="C2580" t="s">
        <v>1952</v>
      </c>
      <c r="D2580" s="11">
        <v>3150000</v>
      </c>
      <c r="E2580" t="s">
        <v>2049</v>
      </c>
      <c r="F2580" t="s">
        <v>1953</v>
      </c>
      <c r="G2580" t="s">
        <v>1755</v>
      </c>
      <c r="H2580" t="str">
        <f>VLOOKUP(C2580,'[1]873'!$C$2:$C$711,1,0)</f>
        <v>873-2025</v>
      </c>
    </row>
    <row r="2581" spans="1:8" ht="15" customHeight="1" x14ac:dyDescent="0.25">
      <c r="A2581" s="2">
        <v>46009</v>
      </c>
      <c r="B2581">
        <v>2025003575</v>
      </c>
      <c r="C2581" t="s">
        <v>2213</v>
      </c>
      <c r="D2581" s="11">
        <v>3150000</v>
      </c>
      <c r="E2581" t="s">
        <v>1701</v>
      </c>
      <c r="F2581" t="s">
        <v>335</v>
      </c>
      <c r="G2581" t="s">
        <v>1755</v>
      </c>
      <c r="H2581" t="str">
        <f>VLOOKUP(C2581,'[1]873'!$C$2:$C$711,1,0)</f>
        <v>977-2025</v>
      </c>
    </row>
    <row r="2582" spans="1:8" ht="15" customHeight="1" x14ac:dyDescent="0.25">
      <c r="A2582" s="2">
        <v>46009</v>
      </c>
      <c r="B2582">
        <v>2025003576</v>
      </c>
      <c r="C2582" t="s">
        <v>1940</v>
      </c>
      <c r="D2582" s="11">
        <v>3150000</v>
      </c>
      <c r="E2582" t="s">
        <v>1634</v>
      </c>
      <c r="F2582" t="s">
        <v>209</v>
      </c>
      <c r="G2582" t="s">
        <v>1755</v>
      </c>
      <c r="H2582" t="str">
        <f>VLOOKUP(C2582,'[1]873'!$C$2:$C$711,1,0)</f>
        <v>743-2025</v>
      </c>
    </row>
    <row r="2583" spans="1:8" ht="15" customHeight="1" x14ac:dyDescent="0.25">
      <c r="A2583" s="2">
        <v>46009</v>
      </c>
      <c r="B2583">
        <v>2025003577</v>
      </c>
      <c r="C2583" t="s">
        <v>2423</v>
      </c>
      <c r="D2583" s="11">
        <v>263910000</v>
      </c>
      <c r="E2583" t="s">
        <v>2391</v>
      </c>
      <c r="F2583" t="s">
        <v>2392</v>
      </c>
      <c r="G2583" t="s">
        <v>1755</v>
      </c>
      <c r="H2583" t="str">
        <f>VLOOKUP(C2583,'[1]873'!$C$2:$C$711,1,0)</f>
        <v>1018-2025</v>
      </c>
    </row>
    <row r="2584" spans="1:8" ht="15" customHeight="1" x14ac:dyDescent="0.25">
      <c r="A2584" s="2">
        <v>46009</v>
      </c>
      <c r="B2584">
        <v>2025003578</v>
      </c>
      <c r="C2584" t="s">
        <v>1932</v>
      </c>
      <c r="D2584" s="11">
        <v>7800000</v>
      </c>
      <c r="E2584" t="s">
        <v>2038</v>
      </c>
      <c r="F2584" t="s">
        <v>889</v>
      </c>
      <c r="G2584" t="s">
        <v>1755</v>
      </c>
      <c r="H2584" t="str">
        <f>VLOOKUP(C2584,'[1]873'!$C$2:$C$711,1,0)</f>
        <v>750-2025</v>
      </c>
    </row>
    <row r="2585" spans="1:8" ht="15" customHeight="1" x14ac:dyDescent="0.25">
      <c r="A2585" s="2">
        <v>46009</v>
      </c>
      <c r="B2585">
        <v>2025003580</v>
      </c>
      <c r="C2585" t="s">
        <v>1914</v>
      </c>
      <c r="D2585" s="11">
        <v>6300000</v>
      </c>
      <c r="E2585" t="s">
        <v>1673</v>
      </c>
      <c r="F2585" t="s">
        <v>1182</v>
      </c>
      <c r="G2585" t="s">
        <v>1755</v>
      </c>
      <c r="H2585" t="str">
        <f>VLOOKUP(C2585,'[1]873'!$C$2:$C$711,1,0)</f>
        <v>778-2025</v>
      </c>
    </row>
    <row r="2586" spans="1:8" ht="15" customHeight="1" x14ac:dyDescent="0.25">
      <c r="A2586" s="2">
        <v>46009</v>
      </c>
      <c r="B2586">
        <v>2025003581</v>
      </c>
      <c r="C2586" t="s">
        <v>1805</v>
      </c>
      <c r="D2586" s="11">
        <v>3150000</v>
      </c>
      <c r="E2586" t="s">
        <v>1658</v>
      </c>
      <c r="F2586" t="s">
        <v>1158</v>
      </c>
      <c r="G2586" t="s">
        <v>1755</v>
      </c>
      <c r="H2586" t="str">
        <f>VLOOKUP(C2586,'[1]873'!$C$2:$C$711,1,0)</f>
        <v>774-2025</v>
      </c>
    </row>
    <row r="2587" spans="1:8" ht="15" customHeight="1" x14ac:dyDescent="0.25">
      <c r="A2587" s="2">
        <v>46009</v>
      </c>
      <c r="B2587">
        <v>2025003582</v>
      </c>
      <c r="C2587" t="s">
        <v>1821</v>
      </c>
      <c r="D2587" s="11">
        <v>3150000</v>
      </c>
      <c r="E2587" t="s">
        <v>1637</v>
      </c>
      <c r="F2587" t="s">
        <v>989</v>
      </c>
      <c r="G2587" t="s">
        <v>1755</v>
      </c>
      <c r="H2587" t="str">
        <f>VLOOKUP(C2587,'[1]873'!$C$2:$C$711,1,0)</f>
        <v>759-2025</v>
      </c>
    </row>
    <row r="2588" spans="1:8" ht="15" customHeight="1" x14ac:dyDescent="0.25">
      <c r="A2588" s="2">
        <v>46009</v>
      </c>
      <c r="B2588">
        <v>2025003583</v>
      </c>
      <c r="C2588" t="s">
        <v>1820</v>
      </c>
      <c r="D2588" s="11">
        <v>3150000</v>
      </c>
      <c r="E2588" t="s">
        <v>2043</v>
      </c>
      <c r="F2588" t="s">
        <v>405</v>
      </c>
      <c r="G2588" t="s">
        <v>1755</v>
      </c>
      <c r="H2588" t="str">
        <f>VLOOKUP(C2588,'[1]873'!$C$2:$C$711,1,0)</f>
        <v>793-2025</v>
      </c>
    </row>
    <row r="2589" spans="1:8" ht="15" customHeight="1" x14ac:dyDescent="0.25">
      <c r="A2589" s="2">
        <v>46009</v>
      </c>
      <c r="B2589">
        <v>2025003585</v>
      </c>
      <c r="C2589" t="s">
        <v>1827</v>
      </c>
      <c r="D2589" s="11">
        <v>3150000</v>
      </c>
      <c r="E2589" t="s">
        <v>1626</v>
      </c>
      <c r="F2589" t="s">
        <v>243</v>
      </c>
      <c r="G2589" t="s">
        <v>1755</v>
      </c>
      <c r="H2589" t="str">
        <f>VLOOKUP(C2589,'[1]873'!$C$2:$C$711,1,0)</f>
        <v>794-2025</v>
      </c>
    </row>
    <row r="2590" spans="1:8" ht="15" customHeight="1" x14ac:dyDescent="0.25">
      <c r="A2590" s="2">
        <v>46009</v>
      </c>
      <c r="B2590">
        <v>2025003587</v>
      </c>
      <c r="C2590" t="s">
        <v>1824</v>
      </c>
      <c r="D2590" s="11">
        <v>4730000</v>
      </c>
      <c r="E2590" t="s">
        <v>2095</v>
      </c>
      <c r="F2590" t="s">
        <v>1825</v>
      </c>
      <c r="G2590" t="s">
        <v>1755</v>
      </c>
      <c r="H2590" t="str">
        <f>VLOOKUP(C2590,'[1]873'!$C$2:$C$711,1,0)</f>
        <v>818-2025</v>
      </c>
    </row>
    <row r="2591" spans="1:8" ht="15" customHeight="1" x14ac:dyDescent="0.25">
      <c r="A2591" s="2">
        <v>46009</v>
      </c>
      <c r="B2591">
        <v>2025003588</v>
      </c>
      <c r="C2591" t="s">
        <v>1929</v>
      </c>
      <c r="D2591" s="11">
        <v>6300000</v>
      </c>
      <c r="E2591" t="s">
        <v>2308</v>
      </c>
      <c r="F2591" t="s">
        <v>895</v>
      </c>
      <c r="G2591" t="s">
        <v>1755</v>
      </c>
      <c r="H2591" t="str">
        <f>VLOOKUP(C2591,'[1]873'!$C$2:$C$711,1,0)</f>
        <v>819-2025</v>
      </c>
    </row>
    <row r="2592" spans="1:8" ht="15" customHeight="1" x14ac:dyDescent="0.25">
      <c r="A2592" s="2">
        <v>46009</v>
      </c>
      <c r="B2592">
        <v>2025003589</v>
      </c>
      <c r="C2592" t="s">
        <v>1920</v>
      </c>
      <c r="D2592" s="11">
        <v>4730000</v>
      </c>
      <c r="E2592" t="s">
        <v>2102</v>
      </c>
      <c r="F2592" t="s">
        <v>1921</v>
      </c>
      <c r="G2592" t="s">
        <v>1755</v>
      </c>
      <c r="H2592" t="str">
        <f>VLOOKUP(C2592,'[1]873'!$C$2:$C$711,1,0)</f>
        <v>858-2025</v>
      </c>
    </row>
    <row r="2593" spans="1:8" ht="15" customHeight="1" x14ac:dyDescent="0.25">
      <c r="A2593" s="2">
        <v>46009</v>
      </c>
      <c r="B2593">
        <v>2025003590</v>
      </c>
      <c r="C2593" t="s">
        <v>1791</v>
      </c>
      <c r="D2593" s="11">
        <v>4730000</v>
      </c>
      <c r="E2593" t="s">
        <v>1614</v>
      </c>
      <c r="F2593" t="s">
        <v>735</v>
      </c>
      <c r="G2593" t="s">
        <v>1755</v>
      </c>
      <c r="H2593" t="str">
        <f>VLOOKUP(C2593,'[1]873'!$C$2:$C$711,1,0)</f>
        <v>787-2025</v>
      </c>
    </row>
    <row r="2594" spans="1:8" ht="15" customHeight="1" x14ac:dyDescent="0.25">
      <c r="A2594" s="2">
        <v>46009</v>
      </c>
      <c r="B2594">
        <v>2025003591</v>
      </c>
      <c r="C2594" t="s">
        <v>1868</v>
      </c>
      <c r="D2594" s="11">
        <v>3150000</v>
      </c>
      <c r="E2594" t="s">
        <v>1605</v>
      </c>
      <c r="F2594" t="s">
        <v>263</v>
      </c>
      <c r="G2594" t="s">
        <v>1755</v>
      </c>
      <c r="H2594" t="str">
        <f>VLOOKUP(C2594,'[1]873'!$C$2:$C$711,1,0)</f>
        <v>732-2025</v>
      </c>
    </row>
    <row r="2595" spans="1:8" ht="15" customHeight="1" x14ac:dyDescent="0.25">
      <c r="A2595" s="2">
        <v>46009</v>
      </c>
      <c r="B2595">
        <v>2025003592</v>
      </c>
      <c r="C2595" t="s">
        <v>1922</v>
      </c>
      <c r="D2595" s="11">
        <v>7800000</v>
      </c>
      <c r="E2595" t="s">
        <v>2041</v>
      </c>
      <c r="F2595" t="s">
        <v>1923</v>
      </c>
      <c r="G2595" t="s">
        <v>1755</v>
      </c>
      <c r="H2595" t="str">
        <f>VLOOKUP(C2595,'[1]873'!$C$2:$C$711,1,0)</f>
        <v>875-2025</v>
      </c>
    </row>
    <row r="2596" spans="1:8" ht="15" customHeight="1" x14ac:dyDescent="0.25">
      <c r="A2596" s="2">
        <v>46009</v>
      </c>
      <c r="B2596">
        <v>2025003593</v>
      </c>
      <c r="C2596" t="s">
        <v>2238</v>
      </c>
      <c r="D2596" s="11">
        <v>6300000</v>
      </c>
      <c r="E2596" t="s">
        <v>2239</v>
      </c>
      <c r="F2596" t="s">
        <v>2240</v>
      </c>
      <c r="G2596" t="s">
        <v>1755</v>
      </c>
      <c r="H2596" t="str">
        <f>VLOOKUP(C2596,'[1]873'!$C$2:$C$711,1,0)</f>
        <v>951-2025</v>
      </c>
    </row>
    <row r="2597" spans="1:8" ht="15" customHeight="1" x14ac:dyDescent="0.25">
      <c r="A2597" s="2">
        <v>46009</v>
      </c>
      <c r="B2597">
        <v>2025003594</v>
      </c>
      <c r="C2597" t="s">
        <v>1857</v>
      </c>
      <c r="D2597" s="11">
        <v>3150000</v>
      </c>
      <c r="E2597" t="s">
        <v>1616</v>
      </c>
      <c r="F2597" t="s">
        <v>87</v>
      </c>
      <c r="G2597" t="s">
        <v>1755</v>
      </c>
      <c r="H2597" t="str">
        <f>VLOOKUP(C2597,'[1]873'!$C$2:$C$711,1,0)</f>
        <v>754-2025</v>
      </c>
    </row>
    <row r="2598" spans="1:8" ht="15" customHeight="1" x14ac:dyDescent="0.25">
      <c r="A2598" s="2">
        <v>46009</v>
      </c>
      <c r="B2598">
        <v>2025003595</v>
      </c>
      <c r="C2598" t="s">
        <v>1916</v>
      </c>
      <c r="D2598" s="11">
        <v>6300000</v>
      </c>
      <c r="E2598" t="s">
        <v>1651</v>
      </c>
      <c r="F2598" t="s">
        <v>117</v>
      </c>
      <c r="G2598" t="s">
        <v>1755</v>
      </c>
      <c r="H2598" t="str">
        <f>VLOOKUP(C2598,'[1]873'!$C$2:$C$711,1,0)</f>
        <v>890-2025</v>
      </c>
    </row>
    <row r="2599" spans="1:8" ht="15" customHeight="1" x14ac:dyDescent="0.25">
      <c r="A2599" s="2">
        <v>46009</v>
      </c>
      <c r="B2599">
        <v>2025003596</v>
      </c>
      <c r="C2599" t="s">
        <v>1858</v>
      </c>
      <c r="D2599" s="11">
        <v>4730000</v>
      </c>
      <c r="E2599" t="s">
        <v>2077</v>
      </c>
      <c r="F2599" t="s">
        <v>1859</v>
      </c>
      <c r="G2599" t="s">
        <v>1755</v>
      </c>
      <c r="H2599" t="str">
        <f>VLOOKUP(C2599,'[1]873'!$C$2:$C$711,1,0)</f>
        <v>838-2025</v>
      </c>
    </row>
    <row r="2600" spans="1:8" ht="15" customHeight="1" x14ac:dyDescent="0.25">
      <c r="A2600" s="2">
        <v>46009</v>
      </c>
      <c r="B2600">
        <v>2025003597</v>
      </c>
      <c r="C2600" t="s">
        <v>1993</v>
      </c>
      <c r="D2600" s="11">
        <v>3150000</v>
      </c>
      <c r="E2600" t="s">
        <v>2193</v>
      </c>
      <c r="F2600" t="s">
        <v>1994</v>
      </c>
      <c r="G2600" t="s">
        <v>1755</v>
      </c>
      <c r="H2600" t="str">
        <f>VLOOKUP(C2600,'[1]873'!$C$2:$C$711,1,0)</f>
        <v>928-2025</v>
      </c>
    </row>
    <row r="2601" spans="1:8" ht="15" customHeight="1" x14ac:dyDescent="0.25">
      <c r="A2601" s="2">
        <v>46009</v>
      </c>
      <c r="B2601">
        <v>2025003598</v>
      </c>
      <c r="C2601" t="s">
        <v>1816</v>
      </c>
      <c r="D2601" s="11">
        <v>3150000</v>
      </c>
      <c r="E2601" t="s">
        <v>2101</v>
      </c>
      <c r="F2601" t="s">
        <v>1817</v>
      </c>
      <c r="G2601" t="s">
        <v>1755</v>
      </c>
      <c r="H2601" t="str">
        <f>VLOOKUP(C2601,'[1]873'!$C$2:$C$711,1,0)</f>
        <v>916-2025</v>
      </c>
    </row>
    <row r="2602" spans="1:8" ht="15" customHeight="1" x14ac:dyDescent="0.25">
      <c r="A2602" s="2">
        <v>46009</v>
      </c>
      <c r="B2602">
        <v>2025003599</v>
      </c>
      <c r="C2602" t="s">
        <v>1818</v>
      </c>
      <c r="D2602" s="11">
        <v>3150000</v>
      </c>
      <c r="E2602" t="s">
        <v>2094</v>
      </c>
      <c r="F2602" t="s">
        <v>1819</v>
      </c>
      <c r="G2602" t="s">
        <v>1755</v>
      </c>
      <c r="H2602" t="str">
        <f>VLOOKUP(C2602,'[1]873'!$C$2:$C$711,1,0)</f>
        <v>912-2025</v>
      </c>
    </row>
    <row r="2603" spans="1:8" ht="15" customHeight="1" x14ac:dyDescent="0.25">
      <c r="A2603" s="2">
        <v>46009</v>
      </c>
      <c r="B2603">
        <v>2025003600</v>
      </c>
      <c r="C2603" t="s">
        <v>2353</v>
      </c>
      <c r="D2603" s="11">
        <v>3150000</v>
      </c>
      <c r="E2603" t="s">
        <v>1698</v>
      </c>
      <c r="F2603" t="s">
        <v>115</v>
      </c>
      <c r="G2603" t="s">
        <v>1755</v>
      </c>
      <c r="H2603" t="str">
        <f>VLOOKUP(C2603,'[1]873'!$C$2:$C$711,1,0)</f>
        <v>1097-2025</v>
      </c>
    </row>
    <row r="2604" spans="1:8" ht="15" customHeight="1" x14ac:dyDescent="0.25">
      <c r="A2604" s="2">
        <v>46009</v>
      </c>
      <c r="B2604">
        <v>2025003601</v>
      </c>
      <c r="C2604" s="4" t="s">
        <v>1808</v>
      </c>
      <c r="D2604" s="11">
        <v>7800000</v>
      </c>
      <c r="E2604" t="s">
        <v>2058</v>
      </c>
      <c r="F2604" t="s">
        <v>1809</v>
      </c>
      <c r="G2604" t="s">
        <v>1755</v>
      </c>
      <c r="H2604" t="str">
        <f>VLOOKUP(C2604,'[1]873'!$C$2:$C$711,1,0)</f>
        <v>906-2025</v>
      </c>
    </row>
    <row r="2605" spans="1:8" ht="15" customHeight="1" x14ac:dyDescent="0.25">
      <c r="A2605" s="2">
        <v>46009</v>
      </c>
      <c r="B2605">
        <v>2025003602</v>
      </c>
      <c r="C2605" t="s">
        <v>2195</v>
      </c>
      <c r="D2605" s="11">
        <v>3150000</v>
      </c>
      <c r="E2605" t="s">
        <v>2196</v>
      </c>
      <c r="F2605" t="s">
        <v>349</v>
      </c>
      <c r="G2605" t="s">
        <v>1755</v>
      </c>
      <c r="H2605" t="str">
        <f>VLOOKUP(C2605,'[1]873'!$C$2:$C$711,1,0)</f>
        <v>1055-2025</v>
      </c>
    </row>
    <row r="2606" spans="1:8" ht="15" customHeight="1" x14ac:dyDescent="0.25">
      <c r="A2606" s="2">
        <v>46009</v>
      </c>
      <c r="B2606">
        <v>2025003603</v>
      </c>
      <c r="C2606" t="s">
        <v>1810</v>
      </c>
      <c r="D2606" s="11">
        <v>7800000</v>
      </c>
      <c r="E2606" t="s">
        <v>2056</v>
      </c>
      <c r="F2606" t="s">
        <v>1811</v>
      </c>
      <c r="G2606" t="s">
        <v>1755</v>
      </c>
      <c r="H2606" t="str">
        <f>VLOOKUP(C2606,'[1]873'!$C$2:$C$711,1,0)</f>
        <v>929-2025</v>
      </c>
    </row>
    <row r="2607" spans="1:8" ht="15" customHeight="1" x14ac:dyDescent="0.25">
      <c r="A2607" s="2">
        <v>46009</v>
      </c>
      <c r="B2607">
        <v>2025003604</v>
      </c>
      <c r="C2607" t="s">
        <v>2200</v>
      </c>
      <c r="D2607" s="11">
        <v>2000000</v>
      </c>
      <c r="E2607" t="s">
        <v>2201</v>
      </c>
      <c r="F2607" t="s">
        <v>2202</v>
      </c>
      <c r="G2607" t="s">
        <v>1755</v>
      </c>
      <c r="H2607" t="str">
        <f>VLOOKUP(C2607,'[1]873'!$C$2:$C$711,1,0)</f>
        <v>1004-2025</v>
      </c>
    </row>
    <row r="2608" spans="1:8" ht="15" customHeight="1" x14ac:dyDescent="0.25">
      <c r="A2608" s="2">
        <v>46009</v>
      </c>
      <c r="B2608">
        <v>2025003605</v>
      </c>
      <c r="C2608" t="s">
        <v>2244</v>
      </c>
      <c r="D2608" s="11">
        <v>2000000</v>
      </c>
      <c r="E2608" t="s">
        <v>2245</v>
      </c>
      <c r="F2608" t="s">
        <v>2246</v>
      </c>
      <c r="G2608" t="s">
        <v>1755</v>
      </c>
      <c r="H2608" t="str">
        <f>VLOOKUP(C2608,'[1]873'!$C$2:$C$711,1,0)</f>
        <v>1034-2025</v>
      </c>
    </row>
    <row r="2609" spans="1:8" ht="15" customHeight="1" x14ac:dyDescent="0.25">
      <c r="A2609" s="2">
        <v>46009</v>
      </c>
      <c r="B2609">
        <v>2025003606</v>
      </c>
      <c r="C2609" t="s">
        <v>1794</v>
      </c>
      <c r="D2609" s="11">
        <v>3150000</v>
      </c>
      <c r="E2609" t="s">
        <v>1724</v>
      </c>
      <c r="F2609" t="s">
        <v>1235</v>
      </c>
      <c r="G2609" t="s">
        <v>1755</v>
      </c>
      <c r="H2609" t="str">
        <f>VLOOKUP(C2609,'[1]873'!$C$2:$C$711,1,0)</f>
        <v>827-2025</v>
      </c>
    </row>
    <row r="2610" spans="1:8" ht="15" customHeight="1" x14ac:dyDescent="0.25">
      <c r="A2610" s="2">
        <v>46009</v>
      </c>
      <c r="B2610">
        <v>2025003607</v>
      </c>
      <c r="C2610" t="s">
        <v>1756</v>
      </c>
      <c r="D2610" s="11">
        <v>3150000</v>
      </c>
      <c r="E2610" t="s">
        <v>2052</v>
      </c>
      <c r="F2610" t="s">
        <v>1757</v>
      </c>
      <c r="G2610" t="s">
        <v>1755</v>
      </c>
      <c r="H2610" t="str">
        <f>VLOOKUP(C2610,'[1]873'!$C$2:$C$711,1,0)</f>
        <v>806-2025</v>
      </c>
    </row>
    <row r="2611" spans="1:8" ht="15" customHeight="1" x14ac:dyDescent="0.25">
      <c r="A2611" s="2">
        <v>46009</v>
      </c>
      <c r="B2611">
        <v>2025003608</v>
      </c>
      <c r="C2611" t="s">
        <v>1762</v>
      </c>
      <c r="D2611" s="11">
        <v>6300000</v>
      </c>
      <c r="E2611" t="s">
        <v>1635</v>
      </c>
      <c r="F2611" t="s">
        <v>145</v>
      </c>
      <c r="G2611" t="s">
        <v>1755</v>
      </c>
      <c r="H2611" t="str">
        <f>VLOOKUP(C2611,'[1]873'!$C$2:$C$711,1,0)</f>
        <v>904-2025</v>
      </c>
    </row>
    <row r="2612" spans="1:8" ht="15" customHeight="1" x14ac:dyDescent="0.25">
      <c r="A2612" s="2">
        <v>46009</v>
      </c>
      <c r="B2612">
        <v>2025003609</v>
      </c>
      <c r="C2612" t="s">
        <v>1767</v>
      </c>
      <c r="D2612" s="11">
        <v>3150000</v>
      </c>
      <c r="E2612" t="s">
        <v>1647</v>
      </c>
      <c r="F2612" t="s">
        <v>119</v>
      </c>
      <c r="G2612" t="s">
        <v>1755</v>
      </c>
      <c r="H2612" t="str">
        <f>VLOOKUP(C2612,'[1]873'!$C$2:$C$711,1,0)</f>
        <v>810-2025</v>
      </c>
    </row>
    <row r="2613" spans="1:8" ht="15" customHeight="1" x14ac:dyDescent="0.25">
      <c r="A2613" s="2">
        <v>46009</v>
      </c>
      <c r="B2613">
        <v>2025003610</v>
      </c>
      <c r="C2613" t="s">
        <v>1853</v>
      </c>
      <c r="D2613" s="11">
        <v>4730000</v>
      </c>
      <c r="E2613" t="s">
        <v>2033</v>
      </c>
      <c r="F2613" t="s">
        <v>355</v>
      </c>
      <c r="G2613" t="s">
        <v>1755</v>
      </c>
      <c r="H2613" t="str">
        <f>VLOOKUP(C2613,'[1]873'!$C$2:$C$711,1,0)</f>
        <v>770-2025</v>
      </c>
    </row>
    <row r="2614" spans="1:8" ht="15" customHeight="1" x14ac:dyDescent="0.25">
      <c r="A2614" s="2">
        <v>46009</v>
      </c>
      <c r="B2614">
        <v>2025003611</v>
      </c>
      <c r="C2614" t="s">
        <v>1990</v>
      </c>
      <c r="D2614" s="11">
        <v>3150000</v>
      </c>
      <c r="E2614" t="s">
        <v>2121</v>
      </c>
      <c r="F2614" t="s">
        <v>1991</v>
      </c>
      <c r="G2614" t="s">
        <v>1755</v>
      </c>
      <c r="H2614" t="str">
        <f>VLOOKUP(C2614,'[1]873'!$C$2:$C$711,1,0)</f>
        <v>851-2025</v>
      </c>
    </row>
    <row r="2615" spans="1:8" ht="15" customHeight="1" x14ac:dyDescent="0.25">
      <c r="A2615" s="2">
        <v>46009</v>
      </c>
      <c r="B2615">
        <v>2025003612</v>
      </c>
      <c r="C2615" t="s">
        <v>1866</v>
      </c>
      <c r="D2615" s="11">
        <v>3150000</v>
      </c>
      <c r="E2615" t="s">
        <v>2044</v>
      </c>
      <c r="F2615" t="s">
        <v>1867</v>
      </c>
      <c r="G2615" t="s">
        <v>1755</v>
      </c>
      <c r="H2615" t="str">
        <f>VLOOKUP(C2615,'[1]873'!$C$2:$C$711,1,0)</f>
        <v>803-2025</v>
      </c>
    </row>
    <row r="2616" spans="1:8" ht="15" customHeight="1" x14ac:dyDescent="0.25">
      <c r="A2616" s="2">
        <v>46009</v>
      </c>
      <c r="B2616">
        <v>2025003614</v>
      </c>
      <c r="C2616" t="s">
        <v>1883</v>
      </c>
      <c r="D2616" s="11">
        <v>6300000</v>
      </c>
      <c r="E2616" t="s">
        <v>2032</v>
      </c>
      <c r="F2616" t="s">
        <v>1884</v>
      </c>
      <c r="G2616" t="s">
        <v>1755</v>
      </c>
      <c r="H2616" t="str">
        <f>VLOOKUP(C2616,'[1]873'!$C$2:$C$711,1,0)</f>
        <v>757-2025</v>
      </c>
    </row>
    <row r="2617" spans="1:8" ht="15" customHeight="1" x14ac:dyDescent="0.25">
      <c r="A2617" s="2">
        <v>46009</v>
      </c>
      <c r="B2617">
        <v>2025003616</v>
      </c>
      <c r="C2617" t="s">
        <v>1758</v>
      </c>
      <c r="D2617" s="11">
        <v>3150000</v>
      </c>
      <c r="E2617" t="s">
        <v>2015</v>
      </c>
      <c r="F2617" t="s">
        <v>1759</v>
      </c>
      <c r="G2617" t="s">
        <v>1755</v>
      </c>
      <c r="H2617" t="str">
        <f>VLOOKUP(C2617,'[1]873'!$C$2:$C$711,1,0)</f>
        <v>887-2025</v>
      </c>
    </row>
    <row r="2618" spans="1:8" ht="15" customHeight="1" x14ac:dyDescent="0.25">
      <c r="A2618" s="2">
        <v>46009</v>
      </c>
      <c r="B2618">
        <v>2025003617</v>
      </c>
      <c r="C2618" t="s">
        <v>1776</v>
      </c>
      <c r="D2618" s="11">
        <v>3150000</v>
      </c>
      <c r="E2618" t="s">
        <v>2014</v>
      </c>
      <c r="F2618" t="s">
        <v>1777</v>
      </c>
      <c r="G2618" t="s">
        <v>1755</v>
      </c>
      <c r="H2618" t="str">
        <f>VLOOKUP(C2618,'[1]873'!$C$2:$C$711,1,0)</f>
        <v>886-2025</v>
      </c>
    </row>
    <row r="2619" spans="1:8" ht="15" customHeight="1" x14ac:dyDescent="0.25">
      <c r="A2619" s="2">
        <v>46009</v>
      </c>
      <c r="B2619">
        <v>2025003618</v>
      </c>
      <c r="C2619" t="s">
        <v>1870</v>
      </c>
      <c r="D2619" s="11">
        <v>4730000</v>
      </c>
      <c r="E2619" t="s">
        <v>2031</v>
      </c>
      <c r="F2619" t="s">
        <v>95</v>
      </c>
      <c r="G2619" t="s">
        <v>1755</v>
      </c>
      <c r="H2619" t="str">
        <f>VLOOKUP(C2619,'[1]873'!$C$2:$C$711,1,0)</f>
        <v>730-2025</v>
      </c>
    </row>
    <row r="2620" spans="1:8" ht="15" customHeight="1" x14ac:dyDescent="0.25">
      <c r="A2620" s="2">
        <v>46009</v>
      </c>
      <c r="B2620">
        <v>2025003620</v>
      </c>
      <c r="C2620" t="s">
        <v>1773</v>
      </c>
      <c r="D2620" s="11">
        <v>6300000</v>
      </c>
      <c r="E2620" t="s">
        <v>2036</v>
      </c>
      <c r="F2620" t="s">
        <v>1774</v>
      </c>
      <c r="G2620" t="s">
        <v>1755</v>
      </c>
      <c r="H2620" t="str">
        <f>VLOOKUP(C2620,'[1]873'!$C$2:$C$711,1,0)</f>
        <v>817-2025</v>
      </c>
    </row>
    <row r="2621" spans="1:8" ht="15" customHeight="1" x14ac:dyDescent="0.25">
      <c r="A2621" s="2">
        <v>46009</v>
      </c>
      <c r="B2621">
        <v>2025003621</v>
      </c>
      <c r="C2621" t="s">
        <v>1778</v>
      </c>
      <c r="D2621" s="11">
        <v>3150000</v>
      </c>
      <c r="E2621" t="s">
        <v>2006</v>
      </c>
      <c r="F2621" t="s">
        <v>1779</v>
      </c>
      <c r="G2621" t="s">
        <v>1755</v>
      </c>
      <c r="H2621" t="str">
        <f>VLOOKUP(C2621,'[1]873'!$C$2:$C$711,1,0)</f>
        <v>798-2025</v>
      </c>
    </row>
    <row r="2622" spans="1:8" ht="15" customHeight="1" x14ac:dyDescent="0.25">
      <c r="A2622" s="2">
        <v>46009</v>
      </c>
      <c r="B2622">
        <v>2025003623</v>
      </c>
      <c r="C2622" t="s">
        <v>2419</v>
      </c>
      <c r="D2622" s="11">
        <v>2000000</v>
      </c>
      <c r="E2622" t="s">
        <v>2420</v>
      </c>
      <c r="F2622" t="s">
        <v>219</v>
      </c>
      <c r="G2622" t="s">
        <v>1755</v>
      </c>
      <c r="H2622" t="str">
        <f>VLOOKUP(C2622,'[1]873'!$C$2:$C$711,1,0)</f>
        <v>1111-2025</v>
      </c>
    </row>
    <row r="2623" spans="1:8" ht="15" customHeight="1" x14ac:dyDescent="0.25">
      <c r="A2623" s="2">
        <v>46009</v>
      </c>
      <c r="B2623">
        <v>2025003624</v>
      </c>
      <c r="C2623" t="s">
        <v>2213</v>
      </c>
      <c r="D2623" s="11">
        <v>3150000</v>
      </c>
      <c r="E2623" t="s">
        <v>1701</v>
      </c>
      <c r="F2623" t="s">
        <v>335</v>
      </c>
      <c r="G2623" t="s">
        <v>1755</v>
      </c>
      <c r="H2623" t="str">
        <f>VLOOKUP(C2623,'[1]873'!$C$2:$C$711,1,0)</f>
        <v>977-2025</v>
      </c>
    </row>
    <row r="2624" spans="1:8" ht="15" customHeight="1" x14ac:dyDescent="0.25">
      <c r="A2624" s="2">
        <v>46010</v>
      </c>
      <c r="B2624">
        <v>2025003625</v>
      </c>
      <c r="C2624" t="s">
        <v>2229</v>
      </c>
      <c r="D2624" s="11">
        <v>2000000</v>
      </c>
      <c r="E2624" t="s">
        <v>2230</v>
      </c>
      <c r="F2624" t="s">
        <v>2231</v>
      </c>
      <c r="G2624" t="s">
        <v>1755</v>
      </c>
      <c r="H2624" t="str">
        <f>VLOOKUP(C2624,'[1]873'!$C$2:$C$711,1,0)</f>
        <v>1026-2025</v>
      </c>
    </row>
    <row r="2625" spans="1:8" ht="15" customHeight="1" x14ac:dyDescent="0.25">
      <c r="A2625" s="2">
        <v>46010</v>
      </c>
      <c r="B2625">
        <v>2025003626</v>
      </c>
      <c r="C2625" t="s">
        <v>2352</v>
      </c>
      <c r="D2625" s="11">
        <v>3150000</v>
      </c>
      <c r="E2625" t="s">
        <v>1744</v>
      </c>
      <c r="F2625" t="s">
        <v>297</v>
      </c>
      <c r="G2625" t="s">
        <v>1755</v>
      </c>
      <c r="H2625" t="str">
        <f>VLOOKUP(C2625,'[1]873'!$C$2:$C$711,1,0)</f>
        <v>1106-2025</v>
      </c>
    </row>
    <row r="2626" spans="1:8" ht="15" customHeight="1" x14ac:dyDescent="0.25">
      <c r="A2626" s="2">
        <v>46010</v>
      </c>
      <c r="B2626">
        <v>2025003628</v>
      </c>
      <c r="C2626" t="s">
        <v>2170</v>
      </c>
      <c r="D2626" s="11">
        <v>3150000</v>
      </c>
      <c r="E2626" t="s">
        <v>2171</v>
      </c>
      <c r="F2626" t="s">
        <v>2172</v>
      </c>
      <c r="G2626" t="s">
        <v>1755</v>
      </c>
      <c r="H2626" t="str">
        <f>VLOOKUP(C2626,'[1]873'!$C$2:$C$711,1,0)</f>
        <v>959-2025</v>
      </c>
    </row>
    <row r="2627" spans="1:8" ht="15" customHeight="1" x14ac:dyDescent="0.25">
      <c r="A2627" s="2">
        <v>46010</v>
      </c>
      <c r="B2627">
        <v>2025003629</v>
      </c>
      <c r="C2627" t="s">
        <v>2165</v>
      </c>
      <c r="D2627" s="11">
        <v>3150000</v>
      </c>
      <c r="E2627" t="s">
        <v>2166</v>
      </c>
      <c r="F2627" t="s">
        <v>567</v>
      </c>
      <c r="G2627" t="s">
        <v>1755</v>
      </c>
      <c r="H2627" t="str">
        <f>VLOOKUP(C2627,'[1]873'!$C$2:$C$711,1,0)</f>
        <v>947-2025</v>
      </c>
    </row>
    <row r="2628" spans="1:8" ht="15" customHeight="1" x14ac:dyDescent="0.25">
      <c r="A2628" s="2">
        <v>46010</v>
      </c>
      <c r="B2628">
        <v>2025003630</v>
      </c>
      <c r="C2628" t="s">
        <v>2378</v>
      </c>
      <c r="D2628" s="11">
        <v>3150000</v>
      </c>
      <c r="E2628" t="s">
        <v>2379</v>
      </c>
      <c r="F2628" t="s">
        <v>2380</v>
      </c>
      <c r="G2628" t="s">
        <v>1755</v>
      </c>
      <c r="H2628" t="str">
        <f>VLOOKUP(C2628,'[1]873'!$C$2:$C$711,1,0)</f>
        <v>1126-2025</v>
      </c>
    </row>
    <row r="2629" spans="1:8" ht="15" customHeight="1" x14ac:dyDescent="0.25">
      <c r="A2629" s="2">
        <v>46010</v>
      </c>
      <c r="B2629">
        <v>2025003632</v>
      </c>
      <c r="C2629" t="s">
        <v>2364</v>
      </c>
      <c r="D2629" s="11">
        <v>3150000</v>
      </c>
      <c r="E2629" t="s">
        <v>2365</v>
      </c>
      <c r="F2629" t="s">
        <v>496</v>
      </c>
      <c r="G2629" t="s">
        <v>1755</v>
      </c>
      <c r="H2629" t="str">
        <f>VLOOKUP(C2629,'[1]873'!$C$2:$C$711,1,0)</f>
        <v>1198-2025</v>
      </c>
    </row>
    <row r="2630" spans="1:8" ht="15" customHeight="1" x14ac:dyDescent="0.25">
      <c r="A2630" s="2">
        <v>46010</v>
      </c>
      <c r="B2630">
        <v>2025003633</v>
      </c>
      <c r="C2630" t="s">
        <v>2129</v>
      </c>
      <c r="D2630" s="11">
        <v>3150000</v>
      </c>
      <c r="E2630" t="s">
        <v>2130</v>
      </c>
      <c r="F2630" t="s">
        <v>1056</v>
      </c>
      <c r="G2630" t="s">
        <v>1755</v>
      </c>
      <c r="H2630" t="str">
        <f>VLOOKUP(C2630,'[1]873'!$C$2:$C$711,1,0)</f>
        <v>934-2025</v>
      </c>
    </row>
    <row r="2631" spans="1:8" ht="15" customHeight="1" x14ac:dyDescent="0.25">
      <c r="A2631" s="2">
        <v>46010</v>
      </c>
      <c r="B2631">
        <v>2025003635</v>
      </c>
      <c r="C2631" t="s">
        <v>1849</v>
      </c>
      <c r="D2631" s="11">
        <v>7800000</v>
      </c>
      <c r="E2631" t="s">
        <v>1620</v>
      </c>
      <c r="F2631" t="s">
        <v>41</v>
      </c>
      <c r="G2631" t="s">
        <v>1755</v>
      </c>
      <c r="H2631" t="str">
        <f>VLOOKUP(C2631,'[1]873'!$C$2:$C$711,1,0)</f>
        <v>711-2025</v>
      </c>
    </row>
    <row r="2632" spans="1:8" ht="15" customHeight="1" x14ac:dyDescent="0.25">
      <c r="A2632" s="2">
        <v>46010</v>
      </c>
      <c r="B2632">
        <v>2025003636</v>
      </c>
      <c r="C2632" t="s">
        <v>1875</v>
      </c>
      <c r="D2632" s="11">
        <v>7800000</v>
      </c>
      <c r="E2632" t="s">
        <v>1708</v>
      </c>
      <c r="F2632" t="s">
        <v>1218</v>
      </c>
      <c r="G2632" t="s">
        <v>1755</v>
      </c>
      <c r="H2632" t="str">
        <f>VLOOKUP(C2632,'[1]873'!$C$2:$C$711,1,0)</f>
        <v>755-2025</v>
      </c>
    </row>
    <row r="2633" spans="1:8" ht="15" customHeight="1" x14ac:dyDescent="0.25">
      <c r="A2633" s="2">
        <v>46010</v>
      </c>
      <c r="B2633">
        <v>2025003637</v>
      </c>
      <c r="C2633" t="s">
        <v>2232</v>
      </c>
      <c r="D2633" s="11">
        <v>2000000</v>
      </c>
      <c r="E2633" t="s">
        <v>2233</v>
      </c>
      <c r="F2633" t="s">
        <v>2234</v>
      </c>
      <c r="G2633" t="s">
        <v>1755</v>
      </c>
      <c r="H2633" t="str">
        <f>VLOOKUP(C2633,'[1]873'!$C$2:$C$711,1,0)</f>
        <v>1015-2025</v>
      </c>
    </row>
    <row r="2634" spans="1:8" ht="15" customHeight="1" x14ac:dyDescent="0.25">
      <c r="A2634" s="2">
        <v>46010</v>
      </c>
      <c r="B2634">
        <v>2025003638</v>
      </c>
      <c r="C2634" t="s">
        <v>1905</v>
      </c>
      <c r="D2634" s="11">
        <v>7800000</v>
      </c>
      <c r="E2634" t="s">
        <v>1619</v>
      </c>
      <c r="F2634" t="s">
        <v>745</v>
      </c>
      <c r="G2634" t="s">
        <v>1755</v>
      </c>
      <c r="H2634" t="str">
        <f>VLOOKUP(C2634,'[1]873'!$C$2:$C$711,1,0)</f>
        <v>767-2025</v>
      </c>
    </row>
    <row r="2635" spans="1:8" ht="15" customHeight="1" x14ac:dyDescent="0.25">
      <c r="A2635" s="2">
        <v>46010</v>
      </c>
      <c r="B2635">
        <v>2025003641</v>
      </c>
      <c r="C2635" t="s">
        <v>1969</v>
      </c>
      <c r="D2635" s="11">
        <v>7800000</v>
      </c>
      <c r="E2635" t="s">
        <v>2222</v>
      </c>
      <c r="F2635" t="s">
        <v>1970</v>
      </c>
      <c r="G2635" t="s">
        <v>1755</v>
      </c>
      <c r="H2635" t="str">
        <f>VLOOKUP(C2635,'[1]873'!$C$2:$C$711,1,0)</f>
        <v>927-2025</v>
      </c>
    </row>
    <row r="2636" spans="1:8" ht="15" customHeight="1" x14ac:dyDescent="0.25">
      <c r="A2636" s="2">
        <v>46010</v>
      </c>
      <c r="B2636">
        <v>2025003642</v>
      </c>
      <c r="C2636" t="s">
        <v>2424</v>
      </c>
      <c r="D2636" s="11">
        <v>2000000</v>
      </c>
      <c r="E2636" t="s">
        <v>2425</v>
      </c>
      <c r="F2636" t="s">
        <v>2426</v>
      </c>
      <c r="G2636" t="s">
        <v>1755</v>
      </c>
      <c r="H2636" t="str">
        <f>VLOOKUP(C2636,'[1]873'!$C$2:$C$711,1,0)</f>
        <v>1159-2025</v>
      </c>
    </row>
    <row r="2637" spans="1:8" ht="15" customHeight="1" x14ac:dyDescent="0.25">
      <c r="A2637" s="2">
        <v>46010</v>
      </c>
      <c r="B2637">
        <v>2025003644</v>
      </c>
      <c r="C2637" t="s">
        <v>2427</v>
      </c>
      <c r="D2637" s="11">
        <v>3150000</v>
      </c>
      <c r="E2637" t="s">
        <v>1752</v>
      </c>
      <c r="F2637" t="s">
        <v>470</v>
      </c>
      <c r="G2637" t="s">
        <v>1755</v>
      </c>
      <c r="H2637" t="str">
        <f>VLOOKUP(C2637,'[1]873'!$C$2:$C$711,1,0)</f>
        <v>1102-2025</v>
      </c>
    </row>
    <row r="2638" spans="1:8" ht="15" customHeight="1" x14ac:dyDescent="0.25">
      <c r="A2638" s="2">
        <v>46010</v>
      </c>
      <c r="B2638">
        <v>2025003650</v>
      </c>
      <c r="C2638" t="s">
        <v>2428</v>
      </c>
      <c r="D2638" s="11">
        <v>3150000</v>
      </c>
      <c r="E2638" t="s">
        <v>1740</v>
      </c>
      <c r="F2638" t="s">
        <v>682</v>
      </c>
      <c r="G2638" t="s">
        <v>1755</v>
      </c>
      <c r="H2638" t="str">
        <f>VLOOKUP(C2638,'[1]873'!$C$2:$C$711,1,0)</f>
        <v>1129-2025</v>
      </c>
    </row>
    <row r="2639" spans="1:8" ht="15" customHeight="1" x14ac:dyDescent="0.25">
      <c r="A2639" s="2">
        <v>46010</v>
      </c>
      <c r="B2639">
        <v>2025003652</v>
      </c>
      <c r="C2639" t="s">
        <v>2168</v>
      </c>
      <c r="D2639" s="11">
        <v>3150000</v>
      </c>
      <c r="E2639" t="s">
        <v>2169</v>
      </c>
      <c r="F2639" t="s">
        <v>950</v>
      </c>
      <c r="G2639" t="s">
        <v>1755</v>
      </c>
      <c r="H2639" t="str">
        <f>VLOOKUP(C2639,'[1]873'!$C$2:$C$711,1,0)</f>
        <v>983-2025</v>
      </c>
    </row>
    <row r="2640" spans="1:8" ht="15" customHeight="1" x14ac:dyDescent="0.25">
      <c r="A2640" s="2">
        <v>46010</v>
      </c>
      <c r="B2640">
        <v>2025003661</v>
      </c>
      <c r="C2640" t="s">
        <v>1919</v>
      </c>
      <c r="D2640" s="11">
        <v>4730000</v>
      </c>
      <c r="E2640" t="s">
        <v>2289</v>
      </c>
      <c r="F2640" t="s">
        <v>900</v>
      </c>
      <c r="G2640" t="s">
        <v>1755</v>
      </c>
      <c r="H2640" t="str">
        <f>VLOOKUP(C2640,'[1]873'!$C$2:$C$711,1,0)</f>
        <v>792-2025</v>
      </c>
    </row>
    <row r="2641" spans="1:8" ht="15" customHeight="1" x14ac:dyDescent="0.25">
      <c r="A2641" s="2">
        <v>46010</v>
      </c>
      <c r="B2641">
        <v>2025003662</v>
      </c>
      <c r="C2641" t="s">
        <v>1977</v>
      </c>
      <c r="D2641" s="11">
        <v>3150000</v>
      </c>
      <c r="E2641" t="s">
        <v>1612</v>
      </c>
      <c r="F2641" t="s">
        <v>562</v>
      </c>
      <c r="G2641" t="s">
        <v>1755</v>
      </c>
      <c r="H2641" t="str">
        <f>VLOOKUP(C2641,'[1]873'!$C$2:$C$711,1,0)</f>
        <v>907-2025</v>
      </c>
    </row>
    <row r="2642" spans="1:8" ht="15" customHeight="1" x14ac:dyDescent="0.25">
      <c r="A2642" s="2">
        <v>46010</v>
      </c>
      <c r="B2642">
        <v>2025003663</v>
      </c>
      <c r="C2642" t="s">
        <v>1840</v>
      </c>
      <c r="D2642" s="11">
        <v>7800000</v>
      </c>
      <c r="E2642" t="s">
        <v>2051</v>
      </c>
      <c r="F2642" t="s">
        <v>1841</v>
      </c>
      <c r="G2642" t="s">
        <v>1755</v>
      </c>
      <c r="H2642" t="str">
        <f>VLOOKUP(C2642,'[1]873'!$C$2:$C$711,1,0)</f>
        <v>744-2025</v>
      </c>
    </row>
    <row r="2643" spans="1:8" ht="15" customHeight="1" x14ac:dyDescent="0.25">
      <c r="A2643" s="2">
        <v>46010</v>
      </c>
      <c r="B2643">
        <v>2025003664</v>
      </c>
      <c r="C2643" t="s">
        <v>1832</v>
      </c>
      <c r="D2643" s="11">
        <v>3150000</v>
      </c>
      <c r="E2643" t="s">
        <v>1695</v>
      </c>
      <c r="F2643" t="s">
        <v>477</v>
      </c>
      <c r="G2643" t="s">
        <v>1755</v>
      </c>
      <c r="H2643" t="str">
        <f>VLOOKUP(C2643,'[1]873'!$C$2:$C$711,1,0)</f>
        <v>811-2025</v>
      </c>
    </row>
    <row r="2644" spans="1:8" ht="15" customHeight="1" x14ac:dyDescent="0.25">
      <c r="A2644" s="2">
        <v>46010</v>
      </c>
      <c r="B2644">
        <v>2025003665</v>
      </c>
      <c r="C2644" t="s">
        <v>1896</v>
      </c>
      <c r="D2644" s="11">
        <v>3150000</v>
      </c>
      <c r="E2644" t="s">
        <v>2063</v>
      </c>
      <c r="F2644" t="s">
        <v>1897</v>
      </c>
      <c r="G2644" t="s">
        <v>1755</v>
      </c>
      <c r="H2644" t="str">
        <f>VLOOKUP(C2644,'[1]873'!$C$2:$C$711,1,0)</f>
        <v>896-2025</v>
      </c>
    </row>
    <row r="2645" spans="1:8" ht="15" customHeight="1" x14ac:dyDescent="0.25">
      <c r="A2645" s="2">
        <v>46010</v>
      </c>
      <c r="B2645">
        <v>2025003666</v>
      </c>
      <c r="C2645" t="s">
        <v>1911</v>
      </c>
      <c r="D2645" s="11">
        <v>3150000</v>
      </c>
      <c r="E2645" t="s">
        <v>1648</v>
      </c>
      <c r="F2645" t="s">
        <v>251</v>
      </c>
      <c r="G2645" t="s">
        <v>1755</v>
      </c>
      <c r="H2645" t="str">
        <f>VLOOKUP(C2645,'[1]873'!$C$2:$C$711,1,0)</f>
        <v>802-2025</v>
      </c>
    </row>
    <row r="2646" spans="1:8" ht="15" customHeight="1" x14ac:dyDescent="0.25">
      <c r="A2646" s="2">
        <v>46010</v>
      </c>
      <c r="B2646">
        <v>2025003667</v>
      </c>
      <c r="C2646" t="s">
        <v>1962</v>
      </c>
      <c r="D2646" s="11">
        <v>4730000</v>
      </c>
      <c r="E2646" t="s">
        <v>2111</v>
      </c>
      <c r="F2646" t="s">
        <v>91</v>
      </c>
      <c r="G2646" t="s">
        <v>1755</v>
      </c>
      <c r="H2646" t="str">
        <f>VLOOKUP(C2646,'[1]873'!$C$2:$C$711,1,0)</f>
        <v>752-2025</v>
      </c>
    </row>
    <row r="2647" spans="1:8" ht="15" customHeight="1" x14ac:dyDescent="0.25">
      <c r="A2647" s="2">
        <v>46010</v>
      </c>
      <c r="B2647">
        <v>2025003668</v>
      </c>
      <c r="C2647" t="s">
        <v>2343</v>
      </c>
      <c r="D2647" s="11">
        <v>3150000</v>
      </c>
      <c r="E2647" t="s">
        <v>2344</v>
      </c>
      <c r="F2647" t="s">
        <v>197</v>
      </c>
      <c r="G2647" t="s">
        <v>1755</v>
      </c>
      <c r="H2647" t="str">
        <f>VLOOKUP(C2647,'[1]873'!$C$2:$C$711,1,0)</f>
        <v>1185-2025</v>
      </c>
    </row>
    <row r="2648" spans="1:8" ht="15" customHeight="1" x14ac:dyDescent="0.25">
      <c r="A2648" s="2">
        <v>46010</v>
      </c>
      <c r="B2648">
        <v>2025003669</v>
      </c>
      <c r="C2648" t="s">
        <v>1877</v>
      </c>
      <c r="D2648" s="11">
        <v>3150000</v>
      </c>
      <c r="E2648" t="s">
        <v>1719</v>
      </c>
      <c r="F2648" t="s">
        <v>1230</v>
      </c>
      <c r="G2648" t="s">
        <v>1755</v>
      </c>
      <c r="H2648" t="str">
        <f>VLOOKUP(C2648,'[1]873'!$C$2:$C$711,1,0)</f>
        <v>894-2025</v>
      </c>
    </row>
    <row r="2649" spans="1:8" ht="15" customHeight="1" x14ac:dyDescent="0.25">
      <c r="A2649" s="2">
        <v>46010</v>
      </c>
      <c r="B2649">
        <v>2025003670</v>
      </c>
      <c r="C2649" t="s">
        <v>1971</v>
      </c>
      <c r="D2649" s="11">
        <v>3150000</v>
      </c>
      <c r="E2649" t="s">
        <v>2167</v>
      </c>
      <c r="F2649" t="s">
        <v>701</v>
      </c>
      <c r="G2649" t="s">
        <v>1755</v>
      </c>
      <c r="H2649" t="str">
        <f>VLOOKUP(C2649,'[1]873'!$C$2:$C$711,1,0)</f>
        <v>901-2025</v>
      </c>
    </row>
    <row r="2650" spans="1:8" ht="15" customHeight="1" x14ac:dyDescent="0.25">
      <c r="A2650" s="2">
        <v>46010</v>
      </c>
      <c r="B2650">
        <v>2025003671</v>
      </c>
      <c r="C2650" t="s">
        <v>2428</v>
      </c>
      <c r="D2650" s="11">
        <v>3150000</v>
      </c>
      <c r="E2650" t="s">
        <v>1740</v>
      </c>
      <c r="F2650" t="s">
        <v>682</v>
      </c>
      <c r="G2650" t="s">
        <v>1755</v>
      </c>
      <c r="H2650" t="str">
        <f>VLOOKUP(C2650,'[1]873'!$C$2:$C$711,1,0)</f>
        <v>1129-2025</v>
      </c>
    </row>
    <row r="2651" spans="1:8" ht="15" customHeight="1" x14ac:dyDescent="0.25">
      <c r="A2651" s="2">
        <v>46010</v>
      </c>
      <c r="B2651">
        <v>2025003672</v>
      </c>
      <c r="C2651" t="s">
        <v>2135</v>
      </c>
      <c r="D2651" s="11">
        <v>2000000</v>
      </c>
      <c r="E2651" t="s">
        <v>2136</v>
      </c>
      <c r="F2651" t="s">
        <v>2137</v>
      </c>
      <c r="G2651" t="s">
        <v>1755</v>
      </c>
      <c r="H2651" t="str">
        <f>VLOOKUP(C2651,'[1]873'!$C$2:$C$711,1,0)</f>
        <v>1020-2025</v>
      </c>
    </row>
    <row r="2652" spans="1:8" ht="15" customHeight="1" x14ac:dyDescent="0.25">
      <c r="A2652" s="2">
        <v>46010</v>
      </c>
      <c r="B2652">
        <v>2025003673</v>
      </c>
      <c r="C2652" t="s">
        <v>2363</v>
      </c>
      <c r="D2652" s="11">
        <v>2000000</v>
      </c>
      <c r="E2652" t="s">
        <v>1734</v>
      </c>
      <c r="F2652" t="s">
        <v>283</v>
      </c>
      <c r="G2652" t="s">
        <v>1755</v>
      </c>
      <c r="H2652" t="str">
        <f>VLOOKUP(C2652,'[1]873'!$C$2:$C$711,1,0)</f>
        <v>1133-2025</v>
      </c>
    </row>
    <row r="2653" spans="1:8" ht="15" customHeight="1" x14ac:dyDescent="0.25">
      <c r="A2653" s="2">
        <v>46010</v>
      </c>
      <c r="B2653">
        <v>2025003674</v>
      </c>
      <c r="C2653" t="s">
        <v>2168</v>
      </c>
      <c r="D2653" s="11">
        <v>3150000</v>
      </c>
      <c r="E2653" t="s">
        <v>2169</v>
      </c>
      <c r="F2653" t="s">
        <v>950</v>
      </c>
      <c r="G2653" t="s">
        <v>1755</v>
      </c>
      <c r="H2653" t="str">
        <f>VLOOKUP(C2653,'[1]873'!$C$2:$C$711,1,0)</f>
        <v>983-2025</v>
      </c>
    </row>
    <row r="2654" spans="1:8" ht="15" customHeight="1" x14ac:dyDescent="0.25">
      <c r="A2654" s="2">
        <v>46010</v>
      </c>
      <c r="B2654">
        <v>2025003675</v>
      </c>
      <c r="C2654" t="s">
        <v>2340</v>
      </c>
      <c r="D2654" s="11">
        <v>3150000</v>
      </c>
      <c r="E2654" t="s">
        <v>1736</v>
      </c>
      <c r="F2654" t="s">
        <v>467</v>
      </c>
      <c r="G2654" t="s">
        <v>1755</v>
      </c>
      <c r="H2654" t="str">
        <f>VLOOKUP(C2654,'[1]873'!$C$2:$C$711,1,0)</f>
        <v>1124-2025</v>
      </c>
    </row>
    <row r="2655" spans="1:8" ht="15" customHeight="1" x14ac:dyDescent="0.25">
      <c r="A2655" s="2">
        <v>46010</v>
      </c>
      <c r="B2655">
        <v>2025003676</v>
      </c>
      <c r="C2655" s="4" t="s">
        <v>1787</v>
      </c>
      <c r="D2655" s="11">
        <v>3150000</v>
      </c>
      <c r="E2655" t="s">
        <v>1730</v>
      </c>
      <c r="F2655" t="s">
        <v>37</v>
      </c>
      <c r="G2655" t="s">
        <v>1755</v>
      </c>
      <c r="H2655" t="str">
        <f>VLOOKUP(C2655,'[1]873'!$C$2:$C$711,1,0)</f>
        <v>895-2025</v>
      </c>
    </row>
    <row r="2656" spans="1:8" ht="15" customHeight="1" x14ac:dyDescent="0.25">
      <c r="A2656" s="2">
        <v>46010</v>
      </c>
      <c r="B2656">
        <v>2025003677</v>
      </c>
      <c r="C2656" t="s">
        <v>2369</v>
      </c>
      <c r="D2656" s="11">
        <v>2000000</v>
      </c>
      <c r="E2656" t="s">
        <v>2370</v>
      </c>
      <c r="F2656" t="s">
        <v>976</v>
      </c>
      <c r="G2656" t="s">
        <v>1755</v>
      </c>
      <c r="H2656" t="str">
        <f>VLOOKUP(C2656,'[1]873'!$C$2:$C$711,1,0)</f>
        <v>1104-2025</v>
      </c>
    </row>
    <row r="2657" spans="1:8" ht="15" customHeight="1" x14ac:dyDescent="0.25">
      <c r="A2657" s="2">
        <v>46010</v>
      </c>
      <c r="B2657">
        <v>2025003678</v>
      </c>
      <c r="C2657" t="s">
        <v>2357</v>
      </c>
      <c r="D2657" s="11">
        <v>3150000</v>
      </c>
      <c r="E2657" t="s">
        <v>2358</v>
      </c>
      <c r="F2657" t="s">
        <v>2359</v>
      </c>
      <c r="G2657" t="s">
        <v>1755</v>
      </c>
      <c r="H2657" t="str">
        <f>VLOOKUP(C2657,'[1]873'!$C$2:$C$711,1,0)</f>
        <v>1142-2025</v>
      </c>
    </row>
    <row r="2658" spans="1:8" ht="15" customHeight="1" x14ac:dyDescent="0.25">
      <c r="A2658" s="2">
        <v>46010</v>
      </c>
      <c r="B2658">
        <v>2025003679</v>
      </c>
      <c r="C2658" t="s">
        <v>1904</v>
      </c>
      <c r="D2658" s="11">
        <v>6300000</v>
      </c>
      <c r="E2658" t="s">
        <v>2138</v>
      </c>
      <c r="F2658" t="s">
        <v>1084</v>
      </c>
      <c r="G2658" t="s">
        <v>1755</v>
      </c>
      <c r="H2658" t="str">
        <f>VLOOKUP(C2658,'[1]873'!$C$2:$C$711,1,0)</f>
        <v>763-2025</v>
      </c>
    </row>
    <row r="2659" spans="1:8" ht="15" customHeight="1" x14ac:dyDescent="0.25">
      <c r="A2659" s="2">
        <v>46010</v>
      </c>
      <c r="B2659">
        <v>2025003680</v>
      </c>
      <c r="C2659" t="s">
        <v>2223</v>
      </c>
      <c r="D2659" s="11">
        <v>2000000</v>
      </c>
      <c r="E2659" t="s">
        <v>2224</v>
      </c>
      <c r="F2659" t="s">
        <v>2225</v>
      </c>
      <c r="G2659" t="s">
        <v>1755</v>
      </c>
      <c r="H2659" t="str">
        <f>VLOOKUP(C2659,'[1]873'!$C$2:$C$711,1,0)</f>
        <v>1033-2025</v>
      </c>
    </row>
    <row r="2660" spans="1:8" ht="15" customHeight="1" x14ac:dyDescent="0.25">
      <c r="A2660" s="2">
        <v>46010</v>
      </c>
      <c r="B2660">
        <v>2025003682</v>
      </c>
      <c r="C2660" t="s">
        <v>2384</v>
      </c>
      <c r="D2660" s="11">
        <v>2000000</v>
      </c>
      <c r="E2660" t="s">
        <v>2385</v>
      </c>
      <c r="F2660" t="s">
        <v>2386</v>
      </c>
      <c r="G2660" t="s">
        <v>1755</v>
      </c>
      <c r="H2660" t="str">
        <f>VLOOKUP(C2660,'[1]873'!$C$2:$C$711,1,0)</f>
        <v>1113-2025</v>
      </c>
    </row>
    <row r="2661" spans="1:8" ht="15" customHeight="1" x14ac:dyDescent="0.25">
      <c r="A2661" s="2">
        <v>46010</v>
      </c>
      <c r="B2661">
        <v>2025003683</v>
      </c>
      <c r="C2661" t="s">
        <v>2341</v>
      </c>
      <c r="D2661" s="11">
        <v>3150000</v>
      </c>
      <c r="E2661" t="s">
        <v>2342</v>
      </c>
      <c r="F2661" t="s">
        <v>499</v>
      </c>
      <c r="G2661" t="s">
        <v>1755</v>
      </c>
      <c r="H2661" t="str">
        <f>VLOOKUP(C2661,'[1]873'!$C$2:$C$711,1,0)</f>
        <v>1095-2025</v>
      </c>
    </row>
    <row r="2662" spans="1:8" ht="15" customHeight="1" x14ac:dyDescent="0.25">
      <c r="A2662" s="2">
        <v>46010</v>
      </c>
      <c r="B2662">
        <v>2025003684</v>
      </c>
      <c r="C2662" t="s">
        <v>2381</v>
      </c>
      <c r="D2662" s="11">
        <v>2000000</v>
      </c>
      <c r="E2662" t="s">
        <v>2382</v>
      </c>
      <c r="F2662" t="s">
        <v>2383</v>
      </c>
      <c r="G2662" t="s">
        <v>1755</v>
      </c>
      <c r="H2662" t="str">
        <f>VLOOKUP(C2662,'[1]873'!$C$2:$C$711,1,0)</f>
        <v>1149-2025</v>
      </c>
    </row>
    <row r="2663" spans="1:8" ht="15" customHeight="1" x14ac:dyDescent="0.25">
      <c r="A2663" s="2">
        <v>46010</v>
      </c>
      <c r="B2663">
        <v>2025003685</v>
      </c>
      <c r="C2663" t="s">
        <v>1790</v>
      </c>
      <c r="D2663" s="11">
        <v>6300000</v>
      </c>
      <c r="E2663" t="s">
        <v>2210</v>
      </c>
      <c r="F2663" t="s">
        <v>337</v>
      </c>
      <c r="G2663" t="s">
        <v>1755</v>
      </c>
      <c r="H2663" t="str">
        <f>VLOOKUP(C2663,'[1]873'!$C$2:$C$711,1,0)</f>
        <v>781-2025</v>
      </c>
    </row>
    <row r="2664" spans="1:8" ht="15" customHeight="1" x14ac:dyDescent="0.25">
      <c r="A2664" s="2">
        <v>46010</v>
      </c>
      <c r="B2664">
        <v>2025003686</v>
      </c>
      <c r="C2664" t="s">
        <v>2235</v>
      </c>
      <c r="D2664" s="11">
        <v>2000000</v>
      </c>
      <c r="E2664" t="s">
        <v>2236</v>
      </c>
      <c r="F2664" t="s">
        <v>2237</v>
      </c>
      <c r="G2664" t="s">
        <v>1755</v>
      </c>
      <c r="H2664" t="str">
        <f>VLOOKUP(C2664,'[1]873'!$C$2:$C$711,1,0)</f>
        <v>1022-2025</v>
      </c>
    </row>
    <row r="2665" spans="1:8" ht="15" customHeight="1" x14ac:dyDescent="0.25">
      <c r="A2665" s="2">
        <v>46010</v>
      </c>
      <c r="B2665">
        <v>2025003687</v>
      </c>
      <c r="C2665" t="s">
        <v>1976</v>
      </c>
      <c r="D2665" s="11">
        <v>3150000</v>
      </c>
      <c r="E2665" t="s">
        <v>1604</v>
      </c>
      <c r="F2665" t="s">
        <v>1110</v>
      </c>
      <c r="G2665" t="s">
        <v>1755</v>
      </c>
      <c r="H2665" t="str">
        <f>VLOOKUP(C2665,'[1]873'!$C$2:$C$711,1,0)</f>
        <v>903-2025</v>
      </c>
    </row>
    <row r="2666" spans="1:8" ht="15" customHeight="1" x14ac:dyDescent="0.25">
      <c r="A2666" s="2">
        <v>46010</v>
      </c>
      <c r="B2666">
        <v>2025003688</v>
      </c>
      <c r="C2666" t="s">
        <v>2376</v>
      </c>
      <c r="D2666" s="11">
        <v>3150000</v>
      </c>
      <c r="E2666" t="s">
        <v>2377</v>
      </c>
      <c r="F2666" t="s">
        <v>1269</v>
      </c>
      <c r="G2666" t="s">
        <v>1755</v>
      </c>
      <c r="H2666" t="str">
        <f>VLOOKUP(C2666,'[1]873'!$C$2:$C$711,1,0)</f>
        <v>1125-2025</v>
      </c>
    </row>
    <row r="2667" spans="1:8" ht="15" customHeight="1" x14ac:dyDescent="0.25">
      <c r="A2667" s="2">
        <v>46010</v>
      </c>
      <c r="B2667">
        <v>2025003689</v>
      </c>
      <c r="C2667" t="s">
        <v>1963</v>
      </c>
      <c r="D2667" s="11">
        <v>7800000</v>
      </c>
      <c r="E2667" t="s">
        <v>2023</v>
      </c>
      <c r="F2667" t="s">
        <v>1964</v>
      </c>
      <c r="G2667" t="s">
        <v>1755</v>
      </c>
      <c r="H2667" t="str">
        <f>VLOOKUP(C2667,'[1]873'!$C$2:$C$711,1,0)</f>
        <v>780-2025</v>
      </c>
    </row>
    <row r="2668" spans="1:8" ht="15" customHeight="1" x14ac:dyDescent="0.25">
      <c r="A2668" s="2">
        <v>46010</v>
      </c>
      <c r="B2668">
        <v>2025003690</v>
      </c>
      <c r="C2668" t="s">
        <v>1786</v>
      </c>
      <c r="D2668" s="11">
        <v>3150000</v>
      </c>
      <c r="E2668" t="s">
        <v>1688</v>
      </c>
      <c r="F2668" t="s">
        <v>33</v>
      </c>
      <c r="G2668" t="s">
        <v>1755</v>
      </c>
      <c r="H2668" t="str">
        <f>VLOOKUP(C2668,'[1]873'!$C$2:$C$711,1,0)</f>
        <v>869-2025</v>
      </c>
    </row>
    <row r="2669" spans="1:8" ht="15" customHeight="1" x14ac:dyDescent="0.25">
      <c r="A2669" s="2">
        <v>46010</v>
      </c>
      <c r="B2669">
        <v>2025003691</v>
      </c>
      <c r="C2669" t="s">
        <v>1938</v>
      </c>
      <c r="D2669" s="11">
        <v>6300000</v>
      </c>
      <c r="E2669" t="s">
        <v>2060</v>
      </c>
      <c r="F2669" t="s">
        <v>1939</v>
      </c>
      <c r="G2669" t="s">
        <v>1755</v>
      </c>
      <c r="H2669" t="str">
        <f>VLOOKUP(C2669,'[1]873'!$C$2:$C$711,1,0)</f>
        <v>898-2025</v>
      </c>
    </row>
    <row r="2670" spans="1:8" ht="15" customHeight="1" x14ac:dyDescent="0.25">
      <c r="A2670" s="2">
        <v>46010</v>
      </c>
      <c r="B2670">
        <v>2025003692</v>
      </c>
      <c r="C2670" t="s">
        <v>2345</v>
      </c>
      <c r="D2670" s="11">
        <v>3150000</v>
      </c>
      <c r="E2670" t="s">
        <v>2346</v>
      </c>
      <c r="F2670" t="s">
        <v>2347</v>
      </c>
      <c r="G2670" t="s">
        <v>1755</v>
      </c>
      <c r="H2670" t="str">
        <f>VLOOKUP(C2670,'[1]873'!$C$2:$C$711,1,0)</f>
        <v>1143-2025</v>
      </c>
    </row>
    <row r="2671" spans="1:8" ht="15" customHeight="1" x14ac:dyDescent="0.25">
      <c r="A2671" s="2">
        <v>46010</v>
      </c>
      <c r="B2671">
        <v>2025003693</v>
      </c>
      <c r="C2671" t="s">
        <v>2122</v>
      </c>
      <c r="D2671" s="11">
        <v>2000000</v>
      </c>
      <c r="E2671" t="s">
        <v>1642</v>
      </c>
      <c r="F2671" t="s">
        <v>51</v>
      </c>
      <c r="G2671" t="s">
        <v>1755</v>
      </c>
      <c r="H2671" t="str">
        <f>VLOOKUP(C2671,'[1]873'!$C$2:$C$711,1,0)</f>
        <v>1000-2025</v>
      </c>
    </row>
    <row r="2672" spans="1:8" ht="15" customHeight="1" x14ac:dyDescent="0.25">
      <c r="A2672" s="2">
        <v>46010</v>
      </c>
      <c r="B2672">
        <v>2025003694</v>
      </c>
      <c r="C2672" t="s">
        <v>2126</v>
      </c>
      <c r="D2672" s="11">
        <v>2000000</v>
      </c>
      <c r="E2672" t="s">
        <v>2127</v>
      </c>
      <c r="F2672" t="s">
        <v>2128</v>
      </c>
      <c r="G2672" t="s">
        <v>1755</v>
      </c>
      <c r="H2672" t="str">
        <f>VLOOKUP(C2672,'[1]873'!$C$2:$C$711,1,0)</f>
        <v>1030-2025</v>
      </c>
    </row>
    <row r="2673" spans="1:8" ht="15" customHeight="1" x14ac:dyDescent="0.25">
      <c r="A2673" s="2">
        <v>46010</v>
      </c>
      <c r="B2673">
        <v>2025003695</v>
      </c>
      <c r="C2673" t="s">
        <v>1912</v>
      </c>
      <c r="D2673" s="11">
        <v>3150000</v>
      </c>
      <c r="E2673" t="s">
        <v>1691</v>
      </c>
      <c r="F2673" t="s">
        <v>1202</v>
      </c>
      <c r="G2673" t="s">
        <v>1755</v>
      </c>
      <c r="H2673" t="str">
        <f>VLOOKUP(C2673,'[1]873'!$C$2:$C$711,1,0)</f>
        <v>837-2025</v>
      </c>
    </row>
    <row r="2674" spans="1:8" ht="15" customHeight="1" x14ac:dyDescent="0.25">
      <c r="A2674" s="2">
        <v>46010</v>
      </c>
      <c r="B2674">
        <v>2025003697</v>
      </c>
      <c r="C2674" t="s">
        <v>2387</v>
      </c>
      <c r="D2674" s="11">
        <v>3150000</v>
      </c>
      <c r="E2674" t="s">
        <v>2388</v>
      </c>
      <c r="F2674" t="s">
        <v>2389</v>
      </c>
      <c r="G2674" t="s">
        <v>1755</v>
      </c>
      <c r="H2674" t="str">
        <f>VLOOKUP(C2674,'[1]873'!$C$2:$C$711,1,0)</f>
        <v>1184-2025</v>
      </c>
    </row>
    <row r="2675" spans="1:8" ht="15" customHeight="1" x14ac:dyDescent="0.25">
      <c r="A2675" s="2">
        <v>46010</v>
      </c>
      <c r="B2675">
        <v>2025003698</v>
      </c>
      <c r="C2675" t="s">
        <v>1978</v>
      </c>
      <c r="D2675" s="11">
        <v>6300000</v>
      </c>
      <c r="E2675" t="s">
        <v>1665</v>
      </c>
      <c r="F2675" t="s">
        <v>453</v>
      </c>
      <c r="G2675" t="s">
        <v>1755</v>
      </c>
      <c r="H2675" t="str">
        <f>VLOOKUP(C2675,'[1]873'!$C$2:$C$711,1,0)</f>
        <v>751-2025</v>
      </c>
    </row>
    <row r="2676" spans="1:8" ht="15" customHeight="1" x14ac:dyDescent="0.25">
      <c r="A2676" s="2">
        <v>46010</v>
      </c>
      <c r="B2676">
        <v>2025003699</v>
      </c>
      <c r="C2676" t="s">
        <v>2427</v>
      </c>
      <c r="D2676" s="11">
        <v>3150000</v>
      </c>
      <c r="E2676" t="s">
        <v>1752</v>
      </c>
      <c r="F2676" t="s">
        <v>470</v>
      </c>
      <c r="G2676" t="s">
        <v>1755</v>
      </c>
      <c r="H2676" t="str">
        <f>VLOOKUP(C2676,'[1]873'!$C$2:$C$711,1,0)</f>
        <v>1102-2025</v>
      </c>
    </row>
    <row r="2677" spans="1:8" ht="15" customHeight="1" x14ac:dyDescent="0.25">
      <c r="A2677" s="2">
        <v>46010</v>
      </c>
      <c r="B2677">
        <v>2025003700</v>
      </c>
      <c r="C2677" t="s">
        <v>2348</v>
      </c>
      <c r="D2677" s="11">
        <v>3150000</v>
      </c>
      <c r="E2677" t="s">
        <v>2349</v>
      </c>
      <c r="F2677" t="s">
        <v>2350</v>
      </c>
      <c r="G2677" t="s">
        <v>1755</v>
      </c>
      <c r="H2677" t="str">
        <f>VLOOKUP(C2677,'[1]873'!$C$2:$C$711,1,0)</f>
        <v>1086-2025</v>
      </c>
    </row>
    <row r="2678" spans="1:8" ht="15" customHeight="1" x14ac:dyDescent="0.25">
      <c r="A2678" s="2">
        <v>46010</v>
      </c>
      <c r="B2678">
        <v>2025003701</v>
      </c>
      <c r="C2678" t="s">
        <v>2339</v>
      </c>
      <c r="D2678" s="11">
        <v>3150000</v>
      </c>
      <c r="E2678" t="s">
        <v>1726</v>
      </c>
      <c r="F2678" t="s">
        <v>1242</v>
      </c>
      <c r="G2678" t="s">
        <v>1755</v>
      </c>
      <c r="H2678" t="str">
        <f>VLOOKUP(C2678,'[1]873'!$C$2:$C$711,1,0)</f>
        <v>1099-2025</v>
      </c>
    </row>
    <row r="2679" spans="1:8" ht="15" customHeight="1" x14ac:dyDescent="0.25">
      <c r="A2679" s="2">
        <v>46010</v>
      </c>
      <c r="B2679">
        <v>2025003702</v>
      </c>
      <c r="C2679" t="s">
        <v>1979</v>
      </c>
      <c r="D2679" s="11">
        <v>4730000</v>
      </c>
      <c r="E2679" t="s">
        <v>1644</v>
      </c>
      <c r="F2679" t="s">
        <v>571</v>
      </c>
      <c r="G2679" t="s">
        <v>1755</v>
      </c>
      <c r="H2679" t="str">
        <f>VLOOKUP(C2679,'[1]873'!$C$2:$C$711,1,0)</f>
        <v>769-2025</v>
      </c>
    </row>
    <row r="2680" spans="1:8" ht="15" customHeight="1" x14ac:dyDescent="0.25">
      <c r="A2680" s="2">
        <v>46010</v>
      </c>
      <c r="B2680">
        <v>2025003703</v>
      </c>
      <c r="C2680" t="s">
        <v>2001</v>
      </c>
      <c r="D2680" s="11">
        <v>4730000</v>
      </c>
      <c r="E2680" t="s">
        <v>2002</v>
      </c>
      <c r="F2680" t="s">
        <v>47</v>
      </c>
      <c r="G2680" t="s">
        <v>1755</v>
      </c>
      <c r="H2680" t="str">
        <f>VLOOKUP(C2680,'[1]873'!$C$2:$C$711,1,0)</f>
        <v>756-2025</v>
      </c>
    </row>
    <row r="2681" spans="1:8" ht="15" customHeight="1" x14ac:dyDescent="0.25">
      <c r="A2681" s="2">
        <v>46010</v>
      </c>
      <c r="B2681">
        <v>2025003704</v>
      </c>
      <c r="C2681" t="s">
        <v>2173</v>
      </c>
      <c r="D2681" s="11">
        <v>4730000</v>
      </c>
      <c r="E2681" t="s">
        <v>2174</v>
      </c>
      <c r="F2681" t="s">
        <v>2175</v>
      </c>
      <c r="G2681" t="s">
        <v>1755</v>
      </c>
      <c r="H2681" t="str">
        <f>VLOOKUP(C2681,'[1]873'!$C$2:$C$711,1,0)</f>
        <v>968-2025</v>
      </c>
    </row>
    <row r="2682" spans="1:8" ht="15" customHeight="1" x14ac:dyDescent="0.25">
      <c r="A2682" s="2">
        <v>46010</v>
      </c>
      <c r="B2682">
        <v>2025003705</v>
      </c>
      <c r="C2682" t="s">
        <v>1789</v>
      </c>
      <c r="D2682" s="11">
        <v>6300000</v>
      </c>
      <c r="E2682" t="s">
        <v>1683</v>
      </c>
      <c r="F2682" t="s">
        <v>1192</v>
      </c>
      <c r="G2682" t="s">
        <v>1755</v>
      </c>
      <c r="H2682" t="str">
        <f>VLOOKUP(C2682,'[1]873'!$C$2:$C$711,1,0)</f>
        <v>865-2025</v>
      </c>
    </row>
    <row r="2683" spans="1:8" ht="15" customHeight="1" x14ac:dyDescent="0.25">
      <c r="A2683" s="2">
        <v>46010</v>
      </c>
      <c r="B2683">
        <v>2025003706</v>
      </c>
      <c r="C2683" t="s">
        <v>2176</v>
      </c>
      <c r="D2683" s="11">
        <v>4730000</v>
      </c>
      <c r="E2683" t="s">
        <v>2177</v>
      </c>
      <c r="F2683" t="s">
        <v>155</v>
      </c>
      <c r="G2683" t="s">
        <v>1755</v>
      </c>
      <c r="H2683" t="str">
        <f>VLOOKUP(C2683,'[1]873'!$C$2:$C$711,1,0)</f>
        <v>970-2025</v>
      </c>
    </row>
    <row r="2684" spans="1:8" ht="15" customHeight="1" x14ac:dyDescent="0.25">
      <c r="A2684" s="2">
        <v>46010</v>
      </c>
      <c r="B2684">
        <v>2025003707</v>
      </c>
      <c r="C2684" t="s">
        <v>2203</v>
      </c>
      <c r="D2684" s="11">
        <v>3150000</v>
      </c>
      <c r="E2684" t="s">
        <v>2204</v>
      </c>
      <c r="F2684" t="s">
        <v>215</v>
      </c>
      <c r="G2684" t="s">
        <v>1755</v>
      </c>
      <c r="H2684" t="str">
        <f>VLOOKUP(C2684,'[1]873'!$C$2:$C$711,1,0)</f>
        <v>1064-2025</v>
      </c>
    </row>
    <row r="2685" spans="1:8" ht="15" customHeight="1" x14ac:dyDescent="0.25">
      <c r="A2685" s="2">
        <v>46010</v>
      </c>
      <c r="B2685">
        <v>2025003708</v>
      </c>
      <c r="C2685" t="s">
        <v>1785</v>
      </c>
      <c r="D2685" s="11">
        <v>3150000</v>
      </c>
      <c r="E2685" t="s">
        <v>2131</v>
      </c>
      <c r="F2685" t="s">
        <v>595</v>
      </c>
      <c r="G2685" t="s">
        <v>1755</v>
      </c>
      <c r="H2685" t="str">
        <f>VLOOKUP(C2685,'[1]873'!$C$2:$C$711,1,0)</f>
        <v>821-2025</v>
      </c>
    </row>
    <row r="2686" spans="1:8" ht="15" customHeight="1" x14ac:dyDescent="0.25">
      <c r="A2686" s="2">
        <v>46010</v>
      </c>
      <c r="B2686">
        <v>2025003709</v>
      </c>
      <c r="C2686" t="s">
        <v>1972</v>
      </c>
      <c r="D2686" s="11">
        <v>3150000</v>
      </c>
      <c r="E2686" t="s">
        <v>2164</v>
      </c>
      <c r="F2686" t="s">
        <v>1973</v>
      </c>
      <c r="G2686" t="s">
        <v>1755</v>
      </c>
      <c r="H2686" t="str">
        <f>VLOOKUP(C2686,'[1]873'!$C$2:$C$711,1,0)</f>
        <v>919-2025</v>
      </c>
    </row>
    <row r="2687" spans="1:8" ht="15" customHeight="1" x14ac:dyDescent="0.25">
      <c r="A2687" s="2">
        <v>46010</v>
      </c>
      <c r="B2687">
        <v>2025003710</v>
      </c>
      <c r="C2687" t="s">
        <v>1781</v>
      </c>
      <c r="D2687" s="11">
        <v>3150000</v>
      </c>
      <c r="E2687" t="s">
        <v>2132</v>
      </c>
      <c r="F2687" t="s">
        <v>797</v>
      </c>
      <c r="G2687" t="s">
        <v>1755</v>
      </c>
      <c r="H2687" t="str">
        <f>VLOOKUP(C2687,'[1]873'!$C$2:$C$711,1,0)</f>
        <v>876-2025</v>
      </c>
    </row>
    <row r="2688" spans="1:8" ht="15" customHeight="1" x14ac:dyDescent="0.25">
      <c r="A2688" s="2">
        <v>46010</v>
      </c>
      <c r="B2688">
        <v>2025003711</v>
      </c>
      <c r="C2688" t="s">
        <v>2371</v>
      </c>
      <c r="D2688" s="11">
        <v>3150000</v>
      </c>
      <c r="E2688" t="s">
        <v>2372</v>
      </c>
      <c r="F2688" t="s">
        <v>779</v>
      </c>
      <c r="G2688" t="s">
        <v>1755</v>
      </c>
      <c r="H2688" t="str">
        <f>VLOOKUP(C2688,'[1]873'!$C$2:$C$711,1,0)</f>
        <v>1155-2025</v>
      </c>
    </row>
    <row r="2689" spans="1:8" ht="15" customHeight="1" x14ac:dyDescent="0.25">
      <c r="A2689" s="2">
        <v>46010</v>
      </c>
      <c r="B2689">
        <v>2025003712</v>
      </c>
      <c r="C2689" t="s">
        <v>2366</v>
      </c>
      <c r="D2689" s="11">
        <v>3150000</v>
      </c>
      <c r="E2689" t="s">
        <v>2367</v>
      </c>
      <c r="F2689" t="s">
        <v>2368</v>
      </c>
      <c r="G2689" t="s">
        <v>1755</v>
      </c>
      <c r="H2689" t="str">
        <f>VLOOKUP(C2689,'[1]873'!$C$2:$C$711,1,0)</f>
        <v>1114-2025</v>
      </c>
    </row>
    <row r="2690" spans="1:8" ht="15" customHeight="1" x14ac:dyDescent="0.25">
      <c r="A2690" s="2">
        <v>46010</v>
      </c>
      <c r="B2690">
        <v>2025003713</v>
      </c>
      <c r="C2690" t="s">
        <v>1784</v>
      </c>
      <c r="D2690" s="11">
        <v>3150000</v>
      </c>
      <c r="E2690" t="s">
        <v>1650</v>
      </c>
      <c r="F2690" t="s">
        <v>277</v>
      </c>
      <c r="G2690" t="s">
        <v>1755</v>
      </c>
      <c r="H2690" t="str">
        <f>VLOOKUP(C2690,'[1]873'!$C$2:$C$711,1,0)</f>
        <v>812-2025</v>
      </c>
    </row>
    <row r="2691" spans="1:8" ht="15" customHeight="1" x14ac:dyDescent="0.25">
      <c r="A2691" s="2">
        <v>46010</v>
      </c>
      <c r="B2691">
        <v>2025003714</v>
      </c>
      <c r="C2691" t="s">
        <v>2373</v>
      </c>
      <c r="D2691" s="11">
        <v>3150000</v>
      </c>
      <c r="E2691" t="s">
        <v>2374</v>
      </c>
      <c r="F2691" t="s">
        <v>2375</v>
      </c>
      <c r="G2691" t="s">
        <v>1755</v>
      </c>
      <c r="H2691" t="str">
        <f>VLOOKUP(C2691,'[1]873'!$C$2:$C$711,1,0)</f>
        <v>1197-2025</v>
      </c>
    </row>
    <row r="2692" spans="1:8" ht="15" customHeight="1" x14ac:dyDescent="0.25">
      <c r="A2692" s="2">
        <v>46010</v>
      </c>
      <c r="B2692">
        <v>2025003715</v>
      </c>
      <c r="C2692" t="s">
        <v>1906</v>
      </c>
      <c r="D2692" s="11">
        <v>3150000</v>
      </c>
      <c r="E2692" t="s">
        <v>2134</v>
      </c>
      <c r="F2692" t="s">
        <v>107</v>
      </c>
      <c r="G2692" t="s">
        <v>1755</v>
      </c>
      <c r="H2692" t="str">
        <f>VLOOKUP(C2692,'[1]873'!$C$2:$C$711,1,0)</f>
        <v>797-2025</v>
      </c>
    </row>
    <row r="2693" spans="1:8" ht="15" customHeight="1" x14ac:dyDescent="0.25">
      <c r="A2693" s="2">
        <v>46010</v>
      </c>
      <c r="B2693">
        <v>2025003716</v>
      </c>
      <c r="C2693" t="s">
        <v>1783</v>
      </c>
      <c r="D2693" s="11">
        <v>6300000</v>
      </c>
      <c r="E2693" t="s">
        <v>1685</v>
      </c>
      <c r="F2693" t="s">
        <v>2351</v>
      </c>
      <c r="G2693" t="s">
        <v>1755</v>
      </c>
      <c r="H2693" t="str">
        <f>VLOOKUP(C2693,'[1]873'!$C$2:$C$711,1,0)</f>
        <v>789-2025</v>
      </c>
    </row>
    <row r="2694" spans="1:8" ht="15" customHeight="1" x14ac:dyDescent="0.25">
      <c r="A2694" s="2">
        <v>46010</v>
      </c>
      <c r="B2694">
        <v>2025003717</v>
      </c>
      <c r="C2694" t="s">
        <v>2178</v>
      </c>
      <c r="D2694" s="11">
        <v>4730000</v>
      </c>
      <c r="E2694" t="s">
        <v>2179</v>
      </c>
      <c r="F2694" t="s">
        <v>513</v>
      </c>
      <c r="G2694" t="s">
        <v>1755</v>
      </c>
      <c r="H2694" t="str">
        <f>VLOOKUP(C2694,'[1]873'!$C$2:$C$711,1,0)</f>
        <v>948-2025</v>
      </c>
    </row>
    <row r="2695" spans="1:8" ht="15" customHeight="1" x14ac:dyDescent="0.25">
      <c r="A2695" s="2">
        <v>46010</v>
      </c>
      <c r="B2695">
        <v>2025003718</v>
      </c>
      <c r="C2695" t="s">
        <v>2181</v>
      </c>
      <c r="D2695" s="11">
        <v>4730000</v>
      </c>
      <c r="E2695" t="s">
        <v>2182</v>
      </c>
      <c r="F2695" t="s">
        <v>2183</v>
      </c>
      <c r="G2695" t="s">
        <v>1755</v>
      </c>
      <c r="H2695" t="str">
        <f>VLOOKUP(C2695,'[1]873'!$C$2:$C$711,1,0)</f>
        <v>966-2025</v>
      </c>
    </row>
    <row r="2696" spans="1:8" ht="15" customHeight="1" x14ac:dyDescent="0.25">
      <c r="A2696" s="2">
        <v>46010</v>
      </c>
      <c r="B2696">
        <v>2025003719</v>
      </c>
      <c r="C2696" t="s">
        <v>1910</v>
      </c>
      <c r="D2696" s="11">
        <v>4730000</v>
      </c>
      <c r="E2696" t="s">
        <v>1610</v>
      </c>
      <c r="F2696" t="s">
        <v>493</v>
      </c>
      <c r="G2696" t="s">
        <v>1755</v>
      </c>
      <c r="H2696" t="str">
        <f>VLOOKUP(C2696,'[1]873'!$C$2:$C$711,1,0)</f>
        <v>764-2025</v>
      </c>
    </row>
    <row r="2697" spans="1:8" ht="15" customHeight="1" x14ac:dyDescent="0.25">
      <c r="A2697" s="2">
        <v>46010</v>
      </c>
      <c r="B2697">
        <v>2025003720</v>
      </c>
      <c r="C2697" t="s">
        <v>1980</v>
      </c>
      <c r="D2697" s="11">
        <v>4730000</v>
      </c>
      <c r="E2697" t="s">
        <v>1589</v>
      </c>
      <c r="F2697" t="s">
        <v>249</v>
      </c>
      <c r="G2697" t="s">
        <v>1755</v>
      </c>
      <c r="H2697" t="str">
        <f>VLOOKUP(C2697,'[1]873'!$C$2:$C$711,1,0)</f>
        <v>731-2025</v>
      </c>
    </row>
    <row r="2698" spans="1:8" ht="15" customHeight="1" x14ac:dyDescent="0.25">
      <c r="A2698" s="2">
        <v>46010</v>
      </c>
      <c r="B2698">
        <v>2025003721</v>
      </c>
      <c r="C2698" t="s">
        <v>2123</v>
      </c>
      <c r="D2698" s="11">
        <v>7800000</v>
      </c>
      <c r="E2698" t="s">
        <v>2124</v>
      </c>
      <c r="F2698" t="s">
        <v>2125</v>
      </c>
      <c r="G2698" t="s">
        <v>1755</v>
      </c>
      <c r="H2698" t="str">
        <f>VLOOKUP(C2698,'[1]873'!$C$2:$C$711,1,0)</f>
        <v>993-2025</v>
      </c>
    </row>
    <row r="2699" spans="1:8" ht="15" customHeight="1" x14ac:dyDescent="0.25">
      <c r="A2699" s="2">
        <v>46010</v>
      </c>
      <c r="B2699">
        <v>2025003722</v>
      </c>
      <c r="C2699" t="s">
        <v>2354</v>
      </c>
      <c r="D2699" s="11">
        <v>7800000</v>
      </c>
      <c r="E2699" t="s">
        <v>2355</v>
      </c>
      <c r="F2699" t="s">
        <v>2356</v>
      </c>
      <c r="G2699" t="s">
        <v>1755</v>
      </c>
      <c r="H2699" t="str">
        <f>VLOOKUP(C2699,'[1]873'!$C$2:$C$711,1,0)</f>
        <v>1122-2025</v>
      </c>
    </row>
    <row r="2700" spans="1:8" ht="15" customHeight="1" x14ac:dyDescent="0.25">
      <c r="A2700" s="2">
        <v>46010</v>
      </c>
      <c r="B2700">
        <v>2025003723</v>
      </c>
      <c r="C2700" t="s">
        <v>1909</v>
      </c>
      <c r="D2700" s="11">
        <v>6300000</v>
      </c>
      <c r="E2700" t="s">
        <v>1669</v>
      </c>
      <c r="F2700" t="s">
        <v>457</v>
      </c>
      <c r="G2700" t="s">
        <v>1755</v>
      </c>
      <c r="H2700" t="str">
        <f>VLOOKUP(C2700,'[1]873'!$C$2:$C$711,1,0)</f>
        <v>741-2025</v>
      </c>
    </row>
    <row r="2701" spans="1:8" ht="15" customHeight="1" x14ac:dyDescent="0.25">
      <c r="A2701" s="2">
        <v>46010</v>
      </c>
      <c r="B2701">
        <v>2025003725</v>
      </c>
      <c r="C2701" t="s">
        <v>2360</v>
      </c>
      <c r="D2701" s="11">
        <v>7800000</v>
      </c>
      <c r="E2701" t="s">
        <v>2361</v>
      </c>
      <c r="F2701" t="s">
        <v>2362</v>
      </c>
      <c r="G2701" t="s">
        <v>1755</v>
      </c>
      <c r="H2701" t="str">
        <f>VLOOKUP(C2701,'[1]873'!$C$2:$C$711,1,0)</f>
        <v>1115-2025</v>
      </c>
    </row>
    <row r="2702" spans="1:8" ht="15" customHeight="1" x14ac:dyDescent="0.25">
      <c r="A2702" s="2">
        <v>46010</v>
      </c>
      <c r="B2702">
        <v>2025003727</v>
      </c>
      <c r="C2702" t="s">
        <v>2336</v>
      </c>
      <c r="D2702" s="11">
        <v>7800000</v>
      </c>
      <c r="E2702" t="s">
        <v>2337</v>
      </c>
      <c r="F2702" t="s">
        <v>2338</v>
      </c>
      <c r="G2702" t="s">
        <v>1755</v>
      </c>
      <c r="H2702" t="str">
        <f>VLOOKUP(C2702,'[1]873'!$C$2:$C$711,1,0)</f>
        <v>1151-2025</v>
      </c>
    </row>
    <row r="2703" spans="1:8" ht="15" customHeight="1" x14ac:dyDescent="0.25">
      <c r="A2703" s="2">
        <v>46010</v>
      </c>
      <c r="B2703">
        <v>2025003729</v>
      </c>
      <c r="C2703" t="s">
        <v>1908</v>
      </c>
      <c r="D2703" s="11">
        <v>7800000</v>
      </c>
      <c r="E2703" t="s">
        <v>1675</v>
      </c>
      <c r="F2703" t="s">
        <v>163</v>
      </c>
      <c r="G2703" t="s">
        <v>1755</v>
      </c>
      <c r="H2703" t="str">
        <f>VLOOKUP(C2703,'[1]873'!$C$2:$C$711,1,0)</f>
        <v>706-2025</v>
      </c>
    </row>
    <row r="2704" spans="1:8" ht="15" customHeight="1" x14ac:dyDescent="0.25">
      <c r="A2704" s="2">
        <v>46010</v>
      </c>
      <c r="B2704">
        <v>2025003730</v>
      </c>
      <c r="C2704" t="s">
        <v>2429</v>
      </c>
      <c r="D2704" s="11">
        <v>3150000</v>
      </c>
      <c r="E2704" t="s">
        <v>2430</v>
      </c>
      <c r="F2704" t="s">
        <v>2431</v>
      </c>
      <c r="G2704" t="s">
        <v>1755</v>
      </c>
      <c r="H2704" t="str">
        <f>VLOOKUP(C2704,'[1]873'!$C$2:$C$711,1,0)</f>
        <v>1088-2025</v>
      </c>
    </row>
    <row r="2705" spans="1:8" ht="15" customHeight="1" x14ac:dyDescent="0.25">
      <c r="A2705" s="2">
        <v>46010</v>
      </c>
      <c r="B2705">
        <v>2025003731</v>
      </c>
      <c r="C2705" t="s">
        <v>2432</v>
      </c>
      <c r="D2705" s="11">
        <v>2000000</v>
      </c>
      <c r="E2705" t="s">
        <v>2433</v>
      </c>
      <c r="F2705" t="s">
        <v>2434</v>
      </c>
      <c r="G2705" t="s">
        <v>1755</v>
      </c>
      <c r="H2705" t="str">
        <f>VLOOKUP(C2705,'[1]873'!$C$2:$C$711,1,0)</f>
        <v>1157-2025</v>
      </c>
    </row>
    <row r="2706" spans="1:8" ht="15" customHeight="1" x14ac:dyDescent="0.25">
      <c r="A2706" s="2">
        <v>46010</v>
      </c>
      <c r="B2706">
        <v>2025003732</v>
      </c>
      <c r="C2706" t="s">
        <v>2435</v>
      </c>
      <c r="D2706" s="11">
        <v>7800000</v>
      </c>
      <c r="E2706" t="s">
        <v>2436</v>
      </c>
      <c r="F2706" t="s">
        <v>2437</v>
      </c>
      <c r="G2706" t="s">
        <v>1755</v>
      </c>
      <c r="H2706" t="str">
        <f>VLOOKUP(C2706,'[1]873'!$C$2:$C$711,1,0)</f>
        <v>1158-2025</v>
      </c>
    </row>
    <row r="2707" spans="1:8" ht="15" customHeight="1" x14ac:dyDescent="0.25">
      <c r="A2707" s="2">
        <v>46010</v>
      </c>
      <c r="B2707">
        <v>2025003733</v>
      </c>
      <c r="C2707" t="s">
        <v>1823</v>
      </c>
      <c r="D2707" s="11">
        <v>3150000</v>
      </c>
      <c r="E2707" t="s">
        <v>2042</v>
      </c>
      <c r="F2707" t="s">
        <v>693</v>
      </c>
      <c r="G2707" t="s">
        <v>1755</v>
      </c>
      <c r="H2707" t="str">
        <f>VLOOKUP(C2707,'[1]873'!$C$2:$C$711,1,0)</f>
        <v>839-2025</v>
      </c>
    </row>
    <row r="2708" spans="1:8" ht="15" customHeight="1" x14ac:dyDescent="0.25">
      <c r="A2708" s="2">
        <v>46010</v>
      </c>
      <c r="B2708">
        <v>2025003734</v>
      </c>
      <c r="C2708" t="s">
        <v>2273</v>
      </c>
      <c r="D2708" s="11">
        <v>4730000</v>
      </c>
      <c r="E2708" t="s">
        <v>2274</v>
      </c>
      <c r="F2708" t="s">
        <v>730</v>
      </c>
      <c r="G2708" t="s">
        <v>1755</v>
      </c>
      <c r="H2708" t="str">
        <f>VLOOKUP(C2708,'[1]873'!$C$2:$C$711,1,0)</f>
        <v>1062-2025</v>
      </c>
    </row>
    <row r="2709" spans="1:8" ht="15" customHeight="1" x14ac:dyDescent="0.25">
      <c r="A2709" s="2">
        <v>46010</v>
      </c>
      <c r="B2709">
        <v>2025003735</v>
      </c>
      <c r="C2709" t="s">
        <v>1927</v>
      </c>
      <c r="D2709" s="11">
        <v>3150000</v>
      </c>
      <c r="E2709" t="s">
        <v>2187</v>
      </c>
      <c r="F2709" t="s">
        <v>1928</v>
      </c>
      <c r="G2709" t="s">
        <v>1755</v>
      </c>
      <c r="H2709" t="str">
        <f>VLOOKUP(C2709,'[1]873'!$C$2:$C$711,1,0)</f>
        <v>899-2025</v>
      </c>
    </row>
    <row r="2710" spans="1:8" ht="15" customHeight="1" x14ac:dyDescent="0.25">
      <c r="A2710" s="2">
        <v>46010</v>
      </c>
      <c r="B2710">
        <v>2025003736</v>
      </c>
      <c r="C2710" t="s">
        <v>2257</v>
      </c>
      <c r="D2710" s="11">
        <v>3150000</v>
      </c>
      <c r="E2710" t="s">
        <v>1680</v>
      </c>
      <c r="F2710" t="s">
        <v>525</v>
      </c>
      <c r="G2710" t="s">
        <v>1755</v>
      </c>
      <c r="H2710" t="str">
        <f>VLOOKUP(C2710,'[1]873'!$C$2:$C$711,1,0)</f>
        <v>1038-2025</v>
      </c>
    </row>
    <row r="2711" spans="1:8" ht="15" customHeight="1" x14ac:dyDescent="0.25">
      <c r="A2711" s="2">
        <v>46010</v>
      </c>
      <c r="B2711">
        <v>2025003737</v>
      </c>
      <c r="C2711" t="s">
        <v>2283</v>
      </c>
      <c r="D2711" s="11">
        <v>1050000</v>
      </c>
      <c r="E2711" t="s">
        <v>1677</v>
      </c>
      <c r="F2711" t="s">
        <v>387</v>
      </c>
      <c r="G2711" t="s">
        <v>1755</v>
      </c>
      <c r="H2711" t="str">
        <f>VLOOKUP(C2711,'[1]873'!$C$2:$C$711,1,0)</f>
        <v>998-2025</v>
      </c>
    </row>
    <row r="2712" spans="1:8" ht="15" customHeight="1" x14ac:dyDescent="0.25">
      <c r="A2712" s="2">
        <v>46010</v>
      </c>
      <c r="B2712">
        <v>2025003738</v>
      </c>
      <c r="C2712" t="s">
        <v>1782</v>
      </c>
      <c r="D2712" s="11">
        <v>7800000</v>
      </c>
      <c r="E2712" t="s">
        <v>2180</v>
      </c>
      <c r="F2712" t="s">
        <v>591</v>
      </c>
      <c r="G2712" t="s">
        <v>1755</v>
      </c>
      <c r="H2712" t="str">
        <f>VLOOKUP(C2712,'[1]873'!$C$2:$C$711,1,0)</f>
        <v>808-2025</v>
      </c>
    </row>
    <row r="2713" spans="1:8" ht="15" customHeight="1" x14ac:dyDescent="0.25">
      <c r="A2713" s="2">
        <v>46010</v>
      </c>
      <c r="B2713">
        <v>2025003739</v>
      </c>
      <c r="C2713" t="s">
        <v>2280</v>
      </c>
      <c r="D2713" s="11">
        <v>3150000</v>
      </c>
      <c r="E2713" t="s">
        <v>2281</v>
      </c>
      <c r="F2713" t="s">
        <v>2282</v>
      </c>
      <c r="G2713" t="s">
        <v>1755</v>
      </c>
      <c r="H2713" t="str">
        <f>VLOOKUP(C2713,'[1]873'!$C$2:$C$711,1,0)</f>
        <v>938-2025</v>
      </c>
    </row>
    <row r="2714" spans="1:8" ht="15" customHeight="1" x14ac:dyDescent="0.25">
      <c r="A2714" s="2">
        <v>46010</v>
      </c>
      <c r="B2714">
        <v>2025003740</v>
      </c>
      <c r="C2714" t="s">
        <v>1930</v>
      </c>
      <c r="D2714" s="11">
        <v>3150000</v>
      </c>
      <c r="E2714" t="s">
        <v>2100</v>
      </c>
      <c r="F2714" t="s">
        <v>1931</v>
      </c>
      <c r="G2714" t="s">
        <v>1755</v>
      </c>
      <c r="H2714" t="str">
        <f>VLOOKUP(C2714,'[1]873'!$C$2:$C$711,1,0)</f>
        <v>885-2025</v>
      </c>
    </row>
    <row r="2715" spans="1:8" ht="15" customHeight="1" x14ac:dyDescent="0.25">
      <c r="A2715" s="2">
        <v>46010</v>
      </c>
      <c r="B2715">
        <v>2025003741</v>
      </c>
      <c r="C2715" t="s">
        <v>1806</v>
      </c>
      <c r="D2715" s="11">
        <v>7800000</v>
      </c>
      <c r="E2715" t="s">
        <v>2040</v>
      </c>
      <c r="F2715" t="s">
        <v>1807</v>
      </c>
      <c r="G2715" t="s">
        <v>1755</v>
      </c>
      <c r="H2715" t="str">
        <f>VLOOKUP(C2715,'[1]873'!$C$2:$C$711,1,0)</f>
        <v>888-2025</v>
      </c>
    </row>
    <row r="2716" spans="1:8" ht="15" customHeight="1" x14ac:dyDescent="0.25">
      <c r="A2716" s="2">
        <v>46010</v>
      </c>
      <c r="B2716">
        <v>2025003743</v>
      </c>
      <c r="C2716" s="4" t="s">
        <v>1937</v>
      </c>
      <c r="D2716" s="11">
        <v>4730000</v>
      </c>
      <c r="E2716" t="s">
        <v>2256</v>
      </c>
      <c r="F2716" t="s">
        <v>151</v>
      </c>
      <c r="G2716" t="s">
        <v>1755</v>
      </c>
      <c r="H2716" t="str">
        <f>VLOOKUP(C2716,'[1]873'!$C$2:$C$711,1,0)</f>
        <v>740-2025</v>
      </c>
    </row>
    <row r="2717" spans="1:8" ht="15" customHeight="1" x14ac:dyDescent="0.25">
      <c r="A2717" s="2">
        <v>46010</v>
      </c>
      <c r="B2717">
        <v>2025003744</v>
      </c>
      <c r="C2717" t="s">
        <v>1933</v>
      </c>
      <c r="D2717" s="11">
        <v>4730000</v>
      </c>
      <c r="E2717" t="s">
        <v>1628</v>
      </c>
      <c r="F2717" t="s">
        <v>705</v>
      </c>
      <c r="G2717" t="s">
        <v>1755</v>
      </c>
      <c r="H2717" t="str">
        <f>VLOOKUP(C2717,'[1]873'!$C$2:$C$711,1,0)</f>
        <v>745-2025</v>
      </c>
    </row>
    <row r="2718" spans="1:8" ht="15" customHeight="1" x14ac:dyDescent="0.25">
      <c r="A2718" s="2">
        <v>46010</v>
      </c>
      <c r="B2718">
        <v>2025003745</v>
      </c>
      <c r="C2718" t="s">
        <v>1924</v>
      </c>
      <c r="D2718" s="11">
        <v>6300000</v>
      </c>
      <c r="E2718" t="s">
        <v>1594</v>
      </c>
      <c r="F2718" t="s">
        <v>1102</v>
      </c>
      <c r="G2718" t="s">
        <v>1755</v>
      </c>
      <c r="H2718" t="str">
        <f>VLOOKUP(C2718,'[1]873'!$C$2:$C$711,1,0)</f>
        <v>805-2025</v>
      </c>
    </row>
    <row r="2719" spans="1:8" ht="15" customHeight="1" x14ac:dyDescent="0.25">
      <c r="A2719" s="2">
        <v>46010</v>
      </c>
      <c r="B2719">
        <v>2025003746</v>
      </c>
      <c r="C2719" t="s">
        <v>1935</v>
      </c>
      <c r="D2719" s="11">
        <v>3150000</v>
      </c>
      <c r="E2719" t="s">
        <v>2061</v>
      </c>
      <c r="F2719" t="s">
        <v>1936</v>
      </c>
      <c r="G2719" t="s">
        <v>1755</v>
      </c>
      <c r="H2719" t="str">
        <f>VLOOKUP(C2719,'[1]873'!$C$2:$C$711,1,0)</f>
        <v>897-2025</v>
      </c>
    </row>
    <row r="2720" spans="1:8" ht="15" customHeight="1" x14ac:dyDescent="0.25">
      <c r="A2720" s="2">
        <v>46010</v>
      </c>
      <c r="B2720">
        <v>2025003747</v>
      </c>
      <c r="C2720" t="s">
        <v>1804</v>
      </c>
      <c r="D2720" s="11">
        <v>6300000</v>
      </c>
      <c r="E2720" t="s">
        <v>1723</v>
      </c>
      <c r="F2720" t="s">
        <v>1233</v>
      </c>
      <c r="G2720" t="s">
        <v>1755</v>
      </c>
      <c r="H2720" t="str">
        <f>VLOOKUP(C2720,'[1]873'!$C$2:$C$711,1,0)</f>
        <v>910-2025</v>
      </c>
    </row>
    <row r="2721" spans="1:8" ht="15" customHeight="1" x14ac:dyDescent="0.25">
      <c r="A2721" s="2">
        <v>46010</v>
      </c>
      <c r="B2721">
        <v>2025003748</v>
      </c>
      <c r="C2721" t="s">
        <v>1812</v>
      </c>
      <c r="D2721" s="11">
        <v>7800000</v>
      </c>
      <c r="E2721" t="s">
        <v>2057</v>
      </c>
      <c r="F2721" t="s">
        <v>1813</v>
      </c>
      <c r="G2721" t="s">
        <v>1755</v>
      </c>
      <c r="H2721" t="str">
        <f>VLOOKUP(C2721,'[1]873'!$C$2:$C$711,1,0)</f>
        <v>913-2025</v>
      </c>
    </row>
    <row r="2722" spans="1:8" ht="15" customHeight="1" x14ac:dyDescent="0.25">
      <c r="A2722" s="2">
        <v>46010</v>
      </c>
      <c r="B2722">
        <v>2025003749</v>
      </c>
      <c r="C2722" t="s">
        <v>2290</v>
      </c>
      <c r="D2722" s="11">
        <v>4730000</v>
      </c>
      <c r="E2722" t="s">
        <v>2291</v>
      </c>
      <c r="F2722" t="s">
        <v>2292</v>
      </c>
      <c r="G2722" t="s">
        <v>1755</v>
      </c>
      <c r="H2722" t="str">
        <f>VLOOKUP(C2722,'[1]873'!$C$2:$C$711,1,0)</f>
        <v>933-2025</v>
      </c>
    </row>
    <row r="2723" spans="1:8" ht="15" customHeight="1" x14ac:dyDescent="0.25">
      <c r="A2723" s="2">
        <v>46010</v>
      </c>
      <c r="B2723">
        <v>2025003750</v>
      </c>
      <c r="C2723" t="s">
        <v>2184</v>
      </c>
      <c r="D2723" s="11">
        <v>6300000</v>
      </c>
      <c r="E2723" t="s">
        <v>2185</v>
      </c>
      <c r="F2723" t="s">
        <v>2186</v>
      </c>
      <c r="G2723" t="s">
        <v>1755</v>
      </c>
      <c r="H2723" t="str">
        <f>VLOOKUP(C2723,'[1]873'!$C$2:$C$711,1,0)</f>
        <v>945-2025</v>
      </c>
    </row>
    <row r="2724" spans="1:8" ht="15" customHeight="1" x14ac:dyDescent="0.25">
      <c r="A2724" s="2">
        <v>46010</v>
      </c>
      <c r="B2724">
        <v>2025003751</v>
      </c>
      <c r="C2724" t="s">
        <v>2312</v>
      </c>
      <c r="D2724" s="11">
        <v>7800000</v>
      </c>
      <c r="E2724" t="s">
        <v>2313</v>
      </c>
      <c r="F2724" t="s">
        <v>2314</v>
      </c>
      <c r="G2724" t="s">
        <v>1755</v>
      </c>
      <c r="H2724" t="str">
        <f>VLOOKUP(C2724,'[1]873'!$C$2:$C$711,1,0)</f>
        <v>955-2025</v>
      </c>
    </row>
    <row r="2725" spans="1:8" ht="15" customHeight="1" x14ac:dyDescent="0.25">
      <c r="A2725" s="2">
        <v>46010</v>
      </c>
      <c r="B2725">
        <v>2025003752</v>
      </c>
      <c r="C2725" t="s">
        <v>2272</v>
      </c>
      <c r="D2725" s="11">
        <v>3150000</v>
      </c>
      <c r="E2725" t="s">
        <v>1743</v>
      </c>
      <c r="F2725" t="s">
        <v>1211</v>
      </c>
      <c r="G2725" t="s">
        <v>1755</v>
      </c>
      <c r="H2725" t="str">
        <f>VLOOKUP(C2725,'[1]873'!$C$2:$C$711,1,0)</f>
        <v>958-2025</v>
      </c>
    </row>
    <row r="2726" spans="1:8" ht="15" customHeight="1" x14ac:dyDescent="0.25">
      <c r="A2726" s="2">
        <v>46010</v>
      </c>
      <c r="B2726">
        <v>2025003753</v>
      </c>
      <c r="C2726" t="s">
        <v>2305</v>
      </c>
      <c r="D2726" s="11">
        <v>4730000</v>
      </c>
      <c r="E2726" t="s">
        <v>2306</v>
      </c>
      <c r="F2726" t="s">
        <v>2307</v>
      </c>
      <c r="G2726" t="s">
        <v>1755</v>
      </c>
      <c r="H2726" t="str">
        <f>VLOOKUP(C2726,'[1]873'!$C$2:$C$711,1,0)</f>
        <v>962-2025</v>
      </c>
    </row>
    <row r="2727" spans="1:8" ht="15" customHeight="1" x14ac:dyDescent="0.25">
      <c r="A2727" s="2">
        <v>46010</v>
      </c>
      <c r="B2727">
        <v>2025003754</v>
      </c>
      <c r="C2727" t="s">
        <v>2267</v>
      </c>
      <c r="D2727" s="11">
        <v>3150000</v>
      </c>
      <c r="E2727" t="s">
        <v>1696</v>
      </c>
      <c r="F2727" t="s">
        <v>123</v>
      </c>
      <c r="G2727" t="s">
        <v>1755</v>
      </c>
      <c r="H2727" t="str">
        <f>VLOOKUP(C2727,'[1]873'!$C$2:$C$711,1,0)</f>
        <v>963-2025</v>
      </c>
    </row>
    <row r="2728" spans="1:8" ht="15" customHeight="1" x14ac:dyDescent="0.25">
      <c r="A2728" s="2">
        <v>46010</v>
      </c>
      <c r="B2728">
        <v>2025003755</v>
      </c>
      <c r="C2728" t="s">
        <v>2250</v>
      </c>
      <c r="D2728" s="11">
        <v>3150000</v>
      </c>
      <c r="E2728" t="s">
        <v>2251</v>
      </c>
      <c r="F2728" t="s">
        <v>2252</v>
      </c>
      <c r="G2728" t="s">
        <v>1755</v>
      </c>
      <c r="H2728" t="str">
        <f>VLOOKUP(C2728,'[1]873'!$C$2:$C$711,1,0)</f>
        <v>965-2025</v>
      </c>
    </row>
    <row r="2729" spans="1:8" ht="15" customHeight="1" x14ac:dyDescent="0.25">
      <c r="A2729" s="2">
        <v>46011</v>
      </c>
      <c r="B2729">
        <v>2025003756</v>
      </c>
      <c r="C2729" t="s">
        <v>2302</v>
      </c>
      <c r="D2729" s="11">
        <v>7800000</v>
      </c>
      <c r="E2729" t="s">
        <v>2303</v>
      </c>
      <c r="F2729" t="s">
        <v>2304</v>
      </c>
      <c r="G2729" t="s">
        <v>1755</v>
      </c>
      <c r="H2729" t="str">
        <f>VLOOKUP(C2729,'[1]873'!$C$2:$C$711,1,0)</f>
        <v>1010-2025</v>
      </c>
    </row>
    <row r="2730" spans="1:8" ht="15" customHeight="1" x14ac:dyDescent="0.25">
      <c r="A2730" s="2">
        <v>46011</v>
      </c>
      <c r="B2730">
        <v>2025003757</v>
      </c>
      <c r="C2730" t="s">
        <v>2260</v>
      </c>
      <c r="D2730" s="11">
        <v>3150000</v>
      </c>
      <c r="E2730" t="s">
        <v>1632</v>
      </c>
      <c r="F2730" t="s">
        <v>121</v>
      </c>
      <c r="G2730" t="s">
        <v>1755</v>
      </c>
      <c r="H2730" t="str">
        <f>VLOOKUP(C2730,'[1]873'!$C$2:$C$711,1,0)</f>
        <v>1069-2025</v>
      </c>
    </row>
    <row r="2731" spans="1:8" ht="15" customHeight="1" x14ac:dyDescent="0.25">
      <c r="A2731" s="2">
        <v>46011</v>
      </c>
      <c r="B2731">
        <v>2025003758</v>
      </c>
      <c r="C2731" t="s">
        <v>2438</v>
      </c>
      <c r="D2731" s="11">
        <v>3150000</v>
      </c>
      <c r="E2731" t="s">
        <v>1609</v>
      </c>
      <c r="F2731" t="s">
        <v>229</v>
      </c>
      <c r="G2731" t="s">
        <v>1755</v>
      </c>
      <c r="H2731" t="str">
        <f>VLOOKUP(C2731,'[1]873'!$C$2:$C$711,1,0)</f>
        <v>1075-2025</v>
      </c>
    </row>
    <row r="2732" spans="1:8" ht="15" customHeight="1" x14ac:dyDescent="0.25">
      <c r="A2732" s="2">
        <v>46011</v>
      </c>
      <c r="B2732">
        <v>2025003759</v>
      </c>
      <c r="C2732" t="s">
        <v>2439</v>
      </c>
      <c r="D2732" s="11">
        <v>3150000</v>
      </c>
      <c r="E2732" t="s">
        <v>2440</v>
      </c>
      <c r="F2732" t="s">
        <v>2441</v>
      </c>
      <c r="G2732" t="s">
        <v>1755</v>
      </c>
      <c r="H2732" t="str">
        <f>VLOOKUP(C2732,'[1]873'!$C$2:$C$711,1,0)</f>
        <v>1103-2025</v>
      </c>
    </row>
    <row r="2733" spans="1:8" ht="15" customHeight="1" x14ac:dyDescent="0.25">
      <c r="A2733" s="2">
        <v>46011</v>
      </c>
      <c r="B2733">
        <v>2025003760</v>
      </c>
      <c r="C2733" t="s">
        <v>2442</v>
      </c>
      <c r="D2733" s="11">
        <v>2000000</v>
      </c>
      <c r="E2733" t="s">
        <v>2443</v>
      </c>
      <c r="F2733" t="s">
        <v>2444</v>
      </c>
      <c r="G2733" t="s">
        <v>1755</v>
      </c>
      <c r="H2733" t="str">
        <f>VLOOKUP(C2733,'[1]873'!$C$2:$C$711,1,0)</f>
        <v>1105-2025</v>
      </c>
    </row>
    <row r="2734" spans="1:8" ht="15" customHeight="1" x14ac:dyDescent="0.25">
      <c r="A2734" s="2">
        <v>46011</v>
      </c>
      <c r="B2734">
        <v>2025003761</v>
      </c>
      <c r="C2734" t="s">
        <v>2445</v>
      </c>
      <c r="D2734" s="11">
        <v>4730000</v>
      </c>
      <c r="E2734" t="s">
        <v>2446</v>
      </c>
      <c r="F2734" t="s">
        <v>2447</v>
      </c>
      <c r="G2734" t="s">
        <v>1755</v>
      </c>
      <c r="H2734" t="str">
        <f>VLOOKUP(C2734,'[1]873'!$C$2:$C$711,1,0)</f>
        <v>1121-2025</v>
      </c>
    </row>
    <row r="2735" spans="1:8" ht="15" customHeight="1" x14ac:dyDescent="0.25">
      <c r="A2735" s="20">
        <v>46011</v>
      </c>
      <c r="B2735">
        <v>2025003762</v>
      </c>
      <c r="C2735" t="s">
        <v>2470</v>
      </c>
      <c r="D2735" s="21">
        <v>3150000</v>
      </c>
      <c r="E2735">
        <v>1086755989</v>
      </c>
      <c r="F2735" t="s">
        <v>2471</v>
      </c>
      <c r="G2735" t="s">
        <v>1755</v>
      </c>
      <c r="H2735" t="str">
        <f>VLOOKUP(C2735,'[1]873'!$C$2:$C$711,1,0)</f>
        <v>1187-2025</v>
      </c>
    </row>
    <row r="2736" spans="1:8" ht="15" customHeight="1" x14ac:dyDescent="0.25">
      <c r="A2736" s="2">
        <v>46011</v>
      </c>
      <c r="B2736">
        <v>2025003763</v>
      </c>
      <c r="C2736" t="s">
        <v>2448</v>
      </c>
      <c r="D2736" s="11">
        <v>3150000</v>
      </c>
      <c r="E2736" t="s">
        <v>2449</v>
      </c>
      <c r="F2736" t="s">
        <v>55</v>
      </c>
      <c r="G2736" t="s">
        <v>1755</v>
      </c>
      <c r="H2736" t="str">
        <f>VLOOKUP(C2736,'[1]873'!$C$2:$C$711,1,0)</f>
        <v>1194-2025</v>
      </c>
    </row>
    <row r="2737" spans="1:8" ht="15" customHeight="1" x14ac:dyDescent="0.25">
      <c r="A2737" s="2">
        <v>46011</v>
      </c>
      <c r="B2737">
        <v>2025003765</v>
      </c>
      <c r="C2737" t="s">
        <v>1934</v>
      </c>
      <c r="D2737" s="11">
        <v>4730000</v>
      </c>
      <c r="E2737" t="s">
        <v>2039</v>
      </c>
      <c r="F2737" t="s">
        <v>464</v>
      </c>
      <c r="G2737" t="s">
        <v>1755</v>
      </c>
      <c r="H2737" t="str">
        <f>VLOOKUP(C2737,'[1]873'!$C$2:$C$711,1,0)</f>
        <v>768-2025</v>
      </c>
    </row>
    <row r="2738" spans="1:8" ht="15" customHeight="1" x14ac:dyDescent="0.25">
      <c r="A2738" s="2">
        <v>46011</v>
      </c>
      <c r="B2738">
        <v>2025003767</v>
      </c>
      <c r="C2738" t="s">
        <v>1826</v>
      </c>
      <c r="D2738" s="11">
        <v>7800000</v>
      </c>
      <c r="E2738" t="s">
        <v>2191</v>
      </c>
      <c r="F2738" t="s">
        <v>239</v>
      </c>
      <c r="G2738" t="s">
        <v>1755</v>
      </c>
      <c r="H2738" t="str">
        <f>VLOOKUP(C2738,'[1]873'!$C$2:$C$711,1,0)</f>
        <v>833-2025</v>
      </c>
    </row>
    <row r="2739" spans="1:8" ht="15" customHeight="1" x14ac:dyDescent="0.25">
      <c r="A2739" s="2">
        <v>46011</v>
      </c>
      <c r="B2739">
        <v>2025003771</v>
      </c>
      <c r="C2739" t="s">
        <v>1822</v>
      </c>
      <c r="D2739" s="11">
        <v>3150000</v>
      </c>
      <c r="E2739" t="s">
        <v>2099</v>
      </c>
      <c r="F2739" t="s">
        <v>1011</v>
      </c>
      <c r="G2739" t="s">
        <v>1755</v>
      </c>
      <c r="H2739" t="str">
        <f>VLOOKUP(C2739,'[1]873'!$C$2:$C$711,1,0)</f>
        <v>815-2025</v>
      </c>
    </row>
    <row r="2740" spans="1:8" ht="15" customHeight="1" x14ac:dyDescent="0.25">
      <c r="A2740" s="2">
        <v>46011</v>
      </c>
      <c r="B2740">
        <v>2025003773</v>
      </c>
      <c r="C2740" t="s">
        <v>1768</v>
      </c>
      <c r="D2740" s="11">
        <v>3150000</v>
      </c>
      <c r="E2740" t="s">
        <v>2214</v>
      </c>
      <c r="F2740" t="s">
        <v>1769</v>
      </c>
      <c r="G2740" t="s">
        <v>1755</v>
      </c>
      <c r="H2740" t="str">
        <f>VLOOKUP(C2740,'[1]873'!$C$2:$C$711,1,0)</f>
        <v>872-2025</v>
      </c>
    </row>
    <row r="2741" spans="1:8" ht="15" customHeight="1" x14ac:dyDescent="0.25">
      <c r="A2741" s="2">
        <v>46011</v>
      </c>
      <c r="B2741">
        <v>2025003776</v>
      </c>
      <c r="C2741" t="s">
        <v>1989</v>
      </c>
      <c r="D2741" s="11">
        <v>3150000</v>
      </c>
      <c r="E2741" t="s">
        <v>2110</v>
      </c>
      <c r="F2741" t="s">
        <v>289</v>
      </c>
      <c r="G2741" t="s">
        <v>1755</v>
      </c>
      <c r="H2741" t="str">
        <f>VLOOKUP(C2741,'[1]873'!$C$2:$C$711,1,0)</f>
        <v>909-2025</v>
      </c>
    </row>
    <row r="2742" spans="1:8" ht="15" customHeight="1" x14ac:dyDescent="0.25">
      <c r="A2742" s="2">
        <v>46011</v>
      </c>
      <c r="B2742">
        <v>2025003780</v>
      </c>
      <c r="C2742" t="s">
        <v>1795</v>
      </c>
      <c r="D2742" s="11">
        <v>6300000</v>
      </c>
      <c r="E2742" t="s">
        <v>1600</v>
      </c>
      <c r="F2742" t="s">
        <v>385</v>
      </c>
      <c r="G2742" t="s">
        <v>1755</v>
      </c>
      <c r="H2742" t="str">
        <f>VLOOKUP(C2742,'[1]873'!$C$2:$C$711,1,0)</f>
        <v>773-2025</v>
      </c>
    </row>
    <row r="2743" spans="1:8" ht="15" customHeight="1" x14ac:dyDescent="0.25">
      <c r="A2743" s="2">
        <v>46011</v>
      </c>
      <c r="B2743">
        <v>2025003781</v>
      </c>
      <c r="C2743" t="s">
        <v>1799</v>
      </c>
      <c r="D2743" s="11">
        <v>3150000</v>
      </c>
      <c r="E2743" t="s">
        <v>2247</v>
      </c>
      <c r="F2743" t="s">
        <v>1086</v>
      </c>
      <c r="G2743" t="s">
        <v>1755</v>
      </c>
      <c r="H2743" t="str">
        <f>VLOOKUP(C2743,'[1]873'!$C$2:$C$711,1,0)</f>
        <v>848-2025</v>
      </c>
    </row>
    <row r="2744" spans="1:8" ht="15" customHeight="1" x14ac:dyDescent="0.25">
      <c r="A2744" s="2">
        <v>46011</v>
      </c>
      <c r="B2744">
        <v>2025003782</v>
      </c>
      <c r="C2744" s="4" t="s">
        <v>1861</v>
      </c>
      <c r="D2744" s="11">
        <v>7800000</v>
      </c>
      <c r="E2744" t="s">
        <v>1622</v>
      </c>
      <c r="F2744" t="s">
        <v>63</v>
      </c>
      <c r="G2744" t="s">
        <v>1755</v>
      </c>
      <c r="H2744" t="str">
        <f>VLOOKUP(C2744,'[1]873'!$C$2:$C$711,1,0)</f>
        <v>723-2025</v>
      </c>
    </row>
    <row r="2745" spans="1:8" ht="15" customHeight="1" x14ac:dyDescent="0.25">
      <c r="A2745" s="2">
        <v>46011</v>
      </c>
      <c r="B2745">
        <v>2025003786</v>
      </c>
      <c r="C2745" t="s">
        <v>2450</v>
      </c>
      <c r="D2745" s="11">
        <v>6300000</v>
      </c>
      <c r="E2745" t="s">
        <v>1738</v>
      </c>
      <c r="F2745" t="s">
        <v>670</v>
      </c>
      <c r="G2745" t="s">
        <v>1755</v>
      </c>
      <c r="H2745" t="str">
        <f>VLOOKUP(C2745,'[1]873'!$C$2:$C$711,1,0)</f>
        <v>1162-2025</v>
      </c>
    </row>
    <row r="2746" spans="1:8" ht="15" customHeight="1" x14ac:dyDescent="0.25">
      <c r="A2746" s="2">
        <v>46011</v>
      </c>
      <c r="B2746">
        <v>2025003788</v>
      </c>
      <c r="C2746" t="s">
        <v>1965</v>
      </c>
      <c r="D2746" s="11">
        <v>3150000</v>
      </c>
      <c r="E2746" t="s">
        <v>2047</v>
      </c>
      <c r="F2746" t="s">
        <v>1966</v>
      </c>
      <c r="G2746" t="s">
        <v>1755</v>
      </c>
      <c r="H2746" t="str">
        <f>VLOOKUP(C2746,'[1]873'!$C$2:$C$711,1,0)</f>
        <v>857-2025</v>
      </c>
    </row>
    <row r="2747" spans="1:8" ht="15" customHeight="1" x14ac:dyDescent="0.25">
      <c r="A2747" s="2">
        <v>46011</v>
      </c>
      <c r="B2747">
        <v>2025003789</v>
      </c>
      <c r="C2747" t="s">
        <v>2107</v>
      </c>
      <c r="D2747" s="11">
        <v>2000000</v>
      </c>
      <c r="E2747" t="s">
        <v>2108</v>
      </c>
      <c r="F2747" t="s">
        <v>2109</v>
      </c>
      <c r="G2747" t="s">
        <v>1755</v>
      </c>
      <c r="H2747" t="str">
        <f>VLOOKUP(C2747,'[1]873'!$C$2:$C$711,1,0)</f>
        <v>1005-2025</v>
      </c>
    </row>
    <row r="2748" spans="1:8" ht="15" customHeight="1" x14ac:dyDescent="0.25">
      <c r="A2748" s="2">
        <v>46011</v>
      </c>
      <c r="B2748">
        <v>2025003792</v>
      </c>
      <c r="C2748" t="s">
        <v>2451</v>
      </c>
      <c r="D2748" s="11">
        <v>4730000</v>
      </c>
      <c r="E2748" t="s">
        <v>2452</v>
      </c>
      <c r="F2748" t="s">
        <v>2453</v>
      </c>
      <c r="G2748" t="s">
        <v>1755</v>
      </c>
      <c r="H2748" t="str">
        <f>VLOOKUP(C2748,'[1]873'!$C$2:$C$711,1,0)</f>
        <v>932-2025</v>
      </c>
    </row>
    <row r="2749" spans="1:8" ht="15" customHeight="1" x14ac:dyDescent="0.25">
      <c r="A2749" s="2">
        <v>46011</v>
      </c>
      <c r="B2749">
        <v>2025003793</v>
      </c>
      <c r="C2749" t="s">
        <v>2454</v>
      </c>
      <c r="D2749" s="11">
        <v>2000000</v>
      </c>
      <c r="E2749" t="s">
        <v>2455</v>
      </c>
      <c r="F2749" t="s">
        <v>866</v>
      </c>
      <c r="G2749" t="s">
        <v>1755</v>
      </c>
      <c r="H2749" t="str">
        <f>VLOOKUP(C2749,'[1]873'!$C$2:$C$711,1,0)</f>
        <v>1108-2025</v>
      </c>
    </row>
    <row r="2750" spans="1:8" ht="15" customHeight="1" x14ac:dyDescent="0.25">
      <c r="A2750" s="2">
        <v>46011</v>
      </c>
      <c r="B2750">
        <v>2025003794</v>
      </c>
      <c r="C2750" t="s">
        <v>1798</v>
      </c>
      <c r="D2750" s="11">
        <v>3150000</v>
      </c>
      <c r="E2750" t="s">
        <v>1657</v>
      </c>
      <c r="F2750" t="s">
        <v>59</v>
      </c>
      <c r="G2750" t="s">
        <v>1755</v>
      </c>
      <c r="H2750" t="str">
        <f>VLOOKUP(C2750,'[1]873'!$C$2:$C$711,1,0)</f>
        <v>784-2025</v>
      </c>
    </row>
    <row r="2751" spans="1:8" ht="15" customHeight="1" x14ac:dyDescent="0.25">
      <c r="A2751" s="2">
        <v>46011</v>
      </c>
      <c r="B2751">
        <v>2025003796</v>
      </c>
      <c r="C2751" t="s">
        <v>2143</v>
      </c>
      <c r="D2751" s="11">
        <v>3150000</v>
      </c>
      <c r="E2751" t="s">
        <v>2144</v>
      </c>
      <c r="F2751" t="s">
        <v>2145</v>
      </c>
      <c r="G2751" t="s">
        <v>1755</v>
      </c>
      <c r="H2751" t="str">
        <f>VLOOKUP(C2751,'[1]873'!$C$2:$C$711,1,0)</f>
        <v>1061-2025</v>
      </c>
    </row>
    <row r="2752" spans="1:8" ht="15" customHeight="1" x14ac:dyDescent="0.25">
      <c r="A2752" s="2">
        <v>46011</v>
      </c>
      <c r="B2752">
        <v>2025003798</v>
      </c>
      <c r="C2752" t="s">
        <v>2320</v>
      </c>
      <c r="D2752" s="11">
        <v>2000000</v>
      </c>
      <c r="E2752" t="s">
        <v>2321</v>
      </c>
      <c r="F2752" t="s">
        <v>2322</v>
      </c>
      <c r="G2752" t="s">
        <v>1755</v>
      </c>
      <c r="H2752" t="str">
        <f>VLOOKUP(C2752,'[1]873'!$C$2:$C$711,1,0)</f>
        <v>1009-2025</v>
      </c>
    </row>
    <row r="2753" spans="1:8" ht="15" customHeight="1" x14ac:dyDescent="0.25">
      <c r="A2753" s="2">
        <v>46011</v>
      </c>
      <c r="B2753">
        <v>2025003799</v>
      </c>
      <c r="C2753" t="s">
        <v>2139</v>
      </c>
      <c r="D2753" s="11">
        <v>6300000</v>
      </c>
      <c r="E2753" t="s">
        <v>1703</v>
      </c>
      <c r="F2753" t="s">
        <v>113</v>
      </c>
      <c r="G2753" t="s">
        <v>1755</v>
      </c>
      <c r="H2753" t="str">
        <f>VLOOKUP(C2753,'[1]873'!$C$2:$C$711,1,0)</f>
        <v>992-2025</v>
      </c>
    </row>
    <row r="2754" spans="1:8" ht="15" customHeight="1" x14ac:dyDescent="0.25">
      <c r="A2754" s="2">
        <v>46011</v>
      </c>
      <c r="B2754">
        <v>2025003800</v>
      </c>
      <c r="C2754" t="s">
        <v>1892</v>
      </c>
      <c r="D2754" s="11">
        <v>3150000</v>
      </c>
      <c r="E2754" t="s">
        <v>2120</v>
      </c>
      <c r="F2754" t="s">
        <v>1893</v>
      </c>
      <c r="G2754" t="s">
        <v>1755</v>
      </c>
      <c r="H2754" t="str">
        <f>VLOOKUP(C2754,'[1]873'!$C$2:$C$711,1,0)</f>
        <v>836-2025</v>
      </c>
    </row>
    <row r="2755" spans="1:8" ht="15" customHeight="1" x14ac:dyDescent="0.25">
      <c r="A2755" s="2">
        <v>46011</v>
      </c>
      <c r="B2755">
        <v>2025003801</v>
      </c>
      <c r="C2755" t="s">
        <v>2403</v>
      </c>
      <c r="D2755" s="11">
        <v>3150000</v>
      </c>
      <c r="E2755" t="s">
        <v>2404</v>
      </c>
      <c r="F2755" t="s">
        <v>2405</v>
      </c>
      <c r="G2755" t="s">
        <v>1755</v>
      </c>
      <c r="H2755" t="str">
        <f>VLOOKUP(C2755,'[1]873'!$C$2:$C$711,1,0)</f>
        <v>1139-2025</v>
      </c>
    </row>
    <row r="2756" spans="1:8" ht="15" customHeight="1" x14ac:dyDescent="0.25">
      <c r="A2756" s="2">
        <v>46011</v>
      </c>
      <c r="B2756">
        <v>2025003802</v>
      </c>
      <c r="C2756" t="s">
        <v>1967</v>
      </c>
      <c r="D2756" s="11">
        <v>3150000</v>
      </c>
      <c r="E2756" t="s">
        <v>2053</v>
      </c>
      <c r="F2756" t="s">
        <v>1968</v>
      </c>
      <c r="G2756" t="s">
        <v>1755</v>
      </c>
      <c r="H2756" t="str">
        <f>VLOOKUP(C2756,'[1]873'!$C$2:$C$711,1,0)</f>
        <v>791-2025</v>
      </c>
    </row>
    <row r="2757" spans="1:8" ht="15" customHeight="1" x14ac:dyDescent="0.25">
      <c r="A2757" s="2">
        <v>46011</v>
      </c>
      <c r="B2757">
        <v>2025003803</v>
      </c>
      <c r="C2757" t="s">
        <v>1950</v>
      </c>
      <c r="D2757" s="11">
        <v>3150000</v>
      </c>
      <c r="E2757" t="s">
        <v>2045</v>
      </c>
      <c r="F2757" t="s">
        <v>1951</v>
      </c>
      <c r="G2757" t="s">
        <v>1755</v>
      </c>
      <c r="H2757" t="str">
        <f>VLOOKUP(C2757,'[1]873'!$C$2:$C$711,1,0)</f>
        <v>842-2025</v>
      </c>
    </row>
    <row r="2758" spans="1:8" ht="15" customHeight="1" x14ac:dyDescent="0.25">
      <c r="A2758" s="2">
        <v>46011</v>
      </c>
      <c r="B2758">
        <v>2025003804</v>
      </c>
      <c r="C2758" t="s">
        <v>2309</v>
      </c>
      <c r="D2758" s="11">
        <v>3150000</v>
      </c>
      <c r="E2758" t="s">
        <v>2310</v>
      </c>
      <c r="F2758" t="s">
        <v>2311</v>
      </c>
      <c r="G2758" t="s">
        <v>1755</v>
      </c>
      <c r="H2758" t="str">
        <f>VLOOKUP(C2758,'[1]873'!$C$2:$C$711,1,0)</f>
        <v>980-2025</v>
      </c>
    </row>
    <row r="2759" spans="1:8" ht="15" customHeight="1" x14ac:dyDescent="0.25">
      <c r="A2759" s="2">
        <v>46011</v>
      </c>
      <c r="B2759">
        <v>2025003805</v>
      </c>
      <c r="C2759" t="s">
        <v>2211</v>
      </c>
      <c r="D2759" s="11">
        <v>2000000</v>
      </c>
      <c r="E2759" t="s">
        <v>2212</v>
      </c>
      <c r="F2759" t="s">
        <v>319</v>
      </c>
      <c r="G2759" t="s">
        <v>1755</v>
      </c>
      <c r="H2759" t="str">
        <f>VLOOKUP(C2759,'[1]873'!$C$2:$C$711,1,0)</f>
        <v>999-2025</v>
      </c>
    </row>
    <row r="2760" spans="1:8" ht="15" customHeight="1" x14ac:dyDescent="0.25">
      <c r="A2760" s="2">
        <v>46011</v>
      </c>
      <c r="B2760">
        <v>2025003806</v>
      </c>
      <c r="C2760" t="s">
        <v>1900</v>
      </c>
      <c r="D2760" s="11">
        <v>6300000</v>
      </c>
      <c r="E2760" t="s">
        <v>1705</v>
      </c>
      <c r="F2760" t="s">
        <v>450</v>
      </c>
      <c r="G2760" t="s">
        <v>1755</v>
      </c>
      <c r="H2760" t="str">
        <f>VLOOKUP(C2760,'[1]873'!$C$2:$C$711,1,0)</f>
        <v>843-2025</v>
      </c>
    </row>
    <row r="2761" spans="1:8" ht="15" customHeight="1" x14ac:dyDescent="0.25">
      <c r="A2761" s="2">
        <v>46011</v>
      </c>
      <c r="B2761">
        <v>2025003807</v>
      </c>
      <c r="C2761" t="s">
        <v>1775</v>
      </c>
      <c r="D2761" s="11">
        <v>3150000</v>
      </c>
      <c r="E2761" t="s">
        <v>1639</v>
      </c>
      <c r="F2761" t="s">
        <v>409</v>
      </c>
      <c r="G2761" t="s">
        <v>1755</v>
      </c>
      <c r="H2761" t="str">
        <f>VLOOKUP(C2761,'[1]873'!$C$2:$C$711,1,0)</f>
        <v>783-2025</v>
      </c>
    </row>
    <row r="2762" spans="1:8" ht="15" customHeight="1" x14ac:dyDescent="0.25">
      <c r="A2762" s="2">
        <v>46011</v>
      </c>
      <c r="B2762">
        <v>2025003808</v>
      </c>
      <c r="C2762" t="s">
        <v>2117</v>
      </c>
      <c r="D2762" s="11">
        <v>3150000</v>
      </c>
      <c r="E2762" t="s">
        <v>2118</v>
      </c>
      <c r="F2762" t="s">
        <v>2119</v>
      </c>
      <c r="G2762" t="s">
        <v>1755</v>
      </c>
      <c r="H2762" t="str">
        <f>VLOOKUP(C2762,'[1]873'!$C$2:$C$711,1,0)</f>
        <v>991-2025</v>
      </c>
    </row>
    <row r="2763" spans="1:8" ht="15" customHeight="1" x14ac:dyDescent="0.25">
      <c r="A2763" s="2">
        <v>46011</v>
      </c>
      <c r="B2763">
        <v>2025003809</v>
      </c>
      <c r="C2763" t="s">
        <v>1760</v>
      </c>
      <c r="D2763" s="11">
        <v>3150000</v>
      </c>
      <c r="E2763" t="s">
        <v>1652</v>
      </c>
      <c r="F2763" t="s">
        <v>371</v>
      </c>
      <c r="G2763" t="s">
        <v>1755</v>
      </c>
      <c r="H2763" t="str">
        <f>VLOOKUP(C2763,'[1]873'!$C$2:$C$711,1,0)</f>
        <v>761-2025</v>
      </c>
    </row>
    <row r="2764" spans="1:8" ht="15" customHeight="1" x14ac:dyDescent="0.25">
      <c r="A2764" s="2">
        <v>46011</v>
      </c>
      <c r="B2764">
        <v>2025003811</v>
      </c>
      <c r="C2764" t="s">
        <v>1828</v>
      </c>
      <c r="D2764" s="11">
        <v>3150000</v>
      </c>
      <c r="E2764" t="s">
        <v>2074</v>
      </c>
      <c r="F2764" t="s">
        <v>1829</v>
      </c>
      <c r="G2764" t="s">
        <v>1755</v>
      </c>
      <c r="H2764" t="str">
        <f>VLOOKUP(C2764,'[1]873'!$C$2:$C$711,1,0)</f>
        <v>925-2025</v>
      </c>
    </row>
    <row r="2765" spans="1:8" ht="15" customHeight="1" x14ac:dyDescent="0.25">
      <c r="A2765" s="2">
        <v>46011</v>
      </c>
      <c r="B2765">
        <v>2025003812</v>
      </c>
      <c r="C2765" t="s">
        <v>1842</v>
      </c>
      <c r="D2765" s="11">
        <v>3150000</v>
      </c>
      <c r="E2765" t="s">
        <v>2062</v>
      </c>
      <c r="F2765" t="s">
        <v>1843</v>
      </c>
      <c r="G2765" t="s">
        <v>1755</v>
      </c>
      <c r="H2765" t="str">
        <f>VLOOKUP(C2765,'[1]873'!$C$2:$C$711,1,0)</f>
        <v>859-2025</v>
      </c>
    </row>
    <row r="2766" spans="1:8" ht="15" customHeight="1" x14ac:dyDescent="0.25">
      <c r="A2766" s="2">
        <v>46011</v>
      </c>
      <c r="B2766">
        <v>2025003814</v>
      </c>
      <c r="C2766" t="s">
        <v>1835</v>
      </c>
      <c r="D2766" s="11">
        <v>3150000</v>
      </c>
      <c r="E2766" t="s">
        <v>1679</v>
      </c>
      <c r="F2766" t="s">
        <v>111</v>
      </c>
      <c r="G2766" t="s">
        <v>1755</v>
      </c>
      <c r="H2766" t="str">
        <f>VLOOKUP(C2766,'[1]873'!$C$2:$C$711,1,0)</f>
        <v>826-2025</v>
      </c>
    </row>
    <row r="2767" spans="1:8" ht="15" customHeight="1" x14ac:dyDescent="0.25">
      <c r="A2767" s="2">
        <v>46011</v>
      </c>
      <c r="B2767">
        <v>2025003815</v>
      </c>
      <c r="C2767" t="s">
        <v>1845</v>
      </c>
      <c r="D2767" s="11">
        <v>6300000</v>
      </c>
      <c r="E2767" t="s">
        <v>2215</v>
      </c>
      <c r="F2767" t="s">
        <v>1846</v>
      </c>
      <c r="G2767" t="s">
        <v>1755</v>
      </c>
      <c r="H2767" t="str">
        <f>VLOOKUP(C2767,'[1]873'!$C$2:$C$711,1,0)</f>
        <v>853-2025</v>
      </c>
    </row>
    <row r="2768" spans="1:8" ht="15" customHeight="1" x14ac:dyDescent="0.25">
      <c r="A2768" s="2">
        <v>46011</v>
      </c>
      <c r="B2768">
        <v>2025003816</v>
      </c>
      <c r="C2768" t="s">
        <v>1765</v>
      </c>
      <c r="D2768" s="11">
        <v>6300000</v>
      </c>
      <c r="E2768" t="s">
        <v>2009</v>
      </c>
      <c r="F2768" t="s">
        <v>1766</v>
      </c>
      <c r="G2768" t="s">
        <v>1755</v>
      </c>
      <c r="H2768" t="str">
        <f>VLOOKUP(C2768,'[1]873'!$C$2:$C$711,1,0)</f>
        <v>862-2025</v>
      </c>
    </row>
    <row r="2769" spans="1:8" ht="15" customHeight="1" x14ac:dyDescent="0.25">
      <c r="A2769" s="2">
        <v>46011</v>
      </c>
      <c r="B2769">
        <v>2025003818</v>
      </c>
      <c r="C2769" t="s">
        <v>1925</v>
      </c>
      <c r="D2769" s="11">
        <v>4730000</v>
      </c>
      <c r="E2769" t="s">
        <v>2288</v>
      </c>
      <c r="F2769" t="s">
        <v>1926</v>
      </c>
      <c r="G2769" t="s">
        <v>1755</v>
      </c>
      <c r="H2769" t="str">
        <f>VLOOKUP(C2769,'[1]873'!$C$2:$C$711,1,0)</f>
        <v>847-2025</v>
      </c>
    </row>
    <row r="2770" spans="1:8" ht="15" customHeight="1" x14ac:dyDescent="0.25">
      <c r="A2770" s="2">
        <v>46011</v>
      </c>
      <c r="B2770">
        <v>2025003819</v>
      </c>
      <c r="C2770" s="4" t="s">
        <v>2219</v>
      </c>
      <c r="D2770" s="11">
        <v>3150000</v>
      </c>
      <c r="E2770" t="s">
        <v>2220</v>
      </c>
      <c r="F2770" t="s">
        <v>2221</v>
      </c>
      <c r="G2770" t="s">
        <v>1755</v>
      </c>
      <c r="H2770" t="str">
        <f>VLOOKUP(C2770,'[1]873'!$C$2:$C$711,1,0)</f>
        <v>936-2025</v>
      </c>
    </row>
    <row r="2771" spans="1:8" ht="15" customHeight="1" x14ac:dyDescent="0.25">
      <c r="A2771" s="2">
        <v>46011</v>
      </c>
      <c r="B2771">
        <v>2025003820</v>
      </c>
      <c r="C2771" t="s">
        <v>1890</v>
      </c>
      <c r="D2771" s="11">
        <v>4730000</v>
      </c>
      <c r="E2771" t="s">
        <v>2020</v>
      </c>
      <c r="F2771" t="s">
        <v>1891</v>
      </c>
      <c r="G2771" t="s">
        <v>1755</v>
      </c>
      <c r="H2771" t="str">
        <f>VLOOKUP(C2771,'[1]873'!$C$2:$C$711,1,0)</f>
        <v>747-2025</v>
      </c>
    </row>
    <row r="2772" spans="1:8" ht="15" customHeight="1" x14ac:dyDescent="0.25">
      <c r="A2772" s="2">
        <v>46011</v>
      </c>
      <c r="B2772">
        <v>2025003822</v>
      </c>
      <c r="C2772" t="s">
        <v>1850</v>
      </c>
      <c r="D2772" s="11">
        <v>4730000</v>
      </c>
      <c r="E2772" t="s">
        <v>2076</v>
      </c>
      <c r="F2772" t="s">
        <v>429</v>
      </c>
      <c r="G2772" t="s">
        <v>1755</v>
      </c>
      <c r="H2772" t="str">
        <f>VLOOKUP(C2772,'[1]873'!$C$2:$C$711,1,0)</f>
        <v>748-2025</v>
      </c>
    </row>
    <row r="2773" spans="1:8" ht="15" customHeight="1" x14ac:dyDescent="0.25">
      <c r="A2773" s="2">
        <v>46011</v>
      </c>
      <c r="B2773">
        <v>2025003823</v>
      </c>
      <c r="C2773" t="s">
        <v>1952</v>
      </c>
      <c r="D2773" s="11">
        <v>3150000</v>
      </c>
      <c r="E2773" t="s">
        <v>2049</v>
      </c>
      <c r="F2773" t="s">
        <v>1953</v>
      </c>
      <c r="G2773" t="s">
        <v>1755</v>
      </c>
      <c r="H2773" t="str">
        <f>VLOOKUP(C2773,'[1]873'!$C$2:$C$711,1,0)</f>
        <v>873-2025</v>
      </c>
    </row>
    <row r="2774" spans="1:8" ht="15" customHeight="1" x14ac:dyDescent="0.25">
      <c r="A2774" s="2">
        <v>46011</v>
      </c>
      <c r="B2774">
        <v>2025003828</v>
      </c>
      <c r="C2774" t="s">
        <v>2103</v>
      </c>
      <c r="D2774" s="11">
        <v>6300000</v>
      </c>
      <c r="E2774" t="s">
        <v>1748</v>
      </c>
      <c r="F2774" t="s">
        <v>437</v>
      </c>
      <c r="G2774" t="s">
        <v>1755</v>
      </c>
      <c r="H2774" t="str">
        <f>VLOOKUP(C2774,'[1]873'!$C$2:$C$711,1,0)</f>
        <v>1012-2025</v>
      </c>
    </row>
    <row r="2775" spans="1:8" ht="15" customHeight="1" x14ac:dyDescent="0.25">
      <c r="A2775" s="2">
        <v>46011</v>
      </c>
      <c r="B2775">
        <v>2025003829</v>
      </c>
      <c r="C2775" t="s">
        <v>1946</v>
      </c>
      <c r="D2775" s="11">
        <v>3150000</v>
      </c>
      <c r="E2775" t="s">
        <v>2048</v>
      </c>
      <c r="F2775" t="s">
        <v>1947</v>
      </c>
      <c r="G2775" t="s">
        <v>1755</v>
      </c>
      <c r="H2775" t="str">
        <f>VLOOKUP(C2775,'[1]873'!$C$2:$C$711,1,0)</f>
        <v>809-2025</v>
      </c>
    </row>
    <row r="2776" spans="1:8" ht="15" customHeight="1" x14ac:dyDescent="0.25">
      <c r="A2776" s="2">
        <v>46007</v>
      </c>
      <c r="B2776">
        <v>2025003830</v>
      </c>
      <c r="C2776" t="s">
        <v>1267</v>
      </c>
      <c r="D2776" s="11">
        <v>3000000</v>
      </c>
      <c r="E2776">
        <v>1086328142</v>
      </c>
      <c r="F2776" t="s">
        <v>470</v>
      </c>
      <c r="G2776" t="s">
        <v>1094</v>
      </c>
      <c r="H2776" t="e">
        <f>VLOOKUP(C2776,'[1]873'!$C$2:$C$711,1,0)</f>
        <v>#N/A</v>
      </c>
    </row>
    <row r="2777" spans="1:8" ht="15" customHeight="1" x14ac:dyDescent="0.25">
      <c r="A2777" s="2">
        <v>46011</v>
      </c>
      <c r="B2777">
        <v>2025003831</v>
      </c>
      <c r="C2777" t="s">
        <v>1984</v>
      </c>
      <c r="D2777" s="11">
        <v>3150000</v>
      </c>
      <c r="E2777" t="s">
        <v>2011</v>
      </c>
      <c r="F2777" t="s">
        <v>884</v>
      </c>
      <c r="G2777" t="s">
        <v>1755</v>
      </c>
      <c r="H2777" t="str">
        <f>VLOOKUP(C2777,'[1]873'!$C$2:$C$711,1,0)</f>
        <v>926-2025</v>
      </c>
    </row>
    <row r="2778" spans="1:8" ht="15" customHeight="1" x14ac:dyDescent="0.25">
      <c r="A2778" s="2">
        <v>46011</v>
      </c>
      <c r="B2778">
        <v>2025003833</v>
      </c>
      <c r="C2778" t="s">
        <v>1873</v>
      </c>
      <c r="D2778" s="11">
        <v>3150000</v>
      </c>
      <c r="E2778" t="s">
        <v>2012</v>
      </c>
      <c r="F2778" t="s">
        <v>1874</v>
      </c>
      <c r="G2778" t="s">
        <v>1755</v>
      </c>
      <c r="H2778" t="str">
        <f>VLOOKUP(C2778,'[1]873'!$C$2:$C$711,1,0)</f>
        <v>782-2025</v>
      </c>
    </row>
    <row r="2779" spans="1:8" ht="15" customHeight="1" x14ac:dyDescent="0.25">
      <c r="A2779" s="2">
        <v>46011</v>
      </c>
      <c r="B2779">
        <v>2025003834</v>
      </c>
      <c r="C2779" t="s">
        <v>1830</v>
      </c>
      <c r="D2779" s="11">
        <v>7800000</v>
      </c>
      <c r="E2779" t="s">
        <v>2010</v>
      </c>
      <c r="F2779" t="s">
        <v>1831</v>
      </c>
      <c r="G2779" t="s">
        <v>1755</v>
      </c>
      <c r="H2779" t="str">
        <f>VLOOKUP(C2779,'[1]873'!$C$2:$C$711,1,0)</f>
        <v>831-2025</v>
      </c>
    </row>
    <row r="2780" spans="1:8" ht="15" customHeight="1" x14ac:dyDescent="0.25">
      <c r="A2780" s="2">
        <v>46011</v>
      </c>
      <c r="B2780">
        <v>2025003836</v>
      </c>
      <c r="C2780" t="s">
        <v>1869</v>
      </c>
      <c r="D2780" s="11">
        <v>7800000</v>
      </c>
      <c r="E2780" t="s">
        <v>1591</v>
      </c>
      <c r="F2780" t="s">
        <v>791</v>
      </c>
      <c r="G2780" t="s">
        <v>1755</v>
      </c>
      <c r="H2780" t="str">
        <f>VLOOKUP(C2780,'[1]873'!$C$2:$C$711,1,0)</f>
        <v>762-2025</v>
      </c>
    </row>
    <row r="2781" spans="1:8" ht="15" customHeight="1" x14ac:dyDescent="0.25">
      <c r="A2781" s="2">
        <v>46011</v>
      </c>
      <c r="B2781">
        <v>2025003837</v>
      </c>
      <c r="C2781" t="s">
        <v>1879</v>
      </c>
      <c r="D2781" s="11">
        <v>3150000</v>
      </c>
      <c r="E2781" t="s">
        <v>2034</v>
      </c>
      <c r="F2781" t="s">
        <v>1880</v>
      </c>
      <c r="G2781" t="s">
        <v>1755</v>
      </c>
      <c r="H2781" t="str">
        <f>VLOOKUP(C2781,'[1]873'!$C$2:$C$711,1,0)</f>
        <v>830-2025</v>
      </c>
    </row>
    <row r="2782" spans="1:8" ht="15" customHeight="1" x14ac:dyDescent="0.25">
      <c r="A2782" s="2">
        <v>46011</v>
      </c>
      <c r="B2782">
        <v>2025003840</v>
      </c>
      <c r="C2782" t="s">
        <v>2149</v>
      </c>
      <c r="D2782" s="11">
        <v>6300000</v>
      </c>
      <c r="E2782" t="s">
        <v>2150</v>
      </c>
      <c r="F2782" t="s">
        <v>2151</v>
      </c>
      <c r="G2782" t="s">
        <v>1755</v>
      </c>
      <c r="H2782" t="str">
        <f>VLOOKUP(C2782,'[1]873'!$C$2:$C$711,1,0)</f>
        <v>1058-2025</v>
      </c>
    </row>
    <row r="2783" spans="1:8" ht="15" customHeight="1" x14ac:dyDescent="0.25">
      <c r="A2783" s="2">
        <v>46011</v>
      </c>
      <c r="B2783">
        <v>2025003841</v>
      </c>
      <c r="C2783" t="s">
        <v>1768</v>
      </c>
      <c r="D2783" s="11">
        <v>3150000</v>
      </c>
      <c r="E2783" t="s">
        <v>2214</v>
      </c>
      <c r="F2783" t="s">
        <v>1769</v>
      </c>
      <c r="G2783" t="s">
        <v>1755</v>
      </c>
      <c r="H2783" t="str">
        <f>VLOOKUP(C2783,'[1]873'!$C$2:$C$711,1,0)</f>
        <v>872-2025</v>
      </c>
    </row>
    <row r="2784" spans="1:8" ht="15" customHeight="1" x14ac:dyDescent="0.25">
      <c r="A2784" s="2">
        <v>46011</v>
      </c>
      <c r="B2784">
        <v>2025003842</v>
      </c>
      <c r="C2784" t="s">
        <v>2407</v>
      </c>
      <c r="D2784" s="11">
        <v>3150000</v>
      </c>
      <c r="E2784" t="s">
        <v>2408</v>
      </c>
      <c r="F2784" t="s">
        <v>2409</v>
      </c>
      <c r="G2784" t="s">
        <v>1755</v>
      </c>
      <c r="H2784" t="str">
        <f>VLOOKUP(C2784,'[1]873'!$C$2:$C$711,1,0)</f>
        <v>1145-2025</v>
      </c>
    </row>
    <row r="2785" spans="1:8" ht="15" customHeight="1" x14ac:dyDescent="0.25">
      <c r="A2785" s="2">
        <v>46011</v>
      </c>
      <c r="B2785">
        <v>2025003843</v>
      </c>
      <c r="C2785" t="s">
        <v>2413</v>
      </c>
      <c r="D2785" s="11">
        <v>2000000</v>
      </c>
      <c r="E2785" t="s">
        <v>2414</v>
      </c>
      <c r="F2785" t="s">
        <v>2415</v>
      </c>
      <c r="G2785" t="s">
        <v>1755</v>
      </c>
      <c r="H2785" t="str">
        <f>VLOOKUP(C2785,'[1]873'!$C$2:$C$711,1,0)</f>
        <v>1101-2025</v>
      </c>
    </row>
    <row r="2786" spans="1:8" ht="15" customHeight="1" x14ac:dyDescent="0.25">
      <c r="A2786" s="2">
        <v>46011</v>
      </c>
      <c r="B2786">
        <v>2025003844</v>
      </c>
      <c r="C2786" t="s">
        <v>2071</v>
      </c>
      <c r="D2786" s="11">
        <v>2000000</v>
      </c>
      <c r="E2786" t="s">
        <v>2072</v>
      </c>
      <c r="F2786" t="s">
        <v>2073</v>
      </c>
      <c r="G2786" t="s">
        <v>1755</v>
      </c>
      <c r="H2786" t="str">
        <f>VLOOKUP(C2786,'[1]873'!$C$2:$C$711,1,0)</f>
        <v>1032-2025</v>
      </c>
    </row>
    <row r="2787" spans="1:8" ht="15" customHeight="1" x14ac:dyDescent="0.25">
      <c r="A2787" s="2">
        <v>46011</v>
      </c>
      <c r="B2787">
        <v>2025003845</v>
      </c>
      <c r="C2787" t="s">
        <v>2091</v>
      </c>
      <c r="D2787" s="11">
        <v>3150000</v>
      </c>
      <c r="E2787" t="s">
        <v>2092</v>
      </c>
      <c r="F2787" t="s">
        <v>2093</v>
      </c>
      <c r="G2787" t="s">
        <v>1755</v>
      </c>
      <c r="H2787" t="str">
        <f>VLOOKUP(C2787,'[1]873'!$C$2:$C$711,1,0)</f>
        <v>1063-2025</v>
      </c>
    </row>
    <row r="2788" spans="1:8" ht="15" customHeight="1" x14ac:dyDescent="0.25">
      <c r="A2788" s="2">
        <v>46011</v>
      </c>
      <c r="B2788">
        <v>2025003846</v>
      </c>
      <c r="C2788" t="s">
        <v>2155</v>
      </c>
      <c r="D2788" s="11">
        <v>7800000</v>
      </c>
      <c r="E2788" t="s">
        <v>2156</v>
      </c>
      <c r="F2788" t="s">
        <v>2157</v>
      </c>
      <c r="G2788" t="s">
        <v>1755</v>
      </c>
      <c r="H2788" t="str">
        <f>VLOOKUP(C2788,'[1]873'!$C$2:$C$711,1,0)</f>
        <v>1047-2025</v>
      </c>
    </row>
    <row r="2789" spans="1:8" ht="15" customHeight="1" x14ac:dyDescent="0.25">
      <c r="A2789" s="2">
        <v>46011</v>
      </c>
      <c r="B2789">
        <v>2025003847</v>
      </c>
      <c r="C2789" t="s">
        <v>2450</v>
      </c>
      <c r="D2789" s="11">
        <v>6300000</v>
      </c>
      <c r="E2789" t="s">
        <v>1738</v>
      </c>
      <c r="F2789" t="s">
        <v>670</v>
      </c>
      <c r="G2789" t="s">
        <v>1755</v>
      </c>
      <c r="H2789" t="str">
        <f>VLOOKUP(C2789,'[1]873'!$C$2:$C$711,1,0)</f>
        <v>1162-2025</v>
      </c>
    </row>
    <row r="2790" spans="1:8" ht="15" customHeight="1" x14ac:dyDescent="0.25">
      <c r="A2790" s="2">
        <v>46011</v>
      </c>
      <c r="B2790">
        <v>2025003848</v>
      </c>
      <c r="C2790" t="s">
        <v>1898</v>
      </c>
      <c r="D2790" s="11">
        <v>3150000</v>
      </c>
      <c r="E2790" t="s">
        <v>2115</v>
      </c>
      <c r="F2790" t="s">
        <v>1899</v>
      </c>
      <c r="G2790" t="s">
        <v>1755</v>
      </c>
      <c r="H2790" t="str">
        <f>VLOOKUP(C2790,'[1]873'!$C$2:$C$711,1,0)</f>
        <v>828-2025</v>
      </c>
    </row>
    <row r="2791" spans="1:8" ht="15" customHeight="1" x14ac:dyDescent="0.25">
      <c r="A2791" s="2">
        <v>46011</v>
      </c>
      <c r="B2791">
        <v>2025003849</v>
      </c>
      <c r="C2791" t="s">
        <v>1850</v>
      </c>
      <c r="D2791" s="11">
        <v>4730000</v>
      </c>
      <c r="E2791" t="s">
        <v>2076</v>
      </c>
      <c r="F2791" t="s">
        <v>429</v>
      </c>
      <c r="G2791" t="s">
        <v>1755</v>
      </c>
      <c r="H2791" t="str">
        <f>VLOOKUP(C2791,'[1]873'!$C$2:$C$711,1,0)</f>
        <v>748-2025</v>
      </c>
    </row>
    <row r="2792" spans="1:8" ht="15" customHeight="1" x14ac:dyDescent="0.25">
      <c r="A2792" s="2">
        <v>46011</v>
      </c>
      <c r="B2792">
        <v>2025003851</v>
      </c>
      <c r="C2792" t="s">
        <v>2117</v>
      </c>
      <c r="D2792" s="11">
        <v>3150000</v>
      </c>
      <c r="E2792" t="s">
        <v>2118</v>
      </c>
      <c r="F2792" t="s">
        <v>2119</v>
      </c>
      <c r="G2792" t="s">
        <v>1755</v>
      </c>
      <c r="H2792" t="str">
        <f>VLOOKUP(C2792,'[1]873'!$C$2:$C$711,1,0)</f>
        <v>991-2025</v>
      </c>
    </row>
    <row r="2793" spans="1:8" ht="15" customHeight="1" x14ac:dyDescent="0.25">
      <c r="A2793" s="2">
        <v>46011</v>
      </c>
      <c r="B2793">
        <v>2025003852</v>
      </c>
      <c r="C2793" t="s">
        <v>1887</v>
      </c>
      <c r="D2793" s="11">
        <v>4730000</v>
      </c>
      <c r="E2793" t="s">
        <v>2024</v>
      </c>
      <c r="F2793" t="s">
        <v>1888</v>
      </c>
      <c r="G2793" t="s">
        <v>1755</v>
      </c>
      <c r="H2793" t="str">
        <f>VLOOKUP(C2793,'[1]873'!$C$2:$C$711,1,0)</f>
        <v>742-2025</v>
      </c>
    </row>
    <row r="2794" spans="1:8" ht="15" customHeight="1" x14ac:dyDescent="0.25">
      <c r="A2794" s="2">
        <v>46011</v>
      </c>
      <c r="B2794">
        <v>2025003853</v>
      </c>
      <c r="C2794" t="s">
        <v>2406</v>
      </c>
      <c r="D2794" s="11">
        <v>3150000</v>
      </c>
      <c r="E2794" t="s">
        <v>1608</v>
      </c>
      <c r="F2794" t="s">
        <v>1114</v>
      </c>
      <c r="G2794" t="s">
        <v>1755</v>
      </c>
      <c r="H2794" t="str">
        <f>VLOOKUP(C2794,'[1]873'!$C$2:$C$711,1,0)</f>
        <v>1160-2025</v>
      </c>
    </row>
    <row r="2795" spans="1:8" ht="15" customHeight="1" x14ac:dyDescent="0.25">
      <c r="A2795" s="2">
        <v>46011</v>
      </c>
      <c r="B2795">
        <v>2025003854</v>
      </c>
      <c r="C2795" t="s">
        <v>2219</v>
      </c>
      <c r="D2795" s="11">
        <v>3150000</v>
      </c>
      <c r="E2795" t="s">
        <v>2220</v>
      </c>
      <c r="F2795" t="s">
        <v>2221</v>
      </c>
      <c r="G2795" t="s">
        <v>1755</v>
      </c>
      <c r="H2795" t="str">
        <f>VLOOKUP(C2795,'[1]873'!$C$2:$C$711,1,0)</f>
        <v>936-2025</v>
      </c>
    </row>
    <row r="2796" spans="1:8" ht="15" customHeight="1" x14ac:dyDescent="0.25">
      <c r="A2796" s="2">
        <v>46011</v>
      </c>
      <c r="B2796">
        <v>2025003856</v>
      </c>
      <c r="C2796" t="s">
        <v>1760</v>
      </c>
      <c r="D2796" s="11">
        <v>3150000</v>
      </c>
      <c r="E2796" t="s">
        <v>1652</v>
      </c>
      <c r="F2796" t="s">
        <v>371</v>
      </c>
      <c r="G2796" t="s">
        <v>1755</v>
      </c>
      <c r="H2796" t="str">
        <f>VLOOKUP(C2796,'[1]873'!$C$2:$C$711,1,0)</f>
        <v>761-2025</v>
      </c>
    </row>
    <row r="2797" spans="1:8" ht="15" customHeight="1" x14ac:dyDescent="0.25">
      <c r="A2797" s="2">
        <v>46011</v>
      </c>
      <c r="B2797">
        <v>2025003858</v>
      </c>
      <c r="C2797" t="s">
        <v>1919</v>
      </c>
      <c r="D2797" s="11">
        <v>4730000</v>
      </c>
      <c r="E2797" t="s">
        <v>2289</v>
      </c>
      <c r="F2797" t="s">
        <v>900</v>
      </c>
      <c r="G2797" t="s">
        <v>1755</v>
      </c>
      <c r="H2797" t="str">
        <f>VLOOKUP(C2797,'[1]873'!$C$2:$C$711,1,0)</f>
        <v>792-2025</v>
      </c>
    </row>
    <row r="2798" spans="1:8" ht="15" customHeight="1" x14ac:dyDescent="0.25">
      <c r="A2798" s="2">
        <v>46011</v>
      </c>
      <c r="B2798">
        <v>2025003859</v>
      </c>
      <c r="C2798" t="s">
        <v>2029</v>
      </c>
      <c r="D2798" s="11">
        <v>3150000</v>
      </c>
      <c r="E2798" t="s">
        <v>1712</v>
      </c>
      <c r="F2798" t="s">
        <v>1222</v>
      </c>
      <c r="G2798" t="s">
        <v>1755</v>
      </c>
      <c r="H2798" t="str">
        <f>VLOOKUP(C2798,'[1]873'!$C$2:$C$711,1,0)</f>
        <v>960-2025</v>
      </c>
    </row>
    <row r="2799" spans="1:8" ht="15" customHeight="1" x14ac:dyDescent="0.25">
      <c r="A2799" s="2">
        <v>46011</v>
      </c>
      <c r="B2799">
        <v>2025003862</v>
      </c>
      <c r="C2799" t="s">
        <v>1889</v>
      </c>
      <c r="D2799" s="11">
        <v>3150000</v>
      </c>
      <c r="E2799" t="s">
        <v>1731</v>
      </c>
      <c r="F2799" t="s">
        <v>548</v>
      </c>
      <c r="G2799" t="s">
        <v>1755</v>
      </c>
      <c r="H2799" t="str">
        <f>VLOOKUP(C2799,'[1]873'!$C$2:$C$711,1,0)</f>
        <v>854-2025</v>
      </c>
    </row>
    <row r="2800" spans="1:8" ht="15" customHeight="1" x14ac:dyDescent="0.25">
      <c r="A2800" s="2">
        <v>46011</v>
      </c>
      <c r="B2800">
        <v>2025003864</v>
      </c>
      <c r="C2800" t="s">
        <v>1871</v>
      </c>
      <c r="D2800" s="11">
        <v>7800000</v>
      </c>
      <c r="E2800" t="s">
        <v>2054</v>
      </c>
      <c r="F2800" t="s">
        <v>1872</v>
      </c>
      <c r="G2800" t="s">
        <v>1755</v>
      </c>
      <c r="H2800" t="str">
        <f>VLOOKUP(C2800,'[1]873'!$C$2:$C$711,1,0)</f>
        <v>786-2025</v>
      </c>
    </row>
    <row r="2801" spans="1:8" ht="15" customHeight="1" x14ac:dyDescent="0.25">
      <c r="A2801" s="2">
        <v>46011</v>
      </c>
      <c r="B2801">
        <v>2025003865</v>
      </c>
      <c r="C2801" t="s">
        <v>1754</v>
      </c>
      <c r="D2801" s="11">
        <v>3150000</v>
      </c>
      <c r="E2801" t="s">
        <v>2090</v>
      </c>
      <c r="F2801" t="s">
        <v>504</v>
      </c>
      <c r="G2801" t="s">
        <v>1755</v>
      </c>
      <c r="H2801" t="str">
        <f>VLOOKUP(C2801,'[1]873'!$C$2:$C$711,1,0)</f>
        <v>790-2025</v>
      </c>
    </row>
    <row r="2802" spans="1:8" ht="15" customHeight="1" x14ac:dyDescent="0.25">
      <c r="A2802" s="2">
        <v>46011</v>
      </c>
      <c r="B2802">
        <v>2025003866</v>
      </c>
      <c r="C2802" t="s">
        <v>1836</v>
      </c>
      <c r="D2802" s="11">
        <v>4730000</v>
      </c>
      <c r="E2802" t="s">
        <v>2013</v>
      </c>
      <c r="F2802" t="s">
        <v>1837</v>
      </c>
      <c r="G2802" t="s">
        <v>1755</v>
      </c>
      <c r="H2802" t="str">
        <f>VLOOKUP(C2802,'[1]873'!$C$2:$C$711,1,0)</f>
        <v>749-2025</v>
      </c>
    </row>
    <row r="2803" spans="1:8" ht="15" customHeight="1" x14ac:dyDescent="0.25">
      <c r="A2803" s="2">
        <v>46011</v>
      </c>
      <c r="B2803">
        <v>2025003867</v>
      </c>
      <c r="C2803" t="s">
        <v>2211</v>
      </c>
      <c r="D2803" s="11">
        <v>2000000</v>
      </c>
      <c r="E2803" t="s">
        <v>2212</v>
      </c>
      <c r="F2803" t="s">
        <v>319</v>
      </c>
      <c r="G2803" t="s">
        <v>1755</v>
      </c>
      <c r="H2803" t="str">
        <f>VLOOKUP(C2803,'[1]873'!$C$2:$C$711,1,0)</f>
        <v>999-2025</v>
      </c>
    </row>
    <row r="2804" spans="1:8" ht="15" customHeight="1" x14ac:dyDescent="0.25">
      <c r="A2804" s="2">
        <v>46011</v>
      </c>
      <c r="B2804">
        <v>2025003868</v>
      </c>
      <c r="C2804" t="s">
        <v>2029</v>
      </c>
      <c r="D2804" s="11">
        <v>3150000</v>
      </c>
      <c r="E2804" t="s">
        <v>1712</v>
      </c>
      <c r="F2804" t="s">
        <v>1222</v>
      </c>
      <c r="G2804" t="s">
        <v>1755</v>
      </c>
      <c r="H2804" t="str">
        <f>VLOOKUP(C2804,'[1]873'!$C$2:$C$711,1,0)</f>
        <v>960-2025</v>
      </c>
    </row>
    <row r="2805" spans="1:8" ht="15" customHeight="1" x14ac:dyDescent="0.25">
      <c r="A2805" s="2">
        <v>46011</v>
      </c>
      <c r="B2805">
        <v>2025003870</v>
      </c>
      <c r="C2805" t="s">
        <v>2104</v>
      </c>
      <c r="D2805" s="11">
        <v>2000000</v>
      </c>
      <c r="E2805" t="s">
        <v>2105</v>
      </c>
      <c r="F2805" t="s">
        <v>2106</v>
      </c>
      <c r="G2805" t="s">
        <v>1755</v>
      </c>
      <c r="H2805" t="str">
        <f>VLOOKUP(C2805,'[1]873'!$C$2:$C$711,1,0)</f>
        <v>1011-2025</v>
      </c>
    </row>
    <row r="2806" spans="1:8" ht="15" customHeight="1" x14ac:dyDescent="0.25">
      <c r="A2806" s="2">
        <v>46011</v>
      </c>
      <c r="B2806">
        <v>2025003872</v>
      </c>
      <c r="C2806" t="s">
        <v>1967</v>
      </c>
      <c r="D2806" s="11">
        <v>3150000</v>
      </c>
      <c r="E2806" t="s">
        <v>2053</v>
      </c>
      <c r="F2806" t="s">
        <v>1968</v>
      </c>
      <c r="G2806" t="s">
        <v>1755</v>
      </c>
      <c r="H2806" t="str">
        <f>VLOOKUP(C2806,'[1]873'!$C$2:$C$711,1,0)</f>
        <v>791-2025</v>
      </c>
    </row>
    <row r="2807" spans="1:8" ht="15" customHeight="1" x14ac:dyDescent="0.25">
      <c r="A2807" s="2">
        <v>46011</v>
      </c>
      <c r="B2807">
        <v>2025003873</v>
      </c>
      <c r="C2807" t="s">
        <v>2026</v>
      </c>
      <c r="D2807" s="11">
        <v>2000000</v>
      </c>
      <c r="E2807" t="s">
        <v>2027</v>
      </c>
      <c r="F2807" t="s">
        <v>2028</v>
      </c>
      <c r="G2807" t="s">
        <v>1755</v>
      </c>
      <c r="H2807" t="str">
        <f>VLOOKUP(C2807,'[1]873'!$C$2:$C$711,1,0)</f>
        <v>1021-2025</v>
      </c>
    </row>
    <row r="2808" spans="1:8" ht="15" customHeight="1" x14ac:dyDescent="0.25">
      <c r="A2808" s="2">
        <v>46011</v>
      </c>
      <c r="B2808">
        <v>2025003874</v>
      </c>
      <c r="C2808" t="s">
        <v>2318</v>
      </c>
      <c r="D2808" s="11">
        <v>3150000</v>
      </c>
      <c r="E2808" t="s">
        <v>1624</v>
      </c>
      <c r="F2808" t="s">
        <v>11</v>
      </c>
      <c r="G2808" t="s">
        <v>1755</v>
      </c>
      <c r="H2808" t="str">
        <f>VLOOKUP(C2808,'[1]873'!$C$2:$C$711,1,0)</f>
        <v>1167-2025</v>
      </c>
    </row>
    <row r="2809" spans="1:8" ht="15" customHeight="1" x14ac:dyDescent="0.25">
      <c r="A2809" s="2">
        <v>46011</v>
      </c>
      <c r="B2809">
        <v>2025003875</v>
      </c>
      <c r="C2809" t="s">
        <v>2416</v>
      </c>
      <c r="D2809" s="11">
        <v>7800000</v>
      </c>
      <c r="E2809" t="s">
        <v>2417</v>
      </c>
      <c r="F2809" t="s">
        <v>2418</v>
      </c>
      <c r="G2809" t="s">
        <v>1755</v>
      </c>
      <c r="H2809" t="str">
        <f>VLOOKUP(C2809,'[1]873'!$C$2:$C$711,1,0)</f>
        <v>1148-2025</v>
      </c>
    </row>
    <row r="2810" spans="1:8" ht="15" customHeight="1" x14ac:dyDescent="0.25">
      <c r="A2810" s="2">
        <v>46011</v>
      </c>
      <c r="B2810">
        <v>2025003876</v>
      </c>
      <c r="C2810" t="s">
        <v>2065</v>
      </c>
      <c r="D2810" s="11">
        <v>2000000</v>
      </c>
      <c r="E2810" t="s">
        <v>2066</v>
      </c>
      <c r="F2810" t="s">
        <v>2067</v>
      </c>
      <c r="G2810" t="s">
        <v>1755</v>
      </c>
      <c r="H2810" t="str">
        <f>VLOOKUP(C2810,'[1]873'!$C$2:$C$711,1,0)</f>
        <v>1039-2025</v>
      </c>
    </row>
    <row r="2811" spans="1:8" ht="15" customHeight="1" x14ac:dyDescent="0.25">
      <c r="A2811" s="2">
        <v>46011</v>
      </c>
      <c r="B2811">
        <v>2025003878</v>
      </c>
      <c r="C2811" t="s">
        <v>2323</v>
      </c>
      <c r="D2811" s="11">
        <v>2000000</v>
      </c>
      <c r="E2811" t="s">
        <v>2324</v>
      </c>
      <c r="F2811" t="s">
        <v>2325</v>
      </c>
      <c r="G2811" t="s">
        <v>1755</v>
      </c>
      <c r="H2811" t="str">
        <f>VLOOKUP(C2811,'[1]873'!$C$2:$C$711,1,0)</f>
        <v>1164-2025</v>
      </c>
    </row>
    <row r="2812" spans="1:8" ht="15" customHeight="1" x14ac:dyDescent="0.25">
      <c r="A2812" s="2">
        <v>46011</v>
      </c>
      <c r="B2812">
        <v>2025003879</v>
      </c>
      <c r="C2812" t="s">
        <v>1770</v>
      </c>
      <c r="D2812" s="11">
        <v>6300000</v>
      </c>
      <c r="E2812" t="s">
        <v>1664</v>
      </c>
      <c r="F2812" t="s">
        <v>329</v>
      </c>
      <c r="G2812" t="s">
        <v>1755</v>
      </c>
      <c r="H2812" t="str">
        <f>VLOOKUP(C2812,'[1]873'!$C$2:$C$711,1,0)</f>
        <v>850-2025</v>
      </c>
    </row>
    <row r="2813" spans="1:8" ht="15" customHeight="1" x14ac:dyDescent="0.25">
      <c r="A2813" s="2">
        <v>46011</v>
      </c>
      <c r="B2813">
        <v>2025003880</v>
      </c>
      <c r="C2813" t="s">
        <v>1987</v>
      </c>
      <c r="D2813" s="11">
        <v>3150000</v>
      </c>
      <c r="E2813" t="s">
        <v>2025</v>
      </c>
      <c r="F2813" t="s">
        <v>1988</v>
      </c>
      <c r="G2813" t="s">
        <v>1755</v>
      </c>
      <c r="H2813" t="str">
        <f>VLOOKUP(C2813,'[1]873'!$C$2:$C$711,1,0)</f>
        <v>820-2025</v>
      </c>
    </row>
    <row r="2814" spans="1:8" ht="15" customHeight="1" x14ac:dyDescent="0.25">
      <c r="A2814" s="2">
        <v>46011</v>
      </c>
      <c r="B2814">
        <v>2025003881</v>
      </c>
      <c r="C2814" t="s">
        <v>1851</v>
      </c>
      <c r="D2814" s="11">
        <v>7800000</v>
      </c>
      <c r="E2814" t="s">
        <v>2016</v>
      </c>
      <c r="F2814" t="s">
        <v>1852</v>
      </c>
      <c r="G2814" t="s">
        <v>1755</v>
      </c>
      <c r="H2814" t="str">
        <f>VLOOKUP(C2814,'[1]873'!$C$2:$C$711,1,0)</f>
        <v>772-2025</v>
      </c>
    </row>
    <row r="2815" spans="1:8" ht="15" customHeight="1" x14ac:dyDescent="0.25">
      <c r="A2815" s="2">
        <v>46011</v>
      </c>
      <c r="B2815">
        <v>2025003882</v>
      </c>
      <c r="C2815" t="s">
        <v>2068</v>
      </c>
      <c r="D2815" s="11">
        <v>2000000</v>
      </c>
      <c r="E2815" t="s">
        <v>2069</v>
      </c>
      <c r="F2815" t="s">
        <v>2070</v>
      </c>
      <c r="G2815" t="s">
        <v>1755</v>
      </c>
      <c r="H2815" t="str">
        <f>VLOOKUP(C2815,'[1]873'!$C$2:$C$711,1,0)</f>
        <v>1027-2025</v>
      </c>
    </row>
    <row r="2816" spans="1:8" ht="15" customHeight="1" x14ac:dyDescent="0.25">
      <c r="A2816" s="2">
        <v>46011</v>
      </c>
      <c r="B2816">
        <v>2025003883</v>
      </c>
      <c r="C2816" t="s">
        <v>1963</v>
      </c>
      <c r="D2816" s="11">
        <v>7800000</v>
      </c>
      <c r="E2816" t="s">
        <v>2023</v>
      </c>
      <c r="F2816" t="s">
        <v>1964</v>
      </c>
      <c r="G2816" t="s">
        <v>1755</v>
      </c>
      <c r="H2816" t="str">
        <f>VLOOKUP(C2816,'[1]873'!$C$2:$C$711,1,0)</f>
        <v>780-2025</v>
      </c>
    </row>
    <row r="2817" spans="1:8" ht="15" customHeight="1" x14ac:dyDescent="0.25">
      <c r="A2817" s="2">
        <v>46011</v>
      </c>
      <c r="B2817">
        <v>2025003884</v>
      </c>
      <c r="C2817" t="s">
        <v>1833</v>
      </c>
      <c r="D2817" s="11">
        <v>6300000</v>
      </c>
      <c r="E2817" t="s">
        <v>2226</v>
      </c>
      <c r="F2817" t="s">
        <v>1834</v>
      </c>
      <c r="G2817" t="s">
        <v>1755</v>
      </c>
      <c r="H2817" t="str">
        <f>VLOOKUP(C2817,'[1]873'!$C$2:$C$711,1,0)</f>
        <v>834-2025</v>
      </c>
    </row>
    <row r="2818" spans="1:8" ht="15" customHeight="1" x14ac:dyDescent="0.25">
      <c r="A2818" s="2">
        <v>46011</v>
      </c>
      <c r="B2818">
        <v>2025003885</v>
      </c>
      <c r="C2818" t="s">
        <v>1860</v>
      </c>
      <c r="D2818" s="11">
        <v>7800000</v>
      </c>
      <c r="E2818" t="s">
        <v>1602</v>
      </c>
      <c r="F2818" t="s">
        <v>69</v>
      </c>
      <c r="G2818" t="s">
        <v>1755</v>
      </c>
      <c r="H2818" t="str">
        <f>VLOOKUP(C2818,'[1]873'!$C$2:$C$711,1,0)</f>
        <v>807-2025</v>
      </c>
    </row>
    <row r="2819" spans="1:8" ht="15" customHeight="1" x14ac:dyDescent="0.25">
      <c r="A2819" s="2">
        <v>46011</v>
      </c>
      <c r="B2819">
        <v>2025003886</v>
      </c>
      <c r="C2819" t="s">
        <v>2107</v>
      </c>
      <c r="D2819" s="11">
        <v>2000000</v>
      </c>
      <c r="E2819" t="s">
        <v>2108</v>
      </c>
      <c r="F2819" t="s">
        <v>2109</v>
      </c>
      <c r="G2819" t="s">
        <v>1755</v>
      </c>
      <c r="H2819" t="str">
        <f>VLOOKUP(C2819,'[1]873'!$C$2:$C$711,1,0)</f>
        <v>1005-2025</v>
      </c>
    </row>
    <row r="2820" spans="1:8" ht="15" customHeight="1" x14ac:dyDescent="0.25">
      <c r="A2820" s="2">
        <v>46011</v>
      </c>
      <c r="B2820">
        <v>2025003887</v>
      </c>
      <c r="C2820" t="s">
        <v>2216</v>
      </c>
      <c r="D2820" s="11">
        <v>3150000</v>
      </c>
      <c r="E2820" t="s">
        <v>2217</v>
      </c>
      <c r="F2820" t="s">
        <v>2218</v>
      </c>
      <c r="G2820" t="s">
        <v>1755</v>
      </c>
      <c r="H2820" t="str">
        <f>VLOOKUP(C2820,'[1]873'!$C$2:$C$711,1,0)</f>
        <v>976-2025</v>
      </c>
    </row>
    <row r="2821" spans="1:8" ht="15" customHeight="1" x14ac:dyDescent="0.25">
      <c r="A2821" s="2">
        <v>46011</v>
      </c>
      <c r="B2821">
        <v>2025003889</v>
      </c>
      <c r="C2821" t="s">
        <v>1948</v>
      </c>
      <c r="D2821" s="11">
        <v>4730000</v>
      </c>
      <c r="E2821" t="s">
        <v>2008</v>
      </c>
      <c r="F2821" t="s">
        <v>1949</v>
      </c>
      <c r="G2821" t="s">
        <v>1755</v>
      </c>
      <c r="H2821" t="str">
        <f>VLOOKUP(C2821,'[1]873'!$C$2:$C$711,1,0)</f>
        <v>766-2025</v>
      </c>
    </row>
    <row r="2822" spans="1:8" ht="15" customHeight="1" x14ac:dyDescent="0.25">
      <c r="A2822" s="2">
        <v>46011</v>
      </c>
      <c r="B2822">
        <v>2025003890</v>
      </c>
      <c r="C2822" t="s">
        <v>1878</v>
      </c>
      <c r="D2822" s="11">
        <v>3150000</v>
      </c>
      <c r="E2822" t="s">
        <v>2037</v>
      </c>
      <c r="F2822" t="s">
        <v>417</v>
      </c>
      <c r="G2822" t="s">
        <v>1755</v>
      </c>
      <c r="H2822" t="str">
        <f>VLOOKUP(C2822,'[1]873'!$C$2:$C$711,1,0)</f>
        <v>840-2025</v>
      </c>
    </row>
    <row r="2823" spans="1:8" ht="15" customHeight="1" x14ac:dyDescent="0.25">
      <c r="A2823" s="2">
        <v>46011</v>
      </c>
      <c r="B2823">
        <v>2025003892</v>
      </c>
      <c r="C2823" t="s">
        <v>2208</v>
      </c>
      <c r="D2823" s="11">
        <v>7800000</v>
      </c>
      <c r="E2823" t="s">
        <v>2209</v>
      </c>
      <c r="F2823" t="s">
        <v>43</v>
      </c>
      <c r="G2823" t="s">
        <v>1755</v>
      </c>
      <c r="H2823" t="str">
        <f>VLOOKUP(C2823,'[1]873'!$C$2:$C$711,1,0)</f>
        <v>1040-2025</v>
      </c>
    </row>
    <row r="2824" spans="1:8" ht="15" customHeight="1" x14ac:dyDescent="0.25">
      <c r="A2824" s="2">
        <v>46011</v>
      </c>
      <c r="B2824">
        <v>2025003893</v>
      </c>
      <c r="C2824" t="s">
        <v>1956</v>
      </c>
      <c r="D2824" s="11">
        <v>3150000</v>
      </c>
      <c r="E2824" t="s">
        <v>2035</v>
      </c>
      <c r="F2824" t="s">
        <v>1957</v>
      </c>
      <c r="G2824" t="s">
        <v>1755</v>
      </c>
      <c r="H2824" t="str">
        <f>VLOOKUP(C2824,'[1]873'!$C$2:$C$711,1,0)</f>
        <v>841-2025</v>
      </c>
    </row>
    <row r="2825" spans="1:8" ht="15" customHeight="1" x14ac:dyDescent="0.25">
      <c r="A2825" s="2">
        <v>46011</v>
      </c>
      <c r="B2825">
        <v>2025003895</v>
      </c>
      <c r="C2825" t="s">
        <v>2330</v>
      </c>
      <c r="D2825" s="11">
        <v>3150000</v>
      </c>
      <c r="E2825" t="s">
        <v>2331</v>
      </c>
      <c r="F2825" t="s">
        <v>2332</v>
      </c>
      <c r="G2825" t="s">
        <v>1755</v>
      </c>
      <c r="H2825" t="str">
        <f>VLOOKUP(C2825,'[1]873'!$C$2:$C$711,1,0)</f>
        <v>1165-2025</v>
      </c>
    </row>
    <row r="2826" spans="1:8" ht="15" customHeight="1" x14ac:dyDescent="0.25">
      <c r="A2826" s="2">
        <v>46011</v>
      </c>
      <c r="B2826">
        <v>2025003897</v>
      </c>
      <c r="C2826" t="s">
        <v>2158</v>
      </c>
      <c r="D2826" s="11">
        <v>3150000</v>
      </c>
      <c r="E2826" t="s">
        <v>2159</v>
      </c>
      <c r="F2826" t="s">
        <v>2160</v>
      </c>
      <c r="G2826" t="s">
        <v>1755</v>
      </c>
      <c r="H2826" t="str">
        <f>VLOOKUP(C2826,'[1]873'!$C$2:$C$711,1,0)</f>
        <v>1048-2025</v>
      </c>
    </row>
    <row r="2827" spans="1:8" ht="15" customHeight="1" x14ac:dyDescent="0.25">
      <c r="A2827" s="2">
        <v>46011</v>
      </c>
      <c r="B2827">
        <v>2025003899</v>
      </c>
      <c r="C2827" t="s">
        <v>2320</v>
      </c>
      <c r="D2827" s="11">
        <v>2000000</v>
      </c>
      <c r="E2827" t="s">
        <v>2321</v>
      </c>
      <c r="F2827" t="s">
        <v>2322</v>
      </c>
      <c r="G2827" t="s">
        <v>1755</v>
      </c>
      <c r="H2827" t="str">
        <f>VLOOKUP(C2827,'[1]873'!$C$2:$C$711,1,0)</f>
        <v>1009-2025</v>
      </c>
    </row>
    <row r="2828" spans="1:8" ht="15" customHeight="1" x14ac:dyDescent="0.25">
      <c r="A2828" s="2">
        <v>46011</v>
      </c>
      <c r="B2828">
        <v>2025003900</v>
      </c>
      <c r="C2828" t="s">
        <v>2084</v>
      </c>
      <c r="D2828" s="11">
        <v>2000000</v>
      </c>
      <c r="E2828" t="s">
        <v>2085</v>
      </c>
      <c r="F2828" t="s">
        <v>2086</v>
      </c>
      <c r="G2828" t="s">
        <v>1755</v>
      </c>
      <c r="H2828" t="str">
        <f>VLOOKUP(C2828,'[1]873'!$C$2:$C$711,1,0)</f>
        <v>1028-2025</v>
      </c>
    </row>
    <row r="2829" spans="1:8" ht="15" customHeight="1" x14ac:dyDescent="0.25">
      <c r="A2829" s="2">
        <v>46011</v>
      </c>
      <c r="B2829">
        <v>2025003901</v>
      </c>
      <c r="C2829" t="s">
        <v>1799</v>
      </c>
      <c r="D2829" s="11">
        <v>3150000</v>
      </c>
      <c r="E2829" t="s">
        <v>2247</v>
      </c>
      <c r="F2829" t="s">
        <v>1086</v>
      </c>
      <c r="G2829" t="s">
        <v>1755</v>
      </c>
      <c r="H2829" t="str">
        <f>VLOOKUP(C2829,'[1]873'!$C$2:$C$711,1,0)</f>
        <v>848-2025</v>
      </c>
    </row>
    <row r="2830" spans="1:8" ht="15" customHeight="1" x14ac:dyDescent="0.25">
      <c r="A2830" s="2">
        <v>46011</v>
      </c>
      <c r="B2830">
        <v>2025003902</v>
      </c>
      <c r="C2830" t="s">
        <v>2161</v>
      </c>
      <c r="D2830" s="11">
        <v>3150000</v>
      </c>
      <c r="E2830" t="s">
        <v>2162</v>
      </c>
      <c r="F2830" t="s">
        <v>2163</v>
      </c>
      <c r="G2830" t="s">
        <v>1755</v>
      </c>
      <c r="H2830" t="str">
        <f>VLOOKUP(C2830,'[1]873'!$C$2:$C$711,1,0)</f>
        <v>1065-2025</v>
      </c>
    </row>
    <row r="2831" spans="1:8" ht="15" customHeight="1" x14ac:dyDescent="0.25">
      <c r="A2831" s="2">
        <v>46011</v>
      </c>
      <c r="B2831">
        <v>2025003903</v>
      </c>
      <c r="C2831" t="s">
        <v>2104</v>
      </c>
      <c r="D2831" s="11">
        <v>2000000</v>
      </c>
      <c r="E2831" t="s">
        <v>2105</v>
      </c>
      <c r="F2831" t="s">
        <v>2106</v>
      </c>
      <c r="G2831" t="s">
        <v>1755</v>
      </c>
      <c r="H2831" t="str">
        <f>VLOOKUP(C2831,'[1]873'!$C$2:$C$711,1,0)</f>
        <v>1011-2025</v>
      </c>
    </row>
    <row r="2832" spans="1:8" ht="15" customHeight="1" x14ac:dyDescent="0.25">
      <c r="A2832" s="2">
        <v>46011</v>
      </c>
      <c r="B2832">
        <v>2025003904</v>
      </c>
      <c r="C2832" t="s">
        <v>1913</v>
      </c>
      <c r="D2832" s="11">
        <v>7800000</v>
      </c>
      <c r="E2832" t="s">
        <v>1750</v>
      </c>
      <c r="F2832" t="s">
        <v>1266</v>
      </c>
      <c r="G2832" t="s">
        <v>1755</v>
      </c>
      <c r="H2832" t="str">
        <f>VLOOKUP(C2832,'[1]873'!$C$2:$C$711,1,0)</f>
        <v>868-2025</v>
      </c>
    </row>
    <row r="2833" spans="1:8" ht="15" customHeight="1" x14ac:dyDescent="0.25">
      <c r="A2833" s="2">
        <v>46011</v>
      </c>
      <c r="B2833">
        <v>2025003906</v>
      </c>
      <c r="C2833" t="s">
        <v>1995</v>
      </c>
      <c r="D2833" s="11">
        <v>4730000</v>
      </c>
      <c r="E2833" t="s">
        <v>2287</v>
      </c>
      <c r="F2833" t="s">
        <v>235</v>
      </c>
      <c r="G2833" t="s">
        <v>1755</v>
      </c>
      <c r="H2833" t="str">
        <f>VLOOKUP(C2833,'[1]873'!$C$2:$C$711,1,0)</f>
        <v>776-2025</v>
      </c>
    </row>
    <row r="2834" spans="1:8" ht="15" customHeight="1" x14ac:dyDescent="0.25">
      <c r="A2834" s="2">
        <v>46011</v>
      </c>
      <c r="B2834">
        <v>2025003907</v>
      </c>
      <c r="C2834" t="s">
        <v>2454</v>
      </c>
      <c r="D2834" s="11">
        <v>2000000</v>
      </c>
      <c r="E2834" t="s">
        <v>2455</v>
      </c>
      <c r="F2834" t="s">
        <v>866</v>
      </c>
      <c r="G2834" t="s">
        <v>1755</v>
      </c>
      <c r="H2834" t="str">
        <f>VLOOKUP(C2834,'[1]873'!$C$2:$C$711,1,0)</f>
        <v>1108-2025</v>
      </c>
    </row>
    <row r="2835" spans="1:8" ht="15" customHeight="1" x14ac:dyDescent="0.25">
      <c r="A2835" s="2">
        <v>46011</v>
      </c>
      <c r="B2835">
        <v>2025003910</v>
      </c>
      <c r="C2835" t="s">
        <v>1943</v>
      </c>
      <c r="D2835" s="11">
        <v>3150000</v>
      </c>
      <c r="E2835" t="s">
        <v>1601</v>
      </c>
      <c r="F2835" t="s">
        <v>171</v>
      </c>
      <c r="G2835" t="s">
        <v>1755</v>
      </c>
      <c r="H2835" t="str">
        <f>VLOOKUP(C2835,'[1]873'!$C$2:$C$711,1,0)</f>
        <v>777-2025</v>
      </c>
    </row>
    <row r="2836" spans="1:8" ht="15" customHeight="1" x14ac:dyDescent="0.25">
      <c r="A2836" s="2">
        <v>46011</v>
      </c>
      <c r="B2836">
        <v>2025003914</v>
      </c>
      <c r="C2836" t="s">
        <v>1792</v>
      </c>
      <c r="D2836" s="11">
        <v>3150000</v>
      </c>
      <c r="E2836" t="s">
        <v>1690</v>
      </c>
      <c r="F2836" t="s">
        <v>201</v>
      </c>
      <c r="G2836" t="s">
        <v>1755</v>
      </c>
      <c r="H2836" t="str">
        <f>VLOOKUP(C2836,'[1]873'!$C$2:$C$711,1,0)</f>
        <v>795-2025</v>
      </c>
    </row>
    <row r="2837" spans="1:8" ht="15" customHeight="1" x14ac:dyDescent="0.25">
      <c r="A2837" s="2">
        <v>46011</v>
      </c>
      <c r="B2837">
        <v>2025003917</v>
      </c>
      <c r="C2837" t="s">
        <v>2140</v>
      </c>
      <c r="D2837" s="11">
        <v>2000000</v>
      </c>
      <c r="E2837" t="s">
        <v>2141</v>
      </c>
      <c r="F2837" t="s">
        <v>2142</v>
      </c>
      <c r="G2837" t="s">
        <v>1755</v>
      </c>
      <c r="H2837" t="str">
        <f>VLOOKUP(C2837,'[1]873'!$C$2:$C$711,1,0)</f>
        <v>1025-2025</v>
      </c>
    </row>
    <row r="2838" spans="1:8" ht="15" customHeight="1" x14ac:dyDescent="0.25">
      <c r="A2838" s="2">
        <v>46011</v>
      </c>
      <c r="B2838">
        <v>2025003918</v>
      </c>
      <c r="C2838" t="s">
        <v>2078</v>
      </c>
      <c r="D2838" s="11">
        <v>2000000</v>
      </c>
      <c r="E2838" t="s">
        <v>1699</v>
      </c>
      <c r="F2838" t="s">
        <v>1020</v>
      </c>
      <c r="G2838" t="s">
        <v>1755</v>
      </c>
      <c r="H2838" t="str">
        <f>VLOOKUP(C2838,'[1]873'!$C$2:$C$711,1,0)</f>
        <v>1003-2025</v>
      </c>
    </row>
    <row r="2839" spans="1:8" ht="15" customHeight="1" x14ac:dyDescent="0.25">
      <c r="A2839" s="2">
        <v>46011</v>
      </c>
      <c r="B2839">
        <v>2025003919</v>
      </c>
      <c r="C2839" t="s">
        <v>2087</v>
      </c>
      <c r="D2839" s="11">
        <v>3150000</v>
      </c>
      <c r="E2839" t="s">
        <v>2088</v>
      </c>
      <c r="F2839" t="s">
        <v>2089</v>
      </c>
      <c r="G2839" t="s">
        <v>1755</v>
      </c>
      <c r="H2839" t="str">
        <f>VLOOKUP(C2839,'[1]873'!$C$2:$C$711,1,0)</f>
        <v>1049-2025</v>
      </c>
    </row>
    <row r="2840" spans="1:8" ht="15" customHeight="1" x14ac:dyDescent="0.25">
      <c r="A2840" s="2">
        <v>46011</v>
      </c>
      <c r="B2840">
        <v>2025003920</v>
      </c>
      <c r="C2840" t="s">
        <v>1764</v>
      </c>
      <c r="D2840" s="11">
        <v>151250000</v>
      </c>
      <c r="E2840" t="s">
        <v>1598</v>
      </c>
      <c r="F2840" t="s">
        <v>269</v>
      </c>
      <c r="G2840" t="s">
        <v>1755</v>
      </c>
      <c r="H2840" t="str">
        <f>VLOOKUP(C2840,'[1]873'!$C$2:$C$711,1,0)</f>
        <v>696-2025</v>
      </c>
    </row>
    <row r="2841" spans="1:8" ht="15" customHeight="1" x14ac:dyDescent="0.25">
      <c r="A2841" s="2">
        <v>46011</v>
      </c>
      <c r="B2841">
        <v>2025003921</v>
      </c>
      <c r="C2841" t="s">
        <v>2326</v>
      </c>
      <c r="D2841" s="11">
        <v>3150000</v>
      </c>
      <c r="E2841" t="s">
        <v>2327</v>
      </c>
      <c r="F2841" t="s">
        <v>35</v>
      </c>
      <c r="G2841" t="s">
        <v>1755</v>
      </c>
      <c r="H2841" t="str">
        <f>VLOOKUP(C2841,'[1]873'!$C$2:$C$711,1,0)</f>
        <v>1150-2025</v>
      </c>
    </row>
    <row r="2842" spans="1:8" ht="15" customHeight="1" x14ac:dyDescent="0.25">
      <c r="A2842" s="2">
        <v>46011</v>
      </c>
      <c r="B2842">
        <v>2025003922</v>
      </c>
      <c r="C2842" t="s">
        <v>2315</v>
      </c>
      <c r="D2842" s="11">
        <v>2000000</v>
      </c>
      <c r="E2842" t="s">
        <v>2316</v>
      </c>
      <c r="F2842" t="s">
        <v>2317</v>
      </c>
      <c r="G2842" t="s">
        <v>1755</v>
      </c>
      <c r="H2842" t="str">
        <f>VLOOKUP(C2842,'[1]873'!$C$2:$C$711,1,0)</f>
        <v>1107-2025</v>
      </c>
    </row>
    <row r="2843" spans="1:8" ht="15" customHeight="1" x14ac:dyDescent="0.25">
      <c r="A2843" s="2">
        <v>46011</v>
      </c>
      <c r="B2843">
        <v>2025003924</v>
      </c>
      <c r="C2843" t="s">
        <v>1965</v>
      </c>
      <c r="D2843" s="11">
        <v>6300000</v>
      </c>
      <c r="E2843" t="s">
        <v>2047</v>
      </c>
      <c r="F2843" t="s">
        <v>1966</v>
      </c>
      <c r="G2843" t="s">
        <v>1755</v>
      </c>
      <c r="H2843" t="str">
        <f>VLOOKUP(C2843,'[1]873'!$C$2:$C$711,1,0)</f>
        <v>857-2025</v>
      </c>
    </row>
    <row r="2844" spans="1:8" ht="15" customHeight="1" x14ac:dyDescent="0.25">
      <c r="A2844" s="2">
        <v>46011</v>
      </c>
      <c r="B2844">
        <v>2025003925</v>
      </c>
      <c r="C2844" t="s">
        <v>2197</v>
      </c>
      <c r="D2844" s="11">
        <v>4730000</v>
      </c>
      <c r="E2844" t="s">
        <v>2198</v>
      </c>
      <c r="F2844" t="s">
        <v>2199</v>
      </c>
      <c r="G2844" t="s">
        <v>1755</v>
      </c>
      <c r="H2844" t="str">
        <f>VLOOKUP(C2844,'[1]873'!$C$2:$C$711,1,0)</f>
        <v>953-2025</v>
      </c>
    </row>
    <row r="2845" spans="1:8" ht="15" customHeight="1" x14ac:dyDescent="0.25">
      <c r="A2845" s="2">
        <v>46011</v>
      </c>
      <c r="B2845">
        <v>2025003927</v>
      </c>
      <c r="C2845" t="s">
        <v>2205</v>
      </c>
      <c r="D2845" s="11">
        <v>3150000</v>
      </c>
      <c r="E2845" t="s">
        <v>2206</v>
      </c>
      <c r="F2845" t="s">
        <v>2207</v>
      </c>
      <c r="G2845" t="s">
        <v>1755</v>
      </c>
      <c r="H2845" t="str">
        <f>VLOOKUP(C2845,'[1]873'!$C$2:$C$711,1,0)</f>
        <v>982-2025</v>
      </c>
    </row>
    <row r="2846" spans="1:8" ht="15" customHeight="1" x14ac:dyDescent="0.25">
      <c r="A2846" s="2">
        <v>46011</v>
      </c>
      <c r="B2846">
        <v>2025003930</v>
      </c>
      <c r="C2846" t="s">
        <v>2227</v>
      </c>
      <c r="D2846" s="11">
        <v>3150000</v>
      </c>
      <c r="E2846" t="s">
        <v>2228</v>
      </c>
      <c r="F2846" t="s">
        <v>431</v>
      </c>
      <c r="G2846" t="s">
        <v>1755</v>
      </c>
      <c r="H2846" t="str">
        <f>VLOOKUP(C2846,'[1]873'!$C$2:$C$711,1,0)</f>
        <v>952-2025</v>
      </c>
    </row>
    <row r="2847" spans="1:8" ht="15" customHeight="1" x14ac:dyDescent="0.25">
      <c r="A2847" s="2">
        <v>46011</v>
      </c>
      <c r="B2847">
        <v>2025003931</v>
      </c>
      <c r="C2847" t="s">
        <v>2328</v>
      </c>
      <c r="D2847" s="11">
        <v>6300000</v>
      </c>
      <c r="E2847" t="s">
        <v>2329</v>
      </c>
      <c r="F2847" t="s">
        <v>845</v>
      </c>
      <c r="G2847" t="s">
        <v>1755</v>
      </c>
      <c r="H2847" t="str">
        <f>VLOOKUP(C2847,'[1]873'!$C$2:$C$711,1,0)</f>
        <v>1112-2025</v>
      </c>
    </row>
    <row r="2848" spans="1:8" ht="15" customHeight="1" x14ac:dyDescent="0.25">
      <c r="A2848" s="2">
        <v>46011</v>
      </c>
      <c r="B2848">
        <v>2025003934</v>
      </c>
      <c r="C2848" t="s">
        <v>1801</v>
      </c>
      <c r="D2848" s="11">
        <v>3150000</v>
      </c>
      <c r="E2848" t="s">
        <v>2083</v>
      </c>
      <c r="F2848" t="s">
        <v>1802</v>
      </c>
      <c r="G2848" t="s">
        <v>1755</v>
      </c>
      <c r="H2848" t="str">
        <f>VLOOKUP(C2848,'[1]873'!$C$2:$C$711,1,0)</f>
        <v>877-2025</v>
      </c>
    </row>
    <row r="2849" spans="1:8" ht="15" customHeight="1" x14ac:dyDescent="0.25">
      <c r="A2849" s="2">
        <v>46011</v>
      </c>
      <c r="B2849">
        <v>2025003938</v>
      </c>
      <c r="C2849" t="s">
        <v>2152</v>
      </c>
      <c r="D2849" s="11">
        <v>7800000</v>
      </c>
      <c r="E2849" t="s">
        <v>2153</v>
      </c>
      <c r="F2849" t="s">
        <v>2154</v>
      </c>
      <c r="G2849" t="s">
        <v>1755</v>
      </c>
      <c r="H2849" t="str">
        <f>VLOOKUP(C2849,'[1]873'!$C$2:$C$711,1,0)</f>
        <v>1053-2025</v>
      </c>
    </row>
    <row r="2850" spans="1:8" ht="15" customHeight="1" x14ac:dyDescent="0.25">
      <c r="A2850" s="2">
        <v>46011</v>
      </c>
      <c r="B2850">
        <v>2025003942</v>
      </c>
      <c r="C2850" t="s">
        <v>1763</v>
      </c>
      <c r="D2850" s="11">
        <v>4730000</v>
      </c>
      <c r="E2850" t="s">
        <v>2064</v>
      </c>
      <c r="F2850" t="s">
        <v>267</v>
      </c>
      <c r="G2850" t="s">
        <v>1755</v>
      </c>
      <c r="H2850" t="str">
        <f>VLOOKUP(C2850,'[1]873'!$C$2:$C$711,1,0)</f>
        <v>714-2025</v>
      </c>
    </row>
    <row r="2851" spans="1:8" ht="15" customHeight="1" x14ac:dyDescent="0.25">
      <c r="A2851" s="2">
        <v>46011</v>
      </c>
      <c r="B2851">
        <v>2025003945</v>
      </c>
      <c r="C2851" t="s">
        <v>2333</v>
      </c>
      <c r="D2851" s="11">
        <v>7800000</v>
      </c>
      <c r="E2851" t="s">
        <v>2334</v>
      </c>
      <c r="F2851" t="s">
        <v>2335</v>
      </c>
      <c r="G2851" t="s">
        <v>1755</v>
      </c>
      <c r="H2851" t="str">
        <f>VLOOKUP(C2851,'[1]873'!$C$2:$C$711,1,0)</f>
        <v>1140-2025</v>
      </c>
    </row>
    <row r="2852" spans="1:8" ht="15" customHeight="1" x14ac:dyDescent="0.25">
      <c r="A2852" s="2">
        <v>46011</v>
      </c>
      <c r="B2852">
        <v>2025003947</v>
      </c>
      <c r="C2852" t="s">
        <v>2319</v>
      </c>
      <c r="D2852" s="11">
        <v>3150000</v>
      </c>
      <c r="E2852" t="s">
        <v>1732</v>
      </c>
      <c r="F2852" t="s">
        <v>103</v>
      </c>
      <c r="G2852" t="s">
        <v>1755</v>
      </c>
      <c r="H2852" t="str">
        <f>VLOOKUP(C2852,'[1]873'!$C$2:$C$711,1,0)</f>
        <v>1067-2025</v>
      </c>
    </row>
    <row r="2853" spans="1:8" ht="15" customHeight="1" x14ac:dyDescent="0.25">
      <c r="A2853" s="2">
        <v>46011</v>
      </c>
      <c r="B2853">
        <v>2025003949</v>
      </c>
      <c r="C2853" t="s">
        <v>2411</v>
      </c>
      <c r="D2853" s="11">
        <v>7800000</v>
      </c>
      <c r="E2853" t="s">
        <v>2412</v>
      </c>
      <c r="F2853" t="s">
        <v>309</v>
      </c>
      <c r="G2853" t="s">
        <v>1755</v>
      </c>
      <c r="H2853" t="str">
        <f>VLOOKUP(C2853,'[1]873'!$C$2:$C$711,1,0)</f>
        <v>944-2025</v>
      </c>
    </row>
    <row r="2854" spans="1:8" ht="15" customHeight="1" x14ac:dyDescent="0.25">
      <c r="A2854" s="2">
        <v>46011</v>
      </c>
      <c r="B2854">
        <v>2025003953</v>
      </c>
      <c r="C2854" t="s">
        <v>1800</v>
      </c>
      <c r="D2854" s="11">
        <v>3150000</v>
      </c>
      <c r="E2854" t="s">
        <v>1667</v>
      </c>
      <c r="F2854" t="s">
        <v>555</v>
      </c>
      <c r="G2854" t="s">
        <v>1755</v>
      </c>
      <c r="H2854" t="str">
        <f>VLOOKUP(C2854,'[1]873'!$C$2:$C$711,1,0)</f>
        <v>849-2025</v>
      </c>
    </row>
    <row r="2855" spans="1:8" ht="15" customHeight="1" x14ac:dyDescent="0.25">
      <c r="A2855" s="2">
        <v>46011</v>
      </c>
      <c r="B2855">
        <v>2025003956</v>
      </c>
      <c r="C2855" t="s">
        <v>2241</v>
      </c>
      <c r="D2855" s="11">
        <v>3150000</v>
      </c>
      <c r="E2855" t="s">
        <v>2242</v>
      </c>
      <c r="F2855" t="s">
        <v>2243</v>
      </c>
      <c r="G2855" t="s">
        <v>1755</v>
      </c>
      <c r="H2855" t="str">
        <f>VLOOKUP(C2855,'[1]873'!$C$2:$C$711,1,0)</f>
        <v>1050-2025</v>
      </c>
    </row>
    <row r="2856" spans="1:8" ht="15" customHeight="1" x14ac:dyDescent="0.25">
      <c r="A2856" s="2">
        <v>46011</v>
      </c>
      <c r="B2856">
        <v>2025003957</v>
      </c>
      <c r="C2856" t="s">
        <v>2080</v>
      </c>
      <c r="D2856" s="11">
        <v>6300000</v>
      </c>
      <c r="E2856" t="s">
        <v>2081</v>
      </c>
      <c r="F2856" t="s">
        <v>2082</v>
      </c>
      <c r="G2856" t="s">
        <v>1755</v>
      </c>
      <c r="H2856" t="str">
        <f>VLOOKUP(C2856,'[1]873'!$C$2:$C$711,1,0)</f>
        <v>1066-2025</v>
      </c>
    </row>
    <row r="2857" spans="1:8" ht="15" customHeight="1" x14ac:dyDescent="0.25">
      <c r="A2857" s="2">
        <v>46011</v>
      </c>
      <c r="B2857">
        <v>2025003959</v>
      </c>
      <c r="C2857" t="s">
        <v>1985</v>
      </c>
      <c r="D2857" s="11">
        <v>7800000</v>
      </c>
      <c r="E2857" t="s">
        <v>2112</v>
      </c>
      <c r="F2857" t="s">
        <v>1986</v>
      </c>
      <c r="G2857" t="s">
        <v>1755</v>
      </c>
      <c r="H2857" t="str">
        <f>VLOOKUP(C2857,'[1]873'!$C$2:$C$711,1,0)</f>
        <v>779-2025</v>
      </c>
    </row>
    <row r="2858" spans="1:8" ht="15" customHeight="1" x14ac:dyDescent="0.25">
      <c r="A2858" s="2">
        <v>46011</v>
      </c>
      <c r="B2858">
        <v>2025003961</v>
      </c>
      <c r="C2858" t="s">
        <v>1864</v>
      </c>
      <c r="D2858" s="11">
        <v>3150000</v>
      </c>
      <c r="E2858" t="s">
        <v>2021</v>
      </c>
      <c r="F2858" t="s">
        <v>1865</v>
      </c>
      <c r="G2858" t="s">
        <v>1755</v>
      </c>
      <c r="H2858" t="str">
        <f>VLOOKUP(C2858,'[1]873'!$C$2:$C$711,1,0)</f>
        <v>813-2025</v>
      </c>
    </row>
    <row r="2859" spans="1:8" ht="15" customHeight="1" x14ac:dyDescent="0.25">
      <c r="A2859" s="2">
        <v>46011</v>
      </c>
      <c r="B2859">
        <v>2025003963</v>
      </c>
      <c r="C2859" t="s">
        <v>1793</v>
      </c>
      <c r="D2859" s="11">
        <v>3150000</v>
      </c>
      <c r="E2859" t="s">
        <v>2079</v>
      </c>
      <c r="F2859" t="s">
        <v>963</v>
      </c>
      <c r="G2859" t="s">
        <v>1755</v>
      </c>
      <c r="H2859" t="str">
        <f>VLOOKUP(C2859,'[1]873'!$C$2:$C$711,1,0)</f>
        <v>804-2025</v>
      </c>
    </row>
    <row r="2860" spans="1:8" ht="15" customHeight="1" x14ac:dyDescent="0.25">
      <c r="A2860" s="2">
        <v>46011</v>
      </c>
      <c r="B2860">
        <v>2025003964</v>
      </c>
      <c r="C2860" t="s">
        <v>1876</v>
      </c>
      <c r="D2860" s="11">
        <v>3150000</v>
      </c>
      <c r="E2860" t="s">
        <v>2113</v>
      </c>
      <c r="F2860" t="s">
        <v>658</v>
      </c>
      <c r="G2860" t="s">
        <v>1755</v>
      </c>
      <c r="H2860" t="str">
        <f>VLOOKUP(C2860,'[1]873'!$C$2:$C$711,1,0)</f>
        <v>855-2025</v>
      </c>
    </row>
    <row r="2861" spans="1:8" ht="15" customHeight="1" x14ac:dyDescent="0.25">
      <c r="A2861" s="2">
        <v>46013</v>
      </c>
      <c r="B2861">
        <v>2025003966</v>
      </c>
      <c r="C2861" t="s">
        <v>2260</v>
      </c>
      <c r="D2861" s="11">
        <v>3150000</v>
      </c>
      <c r="E2861" t="s">
        <v>1632</v>
      </c>
      <c r="F2861" t="s">
        <v>121</v>
      </c>
      <c r="G2861" t="s">
        <v>1755</v>
      </c>
      <c r="H2861" t="str">
        <f>VLOOKUP(C2861,'[1]873'!$C$2:$C$711,1,0)</f>
        <v>1069-2025</v>
      </c>
    </row>
    <row r="2862" spans="1:8" ht="15" customHeight="1" x14ac:dyDescent="0.25">
      <c r="A2862" s="2">
        <v>46013</v>
      </c>
      <c r="B2862">
        <v>2025003967</v>
      </c>
      <c r="C2862" t="s">
        <v>2279</v>
      </c>
      <c r="D2862" s="11">
        <v>2000000</v>
      </c>
      <c r="E2862" t="s">
        <v>1693</v>
      </c>
      <c r="F2862" t="s">
        <v>307</v>
      </c>
      <c r="G2862" t="s">
        <v>1755</v>
      </c>
      <c r="H2862" t="str">
        <f>VLOOKUP(C2862,'[1]873'!$C$2:$C$711,1,0)</f>
        <v>1013-2025</v>
      </c>
    </row>
    <row r="2863" spans="1:8" ht="15" customHeight="1" x14ac:dyDescent="0.25">
      <c r="A2863" s="2">
        <v>46013</v>
      </c>
      <c r="B2863">
        <v>2025003969</v>
      </c>
      <c r="C2863" t="s">
        <v>2398</v>
      </c>
      <c r="D2863" s="11">
        <v>3150000</v>
      </c>
      <c r="E2863" t="s">
        <v>2399</v>
      </c>
      <c r="F2863" t="s">
        <v>2400</v>
      </c>
      <c r="G2863" t="s">
        <v>1755</v>
      </c>
      <c r="H2863" t="str">
        <f>VLOOKUP(C2863,'[1]873'!$C$2:$C$711,1,0)</f>
        <v>1119-2025</v>
      </c>
    </row>
    <row r="2864" spans="1:8" ht="15" customHeight="1" x14ac:dyDescent="0.25">
      <c r="A2864" s="2">
        <v>46013</v>
      </c>
      <c r="B2864">
        <v>2025003970</v>
      </c>
      <c r="C2864" t="s">
        <v>1812</v>
      </c>
      <c r="D2864" s="11">
        <v>7800000</v>
      </c>
      <c r="E2864" t="s">
        <v>2057</v>
      </c>
      <c r="F2864" t="s">
        <v>1813</v>
      </c>
      <c r="G2864" t="s">
        <v>1755</v>
      </c>
      <c r="H2864" t="str">
        <f>VLOOKUP(C2864,'[1]873'!$C$2:$C$711,1,0)</f>
        <v>913-2025</v>
      </c>
    </row>
    <row r="2865" spans="1:8" ht="15" customHeight="1" x14ac:dyDescent="0.25">
      <c r="A2865" s="2">
        <v>46013</v>
      </c>
      <c r="B2865">
        <v>2025003973</v>
      </c>
      <c r="C2865" t="s">
        <v>1992</v>
      </c>
      <c r="D2865" s="11">
        <v>3150000</v>
      </c>
      <c r="E2865" t="s">
        <v>2255</v>
      </c>
      <c r="F2865" t="s">
        <v>580</v>
      </c>
      <c r="G2865" t="s">
        <v>1755</v>
      </c>
      <c r="H2865" t="str">
        <f>VLOOKUP(C2865,'[1]873'!$C$2:$C$711,1,0)</f>
        <v>924-2025</v>
      </c>
    </row>
    <row r="2866" spans="1:8" ht="15" customHeight="1" x14ac:dyDescent="0.25">
      <c r="A2866" s="2">
        <v>46013</v>
      </c>
      <c r="B2866">
        <v>2025003980</v>
      </c>
      <c r="C2866" t="s">
        <v>1839</v>
      </c>
      <c r="D2866" s="11">
        <v>4730000</v>
      </c>
      <c r="E2866" t="s">
        <v>1641</v>
      </c>
      <c r="F2866" t="s">
        <v>1142</v>
      </c>
      <c r="G2866" t="s">
        <v>1755</v>
      </c>
      <c r="H2866" t="str">
        <f>VLOOKUP(C2866,'[1]873'!$C$2:$C$711,1,0)</f>
        <v>726-2025</v>
      </c>
    </row>
    <row r="2867" spans="1:8" ht="15" customHeight="1" x14ac:dyDescent="0.25">
      <c r="A2867" s="2">
        <v>46013</v>
      </c>
      <c r="B2867">
        <v>2025003981</v>
      </c>
      <c r="C2867" t="s">
        <v>1856</v>
      </c>
      <c r="D2867" s="11">
        <v>3150000</v>
      </c>
      <c r="E2867" t="s">
        <v>1660</v>
      </c>
      <c r="F2867" t="s">
        <v>1163</v>
      </c>
      <c r="G2867" t="s">
        <v>1755</v>
      </c>
      <c r="H2867" t="str">
        <f>VLOOKUP(C2867,'[1]873'!$C$2:$C$711,1,0)</f>
        <v>737-2025</v>
      </c>
    </row>
    <row r="2868" spans="1:8" ht="15" customHeight="1" x14ac:dyDescent="0.25">
      <c r="A2868" s="2">
        <v>46013</v>
      </c>
      <c r="B2868">
        <v>2025003983</v>
      </c>
      <c r="C2868" t="s">
        <v>1887</v>
      </c>
      <c r="D2868" s="11">
        <v>4730000</v>
      </c>
      <c r="E2868" t="s">
        <v>2024</v>
      </c>
      <c r="F2868" t="s">
        <v>1888</v>
      </c>
      <c r="G2868" t="s">
        <v>1755</v>
      </c>
      <c r="H2868" t="str">
        <f>VLOOKUP(C2868,'[1]873'!$C$2:$C$711,1,0)</f>
        <v>742-2025</v>
      </c>
    </row>
    <row r="2869" spans="1:8" ht="15" customHeight="1" x14ac:dyDescent="0.25">
      <c r="A2869" s="2">
        <v>46013</v>
      </c>
      <c r="B2869">
        <v>2025003985</v>
      </c>
      <c r="C2869" t="s">
        <v>1881</v>
      </c>
      <c r="D2869" s="11">
        <v>3150000</v>
      </c>
      <c r="E2869" t="s">
        <v>2046</v>
      </c>
      <c r="F2869" t="s">
        <v>1882</v>
      </c>
      <c r="G2869" t="s">
        <v>1755</v>
      </c>
      <c r="H2869" t="str">
        <f>VLOOKUP(C2869,'[1]873'!$C$2:$C$711,1,0)</f>
        <v>864-2025</v>
      </c>
    </row>
    <row r="2870" spans="1:8" ht="15" customHeight="1" x14ac:dyDescent="0.25">
      <c r="A2870" s="2">
        <v>46013</v>
      </c>
      <c r="B2870">
        <v>2025003988</v>
      </c>
      <c r="C2870" t="s">
        <v>1761</v>
      </c>
      <c r="D2870" s="11">
        <v>3150000</v>
      </c>
      <c r="E2870" t="s">
        <v>1671</v>
      </c>
      <c r="F2870" t="s">
        <v>443</v>
      </c>
      <c r="G2870" t="s">
        <v>1755</v>
      </c>
      <c r="H2870" t="str">
        <f>VLOOKUP(C2870,'[1]873'!$C$2:$C$711,1,0)</f>
        <v>829-2025</v>
      </c>
    </row>
    <row r="2871" spans="1:8" ht="15" customHeight="1" x14ac:dyDescent="0.25">
      <c r="A2871" s="2">
        <v>46013</v>
      </c>
      <c r="B2871">
        <v>2025003989</v>
      </c>
      <c r="C2871" t="s">
        <v>1954</v>
      </c>
      <c r="D2871" s="11">
        <v>3150000</v>
      </c>
      <c r="E2871" t="s">
        <v>2007</v>
      </c>
      <c r="F2871" t="s">
        <v>1955</v>
      </c>
      <c r="G2871" t="s">
        <v>1755</v>
      </c>
      <c r="H2871" t="str">
        <f>VLOOKUP(C2871,'[1]873'!$C$2:$C$711,1,0)</f>
        <v>883-2025</v>
      </c>
    </row>
    <row r="2872" spans="1:8" ht="15" customHeight="1" x14ac:dyDescent="0.25">
      <c r="A2872" s="2">
        <v>46013</v>
      </c>
      <c r="B2872">
        <v>2025003993</v>
      </c>
      <c r="C2872" t="s">
        <v>2296</v>
      </c>
      <c r="D2872" s="11">
        <v>6300000</v>
      </c>
      <c r="E2872" t="s">
        <v>2297</v>
      </c>
      <c r="F2872" t="s">
        <v>2298</v>
      </c>
      <c r="G2872" t="s">
        <v>1755</v>
      </c>
      <c r="H2872" t="str">
        <f>VLOOKUP(C2872,'[1]873'!$C$2:$C$711,1,0)</f>
        <v>931-2025</v>
      </c>
    </row>
    <row r="2873" spans="1:8" ht="15" customHeight="1" x14ac:dyDescent="0.25">
      <c r="A2873" s="2">
        <v>46013</v>
      </c>
      <c r="B2873">
        <v>2025003994</v>
      </c>
      <c r="C2873" t="s">
        <v>1929</v>
      </c>
      <c r="D2873" s="11">
        <v>6300000</v>
      </c>
      <c r="E2873" t="s">
        <v>2308</v>
      </c>
      <c r="F2873" t="s">
        <v>895</v>
      </c>
      <c r="G2873" t="s">
        <v>1755</v>
      </c>
      <c r="H2873" t="str">
        <f>VLOOKUP(C2873,'[1]873'!$C$2:$C$711,1,0)</f>
        <v>819-2025</v>
      </c>
    </row>
    <row r="2874" spans="1:8" ht="15" customHeight="1" x14ac:dyDescent="0.25">
      <c r="A2874" s="2">
        <v>46013</v>
      </c>
      <c r="B2874">
        <v>2025003995</v>
      </c>
      <c r="C2874" t="s">
        <v>2394</v>
      </c>
      <c r="D2874" s="11">
        <v>3150000</v>
      </c>
      <c r="E2874" t="s">
        <v>2395</v>
      </c>
      <c r="F2874" t="s">
        <v>2396</v>
      </c>
      <c r="G2874" t="s">
        <v>1755</v>
      </c>
      <c r="H2874" t="str">
        <f>VLOOKUP(C2874,'[1]873'!$C$2:$C$711,1,0)</f>
        <v>1084-2025</v>
      </c>
    </row>
    <row r="2875" spans="1:8" ht="15" customHeight="1" x14ac:dyDescent="0.25">
      <c r="A2875" s="2">
        <v>46013</v>
      </c>
      <c r="B2875">
        <v>2025003996</v>
      </c>
      <c r="C2875" t="s">
        <v>2456</v>
      </c>
      <c r="D2875" s="11">
        <v>3150000</v>
      </c>
      <c r="E2875" t="s">
        <v>1663</v>
      </c>
      <c r="F2875" t="s">
        <v>75</v>
      </c>
      <c r="G2875" t="s">
        <v>1755</v>
      </c>
      <c r="H2875" t="str">
        <f>VLOOKUP(C2875,'[1]873'!$C$2:$C$711,1,0)</f>
        <v>1092-2025</v>
      </c>
    </row>
    <row r="2876" spans="1:8" ht="15" customHeight="1" x14ac:dyDescent="0.25">
      <c r="A2876" s="2">
        <v>46013</v>
      </c>
      <c r="B2876">
        <v>2025003998</v>
      </c>
      <c r="C2876" t="s">
        <v>2290</v>
      </c>
      <c r="D2876" s="11">
        <v>4730000</v>
      </c>
      <c r="E2876" t="s">
        <v>2291</v>
      </c>
      <c r="F2876" t="s">
        <v>2292</v>
      </c>
      <c r="G2876" t="s">
        <v>1755</v>
      </c>
      <c r="H2876" t="str">
        <f>VLOOKUP(C2876,'[1]873'!$C$2:$C$711,1,0)</f>
        <v>933-2025</v>
      </c>
    </row>
    <row r="2877" spans="1:8" ht="15" customHeight="1" x14ac:dyDescent="0.25">
      <c r="A2877" s="2">
        <v>46013</v>
      </c>
      <c r="B2877">
        <v>2025003999</v>
      </c>
      <c r="C2877" t="s">
        <v>2278</v>
      </c>
      <c r="D2877" s="11">
        <v>6300000</v>
      </c>
      <c r="E2877" t="s">
        <v>1721</v>
      </c>
      <c r="F2877" t="s">
        <v>31</v>
      </c>
      <c r="G2877" t="s">
        <v>1755</v>
      </c>
      <c r="H2877" t="str">
        <f>VLOOKUP(C2877,'[1]873'!$C$2:$C$711,1,0)</f>
        <v>949-2025</v>
      </c>
    </row>
    <row r="2878" spans="1:8" ht="15" customHeight="1" x14ac:dyDescent="0.25">
      <c r="A2878" s="2">
        <v>46013</v>
      </c>
      <c r="B2878">
        <v>2025004002</v>
      </c>
      <c r="C2878" t="s">
        <v>1917</v>
      </c>
      <c r="D2878" s="11">
        <v>7800000</v>
      </c>
      <c r="E2878" t="s">
        <v>2189</v>
      </c>
      <c r="F2878" t="s">
        <v>1918</v>
      </c>
      <c r="G2878" t="s">
        <v>1755</v>
      </c>
      <c r="H2878" t="str">
        <f>VLOOKUP(C2878,'[1]873'!$C$2:$C$711,1,0)</f>
        <v>905-2025</v>
      </c>
    </row>
    <row r="2879" spans="1:8" ht="15" customHeight="1" x14ac:dyDescent="0.25">
      <c r="A2879" s="2">
        <v>46013</v>
      </c>
      <c r="B2879">
        <v>2025004004</v>
      </c>
      <c r="C2879" t="s">
        <v>2445</v>
      </c>
      <c r="D2879" s="11">
        <v>4730000</v>
      </c>
      <c r="E2879" t="s">
        <v>2446</v>
      </c>
      <c r="F2879" t="s">
        <v>2447</v>
      </c>
      <c r="G2879" t="s">
        <v>1755</v>
      </c>
      <c r="H2879" t="str">
        <f>VLOOKUP(C2879,'[1]873'!$C$2:$C$711,1,0)</f>
        <v>1121-2025</v>
      </c>
    </row>
    <row r="2880" spans="1:8" ht="15" customHeight="1" x14ac:dyDescent="0.25">
      <c r="A2880" s="2">
        <v>46013</v>
      </c>
      <c r="B2880">
        <v>2025004008</v>
      </c>
      <c r="C2880" t="s">
        <v>2293</v>
      </c>
      <c r="D2880" s="11">
        <v>4730000</v>
      </c>
      <c r="E2880" t="s">
        <v>2294</v>
      </c>
      <c r="F2880" t="s">
        <v>2295</v>
      </c>
      <c r="G2880" t="s">
        <v>1755</v>
      </c>
      <c r="H2880" t="str">
        <f>VLOOKUP(C2880,'[1]873'!$C$2:$C$711,1,0)</f>
        <v>937-2025</v>
      </c>
    </row>
    <row r="2881" spans="1:8" ht="15" customHeight="1" x14ac:dyDescent="0.25">
      <c r="A2881" s="2">
        <v>46013</v>
      </c>
      <c r="B2881">
        <v>2025004011</v>
      </c>
      <c r="C2881" t="s">
        <v>2472</v>
      </c>
      <c r="D2881" s="11">
        <v>2000000</v>
      </c>
      <c r="E2881">
        <v>66958357</v>
      </c>
      <c r="F2881" t="s">
        <v>2473</v>
      </c>
      <c r="G2881" t="s">
        <v>1755</v>
      </c>
      <c r="H2881" t="str">
        <f>VLOOKUP(C2881,'[1]873'!$C$2:$C$711,1,0)</f>
        <v>1256-2025</v>
      </c>
    </row>
    <row r="2882" spans="1:8" ht="15" customHeight="1" x14ac:dyDescent="0.25">
      <c r="A2882" s="2">
        <v>46013</v>
      </c>
      <c r="B2882">
        <v>2025004016</v>
      </c>
      <c r="C2882" t="s">
        <v>1804</v>
      </c>
      <c r="D2882" s="11">
        <v>6300000</v>
      </c>
      <c r="E2882" t="s">
        <v>1723</v>
      </c>
      <c r="F2882" t="s">
        <v>1233</v>
      </c>
      <c r="G2882" t="s">
        <v>1755</v>
      </c>
      <c r="H2882" t="str">
        <f>VLOOKUP(C2882,'[1]873'!$C$2:$C$711,1,0)</f>
        <v>910-2025</v>
      </c>
    </row>
    <row r="2883" spans="1:8" ht="15" customHeight="1" x14ac:dyDescent="0.25">
      <c r="A2883" s="2">
        <v>46013</v>
      </c>
      <c r="B2883">
        <v>2025004018</v>
      </c>
      <c r="C2883" t="s">
        <v>2421</v>
      </c>
      <c r="D2883" s="11">
        <v>2000000</v>
      </c>
      <c r="E2883" t="s">
        <v>2422</v>
      </c>
      <c r="F2883" t="s">
        <v>313</v>
      </c>
      <c r="G2883" t="s">
        <v>1755</v>
      </c>
      <c r="H2883" t="str">
        <f>VLOOKUP(C2883,'[1]873'!$C$2:$C$711,1,0)</f>
        <v>1098-2025</v>
      </c>
    </row>
    <row r="2884" spans="1:8" ht="15" customHeight="1" x14ac:dyDescent="0.25">
      <c r="A2884" s="2">
        <v>46013</v>
      </c>
      <c r="B2884">
        <v>2025004019</v>
      </c>
      <c r="C2884" t="s">
        <v>1806</v>
      </c>
      <c r="D2884" s="11">
        <v>7800000</v>
      </c>
      <c r="E2884" t="s">
        <v>2040</v>
      </c>
      <c r="F2884" t="s">
        <v>1807</v>
      </c>
      <c r="G2884" t="s">
        <v>1755</v>
      </c>
      <c r="H2884" t="str">
        <f>VLOOKUP(C2884,'[1]873'!$C$2:$C$711,1,0)</f>
        <v>888-2025</v>
      </c>
    </row>
    <row r="2885" spans="1:8" ht="15" customHeight="1" x14ac:dyDescent="0.25">
      <c r="A2885" s="2">
        <v>46013</v>
      </c>
      <c r="B2885">
        <v>2025004023</v>
      </c>
      <c r="C2885" t="s">
        <v>2457</v>
      </c>
      <c r="D2885" s="11">
        <v>3150000</v>
      </c>
      <c r="E2885" t="s">
        <v>1746</v>
      </c>
      <c r="F2885" t="s">
        <v>181</v>
      </c>
      <c r="G2885" t="s">
        <v>1755</v>
      </c>
      <c r="H2885" t="str">
        <f>VLOOKUP(C2885,'[1]873'!$C$2:$C$711,1,0)</f>
        <v>1123-2025</v>
      </c>
    </row>
    <row r="2886" spans="1:8" ht="15" customHeight="1" x14ac:dyDescent="0.25">
      <c r="A2886" s="2">
        <v>46013</v>
      </c>
      <c r="B2886">
        <v>2025004026</v>
      </c>
      <c r="C2886" t="s">
        <v>1996</v>
      </c>
      <c r="D2886" s="11">
        <v>3150000</v>
      </c>
      <c r="E2886" t="s">
        <v>2192</v>
      </c>
      <c r="F2886" t="s">
        <v>1997</v>
      </c>
      <c r="G2886" t="s">
        <v>1755</v>
      </c>
      <c r="H2886" t="str">
        <f>VLOOKUP(C2886,'[1]873'!$C$2:$C$711,1,0)</f>
        <v>917-2025</v>
      </c>
    </row>
    <row r="2887" spans="1:8" ht="15" customHeight="1" x14ac:dyDescent="0.25">
      <c r="A2887" s="2">
        <v>46013</v>
      </c>
      <c r="B2887">
        <v>2025004033</v>
      </c>
      <c r="C2887" t="s">
        <v>2442</v>
      </c>
      <c r="D2887" s="11">
        <v>2000000</v>
      </c>
      <c r="E2887" t="s">
        <v>2443</v>
      </c>
      <c r="F2887" t="s">
        <v>2444</v>
      </c>
      <c r="G2887" t="s">
        <v>1755</v>
      </c>
      <c r="H2887" t="str">
        <f>VLOOKUP(C2887,'[1]873'!$C$2:$C$711,1,0)</f>
        <v>1105-2025</v>
      </c>
    </row>
    <row r="2888" spans="1:8" ht="15" customHeight="1" x14ac:dyDescent="0.25">
      <c r="A2888" s="2">
        <v>46013</v>
      </c>
      <c r="B2888">
        <v>2025004034</v>
      </c>
      <c r="C2888" t="s">
        <v>1914</v>
      </c>
      <c r="D2888" s="11">
        <v>6300000</v>
      </c>
      <c r="E2888" t="s">
        <v>1673</v>
      </c>
      <c r="F2888" t="s">
        <v>1182</v>
      </c>
      <c r="G2888" t="s">
        <v>1755</v>
      </c>
      <c r="H2888" t="str">
        <f>VLOOKUP(C2888,'[1]873'!$C$2:$C$711,1,0)</f>
        <v>778-2025</v>
      </c>
    </row>
    <row r="2889" spans="1:8" ht="15" customHeight="1" x14ac:dyDescent="0.25">
      <c r="A2889" s="2">
        <v>46013</v>
      </c>
      <c r="B2889">
        <v>2025004035</v>
      </c>
      <c r="C2889" t="s">
        <v>2302</v>
      </c>
      <c r="D2889" s="11">
        <v>7800000</v>
      </c>
      <c r="E2889" t="s">
        <v>2303</v>
      </c>
      <c r="F2889" t="s">
        <v>2304</v>
      </c>
      <c r="G2889" t="s">
        <v>1755</v>
      </c>
      <c r="H2889" t="str">
        <f>VLOOKUP(C2889,'[1]873'!$C$2:$C$711,1,0)</f>
        <v>1010-2025</v>
      </c>
    </row>
    <row r="2890" spans="1:8" ht="15" customHeight="1" x14ac:dyDescent="0.25">
      <c r="A2890" s="2">
        <v>46013</v>
      </c>
      <c r="B2890">
        <v>2025004037</v>
      </c>
      <c r="C2890" t="s">
        <v>1933</v>
      </c>
      <c r="D2890" s="11">
        <v>4730000</v>
      </c>
      <c r="E2890" t="s">
        <v>1628</v>
      </c>
      <c r="F2890" t="s">
        <v>705</v>
      </c>
      <c r="G2890" t="s">
        <v>1755</v>
      </c>
      <c r="H2890" t="str">
        <f>VLOOKUP(C2890,'[1]873'!$C$2:$C$711,1,0)</f>
        <v>745-2025</v>
      </c>
    </row>
    <row r="2891" spans="1:8" ht="15" customHeight="1" x14ac:dyDescent="0.25">
      <c r="A2891" s="2">
        <v>46013</v>
      </c>
      <c r="B2891">
        <v>2025004039</v>
      </c>
      <c r="C2891" t="s">
        <v>2253</v>
      </c>
      <c r="D2891" s="11">
        <v>4730000</v>
      </c>
      <c r="E2891" t="s">
        <v>2254</v>
      </c>
      <c r="F2891" t="s">
        <v>415</v>
      </c>
      <c r="G2891" t="s">
        <v>1755</v>
      </c>
      <c r="H2891" t="str">
        <f>VLOOKUP(C2891,'[1]873'!$C$2:$C$711,1,0)</f>
        <v>946-2025</v>
      </c>
    </row>
    <row r="2892" spans="1:8" ht="15" customHeight="1" x14ac:dyDescent="0.25">
      <c r="A2892" s="2">
        <v>46013</v>
      </c>
      <c r="B2892">
        <v>2025004041</v>
      </c>
      <c r="C2892" t="s">
        <v>2250</v>
      </c>
      <c r="D2892" s="11">
        <v>3150000</v>
      </c>
      <c r="E2892" t="s">
        <v>2251</v>
      </c>
      <c r="F2892" t="s">
        <v>2252</v>
      </c>
      <c r="G2892" t="s">
        <v>1755</v>
      </c>
      <c r="H2892" t="str">
        <f>VLOOKUP(C2892,'[1]873'!$C$2:$C$711,1,0)</f>
        <v>965-2025</v>
      </c>
    </row>
    <row r="2893" spans="1:8" ht="15" customHeight="1" x14ac:dyDescent="0.25">
      <c r="A2893" s="2">
        <v>46013</v>
      </c>
      <c r="B2893">
        <v>2025004042</v>
      </c>
      <c r="C2893" t="s">
        <v>2261</v>
      </c>
      <c r="D2893" s="11">
        <v>2000000</v>
      </c>
      <c r="E2893" t="s">
        <v>2262</v>
      </c>
      <c r="F2893" t="s">
        <v>2263</v>
      </c>
      <c r="G2893" t="s">
        <v>1755</v>
      </c>
      <c r="H2893" t="str">
        <f>VLOOKUP(C2893,'[1]873'!$C$2:$C$711,1,0)</f>
        <v>1007-2025</v>
      </c>
    </row>
    <row r="2894" spans="1:8" ht="15" customHeight="1" x14ac:dyDescent="0.25">
      <c r="A2894" s="2">
        <v>46013</v>
      </c>
      <c r="B2894">
        <v>2025004046</v>
      </c>
      <c r="C2894" t="s">
        <v>1824</v>
      </c>
      <c r="D2894" s="11">
        <v>4730000</v>
      </c>
      <c r="E2894" t="s">
        <v>2095</v>
      </c>
      <c r="F2894" t="s">
        <v>1825</v>
      </c>
      <c r="G2894" t="s">
        <v>1755</v>
      </c>
      <c r="H2894" t="str">
        <f>VLOOKUP(C2894,'[1]873'!$C$2:$C$711,1,0)</f>
        <v>818-2025</v>
      </c>
    </row>
    <row r="2895" spans="1:8" ht="15" customHeight="1" x14ac:dyDescent="0.25">
      <c r="A2895" s="2">
        <v>46013</v>
      </c>
      <c r="B2895">
        <v>2025004047</v>
      </c>
      <c r="C2895" t="s">
        <v>1920</v>
      </c>
      <c r="D2895" s="11">
        <v>4730000</v>
      </c>
      <c r="E2895" t="s">
        <v>2102</v>
      </c>
      <c r="F2895" t="s">
        <v>1921</v>
      </c>
      <c r="G2895" t="s">
        <v>1755</v>
      </c>
      <c r="H2895" t="str">
        <f>VLOOKUP(C2895,'[1]873'!$C$2:$C$711,1,0)</f>
        <v>858-2025</v>
      </c>
    </row>
    <row r="2896" spans="1:8" ht="15" customHeight="1" x14ac:dyDescent="0.25">
      <c r="A2896" s="2">
        <v>46013</v>
      </c>
      <c r="B2896">
        <v>2025004048</v>
      </c>
      <c r="C2896" t="s">
        <v>1922</v>
      </c>
      <c r="D2896" s="11">
        <v>7800000</v>
      </c>
      <c r="E2896" t="s">
        <v>2041</v>
      </c>
      <c r="F2896" t="s">
        <v>1923</v>
      </c>
      <c r="G2896" t="s">
        <v>1755</v>
      </c>
      <c r="H2896" t="str">
        <f>VLOOKUP(C2896,'[1]873'!$C$2:$C$711,1,0)</f>
        <v>875-2025</v>
      </c>
    </row>
    <row r="2897" spans="1:8" ht="15" customHeight="1" x14ac:dyDescent="0.25">
      <c r="A2897" s="2">
        <v>46013</v>
      </c>
      <c r="B2897">
        <v>2025004050</v>
      </c>
      <c r="C2897" t="s">
        <v>1826</v>
      </c>
      <c r="D2897" s="11">
        <v>7800000</v>
      </c>
      <c r="E2897" t="s">
        <v>2191</v>
      </c>
      <c r="F2897" t="s">
        <v>239</v>
      </c>
      <c r="G2897" t="s">
        <v>1755</v>
      </c>
      <c r="H2897" t="str">
        <f>VLOOKUP(C2897,'[1]873'!$C$2:$C$711,1,0)</f>
        <v>833-2025</v>
      </c>
    </row>
    <row r="2898" spans="1:8" ht="15" customHeight="1" x14ac:dyDescent="0.25">
      <c r="A2898" s="2">
        <v>46013</v>
      </c>
      <c r="B2898">
        <v>2025004051</v>
      </c>
      <c r="C2898" t="s">
        <v>1814</v>
      </c>
      <c r="D2898" s="11">
        <v>6300000</v>
      </c>
      <c r="E2898" t="s">
        <v>2188</v>
      </c>
      <c r="F2898" t="s">
        <v>1815</v>
      </c>
      <c r="G2898" t="s">
        <v>1755</v>
      </c>
      <c r="H2898" t="str">
        <f>VLOOKUP(C2898,'[1]873'!$C$2:$C$711,1,0)</f>
        <v>908-2025</v>
      </c>
    </row>
    <row r="2899" spans="1:8" ht="15" customHeight="1" x14ac:dyDescent="0.25">
      <c r="A2899" s="2">
        <v>46013</v>
      </c>
      <c r="B2899">
        <v>2025004056</v>
      </c>
      <c r="C2899" t="s">
        <v>1993</v>
      </c>
      <c r="D2899" s="11">
        <v>3150000</v>
      </c>
      <c r="E2899" t="s">
        <v>2193</v>
      </c>
      <c r="F2899" t="s">
        <v>1994</v>
      </c>
      <c r="G2899" t="s">
        <v>1755</v>
      </c>
      <c r="H2899" t="str">
        <f>VLOOKUP(C2899,'[1]873'!$C$2:$C$711,1,0)</f>
        <v>928-2025</v>
      </c>
    </row>
    <row r="2900" spans="1:8" ht="15" customHeight="1" x14ac:dyDescent="0.25">
      <c r="A2900" s="2">
        <v>46013</v>
      </c>
      <c r="B2900">
        <v>2025004059</v>
      </c>
      <c r="C2900" t="s">
        <v>2305</v>
      </c>
      <c r="D2900" s="11">
        <v>4730000</v>
      </c>
      <c r="E2900" t="s">
        <v>2306</v>
      </c>
      <c r="F2900" t="s">
        <v>2307</v>
      </c>
      <c r="G2900" t="s">
        <v>1755</v>
      </c>
      <c r="H2900" t="str">
        <f>VLOOKUP(C2900,'[1]873'!$C$2:$C$711,1,0)</f>
        <v>962-2025</v>
      </c>
    </row>
    <row r="2901" spans="1:8" ht="15" customHeight="1" x14ac:dyDescent="0.25">
      <c r="A2901" s="2">
        <v>46013</v>
      </c>
      <c r="B2901">
        <v>2025004060</v>
      </c>
      <c r="C2901" t="s">
        <v>2275</v>
      </c>
      <c r="D2901" s="11">
        <v>4730000</v>
      </c>
      <c r="E2901" t="s">
        <v>2276</v>
      </c>
      <c r="F2901" t="s">
        <v>2277</v>
      </c>
      <c r="G2901" t="s">
        <v>1755</v>
      </c>
      <c r="H2901" t="str">
        <f>VLOOKUP(C2901,'[1]873'!$C$2:$C$711,1,0)</f>
        <v>987-2025</v>
      </c>
    </row>
    <row r="2902" spans="1:8" ht="15" customHeight="1" x14ac:dyDescent="0.25">
      <c r="A2902" s="2">
        <v>46013</v>
      </c>
      <c r="B2902">
        <v>2025004061</v>
      </c>
      <c r="C2902" t="s">
        <v>2429</v>
      </c>
      <c r="D2902" s="11">
        <v>3150000</v>
      </c>
      <c r="E2902" t="s">
        <v>2430</v>
      </c>
      <c r="F2902" t="s">
        <v>2431</v>
      </c>
      <c r="G2902" t="s">
        <v>1755</v>
      </c>
      <c r="H2902" t="str">
        <f>VLOOKUP(C2902,'[1]873'!$C$2:$C$711,1,0)</f>
        <v>1088-2025</v>
      </c>
    </row>
    <row r="2903" spans="1:8" ht="15" customHeight="1" x14ac:dyDescent="0.25">
      <c r="A2903" s="2">
        <v>46013</v>
      </c>
      <c r="B2903">
        <v>2025004062</v>
      </c>
      <c r="C2903" t="s">
        <v>1808</v>
      </c>
      <c r="D2903" s="11">
        <v>7800000</v>
      </c>
      <c r="E2903" t="s">
        <v>2058</v>
      </c>
      <c r="F2903" t="s">
        <v>1809</v>
      </c>
      <c r="G2903" t="s">
        <v>1755</v>
      </c>
      <c r="H2903" t="str">
        <f>VLOOKUP(C2903,'[1]873'!$C$2:$C$711,1,0)</f>
        <v>906-2025</v>
      </c>
    </row>
    <row r="2904" spans="1:8" ht="15" customHeight="1" x14ac:dyDescent="0.25">
      <c r="A2904" s="2">
        <v>46013</v>
      </c>
      <c r="B2904">
        <v>2025004063</v>
      </c>
      <c r="C2904" t="s">
        <v>2284</v>
      </c>
      <c r="D2904" s="11">
        <v>3150000</v>
      </c>
      <c r="E2904" t="s">
        <v>2285</v>
      </c>
      <c r="F2904" t="s">
        <v>2286</v>
      </c>
      <c r="G2904" t="s">
        <v>1755</v>
      </c>
      <c r="H2904" t="str">
        <f>VLOOKUP(C2904,'[1]873'!$C$2:$C$711,1,0)</f>
        <v>1060-2025</v>
      </c>
    </row>
    <row r="2905" spans="1:8" ht="15" customHeight="1" x14ac:dyDescent="0.25">
      <c r="A2905" s="2">
        <v>46013</v>
      </c>
      <c r="B2905">
        <v>2025004064</v>
      </c>
      <c r="C2905" t="s">
        <v>1916</v>
      </c>
      <c r="D2905" s="11">
        <v>6300000</v>
      </c>
      <c r="E2905" t="s">
        <v>1651</v>
      </c>
      <c r="F2905" t="s">
        <v>117</v>
      </c>
      <c r="G2905" t="s">
        <v>1755</v>
      </c>
      <c r="H2905" t="str">
        <f>VLOOKUP(C2905,'[1]873'!$C$2:$C$711,1,0)</f>
        <v>890-2025</v>
      </c>
    </row>
    <row r="2906" spans="1:8" ht="15" customHeight="1" x14ac:dyDescent="0.25">
      <c r="A2906" s="2">
        <v>46013</v>
      </c>
      <c r="B2906">
        <v>2025004065</v>
      </c>
      <c r="C2906" t="s">
        <v>1821</v>
      </c>
      <c r="D2906" s="11">
        <v>3150000</v>
      </c>
      <c r="E2906" t="s">
        <v>1637</v>
      </c>
      <c r="F2906" t="s">
        <v>989</v>
      </c>
      <c r="G2906" t="s">
        <v>1755</v>
      </c>
      <c r="H2906" t="str">
        <f>VLOOKUP(C2906,'[1]873'!$C$2:$C$711,1,0)</f>
        <v>759-2025</v>
      </c>
    </row>
    <row r="2907" spans="1:8" ht="15" customHeight="1" x14ac:dyDescent="0.25">
      <c r="A2907" s="2">
        <v>46013</v>
      </c>
      <c r="B2907">
        <v>2025004066</v>
      </c>
      <c r="C2907" t="s">
        <v>2270</v>
      </c>
      <c r="D2907" s="11">
        <v>3150000</v>
      </c>
      <c r="E2907" t="s">
        <v>2271</v>
      </c>
      <c r="F2907" t="s">
        <v>213</v>
      </c>
      <c r="G2907" t="s">
        <v>1755</v>
      </c>
      <c r="H2907" t="str">
        <f>VLOOKUP(C2907,'[1]873'!$C$2:$C$711,1,0)</f>
        <v>889-2025</v>
      </c>
    </row>
    <row r="2908" spans="1:8" ht="15" customHeight="1" x14ac:dyDescent="0.25">
      <c r="A2908" s="2">
        <v>46013</v>
      </c>
      <c r="B2908">
        <v>2025004067</v>
      </c>
      <c r="C2908" t="s">
        <v>2424</v>
      </c>
      <c r="D2908" s="11">
        <v>2000000</v>
      </c>
      <c r="E2908" t="s">
        <v>2425</v>
      </c>
      <c r="F2908" t="s">
        <v>2426</v>
      </c>
      <c r="G2908" t="s">
        <v>1755</v>
      </c>
      <c r="H2908" t="str">
        <f>VLOOKUP(C2908,'[1]873'!$C$2:$C$711,1,0)</f>
        <v>1159-2025</v>
      </c>
    </row>
    <row r="2909" spans="1:8" ht="15" customHeight="1" x14ac:dyDescent="0.25">
      <c r="A2909" s="2">
        <v>46013</v>
      </c>
      <c r="B2909">
        <v>2025004070</v>
      </c>
      <c r="C2909" t="s">
        <v>1927</v>
      </c>
      <c r="D2909" s="11">
        <v>3150000</v>
      </c>
      <c r="E2909" t="s">
        <v>2187</v>
      </c>
      <c r="F2909" t="s">
        <v>1928</v>
      </c>
      <c r="G2909" t="s">
        <v>1755</v>
      </c>
      <c r="H2909" t="str">
        <f>VLOOKUP(C2909,'[1]873'!$C$2:$C$711,1,0)</f>
        <v>899-2025</v>
      </c>
    </row>
    <row r="2910" spans="1:8" ht="15" customHeight="1" x14ac:dyDescent="0.25">
      <c r="A2910" s="2">
        <v>46013</v>
      </c>
      <c r="B2910">
        <v>2025004071</v>
      </c>
      <c r="C2910" t="s">
        <v>2258</v>
      </c>
      <c r="D2910" s="11">
        <v>3150000</v>
      </c>
      <c r="E2910" t="s">
        <v>2259</v>
      </c>
      <c r="F2910" t="s">
        <v>1054</v>
      </c>
      <c r="G2910" t="s">
        <v>1755</v>
      </c>
      <c r="H2910" t="str">
        <f>VLOOKUP(C2910,'[1]873'!$C$2:$C$711,1,0)</f>
        <v>1042-2025</v>
      </c>
    </row>
    <row r="2911" spans="1:8" ht="15" customHeight="1" x14ac:dyDescent="0.25">
      <c r="A2911" s="2">
        <v>46013</v>
      </c>
      <c r="B2911">
        <v>2025004072</v>
      </c>
      <c r="C2911" t="s">
        <v>1915</v>
      </c>
      <c r="D2911" s="11">
        <v>3150000</v>
      </c>
      <c r="E2911" t="s">
        <v>1617</v>
      </c>
      <c r="F2911" t="s">
        <v>992</v>
      </c>
      <c r="G2911" t="s">
        <v>1755</v>
      </c>
      <c r="H2911" t="str">
        <f>VLOOKUP(C2911,'[1]873'!$C$2:$C$711,1,0)</f>
        <v>824-2025</v>
      </c>
    </row>
    <row r="2912" spans="1:8" ht="15" customHeight="1" x14ac:dyDescent="0.25">
      <c r="A2912" s="2">
        <v>46013</v>
      </c>
      <c r="B2912">
        <v>2025004073</v>
      </c>
      <c r="C2912" t="s">
        <v>2439</v>
      </c>
      <c r="D2912" s="11">
        <v>3150000</v>
      </c>
      <c r="E2912" t="s">
        <v>2440</v>
      </c>
      <c r="F2912" t="s">
        <v>2441</v>
      </c>
      <c r="G2912" t="s">
        <v>1755</v>
      </c>
      <c r="H2912" t="str">
        <f>VLOOKUP(C2912,'[1]873'!$C$2:$C$711,1,0)</f>
        <v>1103-2025</v>
      </c>
    </row>
    <row r="2913" spans="1:8" ht="15" customHeight="1" x14ac:dyDescent="0.25">
      <c r="A2913" s="2">
        <v>46013</v>
      </c>
      <c r="B2913">
        <v>2025004074</v>
      </c>
      <c r="C2913" t="s">
        <v>1818</v>
      </c>
      <c r="D2913" s="11">
        <v>3150000</v>
      </c>
      <c r="E2913" t="s">
        <v>2094</v>
      </c>
      <c r="F2913" t="s">
        <v>1819</v>
      </c>
      <c r="G2913" t="s">
        <v>1755</v>
      </c>
      <c r="H2913" t="str">
        <f>VLOOKUP(C2913,'[1]873'!$C$2:$C$711,1,0)</f>
        <v>912-2025</v>
      </c>
    </row>
    <row r="2914" spans="1:8" ht="15" customHeight="1" x14ac:dyDescent="0.25">
      <c r="A2914" s="2">
        <v>46013</v>
      </c>
      <c r="B2914">
        <v>2025004075</v>
      </c>
      <c r="C2914" t="s">
        <v>1934</v>
      </c>
      <c r="D2914" s="11">
        <v>4730000</v>
      </c>
      <c r="E2914" t="s">
        <v>2039</v>
      </c>
      <c r="F2914" t="s">
        <v>464</v>
      </c>
      <c r="G2914" t="s">
        <v>1755</v>
      </c>
      <c r="H2914" t="str">
        <f>VLOOKUP(C2914,'[1]873'!$C$2:$C$711,1,0)</f>
        <v>768-2025</v>
      </c>
    </row>
    <row r="2915" spans="1:8" ht="15" customHeight="1" x14ac:dyDescent="0.25">
      <c r="A2915" s="2">
        <v>46013</v>
      </c>
      <c r="B2915">
        <v>2025004076</v>
      </c>
      <c r="C2915" t="s">
        <v>1820</v>
      </c>
      <c r="D2915" s="11">
        <v>3150000</v>
      </c>
      <c r="E2915" t="s">
        <v>2043</v>
      </c>
      <c r="F2915" t="s">
        <v>405</v>
      </c>
      <c r="G2915" t="s">
        <v>1755</v>
      </c>
      <c r="H2915" t="str">
        <f>VLOOKUP(C2915,'[1]873'!$C$2:$C$711,1,0)</f>
        <v>793-2025</v>
      </c>
    </row>
    <row r="2916" spans="1:8" ht="15" customHeight="1" x14ac:dyDescent="0.25">
      <c r="A2916" s="2">
        <v>46013</v>
      </c>
      <c r="B2916">
        <v>2025004077</v>
      </c>
      <c r="C2916" t="s">
        <v>2272</v>
      </c>
      <c r="D2916" s="11">
        <v>3150000</v>
      </c>
      <c r="E2916" t="s">
        <v>1743</v>
      </c>
      <c r="F2916" t="s">
        <v>1211</v>
      </c>
      <c r="G2916" t="s">
        <v>1755</v>
      </c>
      <c r="H2916" t="str">
        <f>VLOOKUP(C2916,'[1]873'!$C$2:$C$711,1,0)</f>
        <v>958-2025</v>
      </c>
    </row>
    <row r="2917" spans="1:8" ht="15" customHeight="1" x14ac:dyDescent="0.25">
      <c r="A2917" s="2">
        <v>46013</v>
      </c>
      <c r="B2917">
        <v>2025004078</v>
      </c>
      <c r="C2917" t="s">
        <v>2448</v>
      </c>
      <c r="D2917" s="11">
        <v>6300000</v>
      </c>
      <c r="E2917" t="s">
        <v>2449</v>
      </c>
      <c r="F2917" t="s">
        <v>55</v>
      </c>
      <c r="G2917" t="s">
        <v>1755</v>
      </c>
      <c r="H2917" t="str">
        <f>VLOOKUP(C2917,'[1]873'!$C$2:$C$711,1,0)</f>
        <v>1194-2025</v>
      </c>
    </row>
    <row r="2918" spans="1:8" ht="15" customHeight="1" x14ac:dyDescent="0.25">
      <c r="A2918" s="2">
        <v>46013</v>
      </c>
      <c r="B2918">
        <v>2025004079</v>
      </c>
      <c r="C2918" t="s">
        <v>1924</v>
      </c>
      <c r="D2918" s="11">
        <v>6300000</v>
      </c>
      <c r="E2918" t="s">
        <v>1594</v>
      </c>
      <c r="F2918" t="s">
        <v>1102</v>
      </c>
      <c r="G2918" t="s">
        <v>1755</v>
      </c>
      <c r="H2918" t="str">
        <f>VLOOKUP(C2918,'[1]873'!$C$2:$C$711,1,0)</f>
        <v>805-2025</v>
      </c>
    </row>
    <row r="2919" spans="1:8" ht="15" customHeight="1" x14ac:dyDescent="0.25">
      <c r="A2919" s="2">
        <v>46013</v>
      </c>
      <c r="B2919">
        <v>2025004080</v>
      </c>
      <c r="C2919" t="s">
        <v>1941</v>
      </c>
      <c r="D2919" s="11">
        <v>6300000</v>
      </c>
      <c r="E2919" t="s">
        <v>2190</v>
      </c>
      <c r="F2919" t="s">
        <v>1942</v>
      </c>
      <c r="G2919" t="s">
        <v>1755</v>
      </c>
      <c r="H2919" t="str">
        <f>VLOOKUP(C2919,'[1]873'!$C$2:$C$711,1,0)</f>
        <v>921-2025</v>
      </c>
    </row>
    <row r="2920" spans="1:8" ht="15" customHeight="1" x14ac:dyDescent="0.25">
      <c r="A2920" s="2">
        <v>46013</v>
      </c>
      <c r="B2920">
        <v>2025004081</v>
      </c>
      <c r="C2920" t="s">
        <v>1810</v>
      </c>
      <c r="D2920" s="11">
        <v>7800000</v>
      </c>
      <c r="E2920" t="s">
        <v>2056</v>
      </c>
      <c r="F2920" t="s">
        <v>1811</v>
      </c>
      <c r="G2920" t="s">
        <v>1755</v>
      </c>
      <c r="H2920" t="str">
        <f>VLOOKUP(C2920,'[1]873'!$C$2:$C$711,1,0)</f>
        <v>929-2025</v>
      </c>
    </row>
    <row r="2921" spans="1:8" ht="15" customHeight="1" x14ac:dyDescent="0.25">
      <c r="A2921" s="2">
        <v>46013</v>
      </c>
      <c r="B2921">
        <v>2025004082</v>
      </c>
      <c r="C2921" t="s">
        <v>1998</v>
      </c>
      <c r="D2921" s="11">
        <v>7800000</v>
      </c>
      <c r="E2921" t="s">
        <v>2059</v>
      </c>
      <c r="F2921" t="s">
        <v>1999</v>
      </c>
      <c r="G2921" t="s">
        <v>1755</v>
      </c>
      <c r="H2921" t="str">
        <f>VLOOKUP(C2921,'[1]873'!$C$2:$C$711,1,0)</f>
        <v>900-2025</v>
      </c>
    </row>
    <row r="2922" spans="1:8" ht="15" customHeight="1" x14ac:dyDescent="0.25">
      <c r="A2922" s="2">
        <v>46013</v>
      </c>
      <c r="B2922">
        <v>2025004083</v>
      </c>
      <c r="C2922" t="s">
        <v>2273</v>
      </c>
      <c r="D2922" s="11">
        <v>4730000</v>
      </c>
      <c r="E2922" t="s">
        <v>2274</v>
      </c>
      <c r="F2922" t="s">
        <v>730</v>
      </c>
      <c r="G2922" t="s">
        <v>1755</v>
      </c>
      <c r="H2922" t="str">
        <f>VLOOKUP(C2922,'[1]873'!$C$2:$C$711,1,0)</f>
        <v>1062-2025</v>
      </c>
    </row>
    <row r="2923" spans="1:8" ht="15" customHeight="1" x14ac:dyDescent="0.25">
      <c r="A2923" s="2">
        <v>46013</v>
      </c>
      <c r="B2923">
        <v>2025004085</v>
      </c>
      <c r="C2923" t="s">
        <v>2458</v>
      </c>
      <c r="D2923" s="11">
        <v>6300000</v>
      </c>
      <c r="E2923" t="s">
        <v>2459</v>
      </c>
      <c r="F2923" t="s">
        <v>2460</v>
      </c>
      <c r="G2923" t="s">
        <v>1755</v>
      </c>
      <c r="H2923" t="str">
        <f>VLOOKUP(C2923,'[1]873'!$C$2:$C$711,1,0)</f>
        <v>1179-2025</v>
      </c>
    </row>
    <row r="2924" spans="1:8" ht="15" customHeight="1" x14ac:dyDescent="0.25">
      <c r="A2924" s="2">
        <v>46013</v>
      </c>
      <c r="B2924">
        <v>2025004090</v>
      </c>
      <c r="C2924" t="s">
        <v>2457</v>
      </c>
      <c r="D2924" s="11">
        <v>3150000</v>
      </c>
      <c r="E2924" t="s">
        <v>1746</v>
      </c>
      <c r="F2924" t="s">
        <v>181</v>
      </c>
      <c r="G2924" t="s">
        <v>1755</v>
      </c>
      <c r="H2924" t="str">
        <f>VLOOKUP(C2924,'[1]873'!$C$2:$C$711,1,0)</f>
        <v>1123-2025</v>
      </c>
    </row>
    <row r="2925" spans="1:8" ht="15" customHeight="1" x14ac:dyDescent="0.25">
      <c r="A2925" s="2">
        <v>46013</v>
      </c>
      <c r="B2925">
        <v>2025004091</v>
      </c>
      <c r="C2925" s="4" t="s">
        <v>2390</v>
      </c>
      <c r="D2925" s="11">
        <v>16920000</v>
      </c>
      <c r="E2925" t="s">
        <v>2391</v>
      </c>
      <c r="F2925" t="s">
        <v>2392</v>
      </c>
      <c r="G2925" t="s">
        <v>1755</v>
      </c>
      <c r="H2925" t="str">
        <f>VLOOKUP(C2925,'[1]873'!$C$2:$C$711,1,0)</f>
        <v>1016-2025</v>
      </c>
    </row>
    <row r="2926" spans="1:8" ht="15" customHeight="1" x14ac:dyDescent="0.25">
      <c r="A2926" s="2">
        <v>46013</v>
      </c>
      <c r="B2926">
        <v>2025004092</v>
      </c>
      <c r="C2926" t="s">
        <v>2393</v>
      </c>
      <c r="D2926" s="11">
        <v>45120000</v>
      </c>
      <c r="E2926" t="s">
        <v>2391</v>
      </c>
      <c r="F2926" t="s">
        <v>2392</v>
      </c>
      <c r="G2926" t="s">
        <v>1755</v>
      </c>
      <c r="H2926" t="str">
        <f>VLOOKUP(C2926,'[1]873'!$C$2:$C$711,1,0)</f>
        <v>1017-2025</v>
      </c>
    </row>
    <row r="2927" spans="1:8" ht="15" customHeight="1" x14ac:dyDescent="0.25">
      <c r="A2927" s="2">
        <v>46013</v>
      </c>
      <c r="B2927">
        <v>2025004093</v>
      </c>
      <c r="C2927" t="s">
        <v>2397</v>
      </c>
      <c r="D2927" s="11">
        <v>3150000</v>
      </c>
      <c r="E2927" t="s">
        <v>1717</v>
      </c>
      <c r="F2927" t="s">
        <v>886</v>
      </c>
      <c r="G2927" t="s">
        <v>1755</v>
      </c>
      <c r="H2927" t="str">
        <f>VLOOKUP(C2927,'[1]873'!$C$2:$C$711,1,0)</f>
        <v>1100-2025</v>
      </c>
    </row>
    <row r="2928" spans="1:8" ht="15" customHeight="1" x14ac:dyDescent="0.25">
      <c r="A2928" s="2">
        <v>46013</v>
      </c>
      <c r="B2928">
        <v>2025004094</v>
      </c>
      <c r="C2928" t="s">
        <v>1992</v>
      </c>
      <c r="D2928" s="11">
        <v>3150000</v>
      </c>
      <c r="E2928" t="s">
        <v>2255</v>
      </c>
      <c r="F2928" t="s">
        <v>580</v>
      </c>
      <c r="G2928" t="s">
        <v>1755</v>
      </c>
      <c r="H2928" t="str">
        <f>VLOOKUP(C2928,'[1]873'!$C$2:$C$711,1,0)</f>
        <v>924-2025</v>
      </c>
    </row>
    <row r="2929" spans="1:8" ht="15" customHeight="1" x14ac:dyDescent="0.25">
      <c r="A2929" s="2">
        <v>46013</v>
      </c>
      <c r="B2929">
        <v>2025004095</v>
      </c>
      <c r="C2929" t="s">
        <v>2423</v>
      </c>
      <c r="D2929" s="11">
        <v>17040000</v>
      </c>
      <c r="E2929" t="s">
        <v>2391</v>
      </c>
      <c r="F2929" t="s">
        <v>2392</v>
      </c>
      <c r="G2929" t="s">
        <v>1755</v>
      </c>
      <c r="H2929" t="str">
        <f>VLOOKUP(C2929,'[1]873'!$C$2:$C$711,1,0)</f>
        <v>1018-2025</v>
      </c>
    </row>
    <row r="2930" spans="1:8" ht="15" customHeight="1" x14ac:dyDescent="0.25">
      <c r="A2930" s="2">
        <v>46013</v>
      </c>
      <c r="B2930">
        <v>2025004096</v>
      </c>
      <c r="C2930" t="s">
        <v>2253</v>
      </c>
      <c r="D2930" s="11">
        <v>4730000</v>
      </c>
      <c r="E2930" t="s">
        <v>2254</v>
      </c>
      <c r="F2930" t="s">
        <v>415</v>
      </c>
      <c r="G2930" t="s">
        <v>1755</v>
      </c>
      <c r="H2930" t="str">
        <f>VLOOKUP(C2930,'[1]873'!$C$2:$C$711,1,0)</f>
        <v>946-2025</v>
      </c>
    </row>
    <row r="2931" spans="1:8" ht="15" customHeight="1" x14ac:dyDescent="0.25">
      <c r="A2931" s="2">
        <v>46013</v>
      </c>
      <c r="B2931">
        <v>2025004098</v>
      </c>
      <c r="C2931" t="s">
        <v>2258</v>
      </c>
      <c r="D2931" s="11">
        <v>3150000</v>
      </c>
      <c r="E2931" t="s">
        <v>2259</v>
      </c>
      <c r="F2931" t="s">
        <v>1054</v>
      </c>
      <c r="G2931" t="s">
        <v>1755</v>
      </c>
      <c r="H2931" t="str">
        <f>VLOOKUP(C2931,'[1]873'!$C$2:$C$711,1,0)</f>
        <v>1042-2025</v>
      </c>
    </row>
    <row r="2932" spans="1:8" ht="15" customHeight="1" x14ac:dyDescent="0.25">
      <c r="A2932" s="2">
        <v>46013</v>
      </c>
      <c r="B2932">
        <v>2025004099</v>
      </c>
      <c r="C2932" t="s">
        <v>2456</v>
      </c>
      <c r="D2932" s="11">
        <v>3150000</v>
      </c>
      <c r="E2932" t="s">
        <v>1663</v>
      </c>
      <c r="F2932" t="s">
        <v>75</v>
      </c>
      <c r="G2932" t="s">
        <v>1755</v>
      </c>
      <c r="H2932" t="str">
        <f>VLOOKUP(C2932,'[1]873'!$C$2:$C$711,1,0)</f>
        <v>1092-2025</v>
      </c>
    </row>
    <row r="2933" spans="1:8" ht="15" customHeight="1" x14ac:dyDescent="0.25">
      <c r="A2933" s="2">
        <v>46013</v>
      </c>
      <c r="B2933">
        <v>2025004100</v>
      </c>
      <c r="C2933" t="s">
        <v>2461</v>
      </c>
      <c r="D2933" s="11">
        <v>3150000</v>
      </c>
      <c r="E2933" t="s">
        <v>2462</v>
      </c>
      <c r="F2933" t="s">
        <v>2463</v>
      </c>
      <c r="G2933" t="s">
        <v>1755</v>
      </c>
      <c r="H2933" t="str">
        <f>VLOOKUP(C2933,'[1]873'!$C$2:$C$711,1,0)</f>
        <v>1094-2025</v>
      </c>
    </row>
    <row r="2934" spans="1:8" ht="15" customHeight="1" x14ac:dyDescent="0.25">
      <c r="A2934" s="2">
        <v>46014</v>
      </c>
      <c r="B2934">
        <v>2025004103</v>
      </c>
      <c r="C2934" t="s">
        <v>1917</v>
      </c>
      <c r="D2934" s="11">
        <v>7800000</v>
      </c>
      <c r="E2934" t="s">
        <v>2189</v>
      </c>
      <c r="F2934" t="s">
        <v>1918</v>
      </c>
      <c r="G2934" t="s">
        <v>1755</v>
      </c>
      <c r="H2934" t="str">
        <f>VLOOKUP(C2934,'[1]873'!$C$2:$C$711,1,0)</f>
        <v>905-2025</v>
      </c>
    </row>
    <row r="2935" spans="1:8" ht="15" customHeight="1" x14ac:dyDescent="0.25">
      <c r="A2935" s="2">
        <v>46014</v>
      </c>
      <c r="B2935">
        <v>2025004105</v>
      </c>
      <c r="C2935" t="s">
        <v>2464</v>
      </c>
      <c r="D2935" s="11">
        <v>3150000</v>
      </c>
      <c r="E2935" t="s">
        <v>2465</v>
      </c>
      <c r="F2935" t="s">
        <v>2466</v>
      </c>
      <c r="G2935" t="s">
        <v>1755</v>
      </c>
      <c r="H2935" t="str">
        <f>VLOOKUP(C2935,'[1]873'!$C$2:$C$711,1,0)</f>
        <v>1087-2025</v>
      </c>
    </row>
    <row r="2936" spans="1:8" ht="15" customHeight="1" x14ac:dyDescent="0.25">
      <c r="A2936" s="2">
        <v>46014</v>
      </c>
      <c r="B2936">
        <v>2025004107</v>
      </c>
      <c r="C2936" t="s">
        <v>2293</v>
      </c>
      <c r="D2936" s="11">
        <v>4730000</v>
      </c>
      <c r="E2936" t="s">
        <v>2294</v>
      </c>
      <c r="F2936" t="s">
        <v>2295</v>
      </c>
      <c r="G2936" t="s">
        <v>1755</v>
      </c>
      <c r="H2936" t="str">
        <f>VLOOKUP(C2936,'[1]873'!$C$2:$C$711,1,0)</f>
        <v>937-2025</v>
      </c>
    </row>
    <row r="2937" spans="1:8" ht="15" customHeight="1" x14ac:dyDescent="0.25">
      <c r="A2937" s="2">
        <v>46014</v>
      </c>
      <c r="B2937">
        <v>2025004108</v>
      </c>
      <c r="C2937" s="4" t="s">
        <v>2270</v>
      </c>
      <c r="D2937" s="11">
        <v>3150000</v>
      </c>
      <c r="E2937" t="s">
        <v>2271</v>
      </c>
      <c r="F2937" t="s">
        <v>213</v>
      </c>
      <c r="G2937" t="s">
        <v>1755</v>
      </c>
      <c r="H2937" t="str">
        <f>VLOOKUP(C2937,'[1]873'!$C$2:$C$711,1,0)</f>
        <v>889-2025</v>
      </c>
    </row>
    <row r="2938" spans="1:8" ht="15" customHeight="1" x14ac:dyDescent="0.25">
      <c r="A2938" s="2">
        <v>46014</v>
      </c>
      <c r="B2938">
        <v>2025004109</v>
      </c>
      <c r="C2938" t="s">
        <v>2458</v>
      </c>
      <c r="D2938" s="11">
        <v>3150000</v>
      </c>
      <c r="E2938" t="s">
        <v>2459</v>
      </c>
      <c r="F2938" t="s">
        <v>2460</v>
      </c>
      <c r="G2938" t="s">
        <v>1755</v>
      </c>
      <c r="H2938" t="str">
        <f>VLOOKUP(C2938,'[1]873'!$C$2:$C$711,1,0)</f>
        <v>1179-2025</v>
      </c>
    </row>
    <row r="2939" spans="1:8" ht="15" customHeight="1" x14ac:dyDescent="0.25">
      <c r="A2939" s="2">
        <v>46014</v>
      </c>
      <c r="B2939">
        <v>2025004110</v>
      </c>
      <c r="C2939" t="s">
        <v>1814</v>
      </c>
      <c r="D2939" s="11">
        <v>6300000</v>
      </c>
      <c r="E2939" t="s">
        <v>2188</v>
      </c>
      <c r="F2939" t="s">
        <v>1815</v>
      </c>
      <c r="G2939" t="s">
        <v>1755</v>
      </c>
      <c r="H2939" t="str">
        <f>VLOOKUP(C2939,'[1]873'!$C$2:$C$711,1,0)</f>
        <v>908-2025</v>
      </c>
    </row>
    <row r="2940" spans="1:8" ht="15" customHeight="1" x14ac:dyDescent="0.25">
      <c r="A2940" s="2">
        <v>46014</v>
      </c>
      <c r="B2940">
        <v>2025004111</v>
      </c>
      <c r="C2940" t="s">
        <v>1903</v>
      </c>
      <c r="D2940" s="11">
        <v>6300000</v>
      </c>
      <c r="E2940" t="s">
        <v>1653</v>
      </c>
      <c r="F2940" t="s">
        <v>583</v>
      </c>
      <c r="G2940" t="s">
        <v>1755</v>
      </c>
      <c r="H2940" t="str">
        <f>VLOOKUP(C2940,'[1]873'!$C$2:$C$711,1,0)</f>
        <v>823-2025</v>
      </c>
    </row>
    <row r="2941" spans="1:8" ht="15" customHeight="1" x14ac:dyDescent="0.25">
      <c r="A2941" s="2">
        <v>46014</v>
      </c>
      <c r="B2941">
        <v>2025004114</v>
      </c>
      <c r="C2941" t="s">
        <v>2470</v>
      </c>
      <c r="D2941" s="11">
        <v>6300000</v>
      </c>
      <c r="E2941">
        <v>1086755989</v>
      </c>
      <c r="F2941" t="s">
        <v>2471</v>
      </c>
      <c r="G2941" t="s">
        <v>1755</v>
      </c>
      <c r="H2941" t="str">
        <f>VLOOKUP(C2941,'[1]873'!$C$2:$C$711,1,0)</f>
        <v>1187-2025</v>
      </c>
    </row>
    <row r="2942" spans="1:8" ht="15" customHeight="1" x14ac:dyDescent="0.25">
      <c r="A2942" s="2">
        <v>46014</v>
      </c>
      <c r="B2942">
        <v>2025004115</v>
      </c>
      <c r="C2942" t="s">
        <v>1937</v>
      </c>
      <c r="D2942" s="11">
        <v>4730000</v>
      </c>
      <c r="E2942" t="s">
        <v>2256</v>
      </c>
      <c r="F2942" t="s">
        <v>151</v>
      </c>
      <c r="G2942" t="s">
        <v>1755</v>
      </c>
      <c r="H2942" t="str">
        <f>VLOOKUP(C2942,'[1]873'!$C$2:$C$711,1,0)</f>
        <v>740-2025</v>
      </c>
    </row>
    <row r="2943" spans="1:8" ht="15" customHeight="1" x14ac:dyDescent="0.25">
      <c r="A2943" s="2">
        <v>46014</v>
      </c>
      <c r="B2943">
        <v>2025004116</v>
      </c>
      <c r="C2943" t="s">
        <v>2269</v>
      </c>
      <c r="D2943" s="11">
        <v>3150000</v>
      </c>
      <c r="E2943" t="s">
        <v>1646</v>
      </c>
      <c r="F2943" t="s">
        <v>523</v>
      </c>
      <c r="G2943" t="s">
        <v>1755</v>
      </c>
      <c r="H2943" t="str">
        <f>VLOOKUP(C2943,'[1]873'!$C$2:$C$711,1,0)</f>
        <v>1029-2025</v>
      </c>
    </row>
    <row r="2944" spans="1:8" ht="15" customHeight="1" x14ac:dyDescent="0.25">
      <c r="A2944" s="2">
        <v>46014</v>
      </c>
      <c r="B2944">
        <v>2025004117</v>
      </c>
      <c r="C2944" t="s">
        <v>2257</v>
      </c>
      <c r="D2944" s="11">
        <v>3150000</v>
      </c>
      <c r="E2944" t="s">
        <v>1680</v>
      </c>
      <c r="F2944" t="s">
        <v>525</v>
      </c>
      <c r="G2944" t="s">
        <v>1755</v>
      </c>
      <c r="H2944" t="str">
        <f>VLOOKUP(C2944,'[1]873'!$C$2:$C$711,1,0)</f>
        <v>1038-2025</v>
      </c>
    </row>
    <row r="2945" spans="1:8" ht="15" customHeight="1" x14ac:dyDescent="0.25">
      <c r="A2945" s="2">
        <v>46014</v>
      </c>
      <c r="B2945">
        <v>2025004119</v>
      </c>
      <c r="C2945" t="s">
        <v>1803</v>
      </c>
      <c r="D2945" s="11">
        <v>3150000</v>
      </c>
      <c r="E2945" t="s">
        <v>1662</v>
      </c>
      <c r="F2945" t="s">
        <v>149</v>
      </c>
      <c r="G2945" t="s">
        <v>1755</v>
      </c>
      <c r="H2945" t="str">
        <f>VLOOKUP(C2945,'[1]873'!$C$2:$C$711,1,0)</f>
        <v>816-2025</v>
      </c>
    </row>
    <row r="2946" spans="1:8" ht="15" customHeight="1" x14ac:dyDescent="0.25">
      <c r="A2946" s="2">
        <v>46014</v>
      </c>
      <c r="B2946">
        <v>2025004120</v>
      </c>
      <c r="C2946" t="s">
        <v>1827</v>
      </c>
      <c r="D2946" s="11">
        <v>3150000</v>
      </c>
      <c r="E2946" t="s">
        <v>1626</v>
      </c>
      <c r="F2946" t="s">
        <v>243</v>
      </c>
      <c r="G2946" t="s">
        <v>1755</v>
      </c>
      <c r="H2946" t="str">
        <f>VLOOKUP(C2946,'[1]873'!$C$2:$C$711,1,0)</f>
        <v>794-2025</v>
      </c>
    </row>
    <row r="2947" spans="1:8" ht="15" customHeight="1" x14ac:dyDescent="0.25">
      <c r="A2947" s="2">
        <v>46014</v>
      </c>
      <c r="B2947">
        <v>2025004121</v>
      </c>
      <c r="C2947" t="s">
        <v>2096</v>
      </c>
      <c r="D2947" s="11">
        <v>3150000</v>
      </c>
      <c r="E2947" t="s">
        <v>2097</v>
      </c>
      <c r="F2947" t="s">
        <v>2098</v>
      </c>
      <c r="G2947" t="s">
        <v>1755</v>
      </c>
      <c r="H2947" t="str">
        <f>VLOOKUP(C2947,'[1]873'!$C$2:$C$711,1,0)</f>
        <v>1043-2025</v>
      </c>
    </row>
    <row r="2948" spans="1:8" ht="15" customHeight="1" x14ac:dyDescent="0.25">
      <c r="A2948" s="2">
        <v>46014</v>
      </c>
      <c r="B2948">
        <v>2025004122</v>
      </c>
      <c r="C2948" t="s">
        <v>2299</v>
      </c>
      <c r="D2948" s="11">
        <v>3150000</v>
      </c>
      <c r="E2948" t="s">
        <v>2300</v>
      </c>
      <c r="F2948" t="s">
        <v>2301</v>
      </c>
      <c r="G2948" t="s">
        <v>1755</v>
      </c>
      <c r="H2948" t="str">
        <f>VLOOKUP(C2948,'[1]873'!$C$2:$C$711,1,0)</f>
        <v>939-2025</v>
      </c>
    </row>
    <row r="2949" spans="1:8" ht="15" customHeight="1" x14ac:dyDescent="0.25">
      <c r="A2949" s="2">
        <v>46014</v>
      </c>
      <c r="B2949">
        <v>2025004125</v>
      </c>
      <c r="C2949" t="s">
        <v>1998</v>
      </c>
      <c r="D2949" s="11">
        <v>7800000</v>
      </c>
      <c r="E2949" t="s">
        <v>2059</v>
      </c>
      <c r="F2949" t="s">
        <v>1999</v>
      </c>
      <c r="G2949" t="s">
        <v>1755</v>
      </c>
      <c r="H2949" t="str">
        <f>VLOOKUP(C2949,'[1]873'!$C$2:$C$711,1,0)</f>
        <v>900-2025</v>
      </c>
    </row>
    <row r="2950" spans="1:8" ht="15" customHeight="1" x14ac:dyDescent="0.25">
      <c r="A2950" s="2">
        <v>46014</v>
      </c>
      <c r="B2950">
        <v>2025004127</v>
      </c>
      <c r="C2950" t="s">
        <v>1940</v>
      </c>
      <c r="D2950" s="11">
        <v>3150000</v>
      </c>
      <c r="E2950" t="s">
        <v>1634</v>
      </c>
      <c r="F2950" t="s">
        <v>209</v>
      </c>
      <c r="G2950" t="s">
        <v>1755</v>
      </c>
      <c r="H2950" t="str">
        <f>VLOOKUP(C2950,'[1]873'!$C$2:$C$711,1,0)</f>
        <v>743-2025</v>
      </c>
    </row>
    <row r="2951" spans="1:8" ht="15" customHeight="1" x14ac:dyDescent="0.25">
      <c r="A2951" s="2">
        <v>46014</v>
      </c>
      <c r="B2951">
        <v>2025004128</v>
      </c>
      <c r="C2951" t="s">
        <v>1805</v>
      </c>
      <c r="D2951" s="11">
        <v>3150000</v>
      </c>
      <c r="E2951" t="s">
        <v>1658</v>
      </c>
      <c r="F2951" t="s">
        <v>1158</v>
      </c>
      <c r="G2951" t="s">
        <v>1755</v>
      </c>
      <c r="H2951" t="str">
        <f>VLOOKUP(C2951,'[1]873'!$C$2:$C$711,1,0)</f>
        <v>774-2025</v>
      </c>
    </row>
    <row r="2952" spans="1:8" ht="15" customHeight="1" x14ac:dyDescent="0.25">
      <c r="A2952" s="2">
        <v>46014</v>
      </c>
      <c r="B2952">
        <v>2025004129</v>
      </c>
      <c r="C2952" t="s">
        <v>2194</v>
      </c>
      <c r="D2952" s="11">
        <v>226770000</v>
      </c>
      <c r="E2952" t="s">
        <v>1710</v>
      </c>
      <c r="F2952" t="s">
        <v>1220</v>
      </c>
      <c r="G2952" t="s">
        <v>1755</v>
      </c>
      <c r="H2952" t="str">
        <f>VLOOKUP(C2952,'[1]873'!$C$2:$C$711,1,0)</f>
        <v>1041-2025</v>
      </c>
    </row>
    <row r="2953" spans="1:8" ht="15" customHeight="1" x14ac:dyDescent="0.25">
      <c r="A2953" s="2">
        <v>46014</v>
      </c>
      <c r="B2953">
        <v>2025004130</v>
      </c>
      <c r="C2953" t="s">
        <v>1823</v>
      </c>
      <c r="D2953" s="11">
        <v>3150000</v>
      </c>
      <c r="E2953" t="s">
        <v>2042</v>
      </c>
      <c r="F2953" t="s">
        <v>693</v>
      </c>
      <c r="G2953" t="s">
        <v>1755</v>
      </c>
      <c r="H2953" t="str">
        <f>VLOOKUP(C2953,'[1]873'!$C$2:$C$711,1,0)</f>
        <v>839-2025</v>
      </c>
    </row>
    <row r="2954" spans="1:8" ht="15" customHeight="1" x14ac:dyDescent="0.25">
      <c r="A2954" s="2">
        <v>46014</v>
      </c>
      <c r="B2954">
        <v>2025004131</v>
      </c>
      <c r="C2954" t="s">
        <v>2280</v>
      </c>
      <c r="D2954" s="11">
        <v>3150000</v>
      </c>
      <c r="E2954" t="s">
        <v>2281</v>
      </c>
      <c r="F2954" t="s">
        <v>2282</v>
      </c>
      <c r="G2954" t="s">
        <v>1755</v>
      </c>
      <c r="H2954" t="str">
        <f>VLOOKUP(C2954,'[1]873'!$C$2:$C$711,1,0)</f>
        <v>938-2025</v>
      </c>
    </row>
    <row r="2955" spans="1:8" ht="15" customHeight="1" x14ac:dyDescent="0.25">
      <c r="A2955" s="2">
        <v>46014</v>
      </c>
      <c r="B2955">
        <v>2025004133</v>
      </c>
      <c r="C2955" t="s">
        <v>2401</v>
      </c>
      <c r="D2955" s="11">
        <v>3150000</v>
      </c>
      <c r="E2955" t="s">
        <v>1728</v>
      </c>
      <c r="F2955" t="s">
        <v>2402</v>
      </c>
      <c r="G2955" t="s">
        <v>1755</v>
      </c>
      <c r="H2955" t="str">
        <f>VLOOKUP(C2955,'[1]873'!$C$2:$C$711,1,0)</f>
        <v>1128-2025</v>
      </c>
    </row>
    <row r="2956" spans="1:8" ht="15" customHeight="1" x14ac:dyDescent="0.25">
      <c r="A2956" s="2">
        <v>46014</v>
      </c>
      <c r="B2956">
        <v>2025004134</v>
      </c>
      <c r="C2956" t="s">
        <v>2435</v>
      </c>
      <c r="D2956" s="11">
        <v>7800000</v>
      </c>
      <c r="E2956" t="s">
        <v>2436</v>
      </c>
      <c r="F2956" t="s">
        <v>2437</v>
      </c>
      <c r="G2956" t="s">
        <v>1755</v>
      </c>
      <c r="H2956" t="str">
        <f>VLOOKUP(C2956,'[1]873'!$C$2:$C$711,1,0)</f>
        <v>1158-2025</v>
      </c>
    </row>
    <row r="2957" spans="1:8" ht="15" customHeight="1" x14ac:dyDescent="0.25">
      <c r="A2957" s="2">
        <v>46014</v>
      </c>
      <c r="B2957">
        <v>2025004135</v>
      </c>
      <c r="C2957" t="s">
        <v>1935</v>
      </c>
      <c r="D2957" s="11">
        <v>3150000</v>
      </c>
      <c r="E2957" t="s">
        <v>2061</v>
      </c>
      <c r="F2957" t="s">
        <v>1936</v>
      </c>
      <c r="G2957" t="s">
        <v>1755</v>
      </c>
      <c r="H2957" t="str">
        <f>VLOOKUP(C2957,'[1]873'!$C$2:$C$711,1,0)</f>
        <v>897-2025</v>
      </c>
    </row>
    <row r="2958" spans="1:8" ht="15" customHeight="1" x14ac:dyDescent="0.25">
      <c r="A2958" s="2">
        <v>46014</v>
      </c>
      <c r="B2958">
        <v>2025004136</v>
      </c>
      <c r="C2958" t="s">
        <v>1930</v>
      </c>
      <c r="D2958" s="11">
        <v>3150000</v>
      </c>
      <c r="E2958" t="s">
        <v>2100</v>
      </c>
      <c r="F2958" t="s">
        <v>1931</v>
      </c>
      <c r="G2958" t="s">
        <v>1755</v>
      </c>
      <c r="H2958" t="str">
        <f>VLOOKUP(C2958,'[1]873'!$C$2:$C$711,1,0)</f>
        <v>885-2025</v>
      </c>
    </row>
    <row r="2959" spans="1:8" ht="15" customHeight="1" x14ac:dyDescent="0.25">
      <c r="A2959" s="2">
        <v>46014</v>
      </c>
      <c r="B2959">
        <v>2025004137</v>
      </c>
      <c r="C2959" t="s">
        <v>2267</v>
      </c>
      <c r="D2959" s="11">
        <v>3150000</v>
      </c>
      <c r="E2959" t="s">
        <v>1696</v>
      </c>
      <c r="F2959" t="s">
        <v>123</v>
      </c>
      <c r="G2959" t="s">
        <v>1755</v>
      </c>
      <c r="H2959" t="str">
        <f>VLOOKUP(C2959,'[1]873'!$C$2:$C$711,1,0)</f>
        <v>963-2025</v>
      </c>
    </row>
    <row r="2960" spans="1:8" ht="15" customHeight="1" x14ac:dyDescent="0.25">
      <c r="A2960" s="2">
        <v>46014</v>
      </c>
      <c r="B2960">
        <v>2025004138</v>
      </c>
      <c r="C2960" t="s">
        <v>2432</v>
      </c>
      <c r="D2960" s="11">
        <v>2000000</v>
      </c>
      <c r="E2960" t="s">
        <v>2433</v>
      </c>
      <c r="F2960" t="s">
        <v>2434</v>
      </c>
      <c r="G2960" t="s">
        <v>1755</v>
      </c>
      <c r="H2960" t="str">
        <f>VLOOKUP(C2960,'[1]873'!$C$2:$C$711,1,0)</f>
        <v>1157-2025</v>
      </c>
    </row>
    <row r="2961" spans="1:8" ht="15" customHeight="1" x14ac:dyDescent="0.25">
      <c r="A2961" s="2">
        <v>46014</v>
      </c>
      <c r="B2961">
        <v>2025004140</v>
      </c>
      <c r="C2961" t="s">
        <v>1816</v>
      </c>
      <c r="D2961" s="11">
        <v>3150000</v>
      </c>
      <c r="E2961" t="s">
        <v>2101</v>
      </c>
      <c r="F2961" t="s">
        <v>1817</v>
      </c>
      <c r="G2961" t="s">
        <v>1755</v>
      </c>
      <c r="H2961" t="str">
        <f>VLOOKUP(C2961,'[1]873'!$C$2:$C$711,1,0)</f>
        <v>916-2025</v>
      </c>
    </row>
    <row r="2962" spans="1:8" ht="15" customHeight="1" x14ac:dyDescent="0.25">
      <c r="A2962" s="2">
        <v>46014</v>
      </c>
      <c r="B2962">
        <v>2025004141</v>
      </c>
      <c r="C2962" t="s">
        <v>2461</v>
      </c>
      <c r="D2962" s="11">
        <v>3150000</v>
      </c>
      <c r="E2962" t="s">
        <v>2462</v>
      </c>
      <c r="F2962" t="s">
        <v>2463</v>
      </c>
      <c r="G2962" t="s">
        <v>1755</v>
      </c>
      <c r="H2962" t="str">
        <f>VLOOKUP(C2962,'[1]873'!$C$2:$C$711,1,0)</f>
        <v>1094-2025</v>
      </c>
    </row>
    <row r="2963" spans="1:8" ht="15" customHeight="1" x14ac:dyDescent="0.25">
      <c r="A2963" s="2">
        <v>46014</v>
      </c>
      <c r="B2963">
        <v>2025004143</v>
      </c>
      <c r="C2963" t="s">
        <v>2184</v>
      </c>
      <c r="D2963" s="11">
        <v>6300000</v>
      </c>
      <c r="E2963" t="s">
        <v>2185</v>
      </c>
      <c r="F2963" t="s">
        <v>2186</v>
      </c>
      <c r="G2963" t="s">
        <v>1755</v>
      </c>
      <c r="H2963" t="str">
        <f>VLOOKUP(C2963,'[1]873'!$C$2:$C$711,1,0)</f>
        <v>945-2025</v>
      </c>
    </row>
    <row r="2964" spans="1:8" ht="15" customHeight="1" x14ac:dyDescent="0.25">
      <c r="A2964" s="2">
        <v>46014</v>
      </c>
      <c r="B2964">
        <v>2025004144</v>
      </c>
      <c r="C2964" t="s">
        <v>1932</v>
      </c>
      <c r="D2964" s="11">
        <v>7800000</v>
      </c>
      <c r="E2964" t="s">
        <v>2038</v>
      </c>
      <c r="F2964" t="s">
        <v>889</v>
      </c>
      <c r="G2964" t="s">
        <v>1755</v>
      </c>
      <c r="H2964" t="str">
        <f>VLOOKUP(C2964,'[1]873'!$C$2:$C$711,1,0)</f>
        <v>750-2025</v>
      </c>
    </row>
    <row r="2965" spans="1:8" ht="15" customHeight="1" x14ac:dyDescent="0.25">
      <c r="A2965" s="2">
        <v>46014</v>
      </c>
      <c r="B2965">
        <v>2025004145</v>
      </c>
      <c r="C2965" t="s">
        <v>1822</v>
      </c>
      <c r="D2965" s="11">
        <v>3150000</v>
      </c>
      <c r="E2965" t="s">
        <v>2099</v>
      </c>
      <c r="F2965" t="s">
        <v>1011</v>
      </c>
      <c r="G2965" t="s">
        <v>1755</v>
      </c>
      <c r="H2965" t="str">
        <f>VLOOKUP(C2965,'[1]873'!$C$2:$C$711,1,0)</f>
        <v>815-2025</v>
      </c>
    </row>
    <row r="2966" spans="1:8" ht="15" customHeight="1" x14ac:dyDescent="0.25">
      <c r="A2966" s="2">
        <v>46014</v>
      </c>
      <c r="B2966">
        <v>2025004161</v>
      </c>
      <c r="C2966" s="4" t="s">
        <v>2467</v>
      </c>
      <c r="D2966" s="11">
        <v>9450000</v>
      </c>
      <c r="E2966" t="s">
        <v>2468</v>
      </c>
      <c r="F2966" t="s">
        <v>2469</v>
      </c>
      <c r="G2966" t="s">
        <v>1755</v>
      </c>
      <c r="H2966" t="str">
        <f>VLOOKUP(C2966,'[1]873'!$C$2:$C$711,1,0)</f>
        <v>941-2025</v>
      </c>
    </row>
    <row r="2967" spans="1:8" ht="15" customHeight="1" x14ac:dyDescent="0.25">
      <c r="A2967" s="2">
        <v>46015</v>
      </c>
      <c r="B2967">
        <v>2025004163</v>
      </c>
      <c r="C2967" t="s">
        <v>2227</v>
      </c>
      <c r="D2967" s="11">
        <v>3150000</v>
      </c>
      <c r="E2967" t="s">
        <v>2228</v>
      </c>
      <c r="F2967" t="s">
        <v>431</v>
      </c>
      <c r="G2967" t="s">
        <v>1755</v>
      </c>
      <c r="H2967" t="str">
        <f>VLOOKUP(C2967,'[1]873'!$C$2:$C$711,1,0)</f>
        <v>952-2025</v>
      </c>
    </row>
    <row r="2968" spans="1:8" ht="15" customHeight="1" x14ac:dyDescent="0.25">
      <c r="A2968" s="20">
        <v>46021</v>
      </c>
      <c r="B2968">
        <v>2025004235</v>
      </c>
      <c r="C2968" t="s">
        <v>2390</v>
      </c>
      <c r="D2968" s="11">
        <v>70000000</v>
      </c>
      <c r="E2968">
        <v>900752343</v>
      </c>
      <c r="F2968" t="s">
        <v>2392</v>
      </c>
      <c r="G2968" t="s">
        <v>1755</v>
      </c>
      <c r="H2968" t="str">
        <f>VLOOKUP(C2968,'[1]873'!$C$2:$C$711,1,0)</f>
        <v>1016-2025</v>
      </c>
    </row>
    <row r="2969" spans="1:8" ht="15" customHeight="1" x14ac:dyDescent="0.25">
      <c r="A2969" s="20">
        <v>46021</v>
      </c>
      <c r="B2969">
        <v>2025004236</v>
      </c>
      <c r="C2969" t="s">
        <v>2393</v>
      </c>
      <c r="D2969" s="11">
        <v>93670000</v>
      </c>
      <c r="E2969">
        <v>900752343</v>
      </c>
      <c r="F2969" t="s">
        <v>2392</v>
      </c>
      <c r="G2969" t="s">
        <v>1755</v>
      </c>
      <c r="H2969" t="str">
        <f>VLOOKUP(C2969,'[1]873'!$C$2:$C$711,1,0)</f>
        <v>1017-2025</v>
      </c>
    </row>
    <row r="2970" spans="1:8" ht="15" customHeight="1" x14ac:dyDescent="0.25">
      <c r="A2970" s="20">
        <v>46021</v>
      </c>
      <c r="B2970">
        <v>2025004237</v>
      </c>
      <c r="C2970" t="s">
        <v>2423</v>
      </c>
      <c r="D2970" s="11">
        <v>70000000</v>
      </c>
      <c r="E2970">
        <v>900752343</v>
      </c>
      <c r="F2970" t="s">
        <v>2392</v>
      </c>
      <c r="G2970" t="s">
        <v>1755</v>
      </c>
      <c r="H2970" t="str">
        <f>VLOOKUP(C2970,'[1]873'!$C$2:$C$711,1,0)</f>
        <v>1018-2025</v>
      </c>
    </row>
    <row r="2971" spans="1:8" ht="15" customHeight="1" x14ac:dyDescent="0.25">
      <c r="A2971" s="2">
        <v>46063.7368055556</v>
      </c>
      <c r="B2971">
        <v>2026000111</v>
      </c>
      <c r="C2971" t="s">
        <v>2483</v>
      </c>
      <c r="D2971" s="11">
        <v>3150000</v>
      </c>
      <c r="E2971">
        <v>1085300095</v>
      </c>
      <c r="F2971" t="s">
        <v>201</v>
      </c>
      <c r="G2971" t="s">
        <v>1755</v>
      </c>
      <c r="H2971" t="str">
        <f>VLOOKUP(C2971,'[1]873'!$C$2:$C$711,1,0)</f>
        <v>078-2026</v>
      </c>
    </row>
    <row r="2972" spans="1:8" ht="15" customHeight="1" x14ac:dyDescent="0.25">
      <c r="A2972" s="2">
        <v>46072.370138888902</v>
      </c>
      <c r="B2972">
        <v>2026000141</v>
      </c>
      <c r="C2972" t="s">
        <v>2484</v>
      </c>
      <c r="D2972" s="11">
        <v>238752640</v>
      </c>
      <c r="E2972">
        <v>900752343</v>
      </c>
      <c r="F2972" t="s">
        <v>2392</v>
      </c>
      <c r="G2972" t="s">
        <v>1755</v>
      </c>
      <c r="H2972" t="str">
        <f>VLOOKUP(C2972,'[1]873'!$C$2:$C$711,1,0)</f>
        <v>094-2026</v>
      </c>
    </row>
    <row r="2973" spans="1:8" ht="15" customHeight="1" x14ac:dyDescent="0.25">
      <c r="A2973" s="2">
        <v>46072.370138888902</v>
      </c>
      <c r="B2973">
        <v>2026000142</v>
      </c>
      <c r="C2973" t="s">
        <v>2485</v>
      </c>
      <c r="D2973" s="11">
        <v>207105640</v>
      </c>
      <c r="E2973">
        <v>900752343</v>
      </c>
      <c r="F2973" t="s">
        <v>2392</v>
      </c>
      <c r="G2973" t="s">
        <v>1755</v>
      </c>
      <c r="H2973" t="str">
        <f>VLOOKUP(C2973,'[1]873'!$C$2:$C$711,1,0)</f>
        <v>095-2026</v>
      </c>
    </row>
    <row r="2974" spans="1:8" ht="15" customHeight="1" x14ac:dyDescent="0.25">
      <c r="A2974" s="2">
        <v>46072.692361111098</v>
      </c>
      <c r="B2974">
        <v>2026000152</v>
      </c>
      <c r="C2974" t="s">
        <v>2486</v>
      </c>
      <c r="D2974" s="11">
        <v>98453314</v>
      </c>
      <c r="E2974">
        <v>900994364</v>
      </c>
      <c r="F2974" t="s">
        <v>269</v>
      </c>
      <c r="G2974" t="s">
        <v>1755</v>
      </c>
      <c r="H2974" t="str">
        <f>VLOOKUP(C2974,'[1]873'!$C$2:$C$711,1,0)</f>
        <v>125-2026</v>
      </c>
    </row>
    <row r="2975" spans="1:8" ht="15" customHeight="1" x14ac:dyDescent="0.25">
      <c r="A2975" s="2">
        <v>46073.46875</v>
      </c>
      <c r="B2975">
        <v>2026000155</v>
      </c>
      <c r="C2975" t="s">
        <v>2474</v>
      </c>
      <c r="D2975" s="11">
        <v>4730000</v>
      </c>
      <c r="E2975">
        <v>1085340885</v>
      </c>
      <c r="F2975" t="s">
        <v>1142</v>
      </c>
      <c r="G2975" t="s">
        <v>1755</v>
      </c>
      <c r="H2975" t="str">
        <f>VLOOKUP(C2975,'[1]873'!$C$2:$C$711,1,0)</f>
        <v>118-2026</v>
      </c>
    </row>
    <row r="2976" spans="1:8" ht="15" customHeight="1" x14ac:dyDescent="0.25">
      <c r="A2976" s="2">
        <v>46076.463194444397</v>
      </c>
      <c r="B2976">
        <v>2026000159</v>
      </c>
      <c r="C2976" t="s">
        <v>2475</v>
      </c>
      <c r="D2976" s="11">
        <v>7800000</v>
      </c>
      <c r="E2976">
        <v>1085336362</v>
      </c>
      <c r="F2976" t="s">
        <v>41</v>
      </c>
      <c r="G2976" t="s">
        <v>1755</v>
      </c>
      <c r="H2976" t="str">
        <f>VLOOKUP(C2976,'[1]873'!$C$2:$C$711,1,0)</f>
        <v>071-2026</v>
      </c>
    </row>
    <row r="2977" spans="1:8" ht="15" customHeight="1" x14ac:dyDescent="0.25">
      <c r="A2977" s="2">
        <v>46076.465972222199</v>
      </c>
      <c r="B2977">
        <v>2026000160</v>
      </c>
      <c r="C2977" t="s">
        <v>2476</v>
      </c>
      <c r="D2977" s="11">
        <v>7800000</v>
      </c>
      <c r="E2977">
        <v>1085334279</v>
      </c>
      <c r="F2977" t="s">
        <v>1841</v>
      </c>
      <c r="G2977" t="s">
        <v>1755</v>
      </c>
      <c r="H2977" t="str">
        <f>VLOOKUP(C2977,'[1]873'!$C$2:$C$711,1,0)</f>
        <v>091-2026</v>
      </c>
    </row>
    <row r="2978" spans="1:8" ht="15" customHeight="1" x14ac:dyDescent="0.25">
      <c r="A2978" s="2">
        <v>46076.472222222197</v>
      </c>
      <c r="B2978">
        <v>2026000162</v>
      </c>
      <c r="C2978" t="s">
        <v>2477</v>
      </c>
      <c r="D2978" s="11">
        <v>3150000</v>
      </c>
      <c r="E2978">
        <v>1086329609</v>
      </c>
      <c r="F2978" t="s">
        <v>443</v>
      </c>
      <c r="G2978" t="s">
        <v>1755</v>
      </c>
      <c r="H2978" t="str">
        <f>VLOOKUP(C2978,'[1]873'!$C$2:$C$711,1,0)</f>
        <v>096-2026</v>
      </c>
    </row>
    <row r="2979" spans="1:8" ht="15" customHeight="1" x14ac:dyDescent="0.25">
      <c r="A2979" s="2">
        <v>46076.474305555603</v>
      </c>
      <c r="B2979">
        <v>2026000163</v>
      </c>
      <c r="C2979" t="s">
        <v>2478</v>
      </c>
      <c r="D2979" s="11">
        <v>3150000</v>
      </c>
      <c r="E2979">
        <v>1004235479</v>
      </c>
      <c r="F2979" t="s">
        <v>477</v>
      </c>
      <c r="G2979" t="s">
        <v>1755</v>
      </c>
      <c r="H2979" t="str">
        <f>VLOOKUP(C2979,'[1]873'!$C$2:$C$711,1,0)</f>
        <v>089-2026</v>
      </c>
    </row>
    <row r="2980" spans="1:8" ht="15" customHeight="1" x14ac:dyDescent="0.25">
      <c r="A2980" s="2">
        <v>46077.418749999997</v>
      </c>
      <c r="B2980">
        <v>2026000165</v>
      </c>
      <c r="C2980" s="4" t="s">
        <v>2479</v>
      </c>
      <c r="D2980" s="11">
        <v>6300000</v>
      </c>
      <c r="E2980">
        <v>1082748420</v>
      </c>
      <c r="F2980" t="s">
        <v>450</v>
      </c>
      <c r="G2980" t="s">
        <v>1755</v>
      </c>
      <c r="H2980" t="str">
        <f>VLOOKUP(C2980,'[1]873'!$C$2:$C$711,1,0)</f>
        <v>047-2026</v>
      </c>
    </row>
    <row r="2981" spans="1:8" ht="15" customHeight="1" x14ac:dyDescent="0.25">
      <c r="A2981" s="2">
        <v>46077.425000000003</v>
      </c>
      <c r="B2981">
        <v>2026000166</v>
      </c>
      <c r="C2981" s="4" t="s">
        <v>2480</v>
      </c>
      <c r="D2981" s="11">
        <v>3150000</v>
      </c>
      <c r="E2981">
        <v>1089458048</v>
      </c>
      <c r="F2981" t="s">
        <v>1865</v>
      </c>
      <c r="G2981" t="s">
        <v>1755</v>
      </c>
      <c r="H2981" t="str">
        <f>VLOOKUP(C2981,'[1]873'!$C$2:$C$711,1,0)</f>
        <v>049-2026</v>
      </c>
    </row>
    <row r="2982" spans="1:8" ht="15" customHeight="1" x14ac:dyDescent="0.25">
      <c r="A2982" s="2">
        <v>46077.438888888901</v>
      </c>
      <c r="B2982">
        <v>2026000167</v>
      </c>
      <c r="C2982" s="4" t="s">
        <v>2481</v>
      </c>
      <c r="D2982" s="11">
        <v>7800000</v>
      </c>
      <c r="E2982">
        <v>1087006619</v>
      </c>
      <c r="F2982" t="s">
        <v>1218</v>
      </c>
      <c r="G2982" t="s">
        <v>1755</v>
      </c>
      <c r="H2982" t="str">
        <f>VLOOKUP(C2982,'[1]873'!$C$2:$C$711,1,0)</f>
        <v>087-2026</v>
      </c>
    </row>
    <row r="2983" spans="1:8" ht="15" customHeight="1" x14ac:dyDescent="0.25">
      <c r="A2983" s="2">
        <v>46079.436805555597</v>
      </c>
      <c r="B2983">
        <v>2026000169</v>
      </c>
      <c r="C2983" t="s">
        <v>2487</v>
      </c>
      <c r="D2983" s="11">
        <v>3150000</v>
      </c>
      <c r="E2983">
        <v>1085339190</v>
      </c>
      <c r="F2983" t="s">
        <v>149</v>
      </c>
      <c r="G2983" t="s">
        <v>1755</v>
      </c>
      <c r="H2983" t="str">
        <f>VLOOKUP(C2983,'[1]873'!$C$2:$C$711,1,0)</f>
        <v>077-2026</v>
      </c>
    </row>
    <row r="2984" spans="1:8" ht="15" customHeight="1" x14ac:dyDescent="0.25">
      <c r="A2984" s="2">
        <v>46079.438888888901</v>
      </c>
      <c r="B2984">
        <v>2026000170</v>
      </c>
      <c r="C2984" t="s">
        <v>2488</v>
      </c>
      <c r="D2984" s="11">
        <v>4730000</v>
      </c>
      <c r="E2984">
        <v>36759759</v>
      </c>
      <c r="F2984" t="s">
        <v>705</v>
      </c>
      <c r="G2984" t="s">
        <v>1755</v>
      </c>
      <c r="H2984" t="str">
        <f>VLOOKUP(C2984,'[1]873'!$C$2:$C$711,1,0)</f>
        <v>075-2026</v>
      </c>
    </row>
    <row r="2985" spans="1:8" ht="15" customHeight="1" x14ac:dyDescent="0.25">
      <c r="A2985" s="2">
        <v>46079.441666666702</v>
      </c>
      <c r="B2985">
        <v>2026000171</v>
      </c>
      <c r="C2985" t="s">
        <v>2489</v>
      </c>
      <c r="D2985" s="11">
        <v>3150000</v>
      </c>
      <c r="E2985">
        <v>1010082397</v>
      </c>
      <c r="F2985" t="s">
        <v>209</v>
      </c>
      <c r="G2985" t="s">
        <v>1755</v>
      </c>
      <c r="H2985" t="str">
        <f>VLOOKUP(C2985,'[1]873'!$C$2:$C$711,1,0)</f>
        <v>085-2026</v>
      </c>
    </row>
    <row r="2986" spans="1:8" ht="15" customHeight="1" x14ac:dyDescent="0.25">
      <c r="A2986" s="2">
        <v>46079.443749999999</v>
      </c>
      <c r="B2986">
        <v>2026000172</v>
      </c>
      <c r="C2986" t="s">
        <v>2490</v>
      </c>
      <c r="D2986" s="11">
        <v>6300000</v>
      </c>
      <c r="E2986">
        <v>1085275879</v>
      </c>
      <c r="F2986" t="s">
        <v>117</v>
      </c>
      <c r="G2986" t="s">
        <v>1755</v>
      </c>
      <c r="H2986" t="str">
        <f>VLOOKUP(C2986,'[1]873'!$C$2:$C$711,1,0)</f>
        <v>057-2026</v>
      </c>
    </row>
    <row r="2987" spans="1:8" ht="15" customHeight="1" x14ac:dyDescent="0.25">
      <c r="A2987" s="2">
        <v>46079.445833333302</v>
      </c>
      <c r="B2987">
        <v>2026000173</v>
      </c>
      <c r="C2987" t="s">
        <v>2491</v>
      </c>
      <c r="D2987" s="11">
        <v>4730000</v>
      </c>
      <c r="E2987">
        <v>1085264667</v>
      </c>
      <c r="F2987" t="s">
        <v>464</v>
      </c>
      <c r="G2987" t="s">
        <v>1755</v>
      </c>
      <c r="H2987" t="str">
        <f>VLOOKUP(C2987,'[1]873'!$C$2:$C$711,1,0)</f>
        <v>097-2026</v>
      </c>
    </row>
    <row r="2988" spans="1:8" ht="15" customHeight="1" x14ac:dyDescent="0.25">
      <c r="A2988" s="2">
        <v>46079.447916666701</v>
      </c>
      <c r="B2988">
        <v>2026000174</v>
      </c>
      <c r="C2988" t="s">
        <v>2492</v>
      </c>
      <c r="D2988" s="11">
        <v>3150000</v>
      </c>
      <c r="E2988">
        <v>1085338921</v>
      </c>
      <c r="F2988" t="s">
        <v>2441</v>
      </c>
      <c r="G2988" t="s">
        <v>1755</v>
      </c>
      <c r="H2988" t="str">
        <f>VLOOKUP(C2988,'[1]873'!$C$2:$C$711,1,0)</f>
        <v>080-2026</v>
      </c>
    </row>
    <row r="2989" spans="1:8" ht="15" customHeight="1" x14ac:dyDescent="0.25">
      <c r="A2989" s="2">
        <v>46079.6381944444</v>
      </c>
      <c r="B2989">
        <v>2026000175</v>
      </c>
      <c r="C2989" t="s">
        <v>2493</v>
      </c>
      <c r="D2989" s="11">
        <v>7800000</v>
      </c>
      <c r="E2989">
        <v>1233189066</v>
      </c>
      <c r="F2989" t="s">
        <v>239</v>
      </c>
      <c r="G2989" t="s">
        <v>1755</v>
      </c>
      <c r="H2989" t="str">
        <f>VLOOKUP(C2989,'[1]873'!$C$2:$C$711,1,0)</f>
        <v>064-2026</v>
      </c>
    </row>
    <row r="2990" spans="1:8" ht="15" customHeight="1" x14ac:dyDescent="0.25">
      <c r="A2990" s="2">
        <v>46079.451388888898</v>
      </c>
      <c r="B2990">
        <v>2026000176</v>
      </c>
      <c r="C2990" t="s">
        <v>2494</v>
      </c>
      <c r="D2990" s="11">
        <v>4730000</v>
      </c>
      <c r="E2990">
        <v>59816986</v>
      </c>
      <c r="F2990" t="s">
        <v>415</v>
      </c>
      <c r="G2990" t="s">
        <v>1755</v>
      </c>
      <c r="H2990" t="str">
        <f>VLOOKUP(C2990,'[1]873'!$C$2:$C$711,1,0)</f>
        <v>067-2026</v>
      </c>
    </row>
    <row r="2991" spans="1:8" ht="15" customHeight="1" x14ac:dyDescent="0.25">
      <c r="A2991" s="2">
        <v>46079.453472222202</v>
      </c>
      <c r="B2991">
        <v>2026000177</v>
      </c>
      <c r="C2991" t="s">
        <v>2495</v>
      </c>
      <c r="D2991" s="11">
        <v>3150000</v>
      </c>
      <c r="E2991">
        <v>1085331508</v>
      </c>
      <c r="F2991" t="s">
        <v>35</v>
      </c>
      <c r="G2991" t="s">
        <v>1755</v>
      </c>
      <c r="H2991" t="str">
        <f>VLOOKUP(C2991,'[1]873'!$C$2:$C$711,1,0)</f>
        <v>092-2026</v>
      </c>
    </row>
    <row r="2992" spans="1:8" ht="15" customHeight="1" x14ac:dyDescent="0.25">
      <c r="A2992" s="2">
        <v>46079.4555555556</v>
      </c>
      <c r="B2992">
        <v>2026000178</v>
      </c>
      <c r="C2992" t="s">
        <v>2496</v>
      </c>
      <c r="D2992" s="11">
        <v>3150000</v>
      </c>
      <c r="E2992">
        <v>36752202</v>
      </c>
      <c r="F2992" t="s">
        <v>263</v>
      </c>
      <c r="G2992" t="s">
        <v>1755</v>
      </c>
      <c r="H2992" t="str">
        <f>VLOOKUP(C2992,'[1]873'!$C$2:$C$711,1,0)</f>
        <v>052-2026</v>
      </c>
    </row>
    <row r="2993" spans="1:8" ht="15" customHeight="1" x14ac:dyDescent="0.25">
      <c r="A2993" s="2">
        <v>46079.456944444399</v>
      </c>
      <c r="B2993">
        <v>2026000179</v>
      </c>
      <c r="C2993" t="s">
        <v>2497</v>
      </c>
      <c r="D2993" s="11">
        <v>4730000</v>
      </c>
      <c r="E2993">
        <v>1085343783</v>
      </c>
      <c r="F2993" t="s">
        <v>735</v>
      </c>
      <c r="G2993" t="s">
        <v>1755</v>
      </c>
      <c r="H2993" t="str">
        <f>VLOOKUP(C2993,'[1]873'!$C$2:$C$711,1,0)</f>
        <v>088-2026</v>
      </c>
    </row>
    <row r="2994" spans="1:8" ht="15" customHeight="1" x14ac:dyDescent="0.25">
      <c r="A2994" s="2">
        <v>46079.472222222197</v>
      </c>
      <c r="B2994">
        <v>2026000180</v>
      </c>
      <c r="C2994" t="s">
        <v>2498</v>
      </c>
      <c r="D2994" s="11">
        <v>7800000</v>
      </c>
      <c r="E2994">
        <v>80765093</v>
      </c>
      <c r="F2994" t="s">
        <v>69</v>
      </c>
      <c r="G2994" t="s">
        <v>1755</v>
      </c>
      <c r="H2994" t="str">
        <f>VLOOKUP(C2994,'[1]873'!$C$2:$C$711,1,0)</f>
        <v>065-2026</v>
      </c>
    </row>
    <row r="2995" spans="1:8" ht="15" customHeight="1" x14ac:dyDescent="0.25">
      <c r="A2995" s="2">
        <v>46079.461111111101</v>
      </c>
      <c r="B2995">
        <v>2026000181</v>
      </c>
      <c r="C2995" t="s">
        <v>2499</v>
      </c>
      <c r="D2995" s="11">
        <v>7800000</v>
      </c>
      <c r="E2995">
        <v>1006946167</v>
      </c>
      <c r="F2995" t="s">
        <v>63</v>
      </c>
      <c r="G2995" t="s">
        <v>1755</v>
      </c>
      <c r="H2995" t="str">
        <f>VLOOKUP(C2995,'[1]873'!$C$2:$C$711,1,0)</f>
        <v>072-2026</v>
      </c>
    </row>
    <row r="2996" spans="1:8" ht="15" customHeight="1" x14ac:dyDescent="0.25">
      <c r="A2996" s="2">
        <v>46079.462500000001</v>
      </c>
      <c r="B2996">
        <v>2026000182</v>
      </c>
      <c r="C2996" t="s">
        <v>2500</v>
      </c>
      <c r="D2996" s="11">
        <v>4730000</v>
      </c>
      <c r="E2996">
        <v>1193383306</v>
      </c>
      <c r="F2996" t="s">
        <v>267</v>
      </c>
      <c r="G2996" t="s">
        <v>1755</v>
      </c>
      <c r="H2996" t="str">
        <f>VLOOKUP(C2996,'[1]873'!$C$2:$C$711,1,0)</f>
        <v>084-2026</v>
      </c>
    </row>
    <row r="2997" spans="1:8" ht="15" customHeight="1" x14ac:dyDescent="0.25">
      <c r="A2997" s="2">
        <v>46079.587500000001</v>
      </c>
      <c r="B2997">
        <v>2026000184</v>
      </c>
      <c r="C2997" t="s">
        <v>2501</v>
      </c>
      <c r="D2997" s="11">
        <v>3150000</v>
      </c>
      <c r="E2997">
        <v>1004190751</v>
      </c>
      <c r="F2997" t="s">
        <v>2380</v>
      </c>
      <c r="G2997" t="s">
        <v>1755</v>
      </c>
      <c r="H2997" t="str">
        <f>VLOOKUP(C2997,'[1]873'!$C$2:$C$711,1,0)</f>
        <v>110-2026</v>
      </c>
    </row>
    <row r="2998" spans="1:8" ht="15" customHeight="1" x14ac:dyDescent="0.25">
      <c r="A2998" s="2">
        <v>46079.589583333298</v>
      </c>
      <c r="B2998">
        <v>2026000185</v>
      </c>
      <c r="C2998" t="s">
        <v>2502</v>
      </c>
      <c r="D2998" s="11">
        <v>3150000</v>
      </c>
      <c r="E2998">
        <v>1137624011</v>
      </c>
      <c r="F2998" t="s">
        <v>243</v>
      </c>
      <c r="G2998" t="s">
        <v>1755</v>
      </c>
      <c r="H2998" t="str">
        <f>VLOOKUP(C2998,'[1]873'!$C$2:$C$711,1,0)</f>
        <v>081-2026</v>
      </c>
    </row>
    <row r="2999" spans="1:8" ht="15" customHeight="1" x14ac:dyDescent="0.25">
      <c r="A2999" s="2">
        <v>46079.595138888901</v>
      </c>
      <c r="B2999">
        <v>2026000186</v>
      </c>
      <c r="C2999" t="s">
        <v>2503</v>
      </c>
      <c r="D2999" s="11">
        <v>7800000</v>
      </c>
      <c r="E2999">
        <v>1089846684</v>
      </c>
      <c r="F2999" t="s">
        <v>1813</v>
      </c>
      <c r="G2999" t="s">
        <v>1755</v>
      </c>
      <c r="H2999" t="str">
        <f>VLOOKUP(C2999,'[1]873'!$C$2:$C$711,1,0)</f>
        <v>113-2026</v>
      </c>
    </row>
    <row r="3000" spans="1:8" ht="15" customHeight="1" x14ac:dyDescent="0.25">
      <c r="A3000" s="2">
        <v>46079.597916666702</v>
      </c>
      <c r="B3000">
        <v>2026000187</v>
      </c>
      <c r="C3000" t="s">
        <v>2504</v>
      </c>
      <c r="D3000" s="11">
        <v>4730000</v>
      </c>
      <c r="E3000">
        <v>1087413951</v>
      </c>
      <c r="F3000" t="s">
        <v>95</v>
      </c>
      <c r="G3000" t="s">
        <v>1755</v>
      </c>
      <c r="H3000" t="str">
        <f>VLOOKUP(C3000,'[1]873'!$C$2:$C$711,1,0)</f>
        <v>100-2026</v>
      </c>
    </row>
    <row r="3001" spans="1:8" ht="15" customHeight="1" x14ac:dyDescent="0.25">
      <c r="A3001" s="2">
        <v>46079.608333333301</v>
      </c>
      <c r="B3001">
        <v>2026000188</v>
      </c>
      <c r="C3001" t="s">
        <v>2505</v>
      </c>
      <c r="D3001" s="11">
        <v>3150000</v>
      </c>
      <c r="E3001">
        <v>37082272</v>
      </c>
      <c r="F3001" t="s">
        <v>1817</v>
      </c>
      <c r="G3001" t="s">
        <v>1755</v>
      </c>
      <c r="H3001" t="str">
        <f>VLOOKUP(C3001,'[1]873'!$C$2:$C$711,1,0)</f>
        <v>107-2026</v>
      </c>
    </row>
    <row r="3002" spans="1:8" ht="15" customHeight="1" x14ac:dyDescent="0.25">
      <c r="A3002" s="2">
        <v>46079.611111111102</v>
      </c>
      <c r="B3002">
        <v>2026000189</v>
      </c>
      <c r="C3002" t="s">
        <v>2506</v>
      </c>
      <c r="D3002" s="11">
        <v>4730000</v>
      </c>
      <c r="E3002">
        <v>1085260497</v>
      </c>
      <c r="F3002" t="s">
        <v>429</v>
      </c>
      <c r="G3002" t="s">
        <v>1755</v>
      </c>
      <c r="H3002" t="str">
        <f>VLOOKUP(C3002,'[1]873'!$C$2:$C$711,1,0)</f>
        <v>123-2026</v>
      </c>
    </row>
    <row r="3003" spans="1:8" ht="15" customHeight="1" x14ac:dyDescent="0.25">
      <c r="A3003" s="2">
        <v>46079.614583333299</v>
      </c>
      <c r="B3003">
        <v>2026000190</v>
      </c>
      <c r="C3003" t="s">
        <v>2507</v>
      </c>
      <c r="D3003" s="11">
        <v>3150000</v>
      </c>
      <c r="E3003">
        <v>1233193191</v>
      </c>
      <c r="F3003" t="s">
        <v>1951</v>
      </c>
      <c r="G3003" t="s">
        <v>1755</v>
      </c>
      <c r="H3003" t="str">
        <f>VLOOKUP(C3003,'[1]873'!$C$2:$C$711,1,0)</f>
        <v>046-2026</v>
      </c>
    </row>
    <row r="3004" spans="1:8" ht="15" customHeight="1" x14ac:dyDescent="0.25">
      <c r="A3004" s="2">
        <v>46079.618055555598</v>
      </c>
      <c r="B3004">
        <v>2026000191</v>
      </c>
      <c r="C3004" t="s">
        <v>2508</v>
      </c>
      <c r="D3004" s="11">
        <v>3150000</v>
      </c>
      <c r="E3004">
        <v>1089458776</v>
      </c>
      <c r="F3004" t="s">
        <v>1843</v>
      </c>
      <c r="G3004" t="s">
        <v>1755</v>
      </c>
      <c r="H3004" t="str">
        <f>VLOOKUP(C3004,'[1]873'!$C$2:$C$711,1,0)</f>
        <v>011-2026</v>
      </c>
    </row>
    <row r="3005" spans="1:8" ht="15" customHeight="1" x14ac:dyDescent="0.25">
      <c r="A3005" s="2">
        <v>46079.621527777803</v>
      </c>
      <c r="B3005">
        <v>2026000192</v>
      </c>
      <c r="C3005" t="s">
        <v>2509</v>
      </c>
      <c r="D3005" s="11">
        <v>3150000</v>
      </c>
      <c r="E3005">
        <v>1085269090</v>
      </c>
      <c r="F3005" t="s">
        <v>371</v>
      </c>
      <c r="G3005" t="s">
        <v>1755</v>
      </c>
      <c r="H3005" t="str">
        <f>VLOOKUP(C3005,'[1]873'!$C$2:$C$711,1,0)</f>
        <v>093-2026</v>
      </c>
    </row>
    <row r="3006" spans="1:8" ht="15" customHeight="1" x14ac:dyDescent="0.25">
      <c r="A3006" s="2">
        <v>46079.624305555597</v>
      </c>
      <c r="B3006">
        <v>2026000193</v>
      </c>
      <c r="C3006" t="s">
        <v>2510</v>
      </c>
      <c r="D3006" s="11">
        <v>4730000</v>
      </c>
      <c r="E3006">
        <v>1085318684</v>
      </c>
      <c r="F3006" t="s">
        <v>355</v>
      </c>
      <c r="G3006" t="s">
        <v>1755</v>
      </c>
      <c r="H3006" t="str">
        <f>VLOOKUP(C3006,'[1]873'!$C$2:$C$711,1,0)</f>
        <v>102-2026</v>
      </c>
    </row>
    <row r="3007" spans="1:8" ht="15" customHeight="1" x14ac:dyDescent="0.25">
      <c r="A3007" s="2">
        <v>46079.636805555601</v>
      </c>
      <c r="B3007">
        <v>2026000194</v>
      </c>
      <c r="C3007" t="s">
        <v>2511</v>
      </c>
      <c r="D3007" s="11">
        <v>6300000</v>
      </c>
      <c r="E3007">
        <v>1193223736</v>
      </c>
      <c r="F3007" t="s">
        <v>670</v>
      </c>
      <c r="G3007" t="s">
        <v>1755</v>
      </c>
      <c r="H3007" t="str">
        <f>VLOOKUP(C3007,'[1]873'!$C$2:$C$711,1,0)</f>
        <v>109-2026</v>
      </c>
    </row>
    <row r="3008" spans="1:8" ht="15" customHeight="1" x14ac:dyDescent="0.25">
      <c r="A3008" s="2">
        <v>46079.645833333299</v>
      </c>
      <c r="B3008">
        <v>2026000195</v>
      </c>
      <c r="C3008" t="s">
        <v>2512</v>
      </c>
      <c r="D3008" s="11">
        <v>3150000</v>
      </c>
      <c r="E3008">
        <v>1085325325</v>
      </c>
      <c r="F3008" t="s">
        <v>682</v>
      </c>
      <c r="G3008" t="s">
        <v>1755</v>
      </c>
      <c r="H3008" t="str">
        <f>VLOOKUP(C3008,'[1]873'!$C$2:$C$711,1,0)</f>
        <v>056-2026</v>
      </c>
    </row>
    <row r="3009" spans="1:8" ht="15" customHeight="1" x14ac:dyDescent="0.25">
      <c r="A3009" s="2">
        <v>46079.652777777803</v>
      </c>
      <c r="B3009">
        <v>2026000196</v>
      </c>
      <c r="C3009" t="s">
        <v>2482</v>
      </c>
      <c r="D3009" s="11">
        <v>7800000</v>
      </c>
      <c r="E3009">
        <v>1010141840</v>
      </c>
      <c r="F3009" t="s">
        <v>2338</v>
      </c>
      <c r="G3009" t="s">
        <v>1755</v>
      </c>
      <c r="H3009" t="str">
        <f>VLOOKUP(C3009,'[1]873'!$C$2:$C$711,1,0)</f>
        <v>114-2026</v>
      </c>
    </row>
    <row r="3010" spans="1:8" ht="15" customHeight="1" x14ac:dyDescent="0.25">
      <c r="A3010" s="2">
        <v>46079.652083333298</v>
      </c>
      <c r="B3010">
        <v>2026000197</v>
      </c>
      <c r="C3010" t="s">
        <v>2513</v>
      </c>
      <c r="D3010" s="11">
        <v>3150000</v>
      </c>
      <c r="E3010">
        <v>1086328142</v>
      </c>
      <c r="F3010" t="s">
        <v>470</v>
      </c>
      <c r="G3010" t="s">
        <v>1755</v>
      </c>
      <c r="H3010" t="str">
        <f>VLOOKUP(C3010,'[1]873'!$C$2:$C$711,1,0)</f>
        <v>059-2026</v>
      </c>
    </row>
    <row r="3011" spans="1:8" ht="15" customHeight="1" x14ac:dyDescent="0.25">
      <c r="A3011" s="2">
        <v>46079.703472222202</v>
      </c>
      <c r="B3011">
        <v>2026000198</v>
      </c>
      <c r="C3011" t="s">
        <v>2514</v>
      </c>
      <c r="D3011" s="11">
        <v>3150000</v>
      </c>
      <c r="E3011">
        <v>37084285</v>
      </c>
      <c r="F3011" t="s">
        <v>119</v>
      </c>
      <c r="G3011" t="s">
        <v>1755</v>
      </c>
      <c r="H3011" t="str">
        <f>VLOOKUP(C3011,'[1]873'!$C$2:$C$711,1,0)</f>
        <v>060-2026</v>
      </c>
    </row>
    <row r="3012" spans="1:8" ht="15" customHeight="1" x14ac:dyDescent="0.25">
      <c r="A3012" s="2">
        <v>46079.706250000003</v>
      </c>
      <c r="B3012">
        <v>2026000199</v>
      </c>
      <c r="C3012" t="s">
        <v>2515</v>
      </c>
      <c r="D3012" s="11">
        <v>3150000</v>
      </c>
      <c r="E3012">
        <v>1082749295</v>
      </c>
      <c r="F3012" t="s">
        <v>1777</v>
      </c>
      <c r="G3012" t="s">
        <v>1755</v>
      </c>
      <c r="H3012" t="str">
        <f>VLOOKUP(C3012,'[1]873'!$C$2:$C$711,1,0)</f>
        <v>266-2026</v>
      </c>
    </row>
    <row r="3013" spans="1:8" ht="15" customHeight="1" x14ac:dyDescent="0.25">
      <c r="A3013" s="2">
        <v>46079.715972222199</v>
      </c>
      <c r="B3013">
        <v>2026000200</v>
      </c>
      <c r="C3013" t="s">
        <v>2516</v>
      </c>
      <c r="D3013" s="11">
        <v>3150000</v>
      </c>
      <c r="E3013">
        <v>1085317226</v>
      </c>
      <c r="F3013" t="s">
        <v>1759</v>
      </c>
      <c r="G3013" t="s">
        <v>1755</v>
      </c>
      <c r="H3013" t="str">
        <f>VLOOKUP(C3013,'[1]873'!$C$2:$C$711,1,0)</f>
        <v>281-2026</v>
      </c>
    </row>
    <row r="3014" spans="1:8" ht="15" customHeight="1" x14ac:dyDescent="0.25">
      <c r="A3014" s="2">
        <v>46079.725694444402</v>
      </c>
      <c r="B3014">
        <v>2026000201</v>
      </c>
      <c r="C3014" t="s">
        <v>2517</v>
      </c>
      <c r="D3014" s="11">
        <v>6300000</v>
      </c>
      <c r="E3014">
        <v>1086360087</v>
      </c>
      <c r="F3014" t="s">
        <v>2298</v>
      </c>
      <c r="G3014" t="s">
        <v>1755</v>
      </c>
      <c r="H3014" t="str">
        <f>VLOOKUP(C3014,'[1]873'!$C$2:$C$711,1,0)</f>
        <v>168-2026</v>
      </c>
    </row>
    <row r="3015" spans="1:8" ht="15" customHeight="1" x14ac:dyDescent="0.25">
      <c r="A3015" s="2">
        <v>46080.406944444403</v>
      </c>
      <c r="B3015">
        <v>2026000203</v>
      </c>
      <c r="C3015" t="s">
        <v>2518</v>
      </c>
      <c r="D3015" s="11">
        <v>4730000</v>
      </c>
      <c r="E3015">
        <v>27087475</v>
      </c>
      <c r="F3015" t="s">
        <v>571</v>
      </c>
      <c r="G3015" t="s">
        <v>1755</v>
      </c>
      <c r="H3015" t="str">
        <f>VLOOKUP(C3015,'[1]873'!$C$2:$C$711,1,0)</f>
        <v>101-2026</v>
      </c>
    </row>
    <row r="3016" spans="1:8" ht="15" customHeight="1" x14ac:dyDescent="0.25">
      <c r="A3016" s="2">
        <v>46080.405555555597</v>
      </c>
      <c r="B3016">
        <v>2026000204</v>
      </c>
      <c r="C3016" t="s">
        <v>2519</v>
      </c>
      <c r="D3016" s="11">
        <v>3150000</v>
      </c>
      <c r="E3016">
        <v>1085344795</v>
      </c>
      <c r="F3016" t="s">
        <v>1242</v>
      </c>
      <c r="G3016" t="s">
        <v>1755</v>
      </c>
      <c r="H3016" t="str">
        <f>VLOOKUP(C3016,'[1]873'!$C$2:$C$711,1,0)</f>
        <v>090-2026</v>
      </c>
    </row>
    <row r="3017" spans="1:8" ht="15" customHeight="1" x14ac:dyDescent="0.25">
      <c r="A3017" s="2">
        <v>46080.409722222197</v>
      </c>
      <c r="B3017">
        <v>2026000205</v>
      </c>
      <c r="C3017" t="s">
        <v>2520</v>
      </c>
      <c r="D3017" s="11">
        <v>3150000</v>
      </c>
      <c r="E3017">
        <v>59833899</v>
      </c>
      <c r="F3017" t="s">
        <v>467</v>
      </c>
      <c r="G3017" t="s">
        <v>1755</v>
      </c>
      <c r="H3017" t="str">
        <f>VLOOKUP(C3017,'[1]873'!$C$2:$C$711,1,0)</f>
        <v>074-2026</v>
      </c>
    </row>
    <row r="3018" spans="1:8" ht="15" customHeight="1" x14ac:dyDescent="0.25">
      <c r="A3018" s="2">
        <v>46080.411805555603</v>
      </c>
      <c r="B3018">
        <v>2026000206</v>
      </c>
      <c r="C3018" t="s">
        <v>2521</v>
      </c>
      <c r="D3018" s="11">
        <v>4730000</v>
      </c>
      <c r="E3018">
        <v>36756149</v>
      </c>
      <c r="F3018" t="s">
        <v>1825</v>
      </c>
      <c r="G3018" t="s">
        <v>1755</v>
      </c>
      <c r="H3018" t="str">
        <f>VLOOKUP(C3018,'[1]873'!$C$2:$C$711,1,0)</f>
        <v>068-2026</v>
      </c>
    </row>
    <row r="3019" spans="1:8" ht="15" customHeight="1" x14ac:dyDescent="0.25">
      <c r="A3019" s="2">
        <v>46080.65625</v>
      </c>
      <c r="B3019">
        <v>2026000207</v>
      </c>
      <c r="C3019" t="s">
        <v>2522</v>
      </c>
      <c r="D3019" s="11">
        <v>6300000</v>
      </c>
      <c r="E3019">
        <v>1085286476</v>
      </c>
      <c r="F3019" t="s">
        <v>385</v>
      </c>
      <c r="G3019" t="s">
        <v>1755</v>
      </c>
      <c r="H3019" t="str">
        <f>VLOOKUP(C3019,'[1]873'!$C$2:$C$711,1,0)</f>
        <v>173-2026</v>
      </c>
    </row>
    <row r="3020" spans="1:8" ht="15" customHeight="1" x14ac:dyDescent="0.25">
      <c r="A3020" s="2">
        <v>46080.658333333296</v>
      </c>
      <c r="B3020">
        <v>2026000208</v>
      </c>
      <c r="C3020" t="s">
        <v>2523</v>
      </c>
      <c r="D3020" s="11">
        <v>3150000</v>
      </c>
      <c r="E3020">
        <v>1233189234</v>
      </c>
      <c r="F3020" t="s">
        <v>87</v>
      </c>
      <c r="G3020" t="s">
        <v>1755</v>
      </c>
      <c r="H3020" t="str">
        <f>VLOOKUP(C3020,'[1]873'!$C$2:$C$711,1,0)</f>
        <v>053-2026</v>
      </c>
    </row>
    <row r="3021" spans="1:8" ht="15" customHeight="1" x14ac:dyDescent="0.25">
      <c r="A3021" s="2">
        <v>46080.654861111099</v>
      </c>
      <c r="B3021">
        <v>2026000209</v>
      </c>
      <c r="C3021" t="s">
        <v>2524</v>
      </c>
      <c r="D3021" s="11">
        <v>4730000</v>
      </c>
      <c r="E3021">
        <v>1087960287</v>
      </c>
      <c r="F3021" t="s">
        <v>1859</v>
      </c>
      <c r="G3021" t="s">
        <v>1755</v>
      </c>
      <c r="H3021" t="str">
        <f>VLOOKUP(C3021,'[1]873'!$C$2:$C$711,1,0)</f>
        <v>209-2026</v>
      </c>
    </row>
    <row r="3022" spans="1:8" ht="15" customHeight="1" x14ac:dyDescent="0.25">
      <c r="A3022" s="2">
        <v>46080.653472222199</v>
      </c>
      <c r="B3022">
        <v>2026000210</v>
      </c>
      <c r="C3022" t="s">
        <v>2525</v>
      </c>
      <c r="D3022" s="11">
        <v>3150000</v>
      </c>
      <c r="E3022">
        <v>1004543161</v>
      </c>
      <c r="F3022" t="s">
        <v>1991</v>
      </c>
      <c r="G3022" t="s">
        <v>1755</v>
      </c>
      <c r="H3022" t="str">
        <f>VLOOKUP(C3022,'[1]873'!$C$2:$C$711,1,0)</f>
        <v>157-2026</v>
      </c>
    </row>
    <row r="3023" spans="1:8" ht="15" customHeight="1" x14ac:dyDescent="0.25">
      <c r="A3023" s="2">
        <v>46080.326388888891</v>
      </c>
      <c r="B3023">
        <v>2026000211</v>
      </c>
      <c r="C3023" t="s">
        <v>2526</v>
      </c>
      <c r="D3023" s="11">
        <v>3150000</v>
      </c>
      <c r="E3023">
        <v>1081272656</v>
      </c>
      <c r="F3023" t="s">
        <v>963</v>
      </c>
      <c r="G3023" t="s">
        <v>1755</v>
      </c>
      <c r="H3023" t="str">
        <f>VLOOKUP(C3023,'[1]873'!$C$2:$C$711,1,0)</f>
        <v>261-2026</v>
      </c>
    </row>
    <row r="3024" spans="1:8" ht="15" customHeight="1" x14ac:dyDescent="0.25">
      <c r="A3024" s="2">
        <v>46080.652083333298</v>
      </c>
      <c r="B3024">
        <v>2026000212</v>
      </c>
      <c r="C3024" t="s">
        <v>2527</v>
      </c>
      <c r="D3024" s="11">
        <v>3150000</v>
      </c>
      <c r="E3024">
        <v>1085317833</v>
      </c>
      <c r="F3024" t="s">
        <v>11</v>
      </c>
      <c r="G3024" t="s">
        <v>1755</v>
      </c>
      <c r="H3024" t="str">
        <f>VLOOKUP(C3024,'[1]873'!$C$2:$C$711,1,0)</f>
        <v>111-2026</v>
      </c>
    </row>
    <row r="3025" spans="1:8" ht="15" customHeight="1" x14ac:dyDescent="0.25">
      <c r="A3025" s="2">
        <v>46083.595833333296</v>
      </c>
      <c r="B3025">
        <v>2026000213</v>
      </c>
      <c r="C3025" t="s">
        <v>2528</v>
      </c>
      <c r="D3025" s="11">
        <v>7800000</v>
      </c>
      <c r="E3025">
        <v>1086331521</v>
      </c>
      <c r="F3025" t="s">
        <v>2418</v>
      </c>
      <c r="G3025" t="s">
        <v>1755</v>
      </c>
      <c r="H3025" t="str">
        <f>VLOOKUP(C3025,'[1]873'!$C$2:$C$711,1,0)</f>
        <v>082-2026</v>
      </c>
    </row>
    <row r="3026" spans="1:8" ht="15" customHeight="1" x14ac:dyDescent="0.25">
      <c r="A3026" s="2">
        <v>46083.6027777778</v>
      </c>
      <c r="B3026">
        <v>2026000214</v>
      </c>
      <c r="C3026" t="s">
        <v>2529</v>
      </c>
      <c r="D3026" s="11">
        <v>7800000</v>
      </c>
      <c r="E3026">
        <v>1233193882</v>
      </c>
      <c r="F3026" t="s">
        <v>889</v>
      </c>
      <c r="G3026" t="s">
        <v>1755</v>
      </c>
      <c r="H3026" t="str">
        <f>VLOOKUP(C3026,'[1]873'!$C$2:$C$711,1,0)</f>
        <v>083-2026</v>
      </c>
    </row>
    <row r="3027" spans="1:8" ht="15" customHeight="1" x14ac:dyDescent="0.25">
      <c r="A3027" s="2">
        <v>46083.607638888898</v>
      </c>
      <c r="B3027">
        <v>2026000215</v>
      </c>
      <c r="C3027" t="s">
        <v>2530</v>
      </c>
      <c r="D3027" s="11">
        <v>3150000</v>
      </c>
      <c r="E3027">
        <v>1085252263</v>
      </c>
      <c r="F3027" t="s">
        <v>33</v>
      </c>
      <c r="G3027" t="s">
        <v>1755</v>
      </c>
      <c r="H3027" t="str">
        <f>VLOOKUP(C3027,'[1]873'!$C$2:$C$711,1,0)</f>
        <v>048-2026</v>
      </c>
    </row>
    <row r="3028" spans="1:8" ht="15" customHeight="1" x14ac:dyDescent="0.25">
      <c r="A3028" s="2">
        <v>46083.6118055556</v>
      </c>
      <c r="B3028">
        <v>2026000216</v>
      </c>
      <c r="C3028" t="s">
        <v>2531</v>
      </c>
      <c r="D3028" s="11">
        <v>3150000</v>
      </c>
      <c r="E3028">
        <v>1089243630</v>
      </c>
      <c r="F3028" t="s">
        <v>197</v>
      </c>
      <c r="G3028" t="s">
        <v>1755</v>
      </c>
      <c r="H3028" t="str">
        <f>VLOOKUP(C3028,'[1]873'!$C$2:$C$711,1,0)</f>
        <v>023-2026</v>
      </c>
    </row>
    <row r="3029" spans="1:8" ht="15" customHeight="1" x14ac:dyDescent="0.25">
      <c r="A3029" s="2">
        <v>46083.625</v>
      </c>
      <c r="B3029">
        <v>2026000218</v>
      </c>
      <c r="C3029" t="s">
        <v>2532</v>
      </c>
      <c r="D3029" s="11">
        <v>3150000</v>
      </c>
      <c r="E3029">
        <v>1081594639</v>
      </c>
      <c r="F3029" t="s">
        <v>1110</v>
      </c>
      <c r="G3029" t="s">
        <v>1755</v>
      </c>
      <c r="H3029" t="str">
        <f>VLOOKUP(C3029,'[1]873'!$C$2:$C$711,1,0)</f>
        <v>058-2026</v>
      </c>
    </row>
    <row r="3030" spans="1:8" ht="15" customHeight="1" x14ac:dyDescent="0.25">
      <c r="A3030" s="2">
        <v>46083.664583333302</v>
      </c>
      <c r="B3030">
        <v>2026000219</v>
      </c>
      <c r="C3030" t="s">
        <v>2533</v>
      </c>
      <c r="D3030" s="11">
        <v>3150000</v>
      </c>
      <c r="E3030">
        <v>98391531</v>
      </c>
      <c r="F3030" t="s">
        <v>499</v>
      </c>
      <c r="G3030" t="s">
        <v>1755</v>
      </c>
      <c r="H3030" t="str">
        <f>VLOOKUP(C3030,'[1]873'!$C$2:$C$711,1,0)</f>
        <v>104-2026</v>
      </c>
    </row>
    <row r="3031" spans="1:8" ht="15" customHeight="1" x14ac:dyDescent="0.25">
      <c r="A3031" s="2">
        <v>46083.668055555601</v>
      </c>
      <c r="B3031">
        <v>2026000220</v>
      </c>
      <c r="C3031" t="s">
        <v>2534</v>
      </c>
      <c r="D3031" s="11">
        <v>6300000</v>
      </c>
      <c r="E3031">
        <v>59820414</v>
      </c>
      <c r="F3031" t="s">
        <v>457</v>
      </c>
      <c r="G3031" t="s">
        <v>1755</v>
      </c>
      <c r="H3031" t="str">
        <f>VLOOKUP(C3031,'[1]873'!$C$2:$C$711,1,0)</f>
        <v>079-2026</v>
      </c>
    </row>
    <row r="3032" spans="1:8" ht="15" customHeight="1" x14ac:dyDescent="0.25">
      <c r="A3032" s="2">
        <v>46084.3930555556</v>
      </c>
      <c r="B3032">
        <v>2026000221</v>
      </c>
      <c r="C3032" t="s">
        <v>2535</v>
      </c>
      <c r="D3032" s="11">
        <v>3150000</v>
      </c>
      <c r="E3032">
        <v>1081592303</v>
      </c>
      <c r="F3032" t="s">
        <v>562</v>
      </c>
      <c r="G3032" t="s">
        <v>1755</v>
      </c>
      <c r="H3032" t="str">
        <f>VLOOKUP(C3032,'[1]873'!$C$2:$C$711,1,0)</f>
        <v>050-2026</v>
      </c>
    </row>
    <row r="3033" spans="1:8" ht="15" customHeight="1" x14ac:dyDescent="0.25">
      <c r="A3033" s="2">
        <v>46084.401388888902</v>
      </c>
      <c r="B3033">
        <v>2026000222</v>
      </c>
      <c r="C3033" t="s">
        <v>2536</v>
      </c>
      <c r="D3033" s="11">
        <v>4730000</v>
      </c>
      <c r="E3033">
        <v>1082749648</v>
      </c>
      <c r="F3033" t="s">
        <v>1891</v>
      </c>
      <c r="G3033" t="s">
        <v>1755</v>
      </c>
      <c r="H3033" t="str">
        <f>VLOOKUP(C3033,'[1]873'!$C$2:$C$711,1,0)</f>
        <v>069-2026</v>
      </c>
    </row>
    <row r="3034" spans="1:8" ht="15" customHeight="1" x14ac:dyDescent="0.25">
      <c r="A3034" s="2">
        <v>46084.404166666704</v>
      </c>
      <c r="B3034">
        <v>2026000223</v>
      </c>
      <c r="C3034" t="s">
        <v>2537</v>
      </c>
      <c r="D3034" s="11">
        <v>6300000</v>
      </c>
      <c r="E3034">
        <v>59825948</v>
      </c>
      <c r="F3034" t="s">
        <v>1192</v>
      </c>
      <c r="G3034" t="s">
        <v>1755</v>
      </c>
      <c r="H3034" t="str">
        <f>VLOOKUP(C3034,'[1]873'!$C$2:$C$711,1,0)</f>
        <v>070-2026</v>
      </c>
    </row>
    <row r="3035" spans="1:8" ht="15" customHeight="1" x14ac:dyDescent="0.25">
      <c r="A3035" s="2">
        <v>46084.406944444403</v>
      </c>
      <c r="B3035">
        <v>2026000224</v>
      </c>
      <c r="C3035" t="s">
        <v>2538</v>
      </c>
      <c r="D3035" s="11">
        <v>4730000</v>
      </c>
      <c r="E3035">
        <v>1087414586</v>
      </c>
      <c r="F3035" t="s">
        <v>47</v>
      </c>
      <c r="G3035" t="s">
        <v>1755</v>
      </c>
      <c r="H3035" t="str">
        <f>VLOOKUP(C3035,'[1]873'!$C$2:$C$711,1,0)</f>
        <v>103-2026</v>
      </c>
    </row>
    <row r="3036" spans="1:8" ht="15" customHeight="1" x14ac:dyDescent="0.25">
      <c r="A3036" s="2">
        <v>46084.386805555601</v>
      </c>
      <c r="B3036">
        <v>2026000225</v>
      </c>
      <c r="C3036" t="s">
        <v>2539</v>
      </c>
      <c r="D3036" s="11">
        <v>3150000</v>
      </c>
      <c r="E3036">
        <v>1085327677</v>
      </c>
      <c r="F3036" t="s">
        <v>215</v>
      </c>
      <c r="G3036" t="s">
        <v>1755</v>
      </c>
      <c r="H3036" t="str">
        <f>VLOOKUP(C3036,'[1]873'!$C$2:$C$711,1,0)</f>
        <v>045-2026</v>
      </c>
    </row>
    <row r="3037" spans="1:8" ht="15" customHeight="1" x14ac:dyDescent="0.25">
      <c r="A3037" s="2">
        <v>46084.398611111101</v>
      </c>
      <c r="B3037">
        <v>2026000226</v>
      </c>
      <c r="C3037" t="s">
        <v>2540</v>
      </c>
      <c r="D3037" s="11">
        <v>6300000</v>
      </c>
      <c r="E3037">
        <v>1085283868</v>
      </c>
      <c r="F3037" t="s">
        <v>1131</v>
      </c>
      <c r="G3037" t="s">
        <v>1755</v>
      </c>
      <c r="H3037" t="str">
        <f>VLOOKUP(C3037,'[1]873'!$C$2:$C$711,1,0)</f>
        <v>066-2026</v>
      </c>
    </row>
    <row r="3038" spans="1:8" ht="15" customHeight="1" x14ac:dyDescent="0.25">
      <c r="A3038" s="2">
        <v>46084.683333333298</v>
      </c>
      <c r="B3038">
        <v>2026000239</v>
      </c>
      <c r="C3038" t="s">
        <v>2541</v>
      </c>
      <c r="D3038" s="11">
        <v>3150000</v>
      </c>
      <c r="E3038">
        <v>1088975658</v>
      </c>
      <c r="F3038" t="s">
        <v>2243</v>
      </c>
      <c r="G3038" t="s">
        <v>1755</v>
      </c>
      <c r="H3038" t="str">
        <f>VLOOKUP(C3038,'[1]873'!$C$2:$C$711,1,0)</f>
        <v>306-2026</v>
      </c>
    </row>
    <row r="3039" spans="1:8" ht="15" customHeight="1" x14ac:dyDescent="0.25">
      <c r="A3039" s="2">
        <v>46085.352083333302</v>
      </c>
      <c r="B3039">
        <v>2026000240</v>
      </c>
      <c r="C3039" t="s">
        <v>2542</v>
      </c>
      <c r="D3039" s="11">
        <v>3150000</v>
      </c>
      <c r="E3039">
        <v>27088197</v>
      </c>
      <c r="F3039" t="s">
        <v>1235</v>
      </c>
      <c r="G3039" t="s">
        <v>1755</v>
      </c>
      <c r="H3039" t="str">
        <f>VLOOKUP(C3039,'[1]873'!$C$2:$C$711,1,0)</f>
        <v>149-2026</v>
      </c>
    </row>
    <row r="3040" spans="1:8" ht="15" customHeight="1" x14ac:dyDescent="0.25">
      <c r="A3040" s="2">
        <v>46085.355555555601</v>
      </c>
      <c r="B3040">
        <v>2026000241</v>
      </c>
      <c r="C3040" t="s">
        <v>2543</v>
      </c>
      <c r="D3040" s="11">
        <v>3150000</v>
      </c>
      <c r="E3040">
        <v>1233191133</v>
      </c>
      <c r="F3040" t="s">
        <v>2405</v>
      </c>
      <c r="G3040" t="s">
        <v>1755</v>
      </c>
      <c r="H3040" t="str">
        <f>VLOOKUP(C3040,'[1]873'!$C$2:$C$711,1,0)</f>
        <v>014-2026</v>
      </c>
    </row>
    <row r="3041" spans="1:8" ht="15" customHeight="1" x14ac:dyDescent="0.25">
      <c r="A3041" s="2">
        <v>46085.359027777798</v>
      </c>
      <c r="B3041">
        <v>2026000242</v>
      </c>
      <c r="C3041" t="s">
        <v>2544</v>
      </c>
      <c r="D3041" s="11">
        <v>3150000</v>
      </c>
      <c r="E3041">
        <v>1081272025</v>
      </c>
      <c r="F3041" t="s">
        <v>59</v>
      </c>
      <c r="G3041" t="s">
        <v>1755</v>
      </c>
      <c r="H3041" t="str">
        <f>VLOOKUP(C3041,'[1]873'!$C$2:$C$711,1,0)</f>
        <v>051-2026</v>
      </c>
    </row>
    <row r="3042" spans="1:8" ht="15" customHeight="1" x14ac:dyDescent="0.25">
      <c r="A3042" s="2">
        <v>46090.414583333302</v>
      </c>
      <c r="B3042">
        <v>2026000301</v>
      </c>
      <c r="C3042" t="s">
        <v>2545</v>
      </c>
      <c r="D3042" s="11">
        <v>3150000</v>
      </c>
      <c r="E3042">
        <v>1080693240</v>
      </c>
      <c r="F3042" t="s">
        <v>2089</v>
      </c>
      <c r="G3042" t="s">
        <v>1755</v>
      </c>
      <c r="H3042" t="str">
        <f>VLOOKUP(C3042,'[1]873'!$C$2:$C$711,1,0)</f>
        <v>299-2026</v>
      </c>
    </row>
    <row r="3043" spans="1:8" ht="15" customHeight="1" x14ac:dyDescent="0.25">
      <c r="A3043" s="2">
        <v>46090.465972222199</v>
      </c>
      <c r="B3043">
        <v>2026000309</v>
      </c>
      <c r="C3043" t="s">
        <v>2546</v>
      </c>
      <c r="D3043" s="11">
        <v>3150000</v>
      </c>
      <c r="E3043">
        <v>1086222689</v>
      </c>
      <c r="F3043" t="s">
        <v>1114</v>
      </c>
      <c r="G3043" t="s">
        <v>1755</v>
      </c>
      <c r="H3043" t="str">
        <f>VLOOKUP(C3043,'[1]873'!$C$2:$C$711,1,0)</f>
        <v>271-2026</v>
      </c>
    </row>
    <row r="3044" spans="1:8" ht="15" customHeight="1" x14ac:dyDescent="0.25">
      <c r="A3044" s="2">
        <v>46090.467361111099</v>
      </c>
      <c r="B3044">
        <v>2026000310</v>
      </c>
      <c r="C3044" t="s">
        <v>2547</v>
      </c>
      <c r="D3044" s="11">
        <v>6300000</v>
      </c>
      <c r="E3044">
        <v>1085278004</v>
      </c>
      <c r="F3044" t="s">
        <v>2151</v>
      </c>
      <c r="G3044" t="s">
        <v>1755</v>
      </c>
      <c r="H3044" t="str">
        <f>VLOOKUP(C3044,'[1]873'!$C$2:$C$711,1,0)</f>
        <v>220-2026</v>
      </c>
    </row>
    <row r="3045" spans="1:8" ht="15" customHeight="1" x14ac:dyDescent="0.25">
      <c r="A3045" s="2">
        <v>46090.470833333296</v>
      </c>
      <c r="B3045">
        <v>2026000311</v>
      </c>
      <c r="C3045" t="s">
        <v>2548</v>
      </c>
      <c r="D3045" s="11">
        <v>3150000</v>
      </c>
      <c r="E3045">
        <v>36950892</v>
      </c>
      <c r="F3045" t="s">
        <v>2093</v>
      </c>
      <c r="G3045" t="s">
        <v>1755</v>
      </c>
      <c r="H3045" t="str">
        <f>VLOOKUP(C3045,'[1]873'!$C$2:$C$711,1,0)</f>
        <v>250-2026</v>
      </c>
    </row>
    <row r="3046" spans="1:8" ht="15" customHeight="1" x14ac:dyDescent="0.25">
      <c r="A3046" s="2">
        <v>46090.472222222197</v>
      </c>
      <c r="B3046">
        <v>2026000312</v>
      </c>
      <c r="C3046" t="s">
        <v>2549</v>
      </c>
      <c r="D3046" s="11">
        <v>6300000</v>
      </c>
      <c r="E3046">
        <v>1086755989</v>
      </c>
      <c r="F3046" t="s">
        <v>2471</v>
      </c>
      <c r="G3046" t="s">
        <v>1755</v>
      </c>
      <c r="H3046" t="str">
        <f>VLOOKUP(C3046,'[1]873'!$C$2:$C$711,1,0)</f>
        <v>063-2026</v>
      </c>
    </row>
    <row r="3047" spans="1:8" ht="15" customHeight="1" x14ac:dyDescent="0.25">
      <c r="A3047" s="2">
        <v>46090.474305555603</v>
      </c>
      <c r="B3047">
        <v>2026000313</v>
      </c>
      <c r="C3047" t="s">
        <v>2550</v>
      </c>
      <c r="D3047" s="11">
        <v>4730000</v>
      </c>
      <c r="E3047">
        <v>1005829176</v>
      </c>
      <c r="F3047" t="s">
        <v>1902</v>
      </c>
      <c r="G3047" t="s">
        <v>1755</v>
      </c>
      <c r="H3047" t="str">
        <f>VLOOKUP(C3047,'[1]873'!$C$2:$C$711,1,0)</f>
        <v>190-2026</v>
      </c>
    </row>
    <row r="3048" spans="1:8" ht="15" customHeight="1" x14ac:dyDescent="0.25">
      <c r="A3048" s="2">
        <v>46090.475694444402</v>
      </c>
      <c r="B3048">
        <v>2026000314</v>
      </c>
      <c r="C3048" t="s">
        <v>2551</v>
      </c>
      <c r="D3048" s="11">
        <v>3150000</v>
      </c>
      <c r="E3048">
        <v>1005977438</v>
      </c>
      <c r="F3048" t="s">
        <v>1994</v>
      </c>
      <c r="G3048" t="s">
        <v>1755</v>
      </c>
      <c r="H3048" t="str">
        <f>VLOOKUP(C3048,'[1]873'!$C$2:$C$711,1,0)</f>
        <v>062-2026</v>
      </c>
    </row>
    <row r="3049" spans="1:8" ht="15" customHeight="1" x14ac:dyDescent="0.25">
      <c r="A3049" s="2">
        <v>46090.4777777778</v>
      </c>
      <c r="B3049">
        <v>2026000315</v>
      </c>
      <c r="C3049" t="s">
        <v>2552</v>
      </c>
      <c r="D3049" s="11">
        <v>3150000</v>
      </c>
      <c r="E3049">
        <v>5930737</v>
      </c>
      <c r="F3049" t="s">
        <v>213</v>
      </c>
      <c r="G3049" t="s">
        <v>1755</v>
      </c>
      <c r="H3049" t="str">
        <f>VLOOKUP(C3049,'[1]873'!$C$2:$C$711,1,0)</f>
        <v>055-2026</v>
      </c>
    </row>
    <row r="3050" spans="1:8" ht="15" customHeight="1" x14ac:dyDescent="0.25">
      <c r="A3050" s="2">
        <v>46091.308333333298</v>
      </c>
      <c r="B3050">
        <v>2026000323</v>
      </c>
      <c r="C3050" t="s">
        <v>2553</v>
      </c>
      <c r="D3050" s="11">
        <v>3150000</v>
      </c>
      <c r="E3050">
        <v>1085275473</v>
      </c>
      <c r="F3050" t="s">
        <v>693</v>
      </c>
      <c r="G3050" t="s">
        <v>1755</v>
      </c>
      <c r="H3050" t="str">
        <f>VLOOKUP(C3050,'[1]873'!$C$2:$C$711,1,0)</f>
        <v>073-2026</v>
      </c>
    </row>
    <row r="3051" spans="1:8" ht="15" customHeight="1" x14ac:dyDescent="0.25">
      <c r="A3051" s="2">
        <v>46091.327777777798</v>
      </c>
      <c r="B3051">
        <v>2026000324</v>
      </c>
      <c r="C3051" t="s">
        <v>2554</v>
      </c>
      <c r="D3051" s="11">
        <v>7800000</v>
      </c>
      <c r="E3051">
        <v>1061794455</v>
      </c>
      <c r="F3051" t="s">
        <v>2154</v>
      </c>
      <c r="G3051" t="s">
        <v>1755</v>
      </c>
      <c r="H3051" t="str">
        <f>VLOOKUP(C3051,'[1]873'!$C$2:$C$711,1,0)</f>
        <v>217-2026</v>
      </c>
    </row>
    <row r="3052" spans="1:8" ht="15" customHeight="1" x14ac:dyDescent="0.25">
      <c r="A3052" s="2">
        <v>46091.334027777797</v>
      </c>
      <c r="B3052">
        <v>2026000325</v>
      </c>
      <c r="C3052" t="s">
        <v>2555</v>
      </c>
      <c r="D3052" s="11">
        <v>3150000</v>
      </c>
      <c r="E3052">
        <v>1087006717</v>
      </c>
      <c r="F3052" t="s">
        <v>1163</v>
      </c>
      <c r="G3052" t="s">
        <v>1755</v>
      </c>
      <c r="H3052" t="str">
        <f>VLOOKUP(C3052,'[1]873'!$C$2:$C$711,1,0)</f>
        <v>252-2026</v>
      </c>
    </row>
    <row r="3053" spans="1:8" ht="15" customHeight="1" x14ac:dyDescent="0.25">
      <c r="A3053" s="2">
        <v>46091.338194444397</v>
      </c>
      <c r="B3053">
        <v>2026000326</v>
      </c>
      <c r="C3053" t="s">
        <v>2556</v>
      </c>
      <c r="D3053" s="11">
        <v>3150000</v>
      </c>
      <c r="E3053">
        <v>69028150</v>
      </c>
      <c r="F3053" t="s">
        <v>171</v>
      </c>
      <c r="G3053" t="s">
        <v>1755</v>
      </c>
      <c r="H3053" t="str">
        <f>VLOOKUP(C3053,'[1]873'!$C$2:$C$711,1,0)</f>
        <v>180-2026</v>
      </c>
    </row>
    <row r="3054" spans="1:8" ht="15" customHeight="1" x14ac:dyDescent="0.25">
      <c r="A3054" s="2">
        <v>46091.340277777803</v>
      </c>
      <c r="B3054">
        <v>2026000327</v>
      </c>
      <c r="C3054" t="s">
        <v>2557</v>
      </c>
      <c r="D3054" s="11">
        <v>3150000</v>
      </c>
      <c r="E3054">
        <v>1137089268</v>
      </c>
      <c r="F3054" t="s">
        <v>2160</v>
      </c>
      <c r="G3054" t="s">
        <v>1755</v>
      </c>
      <c r="H3054" t="str">
        <f>VLOOKUP(C3054,'[1]873'!$C$2:$C$711,1,0)</f>
        <v>291-2026</v>
      </c>
    </row>
    <row r="3055" spans="1:8" ht="15" customHeight="1" x14ac:dyDescent="0.25">
      <c r="A3055" s="2">
        <v>46091.370138888902</v>
      </c>
      <c r="B3055">
        <v>2026000330</v>
      </c>
      <c r="C3055" t="s">
        <v>2558</v>
      </c>
      <c r="D3055" s="11">
        <v>6300000</v>
      </c>
      <c r="E3055">
        <v>1086132023</v>
      </c>
      <c r="F3055" t="s">
        <v>2559</v>
      </c>
      <c r="G3055" t="s">
        <v>1755</v>
      </c>
      <c r="H3055" t="str">
        <f>VLOOKUP(C3055,'[1]873'!$C$2:$C$711,1,0)</f>
        <v>1265-2025</v>
      </c>
    </row>
    <row r="3056" spans="1:8" ht="15" customHeight="1" x14ac:dyDescent="0.25">
      <c r="A3056" s="2">
        <v>46091.4194444444</v>
      </c>
      <c r="B3056">
        <v>2026000351</v>
      </c>
      <c r="C3056" t="s">
        <v>2560</v>
      </c>
      <c r="D3056" s="11">
        <v>6300000</v>
      </c>
      <c r="E3056">
        <v>27146489</v>
      </c>
      <c r="F3056" t="s">
        <v>1102</v>
      </c>
      <c r="G3056" t="s">
        <v>1755</v>
      </c>
      <c r="H3056" t="str">
        <f>VLOOKUP(C3056,'[1]873'!$C$2:$C$711,1,0)</f>
        <v>192-2026</v>
      </c>
    </row>
    <row r="3057" spans="1:8" ht="15" customHeight="1" x14ac:dyDescent="0.25">
      <c r="A3057" s="2">
        <v>46091.422222222202</v>
      </c>
      <c r="B3057">
        <v>2026000353</v>
      </c>
      <c r="C3057" t="s">
        <v>2561</v>
      </c>
      <c r="D3057" s="11">
        <v>6300000</v>
      </c>
      <c r="E3057">
        <v>1085299577</v>
      </c>
      <c r="F3057" t="s">
        <v>1182</v>
      </c>
      <c r="G3057" t="s">
        <v>1755</v>
      </c>
      <c r="H3057" t="str">
        <f>VLOOKUP(C3057,'[1]873'!$C$2:$C$711,1,0)</f>
        <v>178-2026</v>
      </c>
    </row>
    <row r="3058" spans="1:8" ht="15" customHeight="1" x14ac:dyDescent="0.25">
      <c r="A3058" s="2">
        <v>46091.423611111102</v>
      </c>
      <c r="B3058">
        <v>2026000354</v>
      </c>
      <c r="C3058" t="s">
        <v>2562</v>
      </c>
      <c r="D3058" s="11">
        <v>3150000</v>
      </c>
      <c r="E3058">
        <v>1085315013</v>
      </c>
      <c r="F3058" t="s">
        <v>1158</v>
      </c>
      <c r="G3058" t="s">
        <v>1755</v>
      </c>
      <c r="H3058" t="str">
        <f>VLOOKUP(C3058,'[1]873'!$C$2:$C$711,1,0)</f>
        <v>158-2026</v>
      </c>
    </row>
    <row r="3059" spans="1:8" ht="15" customHeight="1" x14ac:dyDescent="0.25">
      <c r="A3059" s="2">
        <v>46091.426388888904</v>
      </c>
      <c r="B3059">
        <v>2026000356</v>
      </c>
      <c r="C3059" t="s">
        <v>2563</v>
      </c>
      <c r="D3059" s="11">
        <v>3150000</v>
      </c>
      <c r="E3059">
        <v>1081572042</v>
      </c>
      <c r="F3059" t="s">
        <v>2282</v>
      </c>
      <c r="G3059" t="s">
        <v>1755</v>
      </c>
      <c r="H3059" t="str">
        <f>VLOOKUP(C3059,'[1]873'!$C$2:$C$711,1,0)</f>
        <v>169-2026</v>
      </c>
    </row>
    <row r="3060" spans="1:8" ht="15" customHeight="1" x14ac:dyDescent="0.25">
      <c r="A3060" s="2">
        <v>46091.496527777803</v>
      </c>
      <c r="B3060">
        <v>2026000375</v>
      </c>
      <c r="C3060" t="s">
        <v>2451</v>
      </c>
      <c r="D3060" s="11">
        <v>1576000</v>
      </c>
      <c r="E3060">
        <v>12754447</v>
      </c>
      <c r="F3060" t="s">
        <v>2453</v>
      </c>
      <c r="G3060" t="s">
        <v>1755</v>
      </c>
      <c r="H3060" t="str">
        <f>VLOOKUP(C3060,'[1]873'!$C$2:$C$711,1,0)</f>
        <v>932-2025</v>
      </c>
    </row>
    <row r="3061" spans="1:8" ht="15" customHeight="1" x14ac:dyDescent="0.25">
      <c r="A3061" s="2">
        <v>46092.345138888901</v>
      </c>
      <c r="B3061">
        <v>2026000391</v>
      </c>
      <c r="C3061" s="45" t="s">
        <v>2564</v>
      </c>
      <c r="D3061" s="11">
        <v>7800000</v>
      </c>
      <c r="E3061">
        <v>1085344910</v>
      </c>
      <c r="F3061" s="45" t="s">
        <v>2565</v>
      </c>
      <c r="G3061" t="s">
        <v>1755</v>
      </c>
      <c r="H3061" t="e">
        <f>VLOOKUP(C3061,'[1]873'!$C$2:$C$711,1,0)</f>
        <v>#N/A</v>
      </c>
    </row>
    <row r="3062" spans="1:8" ht="15" customHeight="1" x14ac:dyDescent="0.25">
      <c r="A3062" s="2">
        <v>46092.436111111099</v>
      </c>
      <c r="B3062">
        <v>2026000395</v>
      </c>
      <c r="C3062" t="s">
        <v>2566</v>
      </c>
      <c r="D3062" s="11">
        <v>4730000</v>
      </c>
      <c r="E3062">
        <v>59651018</v>
      </c>
      <c r="F3062" t="s">
        <v>493</v>
      </c>
      <c r="G3062" t="s">
        <v>1755</v>
      </c>
      <c r="H3062" t="str">
        <f>VLOOKUP(C3062,'[1]873'!$C$2:$C$711,1,0)</f>
        <v>187-2026</v>
      </c>
    </row>
    <row r="3063" spans="1:8" ht="15" customHeight="1" x14ac:dyDescent="0.25">
      <c r="A3063" s="2">
        <v>46092.439583333296</v>
      </c>
      <c r="B3063">
        <v>2026000396</v>
      </c>
      <c r="C3063" t="s">
        <v>2567</v>
      </c>
      <c r="D3063" s="11">
        <v>6300000</v>
      </c>
      <c r="E3063">
        <v>1085277976</v>
      </c>
      <c r="F3063" t="s">
        <v>1084</v>
      </c>
      <c r="G3063" t="s">
        <v>1755</v>
      </c>
      <c r="H3063" t="str">
        <f>VLOOKUP(C3063,'[1]873'!$C$2:$C$711,1,0)</f>
        <v>181-2026</v>
      </c>
    </row>
    <row r="3064" spans="1:8" ht="15" customHeight="1" x14ac:dyDescent="0.25">
      <c r="A3064" s="2">
        <v>46092.453472222202</v>
      </c>
      <c r="B3064">
        <v>2026000399</v>
      </c>
      <c r="C3064" t="s">
        <v>2568</v>
      </c>
      <c r="D3064" s="11">
        <v>3150000</v>
      </c>
      <c r="E3064">
        <v>1085315209</v>
      </c>
      <c r="F3064" t="s">
        <v>701</v>
      </c>
      <c r="G3064" t="s">
        <v>1755</v>
      </c>
      <c r="H3064" t="str">
        <f>VLOOKUP(C3064,'[1]873'!$C$2:$C$711,1,0)</f>
        <v>248-2026</v>
      </c>
    </row>
    <row r="3065" spans="1:8" ht="15" customHeight="1" x14ac:dyDescent="0.25">
      <c r="A3065" s="2">
        <v>46092.460416666698</v>
      </c>
      <c r="B3065">
        <v>2026000403</v>
      </c>
      <c r="C3065" t="s">
        <v>2569</v>
      </c>
      <c r="D3065" s="11">
        <v>7800000</v>
      </c>
      <c r="E3065">
        <v>1193202097</v>
      </c>
      <c r="F3065" t="s">
        <v>163</v>
      </c>
      <c r="G3065" t="s">
        <v>1755</v>
      </c>
      <c r="H3065" t="str">
        <f>VLOOKUP(C3065,'[1]873'!$C$2:$C$711,1,0)</f>
        <v>242-2026</v>
      </c>
    </row>
    <row r="3066" spans="1:8" ht="15" customHeight="1" x14ac:dyDescent="0.25">
      <c r="A3066" s="2">
        <v>46093.451388888898</v>
      </c>
      <c r="B3066">
        <v>2026000406</v>
      </c>
      <c r="C3066" t="s">
        <v>2570</v>
      </c>
      <c r="D3066" s="11">
        <v>3150000</v>
      </c>
      <c r="E3066">
        <v>1085246674</v>
      </c>
      <c r="F3066" t="s">
        <v>2347</v>
      </c>
      <c r="G3066" t="s">
        <v>1755</v>
      </c>
      <c r="H3066" t="str">
        <f>VLOOKUP(C3066,'[1]873'!$C$2:$C$711,1,0)</f>
        <v>246-2026</v>
      </c>
    </row>
    <row r="3067" spans="1:8" ht="15" customHeight="1" x14ac:dyDescent="0.25">
      <c r="A3067" s="2">
        <v>46092.46875</v>
      </c>
      <c r="B3067">
        <v>2026000408</v>
      </c>
      <c r="C3067" t="s">
        <v>2571</v>
      </c>
      <c r="D3067" s="11">
        <v>3150000</v>
      </c>
      <c r="E3067">
        <v>1085275400</v>
      </c>
      <c r="F3067" t="s">
        <v>2172</v>
      </c>
      <c r="G3067" t="s">
        <v>1755</v>
      </c>
      <c r="H3067" t="str">
        <f>VLOOKUP(C3067,'[1]873'!$C$2:$C$711,1,0)</f>
        <v>161-2026</v>
      </c>
    </row>
    <row r="3068" spans="1:8" ht="15" customHeight="1" x14ac:dyDescent="0.25">
      <c r="A3068" s="2">
        <v>46092.476388888899</v>
      </c>
      <c r="B3068">
        <v>2026000410</v>
      </c>
      <c r="C3068" t="s">
        <v>2572</v>
      </c>
      <c r="D3068" s="11">
        <v>3150000</v>
      </c>
      <c r="E3068">
        <v>1004592366</v>
      </c>
      <c r="F3068" t="s">
        <v>123</v>
      </c>
      <c r="G3068" t="s">
        <v>1755</v>
      </c>
      <c r="H3068" t="str">
        <f>VLOOKUP(C3068,'[1]873'!$C$2:$C$711,1,0)</f>
        <v>164-2026</v>
      </c>
    </row>
    <row r="3069" spans="1:8" ht="15" customHeight="1" x14ac:dyDescent="0.25">
      <c r="A3069" s="2">
        <v>46092.479166666701</v>
      </c>
      <c r="B3069">
        <v>2026000411</v>
      </c>
      <c r="C3069" t="s">
        <v>2573</v>
      </c>
      <c r="D3069" s="11">
        <v>3150000</v>
      </c>
      <c r="E3069">
        <v>1088216350</v>
      </c>
      <c r="F3069" t="s">
        <v>2368</v>
      </c>
      <c r="G3069" t="s">
        <v>1755</v>
      </c>
      <c r="H3069" t="str">
        <f>VLOOKUP(C3069,'[1]873'!$C$2:$C$711,1,0)</f>
        <v>292-2026</v>
      </c>
    </row>
    <row r="3070" spans="1:8" ht="15" customHeight="1" x14ac:dyDescent="0.25">
      <c r="A3070" s="2">
        <v>46092.481249999997</v>
      </c>
      <c r="B3070">
        <v>2026000412</v>
      </c>
      <c r="C3070" t="s">
        <v>2574</v>
      </c>
      <c r="D3070" s="11">
        <v>2000000</v>
      </c>
      <c r="E3070">
        <v>27082650</v>
      </c>
      <c r="F3070" t="s">
        <v>2231</v>
      </c>
      <c r="G3070" t="s">
        <v>1755</v>
      </c>
      <c r="H3070" t="str">
        <f>VLOOKUP(C3070,'[1]873'!$C$2:$C$711,1,0)</f>
        <v>333-2026</v>
      </c>
    </row>
    <row r="3071" spans="1:8" ht="15" customHeight="1" x14ac:dyDescent="0.25">
      <c r="A3071" s="2">
        <v>46092.483333333301</v>
      </c>
      <c r="B3071">
        <v>2026000413</v>
      </c>
      <c r="C3071" t="s">
        <v>2575</v>
      </c>
      <c r="D3071" s="11">
        <v>2000000</v>
      </c>
      <c r="E3071">
        <v>1085327836</v>
      </c>
      <c r="F3071" t="s">
        <v>283</v>
      </c>
      <c r="G3071" t="s">
        <v>1755</v>
      </c>
      <c r="H3071" t="str">
        <f>VLOOKUP(C3071,'[1]873'!$C$2:$C$711,1,0)</f>
        <v>307-2026</v>
      </c>
    </row>
    <row r="3072" spans="1:8" ht="15" customHeight="1" x14ac:dyDescent="0.25">
      <c r="A3072" s="2">
        <v>46092.4868055556</v>
      </c>
      <c r="B3072">
        <v>2026000414</v>
      </c>
      <c r="C3072" t="s">
        <v>2576</v>
      </c>
      <c r="D3072" s="11">
        <v>6300000</v>
      </c>
      <c r="E3072">
        <v>1004213964</v>
      </c>
      <c r="F3072" t="s">
        <v>113</v>
      </c>
      <c r="G3072" t="s">
        <v>1755</v>
      </c>
      <c r="H3072" t="str">
        <f>VLOOKUP(C3072,'[1]873'!$C$2:$C$711,1,0)</f>
        <v>099-2026</v>
      </c>
    </row>
    <row r="3073" spans="1:8" ht="15" customHeight="1" x14ac:dyDescent="0.25">
      <c r="A3073" s="2">
        <v>46094.375694444403</v>
      </c>
      <c r="B3073">
        <v>2026000436</v>
      </c>
      <c r="C3073" t="s">
        <v>2146</v>
      </c>
      <c r="D3073" s="11">
        <v>1419000</v>
      </c>
      <c r="E3073">
        <v>1088730615</v>
      </c>
      <c r="F3073" t="s">
        <v>2148</v>
      </c>
      <c r="G3073" t="s">
        <v>1755</v>
      </c>
      <c r="H3073" t="str">
        <f>VLOOKUP(C3073,'[1]873'!$C$2:$C$711,1,0)</f>
        <v>852-2025</v>
      </c>
    </row>
    <row r="3074" spans="1:8" ht="15" customHeight="1" x14ac:dyDescent="0.25">
      <c r="A3074" s="2">
        <v>46094.411805555603</v>
      </c>
      <c r="B3074">
        <v>2026000437</v>
      </c>
      <c r="C3074" t="s">
        <v>2577</v>
      </c>
      <c r="D3074" s="11">
        <v>3150000</v>
      </c>
      <c r="E3074">
        <v>1085281002</v>
      </c>
      <c r="F3074" t="s">
        <v>2409</v>
      </c>
      <c r="G3074" t="s">
        <v>1755</v>
      </c>
      <c r="H3074" t="str">
        <f>VLOOKUP(C3074,'[1]873'!$C$2:$C$711,1,0)</f>
        <v>208-2026</v>
      </c>
    </row>
    <row r="3075" spans="1:8" ht="15" customHeight="1" x14ac:dyDescent="0.25">
      <c r="A3075" s="2">
        <v>46094.421527777798</v>
      </c>
      <c r="B3075">
        <v>2026000438</v>
      </c>
      <c r="C3075" t="s">
        <v>2578</v>
      </c>
      <c r="D3075" s="11">
        <v>1260000</v>
      </c>
      <c r="E3075">
        <v>30743783</v>
      </c>
      <c r="F3075" t="s">
        <v>504</v>
      </c>
      <c r="G3075" t="s">
        <v>1755</v>
      </c>
      <c r="H3075" t="str">
        <f>VLOOKUP(C3075,'[1]873'!$C$2:$C$711,1,0)</f>
        <v>086-2026</v>
      </c>
    </row>
    <row r="3076" spans="1:8" ht="15" customHeight="1" x14ac:dyDescent="0.25">
      <c r="A3076" s="2">
        <v>46094.639583333301</v>
      </c>
      <c r="B3076">
        <v>2026000440</v>
      </c>
      <c r="C3076" t="s">
        <v>2579</v>
      </c>
      <c r="D3076" s="11">
        <v>2000000</v>
      </c>
      <c r="E3076">
        <v>12990231</v>
      </c>
      <c r="F3076" t="s">
        <v>1020</v>
      </c>
      <c r="G3076" t="s">
        <v>1755</v>
      </c>
      <c r="H3076" t="str">
        <f>VLOOKUP(C3076,'[1]873'!$C$2:$C$711,1,0)</f>
        <v>315-2026</v>
      </c>
    </row>
    <row r="3077" spans="1:8" ht="15" customHeight="1" x14ac:dyDescent="0.25">
      <c r="A3077" s="2">
        <v>46094.65</v>
      </c>
      <c r="B3077">
        <v>2026000442</v>
      </c>
      <c r="C3077" t="s">
        <v>2580</v>
      </c>
      <c r="D3077" s="11">
        <v>3150000</v>
      </c>
      <c r="E3077">
        <v>1085324685</v>
      </c>
      <c r="F3077" t="s">
        <v>779</v>
      </c>
      <c r="G3077" t="s">
        <v>1755</v>
      </c>
      <c r="H3077" t="str">
        <f>VLOOKUP(C3077,'[1]873'!$C$2:$C$711,1,0)</f>
        <v>256-2026</v>
      </c>
    </row>
    <row r="3078" spans="1:8" ht="15" customHeight="1" x14ac:dyDescent="0.25">
      <c r="A3078" s="2">
        <v>46094.653472222199</v>
      </c>
      <c r="B3078">
        <v>2026000443</v>
      </c>
      <c r="C3078" t="s">
        <v>2581</v>
      </c>
      <c r="D3078" s="11">
        <v>6300000</v>
      </c>
      <c r="E3078">
        <v>1010010954</v>
      </c>
      <c r="F3078" t="s">
        <v>337</v>
      </c>
      <c r="G3078" t="s">
        <v>1755</v>
      </c>
      <c r="H3078" t="str">
        <f>VLOOKUP(C3078,'[1]873'!$C$2:$C$711,1,0)</f>
        <v>174-2026</v>
      </c>
    </row>
    <row r="3079" spans="1:8" ht="15" customHeight="1" x14ac:dyDescent="0.25">
      <c r="A3079" s="2">
        <v>46094.65625</v>
      </c>
      <c r="B3079">
        <v>2026000444</v>
      </c>
      <c r="C3079" t="s">
        <v>2582</v>
      </c>
      <c r="D3079" s="11">
        <v>3150000</v>
      </c>
      <c r="E3079">
        <v>1085346528</v>
      </c>
      <c r="F3079" t="s">
        <v>1056</v>
      </c>
      <c r="G3079" t="s">
        <v>1755</v>
      </c>
      <c r="H3079" t="str">
        <f>VLOOKUP(C3079,'[1]873'!$C$2:$C$711,1,0)</f>
        <v>283-2026</v>
      </c>
    </row>
    <row r="3080" spans="1:8" ht="15" customHeight="1" x14ac:dyDescent="0.25">
      <c r="A3080" s="2">
        <v>46094.660416666702</v>
      </c>
      <c r="B3080">
        <v>2026000445</v>
      </c>
      <c r="C3080" t="s">
        <v>2583</v>
      </c>
      <c r="D3080" s="11">
        <v>4730000</v>
      </c>
      <c r="E3080">
        <v>1085330309</v>
      </c>
      <c r="F3080" t="s">
        <v>249</v>
      </c>
      <c r="G3080" t="s">
        <v>1755</v>
      </c>
      <c r="H3080" t="str">
        <f>VLOOKUP(C3080,'[1]873'!$C$2:$C$711,1,0)</f>
        <v>215-2026</v>
      </c>
    </row>
    <row r="3081" spans="1:8" ht="15" customHeight="1" x14ac:dyDescent="0.25">
      <c r="A3081" s="2">
        <v>46094.661805555603</v>
      </c>
      <c r="B3081">
        <v>2026000446</v>
      </c>
      <c r="C3081" t="s">
        <v>2584</v>
      </c>
      <c r="D3081" s="11">
        <v>6300000</v>
      </c>
      <c r="E3081">
        <v>36757221</v>
      </c>
      <c r="F3081" t="s">
        <v>453</v>
      </c>
      <c r="G3081" t="s">
        <v>1755</v>
      </c>
      <c r="H3081" t="str">
        <f>VLOOKUP(C3081,'[1]873'!$C$2:$C$711,1,0)</f>
        <v>175-2026</v>
      </c>
    </row>
    <row r="3082" spans="1:8" ht="15" customHeight="1" x14ac:dyDescent="0.25">
      <c r="A3082" s="33" t="s">
        <v>1279</v>
      </c>
      <c r="B3082" s="12" t="s">
        <v>1327</v>
      </c>
      <c r="C3082" s="12" t="s">
        <v>1093</v>
      </c>
      <c r="D3082" s="37">
        <v>3000000</v>
      </c>
      <c r="E3082" s="12">
        <v>36753698</v>
      </c>
      <c r="F3082" s="12" t="s">
        <v>1588</v>
      </c>
      <c r="G3082" t="s">
        <v>1094</v>
      </c>
      <c r="H3082" t="e">
        <f>VLOOKUP(C3082,'[1]873'!$C$2:$C$711,1,0)</f>
        <v>#N/A</v>
      </c>
    </row>
    <row r="3083" spans="1:8" ht="15" customHeight="1" x14ac:dyDescent="0.25">
      <c r="A3083" s="33" t="s">
        <v>1281</v>
      </c>
      <c r="B3083" s="12" t="s">
        <v>1329</v>
      </c>
      <c r="C3083" s="12" t="s">
        <v>1096</v>
      </c>
      <c r="D3083" s="37">
        <v>4750000</v>
      </c>
      <c r="E3083" s="12">
        <v>1085330309</v>
      </c>
      <c r="F3083" s="12" t="s">
        <v>1590</v>
      </c>
      <c r="G3083" t="s">
        <v>1094</v>
      </c>
      <c r="H3083" t="e">
        <f>VLOOKUP(C3083,'[1]873'!$C$2:$C$711,1,0)</f>
        <v>#N/A</v>
      </c>
    </row>
    <row r="3084" spans="1:8" ht="15" customHeight="1" x14ac:dyDescent="0.25">
      <c r="A3084" s="33" t="s">
        <v>1280</v>
      </c>
      <c r="B3084" s="12" t="s">
        <v>1328</v>
      </c>
      <c r="C3084" s="12" t="s">
        <v>1095</v>
      </c>
      <c r="D3084" s="37">
        <v>4825000</v>
      </c>
      <c r="E3084" s="12">
        <v>1085324891</v>
      </c>
      <c r="F3084" s="12" t="s">
        <v>509</v>
      </c>
      <c r="G3084" t="s">
        <v>1094</v>
      </c>
      <c r="H3084" t="e">
        <f>VLOOKUP(C3084,'[1]873'!$C$2:$C$711,1,0)</f>
        <v>#N/A</v>
      </c>
    </row>
    <row r="3085" spans="1:8" ht="15" customHeight="1" x14ac:dyDescent="0.25">
      <c r="A3085" s="33" t="s">
        <v>1282</v>
      </c>
      <c r="B3085" s="12" t="s">
        <v>1330</v>
      </c>
      <c r="C3085" s="12" t="s">
        <v>1097</v>
      </c>
      <c r="D3085" s="37">
        <v>6000000</v>
      </c>
      <c r="E3085" s="12">
        <v>1085340697</v>
      </c>
      <c r="F3085" s="12" t="s">
        <v>1098</v>
      </c>
      <c r="G3085" t="s">
        <v>1094</v>
      </c>
      <c r="H3085" t="e">
        <f>VLOOKUP(C3085,'[1]873'!$C$2:$C$711,1,0)</f>
        <v>#N/A</v>
      </c>
    </row>
    <row r="3086" spans="1:8" ht="15" customHeight="1" x14ac:dyDescent="0.25">
      <c r="A3086" s="33" t="s">
        <v>1283</v>
      </c>
      <c r="B3086" s="12" t="s">
        <v>1331</v>
      </c>
      <c r="C3086" s="12" t="s">
        <v>1099</v>
      </c>
      <c r="D3086" s="37">
        <v>7500000</v>
      </c>
      <c r="E3086" s="12">
        <v>1085329980</v>
      </c>
      <c r="F3086" s="12" t="s">
        <v>1592</v>
      </c>
      <c r="G3086" t="s">
        <v>1094</v>
      </c>
      <c r="H3086" t="e">
        <f>VLOOKUP(C3086,'[1]873'!$C$2:$C$711,1,0)</f>
        <v>#N/A</v>
      </c>
    </row>
    <row r="3087" spans="1:8" ht="15" customHeight="1" x14ac:dyDescent="0.25">
      <c r="A3087" s="33" t="s">
        <v>1284</v>
      </c>
      <c r="B3087" s="12" t="s">
        <v>1332</v>
      </c>
      <c r="C3087" s="12" t="s">
        <v>1100</v>
      </c>
      <c r="D3087" s="37">
        <v>6000000</v>
      </c>
      <c r="E3087" s="12">
        <v>1085303585</v>
      </c>
      <c r="F3087" s="12" t="s">
        <v>1593</v>
      </c>
      <c r="G3087" t="s">
        <v>1094</v>
      </c>
      <c r="H3087" t="e">
        <f>VLOOKUP(C3087,'[1]873'!$C$2:$C$711,1,0)</f>
        <v>#N/A</v>
      </c>
    </row>
    <row r="3088" spans="1:8" ht="15" customHeight="1" x14ac:dyDescent="0.25">
      <c r="A3088" s="33" t="s">
        <v>1285</v>
      </c>
      <c r="B3088" s="12" t="s">
        <v>1333</v>
      </c>
      <c r="C3088" s="12" t="s">
        <v>1101</v>
      </c>
      <c r="D3088" s="37">
        <v>6000000</v>
      </c>
      <c r="E3088" s="12">
        <v>27146489</v>
      </c>
      <c r="F3088" s="12" t="s">
        <v>1595</v>
      </c>
      <c r="G3088" t="s">
        <v>1094</v>
      </c>
      <c r="H3088" t="e">
        <f>VLOOKUP(C3088,'[1]873'!$C$2:$C$711,1,0)</f>
        <v>#N/A</v>
      </c>
    </row>
    <row r="3089" spans="1:8" ht="15" customHeight="1" x14ac:dyDescent="0.25">
      <c r="A3089" s="33" t="s">
        <v>1285</v>
      </c>
      <c r="B3089" s="12" t="s">
        <v>1334</v>
      </c>
      <c r="C3089" s="12" t="s">
        <v>1103</v>
      </c>
      <c r="D3089" s="37">
        <v>4825000</v>
      </c>
      <c r="E3089" s="12">
        <v>1004508471</v>
      </c>
      <c r="F3089" s="12" t="s">
        <v>1596</v>
      </c>
      <c r="G3089" t="s">
        <v>1094</v>
      </c>
      <c r="H3089" t="e">
        <f>VLOOKUP(C3089,'[1]873'!$C$2:$C$711,1,0)</f>
        <v>#N/A</v>
      </c>
    </row>
    <row r="3090" spans="1:8" ht="15" customHeight="1" x14ac:dyDescent="0.25">
      <c r="A3090" s="33" t="s">
        <v>1285</v>
      </c>
      <c r="B3090" s="12" t="s">
        <v>1335</v>
      </c>
      <c r="C3090" s="12" t="s">
        <v>1104</v>
      </c>
      <c r="D3090" s="37">
        <v>2500000</v>
      </c>
      <c r="E3090" s="12">
        <v>1233189896</v>
      </c>
      <c r="F3090" s="12" t="s">
        <v>1597</v>
      </c>
      <c r="G3090" t="s">
        <v>1094</v>
      </c>
      <c r="H3090" t="e">
        <f>VLOOKUP(C3090,'[1]873'!$C$2:$C$711,1,0)</f>
        <v>#N/A</v>
      </c>
    </row>
    <row r="3091" spans="1:8" ht="15" customHeight="1" x14ac:dyDescent="0.25">
      <c r="A3091" s="33" t="s">
        <v>1286</v>
      </c>
      <c r="B3091" s="12" t="s">
        <v>1336</v>
      </c>
      <c r="C3091" s="12" t="s">
        <v>1105</v>
      </c>
      <c r="D3091" s="37">
        <v>36412170</v>
      </c>
      <c r="E3091" s="12">
        <v>900994364</v>
      </c>
      <c r="F3091" s="12" t="s">
        <v>1599</v>
      </c>
      <c r="G3091" t="s">
        <v>1094</v>
      </c>
      <c r="H3091" t="e">
        <f>VLOOKUP(C3091,'[1]873'!$C$2:$C$711,1,0)</f>
        <v>#N/A</v>
      </c>
    </row>
    <row r="3092" spans="1:8" ht="15" customHeight="1" x14ac:dyDescent="0.25">
      <c r="A3092" s="33" t="s">
        <v>1287</v>
      </c>
      <c r="B3092" s="12" t="s">
        <v>1337</v>
      </c>
      <c r="C3092" s="12" t="s">
        <v>1106</v>
      </c>
      <c r="D3092" s="37">
        <v>6000000</v>
      </c>
      <c r="E3092" s="12">
        <v>1085286476</v>
      </c>
      <c r="F3092" s="12" t="s">
        <v>385</v>
      </c>
      <c r="G3092" t="s">
        <v>1094</v>
      </c>
      <c r="H3092" t="e">
        <f>VLOOKUP(C3092,'[1]873'!$C$2:$C$711,1,0)</f>
        <v>#N/A</v>
      </c>
    </row>
    <row r="3093" spans="1:8" ht="15" customHeight="1" x14ac:dyDescent="0.25">
      <c r="A3093" s="33" t="s">
        <v>1287</v>
      </c>
      <c r="B3093" s="12" t="s">
        <v>1338</v>
      </c>
      <c r="C3093" s="12" t="s">
        <v>1107</v>
      </c>
      <c r="D3093" s="37">
        <v>3000000</v>
      </c>
      <c r="E3093" s="12">
        <v>69028150</v>
      </c>
      <c r="F3093" s="12" t="s">
        <v>171</v>
      </c>
      <c r="G3093" t="s">
        <v>1094</v>
      </c>
      <c r="H3093" t="e">
        <f>VLOOKUP(C3093,'[1]873'!$C$2:$C$711,1,0)</f>
        <v>#N/A</v>
      </c>
    </row>
    <row r="3094" spans="1:8" ht="15" customHeight="1" x14ac:dyDescent="0.25">
      <c r="A3094" s="33" t="s">
        <v>1287</v>
      </c>
      <c r="B3094" s="12" t="s">
        <v>1339</v>
      </c>
      <c r="C3094" s="12" t="s">
        <v>1108</v>
      </c>
      <c r="D3094" s="37">
        <v>7500000</v>
      </c>
      <c r="E3094" s="12">
        <v>80765093</v>
      </c>
      <c r="F3094" s="12" t="s">
        <v>1603</v>
      </c>
      <c r="G3094" t="s">
        <v>1094</v>
      </c>
      <c r="H3094" t="e">
        <f>VLOOKUP(C3094,'[1]873'!$C$2:$C$711,1,0)</f>
        <v>#N/A</v>
      </c>
    </row>
    <row r="3095" spans="1:8" ht="15" customHeight="1" x14ac:dyDescent="0.25">
      <c r="A3095" s="33" t="s">
        <v>1287</v>
      </c>
      <c r="B3095" s="12" t="s">
        <v>1340</v>
      </c>
      <c r="C3095" s="12" t="s">
        <v>1109</v>
      </c>
      <c r="D3095" s="37">
        <v>3000000</v>
      </c>
      <c r="E3095" s="12">
        <v>1081594639</v>
      </c>
      <c r="F3095" s="12" t="s">
        <v>1110</v>
      </c>
      <c r="G3095" t="s">
        <v>1094</v>
      </c>
      <c r="H3095" t="e">
        <f>VLOOKUP(C3095,'[1]873'!$C$2:$C$711,1,0)</f>
        <v>#N/A</v>
      </c>
    </row>
    <row r="3096" spans="1:8" ht="15" customHeight="1" x14ac:dyDescent="0.25">
      <c r="A3096" s="33" t="s">
        <v>1287</v>
      </c>
      <c r="B3096" s="12" t="s">
        <v>1341</v>
      </c>
      <c r="C3096" s="12" t="s">
        <v>1111</v>
      </c>
      <c r="D3096" s="37">
        <v>3000000</v>
      </c>
      <c r="E3096" s="12">
        <v>36752202</v>
      </c>
      <c r="F3096" s="12" t="s">
        <v>1606</v>
      </c>
      <c r="G3096" t="s">
        <v>1094</v>
      </c>
      <c r="H3096" t="e">
        <f>VLOOKUP(C3096,'[1]873'!$C$2:$C$711,1,0)</f>
        <v>#N/A</v>
      </c>
    </row>
    <row r="3097" spans="1:8" ht="15" customHeight="1" x14ac:dyDescent="0.25">
      <c r="A3097" s="33" t="s">
        <v>1288</v>
      </c>
      <c r="B3097" s="12" t="s">
        <v>1342</v>
      </c>
      <c r="C3097" s="12" t="s">
        <v>1112</v>
      </c>
      <c r="D3097" s="37">
        <v>4825000</v>
      </c>
      <c r="E3097" s="12">
        <v>1085338534</v>
      </c>
      <c r="F3097" s="12" t="s">
        <v>1607</v>
      </c>
      <c r="G3097" t="s">
        <v>1094</v>
      </c>
      <c r="H3097" t="e">
        <f>VLOOKUP(C3097,'[1]873'!$C$2:$C$711,1,0)</f>
        <v>#N/A</v>
      </c>
    </row>
    <row r="3098" spans="1:8" ht="15" customHeight="1" x14ac:dyDescent="0.25">
      <c r="A3098" s="33" t="s">
        <v>1288</v>
      </c>
      <c r="B3098" s="12" t="s">
        <v>1343</v>
      </c>
      <c r="C3098" s="12" t="s">
        <v>1113</v>
      </c>
      <c r="D3098" s="37">
        <v>3000000</v>
      </c>
      <c r="E3098" s="12">
        <v>1086222689</v>
      </c>
      <c r="F3098" s="12" t="s">
        <v>1114</v>
      </c>
      <c r="G3098" t="s">
        <v>1094</v>
      </c>
      <c r="H3098" t="e">
        <f>VLOOKUP(C3098,'[1]873'!$C$2:$C$711,1,0)</f>
        <v>#N/A</v>
      </c>
    </row>
    <row r="3099" spans="1:8" ht="15" customHeight="1" x14ac:dyDescent="0.25">
      <c r="A3099" s="33" t="s">
        <v>1288</v>
      </c>
      <c r="B3099" s="12" t="s">
        <v>1344</v>
      </c>
      <c r="C3099" s="12" t="s">
        <v>1115</v>
      </c>
      <c r="D3099" s="37">
        <v>3000000</v>
      </c>
      <c r="E3099" s="12">
        <v>1193271854</v>
      </c>
      <c r="F3099" s="12" t="s">
        <v>229</v>
      </c>
      <c r="G3099" t="s">
        <v>1094</v>
      </c>
      <c r="H3099" t="e">
        <f>VLOOKUP(C3099,'[1]873'!$C$2:$C$711,1,0)</f>
        <v>#N/A</v>
      </c>
    </row>
    <row r="3100" spans="1:8" ht="15" customHeight="1" x14ac:dyDescent="0.25">
      <c r="A3100" s="33" t="s">
        <v>1288</v>
      </c>
      <c r="B3100" s="12" t="s">
        <v>1345</v>
      </c>
      <c r="C3100" s="12" t="s">
        <v>1116</v>
      </c>
      <c r="D3100" s="37">
        <v>4750000</v>
      </c>
      <c r="E3100" s="12">
        <v>59651018</v>
      </c>
      <c r="F3100" s="12" t="s">
        <v>1611</v>
      </c>
      <c r="G3100" t="s">
        <v>1094</v>
      </c>
      <c r="H3100" t="e">
        <f>VLOOKUP(C3100,'[1]873'!$C$2:$C$711,1,0)</f>
        <v>#N/A</v>
      </c>
    </row>
    <row r="3101" spans="1:8" ht="15" customHeight="1" x14ac:dyDescent="0.25">
      <c r="A3101" s="33" t="s">
        <v>1288</v>
      </c>
      <c r="B3101" s="12" t="s">
        <v>1346</v>
      </c>
      <c r="C3101" s="12" t="s">
        <v>1117</v>
      </c>
      <c r="D3101" s="37">
        <v>3000000</v>
      </c>
      <c r="E3101" s="12">
        <v>1081592303</v>
      </c>
      <c r="F3101" s="12" t="s">
        <v>1613</v>
      </c>
      <c r="G3101" t="s">
        <v>1094</v>
      </c>
      <c r="H3101" t="e">
        <f>VLOOKUP(C3101,'[1]873'!$C$2:$C$711,1,0)</f>
        <v>#N/A</v>
      </c>
    </row>
    <row r="3102" spans="1:8" ht="15" customHeight="1" x14ac:dyDescent="0.25">
      <c r="A3102" s="33" t="s">
        <v>1289</v>
      </c>
      <c r="B3102" s="12" t="s">
        <v>1357</v>
      </c>
      <c r="C3102" s="12" t="s">
        <v>1128</v>
      </c>
      <c r="D3102" s="37">
        <v>3000000</v>
      </c>
      <c r="E3102" s="12">
        <v>1137624011</v>
      </c>
      <c r="F3102" s="12" t="s">
        <v>1627</v>
      </c>
      <c r="G3102" t="s">
        <v>1094</v>
      </c>
      <c r="H3102" t="e">
        <f>VLOOKUP(C3102,'[1]873'!$C$2:$C$711,1,0)</f>
        <v>#N/A</v>
      </c>
    </row>
    <row r="3103" spans="1:8" ht="15" customHeight="1" x14ac:dyDescent="0.25">
      <c r="A3103" s="33" t="s">
        <v>1289</v>
      </c>
      <c r="B3103" s="12" t="s">
        <v>1347</v>
      </c>
      <c r="C3103" s="12" t="s">
        <v>1118</v>
      </c>
      <c r="D3103" s="37">
        <v>4750000</v>
      </c>
      <c r="E3103" s="12">
        <v>1085343783</v>
      </c>
      <c r="F3103" s="12" t="s">
        <v>735</v>
      </c>
      <c r="G3103" t="s">
        <v>1094</v>
      </c>
      <c r="H3103" t="e">
        <f>VLOOKUP(C3103,'[1]873'!$C$2:$C$711,1,0)</f>
        <v>#N/A</v>
      </c>
    </row>
    <row r="3104" spans="1:8" ht="15" customHeight="1" x14ac:dyDescent="0.25">
      <c r="A3104" s="33" t="s">
        <v>1289</v>
      </c>
      <c r="B3104" s="12" t="s">
        <v>1348</v>
      </c>
      <c r="C3104" s="12" t="s">
        <v>1119</v>
      </c>
      <c r="D3104" s="37">
        <v>4750000</v>
      </c>
      <c r="E3104" s="12">
        <v>1085345772</v>
      </c>
      <c r="F3104" s="12" t="s">
        <v>1615</v>
      </c>
      <c r="G3104" t="s">
        <v>1094</v>
      </c>
      <c r="H3104" t="e">
        <f>VLOOKUP(C3104,'[1]873'!$C$2:$C$711,1,0)</f>
        <v>#N/A</v>
      </c>
    </row>
    <row r="3105" spans="1:8" ht="15" customHeight="1" x14ac:dyDescent="0.25">
      <c r="A3105" s="33" t="s">
        <v>1289</v>
      </c>
      <c r="B3105" s="12" t="s">
        <v>1349</v>
      </c>
      <c r="C3105" s="12" t="s">
        <v>1120</v>
      </c>
      <c r="D3105" s="37">
        <v>3000000</v>
      </c>
      <c r="E3105" s="12">
        <v>1233189234</v>
      </c>
      <c r="F3105" s="12" t="s">
        <v>87</v>
      </c>
      <c r="G3105" t="s">
        <v>1094</v>
      </c>
      <c r="H3105" t="e">
        <f>VLOOKUP(C3105,'[1]873'!$C$2:$C$711,1,0)</f>
        <v>#N/A</v>
      </c>
    </row>
    <row r="3106" spans="1:8" ht="15" customHeight="1" x14ac:dyDescent="0.25">
      <c r="A3106" s="33" t="s">
        <v>1289</v>
      </c>
      <c r="B3106" s="12" t="s">
        <v>1358</v>
      </c>
      <c r="C3106" s="12" t="s">
        <v>1129</v>
      </c>
      <c r="D3106" s="37">
        <v>4750000</v>
      </c>
      <c r="E3106" s="12">
        <v>36759759</v>
      </c>
      <c r="F3106" s="12" t="s">
        <v>705</v>
      </c>
      <c r="G3106" t="s">
        <v>1094</v>
      </c>
      <c r="H3106" t="e">
        <f>VLOOKUP(C3106,'[1]873'!$C$2:$C$711,1,0)</f>
        <v>#N/A</v>
      </c>
    </row>
    <row r="3107" spans="1:8" ht="15" customHeight="1" x14ac:dyDescent="0.25">
      <c r="A3107" s="33" t="s">
        <v>1289</v>
      </c>
      <c r="B3107" s="12" t="s">
        <v>1350</v>
      </c>
      <c r="C3107" s="12" t="s">
        <v>1121</v>
      </c>
      <c r="D3107" s="37">
        <v>3000000</v>
      </c>
      <c r="E3107" s="12">
        <v>59310524</v>
      </c>
      <c r="F3107" s="12" t="s">
        <v>992</v>
      </c>
      <c r="G3107" t="s">
        <v>1094</v>
      </c>
      <c r="H3107" t="e">
        <f>VLOOKUP(C3107,'[1]873'!$C$2:$C$711,1,0)</f>
        <v>#N/A</v>
      </c>
    </row>
    <row r="3108" spans="1:8" ht="15" customHeight="1" x14ac:dyDescent="0.25">
      <c r="A3108" s="33" t="s">
        <v>1289</v>
      </c>
      <c r="B3108" s="12" t="s">
        <v>1351</v>
      </c>
      <c r="C3108" s="12" t="s">
        <v>1122</v>
      </c>
      <c r="D3108" s="37">
        <v>4825000</v>
      </c>
      <c r="E3108" s="12">
        <v>1085321578</v>
      </c>
      <c r="F3108" s="12" t="s">
        <v>1618</v>
      </c>
      <c r="G3108" t="s">
        <v>1094</v>
      </c>
      <c r="H3108" t="e">
        <f>VLOOKUP(C3108,'[1]873'!$C$2:$C$711,1,0)</f>
        <v>#N/A</v>
      </c>
    </row>
    <row r="3109" spans="1:8" ht="15" customHeight="1" x14ac:dyDescent="0.25">
      <c r="A3109" s="33" t="s">
        <v>1290</v>
      </c>
      <c r="B3109" s="12" t="s">
        <v>1352</v>
      </c>
      <c r="C3109" s="12" t="s">
        <v>1123</v>
      </c>
      <c r="D3109" s="37">
        <v>7500000</v>
      </c>
      <c r="E3109" s="12">
        <v>1085293105</v>
      </c>
      <c r="F3109" s="12" t="s">
        <v>745</v>
      </c>
      <c r="G3109" t="s">
        <v>1094</v>
      </c>
      <c r="H3109" t="e">
        <f>VLOOKUP(C3109,'[1]873'!$C$2:$C$711,1,0)</f>
        <v>#N/A</v>
      </c>
    </row>
    <row r="3110" spans="1:8" ht="15" customHeight="1" x14ac:dyDescent="0.25">
      <c r="A3110" s="33" t="s">
        <v>1290</v>
      </c>
      <c r="B3110" s="12" t="s">
        <v>1353</v>
      </c>
      <c r="C3110" s="12" t="s">
        <v>1124</v>
      </c>
      <c r="D3110" s="37">
        <v>7500000</v>
      </c>
      <c r="E3110" s="12">
        <v>1085336362</v>
      </c>
      <c r="F3110" s="12" t="s">
        <v>1621</v>
      </c>
      <c r="G3110" t="s">
        <v>1094</v>
      </c>
      <c r="H3110" t="e">
        <f>VLOOKUP(C3110,'[1]873'!$C$2:$C$711,1,0)</f>
        <v>#N/A</v>
      </c>
    </row>
    <row r="3111" spans="1:8" ht="15" customHeight="1" x14ac:dyDescent="0.25">
      <c r="A3111" s="33" t="s">
        <v>1290</v>
      </c>
      <c r="B3111" s="12" t="s">
        <v>1354</v>
      </c>
      <c r="C3111" s="12" t="s">
        <v>1125</v>
      </c>
      <c r="D3111" s="37">
        <v>7500000</v>
      </c>
      <c r="E3111" s="12">
        <v>1006946167</v>
      </c>
      <c r="F3111" s="12" t="s">
        <v>1623</v>
      </c>
      <c r="G3111" t="s">
        <v>1094</v>
      </c>
      <c r="H3111" t="e">
        <f>VLOOKUP(C3111,'[1]873'!$C$2:$C$711,1,0)</f>
        <v>#N/A</v>
      </c>
    </row>
    <row r="3112" spans="1:8" ht="15" customHeight="1" x14ac:dyDescent="0.25">
      <c r="A3112" s="33" t="s">
        <v>1290</v>
      </c>
      <c r="B3112" s="12" t="s">
        <v>1355</v>
      </c>
      <c r="C3112" s="12" t="s">
        <v>1126</v>
      </c>
      <c r="D3112" s="37">
        <v>3000000</v>
      </c>
      <c r="E3112" s="12">
        <v>1085317833</v>
      </c>
      <c r="F3112" s="12" t="s">
        <v>11</v>
      </c>
      <c r="G3112" t="s">
        <v>1094</v>
      </c>
      <c r="H3112" t="e">
        <f>VLOOKUP(C3112,'[1]873'!$C$2:$C$711,1,0)</f>
        <v>#N/A</v>
      </c>
    </row>
    <row r="3113" spans="1:8" ht="15" customHeight="1" x14ac:dyDescent="0.25">
      <c r="A3113" s="33" t="s">
        <v>1292</v>
      </c>
      <c r="B3113" s="12" t="s">
        <v>1359</v>
      </c>
      <c r="C3113" s="12" t="s">
        <v>1130</v>
      </c>
      <c r="D3113" s="37">
        <v>6000000</v>
      </c>
      <c r="E3113" s="12">
        <v>1085283868</v>
      </c>
      <c r="F3113" s="12" t="s">
        <v>1630</v>
      </c>
      <c r="G3113" t="s">
        <v>1094</v>
      </c>
      <c r="H3113" t="e">
        <f>VLOOKUP(C3113,'[1]873'!$C$2:$C$711,1,0)</f>
        <v>#N/A</v>
      </c>
    </row>
    <row r="3114" spans="1:8" ht="15" customHeight="1" x14ac:dyDescent="0.25">
      <c r="A3114" s="33" t="s">
        <v>1292</v>
      </c>
      <c r="B3114" s="12" t="s">
        <v>1360</v>
      </c>
      <c r="C3114" s="12" t="s">
        <v>1132</v>
      </c>
      <c r="D3114" s="37">
        <v>3000000</v>
      </c>
      <c r="E3114" s="12">
        <v>98382500</v>
      </c>
      <c r="F3114" s="12" t="s">
        <v>183</v>
      </c>
      <c r="G3114" t="s">
        <v>1094</v>
      </c>
      <c r="H3114" t="e">
        <f>VLOOKUP(C3114,'[1]873'!$C$2:$C$711,1,0)</f>
        <v>#N/A</v>
      </c>
    </row>
    <row r="3115" spans="1:8" ht="15" customHeight="1" x14ac:dyDescent="0.25">
      <c r="A3115" s="33" t="s">
        <v>1292</v>
      </c>
      <c r="B3115" s="12" t="s">
        <v>1361</v>
      </c>
      <c r="C3115" s="12" t="s">
        <v>1133</v>
      </c>
      <c r="D3115" s="37">
        <v>3000000</v>
      </c>
      <c r="E3115" s="12">
        <v>59834953</v>
      </c>
      <c r="F3115" s="12" t="s">
        <v>1633</v>
      </c>
      <c r="G3115" t="s">
        <v>1094</v>
      </c>
      <c r="H3115" t="e">
        <f>VLOOKUP(C3115,'[1]873'!$C$2:$C$711,1,0)</f>
        <v>#N/A</v>
      </c>
    </row>
    <row r="3116" spans="1:8" ht="15" customHeight="1" x14ac:dyDescent="0.25">
      <c r="A3116" s="33" t="s">
        <v>1292</v>
      </c>
      <c r="B3116" s="12" t="s">
        <v>1362</v>
      </c>
      <c r="C3116" s="12" t="s">
        <v>1134</v>
      </c>
      <c r="D3116" s="37">
        <v>3000000</v>
      </c>
      <c r="E3116" s="12">
        <v>1010082397</v>
      </c>
      <c r="F3116" s="12" t="s">
        <v>209</v>
      </c>
      <c r="G3116" t="s">
        <v>1094</v>
      </c>
      <c r="H3116" t="e">
        <f>VLOOKUP(C3116,'[1]873'!$C$2:$C$711,1,0)</f>
        <v>#N/A</v>
      </c>
    </row>
    <row r="3117" spans="1:8" ht="15" customHeight="1" x14ac:dyDescent="0.25">
      <c r="A3117" s="33" t="s">
        <v>1292</v>
      </c>
      <c r="B3117" s="12" t="s">
        <v>1363</v>
      </c>
      <c r="C3117" s="12" t="s">
        <v>1135</v>
      </c>
      <c r="D3117" s="37">
        <v>3000000</v>
      </c>
      <c r="E3117" s="12">
        <v>36954407</v>
      </c>
      <c r="F3117" s="12" t="s">
        <v>679</v>
      </c>
      <c r="G3117" t="s">
        <v>1094</v>
      </c>
      <c r="H3117" t="e">
        <f>VLOOKUP(C3117,'[1]873'!$C$2:$C$711,1,0)</f>
        <v>#N/A</v>
      </c>
    </row>
    <row r="3118" spans="1:8" ht="15" customHeight="1" x14ac:dyDescent="0.25">
      <c r="A3118" s="33" t="s">
        <v>1292</v>
      </c>
      <c r="B3118" s="12" t="s">
        <v>1364</v>
      </c>
      <c r="C3118" s="12" t="s">
        <v>1136</v>
      </c>
      <c r="D3118" s="37">
        <v>4825000</v>
      </c>
      <c r="E3118" s="12">
        <v>1080900817</v>
      </c>
      <c r="F3118" s="12" t="s">
        <v>1016</v>
      </c>
      <c r="G3118" t="s">
        <v>1094</v>
      </c>
      <c r="H3118" t="e">
        <f>VLOOKUP(C3118,'[1]873'!$C$2:$C$711,1,0)</f>
        <v>#N/A</v>
      </c>
    </row>
    <row r="3119" spans="1:8" ht="15" customHeight="1" x14ac:dyDescent="0.25">
      <c r="A3119" s="33" t="s">
        <v>1292</v>
      </c>
      <c r="B3119" s="12" t="s">
        <v>1365</v>
      </c>
      <c r="C3119" s="12" t="s">
        <v>1137</v>
      </c>
      <c r="D3119" s="37">
        <v>6000000</v>
      </c>
      <c r="E3119" s="12">
        <v>59837608</v>
      </c>
      <c r="F3119" s="12" t="s">
        <v>145</v>
      </c>
      <c r="G3119" t="s">
        <v>1094</v>
      </c>
      <c r="H3119" t="e">
        <f>VLOOKUP(C3119,'[1]873'!$C$2:$C$711,1,0)</f>
        <v>#N/A</v>
      </c>
    </row>
    <row r="3120" spans="1:8" ht="15" customHeight="1" x14ac:dyDescent="0.25">
      <c r="A3120" s="33" t="s">
        <v>1292</v>
      </c>
      <c r="B3120" s="12" t="s">
        <v>1366</v>
      </c>
      <c r="C3120" s="12" t="s">
        <v>1138</v>
      </c>
      <c r="D3120" s="37">
        <v>4825000</v>
      </c>
      <c r="E3120" s="12">
        <v>1085269530</v>
      </c>
      <c r="F3120" s="12" t="s">
        <v>1636</v>
      </c>
      <c r="G3120" t="s">
        <v>1094</v>
      </c>
      <c r="H3120" t="e">
        <f>VLOOKUP(C3120,'[1]873'!$C$2:$C$711,1,0)</f>
        <v>#N/A</v>
      </c>
    </row>
    <row r="3121" spans="1:8" ht="15" customHeight="1" x14ac:dyDescent="0.25">
      <c r="A3121" s="33" t="s">
        <v>1292</v>
      </c>
      <c r="B3121" s="12" t="s">
        <v>1367</v>
      </c>
      <c r="C3121" s="12" t="s">
        <v>1139</v>
      </c>
      <c r="D3121" s="37">
        <v>3000000</v>
      </c>
      <c r="E3121" s="12">
        <v>1085255829</v>
      </c>
      <c r="F3121" s="12" t="s">
        <v>1638</v>
      </c>
      <c r="G3121" t="s">
        <v>1094</v>
      </c>
      <c r="H3121" t="e">
        <f>VLOOKUP(C3121,'[1]873'!$C$2:$C$711,1,0)</f>
        <v>#N/A</v>
      </c>
    </row>
    <row r="3122" spans="1:8" ht="15" customHeight="1" x14ac:dyDescent="0.25">
      <c r="A3122" s="33" t="s">
        <v>1292</v>
      </c>
      <c r="B3122" s="12" t="s">
        <v>1368</v>
      </c>
      <c r="C3122" s="12" t="s">
        <v>1140</v>
      </c>
      <c r="D3122" s="37">
        <v>3000000</v>
      </c>
      <c r="E3122" s="12">
        <v>1193224810</v>
      </c>
      <c r="F3122" s="12" t="s">
        <v>1640</v>
      </c>
      <c r="G3122" t="s">
        <v>1094</v>
      </c>
      <c r="H3122" t="e">
        <f>VLOOKUP(C3122,'[1]873'!$C$2:$C$711,1,0)</f>
        <v>#N/A</v>
      </c>
    </row>
    <row r="3123" spans="1:8" ht="15" customHeight="1" x14ac:dyDescent="0.25">
      <c r="A3123" s="33" t="s">
        <v>1292</v>
      </c>
      <c r="B3123" s="12" t="s">
        <v>1369</v>
      </c>
      <c r="C3123" s="12" t="s">
        <v>1141</v>
      </c>
      <c r="D3123" s="37">
        <v>4750000</v>
      </c>
      <c r="E3123" s="12">
        <v>1085340885</v>
      </c>
      <c r="F3123" s="12" t="s">
        <v>1142</v>
      </c>
      <c r="G3123" t="s">
        <v>1094</v>
      </c>
      <c r="H3123" t="e">
        <f>VLOOKUP(C3123,'[1]873'!$C$2:$C$711,1,0)</f>
        <v>#N/A</v>
      </c>
    </row>
    <row r="3124" spans="1:8" ht="15" customHeight="1" x14ac:dyDescent="0.25">
      <c r="A3124" s="33" t="s">
        <v>1292</v>
      </c>
      <c r="B3124" s="12" t="s">
        <v>1370</v>
      </c>
      <c r="C3124" s="12" t="s">
        <v>1143</v>
      </c>
      <c r="D3124" s="37">
        <v>2500000</v>
      </c>
      <c r="E3124" s="12">
        <v>12974849</v>
      </c>
      <c r="F3124" s="12" t="s">
        <v>1643</v>
      </c>
      <c r="G3124" t="s">
        <v>1094</v>
      </c>
      <c r="H3124" t="e">
        <f>VLOOKUP(C3124,'[1]873'!$C$2:$C$711,1,0)</f>
        <v>#N/A</v>
      </c>
    </row>
    <row r="3125" spans="1:8" ht="15" customHeight="1" x14ac:dyDescent="0.25">
      <c r="A3125" s="33" t="s">
        <v>1292</v>
      </c>
      <c r="B3125" s="12" t="s">
        <v>1371</v>
      </c>
      <c r="C3125" s="12" t="s">
        <v>1144</v>
      </c>
      <c r="D3125" s="37">
        <v>4750000</v>
      </c>
      <c r="E3125" s="12">
        <v>27087475</v>
      </c>
      <c r="F3125" s="12" t="s">
        <v>1645</v>
      </c>
      <c r="G3125" t="s">
        <v>1094</v>
      </c>
      <c r="H3125" t="e">
        <f>VLOOKUP(C3125,'[1]873'!$C$2:$C$711,1,0)</f>
        <v>#N/A</v>
      </c>
    </row>
    <row r="3126" spans="1:8" ht="15" customHeight="1" x14ac:dyDescent="0.25">
      <c r="A3126" s="33" t="s">
        <v>1292</v>
      </c>
      <c r="B3126" s="12" t="s">
        <v>1372</v>
      </c>
      <c r="C3126" s="12" t="s">
        <v>1145</v>
      </c>
      <c r="D3126" s="37">
        <v>3000000</v>
      </c>
      <c r="E3126" s="12">
        <v>1233191675</v>
      </c>
      <c r="F3126" s="12" t="s">
        <v>523</v>
      </c>
      <c r="G3126" t="s">
        <v>1094</v>
      </c>
      <c r="H3126" t="e">
        <f>VLOOKUP(C3126,'[1]873'!$C$2:$C$711,1,0)</f>
        <v>#N/A</v>
      </c>
    </row>
    <row r="3127" spans="1:8" ht="15" customHeight="1" x14ac:dyDescent="0.25">
      <c r="A3127" s="33" t="s">
        <v>1292</v>
      </c>
      <c r="B3127" s="12" t="s">
        <v>1373</v>
      </c>
      <c r="C3127" s="12" t="s">
        <v>1146</v>
      </c>
      <c r="D3127" s="37">
        <v>3000000</v>
      </c>
      <c r="E3127" s="12">
        <v>37084285</v>
      </c>
      <c r="F3127" s="12" t="s">
        <v>119</v>
      </c>
      <c r="G3127" t="s">
        <v>1094</v>
      </c>
      <c r="H3127" t="e">
        <f>VLOOKUP(C3127,'[1]873'!$C$2:$C$711,1,0)</f>
        <v>#N/A</v>
      </c>
    </row>
    <row r="3128" spans="1:8" ht="15" customHeight="1" x14ac:dyDescent="0.25">
      <c r="A3128" s="33" t="s">
        <v>1292</v>
      </c>
      <c r="B3128" s="12" t="s">
        <v>1374</v>
      </c>
      <c r="C3128" s="12" t="s">
        <v>1147</v>
      </c>
      <c r="D3128" s="37">
        <v>3000000</v>
      </c>
      <c r="E3128" s="12">
        <v>1085271641</v>
      </c>
      <c r="F3128" s="12" t="s">
        <v>1649</v>
      </c>
      <c r="G3128" t="s">
        <v>1094</v>
      </c>
      <c r="H3128" t="e">
        <f>VLOOKUP(C3128,'[1]873'!$C$2:$C$711,1,0)</f>
        <v>#N/A</v>
      </c>
    </row>
    <row r="3129" spans="1:8" ht="15" customHeight="1" x14ac:dyDescent="0.25">
      <c r="A3129" s="33" t="s">
        <v>1292</v>
      </c>
      <c r="B3129" s="12" t="s">
        <v>1375</v>
      </c>
      <c r="C3129" s="12" t="s">
        <v>1148</v>
      </c>
      <c r="D3129" s="37">
        <v>3000000</v>
      </c>
      <c r="E3129" s="12">
        <v>1004535234</v>
      </c>
      <c r="F3129" s="12" t="s">
        <v>507</v>
      </c>
      <c r="G3129" t="s">
        <v>1094</v>
      </c>
      <c r="H3129" t="e">
        <f>VLOOKUP(C3129,'[1]873'!$C$2:$C$711,1,0)</f>
        <v>#N/A</v>
      </c>
    </row>
    <row r="3130" spans="1:8" ht="15" customHeight="1" x14ac:dyDescent="0.25">
      <c r="A3130" s="33" t="s">
        <v>1293</v>
      </c>
      <c r="B3130" s="12" t="s">
        <v>1376</v>
      </c>
      <c r="C3130" s="12" t="s">
        <v>1149</v>
      </c>
      <c r="D3130" s="37">
        <v>3000000</v>
      </c>
      <c r="E3130" s="12">
        <v>1192717330</v>
      </c>
      <c r="F3130" s="12" t="s">
        <v>277</v>
      </c>
      <c r="G3130" t="s">
        <v>1094</v>
      </c>
      <c r="H3130" t="e">
        <f>VLOOKUP(C3130,'[1]873'!$C$2:$C$711,1,0)</f>
        <v>#N/A</v>
      </c>
    </row>
    <row r="3131" spans="1:8" ht="15" customHeight="1" x14ac:dyDescent="0.25">
      <c r="A3131" s="33" t="s">
        <v>1293</v>
      </c>
      <c r="B3131" s="12" t="s">
        <v>1377</v>
      </c>
      <c r="C3131" s="12" t="s">
        <v>1150</v>
      </c>
      <c r="D3131" s="37">
        <v>6000000</v>
      </c>
      <c r="E3131" s="12">
        <v>1085275879</v>
      </c>
      <c r="F3131" s="12" t="s">
        <v>117</v>
      </c>
      <c r="G3131" t="s">
        <v>1094</v>
      </c>
      <c r="H3131" t="e">
        <f>VLOOKUP(C3131,'[1]873'!$C$2:$C$711,1,0)</f>
        <v>#N/A</v>
      </c>
    </row>
    <row r="3132" spans="1:8" ht="15" customHeight="1" x14ac:dyDescent="0.25">
      <c r="A3132" s="33" t="s">
        <v>1293</v>
      </c>
      <c r="B3132" s="12" t="s">
        <v>1378</v>
      </c>
      <c r="C3132" s="12" t="s">
        <v>1151</v>
      </c>
      <c r="D3132" s="37">
        <v>3000000</v>
      </c>
      <c r="E3132" s="12">
        <v>1085269090</v>
      </c>
      <c r="F3132" s="12" t="s">
        <v>371</v>
      </c>
      <c r="G3132" t="s">
        <v>1094</v>
      </c>
      <c r="H3132" t="e">
        <f>VLOOKUP(C3132,'[1]873'!$C$2:$C$711,1,0)</f>
        <v>#N/A</v>
      </c>
    </row>
    <row r="3133" spans="1:8" ht="15" customHeight="1" x14ac:dyDescent="0.25">
      <c r="A3133" s="33" t="s">
        <v>1293</v>
      </c>
      <c r="B3133" s="12" t="s">
        <v>1379</v>
      </c>
      <c r="C3133" s="12" t="s">
        <v>1152</v>
      </c>
      <c r="D3133" s="37">
        <v>6000000</v>
      </c>
      <c r="E3133" s="12">
        <v>1014212900</v>
      </c>
      <c r="F3133" s="12" t="s">
        <v>1654</v>
      </c>
      <c r="G3133" t="s">
        <v>1094</v>
      </c>
      <c r="H3133" t="e">
        <f>VLOOKUP(C3133,'[1]873'!$C$2:$C$711,1,0)</f>
        <v>#N/A</v>
      </c>
    </row>
    <row r="3134" spans="1:8" ht="15" customHeight="1" x14ac:dyDescent="0.25">
      <c r="A3134" s="33" t="s">
        <v>1293</v>
      </c>
      <c r="B3134" s="12" t="s">
        <v>1380</v>
      </c>
      <c r="C3134" s="12" t="s">
        <v>1153</v>
      </c>
      <c r="D3134" s="37">
        <v>3000000</v>
      </c>
      <c r="E3134" s="12">
        <v>37082232</v>
      </c>
      <c r="F3134" s="12" t="s">
        <v>1655</v>
      </c>
      <c r="G3134" t="s">
        <v>1094</v>
      </c>
      <c r="H3134" t="e">
        <f>VLOOKUP(C3134,'[1]873'!$C$2:$C$711,1,0)</f>
        <v>#N/A</v>
      </c>
    </row>
    <row r="3135" spans="1:8" ht="15" customHeight="1" x14ac:dyDescent="0.25">
      <c r="A3135" s="33" t="s">
        <v>1293</v>
      </c>
      <c r="B3135" s="12" t="s">
        <v>1381</v>
      </c>
      <c r="C3135" s="12" t="s">
        <v>1154</v>
      </c>
      <c r="D3135" s="37">
        <v>3000000</v>
      </c>
      <c r="E3135" s="12">
        <v>1004743217</v>
      </c>
      <c r="F3135" s="12" t="s">
        <v>1656</v>
      </c>
      <c r="G3135" t="s">
        <v>1094</v>
      </c>
      <c r="H3135" t="e">
        <f>VLOOKUP(C3135,'[1]873'!$C$2:$C$711,1,0)</f>
        <v>#N/A</v>
      </c>
    </row>
    <row r="3136" spans="1:8" ht="15" customHeight="1" x14ac:dyDescent="0.25">
      <c r="A3136" s="33" t="s">
        <v>1293</v>
      </c>
      <c r="B3136" s="12" t="s">
        <v>1382</v>
      </c>
      <c r="C3136" s="12" t="s">
        <v>1155</v>
      </c>
      <c r="D3136" s="37">
        <v>3000000</v>
      </c>
      <c r="E3136" s="12">
        <v>1085326791</v>
      </c>
      <c r="F3136" s="12" t="s">
        <v>479</v>
      </c>
      <c r="G3136" t="s">
        <v>1094</v>
      </c>
      <c r="H3136" t="e">
        <f>VLOOKUP(C3136,'[1]873'!$C$2:$C$711,1,0)</f>
        <v>#N/A</v>
      </c>
    </row>
    <row r="3137" spans="1:8" ht="15" customHeight="1" x14ac:dyDescent="0.25">
      <c r="A3137" s="33" t="s">
        <v>1293</v>
      </c>
      <c r="B3137" s="12" t="s">
        <v>1383</v>
      </c>
      <c r="C3137" s="12" t="s">
        <v>1156</v>
      </c>
      <c r="D3137" s="37">
        <v>3000000</v>
      </c>
      <c r="E3137" s="12">
        <v>1081272025</v>
      </c>
      <c r="F3137" s="12" t="s">
        <v>59</v>
      </c>
      <c r="G3137" t="s">
        <v>1094</v>
      </c>
      <c r="H3137" t="e">
        <f>VLOOKUP(C3137,'[1]873'!$C$2:$C$711,1,0)</f>
        <v>#N/A</v>
      </c>
    </row>
    <row r="3138" spans="1:8" ht="15" customHeight="1" x14ac:dyDescent="0.25">
      <c r="A3138" s="33" t="s">
        <v>1293</v>
      </c>
      <c r="B3138" s="12" t="s">
        <v>1384</v>
      </c>
      <c r="C3138" s="12" t="s">
        <v>1097</v>
      </c>
      <c r="D3138" s="37">
        <v>6000000</v>
      </c>
      <c r="E3138" s="12">
        <v>1085340697</v>
      </c>
      <c r="F3138" s="12" t="s">
        <v>1098</v>
      </c>
      <c r="G3138" t="s">
        <v>1094</v>
      </c>
      <c r="H3138" t="e">
        <f>VLOOKUP(C3138,'[1]873'!$C$2:$C$711,1,0)</f>
        <v>#N/A</v>
      </c>
    </row>
    <row r="3139" spans="1:8" ht="15" customHeight="1" x14ac:dyDescent="0.25">
      <c r="A3139" s="33" t="s">
        <v>1291</v>
      </c>
      <c r="B3139" s="12" t="s">
        <v>1385</v>
      </c>
      <c r="C3139" s="12" t="s">
        <v>1157</v>
      </c>
      <c r="D3139" s="37">
        <v>3000000</v>
      </c>
      <c r="E3139" s="12">
        <v>1085315013</v>
      </c>
      <c r="F3139" s="12" t="s">
        <v>1659</v>
      </c>
      <c r="G3139" t="s">
        <v>1094</v>
      </c>
      <c r="H3139" t="e">
        <f>VLOOKUP(C3139,'[1]873'!$C$2:$C$711,1,0)</f>
        <v>#N/A</v>
      </c>
    </row>
    <row r="3140" spans="1:8" ht="15" customHeight="1" x14ac:dyDescent="0.25">
      <c r="A3140" s="33" t="s">
        <v>1291</v>
      </c>
      <c r="B3140" s="12" t="s">
        <v>1386</v>
      </c>
      <c r="C3140" s="12" t="s">
        <v>1159</v>
      </c>
      <c r="D3140" s="37">
        <v>3000000</v>
      </c>
      <c r="E3140" s="12">
        <v>1086363186</v>
      </c>
      <c r="F3140" s="12" t="s">
        <v>1160</v>
      </c>
      <c r="G3140" t="s">
        <v>1094</v>
      </c>
      <c r="H3140" t="e">
        <f>VLOOKUP(C3140,'[1]873'!$C$2:$C$711,1,0)</f>
        <v>#N/A</v>
      </c>
    </row>
    <row r="3141" spans="1:8" ht="15" customHeight="1" x14ac:dyDescent="0.25">
      <c r="A3141" s="33" t="s">
        <v>1291</v>
      </c>
      <c r="B3141" s="12" t="s">
        <v>1387</v>
      </c>
      <c r="C3141" s="12" t="s">
        <v>1161</v>
      </c>
      <c r="D3141" s="37">
        <v>2500000</v>
      </c>
      <c r="E3141" s="12">
        <v>1075242334</v>
      </c>
      <c r="F3141" s="12" t="s">
        <v>1276</v>
      </c>
      <c r="G3141" t="s">
        <v>1094</v>
      </c>
      <c r="H3141" t="e">
        <f>VLOOKUP(C3141,'[1]873'!$C$2:$C$711,1,0)</f>
        <v>#N/A</v>
      </c>
    </row>
    <row r="3142" spans="1:8" ht="15" customHeight="1" x14ac:dyDescent="0.25">
      <c r="A3142" s="33" t="s">
        <v>1291</v>
      </c>
      <c r="B3142" s="12" t="s">
        <v>1388</v>
      </c>
      <c r="C3142" s="12" t="s">
        <v>1162</v>
      </c>
      <c r="D3142" s="37">
        <v>3000000</v>
      </c>
      <c r="E3142" s="12">
        <v>1087006717</v>
      </c>
      <c r="F3142" s="12" t="s">
        <v>1661</v>
      </c>
      <c r="G3142" t="s">
        <v>1094</v>
      </c>
      <c r="H3142" t="e">
        <f>VLOOKUP(C3142,'[1]873'!$C$2:$C$711,1,0)</f>
        <v>#N/A</v>
      </c>
    </row>
    <row r="3143" spans="1:8" ht="15" customHeight="1" x14ac:dyDescent="0.25">
      <c r="A3143" s="33" t="s">
        <v>1291</v>
      </c>
      <c r="B3143" s="12" t="s">
        <v>1356</v>
      </c>
      <c r="C3143" s="12" t="s">
        <v>1127</v>
      </c>
      <c r="D3143" s="37">
        <v>7500000</v>
      </c>
      <c r="E3143" s="12">
        <v>1006106084</v>
      </c>
      <c r="F3143" s="12" t="s">
        <v>1625</v>
      </c>
      <c r="G3143" t="s">
        <v>1094</v>
      </c>
      <c r="H3143" t="e">
        <f>VLOOKUP(C3143,'[1]873'!$C$2:$C$711,1,0)</f>
        <v>#N/A</v>
      </c>
    </row>
    <row r="3144" spans="1:8" ht="15" customHeight="1" x14ac:dyDescent="0.25">
      <c r="A3144" s="33" t="s">
        <v>1294</v>
      </c>
      <c r="B3144" s="12" t="s">
        <v>1389</v>
      </c>
      <c r="C3144" s="12" t="s">
        <v>1164</v>
      </c>
      <c r="D3144" s="37">
        <v>3000000</v>
      </c>
      <c r="E3144" s="12">
        <v>1085339190</v>
      </c>
      <c r="F3144" s="12" t="s">
        <v>149</v>
      </c>
      <c r="G3144" t="s">
        <v>1094</v>
      </c>
      <c r="H3144" t="e">
        <f>VLOOKUP(C3144,'[1]873'!$C$2:$C$711,1,0)</f>
        <v>#N/A</v>
      </c>
    </row>
    <row r="3145" spans="1:8" ht="15" customHeight="1" x14ac:dyDescent="0.25">
      <c r="A3145" s="33" t="s">
        <v>1295</v>
      </c>
      <c r="B3145" s="12" t="s">
        <v>1390</v>
      </c>
      <c r="C3145" s="12" t="s">
        <v>1105</v>
      </c>
      <c r="D3145" s="37">
        <v>35977830</v>
      </c>
      <c r="E3145" s="12">
        <v>900994364</v>
      </c>
      <c r="F3145" s="12" t="s">
        <v>1599</v>
      </c>
      <c r="G3145" t="s">
        <v>1094</v>
      </c>
      <c r="H3145" t="e">
        <f>VLOOKUP(C3145,'[1]873'!$C$2:$C$711,1,0)</f>
        <v>#N/A</v>
      </c>
    </row>
    <row r="3146" spans="1:8" ht="15" customHeight="1" x14ac:dyDescent="0.25">
      <c r="A3146" s="33" t="s">
        <v>1296</v>
      </c>
      <c r="B3146" s="12" t="s">
        <v>1391</v>
      </c>
      <c r="C3146" s="12" t="s">
        <v>1100</v>
      </c>
      <c r="D3146" s="37">
        <v>6000000</v>
      </c>
      <c r="E3146" s="12">
        <v>1085303585</v>
      </c>
      <c r="F3146" s="12" t="s">
        <v>1593</v>
      </c>
      <c r="G3146" t="s">
        <v>1094</v>
      </c>
      <c r="H3146" t="e">
        <f>VLOOKUP(C3146,'[1]873'!$C$2:$C$711,1,0)</f>
        <v>#N/A</v>
      </c>
    </row>
    <row r="3147" spans="1:8" ht="15" customHeight="1" x14ac:dyDescent="0.25">
      <c r="A3147" s="33" t="s">
        <v>1296</v>
      </c>
      <c r="B3147" s="12" t="s">
        <v>1392</v>
      </c>
      <c r="C3147" s="12" t="s">
        <v>1165</v>
      </c>
      <c r="D3147" s="37">
        <v>3000000</v>
      </c>
      <c r="E3147" s="12">
        <v>1085286742</v>
      </c>
      <c r="F3147" s="12" t="s">
        <v>75</v>
      </c>
      <c r="G3147" t="s">
        <v>1094</v>
      </c>
      <c r="H3147" t="e">
        <f>VLOOKUP(C3147,'[1]873'!$C$2:$C$711,1,0)</f>
        <v>#N/A</v>
      </c>
    </row>
    <row r="3148" spans="1:8" ht="15" customHeight="1" x14ac:dyDescent="0.25">
      <c r="A3148" s="33" t="s">
        <v>1296</v>
      </c>
      <c r="B3148" s="12" t="s">
        <v>1393</v>
      </c>
      <c r="C3148" s="12" t="s">
        <v>1166</v>
      </c>
      <c r="D3148" s="37">
        <v>6000000</v>
      </c>
      <c r="E3148" s="12">
        <v>97470681</v>
      </c>
      <c r="F3148" s="12" t="s">
        <v>329</v>
      </c>
      <c r="G3148" t="s">
        <v>1094</v>
      </c>
      <c r="H3148" t="e">
        <f>VLOOKUP(C3148,'[1]873'!$C$2:$C$711,1,0)</f>
        <v>#N/A</v>
      </c>
    </row>
    <row r="3149" spans="1:8" ht="15" customHeight="1" x14ac:dyDescent="0.25">
      <c r="A3149" s="33" t="s">
        <v>1296</v>
      </c>
      <c r="B3149" s="12" t="s">
        <v>1394</v>
      </c>
      <c r="C3149" s="12" t="s">
        <v>1167</v>
      </c>
      <c r="D3149" s="37">
        <v>6000000</v>
      </c>
      <c r="E3149" s="12">
        <v>36757221</v>
      </c>
      <c r="F3149" s="12" t="s">
        <v>1666</v>
      </c>
      <c r="G3149" t="s">
        <v>1094</v>
      </c>
      <c r="H3149" t="e">
        <f>VLOOKUP(C3149,'[1]873'!$C$2:$C$711,1,0)</f>
        <v>#N/A</v>
      </c>
    </row>
    <row r="3150" spans="1:8" ht="15" customHeight="1" x14ac:dyDescent="0.25">
      <c r="A3150" s="33" t="s">
        <v>1296</v>
      </c>
      <c r="B3150" s="12" t="s">
        <v>1395</v>
      </c>
      <c r="C3150" s="12" t="s">
        <v>1096</v>
      </c>
      <c r="D3150" s="37">
        <v>4750000</v>
      </c>
      <c r="E3150" s="12">
        <v>1085330309</v>
      </c>
      <c r="F3150" s="12" t="s">
        <v>1590</v>
      </c>
      <c r="G3150" t="s">
        <v>1094</v>
      </c>
      <c r="H3150" t="e">
        <f>VLOOKUP(C3150,'[1]873'!$C$2:$C$711,1,0)</f>
        <v>#N/A</v>
      </c>
    </row>
    <row r="3151" spans="1:8" ht="15" customHeight="1" x14ac:dyDescent="0.25">
      <c r="A3151" s="33" t="s">
        <v>1296</v>
      </c>
      <c r="B3151" s="12" t="s">
        <v>1396</v>
      </c>
      <c r="C3151" s="12" t="s">
        <v>1168</v>
      </c>
      <c r="D3151" s="37">
        <v>3000000</v>
      </c>
      <c r="E3151" s="12">
        <v>1081572043</v>
      </c>
      <c r="F3151" s="12" t="s">
        <v>1668</v>
      </c>
      <c r="G3151" t="s">
        <v>1094</v>
      </c>
      <c r="H3151" t="e">
        <f>VLOOKUP(C3151,'[1]873'!$C$2:$C$711,1,0)</f>
        <v>#N/A</v>
      </c>
    </row>
    <row r="3152" spans="1:8" ht="15" customHeight="1" x14ac:dyDescent="0.25">
      <c r="A3152" s="33" t="s">
        <v>1296</v>
      </c>
      <c r="B3152" s="12" t="s">
        <v>1397</v>
      </c>
      <c r="C3152" s="12" t="s">
        <v>1118</v>
      </c>
      <c r="D3152" s="37">
        <v>4750000</v>
      </c>
      <c r="E3152" s="12">
        <v>1085343783</v>
      </c>
      <c r="F3152" s="12" t="s">
        <v>735</v>
      </c>
      <c r="G3152" t="s">
        <v>1094</v>
      </c>
      <c r="H3152" t="e">
        <f>VLOOKUP(C3152,'[1]873'!$C$2:$C$711,1,0)</f>
        <v>#N/A</v>
      </c>
    </row>
    <row r="3153" spans="1:8" ht="15" customHeight="1" x14ac:dyDescent="0.25">
      <c r="A3153" s="33" t="s">
        <v>1296</v>
      </c>
      <c r="B3153" s="12" t="s">
        <v>1398</v>
      </c>
      <c r="C3153" s="12" t="s">
        <v>1169</v>
      </c>
      <c r="D3153" s="37">
        <v>6000000</v>
      </c>
      <c r="E3153" s="12">
        <v>59820414</v>
      </c>
      <c r="F3153" s="12" t="s">
        <v>457</v>
      </c>
      <c r="G3153" t="s">
        <v>1094</v>
      </c>
      <c r="H3153" t="e">
        <f>VLOOKUP(C3153,'[1]873'!$C$2:$C$711,1,0)</f>
        <v>#N/A</v>
      </c>
    </row>
    <row r="3154" spans="1:8" ht="15" customHeight="1" x14ac:dyDescent="0.25">
      <c r="A3154" s="33" t="s">
        <v>1296</v>
      </c>
      <c r="B3154" s="12" t="s">
        <v>1399</v>
      </c>
      <c r="C3154" s="12" t="s">
        <v>1170</v>
      </c>
      <c r="D3154" s="37">
        <v>2500000</v>
      </c>
      <c r="E3154" s="12">
        <v>1085304072</v>
      </c>
      <c r="F3154" s="12" t="s">
        <v>1171</v>
      </c>
      <c r="G3154" t="s">
        <v>1094</v>
      </c>
      <c r="H3154" t="e">
        <f>VLOOKUP(C3154,'[1]873'!$C$2:$C$711,1,0)</f>
        <v>#N/A</v>
      </c>
    </row>
    <row r="3155" spans="1:8" ht="15" customHeight="1" x14ac:dyDescent="0.25">
      <c r="A3155" s="33" t="s">
        <v>1296</v>
      </c>
      <c r="B3155" s="12" t="s">
        <v>1400</v>
      </c>
      <c r="C3155" s="12" t="s">
        <v>1172</v>
      </c>
      <c r="D3155" s="37">
        <v>4750000</v>
      </c>
      <c r="E3155" s="12">
        <v>1018492767</v>
      </c>
      <c r="F3155" s="12" t="s">
        <v>915</v>
      </c>
      <c r="G3155" t="s">
        <v>1094</v>
      </c>
      <c r="H3155" t="e">
        <f>VLOOKUP(C3155,'[1]873'!$C$2:$C$711,1,0)</f>
        <v>#N/A</v>
      </c>
    </row>
    <row r="3156" spans="1:8" ht="15" customHeight="1" x14ac:dyDescent="0.25">
      <c r="A3156" s="33" t="s">
        <v>1296</v>
      </c>
      <c r="B3156" s="12" t="s">
        <v>1401</v>
      </c>
      <c r="C3156" s="12" t="s">
        <v>1173</v>
      </c>
      <c r="D3156" s="37">
        <v>2500000</v>
      </c>
      <c r="E3156" s="12">
        <v>1233188479</v>
      </c>
      <c r="F3156" s="12" t="s">
        <v>1670</v>
      </c>
      <c r="G3156" t="s">
        <v>1094</v>
      </c>
      <c r="H3156" t="e">
        <f>VLOOKUP(C3156,'[1]873'!$C$2:$C$711,1,0)</f>
        <v>#N/A</v>
      </c>
    </row>
    <row r="3157" spans="1:8" ht="15" customHeight="1" x14ac:dyDescent="0.25">
      <c r="A3157" s="33" t="s">
        <v>1297</v>
      </c>
      <c r="B3157" s="12" t="s">
        <v>1402</v>
      </c>
      <c r="C3157" s="12" t="s">
        <v>1174</v>
      </c>
      <c r="D3157" s="37">
        <v>3000000</v>
      </c>
      <c r="E3157" s="12">
        <v>1085274630</v>
      </c>
      <c r="F3157" s="12" t="s">
        <v>1175</v>
      </c>
      <c r="G3157" t="s">
        <v>1094</v>
      </c>
      <c r="H3157" t="e">
        <f>VLOOKUP(C3157,'[1]873'!$C$2:$C$711,1,0)</f>
        <v>#N/A</v>
      </c>
    </row>
    <row r="3158" spans="1:8" ht="15" customHeight="1" x14ac:dyDescent="0.25">
      <c r="A3158" s="33" t="s">
        <v>1297</v>
      </c>
      <c r="B3158" s="12" t="s">
        <v>1403</v>
      </c>
      <c r="C3158" s="12" t="s">
        <v>1176</v>
      </c>
      <c r="D3158" s="37">
        <v>3000000</v>
      </c>
      <c r="E3158" s="12">
        <v>59706564</v>
      </c>
      <c r="F3158" s="12" t="s">
        <v>1177</v>
      </c>
      <c r="G3158" t="s">
        <v>1094</v>
      </c>
      <c r="H3158" t="e">
        <f>VLOOKUP(C3158,'[1]873'!$C$2:$C$711,1,0)</f>
        <v>#N/A</v>
      </c>
    </row>
    <row r="3159" spans="1:8" ht="15" customHeight="1" x14ac:dyDescent="0.25">
      <c r="A3159" s="33" t="s">
        <v>1297</v>
      </c>
      <c r="B3159" s="12" t="s">
        <v>1404</v>
      </c>
      <c r="C3159" s="12" t="s">
        <v>1178</v>
      </c>
      <c r="D3159" s="37">
        <v>3000000</v>
      </c>
      <c r="E3159" s="12">
        <v>1085314608</v>
      </c>
      <c r="F3159" s="12" t="s">
        <v>1179</v>
      </c>
      <c r="G3159" t="s">
        <v>1094</v>
      </c>
      <c r="H3159" t="e">
        <f>VLOOKUP(C3159,'[1]873'!$C$2:$C$711,1,0)</f>
        <v>#N/A</v>
      </c>
    </row>
    <row r="3160" spans="1:8" ht="15" customHeight="1" x14ac:dyDescent="0.25">
      <c r="A3160" s="33" t="s">
        <v>1297</v>
      </c>
      <c r="B3160" s="12" t="s">
        <v>1405</v>
      </c>
      <c r="C3160" s="12" t="s">
        <v>1180</v>
      </c>
      <c r="D3160" s="37">
        <v>3000000</v>
      </c>
      <c r="E3160" s="12">
        <v>1086329609</v>
      </c>
      <c r="F3160" s="12" t="s">
        <v>1672</v>
      </c>
      <c r="G3160" t="s">
        <v>1094</v>
      </c>
      <c r="H3160" t="e">
        <f>VLOOKUP(C3160,'[1]873'!$C$2:$C$711,1,0)</f>
        <v>#N/A</v>
      </c>
    </row>
    <row r="3161" spans="1:8" ht="15" customHeight="1" x14ac:dyDescent="0.25">
      <c r="A3161" s="33" t="s">
        <v>1297</v>
      </c>
      <c r="B3161" s="12" t="s">
        <v>1406</v>
      </c>
      <c r="C3161" s="12" t="s">
        <v>1181</v>
      </c>
      <c r="D3161" s="37">
        <v>6000000</v>
      </c>
      <c r="E3161" s="12">
        <v>1085299577</v>
      </c>
      <c r="F3161" s="12" t="s">
        <v>1674</v>
      </c>
      <c r="G3161" t="s">
        <v>1094</v>
      </c>
      <c r="H3161" t="e">
        <f>VLOOKUP(C3161,'[1]873'!$C$2:$C$711,1,0)</f>
        <v>#N/A</v>
      </c>
    </row>
    <row r="3162" spans="1:8" ht="15" customHeight="1" x14ac:dyDescent="0.25">
      <c r="A3162" s="33" t="s">
        <v>1297</v>
      </c>
      <c r="B3162" s="12" t="s">
        <v>1407</v>
      </c>
      <c r="C3162" s="12" t="s">
        <v>1095</v>
      </c>
      <c r="D3162" s="37">
        <v>4825000</v>
      </c>
      <c r="E3162" s="12">
        <v>1085324891</v>
      </c>
      <c r="F3162" s="12" t="s">
        <v>509</v>
      </c>
      <c r="G3162" t="s">
        <v>1094</v>
      </c>
      <c r="H3162" t="e">
        <f>VLOOKUP(C3162,'[1]873'!$C$2:$C$711,1,0)</f>
        <v>#N/A</v>
      </c>
    </row>
    <row r="3163" spans="1:8" ht="15" customHeight="1" x14ac:dyDescent="0.25">
      <c r="A3163" s="33" t="s">
        <v>1297</v>
      </c>
      <c r="B3163" s="12" t="s">
        <v>1408</v>
      </c>
      <c r="C3163" s="12" t="s">
        <v>1183</v>
      </c>
      <c r="D3163" s="37">
        <v>7500000</v>
      </c>
      <c r="E3163" s="12">
        <v>1193202097</v>
      </c>
      <c r="F3163" s="12" t="s">
        <v>163</v>
      </c>
      <c r="G3163" t="s">
        <v>1094</v>
      </c>
      <c r="H3163" t="e">
        <f>VLOOKUP(C3163,'[1]873'!$C$2:$C$711,1,0)</f>
        <v>#N/A</v>
      </c>
    </row>
    <row r="3164" spans="1:8" ht="15" customHeight="1" x14ac:dyDescent="0.25">
      <c r="A3164" s="33" t="s">
        <v>1301</v>
      </c>
      <c r="B3164" s="12" t="s">
        <v>1412</v>
      </c>
      <c r="C3164" s="12" t="s">
        <v>1108</v>
      </c>
      <c r="D3164" s="37">
        <v>7500000</v>
      </c>
      <c r="E3164" s="12">
        <v>80765093</v>
      </c>
      <c r="F3164" s="12" t="s">
        <v>1603</v>
      </c>
      <c r="G3164" t="s">
        <v>1094</v>
      </c>
      <c r="H3164" t="e">
        <f>VLOOKUP(C3164,'[1]873'!$C$2:$C$711,1,0)</f>
        <v>#N/A</v>
      </c>
    </row>
    <row r="3165" spans="1:8" ht="15" customHeight="1" x14ac:dyDescent="0.25">
      <c r="A3165" s="33" t="s">
        <v>1301</v>
      </c>
      <c r="B3165" s="12" t="s">
        <v>1413</v>
      </c>
      <c r="C3165" s="12" t="s">
        <v>1186</v>
      </c>
      <c r="D3165" s="37">
        <v>3000000</v>
      </c>
      <c r="E3165" s="12">
        <v>1085286725</v>
      </c>
      <c r="F3165" s="12" t="s">
        <v>111</v>
      </c>
      <c r="G3165" t="s">
        <v>1094</v>
      </c>
      <c r="H3165" t="e">
        <f>VLOOKUP(C3165,'[1]873'!$C$2:$C$711,1,0)</f>
        <v>#N/A</v>
      </c>
    </row>
    <row r="3166" spans="1:8" ht="15" customHeight="1" x14ac:dyDescent="0.25">
      <c r="A3166" s="33" t="s">
        <v>1301</v>
      </c>
      <c r="B3166" s="12" t="s">
        <v>1414</v>
      </c>
      <c r="C3166" s="12" t="s">
        <v>1187</v>
      </c>
      <c r="D3166" s="37">
        <v>3000000</v>
      </c>
      <c r="E3166" s="12">
        <v>27388522</v>
      </c>
      <c r="F3166" s="12" t="s">
        <v>525</v>
      </c>
      <c r="G3166" t="s">
        <v>1094</v>
      </c>
      <c r="H3166" t="e">
        <f>VLOOKUP(C3166,'[1]873'!$C$2:$C$711,1,0)</f>
        <v>#N/A</v>
      </c>
    </row>
    <row r="3167" spans="1:8" ht="15" customHeight="1" x14ac:dyDescent="0.25">
      <c r="A3167" s="33" t="s">
        <v>1302</v>
      </c>
      <c r="B3167" s="12" t="s">
        <v>1415</v>
      </c>
      <c r="C3167" s="12" t="s">
        <v>1145</v>
      </c>
      <c r="D3167" s="37">
        <v>3000000</v>
      </c>
      <c r="E3167" s="12">
        <v>1233191675</v>
      </c>
      <c r="F3167" s="12" t="s">
        <v>523</v>
      </c>
      <c r="G3167" t="s">
        <v>1094</v>
      </c>
      <c r="H3167" t="e">
        <f>VLOOKUP(C3167,'[1]873'!$C$2:$C$711,1,0)</f>
        <v>#N/A</v>
      </c>
    </row>
    <row r="3168" spans="1:8" ht="15" customHeight="1" x14ac:dyDescent="0.25">
      <c r="A3168" s="33" t="s">
        <v>1302</v>
      </c>
      <c r="B3168" s="12" t="s">
        <v>1416</v>
      </c>
      <c r="C3168" s="12" t="s">
        <v>1143</v>
      </c>
      <c r="D3168" s="37">
        <v>2500000</v>
      </c>
      <c r="E3168" s="12">
        <v>12974849</v>
      </c>
      <c r="F3168" s="12" t="s">
        <v>1643</v>
      </c>
      <c r="G3168" t="s">
        <v>1094</v>
      </c>
      <c r="H3168" t="e">
        <f>VLOOKUP(C3168,'[1]873'!$C$2:$C$711,1,0)</f>
        <v>#N/A</v>
      </c>
    </row>
    <row r="3169" spans="1:8" ht="15" customHeight="1" x14ac:dyDescent="0.25">
      <c r="A3169" s="33" t="s">
        <v>1302</v>
      </c>
      <c r="B3169" s="12" t="s">
        <v>1417</v>
      </c>
      <c r="C3169" s="12" t="s">
        <v>1136</v>
      </c>
      <c r="D3169" s="37">
        <v>4825000</v>
      </c>
      <c r="E3169" s="12">
        <v>1080900817</v>
      </c>
      <c r="F3169" s="12" t="s">
        <v>1016</v>
      </c>
      <c r="G3169" t="s">
        <v>1094</v>
      </c>
      <c r="H3169" t="e">
        <f>VLOOKUP(C3169,'[1]873'!$C$2:$C$711,1,0)</f>
        <v>#N/A</v>
      </c>
    </row>
    <row r="3170" spans="1:8" ht="15" customHeight="1" x14ac:dyDescent="0.25">
      <c r="A3170" s="33" t="s">
        <v>1302</v>
      </c>
      <c r="B3170" s="12" t="s">
        <v>1418</v>
      </c>
      <c r="C3170" s="12" t="s">
        <v>1140</v>
      </c>
      <c r="D3170" s="37">
        <v>3000000</v>
      </c>
      <c r="E3170" s="12">
        <v>1193224810</v>
      </c>
      <c r="F3170" s="12" t="s">
        <v>1640</v>
      </c>
      <c r="G3170" t="s">
        <v>1094</v>
      </c>
      <c r="H3170" t="e">
        <f>VLOOKUP(C3170,'[1]873'!$C$2:$C$711,1,0)</f>
        <v>#N/A</v>
      </c>
    </row>
    <row r="3171" spans="1:8" ht="15" customHeight="1" x14ac:dyDescent="0.25">
      <c r="A3171" s="33" t="s">
        <v>1302</v>
      </c>
      <c r="B3171" s="12" t="s">
        <v>1419</v>
      </c>
      <c r="C3171" s="12" t="s">
        <v>1125</v>
      </c>
      <c r="D3171" s="37">
        <v>7500000</v>
      </c>
      <c r="E3171" s="12">
        <v>1006946167</v>
      </c>
      <c r="F3171" s="12" t="s">
        <v>1623</v>
      </c>
      <c r="G3171" t="s">
        <v>1094</v>
      </c>
      <c r="H3171" t="e">
        <f>VLOOKUP(C3171,'[1]873'!$C$2:$C$711,1,0)</f>
        <v>#N/A</v>
      </c>
    </row>
    <row r="3172" spans="1:8" ht="15" customHeight="1" x14ac:dyDescent="0.25">
      <c r="A3172" s="33" t="s">
        <v>1302</v>
      </c>
      <c r="B3172" s="12" t="s">
        <v>1420</v>
      </c>
      <c r="C3172" s="12" t="s">
        <v>1139</v>
      </c>
      <c r="D3172" s="37">
        <v>3000000</v>
      </c>
      <c r="E3172" s="12">
        <v>1085255829</v>
      </c>
      <c r="F3172" s="12" t="s">
        <v>1638</v>
      </c>
      <c r="G3172" t="s">
        <v>1094</v>
      </c>
      <c r="H3172" t="e">
        <f>VLOOKUP(C3172,'[1]873'!$C$2:$C$711,1,0)</f>
        <v>#N/A</v>
      </c>
    </row>
    <row r="3173" spans="1:8" ht="15" customHeight="1" x14ac:dyDescent="0.25">
      <c r="A3173" s="33" t="s">
        <v>1302</v>
      </c>
      <c r="B3173" s="12" t="s">
        <v>1421</v>
      </c>
      <c r="C3173" s="12" t="s">
        <v>1141</v>
      </c>
      <c r="D3173" s="37">
        <v>4750000</v>
      </c>
      <c r="E3173" s="12">
        <v>1085340885</v>
      </c>
      <c r="F3173" s="12" t="s">
        <v>1142</v>
      </c>
      <c r="G3173" t="s">
        <v>1094</v>
      </c>
      <c r="H3173" t="e">
        <f>VLOOKUP(C3173,'[1]873'!$C$2:$C$711,1,0)</f>
        <v>#N/A</v>
      </c>
    </row>
    <row r="3174" spans="1:8" ht="15" customHeight="1" x14ac:dyDescent="0.25">
      <c r="A3174" s="33" t="s">
        <v>1303</v>
      </c>
      <c r="B3174" s="12" t="s">
        <v>1422</v>
      </c>
      <c r="C3174" s="12" t="s">
        <v>1188</v>
      </c>
      <c r="D3174" s="37">
        <v>2500000</v>
      </c>
      <c r="E3174" s="12">
        <v>1085255753</v>
      </c>
      <c r="F3174" s="12" t="s">
        <v>1681</v>
      </c>
      <c r="G3174" t="s">
        <v>1094</v>
      </c>
      <c r="H3174" t="e">
        <f>VLOOKUP(C3174,'[1]873'!$C$2:$C$711,1,0)</f>
        <v>#N/A</v>
      </c>
    </row>
    <row r="3175" spans="1:8" ht="15" customHeight="1" x14ac:dyDescent="0.25">
      <c r="A3175" s="33" t="s">
        <v>1303</v>
      </c>
      <c r="B3175" s="12" t="s">
        <v>1423</v>
      </c>
      <c r="C3175" s="12" t="s">
        <v>1130</v>
      </c>
      <c r="D3175" s="37">
        <v>6000000</v>
      </c>
      <c r="E3175" s="12">
        <v>1085283868</v>
      </c>
      <c r="F3175" s="12" t="s">
        <v>1630</v>
      </c>
      <c r="G3175" t="s">
        <v>1094</v>
      </c>
      <c r="H3175" t="e">
        <f>VLOOKUP(C3175,'[1]873'!$C$2:$C$711,1,0)</f>
        <v>#N/A</v>
      </c>
    </row>
    <row r="3176" spans="1:8" ht="15" customHeight="1" x14ac:dyDescent="0.25">
      <c r="A3176" s="33" t="s">
        <v>1303</v>
      </c>
      <c r="B3176" s="12" t="s">
        <v>1424</v>
      </c>
      <c r="C3176" s="12" t="s">
        <v>1189</v>
      </c>
      <c r="D3176" s="37">
        <v>4750000</v>
      </c>
      <c r="E3176" s="12">
        <v>36953206</v>
      </c>
      <c r="F3176" s="12" t="s">
        <v>391</v>
      </c>
      <c r="G3176" t="s">
        <v>1094</v>
      </c>
      <c r="H3176" t="e">
        <f>VLOOKUP(C3176,'[1]873'!$C$2:$C$711,1,0)</f>
        <v>#N/A</v>
      </c>
    </row>
    <row r="3177" spans="1:8" ht="15" customHeight="1" x14ac:dyDescent="0.25">
      <c r="A3177" s="33" t="s">
        <v>1303</v>
      </c>
      <c r="B3177" s="12" t="s">
        <v>1425</v>
      </c>
      <c r="C3177" s="12" t="s">
        <v>1190</v>
      </c>
      <c r="D3177" s="37">
        <v>7500000</v>
      </c>
      <c r="E3177" s="12">
        <v>37087120</v>
      </c>
      <c r="F3177" s="12" t="s">
        <v>159</v>
      </c>
      <c r="G3177" t="s">
        <v>1094</v>
      </c>
      <c r="H3177" t="e">
        <f>VLOOKUP(C3177,'[1]873'!$C$2:$C$711,1,0)</f>
        <v>#N/A</v>
      </c>
    </row>
    <row r="3178" spans="1:8" ht="15" customHeight="1" x14ac:dyDescent="0.25">
      <c r="A3178" s="33" t="s">
        <v>1303</v>
      </c>
      <c r="B3178" s="12" t="s">
        <v>1426</v>
      </c>
      <c r="C3178" s="12" t="s">
        <v>1191</v>
      </c>
      <c r="D3178" s="37">
        <v>6000000</v>
      </c>
      <c r="E3178" s="12">
        <v>59825948</v>
      </c>
      <c r="F3178" s="12" t="s">
        <v>1684</v>
      </c>
      <c r="G3178" t="s">
        <v>1094</v>
      </c>
      <c r="H3178" t="e">
        <f>VLOOKUP(C3178,'[1]873'!$C$2:$C$711,1,0)</f>
        <v>#N/A</v>
      </c>
    </row>
    <row r="3179" spans="1:8" ht="15" customHeight="1" x14ac:dyDescent="0.25">
      <c r="A3179" s="33" t="s">
        <v>1303</v>
      </c>
      <c r="B3179" s="12" t="s">
        <v>1427</v>
      </c>
      <c r="C3179" s="12" t="s">
        <v>1112</v>
      </c>
      <c r="D3179" s="37">
        <v>4825000</v>
      </c>
      <c r="E3179" s="12">
        <v>1085338534</v>
      </c>
      <c r="F3179" s="12" t="s">
        <v>1607</v>
      </c>
      <c r="G3179" t="s">
        <v>1094</v>
      </c>
      <c r="H3179" t="e">
        <f>VLOOKUP(C3179,'[1]873'!$C$2:$C$711,1,0)</f>
        <v>#N/A</v>
      </c>
    </row>
    <row r="3180" spans="1:8" ht="15" customHeight="1" x14ac:dyDescent="0.25">
      <c r="A3180" s="33" t="s">
        <v>1303</v>
      </c>
      <c r="B3180" s="12" t="s">
        <v>1428</v>
      </c>
      <c r="C3180" s="12" t="s">
        <v>1193</v>
      </c>
      <c r="D3180" s="37">
        <v>2500000</v>
      </c>
      <c r="E3180" s="12">
        <v>1085347173</v>
      </c>
      <c r="F3180" s="12" t="s">
        <v>487</v>
      </c>
      <c r="G3180" t="s">
        <v>1094</v>
      </c>
      <c r="H3180" t="e">
        <f>VLOOKUP(C3180,'[1]873'!$C$2:$C$711,1,0)</f>
        <v>#N/A</v>
      </c>
    </row>
    <row r="3181" spans="1:8" ht="15" customHeight="1" x14ac:dyDescent="0.25">
      <c r="A3181" s="33" t="s">
        <v>1303</v>
      </c>
      <c r="B3181" s="12" t="s">
        <v>1429</v>
      </c>
      <c r="C3181" s="12" t="s">
        <v>1194</v>
      </c>
      <c r="D3181" s="37">
        <v>6000000</v>
      </c>
      <c r="E3181" s="12">
        <v>59836480</v>
      </c>
      <c r="F3181" s="12" t="s">
        <v>1686</v>
      </c>
      <c r="G3181" t="s">
        <v>1094</v>
      </c>
      <c r="H3181" t="e">
        <f>VLOOKUP(C3181,'[1]873'!$C$2:$C$711,1,0)</f>
        <v>#N/A</v>
      </c>
    </row>
    <row r="3182" spans="1:8" ht="15" customHeight="1" x14ac:dyDescent="0.25">
      <c r="A3182" s="33" t="s">
        <v>1298</v>
      </c>
      <c r="B3182" s="12" t="s">
        <v>1409</v>
      </c>
      <c r="C3182" s="24" t="s">
        <v>1184</v>
      </c>
      <c r="D3182" s="37">
        <v>173682694</v>
      </c>
      <c r="E3182" s="12">
        <v>901340412</v>
      </c>
      <c r="F3182" s="12" t="s">
        <v>1676</v>
      </c>
      <c r="G3182" t="s">
        <v>1094</v>
      </c>
      <c r="H3182" t="e">
        <f>VLOOKUP(C3182,'[1]873'!$C$2:$C$711,1,0)</f>
        <v>#N/A</v>
      </c>
    </row>
    <row r="3183" spans="1:8" ht="15" customHeight="1" x14ac:dyDescent="0.25">
      <c r="A3183" s="33" t="s">
        <v>1298</v>
      </c>
      <c r="B3183" s="12" t="s">
        <v>1430</v>
      </c>
      <c r="C3183" s="12" t="s">
        <v>1103</v>
      </c>
      <c r="D3183" s="37">
        <v>4825000</v>
      </c>
      <c r="E3183" s="12">
        <v>1004508471</v>
      </c>
      <c r="F3183" s="12" t="s">
        <v>1596</v>
      </c>
      <c r="G3183" t="s">
        <v>1094</v>
      </c>
      <c r="H3183" t="e">
        <f>VLOOKUP(C3183,'[1]873'!$C$2:$C$711,1,0)</f>
        <v>#N/A</v>
      </c>
    </row>
    <row r="3184" spans="1:8" ht="15" customHeight="1" x14ac:dyDescent="0.25">
      <c r="A3184" s="33" t="s">
        <v>1298</v>
      </c>
      <c r="B3184" s="12" t="s">
        <v>1431</v>
      </c>
      <c r="C3184" s="12" t="s">
        <v>1196</v>
      </c>
      <c r="D3184" s="37">
        <v>2500000</v>
      </c>
      <c r="E3184" s="12">
        <v>30722194</v>
      </c>
      <c r="F3184" s="12" t="s">
        <v>1687</v>
      </c>
      <c r="G3184" t="s">
        <v>1094</v>
      </c>
      <c r="H3184" t="e">
        <f>VLOOKUP(C3184,'[1]873'!$C$2:$C$711,1,0)</f>
        <v>#N/A</v>
      </c>
    </row>
    <row r="3185" spans="1:8" ht="15" customHeight="1" x14ac:dyDescent="0.25">
      <c r="A3185" s="33" t="s">
        <v>1298</v>
      </c>
      <c r="B3185" s="12" t="s">
        <v>1432</v>
      </c>
      <c r="C3185" s="12" t="s">
        <v>1106</v>
      </c>
      <c r="D3185" s="37">
        <v>6000000</v>
      </c>
      <c r="E3185" s="12">
        <v>1085286476</v>
      </c>
      <c r="F3185" s="12" t="s">
        <v>385</v>
      </c>
      <c r="G3185" t="s">
        <v>1094</v>
      </c>
      <c r="H3185" t="e">
        <f>VLOOKUP(C3185,'[1]873'!$C$2:$C$711,1,0)</f>
        <v>#N/A</v>
      </c>
    </row>
    <row r="3186" spans="1:8" ht="15" customHeight="1" x14ac:dyDescent="0.25">
      <c r="A3186" s="33" t="s">
        <v>1298</v>
      </c>
      <c r="B3186" s="12" t="s">
        <v>1433</v>
      </c>
      <c r="C3186" s="12" t="s">
        <v>1107</v>
      </c>
      <c r="D3186" s="37">
        <v>3000000</v>
      </c>
      <c r="E3186" s="12">
        <v>69028150</v>
      </c>
      <c r="F3186" s="12" t="s">
        <v>171</v>
      </c>
      <c r="G3186" t="s">
        <v>1094</v>
      </c>
      <c r="H3186" t="e">
        <f>VLOOKUP(C3186,'[1]873'!$C$2:$C$711,1,0)</f>
        <v>#N/A</v>
      </c>
    </row>
    <row r="3187" spans="1:8" ht="15" customHeight="1" x14ac:dyDescent="0.25">
      <c r="A3187" s="33" t="s">
        <v>1298</v>
      </c>
      <c r="B3187" s="12" t="s">
        <v>1434</v>
      </c>
      <c r="C3187" s="12" t="s">
        <v>1197</v>
      </c>
      <c r="D3187" s="37">
        <v>3000000</v>
      </c>
      <c r="E3187" s="12">
        <v>1085252263</v>
      </c>
      <c r="F3187" s="12" t="s">
        <v>1689</v>
      </c>
      <c r="G3187" t="s">
        <v>1094</v>
      </c>
      <c r="H3187" t="e">
        <f>VLOOKUP(C3187,'[1]873'!$C$2:$C$711,1,0)</f>
        <v>#N/A</v>
      </c>
    </row>
    <row r="3188" spans="1:8" ht="15" customHeight="1" x14ac:dyDescent="0.25">
      <c r="A3188" s="33" t="s">
        <v>1298</v>
      </c>
      <c r="B3188" s="12" t="s">
        <v>1435</v>
      </c>
      <c r="C3188" s="12" t="s">
        <v>1198</v>
      </c>
      <c r="D3188" s="37">
        <v>2500000</v>
      </c>
      <c r="E3188" s="12">
        <v>59830219</v>
      </c>
      <c r="F3188" s="12" t="s">
        <v>281</v>
      </c>
      <c r="G3188" t="s">
        <v>1094</v>
      </c>
      <c r="H3188" t="e">
        <f>VLOOKUP(C3188,'[1]873'!$C$2:$C$711,1,0)</f>
        <v>#N/A</v>
      </c>
    </row>
    <row r="3189" spans="1:8" ht="15" customHeight="1" x14ac:dyDescent="0.25">
      <c r="A3189" s="33" t="s">
        <v>1298</v>
      </c>
      <c r="B3189" s="12" t="s">
        <v>1436</v>
      </c>
      <c r="C3189" s="12" t="s">
        <v>1165</v>
      </c>
      <c r="D3189" s="37">
        <v>3000000</v>
      </c>
      <c r="E3189" s="12">
        <v>1085286742</v>
      </c>
      <c r="F3189" s="12" t="s">
        <v>75</v>
      </c>
      <c r="G3189" t="s">
        <v>1094</v>
      </c>
      <c r="H3189" t="e">
        <f>VLOOKUP(C3189,'[1]873'!$C$2:$C$711,1,0)</f>
        <v>#N/A</v>
      </c>
    </row>
    <row r="3190" spans="1:8" ht="15" customHeight="1" x14ac:dyDescent="0.25">
      <c r="A3190" s="33" t="s">
        <v>1298</v>
      </c>
      <c r="B3190" s="12" t="s">
        <v>1437</v>
      </c>
      <c r="C3190" s="12" t="s">
        <v>1135</v>
      </c>
      <c r="D3190" s="37">
        <v>3000000</v>
      </c>
      <c r="E3190" s="12">
        <v>36954407</v>
      </c>
      <c r="F3190" s="12" t="s">
        <v>679</v>
      </c>
      <c r="G3190" t="s">
        <v>1094</v>
      </c>
      <c r="H3190" t="e">
        <f>VLOOKUP(C3190,'[1]873'!$C$2:$C$711,1,0)</f>
        <v>#N/A</v>
      </c>
    </row>
    <row r="3191" spans="1:8" ht="15" customHeight="1" x14ac:dyDescent="0.25">
      <c r="A3191" s="33" t="s">
        <v>1298</v>
      </c>
      <c r="B3191" s="12" t="s">
        <v>1438</v>
      </c>
      <c r="C3191" s="12" t="s">
        <v>1116</v>
      </c>
      <c r="D3191" s="37">
        <v>4750000</v>
      </c>
      <c r="E3191" s="12">
        <v>59651018</v>
      </c>
      <c r="F3191" s="12" t="s">
        <v>1611</v>
      </c>
      <c r="G3191" t="s">
        <v>1094</v>
      </c>
      <c r="H3191" t="e">
        <f>VLOOKUP(C3191,'[1]873'!$C$2:$C$711,1,0)</f>
        <v>#N/A</v>
      </c>
    </row>
    <row r="3192" spans="1:8" ht="15" customHeight="1" x14ac:dyDescent="0.25">
      <c r="A3192" s="33" t="s">
        <v>1298</v>
      </c>
      <c r="B3192" s="12" t="s">
        <v>1439</v>
      </c>
      <c r="C3192" s="12" t="s">
        <v>1123</v>
      </c>
      <c r="D3192" s="37">
        <v>7500000</v>
      </c>
      <c r="E3192" s="12">
        <v>1085293105</v>
      </c>
      <c r="F3192" s="12" t="s">
        <v>745</v>
      </c>
      <c r="G3192" t="s">
        <v>1094</v>
      </c>
      <c r="H3192" t="e">
        <f>VLOOKUP(C3192,'[1]873'!$C$2:$C$711,1,0)</f>
        <v>#N/A</v>
      </c>
    </row>
    <row r="3193" spans="1:8" ht="15" customHeight="1" x14ac:dyDescent="0.25">
      <c r="A3193" s="33" t="s">
        <v>1298</v>
      </c>
      <c r="B3193" s="12" t="s">
        <v>1440</v>
      </c>
      <c r="C3193" s="12" t="s">
        <v>1134</v>
      </c>
      <c r="D3193" s="37">
        <v>3000000</v>
      </c>
      <c r="E3193" s="12">
        <v>1010082397</v>
      </c>
      <c r="F3193" s="12" t="s">
        <v>209</v>
      </c>
      <c r="G3193" t="s">
        <v>1094</v>
      </c>
      <c r="H3193" t="e">
        <f>VLOOKUP(C3193,'[1]873'!$C$2:$C$711,1,0)</f>
        <v>#N/A</v>
      </c>
    </row>
    <row r="3194" spans="1:8" ht="15" customHeight="1" x14ac:dyDescent="0.25">
      <c r="A3194" s="33" t="s">
        <v>1298</v>
      </c>
      <c r="B3194" s="12" t="s">
        <v>1441</v>
      </c>
      <c r="C3194" s="12" t="s">
        <v>1199</v>
      </c>
      <c r="D3194" s="37">
        <v>3000000</v>
      </c>
      <c r="E3194" s="12">
        <v>1085300095</v>
      </c>
      <c r="F3194" s="12" t="s">
        <v>201</v>
      </c>
      <c r="G3194" t="s">
        <v>1094</v>
      </c>
      <c r="H3194" t="e">
        <f>VLOOKUP(C3194,'[1]873'!$C$2:$C$711,1,0)</f>
        <v>#N/A</v>
      </c>
    </row>
    <row r="3195" spans="1:8" ht="15" customHeight="1" x14ac:dyDescent="0.25">
      <c r="A3195" s="33" t="s">
        <v>1298</v>
      </c>
      <c r="B3195" s="12" t="s">
        <v>1442</v>
      </c>
      <c r="C3195" s="12" t="s">
        <v>1200</v>
      </c>
      <c r="D3195" s="37">
        <v>3000000</v>
      </c>
      <c r="E3195" s="12">
        <v>1088733625</v>
      </c>
      <c r="F3195" s="12" t="s">
        <v>559</v>
      </c>
      <c r="G3195" t="s">
        <v>1094</v>
      </c>
      <c r="H3195" t="e">
        <f>VLOOKUP(C3195,'[1]873'!$C$2:$C$711,1,0)</f>
        <v>#N/A</v>
      </c>
    </row>
    <row r="3196" spans="1:8" ht="15" customHeight="1" x14ac:dyDescent="0.25">
      <c r="A3196" s="33" t="s">
        <v>1298</v>
      </c>
      <c r="B3196" s="12" t="s">
        <v>1443</v>
      </c>
      <c r="C3196" s="12" t="s">
        <v>1132</v>
      </c>
      <c r="D3196" s="37">
        <v>3000000</v>
      </c>
      <c r="E3196" s="12">
        <v>98382500</v>
      </c>
      <c r="F3196" s="12" t="s">
        <v>183</v>
      </c>
      <c r="G3196" t="s">
        <v>1094</v>
      </c>
      <c r="H3196" t="e">
        <f>VLOOKUP(C3196,'[1]873'!$C$2:$C$711,1,0)</f>
        <v>#N/A</v>
      </c>
    </row>
    <row r="3197" spans="1:8" ht="15" customHeight="1" x14ac:dyDescent="0.25">
      <c r="A3197" s="33" t="s">
        <v>1298</v>
      </c>
      <c r="B3197" s="12" t="s">
        <v>1444</v>
      </c>
      <c r="C3197" s="12" t="s">
        <v>1201</v>
      </c>
      <c r="D3197" s="37">
        <v>3000000</v>
      </c>
      <c r="E3197" s="12">
        <v>59310853</v>
      </c>
      <c r="F3197" s="12" t="s">
        <v>1692</v>
      </c>
      <c r="G3197" t="s">
        <v>1094</v>
      </c>
      <c r="H3197" t="e">
        <f>VLOOKUP(C3197,'[1]873'!$C$2:$C$711,1,0)</f>
        <v>#N/A</v>
      </c>
    </row>
    <row r="3198" spans="1:8" ht="15" customHeight="1" x14ac:dyDescent="0.25">
      <c r="A3198" s="33" t="s">
        <v>1304</v>
      </c>
      <c r="B3198" s="12" t="s">
        <v>1445</v>
      </c>
      <c r="C3198" s="12" t="s">
        <v>1124</v>
      </c>
      <c r="D3198" s="37">
        <v>7500000</v>
      </c>
      <c r="E3198" s="12">
        <v>1085336362</v>
      </c>
      <c r="F3198" s="12" t="s">
        <v>1621</v>
      </c>
      <c r="G3198" t="s">
        <v>1094</v>
      </c>
      <c r="H3198" t="e">
        <f>VLOOKUP(C3198,'[1]873'!$C$2:$C$711,1,0)</f>
        <v>#N/A</v>
      </c>
    </row>
    <row r="3199" spans="1:8" ht="15" customHeight="1" x14ac:dyDescent="0.25">
      <c r="A3199" s="33" t="s">
        <v>1305</v>
      </c>
      <c r="B3199" s="12" t="s">
        <v>1446</v>
      </c>
      <c r="C3199" s="12" t="s">
        <v>1203</v>
      </c>
      <c r="D3199" s="37">
        <v>2500000</v>
      </c>
      <c r="E3199" s="12">
        <v>37087268</v>
      </c>
      <c r="F3199" s="12" t="s">
        <v>257</v>
      </c>
      <c r="G3199" t="s">
        <v>1094</v>
      </c>
      <c r="H3199" t="e">
        <f>VLOOKUP(C3199,'[1]873'!$C$2:$C$711,1,0)</f>
        <v>#N/A</v>
      </c>
    </row>
    <row r="3200" spans="1:8" ht="15" customHeight="1" x14ac:dyDescent="0.25">
      <c r="A3200" s="33" t="s">
        <v>1305</v>
      </c>
      <c r="B3200" s="12" t="s">
        <v>1447</v>
      </c>
      <c r="C3200" s="12" t="s">
        <v>1111</v>
      </c>
      <c r="D3200" s="37">
        <v>3000000</v>
      </c>
      <c r="E3200" s="12">
        <v>36752202</v>
      </c>
      <c r="F3200" s="12" t="s">
        <v>1606</v>
      </c>
      <c r="G3200" t="s">
        <v>1094</v>
      </c>
      <c r="H3200" t="e">
        <f>VLOOKUP(C3200,'[1]873'!$C$2:$C$711,1,0)</f>
        <v>#N/A</v>
      </c>
    </row>
    <row r="3201" spans="1:8" ht="15" customHeight="1" x14ac:dyDescent="0.25">
      <c r="A3201" s="33" t="s">
        <v>1305</v>
      </c>
      <c r="B3201" s="12" t="s">
        <v>1448</v>
      </c>
      <c r="C3201" s="12" t="s">
        <v>1204</v>
      </c>
      <c r="D3201" s="37">
        <v>2500000</v>
      </c>
      <c r="E3201" s="12">
        <v>1085310465</v>
      </c>
      <c r="F3201" s="12" t="s">
        <v>1694</v>
      </c>
      <c r="G3201" t="s">
        <v>1094</v>
      </c>
      <c r="H3201" t="e">
        <f>VLOOKUP(C3201,'[1]873'!$C$2:$C$711,1,0)</f>
        <v>#N/A</v>
      </c>
    </row>
    <row r="3202" spans="1:8" ht="15" customHeight="1" x14ac:dyDescent="0.25">
      <c r="A3202" s="33" t="s">
        <v>1305</v>
      </c>
      <c r="B3202" s="12" t="s">
        <v>1449</v>
      </c>
      <c r="C3202" s="12" t="s">
        <v>1122</v>
      </c>
      <c r="D3202" s="37">
        <v>4825000</v>
      </c>
      <c r="E3202" s="12">
        <v>1085321578</v>
      </c>
      <c r="F3202" s="12" t="s">
        <v>1618</v>
      </c>
      <c r="G3202" t="s">
        <v>1094</v>
      </c>
      <c r="H3202" t="e">
        <f>VLOOKUP(C3202,'[1]873'!$C$2:$C$711,1,0)</f>
        <v>#N/A</v>
      </c>
    </row>
    <row r="3203" spans="1:8" ht="15" customHeight="1" x14ac:dyDescent="0.25">
      <c r="A3203" s="33" t="s">
        <v>1305</v>
      </c>
      <c r="B3203" s="12" t="s">
        <v>1450</v>
      </c>
      <c r="C3203" s="12" t="s">
        <v>1205</v>
      </c>
      <c r="D3203" s="37">
        <v>2600000</v>
      </c>
      <c r="E3203" s="12">
        <v>1004235479</v>
      </c>
      <c r="F3203" s="12" t="s">
        <v>477</v>
      </c>
      <c r="G3203" t="s">
        <v>1094</v>
      </c>
      <c r="H3203" t="e">
        <f>VLOOKUP(C3203,'[1]873'!$C$2:$C$711,1,0)</f>
        <v>#N/A</v>
      </c>
    </row>
    <row r="3204" spans="1:8" ht="15" customHeight="1" x14ac:dyDescent="0.25">
      <c r="A3204" s="33" t="s">
        <v>1305</v>
      </c>
      <c r="B3204" s="12" t="s">
        <v>1451</v>
      </c>
      <c r="C3204" s="12" t="s">
        <v>1121</v>
      </c>
      <c r="D3204" s="37">
        <v>3000000</v>
      </c>
      <c r="E3204" s="12">
        <v>59310524</v>
      </c>
      <c r="F3204" s="12" t="s">
        <v>992</v>
      </c>
      <c r="G3204" t="s">
        <v>1094</v>
      </c>
      <c r="H3204" t="e">
        <f>VLOOKUP(C3204,'[1]873'!$C$2:$C$711,1,0)</f>
        <v>#N/A</v>
      </c>
    </row>
    <row r="3205" spans="1:8" ht="15" customHeight="1" x14ac:dyDescent="0.25">
      <c r="A3205" s="33" t="s">
        <v>1305</v>
      </c>
      <c r="B3205" s="12" t="s">
        <v>1452</v>
      </c>
      <c r="C3205" s="12" t="s">
        <v>1206</v>
      </c>
      <c r="D3205" s="37">
        <v>3000000</v>
      </c>
      <c r="E3205" s="12">
        <v>1004592366</v>
      </c>
      <c r="F3205" s="12" t="s">
        <v>1697</v>
      </c>
      <c r="G3205" t="s">
        <v>1094</v>
      </c>
      <c r="H3205" t="e">
        <f>VLOOKUP(C3205,'[1]873'!$C$2:$C$711,1,0)</f>
        <v>#N/A</v>
      </c>
    </row>
    <row r="3206" spans="1:8" ht="15" customHeight="1" x14ac:dyDescent="0.25">
      <c r="A3206" s="33" t="s">
        <v>1305</v>
      </c>
      <c r="B3206" s="12" t="s">
        <v>1453</v>
      </c>
      <c r="C3206" s="12" t="s">
        <v>1207</v>
      </c>
      <c r="D3206" s="37">
        <v>3000000</v>
      </c>
      <c r="E3206" s="12">
        <v>1085266584</v>
      </c>
      <c r="F3206" s="12" t="s">
        <v>115</v>
      </c>
      <c r="G3206" t="s">
        <v>1094</v>
      </c>
      <c r="H3206" t="e">
        <f>VLOOKUP(C3206,'[1]873'!$C$2:$C$711,1,0)</f>
        <v>#N/A</v>
      </c>
    </row>
    <row r="3207" spans="1:8" ht="15" customHeight="1" x14ac:dyDescent="0.25">
      <c r="A3207" s="33" t="s">
        <v>1305</v>
      </c>
      <c r="B3207" s="12" t="s">
        <v>1454</v>
      </c>
      <c r="C3207" s="12" t="s">
        <v>1101</v>
      </c>
      <c r="D3207" s="37">
        <v>6000000</v>
      </c>
      <c r="E3207" s="12">
        <v>27146489</v>
      </c>
      <c r="F3207" s="12" t="s">
        <v>1595</v>
      </c>
      <c r="G3207" t="s">
        <v>1094</v>
      </c>
      <c r="H3207" t="e">
        <f>VLOOKUP(C3207,'[1]873'!$C$2:$C$711,1,0)</f>
        <v>#N/A</v>
      </c>
    </row>
    <row r="3208" spans="1:8" ht="15" customHeight="1" x14ac:dyDescent="0.25">
      <c r="A3208" s="33" t="s">
        <v>1305</v>
      </c>
      <c r="B3208" s="12" t="s">
        <v>1455</v>
      </c>
      <c r="C3208" s="12" t="s">
        <v>1144</v>
      </c>
      <c r="D3208" s="37">
        <v>4750000</v>
      </c>
      <c r="E3208" s="12">
        <v>27087475</v>
      </c>
      <c r="F3208" s="12" t="s">
        <v>1645</v>
      </c>
      <c r="G3208" t="s">
        <v>1094</v>
      </c>
      <c r="H3208" t="e">
        <f>VLOOKUP(C3208,'[1]873'!$C$2:$C$711,1,0)</f>
        <v>#N/A</v>
      </c>
    </row>
    <row r="3209" spans="1:8" ht="15" customHeight="1" x14ac:dyDescent="0.25">
      <c r="A3209" s="33" t="s">
        <v>1305</v>
      </c>
      <c r="B3209" s="12" t="s">
        <v>1456</v>
      </c>
      <c r="C3209" s="12" t="s">
        <v>1208</v>
      </c>
      <c r="D3209" s="37">
        <v>2500000</v>
      </c>
      <c r="E3209" s="12">
        <v>12990231</v>
      </c>
      <c r="F3209" s="12" t="s">
        <v>1700</v>
      </c>
      <c r="G3209" t="s">
        <v>1094</v>
      </c>
      <c r="H3209" t="e">
        <f>VLOOKUP(C3209,'[1]873'!$C$2:$C$711,1,0)</f>
        <v>#N/A</v>
      </c>
    </row>
    <row r="3210" spans="1:8" ht="15" customHeight="1" x14ac:dyDescent="0.25">
      <c r="A3210" s="33" t="s">
        <v>1305</v>
      </c>
      <c r="B3210" s="12" t="s">
        <v>1457</v>
      </c>
      <c r="C3210" s="12" t="s">
        <v>1209</v>
      </c>
      <c r="D3210" s="37">
        <v>3000000</v>
      </c>
      <c r="E3210" s="12">
        <v>1085261053</v>
      </c>
      <c r="F3210" s="12" t="s">
        <v>1702</v>
      </c>
      <c r="G3210" t="s">
        <v>1094</v>
      </c>
      <c r="H3210" t="e">
        <f>VLOOKUP(C3210,'[1]873'!$C$2:$C$711,1,0)</f>
        <v>#N/A</v>
      </c>
    </row>
    <row r="3211" spans="1:8" ht="15" customHeight="1" x14ac:dyDescent="0.25">
      <c r="A3211" s="33" t="s">
        <v>1305</v>
      </c>
      <c r="B3211" s="12" t="s">
        <v>1458</v>
      </c>
      <c r="C3211" s="12" t="s">
        <v>1128</v>
      </c>
      <c r="D3211" s="37">
        <v>3000000</v>
      </c>
      <c r="E3211" s="12">
        <v>1137624011</v>
      </c>
      <c r="F3211" s="12" t="s">
        <v>1627</v>
      </c>
      <c r="G3211" t="s">
        <v>1094</v>
      </c>
      <c r="H3211" t="e">
        <f>VLOOKUP(C3211,'[1]873'!$C$2:$C$711,1,0)</f>
        <v>#N/A</v>
      </c>
    </row>
    <row r="3212" spans="1:8" ht="15" customHeight="1" x14ac:dyDescent="0.25">
      <c r="A3212" s="33" t="s">
        <v>1305</v>
      </c>
      <c r="B3212" s="12" t="s">
        <v>1459</v>
      </c>
      <c r="C3212" s="12" t="s">
        <v>1147</v>
      </c>
      <c r="D3212" s="37">
        <v>3000000</v>
      </c>
      <c r="E3212" s="12">
        <v>1085271641</v>
      </c>
      <c r="F3212" s="12" t="s">
        <v>1649</v>
      </c>
      <c r="G3212" t="s">
        <v>1094</v>
      </c>
      <c r="H3212" t="e">
        <f>VLOOKUP(C3212,'[1]873'!$C$2:$C$711,1,0)</f>
        <v>#N/A</v>
      </c>
    </row>
    <row r="3213" spans="1:8" ht="15" customHeight="1" x14ac:dyDescent="0.25">
      <c r="A3213" s="33" t="s">
        <v>1305</v>
      </c>
      <c r="B3213" s="12" t="s">
        <v>1460</v>
      </c>
      <c r="C3213" s="12" t="s">
        <v>1172</v>
      </c>
      <c r="D3213" s="37">
        <v>4750000</v>
      </c>
      <c r="E3213" s="12">
        <v>1018492767</v>
      </c>
      <c r="F3213" s="12" t="s">
        <v>915</v>
      </c>
      <c r="G3213" t="s">
        <v>1094</v>
      </c>
      <c r="H3213" t="e">
        <f>VLOOKUP(C3213,'[1]873'!$C$2:$C$711,1,0)</f>
        <v>#N/A</v>
      </c>
    </row>
    <row r="3214" spans="1:8" ht="15" customHeight="1" x14ac:dyDescent="0.25">
      <c r="A3214" s="33" t="s">
        <v>1305</v>
      </c>
      <c r="B3214" s="12" t="s">
        <v>1461</v>
      </c>
      <c r="C3214" s="12" t="s">
        <v>1167</v>
      </c>
      <c r="D3214" s="37">
        <v>6000000</v>
      </c>
      <c r="E3214" s="12">
        <v>36757221</v>
      </c>
      <c r="F3214" s="12" t="s">
        <v>1666</v>
      </c>
      <c r="G3214" t="s">
        <v>1094</v>
      </c>
      <c r="H3214" t="e">
        <f>VLOOKUP(C3214,'[1]873'!$C$2:$C$711,1,0)</f>
        <v>#N/A</v>
      </c>
    </row>
    <row r="3215" spans="1:8" ht="15" customHeight="1" x14ac:dyDescent="0.25">
      <c r="A3215" s="3" t="s">
        <v>1305</v>
      </c>
      <c r="B3215">
        <v>2025001970</v>
      </c>
      <c r="C3215" s="35" t="s">
        <v>1210</v>
      </c>
      <c r="D3215" s="5">
        <v>3000000</v>
      </c>
      <c r="E3215" s="35">
        <v>1087959088</v>
      </c>
      <c r="F3215" s="35" t="s">
        <v>1255</v>
      </c>
      <c r="G3215" t="s">
        <v>1094</v>
      </c>
      <c r="H3215" t="e">
        <f>VLOOKUP(C3215,'[1]873'!$C$2:$C$711,1,0)</f>
        <v>#N/A</v>
      </c>
    </row>
    <row r="3216" spans="1:8" ht="15" customHeight="1" x14ac:dyDescent="0.25">
      <c r="A3216" s="33" t="s">
        <v>1306</v>
      </c>
      <c r="B3216" s="12" t="s">
        <v>1463</v>
      </c>
      <c r="C3216" s="12" t="s">
        <v>1126</v>
      </c>
      <c r="D3216" s="37">
        <v>3000000</v>
      </c>
      <c r="E3216" s="12">
        <v>1085317833</v>
      </c>
      <c r="F3216" s="12" t="s">
        <v>11</v>
      </c>
      <c r="G3216" t="s">
        <v>1094</v>
      </c>
      <c r="H3216" t="e">
        <f>VLOOKUP(C3216,'[1]873'!$C$2:$C$711,1,0)</f>
        <v>#N/A</v>
      </c>
    </row>
    <row r="3217" spans="1:8" ht="15" customHeight="1" x14ac:dyDescent="0.25">
      <c r="A3217" s="33" t="s">
        <v>1306</v>
      </c>
      <c r="B3217" s="12" t="s">
        <v>1464</v>
      </c>
      <c r="C3217" s="12" t="s">
        <v>1212</v>
      </c>
      <c r="D3217" s="37">
        <v>4825000</v>
      </c>
      <c r="E3217" s="12">
        <v>36951301</v>
      </c>
      <c r="F3217" s="12" t="s">
        <v>1213</v>
      </c>
      <c r="G3217" t="s">
        <v>1094</v>
      </c>
      <c r="H3217" t="e">
        <f>VLOOKUP(C3217,'[1]873'!$C$2:$C$711,1,0)</f>
        <v>#N/A</v>
      </c>
    </row>
    <row r="3218" spans="1:8" ht="15" customHeight="1" x14ac:dyDescent="0.25">
      <c r="A3218" s="33" t="s">
        <v>1306</v>
      </c>
      <c r="B3218" s="12" t="s">
        <v>1465</v>
      </c>
      <c r="C3218" s="12" t="s">
        <v>1119</v>
      </c>
      <c r="D3218" s="37">
        <v>4750000</v>
      </c>
      <c r="E3218" s="12">
        <v>1085345772</v>
      </c>
      <c r="F3218" s="12" t="s">
        <v>1615</v>
      </c>
      <c r="G3218" t="s">
        <v>1094</v>
      </c>
      <c r="H3218" t="e">
        <f>VLOOKUP(C3218,'[1]873'!$C$2:$C$711,1,0)</f>
        <v>#N/A</v>
      </c>
    </row>
    <row r="3219" spans="1:8" ht="15" customHeight="1" x14ac:dyDescent="0.25">
      <c r="A3219" s="33" t="s">
        <v>1307</v>
      </c>
      <c r="B3219" s="12" t="s">
        <v>1466</v>
      </c>
      <c r="C3219" s="12" t="s">
        <v>1156</v>
      </c>
      <c r="D3219" s="37">
        <v>3000000</v>
      </c>
      <c r="E3219" s="12">
        <v>1081272025</v>
      </c>
      <c r="F3219" s="12" t="s">
        <v>59</v>
      </c>
      <c r="G3219" t="s">
        <v>1094</v>
      </c>
      <c r="H3219" t="e">
        <f>VLOOKUP(C3219,'[1]873'!$C$2:$C$711,1,0)</f>
        <v>#N/A</v>
      </c>
    </row>
    <row r="3220" spans="1:8" ht="15" customHeight="1" x14ac:dyDescent="0.25">
      <c r="A3220" s="33" t="s">
        <v>1306</v>
      </c>
      <c r="B3220" s="12" t="s">
        <v>1467</v>
      </c>
      <c r="C3220" s="12" t="s">
        <v>1183</v>
      </c>
      <c r="D3220" s="37">
        <v>7500000</v>
      </c>
      <c r="E3220" s="12">
        <v>1193202097</v>
      </c>
      <c r="F3220" s="12" t="s">
        <v>163</v>
      </c>
      <c r="G3220" t="s">
        <v>1094</v>
      </c>
      <c r="H3220" t="e">
        <f>VLOOKUP(C3220,'[1]873'!$C$2:$C$711,1,0)</f>
        <v>#N/A</v>
      </c>
    </row>
    <row r="3221" spans="1:8" ht="15" customHeight="1" x14ac:dyDescent="0.25">
      <c r="A3221" s="33" t="s">
        <v>1306</v>
      </c>
      <c r="B3221" s="12" t="s">
        <v>1468</v>
      </c>
      <c r="C3221" s="12" t="s">
        <v>1187</v>
      </c>
      <c r="D3221" s="37">
        <v>3000000</v>
      </c>
      <c r="E3221" s="12">
        <v>27388522</v>
      </c>
      <c r="F3221" s="12" t="s">
        <v>525</v>
      </c>
      <c r="G3221" t="s">
        <v>1094</v>
      </c>
      <c r="H3221" t="e">
        <f>VLOOKUP(C3221,'[1]873'!$C$2:$C$711,1,0)</f>
        <v>#N/A</v>
      </c>
    </row>
    <row r="3222" spans="1:8" ht="15" customHeight="1" x14ac:dyDescent="0.25">
      <c r="A3222" s="33" t="s">
        <v>1306</v>
      </c>
      <c r="B3222" s="12" t="s">
        <v>1469</v>
      </c>
      <c r="C3222" s="12" t="s">
        <v>1214</v>
      </c>
      <c r="D3222" s="37">
        <v>6000000</v>
      </c>
      <c r="E3222" s="12">
        <v>1004213964</v>
      </c>
      <c r="F3222" s="12" t="s">
        <v>1704</v>
      </c>
      <c r="G3222" t="s">
        <v>1094</v>
      </c>
      <c r="H3222" t="e">
        <f>VLOOKUP(C3222,'[1]873'!$C$2:$C$711,1,0)</f>
        <v>#N/A</v>
      </c>
    </row>
    <row r="3223" spans="1:8" ht="15" customHeight="1" x14ac:dyDescent="0.25">
      <c r="A3223" s="33" t="s">
        <v>1306</v>
      </c>
      <c r="B3223" s="12" t="s">
        <v>1470</v>
      </c>
      <c r="C3223" s="12" t="s">
        <v>1181</v>
      </c>
      <c r="D3223" s="37">
        <v>6000000</v>
      </c>
      <c r="E3223" s="12">
        <v>1085299577</v>
      </c>
      <c r="F3223" s="12" t="s">
        <v>1674</v>
      </c>
      <c r="G3223" t="s">
        <v>1094</v>
      </c>
      <c r="H3223" t="e">
        <f>VLOOKUP(C3223,'[1]873'!$C$2:$C$711,1,0)</f>
        <v>#N/A</v>
      </c>
    </row>
    <row r="3224" spans="1:8" ht="15" customHeight="1" x14ac:dyDescent="0.25">
      <c r="A3224" s="33" t="s">
        <v>1308</v>
      </c>
      <c r="B3224" s="12" t="s">
        <v>1471</v>
      </c>
      <c r="C3224" s="12" t="s">
        <v>1215</v>
      </c>
      <c r="D3224" s="37">
        <v>6000000</v>
      </c>
      <c r="E3224" s="12">
        <v>1082748420</v>
      </c>
      <c r="F3224" s="12" t="s">
        <v>1706</v>
      </c>
      <c r="G3224" t="s">
        <v>1094</v>
      </c>
      <c r="H3224" t="e">
        <f>VLOOKUP(C3224,'[1]873'!$C$2:$C$711,1,0)</f>
        <v>#N/A</v>
      </c>
    </row>
    <row r="3225" spans="1:8" ht="15" customHeight="1" x14ac:dyDescent="0.25">
      <c r="A3225" s="33" t="s">
        <v>1308</v>
      </c>
      <c r="B3225" s="12" t="s">
        <v>1472</v>
      </c>
      <c r="C3225" s="12" t="s">
        <v>1201</v>
      </c>
      <c r="D3225" s="37">
        <v>3000000</v>
      </c>
      <c r="E3225" s="12">
        <v>59310853</v>
      </c>
      <c r="F3225" s="12" t="s">
        <v>1692</v>
      </c>
      <c r="G3225" t="s">
        <v>1094</v>
      </c>
      <c r="H3225" t="e">
        <f>VLOOKUP(C3225,'[1]873'!$C$2:$C$711,1,0)</f>
        <v>#N/A</v>
      </c>
    </row>
    <row r="3226" spans="1:8" ht="15" customHeight="1" x14ac:dyDescent="0.25">
      <c r="A3226" s="33" t="s">
        <v>1308</v>
      </c>
      <c r="B3226" s="12" t="s">
        <v>1473</v>
      </c>
      <c r="C3226" s="12" t="s">
        <v>1170</v>
      </c>
      <c r="D3226" s="37">
        <v>2500000</v>
      </c>
      <c r="E3226" s="12">
        <v>1085304072</v>
      </c>
      <c r="F3226" s="12" t="s">
        <v>1171</v>
      </c>
      <c r="G3226" t="s">
        <v>1094</v>
      </c>
      <c r="H3226" t="e">
        <f>VLOOKUP(C3226,'[1]873'!$C$2:$C$711,1,0)</f>
        <v>#N/A</v>
      </c>
    </row>
    <row r="3227" spans="1:8" ht="15" customHeight="1" x14ac:dyDescent="0.25">
      <c r="A3227" s="33" t="s">
        <v>1308</v>
      </c>
      <c r="B3227" s="12" t="s">
        <v>1474</v>
      </c>
      <c r="C3227" s="12" t="s">
        <v>1190</v>
      </c>
      <c r="D3227" s="37">
        <v>7500000</v>
      </c>
      <c r="E3227" s="12">
        <v>37087120</v>
      </c>
      <c r="F3227" s="12" t="s">
        <v>159</v>
      </c>
      <c r="G3227" t="s">
        <v>1094</v>
      </c>
      <c r="H3227" t="e">
        <f>VLOOKUP(C3227,'[1]873'!$C$2:$C$711,1,0)</f>
        <v>#N/A</v>
      </c>
    </row>
    <row r="3228" spans="1:8" ht="15" customHeight="1" x14ac:dyDescent="0.25">
      <c r="A3228" s="33" t="s">
        <v>1308</v>
      </c>
      <c r="B3228" s="12" t="s">
        <v>1475</v>
      </c>
      <c r="C3228" s="12" t="s">
        <v>1133</v>
      </c>
      <c r="D3228" s="37">
        <v>3000000</v>
      </c>
      <c r="E3228" s="12">
        <v>59834953</v>
      </c>
      <c r="F3228" s="12" t="s">
        <v>1633</v>
      </c>
      <c r="G3228" t="s">
        <v>1094</v>
      </c>
      <c r="H3228" t="e">
        <f>VLOOKUP(C3228,'[1]873'!$C$2:$C$711,1,0)</f>
        <v>#N/A</v>
      </c>
    </row>
    <row r="3229" spans="1:8" ht="15" customHeight="1" x14ac:dyDescent="0.25">
      <c r="A3229" s="33" t="s">
        <v>1308</v>
      </c>
      <c r="B3229" s="12" t="s">
        <v>1476</v>
      </c>
      <c r="C3229" s="12" t="s">
        <v>1188</v>
      </c>
      <c r="D3229" s="37">
        <v>2500000</v>
      </c>
      <c r="E3229" s="12">
        <v>1085255753</v>
      </c>
      <c r="F3229" s="12" t="s">
        <v>1681</v>
      </c>
      <c r="G3229" t="s">
        <v>1094</v>
      </c>
      <c r="H3229" t="e">
        <f>VLOOKUP(C3229,'[1]873'!$C$2:$C$711,1,0)</f>
        <v>#N/A</v>
      </c>
    </row>
    <row r="3230" spans="1:8" ht="15" customHeight="1" x14ac:dyDescent="0.25">
      <c r="A3230" s="33" t="s">
        <v>1308</v>
      </c>
      <c r="B3230" s="12" t="s">
        <v>1477</v>
      </c>
      <c r="C3230" s="12" t="s">
        <v>1216</v>
      </c>
      <c r="D3230" s="37">
        <v>2500000</v>
      </c>
      <c r="E3230" s="12">
        <v>1088729401</v>
      </c>
      <c r="F3230" s="12" t="s">
        <v>1707</v>
      </c>
      <c r="G3230" t="s">
        <v>1094</v>
      </c>
      <c r="H3230" t="e">
        <f>VLOOKUP(C3230,'[1]873'!$C$2:$C$711,1,0)</f>
        <v>#N/A</v>
      </c>
    </row>
    <row r="3231" spans="1:8" ht="15" customHeight="1" x14ac:dyDescent="0.25">
      <c r="A3231" s="33" t="s">
        <v>1308</v>
      </c>
      <c r="B3231" s="12" t="s">
        <v>1478</v>
      </c>
      <c r="C3231" s="12" t="s">
        <v>1217</v>
      </c>
      <c r="D3231" s="37">
        <v>7500000</v>
      </c>
      <c r="E3231" s="12">
        <v>1087006619</v>
      </c>
      <c r="F3231" s="12" t="s">
        <v>1709</v>
      </c>
      <c r="G3231" t="s">
        <v>1094</v>
      </c>
      <c r="H3231" t="e">
        <f>VLOOKUP(C3231,'[1]873'!$C$2:$C$711,1,0)</f>
        <v>#N/A</v>
      </c>
    </row>
    <row r="3232" spans="1:8" ht="15" customHeight="1" x14ac:dyDescent="0.25">
      <c r="A3232" s="33" t="s">
        <v>1308</v>
      </c>
      <c r="B3232" s="12" t="s">
        <v>1479</v>
      </c>
      <c r="C3232" s="4" t="s">
        <v>1219</v>
      </c>
      <c r="D3232" s="37">
        <v>75393000</v>
      </c>
      <c r="E3232" s="12">
        <v>805021222</v>
      </c>
      <c r="F3232" s="12" t="s">
        <v>1711</v>
      </c>
      <c r="G3232" t="s">
        <v>1094</v>
      </c>
      <c r="H3232" t="e">
        <f>VLOOKUP(C3232,'[1]873'!$C$2:$C$711,1,0)</f>
        <v>#N/A</v>
      </c>
    </row>
    <row r="3233" spans="1:8" ht="15" customHeight="1" x14ac:dyDescent="0.25">
      <c r="A3233" s="33" t="s">
        <v>1299</v>
      </c>
      <c r="B3233" s="12" t="s">
        <v>1480</v>
      </c>
      <c r="C3233" s="12" t="s">
        <v>1120</v>
      </c>
      <c r="D3233" s="37">
        <v>3000000</v>
      </c>
      <c r="E3233" s="12">
        <v>1233189234</v>
      </c>
      <c r="F3233" s="12" t="s">
        <v>87</v>
      </c>
      <c r="G3233" t="s">
        <v>1094</v>
      </c>
      <c r="H3233" t="e">
        <f>VLOOKUP(C3233,'[1]873'!$C$2:$C$711,1,0)</f>
        <v>#N/A</v>
      </c>
    </row>
    <row r="3234" spans="1:8" ht="15" customHeight="1" x14ac:dyDescent="0.25">
      <c r="A3234" s="33" t="s">
        <v>1299</v>
      </c>
      <c r="B3234" s="12" t="s">
        <v>1481</v>
      </c>
      <c r="C3234" s="12" t="s">
        <v>1162</v>
      </c>
      <c r="D3234" s="37">
        <v>3000000</v>
      </c>
      <c r="E3234" s="12">
        <v>1087006717</v>
      </c>
      <c r="F3234" s="12" t="s">
        <v>1661</v>
      </c>
      <c r="G3234" t="s">
        <v>1094</v>
      </c>
      <c r="H3234" t="e">
        <f>VLOOKUP(C3234,'[1]873'!$C$2:$C$711,1,0)</f>
        <v>#N/A</v>
      </c>
    </row>
    <row r="3235" spans="1:8" ht="15" customHeight="1" x14ac:dyDescent="0.25">
      <c r="A3235" s="33" t="s">
        <v>1299</v>
      </c>
      <c r="B3235" s="12" t="s">
        <v>1482</v>
      </c>
      <c r="C3235" s="12" t="s">
        <v>1104</v>
      </c>
      <c r="D3235" s="37">
        <v>2500000</v>
      </c>
      <c r="E3235" s="12">
        <v>1233189896</v>
      </c>
      <c r="F3235" s="12" t="s">
        <v>1597</v>
      </c>
      <c r="G3235" t="s">
        <v>1094</v>
      </c>
      <c r="H3235" t="e">
        <f>VLOOKUP(C3235,'[1]873'!$C$2:$C$711,1,0)</f>
        <v>#N/A</v>
      </c>
    </row>
    <row r="3236" spans="1:8" ht="15" customHeight="1" x14ac:dyDescent="0.25">
      <c r="A3236" s="33" t="s">
        <v>1299</v>
      </c>
      <c r="B3236" s="12" t="s">
        <v>1410</v>
      </c>
      <c r="C3236" s="12" t="s">
        <v>1127</v>
      </c>
      <c r="D3236" s="37">
        <v>7500000</v>
      </c>
      <c r="E3236" s="12">
        <v>1006106084</v>
      </c>
      <c r="F3236" s="12" t="s">
        <v>1625</v>
      </c>
      <c r="G3236" t="s">
        <v>1094</v>
      </c>
      <c r="H3236" t="e">
        <f>VLOOKUP(C3236,'[1]873'!$C$2:$C$711,1,0)</f>
        <v>#N/A</v>
      </c>
    </row>
    <row r="3237" spans="1:8" ht="15" customHeight="1" x14ac:dyDescent="0.25">
      <c r="A3237" s="33" t="s">
        <v>1299</v>
      </c>
      <c r="B3237" s="12" t="s">
        <v>1483</v>
      </c>
      <c r="C3237" s="12" t="s">
        <v>1155</v>
      </c>
      <c r="D3237" s="37">
        <v>3000000</v>
      </c>
      <c r="E3237" s="12">
        <v>1085326791</v>
      </c>
      <c r="F3237" s="12" t="s">
        <v>479</v>
      </c>
      <c r="G3237" t="s">
        <v>1094</v>
      </c>
      <c r="H3237" t="e">
        <f>VLOOKUP(C3237,'[1]873'!$C$2:$C$711,1,0)</f>
        <v>#N/A</v>
      </c>
    </row>
    <row r="3238" spans="1:8" ht="15" customHeight="1" x14ac:dyDescent="0.25">
      <c r="A3238" s="33" t="s">
        <v>1299</v>
      </c>
      <c r="B3238" s="12" t="s">
        <v>1484</v>
      </c>
      <c r="C3238" s="12" t="s">
        <v>1153</v>
      </c>
      <c r="D3238" s="37">
        <v>3000000</v>
      </c>
      <c r="E3238" s="12">
        <v>37082232</v>
      </c>
      <c r="F3238" s="12" t="s">
        <v>1655</v>
      </c>
      <c r="G3238" t="s">
        <v>1094</v>
      </c>
      <c r="H3238" t="e">
        <f>VLOOKUP(C3238,'[1]873'!$C$2:$C$711,1,0)</f>
        <v>#N/A</v>
      </c>
    </row>
    <row r="3239" spans="1:8" ht="15" customHeight="1" x14ac:dyDescent="0.25">
      <c r="A3239" s="33" t="s">
        <v>1299</v>
      </c>
      <c r="B3239" s="12" t="s">
        <v>1485</v>
      </c>
      <c r="C3239" s="12" t="s">
        <v>1221</v>
      </c>
      <c r="D3239" s="37">
        <v>3000000</v>
      </c>
      <c r="E3239" s="12">
        <v>1085304308</v>
      </c>
      <c r="F3239" s="12" t="s">
        <v>1222</v>
      </c>
      <c r="G3239" t="s">
        <v>1094</v>
      </c>
      <c r="H3239" t="e">
        <f>VLOOKUP(C3239,'[1]873'!$C$2:$C$711,1,0)</f>
        <v>#N/A</v>
      </c>
    </row>
    <row r="3240" spans="1:8" ht="15" customHeight="1" x14ac:dyDescent="0.25">
      <c r="A3240" s="33" t="s">
        <v>1299</v>
      </c>
      <c r="B3240" s="12" t="s">
        <v>1486</v>
      </c>
      <c r="C3240" s="12" t="s">
        <v>1169</v>
      </c>
      <c r="D3240" s="37">
        <v>6000000</v>
      </c>
      <c r="E3240" s="12">
        <v>59820414</v>
      </c>
      <c r="F3240" s="12" t="s">
        <v>457</v>
      </c>
      <c r="G3240" t="s">
        <v>1094</v>
      </c>
      <c r="H3240" t="e">
        <f>VLOOKUP(C3240,'[1]873'!$C$2:$C$711,1,0)</f>
        <v>#N/A</v>
      </c>
    </row>
    <row r="3241" spans="1:8" ht="15" customHeight="1" x14ac:dyDescent="0.25">
      <c r="A3241" s="33" t="s">
        <v>1299</v>
      </c>
      <c r="B3241" s="12" t="s">
        <v>1487</v>
      </c>
      <c r="C3241" s="12" t="s">
        <v>1223</v>
      </c>
      <c r="D3241" s="37">
        <v>6000000</v>
      </c>
      <c r="E3241" s="12">
        <v>27097745</v>
      </c>
      <c r="F3241" s="12" t="s">
        <v>1714</v>
      </c>
      <c r="G3241" t="s">
        <v>1094</v>
      </c>
      <c r="H3241" t="e">
        <f>VLOOKUP(C3241,'[1]873'!$C$2:$C$711,1,0)</f>
        <v>#N/A</v>
      </c>
    </row>
    <row r="3242" spans="1:8" ht="15" customHeight="1" x14ac:dyDescent="0.25">
      <c r="A3242" s="33" t="s">
        <v>1299</v>
      </c>
      <c r="B3242" s="12" t="s">
        <v>1488</v>
      </c>
      <c r="C3242" s="4" t="s">
        <v>1225</v>
      </c>
      <c r="D3242" s="37">
        <v>2500000</v>
      </c>
      <c r="E3242" s="12">
        <v>1087408320</v>
      </c>
      <c r="F3242" s="12" t="s">
        <v>1715</v>
      </c>
      <c r="G3242" t="s">
        <v>1094</v>
      </c>
      <c r="H3242" t="e">
        <f>VLOOKUP(C3242,'[1]873'!$C$2:$C$711,1,0)</f>
        <v>#N/A</v>
      </c>
    </row>
    <row r="3243" spans="1:8" ht="15" customHeight="1" x14ac:dyDescent="0.25">
      <c r="A3243" s="33" t="s">
        <v>1299</v>
      </c>
      <c r="B3243" s="12" t="s">
        <v>1489</v>
      </c>
      <c r="C3243" s="12" t="s">
        <v>1157</v>
      </c>
      <c r="D3243" s="37">
        <v>3000000</v>
      </c>
      <c r="E3243" s="12">
        <v>1085315013</v>
      </c>
      <c r="F3243" s="12" t="s">
        <v>1659</v>
      </c>
      <c r="G3243" t="s">
        <v>1094</v>
      </c>
      <c r="H3243" t="e">
        <f>VLOOKUP(C3243,'[1]873'!$C$2:$C$711,1,0)</f>
        <v>#N/A</v>
      </c>
    </row>
    <row r="3244" spans="1:8" ht="15" customHeight="1" x14ac:dyDescent="0.25">
      <c r="A3244" s="33" t="s">
        <v>1299</v>
      </c>
      <c r="B3244" s="12" t="s">
        <v>1490</v>
      </c>
      <c r="C3244" s="12" t="s">
        <v>1109</v>
      </c>
      <c r="D3244" s="37">
        <v>3000000</v>
      </c>
      <c r="E3244" s="12">
        <v>1081594639</v>
      </c>
      <c r="F3244" s="12" t="s">
        <v>1110</v>
      </c>
      <c r="G3244" t="s">
        <v>1094</v>
      </c>
      <c r="H3244" t="e">
        <f>VLOOKUP(C3244,'[1]873'!$C$2:$C$711,1,0)</f>
        <v>#N/A</v>
      </c>
    </row>
    <row r="3245" spans="1:8" ht="15" customHeight="1" x14ac:dyDescent="0.25">
      <c r="A3245" s="33" t="s">
        <v>1299</v>
      </c>
      <c r="B3245" s="12" t="s">
        <v>1491</v>
      </c>
      <c r="C3245" s="12" t="s">
        <v>1148</v>
      </c>
      <c r="D3245" s="37">
        <v>3000000</v>
      </c>
      <c r="E3245" s="12">
        <v>1004535234</v>
      </c>
      <c r="F3245" s="12" t="s">
        <v>507</v>
      </c>
      <c r="G3245" t="s">
        <v>1094</v>
      </c>
      <c r="H3245" t="e">
        <f>VLOOKUP(C3245,'[1]873'!$C$2:$C$711,1,0)</f>
        <v>#N/A</v>
      </c>
    </row>
    <row r="3246" spans="1:8" ht="15" customHeight="1" x14ac:dyDescent="0.25">
      <c r="A3246" s="33" t="s">
        <v>1299</v>
      </c>
      <c r="B3246" s="12" t="s">
        <v>1492</v>
      </c>
      <c r="C3246" s="12" t="s">
        <v>1159</v>
      </c>
      <c r="D3246" s="37">
        <v>3000000</v>
      </c>
      <c r="E3246" s="12">
        <v>1086363186</v>
      </c>
      <c r="F3246" s="12" t="s">
        <v>1160</v>
      </c>
      <c r="G3246" t="s">
        <v>1094</v>
      </c>
      <c r="H3246" t="e">
        <f>VLOOKUP(C3246,'[1]873'!$C$2:$C$711,1,0)</f>
        <v>#N/A</v>
      </c>
    </row>
    <row r="3247" spans="1:8" ht="15" customHeight="1" x14ac:dyDescent="0.25">
      <c r="A3247" s="33" t="s">
        <v>1299</v>
      </c>
      <c r="B3247" s="12" t="s">
        <v>1493</v>
      </c>
      <c r="C3247" s="12" t="s">
        <v>1113</v>
      </c>
      <c r="D3247" s="37">
        <v>3000000</v>
      </c>
      <c r="E3247" s="12">
        <v>1086222689</v>
      </c>
      <c r="F3247" s="12" t="s">
        <v>1114</v>
      </c>
      <c r="G3247" t="s">
        <v>1094</v>
      </c>
      <c r="H3247" t="e">
        <f>VLOOKUP(C3247,'[1]873'!$C$2:$C$711,1,0)</f>
        <v>#N/A</v>
      </c>
    </row>
    <row r="3248" spans="1:8" ht="15" customHeight="1" x14ac:dyDescent="0.25">
      <c r="A3248" s="33" t="s">
        <v>1299</v>
      </c>
      <c r="B3248" s="12" t="s">
        <v>1494</v>
      </c>
      <c r="C3248" s="12" t="s">
        <v>1099</v>
      </c>
      <c r="D3248" s="37">
        <v>7500000</v>
      </c>
      <c r="E3248" s="12">
        <v>1085329980</v>
      </c>
      <c r="F3248" s="12" t="s">
        <v>1592</v>
      </c>
      <c r="G3248" t="s">
        <v>1094</v>
      </c>
      <c r="H3248" t="e">
        <f>VLOOKUP(C3248,'[1]873'!$C$2:$C$711,1,0)</f>
        <v>#N/A</v>
      </c>
    </row>
    <row r="3249" spans="1:8" ht="15" customHeight="1" x14ac:dyDescent="0.25">
      <c r="A3249" s="33" t="s">
        <v>1299</v>
      </c>
      <c r="B3249" s="12" t="s">
        <v>1495</v>
      </c>
      <c r="C3249" s="12" t="s">
        <v>1226</v>
      </c>
      <c r="D3249" s="37">
        <v>5000000</v>
      </c>
      <c r="E3249" s="12">
        <v>1085313872</v>
      </c>
      <c r="F3249" s="12" t="s">
        <v>614</v>
      </c>
      <c r="G3249" t="s">
        <v>1094</v>
      </c>
      <c r="H3249" t="e">
        <f>VLOOKUP(C3249,'[1]873'!$C$2:$C$711,1,0)</f>
        <v>#N/A</v>
      </c>
    </row>
    <row r="3250" spans="1:8" ht="15" customHeight="1" x14ac:dyDescent="0.25">
      <c r="A3250" s="33" t="s">
        <v>1309</v>
      </c>
      <c r="B3250" s="12" t="s">
        <v>1496</v>
      </c>
      <c r="C3250" s="12" t="s">
        <v>1227</v>
      </c>
      <c r="D3250" s="37">
        <v>5000000</v>
      </c>
      <c r="E3250" s="12">
        <v>27220499</v>
      </c>
      <c r="F3250" s="12" t="s">
        <v>1716</v>
      </c>
      <c r="G3250" t="s">
        <v>1094</v>
      </c>
      <c r="H3250" t="e">
        <f>VLOOKUP(C3250,'[1]873'!$C$2:$C$711,1,0)</f>
        <v>#N/A</v>
      </c>
    </row>
    <row r="3251" spans="1:8" ht="15" customHeight="1" x14ac:dyDescent="0.25">
      <c r="A3251" s="33" t="s">
        <v>1309</v>
      </c>
      <c r="B3251" s="12" t="s">
        <v>1497</v>
      </c>
      <c r="C3251" s="12" t="s">
        <v>1228</v>
      </c>
      <c r="D3251" s="37">
        <v>3000000</v>
      </c>
      <c r="E3251" s="12">
        <v>1084224968</v>
      </c>
      <c r="F3251" s="12" t="s">
        <v>1718</v>
      </c>
      <c r="G3251" t="s">
        <v>1094</v>
      </c>
      <c r="H3251" t="e">
        <f>VLOOKUP(C3251,'[1]873'!$C$2:$C$711,1,0)</f>
        <v>#N/A</v>
      </c>
    </row>
    <row r="3252" spans="1:8" ht="15" customHeight="1" x14ac:dyDescent="0.25">
      <c r="A3252" s="33" t="s">
        <v>1309</v>
      </c>
      <c r="B3252" s="12" t="s">
        <v>1498</v>
      </c>
      <c r="C3252" s="12" t="s">
        <v>1151</v>
      </c>
      <c r="D3252" s="37">
        <v>3000000</v>
      </c>
      <c r="E3252" s="12">
        <v>1085269090</v>
      </c>
      <c r="F3252" s="12" t="s">
        <v>371</v>
      </c>
      <c r="G3252" t="s">
        <v>1094</v>
      </c>
      <c r="H3252" t="e">
        <f>VLOOKUP(C3252,'[1]873'!$C$2:$C$711,1,0)</f>
        <v>#N/A</v>
      </c>
    </row>
    <row r="3253" spans="1:8" ht="15" customHeight="1" x14ac:dyDescent="0.25">
      <c r="A3253" s="33" t="s">
        <v>1309</v>
      </c>
      <c r="B3253" s="12" t="s">
        <v>1499</v>
      </c>
      <c r="C3253" s="12" t="s">
        <v>1229</v>
      </c>
      <c r="D3253" s="37">
        <v>2500000</v>
      </c>
      <c r="E3253" s="12">
        <v>1084552048</v>
      </c>
      <c r="F3253" s="12" t="s">
        <v>1720</v>
      </c>
      <c r="G3253" t="s">
        <v>1094</v>
      </c>
      <c r="H3253" t="e">
        <f>VLOOKUP(C3253,'[1]873'!$C$2:$C$711,1,0)</f>
        <v>#N/A</v>
      </c>
    </row>
    <row r="3254" spans="1:8" ht="15" customHeight="1" x14ac:dyDescent="0.25">
      <c r="A3254" s="33" t="s">
        <v>1309</v>
      </c>
      <c r="B3254" s="12" t="s">
        <v>1500</v>
      </c>
      <c r="C3254" s="12" t="s">
        <v>1231</v>
      </c>
      <c r="D3254" s="37">
        <v>6000000</v>
      </c>
      <c r="E3254" s="12">
        <v>1085253062</v>
      </c>
      <c r="F3254" s="12" t="s">
        <v>1722</v>
      </c>
      <c r="G3254" t="s">
        <v>1094</v>
      </c>
      <c r="H3254" t="e">
        <f>VLOOKUP(C3254,'[1]873'!$C$2:$C$711,1,0)</f>
        <v>#N/A</v>
      </c>
    </row>
    <row r="3255" spans="1:8" ht="15" customHeight="1" x14ac:dyDescent="0.25">
      <c r="A3255" s="33" t="s">
        <v>1309</v>
      </c>
      <c r="B3255" s="12" t="s">
        <v>1501</v>
      </c>
      <c r="C3255" s="12" t="s">
        <v>1232</v>
      </c>
      <c r="D3255" s="37">
        <v>6000000</v>
      </c>
      <c r="E3255" s="12">
        <v>59314458</v>
      </c>
      <c r="F3255" s="12" t="s">
        <v>1233</v>
      </c>
      <c r="G3255" t="s">
        <v>1094</v>
      </c>
      <c r="H3255" t="e">
        <f>VLOOKUP(C3255,'[1]873'!$C$2:$C$711,1,0)</f>
        <v>#N/A</v>
      </c>
    </row>
    <row r="3256" spans="1:8" ht="15" customHeight="1" x14ac:dyDescent="0.25">
      <c r="A3256" s="33" t="s">
        <v>1309</v>
      </c>
      <c r="B3256" s="12" t="s">
        <v>1502</v>
      </c>
      <c r="C3256" s="12" t="s">
        <v>1150</v>
      </c>
      <c r="D3256" s="37">
        <v>6000000</v>
      </c>
      <c r="E3256" s="12">
        <v>1085275879</v>
      </c>
      <c r="F3256" s="12" t="s">
        <v>117</v>
      </c>
      <c r="G3256" t="s">
        <v>1094</v>
      </c>
      <c r="H3256" t="e">
        <f>VLOOKUP(C3256,'[1]873'!$C$2:$C$711,1,0)</f>
        <v>#N/A</v>
      </c>
    </row>
    <row r="3257" spans="1:8" ht="15" customHeight="1" x14ac:dyDescent="0.25">
      <c r="A3257" s="33" t="s">
        <v>1309</v>
      </c>
      <c r="B3257" s="12" t="s">
        <v>1503</v>
      </c>
      <c r="C3257" s="12" t="s">
        <v>1138</v>
      </c>
      <c r="D3257" s="37">
        <v>4825000</v>
      </c>
      <c r="E3257" s="12">
        <v>1085269530</v>
      </c>
      <c r="F3257" s="12" t="s">
        <v>1636</v>
      </c>
      <c r="G3257" t="s">
        <v>1094</v>
      </c>
      <c r="H3257" t="e">
        <f>VLOOKUP(C3257,'[1]873'!$C$2:$C$711,1,0)</f>
        <v>#N/A</v>
      </c>
    </row>
    <row r="3258" spans="1:8" ht="15" customHeight="1" x14ac:dyDescent="0.25">
      <c r="A3258" s="33" t="s">
        <v>1309</v>
      </c>
      <c r="B3258" s="12" t="s">
        <v>1504</v>
      </c>
      <c r="C3258" s="12" t="s">
        <v>1152</v>
      </c>
      <c r="D3258" s="37">
        <v>6000000</v>
      </c>
      <c r="E3258" s="12">
        <v>1014212900</v>
      </c>
      <c r="F3258" s="12" t="s">
        <v>1654</v>
      </c>
      <c r="G3258" t="s">
        <v>1094</v>
      </c>
      <c r="H3258" t="e">
        <f>VLOOKUP(C3258,'[1]873'!$C$2:$C$711,1,0)</f>
        <v>#N/A</v>
      </c>
    </row>
    <row r="3259" spans="1:8" ht="15" customHeight="1" x14ac:dyDescent="0.25">
      <c r="A3259" s="33" t="s">
        <v>1309</v>
      </c>
      <c r="B3259" s="12" t="s">
        <v>1505</v>
      </c>
      <c r="C3259" s="12" t="s">
        <v>1129</v>
      </c>
      <c r="D3259" s="37">
        <v>4750000</v>
      </c>
      <c r="E3259" s="12">
        <v>36759759</v>
      </c>
      <c r="F3259" s="12" t="s">
        <v>705</v>
      </c>
      <c r="G3259" t="s">
        <v>1094</v>
      </c>
      <c r="H3259" t="e">
        <f>VLOOKUP(C3259,'[1]873'!$C$2:$C$711,1,0)</f>
        <v>#N/A</v>
      </c>
    </row>
    <row r="3260" spans="1:8" ht="15" customHeight="1" x14ac:dyDescent="0.25">
      <c r="A3260" s="33" t="s">
        <v>1300</v>
      </c>
      <c r="B3260" s="12" t="s">
        <v>1506</v>
      </c>
      <c r="C3260" s="12" t="s">
        <v>1176</v>
      </c>
      <c r="D3260" s="37">
        <v>3000000</v>
      </c>
      <c r="E3260" s="12">
        <v>59706564</v>
      </c>
      <c r="F3260" s="12" t="s">
        <v>1177</v>
      </c>
      <c r="G3260" t="s">
        <v>1094</v>
      </c>
      <c r="H3260" t="e">
        <f>VLOOKUP(C3260,'[1]873'!$C$2:$C$711,1,0)</f>
        <v>#N/A</v>
      </c>
    </row>
    <row r="3261" spans="1:8" ht="15" customHeight="1" x14ac:dyDescent="0.25">
      <c r="A3261" s="33" t="s">
        <v>1300</v>
      </c>
      <c r="B3261" s="12" t="s">
        <v>1507</v>
      </c>
      <c r="C3261" s="12" t="s">
        <v>1234</v>
      </c>
      <c r="D3261" s="37">
        <v>3000000</v>
      </c>
      <c r="E3261" s="12">
        <v>27088197</v>
      </c>
      <c r="F3261" s="12" t="s">
        <v>1235</v>
      </c>
      <c r="G3261" t="s">
        <v>1094</v>
      </c>
      <c r="H3261" t="e">
        <f>VLOOKUP(C3261,'[1]873'!$C$2:$C$711,1,0)</f>
        <v>#N/A</v>
      </c>
    </row>
    <row r="3262" spans="1:8" ht="15" customHeight="1" x14ac:dyDescent="0.25">
      <c r="A3262" s="33" t="s">
        <v>1300</v>
      </c>
      <c r="B3262" s="12" t="s">
        <v>1508</v>
      </c>
      <c r="C3262" s="12" t="s">
        <v>1178</v>
      </c>
      <c r="D3262" s="37">
        <v>3000000</v>
      </c>
      <c r="E3262" s="12">
        <v>1085314608</v>
      </c>
      <c r="F3262" s="12" t="s">
        <v>1179</v>
      </c>
      <c r="G3262" t="s">
        <v>1094</v>
      </c>
      <c r="H3262" t="e">
        <f>VLOOKUP(C3262,'[1]873'!$C$2:$C$711,1,0)</f>
        <v>#N/A</v>
      </c>
    </row>
    <row r="3263" spans="1:8" ht="15" customHeight="1" x14ac:dyDescent="0.25">
      <c r="A3263" s="33" t="s">
        <v>1300</v>
      </c>
      <c r="B3263" s="12" t="s">
        <v>1411</v>
      </c>
      <c r="C3263" s="12" t="s">
        <v>1185</v>
      </c>
      <c r="D3263" s="37">
        <v>3000000</v>
      </c>
      <c r="E3263" s="12">
        <v>1030606749</v>
      </c>
      <c r="F3263" s="12" t="s">
        <v>1678</v>
      </c>
      <c r="G3263" t="s">
        <v>1094</v>
      </c>
      <c r="H3263" t="e">
        <f>VLOOKUP(C3263,'[1]873'!$C$2:$C$711,1,0)</f>
        <v>#N/A</v>
      </c>
    </row>
    <row r="3264" spans="1:8" ht="15" customHeight="1" x14ac:dyDescent="0.25">
      <c r="A3264" s="33" t="s">
        <v>1300</v>
      </c>
      <c r="B3264" s="12" t="s">
        <v>1509</v>
      </c>
      <c r="C3264" s="12" t="s">
        <v>1180</v>
      </c>
      <c r="D3264" s="37">
        <v>3000000</v>
      </c>
      <c r="E3264" s="12">
        <v>1086329609</v>
      </c>
      <c r="F3264" s="12" t="s">
        <v>1672</v>
      </c>
      <c r="G3264" t="s">
        <v>1094</v>
      </c>
      <c r="H3264" t="e">
        <f>VLOOKUP(C3264,'[1]873'!$C$2:$C$711,1,0)</f>
        <v>#N/A</v>
      </c>
    </row>
    <row r="3265" spans="1:8" ht="15" customHeight="1" x14ac:dyDescent="0.25">
      <c r="A3265" s="33" t="s">
        <v>1300</v>
      </c>
      <c r="B3265" s="12" t="s">
        <v>1510</v>
      </c>
      <c r="C3265" s="12" t="s">
        <v>1236</v>
      </c>
      <c r="D3265" s="37">
        <v>4825000</v>
      </c>
      <c r="E3265" s="12">
        <v>1085311814</v>
      </c>
      <c r="F3265" s="12" t="s">
        <v>1725</v>
      </c>
      <c r="G3265" t="s">
        <v>1094</v>
      </c>
      <c r="H3265" t="e">
        <f>VLOOKUP(C3265,'[1]873'!$C$2:$C$711,1,0)</f>
        <v>#N/A</v>
      </c>
    </row>
    <row r="3266" spans="1:8" ht="15" customHeight="1" x14ac:dyDescent="0.25">
      <c r="A3266" s="33" t="s">
        <v>1300</v>
      </c>
      <c r="B3266" s="12" t="s">
        <v>1511</v>
      </c>
      <c r="C3266" s="12" t="s">
        <v>1174</v>
      </c>
      <c r="D3266" s="37">
        <v>3000000</v>
      </c>
      <c r="E3266" s="12">
        <v>1085274630</v>
      </c>
      <c r="F3266" s="12" t="s">
        <v>1175</v>
      </c>
      <c r="G3266" t="s">
        <v>1094</v>
      </c>
      <c r="H3266" t="e">
        <f>VLOOKUP(C3266,'[1]873'!$C$2:$C$711,1,0)</f>
        <v>#N/A</v>
      </c>
    </row>
    <row r="3267" spans="1:8" ht="15" customHeight="1" x14ac:dyDescent="0.25">
      <c r="A3267" s="33" t="s">
        <v>1300</v>
      </c>
      <c r="B3267" s="12" t="s">
        <v>1512</v>
      </c>
      <c r="C3267" s="12" t="s">
        <v>1237</v>
      </c>
      <c r="D3267" s="37">
        <v>6000000</v>
      </c>
      <c r="E3267" s="12">
        <v>36954410</v>
      </c>
      <c r="F3267" s="12" t="s">
        <v>343</v>
      </c>
      <c r="G3267" t="s">
        <v>1094</v>
      </c>
      <c r="H3267" t="e">
        <f>VLOOKUP(C3267,'[1]873'!$C$2:$C$711,1,0)</f>
        <v>#N/A</v>
      </c>
    </row>
    <row r="3268" spans="1:8" ht="15" customHeight="1" x14ac:dyDescent="0.25">
      <c r="A3268" s="33" t="s">
        <v>1310</v>
      </c>
      <c r="B3268" s="12" t="s">
        <v>1513</v>
      </c>
      <c r="C3268" s="12" t="s">
        <v>1191</v>
      </c>
      <c r="D3268" s="37">
        <v>6000000</v>
      </c>
      <c r="E3268" s="12">
        <v>59825948</v>
      </c>
      <c r="F3268" s="12" t="s">
        <v>1684</v>
      </c>
      <c r="G3268" t="s">
        <v>1094</v>
      </c>
      <c r="H3268" t="e">
        <f>VLOOKUP(C3268,'[1]873'!$C$2:$C$711,1,0)</f>
        <v>#N/A</v>
      </c>
    </row>
    <row r="3269" spans="1:8" ht="15" customHeight="1" x14ac:dyDescent="0.25">
      <c r="A3269" s="33" t="s">
        <v>1310</v>
      </c>
      <c r="B3269" s="12" t="s">
        <v>1514</v>
      </c>
      <c r="C3269" s="12" t="s">
        <v>1199</v>
      </c>
      <c r="D3269" s="37">
        <v>3000000</v>
      </c>
      <c r="E3269" s="12">
        <v>1085300095</v>
      </c>
      <c r="F3269" s="12" t="s">
        <v>201</v>
      </c>
      <c r="G3269" t="s">
        <v>1094</v>
      </c>
      <c r="H3269" t="e">
        <f>VLOOKUP(C3269,'[1]873'!$C$2:$C$711,1,0)</f>
        <v>#N/A</v>
      </c>
    </row>
    <row r="3270" spans="1:8" ht="15" customHeight="1" x14ac:dyDescent="0.25">
      <c r="A3270" s="33" t="s">
        <v>1310</v>
      </c>
      <c r="B3270" s="12" t="s">
        <v>1515</v>
      </c>
      <c r="C3270" s="12" t="s">
        <v>1200</v>
      </c>
      <c r="D3270" s="37">
        <v>3000000</v>
      </c>
      <c r="E3270" s="12">
        <v>1088733625</v>
      </c>
      <c r="F3270" s="12" t="s">
        <v>559</v>
      </c>
      <c r="G3270" t="s">
        <v>1094</v>
      </c>
      <c r="H3270" t="e">
        <f>VLOOKUP(C3270,'[1]873'!$C$2:$C$711,1,0)</f>
        <v>#N/A</v>
      </c>
    </row>
    <row r="3271" spans="1:8" ht="15" customHeight="1" x14ac:dyDescent="0.25">
      <c r="A3271" s="33" t="s">
        <v>1310</v>
      </c>
      <c r="B3271" s="12" t="s">
        <v>1516</v>
      </c>
      <c r="C3271" s="12" t="s">
        <v>1154</v>
      </c>
      <c r="D3271" s="37">
        <v>3000000</v>
      </c>
      <c r="E3271" s="12">
        <v>1004743217</v>
      </c>
      <c r="F3271" s="12" t="s">
        <v>1656</v>
      </c>
      <c r="G3271" t="s">
        <v>1094</v>
      </c>
      <c r="H3271" t="e">
        <f>VLOOKUP(C3271,'[1]873'!$C$2:$C$711,1,0)</f>
        <v>#N/A</v>
      </c>
    </row>
    <row r="3272" spans="1:8" ht="15" customHeight="1" x14ac:dyDescent="0.25">
      <c r="A3272" s="33" t="s">
        <v>1310</v>
      </c>
      <c r="B3272" s="12" t="s">
        <v>1517</v>
      </c>
      <c r="C3272" s="12" t="s">
        <v>1238</v>
      </c>
      <c r="D3272" s="37">
        <v>2500000</v>
      </c>
      <c r="E3272" s="12">
        <v>30734666</v>
      </c>
      <c r="F3272" s="12" t="s">
        <v>1239</v>
      </c>
      <c r="G3272" t="s">
        <v>1094</v>
      </c>
      <c r="H3272" t="e">
        <f>VLOOKUP(C3272,'[1]873'!$C$2:$C$711,1,0)</f>
        <v>#N/A</v>
      </c>
    </row>
    <row r="3273" spans="1:8" ht="15" customHeight="1" x14ac:dyDescent="0.25">
      <c r="A3273" s="33" t="s">
        <v>1311</v>
      </c>
      <c r="B3273" s="12" t="s">
        <v>1518</v>
      </c>
      <c r="C3273" s="12" t="s">
        <v>1240</v>
      </c>
      <c r="D3273" s="37">
        <v>3000000</v>
      </c>
      <c r="E3273" s="12">
        <v>1086223299</v>
      </c>
      <c r="F3273" s="12" t="s">
        <v>455</v>
      </c>
      <c r="G3273" t="s">
        <v>1094</v>
      </c>
      <c r="H3273" t="e">
        <f>VLOOKUP(C3273,'[1]873'!$C$2:$C$711,1,0)</f>
        <v>#N/A</v>
      </c>
    </row>
    <row r="3274" spans="1:8" ht="15" customHeight="1" x14ac:dyDescent="0.25">
      <c r="A3274" s="33" t="s">
        <v>1312</v>
      </c>
      <c r="B3274" s="12" t="s">
        <v>1519</v>
      </c>
      <c r="C3274" s="12" t="s">
        <v>1241</v>
      </c>
      <c r="D3274" s="37">
        <v>3000000</v>
      </c>
      <c r="E3274" s="12">
        <v>1085344795</v>
      </c>
      <c r="F3274" s="12" t="s">
        <v>1242</v>
      </c>
      <c r="G3274" t="s">
        <v>1094</v>
      </c>
      <c r="H3274" t="e">
        <f>VLOOKUP(C3274,'[1]873'!$C$2:$C$711,1,0)</f>
        <v>#N/A</v>
      </c>
    </row>
    <row r="3275" spans="1:8" ht="15" customHeight="1" x14ac:dyDescent="0.25">
      <c r="A3275" s="33" t="s">
        <v>1312</v>
      </c>
      <c r="B3275" s="12" t="s">
        <v>1524</v>
      </c>
      <c r="C3275" s="12" t="s">
        <v>1215</v>
      </c>
      <c r="D3275" s="37">
        <v>6000000</v>
      </c>
      <c r="E3275" s="12">
        <v>1082748420</v>
      </c>
      <c r="F3275" s="12" t="s">
        <v>1706</v>
      </c>
      <c r="G3275" t="s">
        <v>1094</v>
      </c>
      <c r="H3275" t="e">
        <f>VLOOKUP(C3275,'[1]873'!$C$2:$C$711,1,0)</f>
        <v>#N/A</v>
      </c>
    </row>
    <row r="3276" spans="1:8" ht="15" customHeight="1" x14ac:dyDescent="0.25">
      <c r="A3276" s="33" t="s">
        <v>1312</v>
      </c>
      <c r="B3276" s="12" t="s">
        <v>1525</v>
      </c>
      <c r="C3276" s="12" t="s">
        <v>1229</v>
      </c>
      <c r="D3276" s="37">
        <v>2500000</v>
      </c>
      <c r="E3276" s="12">
        <v>1084552048</v>
      </c>
      <c r="F3276" s="12" t="s">
        <v>1720</v>
      </c>
      <c r="G3276" t="s">
        <v>1094</v>
      </c>
      <c r="H3276" t="e">
        <f>VLOOKUP(C3276,'[1]873'!$C$2:$C$711,1,0)</f>
        <v>#N/A</v>
      </c>
    </row>
    <row r="3277" spans="1:8" ht="15" customHeight="1" x14ac:dyDescent="0.25">
      <c r="A3277" s="33" t="s">
        <v>1312</v>
      </c>
      <c r="B3277" s="12" t="s">
        <v>1526</v>
      </c>
      <c r="C3277" s="12" t="s">
        <v>1146</v>
      </c>
      <c r="D3277" s="37">
        <v>3000000</v>
      </c>
      <c r="E3277" s="12">
        <v>37084285</v>
      </c>
      <c r="F3277" s="12" t="s">
        <v>119</v>
      </c>
      <c r="G3277" t="s">
        <v>1094</v>
      </c>
      <c r="H3277" t="e">
        <f>VLOOKUP(C3277,'[1]873'!$C$2:$C$711,1,0)</f>
        <v>#N/A</v>
      </c>
    </row>
    <row r="3278" spans="1:8" ht="15" customHeight="1" x14ac:dyDescent="0.25">
      <c r="A3278" s="33" t="s">
        <v>1312</v>
      </c>
      <c r="B3278" s="12" t="s">
        <v>1527</v>
      </c>
      <c r="C3278" s="12" t="s">
        <v>1149</v>
      </c>
      <c r="D3278" s="37">
        <v>3000000</v>
      </c>
      <c r="E3278" s="12">
        <v>1192717330</v>
      </c>
      <c r="F3278" s="12" t="s">
        <v>277</v>
      </c>
      <c r="G3278" t="s">
        <v>1094</v>
      </c>
      <c r="H3278" t="e">
        <f>VLOOKUP(C3278,'[1]873'!$C$2:$C$711,1,0)</f>
        <v>#N/A</v>
      </c>
    </row>
    <row r="3279" spans="1:8" ht="15" customHeight="1" x14ac:dyDescent="0.25">
      <c r="A3279" s="33" t="s">
        <v>1312</v>
      </c>
      <c r="B3279" s="12" t="s">
        <v>1528</v>
      </c>
      <c r="C3279" s="12" t="s">
        <v>1137</v>
      </c>
      <c r="D3279" s="37">
        <v>6000000</v>
      </c>
      <c r="E3279" s="12">
        <v>59837608</v>
      </c>
      <c r="F3279" s="12" t="s">
        <v>145</v>
      </c>
      <c r="G3279" t="s">
        <v>1094</v>
      </c>
      <c r="H3279" t="e">
        <f>VLOOKUP(C3279,'[1]873'!$C$2:$C$711,1,0)</f>
        <v>#N/A</v>
      </c>
    </row>
    <row r="3280" spans="1:8" ht="15" customHeight="1" x14ac:dyDescent="0.25">
      <c r="A3280" s="33" t="s">
        <v>1312</v>
      </c>
      <c r="B3280" s="12" t="s">
        <v>1529</v>
      </c>
      <c r="C3280" s="12" t="s">
        <v>1115</v>
      </c>
      <c r="D3280" s="37">
        <v>3000000</v>
      </c>
      <c r="E3280" s="12">
        <v>1193271854</v>
      </c>
      <c r="F3280" s="12" t="s">
        <v>229</v>
      </c>
      <c r="G3280" t="s">
        <v>1094</v>
      </c>
      <c r="H3280" t="e">
        <f>VLOOKUP(C3280,'[1]873'!$C$2:$C$711,1,0)</f>
        <v>#N/A</v>
      </c>
    </row>
    <row r="3281" spans="1:8" ht="15" customHeight="1" x14ac:dyDescent="0.25">
      <c r="A3281" s="33" t="s">
        <v>1312</v>
      </c>
      <c r="B3281" s="12" t="s">
        <v>1530</v>
      </c>
      <c r="C3281" s="12" t="s">
        <v>1203</v>
      </c>
      <c r="D3281" s="37">
        <v>2500000</v>
      </c>
      <c r="E3281" s="12">
        <v>37087268</v>
      </c>
      <c r="F3281" s="12" t="s">
        <v>257</v>
      </c>
      <c r="G3281" t="s">
        <v>1094</v>
      </c>
      <c r="H3281" t="e">
        <f>VLOOKUP(C3281,'[1]873'!$C$2:$C$711,1,0)</f>
        <v>#N/A</v>
      </c>
    </row>
    <row r="3282" spans="1:8" ht="15" customHeight="1" x14ac:dyDescent="0.25">
      <c r="A3282" s="33" t="s">
        <v>1312</v>
      </c>
      <c r="B3282" s="12" t="s">
        <v>1531</v>
      </c>
      <c r="C3282" s="12" t="s">
        <v>1117</v>
      </c>
      <c r="D3282" s="37">
        <v>3000000</v>
      </c>
      <c r="E3282" s="12">
        <v>1081592303</v>
      </c>
      <c r="F3282" s="12" t="s">
        <v>1613</v>
      </c>
      <c r="G3282" t="s">
        <v>1094</v>
      </c>
      <c r="H3282" t="e">
        <f>VLOOKUP(C3282,'[1]873'!$C$2:$C$711,1,0)</f>
        <v>#N/A</v>
      </c>
    </row>
    <row r="3283" spans="1:8" ht="15" customHeight="1" x14ac:dyDescent="0.25">
      <c r="A3283" s="33" t="s">
        <v>1312</v>
      </c>
      <c r="B3283" s="12" t="s">
        <v>1532</v>
      </c>
      <c r="C3283" s="12" t="s">
        <v>1246</v>
      </c>
      <c r="D3283" s="37">
        <v>3000000</v>
      </c>
      <c r="E3283" s="12">
        <v>27087122</v>
      </c>
      <c r="F3283" s="12" t="s">
        <v>37</v>
      </c>
      <c r="G3283" t="s">
        <v>1094</v>
      </c>
      <c r="H3283" t="e">
        <f>VLOOKUP(C3283,'[1]873'!$C$2:$C$711,1,0)</f>
        <v>#N/A</v>
      </c>
    </row>
    <row r="3284" spans="1:8" ht="15" customHeight="1" x14ac:dyDescent="0.25">
      <c r="A3284" s="33" t="s">
        <v>1312</v>
      </c>
      <c r="B3284" s="12" t="s">
        <v>1533</v>
      </c>
      <c r="C3284" s="12" t="s">
        <v>1221</v>
      </c>
      <c r="D3284" s="37">
        <v>3000000</v>
      </c>
      <c r="E3284" s="12">
        <v>1085304308</v>
      </c>
      <c r="F3284" s="12" t="s">
        <v>1222</v>
      </c>
      <c r="G3284" t="s">
        <v>1094</v>
      </c>
      <c r="H3284" t="e">
        <f>VLOOKUP(C3284,'[1]873'!$C$2:$C$711,1,0)</f>
        <v>#N/A</v>
      </c>
    </row>
    <row r="3285" spans="1:8" ht="15" customHeight="1" x14ac:dyDescent="0.25">
      <c r="A3285" s="33" t="s">
        <v>1313</v>
      </c>
      <c r="B3285" s="12" t="s">
        <v>1534</v>
      </c>
      <c r="C3285" s="12" t="s">
        <v>1219</v>
      </c>
      <c r="D3285" s="37">
        <v>49606946</v>
      </c>
      <c r="E3285" s="12">
        <v>805021222</v>
      </c>
      <c r="F3285" s="12" t="s">
        <v>1711</v>
      </c>
      <c r="G3285" t="s">
        <v>1094</v>
      </c>
      <c r="H3285" t="e">
        <f>VLOOKUP(C3285,'[1]873'!$C$2:$C$711,1,0)</f>
        <v>#N/A</v>
      </c>
    </row>
    <row r="3286" spans="1:8" ht="15" customHeight="1" x14ac:dyDescent="0.25">
      <c r="A3286" s="33" t="s">
        <v>1313</v>
      </c>
      <c r="B3286" s="12" t="s">
        <v>1535</v>
      </c>
      <c r="C3286" s="12" t="s">
        <v>1186</v>
      </c>
      <c r="D3286" s="37">
        <v>3000000</v>
      </c>
      <c r="E3286" s="12">
        <v>1085286725</v>
      </c>
      <c r="F3286" s="12" t="s">
        <v>111</v>
      </c>
      <c r="G3286" t="s">
        <v>1094</v>
      </c>
      <c r="H3286" t="e">
        <f>VLOOKUP(C3286,'[1]873'!$C$2:$C$711,1,0)</f>
        <v>#N/A</v>
      </c>
    </row>
    <row r="3287" spans="1:8" ht="15" customHeight="1" x14ac:dyDescent="0.25">
      <c r="A3287" s="33" t="s">
        <v>1313</v>
      </c>
      <c r="B3287" s="12" t="s">
        <v>1536</v>
      </c>
      <c r="C3287" s="12" t="s">
        <v>1168</v>
      </c>
      <c r="D3287" s="37">
        <v>3000000</v>
      </c>
      <c r="E3287" s="12">
        <v>1081572043</v>
      </c>
      <c r="F3287" s="12" t="s">
        <v>1668</v>
      </c>
      <c r="G3287" t="s">
        <v>1094</v>
      </c>
      <c r="H3287" t="e">
        <f>VLOOKUP(C3287,'[1]873'!$C$2:$C$711,1,0)</f>
        <v>#N/A</v>
      </c>
    </row>
    <row r="3288" spans="1:8" ht="15" customHeight="1" x14ac:dyDescent="0.25">
      <c r="A3288" s="33" t="s">
        <v>1313</v>
      </c>
      <c r="B3288" s="12" t="s">
        <v>1537</v>
      </c>
      <c r="C3288" s="12" t="s">
        <v>1212</v>
      </c>
      <c r="D3288" s="37">
        <v>4825000</v>
      </c>
      <c r="E3288" s="12">
        <v>36951301</v>
      </c>
      <c r="F3288" s="12" t="s">
        <v>1213</v>
      </c>
      <c r="G3288" t="s">
        <v>1094</v>
      </c>
      <c r="H3288" t="e">
        <f>VLOOKUP(C3288,'[1]873'!$C$2:$C$711,1,0)</f>
        <v>#N/A</v>
      </c>
    </row>
    <row r="3289" spans="1:8" ht="15" customHeight="1" x14ac:dyDescent="0.25">
      <c r="A3289" s="33" t="s">
        <v>1313</v>
      </c>
      <c r="B3289" s="12" t="s">
        <v>1520</v>
      </c>
      <c r="C3289" s="12" t="s">
        <v>1243</v>
      </c>
      <c r="D3289" s="37">
        <v>4825000</v>
      </c>
      <c r="E3289" s="12">
        <v>12748383</v>
      </c>
      <c r="F3289" s="12" t="s">
        <v>1727</v>
      </c>
      <c r="G3289" t="s">
        <v>1094</v>
      </c>
      <c r="H3289" t="e">
        <f>VLOOKUP(C3289,'[1]873'!$C$2:$C$711,1,0)</f>
        <v>#N/A</v>
      </c>
    </row>
    <row r="3290" spans="1:8" ht="15" customHeight="1" x14ac:dyDescent="0.25">
      <c r="A3290" s="33" t="s">
        <v>1313</v>
      </c>
      <c r="B3290" s="12" t="s">
        <v>1538</v>
      </c>
      <c r="C3290" s="12" t="s">
        <v>1164</v>
      </c>
      <c r="D3290" s="37">
        <v>3000000</v>
      </c>
      <c r="E3290" s="12">
        <v>1085339190</v>
      </c>
      <c r="F3290" s="12" t="s">
        <v>149</v>
      </c>
      <c r="G3290" t="s">
        <v>1094</v>
      </c>
      <c r="H3290" t="e">
        <f>VLOOKUP(C3290,'[1]873'!$C$2:$C$711,1,0)</f>
        <v>#N/A</v>
      </c>
    </row>
    <row r="3291" spans="1:8" ht="15" customHeight="1" x14ac:dyDescent="0.25">
      <c r="A3291" s="33" t="s">
        <v>1316</v>
      </c>
      <c r="B3291" s="12" t="s">
        <v>1539</v>
      </c>
      <c r="C3291" s="12" t="s">
        <v>1247</v>
      </c>
      <c r="D3291" s="37">
        <v>3000000</v>
      </c>
      <c r="E3291" s="12">
        <v>1082747438</v>
      </c>
      <c r="F3291" s="12" t="s">
        <v>548</v>
      </c>
      <c r="G3291" t="s">
        <v>1094</v>
      </c>
      <c r="H3291" t="e">
        <f>VLOOKUP(C3291,'[1]873'!$C$2:$C$711,1,0)</f>
        <v>#N/A</v>
      </c>
    </row>
    <row r="3292" spans="1:8" ht="15" customHeight="1" x14ac:dyDescent="0.25">
      <c r="A3292" s="33" t="s">
        <v>1317</v>
      </c>
      <c r="B3292" s="12" t="s">
        <v>1540</v>
      </c>
      <c r="C3292" s="12" t="s">
        <v>1248</v>
      </c>
      <c r="D3292" s="37">
        <v>3000000</v>
      </c>
      <c r="E3292" s="12">
        <v>59813323</v>
      </c>
      <c r="F3292" s="12" t="s">
        <v>1733</v>
      </c>
      <c r="G3292" t="s">
        <v>1094</v>
      </c>
      <c r="H3292" t="e">
        <f>VLOOKUP(C3292,'[1]873'!$C$2:$C$711,1,0)</f>
        <v>#N/A</v>
      </c>
    </row>
    <row r="3293" spans="1:8" ht="15" customHeight="1" x14ac:dyDescent="0.25">
      <c r="A3293" s="33" t="s">
        <v>1317</v>
      </c>
      <c r="B3293" s="12" t="s">
        <v>1541</v>
      </c>
      <c r="C3293" s="12" t="s">
        <v>1209</v>
      </c>
      <c r="D3293" s="37">
        <v>3000000</v>
      </c>
      <c r="E3293" s="12">
        <v>1085261053</v>
      </c>
      <c r="F3293" s="12" t="s">
        <v>1702</v>
      </c>
      <c r="G3293" t="s">
        <v>1094</v>
      </c>
      <c r="H3293" t="e">
        <f>VLOOKUP(C3293,'[1]873'!$C$2:$C$711,1,0)</f>
        <v>#N/A</v>
      </c>
    </row>
    <row r="3294" spans="1:8" ht="15" customHeight="1" x14ac:dyDescent="0.25">
      <c r="A3294" s="33" t="s">
        <v>1317</v>
      </c>
      <c r="B3294" s="12" t="s">
        <v>1542</v>
      </c>
      <c r="C3294" s="12" t="s">
        <v>1206</v>
      </c>
      <c r="D3294" s="37">
        <v>3000000</v>
      </c>
      <c r="E3294" s="12">
        <v>1004592366</v>
      </c>
      <c r="F3294" s="12" t="s">
        <v>1697</v>
      </c>
      <c r="G3294" t="s">
        <v>1094</v>
      </c>
      <c r="H3294" t="e">
        <f>VLOOKUP(C3294,'[1]873'!$C$2:$C$711,1,0)</f>
        <v>#N/A</v>
      </c>
    </row>
    <row r="3295" spans="1:8" ht="15" customHeight="1" x14ac:dyDescent="0.25">
      <c r="A3295" s="33" t="s">
        <v>1317</v>
      </c>
      <c r="B3295" s="12" t="s">
        <v>1543</v>
      </c>
      <c r="C3295" s="12" t="s">
        <v>1249</v>
      </c>
      <c r="D3295" s="37">
        <v>2500000</v>
      </c>
      <c r="E3295" s="12">
        <v>1085327836</v>
      </c>
      <c r="F3295" s="12" t="s">
        <v>1735</v>
      </c>
      <c r="G3295" t="s">
        <v>1094</v>
      </c>
      <c r="H3295" t="e">
        <f>VLOOKUP(C3295,'[1]873'!$C$2:$C$711,1,0)</f>
        <v>#N/A</v>
      </c>
    </row>
    <row r="3296" spans="1:8" ht="15" customHeight="1" x14ac:dyDescent="0.25">
      <c r="A3296" s="33" t="s">
        <v>1317</v>
      </c>
      <c r="B3296" s="12" t="s">
        <v>1544</v>
      </c>
      <c r="C3296" s="12" t="s">
        <v>1250</v>
      </c>
      <c r="D3296" s="37">
        <v>3000000</v>
      </c>
      <c r="E3296" s="12">
        <v>59833899</v>
      </c>
      <c r="F3296" s="12" t="s">
        <v>1737</v>
      </c>
      <c r="G3296" t="s">
        <v>1094</v>
      </c>
      <c r="H3296" t="e">
        <f>VLOOKUP(C3296,'[1]873'!$C$2:$C$711,1,0)</f>
        <v>#N/A</v>
      </c>
    </row>
    <row r="3297" spans="1:8" ht="15" customHeight="1" x14ac:dyDescent="0.25">
      <c r="A3297" s="33" t="s">
        <v>1317</v>
      </c>
      <c r="B3297" s="12" t="s">
        <v>1545</v>
      </c>
      <c r="C3297" s="12" t="s">
        <v>1228</v>
      </c>
      <c r="D3297" s="37">
        <v>3000000</v>
      </c>
      <c r="E3297" s="12">
        <v>1084224968</v>
      </c>
      <c r="F3297" s="12" t="s">
        <v>1718</v>
      </c>
      <c r="G3297" t="s">
        <v>1094</v>
      </c>
      <c r="H3297" t="e">
        <f>VLOOKUP(C3297,'[1]873'!$C$2:$C$711,1,0)</f>
        <v>#N/A</v>
      </c>
    </row>
    <row r="3298" spans="1:8" ht="15" customHeight="1" x14ac:dyDescent="0.25">
      <c r="A3298" s="33" t="s">
        <v>1317</v>
      </c>
      <c r="B3298" s="12" t="s">
        <v>1546</v>
      </c>
      <c r="C3298" s="12" t="s">
        <v>1251</v>
      </c>
      <c r="D3298" s="37">
        <v>6000000</v>
      </c>
      <c r="E3298" s="12">
        <v>1193223736</v>
      </c>
      <c r="F3298" s="12" t="s">
        <v>1739</v>
      </c>
      <c r="G3298" t="s">
        <v>1094</v>
      </c>
      <c r="H3298" t="e">
        <f>VLOOKUP(C3298,'[1]873'!$C$2:$C$711,1,0)</f>
        <v>#N/A</v>
      </c>
    </row>
    <row r="3299" spans="1:8" ht="15" customHeight="1" x14ac:dyDescent="0.25">
      <c r="A3299" s="33" t="s">
        <v>1317</v>
      </c>
      <c r="B3299" s="12" t="s">
        <v>1547</v>
      </c>
      <c r="C3299" s="12" t="s">
        <v>1217</v>
      </c>
      <c r="D3299" s="37">
        <v>7500000</v>
      </c>
      <c r="E3299" s="12">
        <v>1087006619</v>
      </c>
      <c r="F3299" s="12" t="s">
        <v>1709</v>
      </c>
      <c r="G3299" t="s">
        <v>1094</v>
      </c>
      <c r="H3299" t="e">
        <f>VLOOKUP(C3299,'[1]873'!$C$2:$C$711,1,0)</f>
        <v>#N/A</v>
      </c>
    </row>
    <row r="3300" spans="1:8" ht="15" customHeight="1" x14ac:dyDescent="0.25">
      <c r="A3300" s="33" t="s">
        <v>1317</v>
      </c>
      <c r="B3300" s="12" t="s">
        <v>1548</v>
      </c>
      <c r="C3300" s="12" t="s">
        <v>1252</v>
      </c>
      <c r="D3300" s="37">
        <v>3000000</v>
      </c>
      <c r="E3300" s="12">
        <v>1085325325</v>
      </c>
      <c r="F3300" s="12" t="s">
        <v>1741</v>
      </c>
      <c r="G3300" t="s">
        <v>1094</v>
      </c>
      <c r="H3300" t="e">
        <f>VLOOKUP(C3300,'[1]873'!$C$2:$C$711,1,0)</f>
        <v>#N/A</v>
      </c>
    </row>
    <row r="3301" spans="1:8" ht="15" customHeight="1" x14ac:dyDescent="0.25">
      <c r="A3301" s="33" t="s">
        <v>1317</v>
      </c>
      <c r="B3301" s="12" t="s">
        <v>1549</v>
      </c>
      <c r="C3301" s="12" t="s">
        <v>1253</v>
      </c>
      <c r="D3301" s="37">
        <v>2500000</v>
      </c>
      <c r="E3301" s="12">
        <v>98386323</v>
      </c>
      <c r="F3301" s="12" t="s">
        <v>1742</v>
      </c>
      <c r="G3301" t="s">
        <v>1094</v>
      </c>
      <c r="H3301" t="e">
        <f>VLOOKUP(C3301,'[1]873'!$C$2:$C$711,1,0)</f>
        <v>#N/A</v>
      </c>
    </row>
    <row r="3302" spans="1:8" ht="15" customHeight="1" x14ac:dyDescent="0.25">
      <c r="A3302" s="33" t="s">
        <v>1318</v>
      </c>
      <c r="B3302" s="12" t="s">
        <v>1550</v>
      </c>
      <c r="C3302" s="12" t="s">
        <v>1254</v>
      </c>
      <c r="D3302" s="37">
        <v>3000000</v>
      </c>
      <c r="E3302" s="12">
        <v>36861874</v>
      </c>
      <c r="F3302" s="12" t="s">
        <v>1211</v>
      </c>
      <c r="G3302" t="s">
        <v>1094</v>
      </c>
      <c r="H3302" t="e">
        <f>VLOOKUP(C3302,'[1]873'!$C$2:$C$711,1,0)</f>
        <v>#N/A</v>
      </c>
    </row>
    <row r="3303" spans="1:8" ht="15" customHeight="1" x14ac:dyDescent="0.25">
      <c r="A3303" s="33" t="s">
        <v>1318</v>
      </c>
      <c r="B3303" s="12" t="s">
        <v>1551</v>
      </c>
      <c r="C3303" s="12" t="s">
        <v>1173</v>
      </c>
      <c r="D3303" s="37">
        <v>2500000</v>
      </c>
      <c r="E3303" s="12">
        <v>1233188479</v>
      </c>
      <c r="F3303" s="12" t="s">
        <v>1670</v>
      </c>
      <c r="G3303" t="s">
        <v>1094</v>
      </c>
      <c r="H3303" t="e">
        <f>VLOOKUP(C3303,'[1]873'!$C$2:$C$711,1,0)</f>
        <v>#N/A</v>
      </c>
    </row>
    <row r="3304" spans="1:8" ht="15" customHeight="1" x14ac:dyDescent="0.25">
      <c r="A3304" s="33" t="s">
        <v>1318</v>
      </c>
      <c r="B3304" s="12" t="s">
        <v>1552</v>
      </c>
      <c r="C3304" s="12" t="s">
        <v>1194</v>
      </c>
      <c r="D3304" s="37">
        <v>6000000</v>
      </c>
      <c r="E3304" s="12">
        <v>59836480</v>
      </c>
      <c r="F3304" s="12" t="s">
        <v>1686</v>
      </c>
      <c r="G3304" t="s">
        <v>1094</v>
      </c>
      <c r="H3304" t="e">
        <f>VLOOKUP(C3304,'[1]873'!$C$2:$C$711,1,0)</f>
        <v>#N/A</v>
      </c>
    </row>
    <row r="3305" spans="1:8" ht="15" customHeight="1" x14ac:dyDescent="0.25">
      <c r="A3305" s="33" t="s">
        <v>1318</v>
      </c>
      <c r="B3305" s="12" t="s">
        <v>1553</v>
      </c>
      <c r="C3305" s="12" t="s">
        <v>1198</v>
      </c>
      <c r="D3305" s="37">
        <v>2500000</v>
      </c>
      <c r="E3305" s="12">
        <v>59830219</v>
      </c>
      <c r="F3305" s="12" t="s">
        <v>281</v>
      </c>
      <c r="G3305" t="s">
        <v>1094</v>
      </c>
      <c r="H3305" t="e">
        <f>VLOOKUP(C3305,'[1]873'!$C$2:$C$711,1,0)</f>
        <v>#N/A</v>
      </c>
    </row>
    <row r="3306" spans="1:8" ht="15" customHeight="1" x14ac:dyDescent="0.25">
      <c r="A3306" s="33" t="s">
        <v>1318</v>
      </c>
      <c r="B3306" s="12" t="s">
        <v>1554</v>
      </c>
      <c r="C3306" s="12" t="s">
        <v>1189</v>
      </c>
      <c r="D3306" s="37">
        <v>4750000</v>
      </c>
      <c r="E3306" s="12">
        <v>36953206</v>
      </c>
      <c r="F3306" s="12" t="s">
        <v>391</v>
      </c>
      <c r="G3306" t="s">
        <v>1094</v>
      </c>
      <c r="H3306" t="e">
        <f>VLOOKUP(C3306,'[1]873'!$C$2:$C$711,1,0)</f>
        <v>#N/A</v>
      </c>
    </row>
    <row r="3307" spans="1:8" ht="15" customHeight="1" x14ac:dyDescent="0.25">
      <c r="A3307" s="33" t="s">
        <v>1318</v>
      </c>
      <c r="B3307" s="12" t="s">
        <v>1555</v>
      </c>
      <c r="C3307" s="12" t="s">
        <v>1246</v>
      </c>
      <c r="D3307" s="37">
        <v>3000000</v>
      </c>
      <c r="E3307" s="12">
        <v>27087122</v>
      </c>
      <c r="F3307" s="12" t="s">
        <v>37</v>
      </c>
      <c r="G3307" t="s">
        <v>1094</v>
      </c>
      <c r="H3307" t="e">
        <f>VLOOKUP(C3307,'[1]873'!$C$2:$C$711,1,0)</f>
        <v>#N/A</v>
      </c>
    </row>
    <row r="3308" spans="1:8" ht="15" customHeight="1" x14ac:dyDescent="0.25">
      <c r="A3308" s="33" t="s">
        <v>1318</v>
      </c>
      <c r="B3308" s="12" t="s">
        <v>1556</v>
      </c>
      <c r="C3308" s="12" t="s">
        <v>1234</v>
      </c>
      <c r="D3308" s="37">
        <v>3000000</v>
      </c>
      <c r="E3308" s="12">
        <v>27088197</v>
      </c>
      <c r="F3308" s="12" t="s">
        <v>1235</v>
      </c>
      <c r="G3308" t="s">
        <v>1094</v>
      </c>
      <c r="H3308" t="e">
        <f>VLOOKUP(C3308,'[1]873'!$C$2:$C$711,1,0)</f>
        <v>#N/A</v>
      </c>
    </row>
    <row r="3309" spans="1:8" ht="15" customHeight="1" x14ac:dyDescent="0.25">
      <c r="A3309" s="33" t="s">
        <v>1318</v>
      </c>
      <c r="B3309" s="12" t="s">
        <v>1557</v>
      </c>
      <c r="C3309" s="12" t="s">
        <v>1238</v>
      </c>
      <c r="D3309" s="37">
        <v>2500000</v>
      </c>
      <c r="E3309" s="12">
        <v>30734666</v>
      </c>
      <c r="F3309" s="12" t="s">
        <v>1239</v>
      </c>
      <c r="G3309" t="s">
        <v>1094</v>
      </c>
      <c r="H3309" t="e">
        <f>VLOOKUP(C3309,'[1]873'!$C$2:$C$711,1,0)</f>
        <v>#N/A</v>
      </c>
    </row>
    <row r="3310" spans="1:8" ht="15" customHeight="1" x14ac:dyDescent="0.25">
      <c r="A3310" s="33" t="s">
        <v>1318</v>
      </c>
      <c r="B3310" s="12" t="s">
        <v>1558</v>
      </c>
      <c r="C3310" s="12" t="s">
        <v>1208</v>
      </c>
      <c r="D3310" s="37">
        <v>2500000</v>
      </c>
      <c r="E3310" s="12">
        <v>12990231</v>
      </c>
      <c r="F3310" s="12" t="s">
        <v>1700</v>
      </c>
      <c r="G3310" t="s">
        <v>1094</v>
      </c>
      <c r="H3310" t="e">
        <f>VLOOKUP(C3310,'[1]873'!$C$2:$C$711,1,0)</f>
        <v>#N/A</v>
      </c>
    </row>
    <row r="3311" spans="1:8" ht="15" customHeight="1" x14ac:dyDescent="0.25">
      <c r="A3311" s="33" t="s">
        <v>1314</v>
      </c>
      <c r="B3311" s="12" t="s">
        <v>1559</v>
      </c>
      <c r="C3311" s="12" t="s">
        <v>1166</v>
      </c>
      <c r="D3311" s="37">
        <v>6000000</v>
      </c>
      <c r="E3311" s="12">
        <v>97470681</v>
      </c>
      <c r="F3311" s="12" t="s">
        <v>329</v>
      </c>
      <c r="G3311" t="s">
        <v>1094</v>
      </c>
      <c r="H3311" t="e">
        <f>VLOOKUP(C3311,'[1]873'!$C$2:$C$711,1,0)</f>
        <v>#N/A</v>
      </c>
    </row>
    <row r="3312" spans="1:8" ht="15" customHeight="1" x14ac:dyDescent="0.25">
      <c r="A3312" s="33" t="s">
        <v>1314</v>
      </c>
      <c r="B3312" s="12" t="s">
        <v>1560</v>
      </c>
      <c r="C3312" s="12" t="s">
        <v>1210</v>
      </c>
      <c r="D3312" s="37">
        <v>3000000</v>
      </c>
      <c r="E3312" s="12">
        <v>1087959088</v>
      </c>
      <c r="F3312" s="12" t="s">
        <v>1255</v>
      </c>
      <c r="G3312" t="s">
        <v>1094</v>
      </c>
      <c r="H3312" t="e">
        <f>VLOOKUP(C3312,'[1]873'!$C$2:$C$711,1,0)</f>
        <v>#N/A</v>
      </c>
    </row>
    <row r="3313" spans="1:8" ht="15" customHeight="1" x14ac:dyDescent="0.25">
      <c r="A3313" s="33" t="s">
        <v>1314</v>
      </c>
      <c r="B3313" s="12" t="s">
        <v>1561</v>
      </c>
      <c r="C3313" s="12" t="s">
        <v>1161</v>
      </c>
      <c r="D3313" s="37">
        <v>2500000</v>
      </c>
      <c r="E3313" s="12">
        <v>1075242334</v>
      </c>
      <c r="F3313" s="12" t="s">
        <v>1276</v>
      </c>
      <c r="G3313" t="s">
        <v>1094</v>
      </c>
      <c r="H3313" t="e">
        <f>VLOOKUP(C3313,'[1]873'!$C$2:$C$711,1,0)</f>
        <v>#N/A</v>
      </c>
    </row>
    <row r="3314" spans="1:8" ht="15" customHeight="1" x14ac:dyDescent="0.25">
      <c r="A3314" s="33" t="s">
        <v>1314</v>
      </c>
      <c r="B3314" s="12" t="s">
        <v>1562</v>
      </c>
      <c r="C3314" s="12" t="s">
        <v>1256</v>
      </c>
      <c r="D3314" s="37">
        <v>3000000</v>
      </c>
      <c r="E3314" s="12">
        <v>59830040</v>
      </c>
      <c r="F3314" s="12" t="s">
        <v>297</v>
      </c>
      <c r="G3314" t="s">
        <v>1094</v>
      </c>
      <c r="H3314" t="e">
        <f>VLOOKUP(C3314,'[1]873'!$C$2:$C$711,1,0)</f>
        <v>#N/A</v>
      </c>
    </row>
    <row r="3315" spans="1:8" ht="15" customHeight="1" x14ac:dyDescent="0.25">
      <c r="A3315" s="33" t="s">
        <v>1314</v>
      </c>
      <c r="B3315" s="12" t="s">
        <v>1521</v>
      </c>
      <c r="C3315" s="12" t="s">
        <v>1244</v>
      </c>
      <c r="D3315" s="37">
        <v>3000000</v>
      </c>
      <c r="E3315" s="12">
        <v>27091114</v>
      </c>
      <c r="F3315" s="12" t="s">
        <v>1729</v>
      </c>
      <c r="G3315" t="s">
        <v>1094</v>
      </c>
      <c r="H3315" t="e">
        <f>VLOOKUP(C3315,'[1]873'!$C$2:$C$711,1,0)</f>
        <v>#N/A</v>
      </c>
    </row>
    <row r="3316" spans="1:8" ht="15" customHeight="1" x14ac:dyDescent="0.25">
      <c r="A3316" s="33" t="s">
        <v>1314</v>
      </c>
      <c r="B3316" s="12" t="s">
        <v>1563</v>
      </c>
      <c r="C3316" s="12" t="s">
        <v>1232</v>
      </c>
      <c r="D3316" s="37">
        <v>6000000</v>
      </c>
      <c r="E3316" s="12">
        <v>59314458</v>
      </c>
      <c r="F3316" s="12" t="s">
        <v>1233</v>
      </c>
      <c r="G3316" t="s">
        <v>1094</v>
      </c>
      <c r="H3316" t="e">
        <f>VLOOKUP(C3316,'[1]873'!$C$2:$C$711,1,0)</f>
        <v>#N/A</v>
      </c>
    </row>
    <row r="3317" spans="1:8" ht="15" customHeight="1" x14ac:dyDescent="0.25">
      <c r="A3317" s="33" t="s">
        <v>1314</v>
      </c>
      <c r="B3317" s="12" t="s">
        <v>1564</v>
      </c>
      <c r="C3317" s="12" t="s">
        <v>1257</v>
      </c>
      <c r="D3317" s="37">
        <v>2500000</v>
      </c>
      <c r="E3317" s="12">
        <v>1087958982</v>
      </c>
      <c r="F3317" s="12" t="s">
        <v>1745</v>
      </c>
      <c r="G3317" t="s">
        <v>1094</v>
      </c>
      <c r="H3317" t="e">
        <f>VLOOKUP(C3317,'[1]873'!$C$2:$C$711,1,0)</f>
        <v>#N/A</v>
      </c>
    </row>
    <row r="3318" spans="1:8" ht="15" customHeight="1" x14ac:dyDescent="0.25">
      <c r="A3318" s="33" t="s">
        <v>1314</v>
      </c>
      <c r="B3318" s="12" t="s">
        <v>1565</v>
      </c>
      <c r="C3318" s="12" t="s">
        <v>1257</v>
      </c>
      <c r="D3318" s="37">
        <v>2500000</v>
      </c>
      <c r="E3318" s="12">
        <v>1087958982</v>
      </c>
      <c r="F3318" s="12" t="s">
        <v>1745</v>
      </c>
      <c r="G3318" t="s">
        <v>1094</v>
      </c>
      <c r="H3318" t="e">
        <f>VLOOKUP(C3318,'[1]873'!$C$2:$C$711,1,0)</f>
        <v>#N/A</v>
      </c>
    </row>
    <row r="3319" spans="1:8" ht="15" customHeight="1" x14ac:dyDescent="0.25">
      <c r="A3319" s="33" t="s">
        <v>1314</v>
      </c>
      <c r="B3319" s="12" t="s">
        <v>1566</v>
      </c>
      <c r="C3319" s="12" t="s">
        <v>1231</v>
      </c>
      <c r="D3319" s="37">
        <v>6000000</v>
      </c>
      <c r="E3319" s="12">
        <v>1085253062</v>
      </c>
      <c r="F3319" s="12" t="s">
        <v>1722</v>
      </c>
      <c r="G3319" t="s">
        <v>1094</v>
      </c>
      <c r="H3319" t="e">
        <f>VLOOKUP(C3319,'[1]873'!$C$2:$C$711,1,0)</f>
        <v>#N/A</v>
      </c>
    </row>
    <row r="3320" spans="1:8" ht="15" customHeight="1" x14ac:dyDescent="0.25">
      <c r="A3320" s="33" t="s">
        <v>1314</v>
      </c>
      <c r="B3320" s="12" t="s">
        <v>1567</v>
      </c>
      <c r="C3320" s="12" t="s">
        <v>1258</v>
      </c>
      <c r="D3320" s="37">
        <v>3000000</v>
      </c>
      <c r="E3320" s="12">
        <v>59828916</v>
      </c>
      <c r="F3320" s="12" t="s">
        <v>1747</v>
      </c>
      <c r="G3320" t="s">
        <v>1094</v>
      </c>
      <c r="H3320" t="e">
        <f>VLOOKUP(C3320,'[1]873'!$C$2:$C$711,1,0)</f>
        <v>#N/A</v>
      </c>
    </row>
    <row r="3321" spans="1:8" ht="15" customHeight="1" x14ac:dyDescent="0.25">
      <c r="A3321" s="33" t="s">
        <v>1314</v>
      </c>
      <c r="B3321" s="12" t="s">
        <v>1568</v>
      </c>
      <c r="C3321" s="12" t="s">
        <v>1204</v>
      </c>
      <c r="D3321" s="37">
        <v>2500000</v>
      </c>
      <c r="E3321" s="12">
        <v>1085310465</v>
      </c>
      <c r="F3321" s="12" t="s">
        <v>1694</v>
      </c>
      <c r="G3321" t="s">
        <v>1094</v>
      </c>
      <c r="H3321" t="e">
        <f>VLOOKUP(C3321,'[1]873'!$C$2:$C$711,1,0)</f>
        <v>#N/A</v>
      </c>
    </row>
    <row r="3322" spans="1:8" ht="15" customHeight="1" x14ac:dyDescent="0.25">
      <c r="A3322" s="33" t="s">
        <v>1314</v>
      </c>
      <c r="B3322" s="12" t="s">
        <v>1569</v>
      </c>
      <c r="C3322" s="12" t="s">
        <v>1196</v>
      </c>
      <c r="D3322" s="37">
        <v>2500000</v>
      </c>
      <c r="E3322" s="12">
        <v>30722194</v>
      </c>
      <c r="F3322" s="12" t="s">
        <v>1687</v>
      </c>
      <c r="G3322" t="s">
        <v>1094</v>
      </c>
      <c r="H3322" t="e">
        <f>VLOOKUP(C3322,'[1]873'!$C$2:$C$711,1,0)</f>
        <v>#N/A</v>
      </c>
    </row>
    <row r="3323" spans="1:8" ht="15" customHeight="1" x14ac:dyDescent="0.25">
      <c r="A3323" s="33" t="s">
        <v>1315</v>
      </c>
      <c r="B3323" s="12" t="s">
        <v>1522</v>
      </c>
      <c r="C3323" s="12" t="s">
        <v>1245</v>
      </c>
      <c r="D3323" s="37">
        <v>3000000</v>
      </c>
      <c r="E3323" s="12">
        <v>1193271854</v>
      </c>
      <c r="F3323" s="12" t="s">
        <v>229</v>
      </c>
      <c r="G3323" t="s">
        <v>1094</v>
      </c>
      <c r="H3323" t="e">
        <f>VLOOKUP(C3323,'[1]873'!$C$2:$C$711,1,0)</f>
        <v>#N/A</v>
      </c>
    </row>
    <row r="3324" spans="1:8" ht="15" customHeight="1" x14ac:dyDescent="0.25">
      <c r="A3324" s="33" t="s">
        <v>1315</v>
      </c>
      <c r="B3324" s="12" t="s">
        <v>1570</v>
      </c>
      <c r="C3324" s="12" t="s">
        <v>1259</v>
      </c>
      <c r="D3324" s="37">
        <v>6000000</v>
      </c>
      <c r="E3324" s="12">
        <v>1085248939</v>
      </c>
      <c r="F3324" s="12" t="s">
        <v>1749</v>
      </c>
      <c r="G3324" t="s">
        <v>1094</v>
      </c>
      <c r="H3324" t="e">
        <f>VLOOKUP(C3324,'[1]873'!$C$2:$C$711,1,0)</f>
        <v>#N/A</v>
      </c>
    </row>
    <row r="3325" spans="1:8" ht="15" customHeight="1" x14ac:dyDescent="0.25">
      <c r="A3325" s="33" t="s">
        <v>1315</v>
      </c>
      <c r="B3325" s="12" t="s">
        <v>1523</v>
      </c>
      <c r="C3325" s="12" t="s">
        <v>1185</v>
      </c>
      <c r="D3325" s="37">
        <v>3000000</v>
      </c>
      <c r="E3325" s="12">
        <v>1030606749</v>
      </c>
      <c r="F3325" s="12" t="s">
        <v>1678</v>
      </c>
      <c r="G3325" t="s">
        <v>1094</v>
      </c>
      <c r="H3325" t="e">
        <f>VLOOKUP(C3325,'[1]873'!$C$2:$C$711,1,0)</f>
        <v>#N/A</v>
      </c>
    </row>
    <row r="3326" spans="1:8" ht="15" customHeight="1" x14ac:dyDescent="0.25">
      <c r="A3326" s="33" t="s">
        <v>1315</v>
      </c>
      <c r="B3326" s="12" t="s">
        <v>1571</v>
      </c>
      <c r="C3326" s="12" t="s">
        <v>1260</v>
      </c>
      <c r="D3326" s="37">
        <v>3000000</v>
      </c>
      <c r="E3326" s="12">
        <v>1085310466</v>
      </c>
      <c r="F3326" s="12" t="s">
        <v>1261</v>
      </c>
      <c r="G3326" t="s">
        <v>1094</v>
      </c>
      <c r="H3326" t="e">
        <f>VLOOKUP(C3326,'[1]873'!$C$2:$C$711,1,0)</f>
        <v>#N/A</v>
      </c>
    </row>
    <row r="3327" spans="1:8" ht="15" customHeight="1" x14ac:dyDescent="0.25">
      <c r="A3327" s="33" t="s">
        <v>1315</v>
      </c>
      <c r="B3327" s="12" t="s">
        <v>1572</v>
      </c>
      <c r="C3327" s="12" t="s">
        <v>1237</v>
      </c>
      <c r="D3327" s="37">
        <v>6000000</v>
      </c>
      <c r="E3327" s="12">
        <v>36954410</v>
      </c>
      <c r="F3327" s="12" t="s">
        <v>343</v>
      </c>
      <c r="G3327" t="s">
        <v>1094</v>
      </c>
      <c r="H3327" t="e">
        <f>VLOOKUP(C3327,'[1]873'!$C$2:$C$711,1,0)</f>
        <v>#N/A</v>
      </c>
    </row>
    <row r="3328" spans="1:8" ht="15" customHeight="1" x14ac:dyDescent="0.25">
      <c r="A3328" s="33" t="s">
        <v>1319</v>
      </c>
      <c r="B3328" s="12" t="s">
        <v>1573</v>
      </c>
      <c r="C3328" s="12" t="s">
        <v>1193</v>
      </c>
      <c r="D3328" s="37">
        <v>2500000</v>
      </c>
      <c r="E3328" s="12">
        <v>1085347173</v>
      </c>
      <c r="F3328" s="12" t="s">
        <v>487</v>
      </c>
      <c r="G3328" t="s">
        <v>1094</v>
      </c>
      <c r="H3328" t="e">
        <f>VLOOKUP(C3328,'[1]873'!$C$2:$C$711,1,0)</f>
        <v>#N/A</v>
      </c>
    </row>
    <row r="3329" spans="1:8" ht="15" customHeight="1" x14ac:dyDescent="0.25">
      <c r="A3329" s="33" t="s">
        <v>1319</v>
      </c>
      <c r="B3329" s="12" t="s">
        <v>1574</v>
      </c>
      <c r="C3329" s="12" t="s">
        <v>1197</v>
      </c>
      <c r="D3329" s="37">
        <v>3000000</v>
      </c>
      <c r="E3329" s="12">
        <v>1085252263</v>
      </c>
      <c r="F3329" s="12" t="s">
        <v>1689</v>
      </c>
      <c r="G3329" t="s">
        <v>1094</v>
      </c>
      <c r="H3329" t="e">
        <f>VLOOKUP(C3329,'[1]873'!$C$2:$C$711,1,0)</f>
        <v>#N/A</v>
      </c>
    </row>
    <row r="3330" spans="1:8" ht="15" customHeight="1" x14ac:dyDescent="0.25">
      <c r="A3330" s="33" t="s">
        <v>1320</v>
      </c>
      <c r="B3330" s="12" t="s">
        <v>1575</v>
      </c>
      <c r="C3330" s="12" t="s">
        <v>1223</v>
      </c>
      <c r="D3330" s="37">
        <v>6000000</v>
      </c>
      <c r="E3330" s="12">
        <v>27097745</v>
      </c>
      <c r="F3330" s="12" t="s">
        <v>1714</v>
      </c>
      <c r="G3330" t="s">
        <v>1094</v>
      </c>
      <c r="H3330" t="e">
        <f>VLOOKUP(C3330,'[1]873'!$C$2:$C$711,1,0)</f>
        <v>#N/A</v>
      </c>
    </row>
    <row r="3331" spans="1:8" ht="15" customHeight="1" x14ac:dyDescent="0.25">
      <c r="A3331" s="33" t="s">
        <v>1321</v>
      </c>
      <c r="B3331" s="12" t="s">
        <v>1576</v>
      </c>
      <c r="C3331" s="12" t="s">
        <v>1259</v>
      </c>
      <c r="D3331" s="37">
        <v>6000000</v>
      </c>
      <c r="E3331" s="12">
        <v>1085248939</v>
      </c>
      <c r="F3331" s="12" t="s">
        <v>1749</v>
      </c>
      <c r="G3331" t="s">
        <v>1094</v>
      </c>
      <c r="H3331" t="e">
        <f>VLOOKUP(C3331,'[1]873'!$C$2:$C$711,1,0)</f>
        <v>#N/A</v>
      </c>
    </row>
    <row r="3332" spans="1:8" ht="15" customHeight="1" x14ac:dyDescent="0.25">
      <c r="A3332" s="33" t="s">
        <v>1321</v>
      </c>
      <c r="B3332" s="12" t="s">
        <v>1577</v>
      </c>
      <c r="C3332" s="12" t="s">
        <v>1214</v>
      </c>
      <c r="D3332" s="37">
        <v>6000000</v>
      </c>
      <c r="E3332" s="12">
        <v>1004213964</v>
      </c>
      <c r="F3332" s="12" t="s">
        <v>1704</v>
      </c>
      <c r="G3332" t="s">
        <v>1094</v>
      </c>
      <c r="H3332" t="e">
        <f>VLOOKUP(C3332,'[1]873'!$C$2:$C$711,1,0)</f>
        <v>#N/A</v>
      </c>
    </row>
    <row r="3333" spans="1:8" ht="15" customHeight="1" x14ac:dyDescent="0.25">
      <c r="A3333" s="33" t="s">
        <v>1322</v>
      </c>
      <c r="B3333" s="12" t="s">
        <v>1578</v>
      </c>
      <c r="C3333" s="12" t="s">
        <v>1262</v>
      </c>
      <c r="D3333" s="37">
        <v>3000000</v>
      </c>
      <c r="E3333" s="12">
        <v>1086222977</v>
      </c>
      <c r="F3333" s="12" t="s">
        <v>987</v>
      </c>
      <c r="G3333" t="s">
        <v>1094</v>
      </c>
      <c r="H3333" t="e">
        <f>VLOOKUP(C3333,'[1]873'!$C$2:$C$711,1,0)</f>
        <v>#N/A</v>
      </c>
    </row>
    <row r="3334" spans="1:8" ht="15" customHeight="1" x14ac:dyDescent="0.25">
      <c r="A3334" s="33" t="s">
        <v>1323</v>
      </c>
      <c r="B3334" s="12" t="s">
        <v>1579</v>
      </c>
      <c r="C3334" s="12" t="s">
        <v>1240</v>
      </c>
      <c r="D3334" s="37">
        <v>3000000</v>
      </c>
      <c r="E3334" s="12">
        <v>1086223299</v>
      </c>
      <c r="F3334" s="12" t="s">
        <v>455</v>
      </c>
      <c r="G3334" t="s">
        <v>1094</v>
      </c>
      <c r="H3334" t="e">
        <f>VLOOKUP(C3334,'[1]873'!$C$2:$C$711,1,0)</f>
        <v>#N/A</v>
      </c>
    </row>
    <row r="3335" spans="1:8" ht="15" customHeight="1" x14ac:dyDescent="0.25">
      <c r="A3335" s="33" t="s">
        <v>1323</v>
      </c>
      <c r="B3335" s="12" t="s">
        <v>1580</v>
      </c>
      <c r="C3335" s="12" t="s">
        <v>1207</v>
      </c>
      <c r="D3335" s="37">
        <v>3000000</v>
      </c>
      <c r="E3335" s="12">
        <v>1085266584</v>
      </c>
      <c r="F3335" s="12" t="s">
        <v>115</v>
      </c>
      <c r="G3335" t="s">
        <v>1094</v>
      </c>
      <c r="H3335" t="e">
        <f>VLOOKUP(C3335,'[1]873'!$C$2:$C$711,1,0)</f>
        <v>#N/A</v>
      </c>
    </row>
    <row r="3336" spans="1:8" ht="15" customHeight="1" x14ac:dyDescent="0.25">
      <c r="A3336" s="33" t="s">
        <v>1323</v>
      </c>
      <c r="B3336" s="12" t="s">
        <v>1581</v>
      </c>
      <c r="C3336" s="12" t="s">
        <v>1263</v>
      </c>
      <c r="D3336" s="37">
        <v>4200000</v>
      </c>
      <c r="E3336" s="12">
        <v>27198144</v>
      </c>
      <c r="F3336" s="12" t="s">
        <v>1264</v>
      </c>
      <c r="G3336" t="s">
        <v>1094</v>
      </c>
      <c r="H3336" t="e">
        <f>VLOOKUP(C3336,'[1]873'!$C$2:$C$711,1,0)</f>
        <v>#N/A</v>
      </c>
    </row>
    <row r="3337" spans="1:8" ht="15" customHeight="1" x14ac:dyDescent="0.25">
      <c r="A3337" s="33" t="s">
        <v>1324</v>
      </c>
      <c r="B3337" s="12" t="s">
        <v>1582</v>
      </c>
      <c r="C3337" s="12" t="s">
        <v>1265</v>
      </c>
      <c r="D3337" s="37">
        <v>7500000</v>
      </c>
      <c r="E3337" s="12">
        <v>1089483067</v>
      </c>
      <c r="F3337" s="12" t="s">
        <v>1751</v>
      </c>
      <c r="G3337" t="s">
        <v>1094</v>
      </c>
      <c r="H3337" t="e">
        <f>VLOOKUP(C3337,'[1]873'!$C$2:$C$711,1,0)</f>
        <v>#N/A</v>
      </c>
    </row>
    <row r="3338" spans="1:8" ht="15" customHeight="1" x14ac:dyDescent="0.25">
      <c r="A3338" s="33" t="s">
        <v>1324</v>
      </c>
      <c r="B3338" s="12" t="s">
        <v>1583</v>
      </c>
      <c r="C3338" s="12" t="s">
        <v>1265</v>
      </c>
      <c r="D3338" s="37">
        <v>7500000</v>
      </c>
      <c r="E3338" s="12">
        <v>1089483067</v>
      </c>
      <c r="F3338" s="12" t="s">
        <v>1751</v>
      </c>
      <c r="G3338" t="s">
        <v>1094</v>
      </c>
      <c r="H3338" t="e">
        <f>VLOOKUP(C3338,'[1]873'!$C$2:$C$711,1,0)</f>
        <v>#N/A</v>
      </c>
    </row>
    <row r="3339" spans="1:8" ht="15" customHeight="1" x14ac:dyDescent="0.25">
      <c r="A3339" s="33" t="s">
        <v>1325</v>
      </c>
      <c r="B3339" s="12" t="s">
        <v>1584</v>
      </c>
      <c r="C3339" s="12" t="s">
        <v>1216</v>
      </c>
      <c r="D3339" s="37">
        <v>2500000</v>
      </c>
      <c r="E3339" s="12">
        <v>1088729401</v>
      </c>
      <c r="F3339" s="12" t="s">
        <v>1707</v>
      </c>
      <c r="G3339" t="s">
        <v>1094</v>
      </c>
      <c r="H3339" t="e">
        <f>VLOOKUP(C3339,'[1]873'!$C$2:$C$711,1,0)</f>
        <v>#N/A</v>
      </c>
    </row>
    <row r="3340" spans="1:8" ht="15" customHeight="1" x14ac:dyDescent="0.25">
      <c r="A3340" s="33" t="s">
        <v>1325</v>
      </c>
      <c r="B3340" s="12" t="s">
        <v>1585</v>
      </c>
      <c r="C3340" s="12" t="s">
        <v>1247</v>
      </c>
      <c r="D3340" s="37">
        <v>3000000</v>
      </c>
      <c r="E3340" s="12">
        <v>1082747438</v>
      </c>
      <c r="F3340" s="12" t="s">
        <v>548</v>
      </c>
      <c r="G3340" t="s">
        <v>1094</v>
      </c>
      <c r="H3340" t="e">
        <f>VLOOKUP(C3340,'[1]873'!$C$2:$C$711,1,0)</f>
        <v>#N/A</v>
      </c>
    </row>
    <row r="3341" spans="1:8" ht="15" customHeight="1" x14ac:dyDescent="0.25">
      <c r="A3341" s="33" t="s">
        <v>1326</v>
      </c>
      <c r="B3341" s="12" t="s">
        <v>1586</v>
      </c>
      <c r="C3341" s="12" t="s">
        <v>1267</v>
      </c>
      <c r="D3341" s="37">
        <v>3000000</v>
      </c>
      <c r="E3341" s="12">
        <v>1086328142</v>
      </c>
      <c r="F3341" s="12" t="s">
        <v>1753</v>
      </c>
      <c r="G3341" t="s">
        <v>1094</v>
      </c>
      <c r="H3341" t="e">
        <f>VLOOKUP(C3341,'[1]873'!$C$2:$C$711,1,0)</f>
        <v>#N/A</v>
      </c>
    </row>
    <row r="3342" spans="1:8" ht="15" customHeight="1" x14ac:dyDescent="0.25">
      <c r="A3342" s="33" t="s">
        <v>1326</v>
      </c>
      <c r="B3342" s="12" t="s">
        <v>1587</v>
      </c>
      <c r="C3342" s="12" t="s">
        <v>1248</v>
      </c>
      <c r="D3342" s="37">
        <v>3000000</v>
      </c>
      <c r="E3342" s="12">
        <v>59813323</v>
      </c>
      <c r="F3342" s="12" t="s">
        <v>1733</v>
      </c>
      <c r="G3342" t="s">
        <v>1094</v>
      </c>
      <c r="H3342" t="e">
        <f>VLOOKUP(C3342,'[1]873'!$C$2:$C$711,1,0)</f>
        <v>#N/A</v>
      </c>
    </row>
    <row r="3343" spans="1:8" ht="15" customHeight="1" x14ac:dyDescent="0.25">
      <c r="A3343" s="2">
        <v>45946.729861111111</v>
      </c>
      <c r="B3343">
        <v>2025001938</v>
      </c>
      <c r="C3343" s="35" t="s">
        <v>1272</v>
      </c>
      <c r="D3343" s="11">
        <v>3000000</v>
      </c>
      <c r="E3343">
        <v>1080690337</v>
      </c>
      <c r="F3343" t="s">
        <v>1086</v>
      </c>
      <c r="G3343" t="s">
        <v>1094</v>
      </c>
      <c r="H3343" t="e">
        <f>VLOOKUP(C3343,'[1]873'!$C$2:$C$711,1,0)</f>
        <v>#N/A</v>
      </c>
    </row>
    <row r="3344" spans="1:8" ht="15" customHeight="1" x14ac:dyDescent="0.25">
      <c r="A3344" s="2">
        <v>45436</v>
      </c>
      <c r="B3344" s="42">
        <v>2024000859</v>
      </c>
      <c r="C3344" s="27" t="s">
        <v>2608</v>
      </c>
      <c r="D3344" s="11">
        <v>1500000</v>
      </c>
      <c r="E3344" t="s">
        <v>2606</v>
      </c>
      <c r="F3344" t="s">
        <v>2607</v>
      </c>
      <c r="G3344" t="s">
        <v>9</v>
      </c>
      <c r="H3344" t="e">
        <f>VLOOKUP(C3344,'[1]873'!$C$2:$C$711,1,0)</f>
        <v>#N/A</v>
      </c>
    </row>
    <row r="3345" spans="1:8" ht="15" customHeight="1" x14ac:dyDescent="0.25">
      <c r="A3345" s="3">
        <v>46007</v>
      </c>
      <c r="B3345" s="41">
        <v>2025003424</v>
      </c>
      <c r="C3345" s="1" t="s">
        <v>541</v>
      </c>
      <c r="D3345" s="5">
        <v>2500000</v>
      </c>
      <c r="E3345" s="1">
        <v>1085320930</v>
      </c>
      <c r="F3345" s="1" t="s">
        <v>259</v>
      </c>
      <c r="G3345" s="1" t="s">
        <v>9</v>
      </c>
      <c r="H3345" t="e">
        <f>VLOOKUP(C3345,'[1]873'!$C$2:$C$711,1,0)</f>
        <v>#N/A</v>
      </c>
    </row>
    <row r="3346" spans="1:8" ht="15" customHeight="1" x14ac:dyDescent="0.25">
      <c r="A3346" s="2">
        <v>45907</v>
      </c>
      <c r="B3346">
        <v>2025001223</v>
      </c>
      <c r="C3346" t="s">
        <v>2609</v>
      </c>
      <c r="D3346" s="11">
        <v>7500000</v>
      </c>
      <c r="E3346">
        <v>1085344794</v>
      </c>
      <c r="F3346" t="s">
        <v>749</v>
      </c>
      <c r="G3346" t="s">
        <v>1094</v>
      </c>
      <c r="H3346" t="e">
        <f>VLOOKUP(C3346,'[1]873'!$C$2:$C$711,1,0)</f>
        <v>#N/A</v>
      </c>
    </row>
    <row r="3347" spans="1:8" ht="15" customHeight="1" x14ac:dyDescent="0.25">
      <c r="A3347" s="2">
        <v>45937</v>
      </c>
      <c r="B3347">
        <v>2025001225</v>
      </c>
      <c r="C3347" t="s">
        <v>2610</v>
      </c>
      <c r="D3347" s="11">
        <v>3000000</v>
      </c>
      <c r="E3347">
        <v>59825382</v>
      </c>
      <c r="F3347" t="s">
        <v>2611</v>
      </c>
      <c r="G3347" t="s">
        <v>1094</v>
      </c>
      <c r="H3347" t="e">
        <f>VLOOKUP(C3347,'[1]873'!$C$2:$C$711,1,0)</f>
        <v>#N/A</v>
      </c>
    </row>
    <row r="3348" spans="1:8" ht="15" customHeight="1" x14ac:dyDescent="0.25">
      <c r="A3348" s="2">
        <v>45853</v>
      </c>
      <c r="B3348">
        <v>2025001286</v>
      </c>
      <c r="C3348" t="s">
        <v>2612</v>
      </c>
      <c r="D3348" s="11">
        <v>3000000</v>
      </c>
      <c r="E3348">
        <v>5292370</v>
      </c>
      <c r="F3348" t="s">
        <v>2613</v>
      </c>
      <c r="G3348" t="s">
        <v>1094</v>
      </c>
      <c r="H3348" t="e">
        <f>VLOOKUP(C3348,'[1]873'!$C$2:$C$711,1,0)</f>
        <v>#N/A</v>
      </c>
    </row>
    <row r="3349" spans="1:8" ht="15" customHeight="1" x14ac:dyDescent="0.25">
      <c r="A3349" s="2">
        <v>45853</v>
      </c>
      <c r="B3349">
        <v>2025001287</v>
      </c>
      <c r="C3349" t="s">
        <v>2614</v>
      </c>
      <c r="D3349" s="11">
        <v>3000000</v>
      </c>
      <c r="E3349">
        <v>36754382</v>
      </c>
      <c r="F3349" t="s">
        <v>2615</v>
      </c>
      <c r="G3349" t="s">
        <v>1094</v>
      </c>
      <c r="H3349" t="e">
        <f>VLOOKUP(C3349,'[1]873'!$C$2:$C$711,1,0)</f>
        <v>#N/A</v>
      </c>
    </row>
    <row r="3350" spans="1:8" ht="15" customHeight="1" x14ac:dyDescent="0.25">
      <c r="A3350" s="2">
        <v>45853</v>
      </c>
      <c r="B3350">
        <v>2025001288</v>
      </c>
      <c r="C3350" t="s">
        <v>2616</v>
      </c>
      <c r="D3350" s="11">
        <v>3000000</v>
      </c>
      <c r="E3350">
        <v>1080690249</v>
      </c>
      <c r="F3350" t="s">
        <v>2617</v>
      </c>
      <c r="G3350" t="s">
        <v>1094</v>
      </c>
      <c r="H3350" t="e">
        <f>VLOOKUP(C3350,'[1]873'!$C$2:$C$711,1,0)</f>
        <v>#N/A</v>
      </c>
    </row>
    <row r="3351" spans="1:8" ht="15" customHeight="1" x14ac:dyDescent="0.25">
      <c r="A3351" s="2">
        <v>45853</v>
      </c>
      <c r="B3351">
        <v>2025001289</v>
      </c>
      <c r="C3351" t="s">
        <v>2618</v>
      </c>
      <c r="D3351" s="11">
        <v>3000000</v>
      </c>
      <c r="E3351">
        <v>1085257949</v>
      </c>
      <c r="F3351" t="s">
        <v>2619</v>
      </c>
      <c r="G3351" t="s">
        <v>1094</v>
      </c>
      <c r="H3351" t="e">
        <f>VLOOKUP(C3351,'[1]873'!$C$2:$C$711,1,0)</f>
        <v>#N/A</v>
      </c>
    </row>
    <row r="3352" spans="1:8" ht="15" customHeight="1" x14ac:dyDescent="0.25">
      <c r="A3352" s="2">
        <v>45853</v>
      </c>
      <c r="B3352">
        <v>2025001290</v>
      </c>
      <c r="C3352" t="s">
        <v>2620</v>
      </c>
      <c r="D3352" s="11">
        <v>4750000</v>
      </c>
      <c r="E3352">
        <v>1087414586</v>
      </c>
      <c r="F3352" t="s">
        <v>47</v>
      </c>
      <c r="G3352" t="s">
        <v>1094</v>
      </c>
      <c r="H3352" t="e">
        <f>VLOOKUP(C3352,'[1]873'!$C$2:$C$711,1,0)</f>
        <v>#N/A</v>
      </c>
    </row>
    <row r="3353" spans="1:8" ht="15" customHeight="1" x14ac:dyDescent="0.25">
      <c r="A3353" s="2">
        <v>45854</v>
      </c>
      <c r="B3353">
        <v>2025001303</v>
      </c>
      <c r="C3353" t="s">
        <v>2621</v>
      </c>
      <c r="D3353" s="11">
        <v>7500000</v>
      </c>
      <c r="E3353">
        <v>1085937671</v>
      </c>
      <c r="F3353" t="s">
        <v>1070</v>
      </c>
      <c r="G3353" t="s">
        <v>1094</v>
      </c>
      <c r="H3353" t="e">
        <f>VLOOKUP(C3353,'[1]873'!$C$2:$C$711,1,0)</f>
        <v>#N/A</v>
      </c>
    </row>
    <row r="3354" spans="1:8" ht="15" customHeight="1" x14ac:dyDescent="0.25">
      <c r="A3354" s="2">
        <v>45854</v>
      </c>
      <c r="B3354">
        <v>2025001337</v>
      </c>
      <c r="C3354" t="s">
        <v>2622</v>
      </c>
      <c r="D3354" s="11">
        <v>3000000</v>
      </c>
      <c r="E3354">
        <v>1085267505</v>
      </c>
      <c r="F3354" t="s">
        <v>2623</v>
      </c>
      <c r="G3354" t="s">
        <v>1094</v>
      </c>
      <c r="H3354" t="e">
        <f>VLOOKUP(C3354,'[1]873'!$C$2:$C$711,1,0)</f>
        <v>#N/A</v>
      </c>
    </row>
    <row r="3355" spans="1:8" ht="15" customHeight="1" x14ac:dyDescent="0.25">
      <c r="A3355" s="2">
        <v>45855</v>
      </c>
      <c r="B3355">
        <v>2025001339</v>
      </c>
      <c r="C3355" t="s">
        <v>2624</v>
      </c>
      <c r="D3355" s="11">
        <v>7500000</v>
      </c>
      <c r="E3355">
        <v>1085300619</v>
      </c>
      <c r="F3355" t="s">
        <v>921</v>
      </c>
      <c r="G3355" t="s">
        <v>1094</v>
      </c>
      <c r="H3355" t="e">
        <f>VLOOKUP(C3355,'[1]873'!$C$2:$C$711,1,0)</f>
        <v>#N/A</v>
      </c>
    </row>
    <row r="3356" spans="1:8" ht="15" customHeight="1" x14ac:dyDescent="0.25">
      <c r="A3356" s="2">
        <v>45855</v>
      </c>
      <c r="B3356">
        <v>2025001340</v>
      </c>
      <c r="C3356" t="s">
        <v>2625</v>
      </c>
      <c r="D3356" s="11">
        <v>3000000</v>
      </c>
      <c r="E3356">
        <v>36950482</v>
      </c>
      <c r="F3356" t="s">
        <v>2626</v>
      </c>
      <c r="G3356" t="s">
        <v>1094</v>
      </c>
      <c r="H3356" t="e">
        <f>VLOOKUP(C3356,'[1]873'!$C$2:$C$711,1,0)</f>
        <v>#N/A</v>
      </c>
    </row>
    <row r="3357" spans="1:8" ht="15" customHeight="1" x14ac:dyDescent="0.25">
      <c r="A3357" s="2">
        <v>45859</v>
      </c>
      <c r="B3357">
        <v>2025001369</v>
      </c>
      <c r="C3357" t="s">
        <v>2627</v>
      </c>
      <c r="D3357" s="11">
        <v>3000000</v>
      </c>
      <c r="E3357">
        <v>59835389</v>
      </c>
      <c r="F3357" t="s">
        <v>2628</v>
      </c>
      <c r="G3357" t="s">
        <v>1094</v>
      </c>
      <c r="H3357" t="e">
        <f>VLOOKUP(C3357,'[1]873'!$C$2:$C$711,1,0)</f>
        <v>#N/A</v>
      </c>
    </row>
    <row r="3358" spans="1:8" ht="15" customHeight="1" x14ac:dyDescent="0.25">
      <c r="A3358" s="2">
        <v>45859</v>
      </c>
      <c r="B3358">
        <v>2025001372</v>
      </c>
      <c r="C3358" t="s">
        <v>2629</v>
      </c>
      <c r="D3358" s="11">
        <v>4750000</v>
      </c>
      <c r="E3358">
        <v>1085313870</v>
      </c>
      <c r="F3358" t="s">
        <v>513</v>
      </c>
      <c r="G3358" t="s">
        <v>1094</v>
      </c>
      <c r="H3358" t="e">
        <f>VLOOKUP(C3358,'[1]873'!$C$2:$C$711,1,0)</f>
        <v>#N/A</v>
      </c>
    </row>
    <row r="3359" spans="1:8" ht="15" customHeight="1" x14ac:dyDescent="0.25">
      <c r="A3359" s="2">
        <v>45862</v>
      </c>
      <c r="B3359">
        <v>2025001443</v>
      </c>
      <c r="C3359" t="s">
        <v>2630</v>
      </c>
      <c r="D3359" s="11">
        <v>3000000</v>
      </c>
      <c r="E3359">
        <v>1085272774</v>
      </c>
      <c r="F3359" t="s">
        <v>2631</v>
      </c>
      <c r="G3359" t="s">
        <v>1094</v>
      </c>
      <c r="H3359" t="e">
        <f>VLOOKUP(C3359,'[1]873'!$C$2:$C$711,1,0)</f>
        <v>#N/A</v>
      </c>
    </row>
    <row r="3360" spans="1:8" ht="15" customHeight="1" x14ac:dyDescent="0.25">
      <c r="A3360" s="2">
        <v>45755</v>
      </c>
      <c r="B3360">
        <v>2025001493</v>
      </c>
      <c r="C3360" t="s">
        <v>2632</v>
      </c>
      <c r="D3360" s="11">
        <v>4825000</v>
      </c>
      <c r="E3360">
        <v>59835376</v>
      </c>
      <c r="F3360" t="s">
        <v>985</v>
      </c>
      <c r="G3360" t="s">
        <v>1094</v>
      </c>
      <c r="H3360" t="e">
        <f>VLOOKUP(C3360,'[1]873'!$C$2:$C$711,1,0)</f>
        <v>#N/A</v>
      </c>
    </row>
    <row r="3361" spans="1:8" ht="15" customHeight="1" x14ac:dyDescent="0.25">
      <c r="A3361" s="2">
        <v>45755</v>
      </c>
      <c r="B3361">
        <v>2025001503</v>
      </c>
      <c r="C3361" t="s">
        <v>2633</v>
      </c>
      <c r="D3361" s="11">
        <v>3000000</v>
      </c>
      <c r="E3361">
        <v>1030606749</v>
      </c>
      <c r="F3361" t="s">
        <v>387</v>
      </c>
      <c r="G3361" t="s">
        <v>1094</v>
      </c>
      <c r="H3361" t="e">
        <f>VLOOKUP(C3361,'[1]873'!$C$2:$C$711,1,0)</f>
        <v>#N/A</v>
      </c>
    </row>
    <row r="3362" spans="1:8" ht="15" customHeight="1" x14ac:dyDescent="0.25">
      <c r="A3362" s="2">
        <v>45883</v>
      </c>
      <c r="B3362">
        <v>2025001599</v>
      </c>
      <c r="C3362" t="s">
        <v>2630</v>
      </c>
      <c r="D3362" s="11">
        <v>3000000</v>
      </c>
      <c r="E3362">
        <v>1085272774</v>
      </c>
      <c r="F3362" t="s">
        <v>2631</v>
      </c>
      <c r="G3362" t="s">
        <v>1094</v>
      </c>
      <c r="H3362" t="e">
        <f>VLOOKUP(C3362,'[1]873'!$C$2:$C$711,1,0)</f>
        <v>#N/A</v>
      </c>
    </row>
    <row r="3363" spans="1:8" ht="15" customHeight="1" x14ac:dyDescent="0.25">
      <c r="A3363" s="2">
        <v>45883</v>
      </c>
      <c r="B3363">
        <v>2025001606</v>
      </c>
      <c r="C3363" t="s">
        <v>2622</v>
      </c>
      <c r="D3363" s="11">
        <v>3000000</v>
      </c>
      <c r="E3363">
        <v>1085267505</v>
      </c>
      <c r="F3363" t="s">
        <v>2623</v>
      </c>
      <c r="G3363" t="s">
        <v>1094</v>
      </c>
      <c r="H3363" t="e">
        <f>VLOOKUP(C3363,'[1]873'!$C$2:$C$711,1,0)</f>
        <v>#N/A</v>
      </c>
    </row>
    <row r="3364" spans="1:8" ht="15" customHeight="1" x14ac:dyDescent="0.25">
      <c r="A3364" s="2">
        <v>45884</v>
      </c>
      <c r="B3364">
        <v>2025001624</v>
      </c>
      <c r="C3364" t="s">
        <v>2624</v>
      </c>
      <c r="D3364" s="11">
        <v>7500000</v>
      </c>
      <c r="E3364">
        <v>1085300619</v>
      </c>
      <c r="F3364" t="s">
        <v>921</v>
      </c>
      <c r="G3364" t="s">
        <v>1094</v>
      </c>
      <c r="H3364" t="e">
        <f>VLOOKUP(C3364,'[1]873'!$C$2:$C$711,1,0)</f>
        <v>#N/A</v>
      </c>
    </row>
    <row r="3365" spans="1:8" ht="15" customHeight="1" x14ac:dyDescent="0.25">
      <c r="A3365" s="2">
        <v>45884</v>
      </c>
      <c r="B3365">
        <v>2025001625</v>
      </c>
      <c r="C3365" t="s">
        <v>2625</v>
      </c>
      <c r="D3365" s="11">
        <v>3000000</v>
      </c>
      <c r="E3365">
        <v>36950482</v>
      </c>
      <c r="F3365" t="s">
        <v>2626</v>
      </c>
      <c r="G3365" t="s">
        <v>1094</v>
      </c>
      <c r="H3365" t="e">
        <f>VLOOKUP(C3365,'[1]873'!$C$2:$C$711,1,0)</f>
        <v>#N/A</v>
      </c>
    </row>
    <row r="3366" spans="1:8" ht="15" customHeight="1" x14ac:dyDescent="0.25">
      <c r="A3366" s="2">
        <v>45895</v>
      </c>
      <c r="B3366">
        <v>2025001717</v>
      </c>
      <c r="C3366" t="s">
        <v>2616</v>
      </c>
      <c r="D3366" s="11">
        <v>3000000</v>
      </c>
      <c r="E3366">
        <v>1080690249</v>
      </c>
      <c r="F3366" t="s">
        <v>2617</v>
      </c>
      <c r="G3366" t="s">
        <v>1094</v>
      </c>
      <c r="H3366" t="e">
        <f>VLOOKUP(C3366,'[1]873'!$C$2:$C$711,1,0)</f>
        <v>#N/A</v>
      </c>
    </row>
    <row r="3367" spans="1:8" ht="15" customHeight="1" x14ac:dyDescent="0.25">
      <c r="A3367" s="2">
        <v>45895</v>
      </c>
      <c r="B3367">
        <v>2025001718</v>
      </c>
      <c r="C3367" t="s">
        <v>2614</v>
      </c>
      <c r="D3367" s="11">
        <v>3000000</v>
      </c>
      <c r="E3367">
        <v>36754382</v>
      </c>
      <c r="F3367" t="s">
        <v>2615</v>
      </c>
      <c r="G3367" t="s">
        <v>1094</v>
      </c>
      <c r="H3367" t="e">
        <f>VLOOKUP(C3367,'[1]873'!$C$2:$C$711,1,0)</f>
        <v>#N/A</v>
      </c>
    </row>
    <row r="3368" spans="1:8" ht="15" customHeight="1" x14ac:dyDescent="0.25">
      <c r="A3368" s="2">
        <v>45895</v>
      </c>
      <c r="B3368">
        <v>2025001719</v>
      </c>
      <c r="C3368" t="s">
        <v>2618</v>
      </c>
      <c r="D3368" s="11">
        <v>3000000</v>
      </c>
      <c r="E3368">
        <v>1085257949</v>
      </c>
      <c r="F3368" t="s">
        <v>2619</v>
      </c>
      <c r="G3368" t="s">
        <v>1094</v>
      </c>
      <c r="H3368" t="e">
        <f>VLOOKUP(C3368,'[1]873'!$C$2:$C$711,1,0)</f>
        <v>#N/A</v>
      </c>
    </row>
    <row r="3369" spans="1:8" ht="15" customHeight="1" x14ac:dyDescent="0.25">
      <c r="A3369" s="2">
        <v>45895</v>
      </c>
      <c r="B3369">
        <v>2025001727</v>
      </c>
      <c r="C3369" t="s">
        <v>2627</v>
      </c>
      <c r="D3369" s="11">
        <v>3000000</v>
      </c>
      <c r="E3369">
        <v>59835389</v>
      </c>
      <c r="F3369" t="s">
        <v>2628</v>
      </c>
      <c r="G3369" t="s">
        <v>1094</v>
      </c>
      <c r="H3369" t="e">
        <f>VLOOKUP(C3369,'[1]873'!$C$2:$C$711,1,0)</f>
        <v>#N/A</v>
      </c>
    </row>
    <row r="3370" spans="1:8" ht="15" customHeight="1" x14ac:dyDescent="0.25">
      <c r="A3370" s="2">
        <v>45895</v>
      </c>
      <c r="B3370">
        <v>2025001732</v>
      </c>
      <c r="C3370" t="s">
        <v>2609</v>
      </c>
      <c r="D3370" s="11">
        <v>7500000</v>
      </c>
      <c r="E3370">
        <v>1085344794</v>
      </c>
      <c r="F3370" t="s">
        <v>749</v>
      </c>
      <c r="G3370" t="s">
        <v>1094</v>
      </c>
      <c r="H3370" t="e">
        <f>VLOOKUP(C3370,'[1]873'!$C$2:$C$711,1,0)</f>
        <v>#N/A</v>
      </c>
    </row>
    <row r="3371" spans="1:8" ht="15" customHeight="1" x14ac:dyDescent="0.25">
      <c r="A3371" s="2">
        <v>45896</v>
      </c>
      <c r="B3371">
        <v>2025001736</v>
      </c>
      <c r="C3371" t="s">
        <v>2633</v>
      </c>
      <c r="D3371" s="11">
        <v>3000000</v>
      </c>
      <c r="E3371">
        <v>1030606749</v>
      </c>
      <c r="F3371" t="s">
        <v>387</v>
      </c>
      <c r="G3371" t="s">
        <v>1094</v>
      </c>
      <c r="H3371" t="e">
        <f>VLOOKUP(C3371,'[1]873'!$C$2:$C$711,1,0)</f>
        <v>#N/A</v>
      </c>
    </row>
    <row r="3372" spans="1:8" ht="15" customHeight="1" x14ac:dyDescent="0.25">
      <c r="A3372" s="2">
        <v>45896</v>
      </c>
      <c r="B3372">
        <v>2025001743</v>
      </c>
      <c r="C3372" t="s">
        <v>2610</v>
      </c>
      <c r="D3372" s="11">
        <v>3000000</v>
      </c>
      <c r="E3372">
        <v>59825382</v>
      </c>
      <c r="F3372" t="s">
        <v>2611</v>
      </c>
      <c r="G3372" t="s">
        <v>1094</v>
      </c>
      <c r="H3372" t="e">
        <f>VLOOKUP(C3372,'[1]873'!$C$2:$C$711,1,0)</f>
        <v>#N/A</v>
      </c>
    </row>
    <row r="3373" spans="1:8" ht="15" customHeight="1" x14ac:dyDescent="0.25">
      <c r="A3373" s="2">
        <v>45896</v>
      </c>
      <c r="B3373">
        <v>2025001744</v>
      </c>
      <c r="C3373" t="s">
        <v>2632</v>
      </c>
      <c r="D3373" s="11">
        <v>4825000</v>
      </c>
      <c r="E3373">
        <v>59835376</v>
      </c>
      <c r="F3373" t="s">
        <v>985</v>
      </c>
      <c r="G3373" t="s">
        <v>1094</v>
      </c>
      <c r="H3373" t="e">
        <f>VLOOKUP(C3373,'[1]873'!$C$2:$C$711,1,0)</f>
        <v>#N/A</v>
      </c>
    </row>
    <row r="3374" spans="1:8" ht="15" customHeight="1" x14ac:dyDescent="0.25">
      <c r="A3374" s="2">
        <v>45896</v>
      </c>
      <c r="B3374">
        <v>2025001746</v>
      </c>
      <c r="C3374" t="s">
        <v>2621</v>
      </c>
      <c r="D3374" s="11">
        <v>7500000</v>
      </c>
      <c r="E3374">
        <v>1085937671</v>
      </c>
      <c r="F3374" t="s">
        <v>1070</v>
      </c>
      <c r="G3374" t="s">
        <v>1094</v>
      </c>
      <c r="H3374" t="e">
        <f>VLOOKUP(C3374,'[1]873'!$C$2:$C$711,1,0)</f>
        <v>#N/A</v>
      </c>
    </row>
    <row r="3375" spans="1:8" ht="15" customHeight="1" x14ac:dyDescent="0.25">
      <c r="A3375" s="2">
        <v>45878</v>
      </c>
      <c r="B3375">
        <v>2025001841</v>
      </c>
      <c r="C3375" t="s">
        <v>2612</v>
      </c>
      <c r="D3375" s="11">
        <v>1900000</v>
      </c>
      <c r="E3375">
        <v>5292370</v>
      </c>
      <c r="F3375" t="s">
        <v>2613</v>
      </c>
      <c r="G3375" t="s">
        <v>1094</v>
      </c>
      <c r="H3375" t="e">
        <f>VLOOKUP(C3375,'[1]873'!$C$2:$C$711,1,0)</f>
        <v>#N/A</v>
      </c>
    </row>
    <row r="3376" spans="1:8" ht="15" customHeight="1" x14ac:dyDescent="0.25">
      <c r="A3376" s="2">
        <v>45878</v>
      </c>
      <c r="B3376">
        <v>2025001842</v>
      </c>
      <c r="C3376" t="s">
        <v>2620</v>
      </c>
      <c r="D3376" s="11">
        <v>4750000</v>
      </c>
      <c r="E3376">
        <v>1087414586</v>
      </c>
      <c r="F3376" t="s">
        <v>47</v>
      </c>
      <c r="G3376" t="s">
        <v>1094</v>
      </c>
      <c r="H3376" t="e">
        <f>VLOOKUP(C3376,'[1]873'!$C$2:$C$711,1,0)</f>
        <v>#N/A</v>
      </c>
    </row>
    <row r="3377" spans="1:9" ht="15" customHeight="1" x14ac:dyDescent="0.25">
      <c r="A3377" s="2">
        <v>45970</v>
      </c>
      <c r="B3377">
        <v>2025001891</v>
      </c>
      <c r="C3377" t="s">
        <v>2629</v>
      </c>
      <c r="D3377" s="11">
        <v>4750000</v>
      </c>
      <c r="E3377">
        <v>1085313870</v>
      </c>
      <c r="F3377" t="s">
        <v>513</v>
      </c>
      <c r="G3377" t="s">
        <v>1094</v>
      </c>
      <c r="H3377" t="e">
        <f>VLOOKUP(C3377,'[1]873'!$C$2:$C$711,1,0)</f>
        <v>#N/A</v>
      </c>
    </row>
    <row r="3378" spans="1:9" ht="15" customHeight="1" x14ac:dyDescent="0.25">
      <c r="A3378" s="2">
        <v>45970</v>
      </c>
      <c r="B3378">
        <v>2025001907</v>
      </c>
      <c r="C3378" t="s">
        <v>1254</v>
      </c>
      <c r="D3378" s="11">
        <v>3000000</v>
      </c>
      <c r="E3378">
        <v>36861874</v>
      </c>
      <c r="F3378" t="s">
        <v>1211</v>
      </c>
      <c r="G3378" t="s">
        <v>1094</v>
      </c>
      <c r="H3378" t="e">
        <f>VLOOKUP(C3378,'[1]873'!$C$2:$C$711,1,0)</f>
        <v>#N/A</v>
      </c>
    </row>
    <row r="3379" spans="1:9" ht="15" customHeight="1" x14ac:dyDescent="0.25">
      <c r="A3379" s="2">
        <v>45951</v>
      </c>
      <c r="B3379" s="40">
        <v>2025002776</v>
      </c>
      <c r="C3379" s="39" t="s">
        <v>1244</v>
      </c>
      <c r="D3379" s="11">
        <v>3000000</v>
      </c>
      <c r="E3379">
        <v>27091114</v>
      </c>
      <c r="F3379" t="s">
        <v>1729</v>
      </c>
      <c r="G3379" t="s">
        <v>1094</v>
      </c>
      <c r="H3379" t="e">
        <f>VLOOKUP(C3379,'[1]873'!$C$2:$C$711,1,0)</f>
        <v>#N/A</v>
      </c>
    </row>
    <row r="3380" spans="1:9" ht="14.25" customHeight="1" x14ac:dyDescent="0.25">
      <c r="A3380" s="2">
        <v>46011</v>
      </c>
      <c r="B3380" s="40">
        <v>2025003790</v>
      </c>
      <c r="C3380" s="39" t="s">
        <v>1278</v>
      </c>
      <c r="D3380" s="11">
        <v>4750000</v>
      </c>
      <c r="E3380">
        <v>1086332188</v>
      </c>
      <c r="F3380" s="35" t="s">
        <v>2634</v>
      </c>
      <c r="G3380" t="s">
        <v>1094</v>
      </c>
      <c r="H3380" t="e">
        <f>VLOOKUP(C3380,'[1]873'!$C$2:$C$711,1,0)</f>
        <v>#N/A</v>
      </c>
      <c r="I3380" s="27"/>
    </row>
    <row r="3386" spans="1:9" ht="15" customHeight="1" x14ac:dyDescent="0.25">
      <c r="F3386" s="38"/>
    </row>
    <row r="3387" spans="1:9" ht="15" customHeight="1" x14ac:dyDescent="0.25">
      <c r="F3387" s="38"/>
    </row>
    <row r="3388" spans="1:9" ht="15" customHeight="1" x14ac:dyDescent="0.25">
      <c r="F3388" s="38"/>
    </row>
    <row r="3389" spans="1:9" ht="15" customHeight="1" x14ac:dyDescent="0.25">
      <c r="F3389" s="11"/>
    </row>
    <row r="3390" spans="1:9" ht="15" customHeight="1" x14ac:dyDescent="0.25">
      <c r="F3390" s="38"/>
    </row>
    <row r="3391" spans="1:9" ht="15" customHeight="1" x14ac:dyDescent="0.25">
      <c r="F3391" s="38"/>
      <c r="G3391" s="38"/>
    </row>
    <row r="3392" spans="1:9" ht="15" customHeight="1" x14ac:dyDescent="0.25">
      <c r="F3392" s="38"/>
    </row>
    <row r="3394" spans="6:7" ht="15" customHeight="1" x14ac:dyDescent="0.25">
      <c r="F3394" s="38"/>
      <c r="G3394" s="38"/>
    </row>
    <row r="3395" spans="6:7" ht="15" customHeight="1" x14ac:dyDescent="0.25">
      <c r="F3395" s="38"/>
    </row>
    <row r="3396" spans="6:7" ht="15" customHeight="1" x14ac:dyDescent="0.25">
      <c r="F3396" s="38"/>
    </row>
    <row r="3397" spans="6:7" ht="15" customHeight="1" x14ac:dyDescent="0.25">
      <c r="F3397" s="38"/>
    </row>
    <row r="3398" spans="6:7" ht="15" customHeight="1" x14ac:dyDescent="0.25">
      <c r="F3398" s="38"/>
    </row>
    <row r="3404" spans="6:7" ht="15" customHeight="1" x14ac:dyDescent="0.25">
      <c r="F3404" s="38"/>
    </row>
    <row r="3405" spans="6:7" ht="15" customHeight="1" x14ac:dyDescent="0.25">
      <c r="F3405" s="38"/>
    </row>
    <row r="3406" spans="6:7" ht="15" customHeight="1" x14ac:dyDescent="0.25">
      <c r="F3406" s="38"/>
    </row>
  </sheetData>
  <autoFilter ref="A1:J3380" xr:uid="{1BD4E116-1180-4DB4-9FA3-0DA1ECFC6CA7}"/>
  <phoneticPr fontId="13" type="noConversion"/>
  <conditionalFormatting sqref="B1 B3 B5:B6 B8 B10 B12 B14 B16 B18:B3214 B3216:B3378 B3381:B1048576">
    <cfRule type="duplicateValues" dxfId="21" priority="10"/>
    <cfRule type="duplicateValues" dxfId="20" priority="11"/>
  </conditionalFormatting>
  <conditionalFormatting sqref="B1:B1048576">
    <cfRule type="duplicateValues" dxfId="19" priority="1"/>
  </conditionalFormatting>
  <conditionalFormatting sqref="B2">
    <cfRule type="duplicateValues" dxfId="18" priority="9"/>
  </conditionalFormatting>
  <conditionalFormatting sqref="B4">
    <cfRule type="duplicateValues" dxfId="17" priority="7"/>
    <cfRule type="duplicateValues" dxfId="16" priority="8"/>
  </conditionalFormatting>
  <conditionalFormatting sqref="B7">
    <cfRule type="duplicateValues" dxfId="15" priority="6"/>
  </conditionalFormatting>
  <conditionalFormatting sqref="B11">
    <cfRule type="duplicateValues" dxfId="14" priority="5"/>
  </conditionalFormatting>
  <conditionalFormatting sqref="B13">
    <cfRule type="duplicateValues" dxfId="13" priority="4"/>
  </conditionalFormatting>
  <conditionalFormatting sqref="B15">
    <cfRule type="duplicateValues" dxfId="12" priority="3"/>
  </conditionalFormatting>
  <conditionalFormatting sqref="B17">
    <cfRule type="duplicateValues" dxfId="11" priority="2"/>
  </conditionalFormatting>
  <conditionalFormatting sqref="B1912:B1919">
    <cfRule type="duplicateValues" dxfId="10" priority="12"/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9489-2EA3-4AA7-8E9C-D9C81A2F7F02}">
  <dimension ref="A1:K19"/>
  <sheetViews>
    <sheetView workbookViewId="0">
      <selection activeCell="D20" sqref="D20"/>
    </sheetView>
  </sheetViews>
  <sheetFormatPr baseColWidth="10" defaultRowHeight="15" x14ac:dyDescent="0.25"/>
  <cols>
    <col min="2" max="2" width="12.7109375" bestFit="1" customWidth="1"/>
    <col min="3" max="3" width="16.7109375" bestFit="1" customWidth="1"/>
    <col min="4" max="4" width="17.7109375" style="26" bestFit="1" customWidth="1"/>
    <col min="5" max="5" width="17.7109375" style="26" customWidth="1"/>
    <col min="7" max="7" width="16.7109375" bestFit="1" customWidth="1"/>
    <col min="8" max="8" width="18.5703125" bestFit="1" customWidth="1"/>
    <col min="9" max="9" width="23.5703125" style="26" bestFit="1" customWidth="1"/>
    <col min="10" max="10" width="15.7109375" bestFit="1" customWidth="1"/>
  </cols>
  <sheetData>
    <row r="1" spans="1:11" x14ac:dyDescent="0.25">
      <c r="A1" s="27" t="s">
        <v>2598</v>
      </c>
      <c r="B1" s="27" t="s">
        <v>2603</v>
      </c>
      <c r="C1" s="27" t="s">
        <v>2592</v>
      </c>
      <c r="D1" s="30" t="s">
        <v>3</v>
      </c>
      <c r="E1" s="30" t="s">
        <v>2599</v>
      </c>
      <c r="F1" s="27" t="s">
        <v>2598</v>
      </c>
      <c r="G1" s="27" t="s">
        <v>0</v>
      </c>
      <c r="H1" s="27" t="s">
        <v>2597</v>
      </c>
      <c r="I1" s="30" t="s">
        <v>2600</v>
      </c>
      <c r="J1" s="27" t="s">
        <v>2601</v>
      </c>
      <c r="K1" s="27" t="s">
        <v>2602</v>
      </c>
    </row>
    <row r="2" spans="1:11" x14ac:dyDescent="0.25">
      <c r="A2">
        <v>1778</v>
      </c>
      <c r="B2" s="27" t="s">
        <v>9</v>
      </c>
      <c r="C2" s="29">
        <v>4007582131.3299999</v>
      </c>
      <c r="D2" s="26">
        <v>4097080240</v>
      </c>
      <c r="E2" s="26">
        <v>4097048167</v>
      </c>
      <c r="F2">
        <v>1778</v>
      </c>
      <c r="G2" s="27" t="s">
        <v>2593</v>
      </c>
      <c r="H2" s="26">
        <f>D2-C2</f>
        <v>89498108.670000076</v>
      </c>
      <c r="I2" s="26">
        <v>13663073</v>
      </c>
      <c r="J2" s="26">
        <f>H2-I2</f>
        <v>75835035.670000076</v>
      </c>
    </row>
    <row r="3" spans="1:11" x14ac:dyDescent="0.25">
      <c r="A3">
        <v>1397</v>
      </c>
      <c r="C3" s="29">
        <v>5852281746.1199999</v>
      </c>
      <c r="D3" s="26">
        <v>6012006700</v>
      </c>
      <c r="E3" s="26">
        <v>6178407079</v>
      </c>
      <c r="F3">
        <v>1397</v>
      </c>
      <c r="G3" s="27" t="s">
        <v>2594</v>
      </c>
      <c r="H3" s="26">
        <f>D3-C3</f>
        <v>159724953.88000011</v>
      </c>
      <c r="I3" s="26">
        <v>315820</v>
      </c>
      <c r="J3" s="26">
        <f>D3-E3</f>
        <v>-166400379</v>
      </c>
    </row>
    <row r="4" spans="1:11" x14ac:dyDescent="0.25">
      <c r="A4">
        <v>1976</v>
      </c>
      <c r="B4" t="s">
        <v>1094</v>
      </c>
      <c r="C4" s="29">
        <v>1507719640</v>
      </c>
      <c r="D4" s="26">
        <v>1678551650</v>
      </c>
      <c r="E4" s="26">
        <v>1651097640</v>
      </c>
      <c r="F4">
        <v>1976</v>
      </c>
      <c r="G4" s="27" t="s">
        <v>2595</v>
      </c>
      <c r="H4" s="26">
        <f>D4-C4</f>
        <v>170832010</v>
      </c>
      <c r="J4" s="26">
        <f>D4-E4</f>
        <v>27454010</v>
      </c>
    </row>
    <row r="5" spans="1:11" x14ac:dyDescent="0.25">
      <c r="A5">
        <v>873</v>
      </c>
      <c r="B5" t="s">
        <v>1755</v>
      </c>
      <c r="C5" s="29">
        <v>7651884784.1000004</v>
      </c>
      <c r="D5" s="26">
        <v>14902085000</v>
      </c>
      <c r="F5">
        <v>873</v>
      </c>
      <c r="G5" s="27" t="s">
        <v>2596</v>
      </c>
      <c r="H5" s="26">
        <f>D5-C5</f>
        <v>7250200215.8999996</v>
      </c>
    </row>
    <row r="7" spans="1:11" x14ac:dyDescent="0.25">
      <c r="D7" s="26">
        <v>4016394325.3699999</v>
      </c>
      <c r="E7" s="26">
        <v>4044894326.3299999</v>
      </c>
    </row>
    <row r="9" spans="1:11" x14ac:dyDescent="0.25">
      <c r="D9" s="26">
        <f>D2-D7</f>
        <v>80685914.630000114</v>
      </c>
      <c r="E9" s="26">
        <f>D9-I2</f>
        <v>67022841.630000114</v>
      </c>
    </row>
    <row r="17" spans="4:4" x14ac:dyDescent="0.25">
      <c r="D17" s="26">
        <v>26689723590</v>
      </c>
    </row>
    <row r="18" spans="4:4" x14ac:dyDescent="0.25">
      <c r="D18" s="26">
        <v>19164472728.59</v>
      </c>
    </row>
    <row r="19" spans="4:4" x14ac:dyDescent="0.25">
      <c r="D19" s="26">
        <f>D17-D18</f>
        <v>7525250861.4099998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E116-1180-4DB4-9FA3-0DA1ECFC6CA7}">
  <dimension ref="A1:J3347"/>
  <sheetViews>
    <sheetView topLeftCell="A2435" workbookViewId="0">
      <selection activeCell="B2423" sqref="B2423"/>
    </sheetView>
  </sheetViews>
  <sheetFormatPr baseColWidth="10" defaultColWidth="12.5703125" defaultRowHeight="15" customHeight="1" x14ac:dyDescent="0.25"/>
  <cols>
    <col min="1" max="1" width="10.42578125" bestFit="1" customWidth="1"/>
    <col min="2" max="2" width="11" bestFit="1" customWidth="1"/>
    <col min="3" max="3" width="21.140625" bestFit="1" customWidth="1"/>
    <col min="4" max="4" width="15" style="11" customWidth="1"/>
    <col min="5" max="5" width="20" bestFit="1" customWidth="1"/>
    <col min="6" max="6" width="40" bestFit="1" customWidth="1"/>
    <col min="7" max="7" width="14.85546875" bestFit="1" customWidth="1"/>
    <col min="8" max="8" width="11" bestFit="1" customWidth="1"/>
    <col min="9" max="9" width="13.7109375" bestFit="1" customWidth="1"/>
    <col min="10" max="10" width="13" style="26" bestFit="1" customWidth="1"/>
    <col min="11" max="26" width="10.5703125" customWidth="1"/>
  </cols>
  <sheetData>
    <row r="1" spans="1:7" ht="14.25" customHeight="1" x14ac:dyDescent="0.25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</row>
    <row r="2" spans="1:7" ht="14.25" customHeight="1" x14ac:dyDescent="0.25">
      <c r="A2" s="13">
        <v>45391</v>
      </c>
      <c r="B2" s="1">
        <v>2024000388</v>
      </c>
      <c r="C2" s="1" t="s">
        <v>7</v>
      </c>
      <c r="D2" s="5">
        <v>64304701.039999999</v>
      </c>
      <c r="E2" s="1">
        <v>901329717</v>
      </c>
      <c r="F2" s="1" t="s">
        <v>8</v>
      </c>
      <c r="G2" s="1" t="s">
        <v>9</v>
      </c>
    </row>
    <row r="3" spans="1:7" ht="14.25" customHeight="1" x14ac:dyDescent="0.25">
      <c r="A3" s="13">
        <v>45419</v>
      </c>
      <c r="B3" s="1">
        <v>2024000517</v>
      </c>
      <c r="C3" s="1" t="s">
        <v>7</v>
      </c>
      <c r="D3" s="5">
        <v>61123665.960000001</v>
      </c>
      <c r="E3" s="1">
        <v>901329717</v>
      </c>
      <c r="F3" s="1" t="s">
        <v>8</v>
      </c>
      <c r="G3" s="1" t="s">
        <v>9</v>
      </c>
    </row>
    <row r="4" spans="1:7" ht="14.25" customHeight="1" x14ac:dyDescent="0.25">
      <c r="A4" s="13">
        <v>45441</v>
      </c>
      <c r="B4" s="1">
        <v>2024000589</v>
      </c>
      <c r="C4" s="1" t="s">
        <v>10</v>
      </c>
      <c r="D4" s="5">
        <v>2000000</v>
      </c>
      <c r="E4" s="1">
        <v>1085317833</v>
      </c>
      <c r="F4" s="1" t="s">
        <v>11</v>
      </c>
      <c r="G4" s="1" t="s">
        <v>9</v>
      </c>
    </row>
    <row r="5" spans="1:7" ht="14.25" customHeight="1" x14ac:dyDescent="0.25">
      <c r="A5" s="13">
        <v>45441</v>
      </c>
      <c r="B5" s="1">
        <v>2024000591</v>
      </c>
      <c r="C5" s="1" t="s">
        <v>12</v>
      </c>
      <c r="D5" s="5">
        <v>24264774</v>
      </c>
      <c r="E5" s="1">
        <v>98383086</v>
      </c>
      <c r="F5" s="1" t="s">
        <v>13</v>
      </c>
      <c r="G5" s="1" t="s">
        <v>9</v>
      </c>
    </row>
    <row r="6" spans="1:7" ht="14.25" customHeight="1" x14ac:dyDescent="0.25">
      <c r="A6" s="13">
        <v>45443</v>
      </c>
      <c r="B6" s="1">
        <v>2024000594</v>
      </c>
      <c r="C6" s="1" t="s">
        <v>14</v>
      </c>
      <c r="D6" s="5">
        <v>4825600</v>
      </c>
      <c r="E6" s="1">
        <v>1085338534</v>
      </c>
      <c r="F6" s="1" t="s">
        <v>15</v>
      </c>
      <c r="G6" s="1" t="s">
        <v>9</v>
      </c>
    </row>
    <row r="7" spans="1:7" ht="14.25" customHeight="1" x14ac:dyDescent="0.25">
      <c r="A7" s="13">
        <v>45443</v>
      </c>
      <c r="B7" s="1">
        <v>2024000595</v>
      </c>
      <c r="C7" s="1" t="s">
        <v>16</v>
      </c>
      <c r="D7" s="5">
        <v>2000000</v>
      </c>
      <c r="E7" s="1">
        <v>59830395</v>
      </c>
      <c r="F7" s="1" t="s">
        <v>17</v>
      </c>
      <c r="G7" s="1" t="s">
        <v>9</v>
      </c>
    </row>
    <row r="8" spans="1:7" ht="14.25" customHeight="1" x14ac:dyDescent="0.25">
      <c r="A8" s="13">
        <v>45443</v>
      </c>
      <c r="B8" s="1">
        <v>2024000596</v>
      </c>
      <c r="C8" s="1" t="s">
        <v>18</v>
      </c>
      <c r="D8" s="5">
        <v>6000000</v>
      </c>
      <c r="E8" s="1">
        <v>1089242085</v>
      </c>
      <c r="F8" s="1" t="s">
        <v>19</v>
      </c>
      <c r="G8" s="1" t="s">
        <v>9</v>
      </c>
    </row>
    <row r="9" spans="1:7" ht="14.25" customHeight="1" x14ac:dyDescent="0.25">
      <c r="A9" s="13">
        <v>45443</v>
      </c>
      <c r="B9" s="1">
        <v>2024000597</v>
      </c>
      <c r="C9" s="1" t="s">
        <v>20</v>
      </c>
      <c r="D9" s="5">
        <v>7500000</v>
      </c>
      <c r="E9" s="1">
        <v>1089244511</v>
      </c>
      <c r="F9" s="1" t="s">
        <v>21</v>
      </c>
      <c r="G9" s="1" t="s">
        <v>9</v>
      </c>
    </row>
    <row r="10" spans="1:7" ht="14.25" customHeight="1" x14ac:dyDescent="0.25">
      <c r="A10" s="13">
        <v>45443</v>
      </c>
      <c r="B10" s="1">
        <v>2024000598</v>
      </c>
      <c r="C10" s="1" t="s">
        <v>22</v>
      </c>
      <c r="D10" s="5">
        <v>4750000</v>
      </c>
      <c r="E10" s="1">
        <v>1085325342</v>
      </c>
      <c r="F10" s="1" t="s">
        <v>23</v>
      </c>
      <c r="G10" s="1" t="s">
        <v>9</v>
      </c>
    </row>
    <row r="11" spans="1:7" ht="14.25" customHeight="1" x14ac:dyDescent="0.25">
      <c r="A11" s="13">
        <v>45447</v>
      </c>
      <c r="B11" s="1">
        <v>2024000669</v>
      </c>
      <c r="C11" s="1" t="s">
        <v>36</v>
      </c>
      <c r="D11" s="5">
        <v>2000000</v>
      </c>
      <c r="E11" s="1">
        <v>27087122</v>
      </c>
      <c r="F11" s="1" t="s">
        <v>37</v>
      </c>
      <c r="G11" s="1" t="s">
        <v>9</v>
      </c>
    </row>
    <row r="12" spans="1:7" ht="14.25" customHeight="1" x14ac:dyDescent="0.25">
      <c r="A12" s="13">
        <v>45448</v>
      </c>
      <c r="B12" s="1">
        <v>2024000675</v>
      </c>
      <c r="C12" s="1" t="s">
        <v>376</v>
      </c>
      <c r="D12" s="5">
        <v>4825600</v>
      </c>
      <c r="E12" s="1">
        <v>37082349</v>
      </c>
      <c r="F12" s="1" t="s">
        <v>377</v>
      </c>
      <c r="G12" s="1" t="s">
        <v>9</v>
      </c>
    </row>
    <row r="13" spans="1:7" ht="14.25" customHeight="1" x14ac:dyDescent="0.25">
      <c r="A13" s="13">
        <v>45448</v>
      </c>
      <c r="B13" s="1">
        <v>2024000676</v>
      </c>
      <c r="C13" s="1" t="s">
        <v>378</v>
      </c>
      <c r="D13" s="5">
        <v>7500000</v>
      </c>
      <c r="E13" s="1">
        <v>1085332934</v>
      </c>
      <c r="F13" s="1" t="s">
        <v>379</v>
      </c>
      <c r="G13" s="1" t="s">
        <v>9</v>
      </c>
    </row>
    <row r="14" spans="1:7" ht="14.25" customHeight="1" x14ac:dyDescent="0.25">
      <c r="A14" s="13">
        <v>45448</v>
      </c>
      <c r="B14" s="1">
        <v>2024000677</v>
      </c>
      <c r="C14" s="1" t="s">
        <v>120</v>
      </c>
      <c r="D14" s="5">
        <v>2000000</v>
      </c>
      <c r="E14" s="1">
        <v>59834953</v>
      </c>
      <c r="F14" s="1" t="s">
        <v>121</v>
      </c>
      <c r="G14" s="1" t="s">
        <v>9</v>
      </c>
    </row>
    <row r="15" spans="1:7" ht="14.25" customHeight="1" x14ac:dyDescent="0.25">
      <c r="A15" s="13">
        <v>45448</v>
      </c>
      <c r="B15" s="1">
        <v>2024000678</v>
      </c>
      <c r="C15" s="1" t="s">
        <v>392</v>
      </c>
      <c r="D15" s="5">
        <v>7500000</v>
      </c>
      <c r="E15" s="1">
        <v>1085320661</v>
      </c>
      <c r="F15" s="1" t="s">
        <v>393</v>
      </c>
      <c r="G15" s="1" t="s">
        <v>9</v>
      </c>
    </row>
    <row r="16" spans="1:7" ht="14.25" customHeight="1" x14ac:dyDescent="0.25">
      <c r="A16" s="13">
        <v>45448</v>
      </c>
      <c r="B16" s="1">
        <v>2024000679</v>
      </c>
      <c r="C16" s="1" t="s">
        <v>178</v>
      </c>
      <c r="D16" s="5">
        <v>2000000</v>
      </c>
      <c r="E16" s="1">
        <v>1085250095</v>
      </c>
      <c r="F16" s="1" t="s">
        <v>179</v>
      </c>
      <c r="G16" s="1" t="s">
        <v>9</v>
      </c>
    </row>
    <row r="17" spans="1:7" ht="14.25" customHeight="1" x14ac:dyDescent="0.25">
      <c r="A17" s="13">
        <v>45448</v>
      </c>
      <c r="B17" s="1">
        <v>2024000681</v>
      </c>
      <c r="C17" s="1" t="s">
        <v>426</v>
      </c>
      <c r="D17" s="5">
        <v>2000000</v>
      </c>
      <c r="E17" s="1">
        <v>1085318688</v>
      </c>
      <c r="F17" s="1" t="s">
        <v>427</v>
      </c>
      <c r="G17" s="1" t="s">
        <v>9</v>
      </c>
    </row>
    <row r="18" spans="1:7" ht="14.25" customHeight="1" x14ac:dyDescent="0.25">
      <c r="A18" s="13">
        <v>45448</v>
      </c>
      <c r="B18" s="1">
        <v>2024000682</v>
      </c>
      <c r="C18" s="1" t="s">
        <v>124</v>
      </c>
      <c r="D18" s="5">
        <v>6000000</v>
      </c>
      <c r="E18" s="1">
        <v>36951002</v>
      </c>
      <c r="F18" s="1" t="s">
        <v>125</v>
      </c>
      <c r="G18" s="1" t="s">
        <v>9</v>
      </c>
    </row>
    <row r="19" spans="1:7" ht="14.25" customHeight="1" x14ac:dyDescent="0.25">
      <c r="A19" s="13">
        <v>45448</v>
      </c>
      <c r="B19" s="1">
        <v>2024000683</v>
      </c>
      <c r="C19" s="1" t="s">
        <v>416</v>
      </c>
      <c r="D19" s="5">
        <v>2000000</v>
      </c>
      <c r="E19" s="1">
        <v>1085302942</v>
      </c>
      <c r="F19" s="1" t="s">
        <v>417</v>
      </c>
      <c r="G19" s="1" t="s">
        <v>9</v>
      </c>
    </row>
    <row r="20" spans="1:7" ht="14.25" customHeight="1" x14ac:dyDescent="0.25">
      <c r="A20" s="13">
        <v>45448</v>
      </c>
      <c r="B20" s="1">
        <v>2024000684</v>
      </c>
      <c r="C20" s="1" t="s">
        <v>402</v>
      </c>
      <c r="D20" s="5">
        <v>2000000</v>
      </c>
      <c r="E20" s="1">
        <v>1004410201</v>
      </c>
      <c r="F20" s="1" t="s">
        <v>403</v>
      </c>
      <c r="G20" s="1" t="s">
        <v>9</v>
      </c>
    </row>
    <row r="21" spans="1:7" ht="14.25" customHeight="1" x14ac:dyDescent="0.25">
      <c r="A21" s="13">
        <v>45448</v>
      </c>
      <c r="B21" s="1">
        <v>2024000685</v>
      </c>
      <c r="C21" s="1" t="s">
        <v>44</v>
      </c>
      <c r="D21" s="5">
        <v>2000000</v>
      </c>
      <c r="E21" s="1">
        <v>1007356378</v>
      </c>
      <c r="F21" s="1" t="s">
        <v>45</v>
      </c>
      <c r="G21" s="1" t="s">
        <v>9</v>
      </c>
    </row>
    <row r="22" spans="1:7" ht="14.25" customHeight="1" x14ac:dyDescent="0.25">
      <c r="A22" s="13">
        <v>45448</v>
      </c>
      <c r="B22" s="1">
        <v>2024000686</v>
      </c>
      <c r="C22" s="1" t="s">
        <v>110</v>
      </c>
      <c r="D22" s="5">
        <v>2000000</v>
      </c>
      <c r="E22" s="1">
        <v>1085286725</v>
      </c>
      <c r="F22" s="1" t="s">
        <v>111</v>
      </c>
      <c r="G22" s="1" t="s">
        <v>9</v>
      </c>
    </row>
    <row r="23" spans="1:7" ht="14.25" customHeight="1" x14ac:dyDescent="0.25">
      <c r="A23" s="13">
        <v>45448</v>
      </c>
      <c r="B23" s="1">
        <v>2024000687</v>
      </c>
      <c r="C23" s="1" t="s">
        <v>408</v>
      </c>
      <c r="D23" s="5">
        <v>2000000</v>
      </c>
      <c r="E23" s="1">
        <v>1193224810</v>
      </c>
      <c r="F23" s="1" t="s">
        <v>409</v>
      </c>
      <c r="G23" s="1" t="s">
        <v>9</v>
      </c>
    </row>
    <row r="24" spans="1:7" ht="14.25" customHeight="1" x14ac:dyDescent="0.25">
      <c r="A24" s="13">
        <v>45449</v>
      </c>
      <c r="B24" s="1">
        <v>2024000705</v>
      </c>
      <c r="C24" s="1" t="s">
        <v>386</v>
      </c>
      <c r="D24" s="5">
        <v>2000000</v>
      </c>
      <c r="E24" s="1">
        <v>1030606749</v>
      </c>
      <c r="F24" s="1" t="s">
        <v>387</v>
      </c>
      <c r="G24" s="1" t="s">
        <v>9</v>
      </c>
    </row>
    <row r="25" spans="1:7" ht="14.25" customHeight="1" x14ac:dyDescent="0.25">
      <c r="A25" s="13">
        <v>45449</v>
      </c>
      <c r="B25" s="1">
        <v>2024000706</v>
      </c>
      <c r="C25" s="1" t="s">
        <v>92</v>
      </c>
      <c r="D25" s="5">
        <v>4825600</v>
      </c>
      <c r="E25" s="1">
        <v>1085291221</v>
      </c>
      <c r="F25" s="1" t="s">
        <v>93</v>
      </c>
      <c r="G25" s="1" t="s">
        <v>9</v>
      </c>
    </row>
    <row r="26" spans="1:7" ht="14.25" customHeight="1" x14ac:dyDescent="0.25">
      <c r="A26" s="13">
        <v>45449</v>
      </c>
      <c r="B26" s="1">
        <v>2024000712</v>
      </c>
      <c r="C26" s="1" t="s">
        <v>394</v>
      </c>
      <c r="D26" s="5">
        <v>2000000</v>
      </c>
      <c r="E26" s="1">
        <v>59837416</v>
      </c>
      <c r="F26" s="1" t="s">
        <v>395</v>
      </c>
      <c r="G26" s="1" t="s">
        <v>9</v>
      </c>
    </row>
    <row r="27" spans="1:7" ht="14.25" customHeight="1" x14ac:dyDescent="0.25">
      <c r="A27" s="13">
        <v>45449</v>
      </c>
      <c r="B27" s="1">
        <v>2024000713</v>
      </c>
      <c r="C27" s="1" t="s">
        <v>396</v>
      </c>
      <c r="D27" s="5">
        <v>2000000</v>
      </c>
      <c r="E27" s="1">
        <v>1004635031</v>
      </c>
      <c r="F27" s="1" t="s">
        <v>397</v>
      </c>
      <c r="G27" s="1" t="s">
        <v>9</v>
      </c>
    </row>
    <row r="28" spans="1:7" ht="14.25" customHeight="1" x14ac:dyDescent="0.25">
      <c r="A28" s="13">
        <v>45450</v>
      </c>
      <c r="B28" s="1">
        <v>2024000714</v>
      </c>
      <c r="C28" s="1" t="s">
        <v>414</v>
      </c>
      <c r="D28" s="5">
        <v>4750000</v>
      </c>
      <c r="E28" s="1">
        <v>59816986</v>
      </c>
      <c r="F28" s="1" t="s">
        <v>415</v>
      </c>
      <c r="G28" s="1" t="s">
        <v>9</v>
      </c>
    </row>
    <row r="29" spans="1:7" ht="14.25" customHeight="1" x14ac:dyDescent="0.25">
      <c r="A29" s="13">
        <v>45450</v>
      </c>
      <c r="B29" s="1">
        <v>2024000715</v>
      </c>
      <c r="C29" s="1" t="s">
        <v>160</v>
      </c>
      <c r="D29" s="5">
        <v>7500000</v>
      </c>
      <c r="E29" s="1">
        <v>1085304670</v>
      </c>
      <c r="F29" s="1" t="s">
        <v>161</v>
      </c>
      <c r="G29" s="1" t="s">
        <v>9</v>
      </c>
    </row>
    <row r="30" spans="1:7" ht="14.25" customHeight="1" x14ac:dyDescent="0.25">
      <c r="A30" s="13">
        <v>45450</v>
      </c>
      <c r="B30" s="1">
        <v>2024000716</v>
      </c>
      <c r="C30" s="1" t="s">
        <v>68</v>
      </c>
      <c r="D30" s="5">
        <v>7500000</v>
      </c>
      <c r="E30" s="1">
        <v>80765093</v>
      </c>
      <c r="F30" s="1" t="s">
        <v>69</v>
      </c>
      <c r="G30" s="1" t="s">
        <v>9</v>
      </c>
    </row>
    <row r="31" spans="1:7" ht="14.25" customHeight="1" x14ac:dyDescent="0.25">
      <c r="A31" s="13">
        <v>45450</v>
      </c>
      <c r="B31" s="1">
        <v>2024000717</v>
      </c>
      <c r="C31" s="1" t="s">
        <v>144</v>
      </c>
      <c r="D31" s="5">
        <v>6000000</v>
      </c>
      <c r="E31" s="1">
        <v>59837608</v>
      </c>
      <c r="F31" s="1" t="s">
        <v>145</v>
      </c>
      <c r="G31" s="1" t="s">
        <v>9</v>
      </c>
    </row>
    <row r="32" spans="1:7" ht="14.25" customHeight="1" x14ac:dyDescent="0.25">
      <c r="A32" s="13">
        <v>45450</v>
      </c>
      <c r="B32" s="1">
        <v>2024000718</v>
      </c>
      <c r="C32" s="1" t="s">
        <v>428</v>
      </c>
      <c r="D32" s="5">
        <v>4750000</v>
      </c>
      <c r="E32" s="1">
        <v>1085260497</v>
      </c>
      <c r="F32" s="1" t="s">
        <v>429</v>
      </c>
      <c r="G32" s="1" t="s">
        <v>9</v>
      </c>
    </row>
    <row r="33" spans="1:7" ht="14.25" customHeight="1" x14ac:dyDescent="0.25">
      <c r="A33" s="13">
        <v>45450</v>
      </c>
      <c r="B33" s="1">
        <v>2024000721</v>
      </c>
      <c r="C33" s="1" t="s">
        <v>236</v>
      </c>
      <c r="D33" s="5">
        <v>2000000</v>
      </c>
      <c r="E33" s="1">
        <v>1004234290</v>
      </c>
      <c r="F33" s="1" t="s">
        <v>237</v>
      </c>
      <c r="G33" s="1" t="s">
        <v>9</v>
      </c>
    </row>
    <row r="34" spans="1:7" ht="14.25" customHeight="1" x14ac:dyDescent="0.25">
      <c r="A34" s="13">
        <v>45450</v>
      </c>
      <c r="B34" s="1">
        <v>2024000722</v>
      </c>
      <c r="C34" s="1" t="s">
        <v>272</v>
      </c>
      <c r="D34" s="5">
        <v>4825600</v>
      </c>
      <c r="E34" s="1">
        <v>1085332406</v>
      </c>
      <c r="F34" s="1" t="s">
        <v>273</v>
      </c>
      <c r="G34" s="1" t="s">
        <v>9</v>
      </c>
    </row>
    <row r="35" spans="1:7" ht="14.25" customHeight="1" x14ac:dyDescent="0.25">
      <c r="A35" s="13">
        <v>45450</v>
      </c>
      <c r="B35" s="1">
        <v>2024000723</v>
      </c>
      <c r="C35" s="1" t="s">
        <v>404</v>
      </c>
      <c r="D35" s="5">
        <v>2000000</v>
      </c>
      <c r="E35" s="1">
        <v>1085288636</v>
      </c>
      <c r="F35" s="1" t="s">
        <v>405</v>
      </c>
      <c r="G35" s="1" t="s">
        <v>9</v>
      </c>
    </row>
    <row r="36" spans="1:7" ht="14.25" customHeight="1" x14ac:dyDescent="0.25">
      <c r="A36" s="13">
        <v>45454</v>
      </c>
      <c r="B36" s="1">
        <v>2024000747</v>
      </c>
      <c r="C36" s="1" t="s">
        <v>418</v>
      </c>
      <c r="D36" s="5">
        <v>2000000</v>
      </c>
      <c r="E36" s="1">
        <v>1085260568</v>
      </c>
      <c r="F36" s="1" t="s">
        <v>419</v>
      </c>
      <c r="G36" s="1" t="s">
        <v>9</v>
      </c>
    </row>
    <row r="37" spans="1:7" ht="14.25" customHeight="1" x14ac:dyDescent="0.25">
      <c r="A37" s="13">
        <v>45454</v>
      </c>
      <c r="B37" s="1">
        <v>2024000749</v>
      </c>
      <c r="C37" s="1" t="s">
        <v>420</v>
      </c>
      <c r="D37" s="5">
        <v>7500000</v>
      </c>
      <c r="E37" s="1">
        <v>1088599676</v>
      </c>
      <c r="F37" s="1" t="s">
        <v>421</v>
      </c>
      <c r="G37" s="1" t="s">
        <v>9</v>
      </c>
    </row>
    <row r="38" spans="1:7" ht="14.25" customHeight="1" x14ac:dyDescent="0.25">
      <c r="A38" s="13">
        <v>45454</v>
      </c>
      <c r="B38" s="1">
        <v>2024000750</v>
      </c>
      <c r="C38" s="1" t="s">
        <v>56</v>
      </c>
      <c r="D38" s="5">
        <v>4825600</v>
      </c>
      <c r="E38" s="1">
        <v>1193385736</v>
      </c>
      <c r="F38" s="1" t="s">
        <v>57</v>
      </c>
      <c r="G38" s="1" t="s">
        <v>9</v>
      </c>
    </row>
    <row r="39" spans="1:7" ht="14.25" customHeight="1" x14ac:dyDescent="0.25">
      <c r="A39" s="13">
        <v>45454</v>
      </c>
      <c r="B39" s="1">
        <v>2024000753</v>
      </c>
      <c r="C39" s="1" t="s">
        <v>268</v>
      </c>
      <c r="D39" s="5">
        <v>64141827</v>
      </c>
      <c r="E39" s="1">
        <v>900994364</v>
      </c>
      <c r="F39" s="1" t="s">
        <v>269</v>
      </c>
      <c r="G39" s="1" t="s">
        <v>9</v>
      </c>
    </row>
    <row r="40" spans="1:7" ht="14.25" customHeight="1" x14ac:dyDescent="0.25">
      <c r="A40" s="13">
        <v>45454</v>
      </c>
      <c r="B40" s="1">
        <v>2024000759</v>
      </c>
      <c r="C40" s="1" t="s">
        <v>118</v>
      </c>
      <c r="D40" s="5">
        <v>2000000</v>
      </c>
      <c r="E40" s="1">
        <v>37084285</v>
      </c>
      <c r="F40" s="1" t="s">
        <v>119</v>
      </c>
      <c r="G40" s="1" t="s">
        <v>9</v>
      </c>
    </row>
    <row r="41" spans="1:7" ht="14.25" customHeight="1" x14ac:dyDescent="0.25">
      <c r="A41" s="13">
        <v>45454</v>
      </c>
      <c r="B41" s="1">
        <v>2024000760</v>
      </c>
      <c r="C41" s="1" t="s">
        <v>390</v>
      </c>
      <c r="D41" s="5">
        <v>4750000</v>
      </c>
      <c r="E41" s="1">
        <v>36953206</v>
      </c>
      <c r="F41" s="1" t="s">
        <v>391</v>
      </c>
      <c r="G41" s="1" t="s">
        <v>9</v>
      </c>
    </row>
    <row r="42" spans="1:7" ht="14.25" customHeight="1" x14ac:dyDescent="0.25">
      <c r="A42" s="13">
        <v>45454</v>
      </c>
      <c r="B42" s="1">
        <v>2024000761</v>
      </c>
      <c r="C42" s="1" t="s">
        <v>174</v>
      </c>
      <c r="D42" s="5">
        <v>4825600</v>
      </c>
      <c r="E42" s="1">
        <v>1085283723</v>
      </c>
      <c r="F42" s="1" t="s">
        <v>175</v>
      </c>
      <c r="G42" s="1" t="s">
        <v>9</v>
      </c>
    </row>
    <row r="43" spans="1:7" ht="14.25" customHeight="1" x14ac:dyDescent="0.25">
      <c r="A43" s="13">
        <v>45454</v>
      </c>
      <c r="B43" s="1">
        <v>2024000762</v>
      </c>
      <c r="C43" s="1" t="s">
        <v>84</v>
      </c>
      <c r="D43" s="5">
        <v>2000000</v>
      </c>
      <c r="E43" s="1">
        <v>1085327701</v>
      </c>
      <c r="F43" s="1" t="s">
        <v>85</v>
      </c>
      <c r="G43" s="1" t="s">
        <v>9</v>
      </c>
    </row>
    <row r="44" spans="1:7" ht="14.25" customHeight="1" x14ac:dyDescent="0.25">
      <c r="A44" s="13">
        <v>45454</v>
      </c>
      <c r="B44" s="1">
        <v>2024000763</v>
      </c>
      <c r="C44" s="1" t="s">
        <v>264</v>
      </c>
      <c r="D44" s="5">
        <v>2000000</v>
      </c>
      <c r="E44" s="1">
        <v>1010085543</v>
      </c>
      <c r="F44" s="1" t="s">
        <v>265</v>
      </c>
      <c r="G44" s="1" t="s">
        <v>9</v>
      </c>
    </row>
    <row r="45" spans="1:7" ht="14.25" customHeight="1" x14ac:dyDescent="0.25">
      <c r="A45" s="13">
        <v>45455</v>
      </c>
      <c r="B45" s="1">
        <v>2024000764</v>
      </c>
      <c r="C45" s="1" t="s">
        <v>132</v>
      </c>
      <c r="D45" s="5">
        <v>4825600</v>
      </c>
      <c r="E45" s="1">
        <v>87062845</v>
      </c>
      <c r="F45" s="1" t="s">
        <v>133</v>
      </c>
      <c r="G45" s="1" t="s">
        <v>9</v>
      </c>
    </row>
    <row r="46" spans="1:7" ht="14.25" customHeight="1" x14ac:dyDescent="0.25">
      <c r="A46" s="13">
        <v>45455</v>
      </c>
      <c r="B46" s="1">
        <v>2024000765</v>
      </c>
      <c r="C46" s="1" t="s">
        <v>290</v>
      </c>
      <c r="D46" s="5">
        <v>2000000</v>
      </c>
      <c r="E46" s="1">
        <v>1085344082</v>
      </c>
      <c r="F46" s="1" t="s">
        <v>291</v>
      </c>
      <c r="G46" s="1" t="s">
        <v>9</v>
      </c>
    </row>
    <row r="47" spans="1:7" ht="14.25" customHeight="1" x14ac:dyDescent="0.25">
      <c r="A47" s="13">
        <v>45455</v>
      </c>
      <c r="B47" s="1">
        <v>2024000766</v>
      </c>
      <c r="C47" s="1" t="s">
        <v>52</v>
      </c>
      <c r="D47" s="5">
        <v>4825600</v>
      </c>
      <c r="E47" s="1">
        <v>30733517</v>
      </c>
      <c r="F47" s="1" t="s">
        <v>53</v>
      </c>
      <c r="G47" s="1" t="s">
        <v>9</v>
      </c>
    </row>
    <row r="48" spans="1:7" ht="14.25" customHeight="1" x14ac:dyDescent="0.25">
      <c r="A48" s="13">
        <v>45455</v>
      </c>
      <c r="B48" s="1">
        <v>2024000768</v>
      </c>
      <c r="C48" s="1" t="s">
        <v>134</v>
      </c>
      <c r="D48" s="5">
        <v>4750000</v>
      </c>
      <c r="E48" s="1">
        <v>59821282</v>
      </c>
      <c r="F48" s="1" t="s">
        <v>135</v>
      </c>
      <c r="G48" s="1" t="s">
        <v>9</v>
      </c>
    </row>
    <row r="49" spans="1:7" ht="14.25" customHeight="1" x14ac:dyDescent="0.25">
      <c r="A49" s="13">
        <v>45455</v>
      </c>
      <c r="B49" s="1">
        <v>2024000769</v>
      </c>
      <c r="C49" s="1" t="s">
        <v>176</v>
      </c>
      <c r="D49" s="5">
        <v>4825600</v>
      </c>
      <c r="E49" s="1">
        <v>27087851</v>
      </c>
      <c r="F49" s="1" t="s">
        <v>177</v>
      </c>
      <c r="G49" s="1" t="s">
        <v>9</v>
      </c>
    </row>
    <row r="50" spans="1:7" ht="14.25" customHeight="1" x14ac:dyDescent="0.25">
      <c r="A50" s="13">
        <v>45455</v>
      </c>
      <c r="B50" s="1">
        <v>2024000771</v>
      </c>
      <c r="C50" s="1" t="s">
        <v>46</v>
      </c>
      <c r="D50" s="5">
        <v>4750000</v>
      </c>
      <c r="E50" s="1">
        <v>1087414586</v>
      </c>
      <c r="F50" s="1" t="s">
        <v>47</v>
      </c>
      <c r="G50" s="1" t="s">
        <v>9</v>
      </c>
    </row>
    <row r="51" spans="1:7" ht="14.25" customHeight="1" x14ac:dyDescent="0.25">
      <c r="A51" s="13">
        <v>45455</v>
      </c>
      <c r="B51" s="1">
        <v>2024000772</v>
      </c>
      <c r="C51" s="1" t="s">
        <v>230</v>
      </c>
      <c r="D51" s="5">
        <v>7500000</v>
      </c>
      <c r="E51" s="1">
        <v>1085335767</v>
      </c>
      <c r="F51" s="1" t="s">
        <v>231</v>
      </c>
      <c r="G51" s="1" t="s">
        <v>9</v>
      </c>
    </row>
    <row r="52" spans="1:7" ht="14.25" customHeight="1" x14ac:dyDescent="0.25">
      <c r="A52" s="13">
        <v>45455</v>
      </c>
      <c r="B52" s="1">
        <v>2024000773</v>
      </c>
      <c r="C52" s="1" t="s">
        <v>116</v>
      </c>
      <c r="D52" s="5">
        <v>6000000</v>
      </c>
      <c r="E52" s="1">
        <v>1085275879</v>
      </c>
      <c r="F52" s="1" t="s">
        <v>117</v>
      </c>
      <c r="G52" s="1" t="s">
        <v>9</v>
      </c>
    </row>
    <row r="53" spans="1:7" ht="14.25" customHeight="1" x14ac:dyDescent="0.25">
      <c r="A53" s="13">
        <v>45455</v>
      </c>
      <c r="B53" s="1">
        <v>2024000774</v>
      </c>
      <c r="C53" s="1" t="s">
        <v>82</v>
      </c>
      <c r="D53" s="5">
        <v>7500000</v>
      </c>
      <c r="E53" s="1">
        <v>1085329230</v>
      </c>
      <c r="F53" s="1" t="s">
        <v>83</v>
      </c>
      <c r="G53" s="1" t="s">
        <v>9</v>
      </c>
    </row>
    <row r="54" spans="1:7" ht="14.25" customHeight="1" x14ac:dyDescent="0.25">
      <c r="A54" s="13">
        <v>45455</v>
      </c>
      <c r="B54" s="1">
        <v>2024000775</v>
      </c>
      <c r="C54" s="1" t="s">
        <v>328</v>
      </c>
      <c r="D54" s="5">
        <v>6000000</v>
      </c>
      <c r="E54" s="1">
        <v>97470681</v>
      </c>
      <c r="F54" s="1" t="s">
        <v>329</v>
      </c>
      <c r="G54" s="1" t="s">
        <v>9</v>
      </c>
    </row>
    <row r="55" spans="1:7" ht="14.25" customHeight="1" x14ac:dyDescent="0.25">
      <c r="A55" s="13">
        <v>45455</v>
      </c>
      <c r="B55" s="1">
        <v>2024000776</v>
      </c>
      <c r="C55" s="1" t="s">
        <v>156</v>
      </c>
      <c r="D55" s="5">
        <v>7500000</v>
      </c>
      <c r="E55" s="1">
        <v>12961661</v>
      </c>
      <c r="F55" s="1" t="s">
        <v>157</v>
      </c>
      <c r="G55" s="1" t="s">
        <v>9</v>
      </c>
    </row>
    <row r="56" spans="1:7" ht="14.25" customHeight="1" x14ac:dyDescent="0.25">
      <c r="A56" s="13">
        <v>45455</v>
      </c>
      <c r="B56" s="1">
        <v>2024000778</v>
      </c>
      <c r="C56" s="1" t="s">
        <v>192</v>
      </c>
      <c r="D56" s="5">
        <v>7500000</v>
      </c>
      <c r="E56" s="1">
        <v>1126004086</v>
      </c>
      <c r="F56" s="1" t="s">
        <v>193</v>
      </c>
      <c r="G56" s="1" t="s">
        <v>9</v>
      </c>
    </row>
    <row r="57" spans="1:7" ht="14.25" customHeight="1" x14ac:dyDescent="0.25">
      <c r="A57" s="13">
        <v>45455</v>
      </c>
      <c r="B57" s="1">
        <v>2024000779</v>
      </c>
      <c r="C57" s="1" t="s">
        <v>150</v>
      </c>
      <c r="D57" s="5">
        <v>4750000</v>
      </c>
      <c r="E57" s="1">
        <v>59824313</v>
      </c>
      <c r="F57" s="1" t="s">
        <v>151</v>
      </c>
      <c r="G57" s="1" t="s">
        <v>9</v>
      </c>
    </row>
    <row r="58" spans="1:7" ht="14.25" customHeight="1" x14ac:dyDescent="0.25">
      <c r="A58" s="13">
        <v>45455</v>
      </c>
      <c r="B58" s="1">
        <v>2024000781</v>
      </c>
      <c r="C58" s="1" t="s">
        <v>74</v>
      </c>
      <c r="D58" s="5">
        <v>2000000</v>
      </c>
      <c r="E58" s="1">
        <v>1085286742</v>
      </c>
      <c r="F58" s="1" t="s">
        <v>75</v>
      </c>
      <c r="G58" s="1" t="s">
        <v>9</v>
      </c>
    </row>
    <row r="59" spans="1:7" ht="14.25" customHeight="1" x14ac:dyDescent="0.25">
      <c r="A59" s="13">
        <v>45455</v>
      </c>
      <c r="B59" s="1">
        <v>2024000782</v>
      </c>
      <c r="C59" s="1" t="s">
        <v>104</v>
      </c>
      <c r="D59" s="5">
        <v>4750000</v>
      </c>
      <c r="E59" s="1">
        <v>1085303067</v>
      </c>
      <c r="F59" s="1" t="s">
        <v>105</v>
      </c>
      <c r="G59" s="1" t="s">
        <v>9</v>
      </c>
    </row>
    <row r="60" spans="1:7" ht="14.25" customHeight="1" x14ac:dyDescent="0.25">
      <c r="A60" s="13">
        <v>45455</v>
      </c>
      <c r="B60" s="1">
        <v>2024000783</v>
      </c>
      <c r="C60" s="1" t="s">
        <v>246</v>
      </c>
      <c r="D60" s="5">
        <v>4825600</v>
      </c>
      <c r="E60" s="1">
        <v>1085267184</v>
      </c>
      <c r="F60" s="1" t="s">
        <v>247</v>
      </c>
      <c r="G60" s="1" t="s">
        <v>9</v>
      </c>
    </row>
    <row r="61" spans="1:7" ht="14.25" customHeight="1" x14ac:dyDescent="0.25">
      <c r="A61" s="13">
        <v>45455</v>
      </c>
      <c r="B61" s="1">
        <v>2024000784</v>
      </c>
      <c r="C61" s="1" t="s">
        <v>154</v>
      </c>
      <c r="D61" s="5">
        <v>4750000</v>
      </c>
      <c r="E61" s="1">
        <v>1085293619</v>
      </c>
      <c r="F61" s="1" t="s">
        <v>155</v>
      </c>
      <c r="G61" s="1" t="s">
        <v>9</v>
      </c>
    </row>
    <row r="62" spans="1:7" ht="14.25" customHeight="1" x14ac:dyDescent="0.25">
      <c r="A62" s="13">
        <v>45455</v>
      </c>
      <c r="B62" s="1">
        <v>2024000785</v>
      </c>
      <c r="C62" s="1" t="s">
        <v>100</v>
      </c>
      <c r="D62" s="5">
        <v>2000000</v>
      </c>
      <c r="E62" s="1">
        <v>13070330</v>
      </c>
      <c r="F62" s="1" t="s">
        <v>101</v>
      </c>
      <c r="G62" s="1" t="s">
        <v>9</v>
      </c>
    </row>
    <row r="63" spans="1:7" ht="14.25" customHeight="1" x14ac:dyDescent="0.25">
      <c r="A63" s="13">
        <v>45456</v>
      </c>
      <c r="B63" s="1">
        <v>2024000788</v>
      </c>
      <c r="C63" s="1" t="s">
        <v>180</v>
      </c>
      <c r="D63" s="5">
        <v>2000000</v>
      </c>
      <c r="E63" s="1">
        <v>59828916</v>
      </c>
      <c r="F63" s="1" t="s">
        <v>181</v>
      </c>
      <c r="G63" s="1" t="s">
        <v>9</v>
      </c>
    </row>
    <row r="64" spans="1:7" ht="14.25" customHeight="1" x14ac:dyDescent="0.25">
      <c r="A64" s="13">
        <v>45456</v>
      </c>
      <c r="B64" s="1">
        <v>2024000789</v>
      </c>
      <c r="C64" s="1" t="s">
        <v>170</v>
      </c>
      <c r="D64" s="5">
        <v>2000000</v>
      </c>
      <c r="E64" s="1">
        <v>69028150</v>
      </c>
      <c r="F64" s="1" t="s">
        <v>171</v>
      </c>
      <c r="G64" s="1" t="s">
        <v>9</v>
      </c>
    </row>
    <row r="65" spans="1:7" ht="14.25" customHeight="1" x14ac:dyDescent="0.25">
      <c r="A65" s="13">
        <v>45456</v>
      </c>
      <c r="B65" s="1">
        <v>2024000790</v>
      </c>
      <c r="C65" s="1" t="s">
        <v>168</v>
      </c>
      <c r="D65" s="5">
        <v>4750000</v>
      </c>
      <c r="E65" s="1">
        <v>1085273424</v>
      </c>
      <c r="F65" s="1" t="s">
        <v>169</v>
      </c>
      <c r="G65" s="1" t="s">
        <v>9</v>
      </c>
    </row>
    <row r="66" spans="1:7" ht="14.25" customHeight="1" x14ac:dyDescent="0.25">
      <c r="A66" s="13">
        <v>45456</v>
      </c>
      <c r="B66" s="1">
        <v>2024000793</v>
      </c>
      <c r="C66" s="1" t="s">
        <v>200</v>
      </c>
      <c r="D66" s="5">
        <v>2000000</v>
      </c>
      <c r="E66" s="1">
        <v>1085300095</v>
      </c>
      <c r="F66" s="1" t="s">
        <v>201</v>
      </c>
      <c r="G66" s="1" t="s">
        <v>9</v>
      </c>
    </row>
    <row r="67" spans="1:7" ht="14.25" customHeight="1" x14ac:dyDescent="0.25">
      <c r="A67" s="13">
        <v>45456</v>
      </c>
      <c r="B67" s="1">
        <v>2024000794</v>
      </c>
      <c r="C67" s="1" t="s">
        <v>182</v>
      </c>
      <c r="D67" s="5">
        <v>2000000</v>
      </c>
      <c r="E67" s="1">
        <v>98382500</v>
      </c>
      <c r="F67" s="1" t="s">
        <v>183</v>
      </c>
      <c r="G67" s="1" t="s">
        <v>9</v>
      </c>
    </row>
    <row r="68" spans="1:7" ht="14.25" customHeight="1" x14ac:dyDescent="0.25">
      <c r="A68" s="13">
        <v>45456</v>
      </c>
      <c r="B68" s="1">
        <v>2024000795</v>
      </c>
      <c r="C68" s="1" t="s">
        <v>260</v>
      </c>
      <c r="D68" s="5">
        <v>6000000</v>
      </c>
      <c r="E68" s="1">
        <v>59820414</v>
      </c>
      <c r="F68" s="1" t="s">
        <v>261</v>
      </c>
      <c r="G68" s="1" t="s">
        <v>9</v>
      </c>
    </row>
    <row r="69" spans="1:7" ht="14.25" customHeight="1" x14ac:dyDescent="0.25">
      <c r="A69" s="13">
        <v>45456</v>
      </c>
      <c r="B69" s="1">
        <v>2024000797</v>
      </c>
      <c r="C69" s="1" t="s">
        <v>162</v>
      </c>
      <c r="D69" s="5">
        <v>7500000</v>
      </c>
      <c r="E69" s="1">
        <v>1193202097</v>
      </c>
      <c r="F69" s="1" t="s">
        <v>163</v>
      </c>
      <c r="G69" s="1" t="s">
        <v>9</v>
      </c>
    </row>
    <row r="70" spans="1:7" ht="14.25" customHeight="1" x14ac:dyDescent="0.25">
      <c r="A70" s="13">
        <v>45457</v>
      </c>
      <c r="B70" s="1">
        <v>2024000798</v>
      </c>
      <c r="C70" s="1" t="s">
        <v>186</v>
      </c>
      <c r="D70" s="5">
        <v>2000000</v>
      </c>
      <c r="E70" s="1">
        <v>1085296353</v>
      </c>
      <c r="F70" s="1" t="s">
        <v>187</v>
      </c>
      <c r="G70" s="1" t="s">
        <v>9</v>
      </c>
    </row>
    <row r="71" spans="1:7" ht="14.25" customHeight="1" x14ac:dyDescent="0.25">
      <c r="A71" s="13">
        <v>45457</v>
      </c>
      <c r="B71" s="1">
        <v>2024000799</v>
      </c>
      <c r="C71" s="1" t="s">
        <v>126</v>
      </c>
      <c r="D71" s="5">
        <v>4750000</v>
      </c>
      <c r="E71" s="1">
        <v>59312865</v>
      </c>
      <c r="F71" s="1" t="s">
        <v>127</v>
      </c>
      <c r="G71" s="1" t="s">
        <v>9</v>
      </c>
    </row>
    <row r="72" spans="1:7" ht="14.25" customHeight="1" x14ac:dyDescent="0.25">
      <c r="A72" s="13">
        <v>45457</v>
      </c>
      <c r="B72" s="1">
        <v>2024000800</v>
      </c>
      <c r="C72" s="1" t="s">
        <v>142</v>
      </c>
      <c r="D72" s="5">
        <v>6000000</v>
      </c>
      <c r="E72" s="1">
        <v>1085254626</v>
      </c>
      <c r="F72" s="1" t="s">
        <v>143</v>
      </c>
      <c r="G72" s="1" t="s">
        <v>9</v>
      </c>
    </row>
    <row r="73" spans="1:7" ht="14.25" customHeight="1" x14ac:dyDescent="0.25">
      <c r="A73" s="13">
        <v>45457</v>
      </c>
      <c r="B73" s="1">
        <v>2024000802</v>
      </c>
      <c r="C73" s="1" t="s">
        <v>362</v>
      </c>
      <c r="D73" s="5">
        <v>4825600</v>
      </c>
      <c r="E73" s="1">
        <v>1085321943</v>
      </c>
      <c r="F73" s="1" t="s">
        <v>363</v>
      </c>
      <c r="G73" s="1" t="s">
        <v>9</v>
      </c>
    </row>
    <row r="74" spans="1:7" ht="14.25" customHeight="1" x14ac:dyDescent="0.25">
      <c r="A74" s="13">
        <v>45457</v>
      </c>
      <c r="B74" s="1">
        <v>2024000804</v>
      </c>
      <c r="C74" s="1" t="s">
        <v>98</v>
      </c>
      <c r="D74" s="5">
        <v>4825600</v>
      </c>
      <c r="E74" s="1">
        <v>1085337969</v>
      </c>
      <c r="F74" s="1" t="s">
        <v>99</v>
      </c>
      <c r="G74" s="1" t="s">
        <v>9</v>
      </c>
    </row>
    <row r="75" spans="1:7" ht="14.25" customHeight="1" x14ac:dyDescent="0.25">
      <c r="A75" s="13">
        <v>45460</v>
      </c>
      <c r="B75" s="1">
        <v>2024000805</v>
      </c>
      <c r="C75" s="1" t="s">
        <v>366</v>
      </c>
      <c r="D75" s="5">
        <v>2000000</v>
      </c>
      <c r="E75" s="1">
        <v>1004508436</v>
      </c>
      <c r="F75" s="1" t="s">
        <v>367</v>
      </c>
      <c r="G75" s="1" t="s">
        <v>9</v>
      </c>
    </row>
    <row r="76" spans="1:7" ht="14.25" customHeight="1" x14ac:dyDescent="0.25">
      <c r="A76" s="13">
        <v>45461</v>
      </c>
      <c r="B76" s="1">
        <v>2024000806</v>
      </c>
      <c r="C76" s="1" t="s">
        <v>146</v>
      </c>
      <c r="D76" s="5">
        <v>2000000</v>
      </c>
      <c r="E76" s="1">
        <v>1085255972</v>
      </c>
      <c r="F76" s="1" t="s">
        <v>147</v>
      </c>
      <c r="G76" s="1" t="s">
        <v>9</v>
      </c>
    </row>
    <row r="77" spans="1:7" ht="14.25" customHeight="1" x14ac:dyDescent="0.25">
      <c r="A77" s="13">
        <v>45461</v>
      </c>
      <c r="B77" s="1">
        <v>2024000808</v>
      </c>
      <c r="C77" s="1" t="s">
        <v>296</v>
      </c>
      <c r="D77" s="5">
        <v>2000000</v>
      </c>
      <c r="E77" s="1">
        <v>59830040</v>
      </c>
      <c r="F77" s="1" t="s">
        <v>297</v>
      </c>
      <c r="G77" s="1" t="s">
        <v>9</v>
      </c>
    </row>
    <row r="78" spans="1:7" ht="14.25" customHeight="1" x14ac:dyDescent="0.25">
      <c r="A78" s="13">
        <v>45461</v>
      </c>
      <c r="B78" s="1">
        <v>2024000809</v>
      </c>
      <c r="C78" s="1" t="s">
        <v>238</v>
      </c>
      <c r="D78" s="5">
        <v>7500000</v>
      </c>
      <c r="E78" s="1">
        <v>1233189066</v>
      </c>
      <c r="F78" s="1" t="s">
        <v>239</v>
      </c>
      <c r="G78" s="1" t="s">
        <v>9</v>
      </c>
    </row>
    <row r="79" spans="1:7" ht="14.25" customHeight="1" x14ac:dyDescent="0.25">
      <c r="A79" s="13">
        <v>45462</v>
      </c>
      <c r="B79" s="1">
        <v>2024000815</v>
      </c>
      <c r="C79" s="1" t="s">
        <v>274</v>
      </c>
      <c r="D79" s="5">
        <v>4825600</v>
      </c>
      <c r="E79" s="1">
        <v>1085321578</v>
      </c>
      <c r="F79" s="1" t="s">
        <v>275</v>
      </c>
      <c r="G79" s="1" t="s">
        <v>9</v>
      </c>
    </row>
    <row r="80" spans="1:7" ht="14.25" customHeight="1" x14ac:dyDescent="0.25">
      <c r="A80" s="13">
        <v>45462</v>
      </c>
      <c r="B80" s="1">
        <v>2024000816</v>
      </c>
      <c r="C80" s="1" t="s">
        <v>270</v>
      </c>
      <c r="D80" s="5">
        <v>2000000</v>
      </c>
      <c r="E80" s="1">
        <v>36757522</v>
      </c>
      <c r="F80" s="1" t="s">
        <v>271</v>
      </c>
      <c r="G80" s="1" t="s">
        <v>9</v>
      </c>
    </row>
    <row r="81" spans="1:7" ht="14.25" customHeight="1" x14ac:dyDescent="0.25">
      <c r="A81" s="13">
        <v>45462</v>
      </c>
      <c r="B81" s="1">
        <v>2024000817</v>
      </c>
      <c r="C81" s="1" t="s">
        <v>194</v>
      </c>
      <c r="D81" s="5">
        <v>2000000</v>
      </c>
      <c r="E81" s="1">
        <v>1085316191</v>
      </c>
      <c r="F81" s="1" t="s">
        <v>195</v>
      </c>
      <c r="G81" s="1" t="s">
        <v>9</v>
      </c>
    </row>
    <row r="82" spans="1:7" ht="14.25" customHeight="1" x14ac:dyDescent="0.25">
      <c r="A82" s="13">
        <v>45462</v>
      </c>
      <c r="B82" s="1">
        <v>2024000818</v>
      </c>
      <c r="C82" s="1" t="s">
        <v>114</v>
      </c>
      <c r="D82" s="5">
        <v>2000000</v>
      </c>
      <c r="E82" s="1">
        <v>1085266584</v>
      </c>
      <c r="F82" s="1" t="s">
        <v>115</v>
      </c>
      <c r="G82" s="1" t="s">
        <v>9</v>
      </c>
    </row>
    <row r="83" spans="1:7" ht="14.25" customHeight="1" x14ac:dyDescent="0.25">
      <c r="A83" s="13">
        <v>45462</v>
      </c>
      <c r="B83" s="1">
        <v>2024000820</v>
      </c>
      <c r="C83" s="1" t="s">
        <v>158</v>
      </c>
      <c r="D83" s="5">
        <v>7500000</v>
      </c>
      <c r="E83" s="1">
        <v>37087120</v>
      </c>
      <c r="F83" s="1" t="s">
        <v>159</v>
      </c>
      <c r="G83" s="1" t="s">
        <v>9</v>
      </c>
    </row>
    <row r="84" spans="1:7" ht="14.25" customHeight="1" x14ac:dyDescent="0.25">
      <c r="A84" s="13">
        <v>45463</v>
      </c>
      <c r="B84" s="1">
        <v>2024000821</v>
      </c>
      <c r="C84" s="1" t="s">
        <v>248</v>
      </c>
      <c r="D84" s="5">
        <v>4750000</v>
      </c>
      <c r="E84" s="1">
        <v>1085330309</v>
      </c>
      <c r="F84" s="1" t="s">
        <v>249</v>
      </c>
      <c r="G84" s="1" t="s">
        <v>9</v>
      </c>
    </row>
    <row r="85" spans="1:7" ht="14.25" customHeight="1" x14ac:dyDescent="0.25">
      <c r="A85" s="13">
        <v>45463</v>
      </c>
      <c r="B85" s="1">
        <v>2024000822</v>
      </c>
      <c r="C85" s="1" t="s">
        <v>206</v>
      </c>
      <c r="D85" s="5">
        <v>2000000</v>
      </c>
      <c r="E85" s="1">
        <v>1004135064</v>
      </c>
      <c r="F85" s="1" t="s">
        <v>207</v>
      </c>
      <c r="G85" s="1" t="s">
        <v>9</v>
      </c>
    </row>
    <row r="86" spans="1:7" ht="14.25" customHeight="1" x14ac:dyDescent="0.25">
      <c r="A86" s="13">
        <v>45463</v>
      </c>
      <c r="B86" s="1">
        <v>2024000823</v>
      </c>
      <c r="C86" s="1" t="s">
        <v>208</v>
      </c>
      <c r="D86" s="5">
        <v>2000000</v>
      </c>
      <c r="E86" s="1">
        <v>1010082397</v>
      </c>
      <c r="F86" s="1" t="s">
        <v>209</v>
      </c>
      <c r="G86" s="1" t="s">
        <v>9</v>
      </c>
    </row>
    <row r="87" spans="1:7" ht="14.25" customHeight="1" x14ac:dyDescent="0.25">
      <c r="A87" s="13">
        <v>45463</v>
      </c>
      <c r="B87" s="1">
        <v>2024000824</v>
      </c>
      <c r="C87" s="1" t="s">
        <v>320</v>
      </c>
      <c r="D87" s="5">
        <v>2000000</v>
      </c>
      <c r="E87" s="1">
        <v>1085347540</v>
      </c>
      <c r="F87" s="1" t="s">
        <v>321</v>
      </c>
      <c r="G87" s="1" t="s">
        <v>9</v>
      </c>
    </row>
    <row r="88" spans="1:7" ht="14.25" customHeight="1" x14ac:dyDescent="0.25">
      <c r="A88" s="13">
        <v>45463</v>
      </c>
      <c r="B88" s="1">
        <v>2024000825</v>
      </c>
      <c r="C88" s="1" t="s">
        <v>148</v>
      </c>
      <c r="D88" s="5">
        <v>2000000</v>
      </c>
      <c r="E88" s="1">
        <v>1085339190</v>
      </c>
      <c r="F88" s="1" t="s">
        <v>149</v>
      </c>
      <c r="G88" s="1" t="s">
        <v>9</v>
      </c>
    </row>
    <row r="89" spans="1:7" ht="14.25" customHeight="1" x14ac:dyDescent="0.25">
      <c r="A89" s="13">
        <v>45467</v>
      </c>
      <c r="B89" s="1">
        <v>2024000850</v>
      </c>
      <c r="C89" s="1" t="s">
        <v>360</v>
      </c>
      <c r="D89" s="5">
        <v>7500000</v>
      </c>
      <c r="E89" s="1">
        <v>7603662</v>
      </c>
      <c r="F89" s="1" t="s">
        <v>361</v>
      </c>
      <c r="G89" s="1" t="s">
        <v>9</v>
      </c>
    </row>
    <row r="90" spans="1:7" ht="14.25" customHeight="1" x14ac:dyDescent="0.25">
      <c r="A90" s="13">
        <v>45467</v>
      </c>
      <c r="B90" s="1">
        <v>2024000851</v>
      </c>
      <c r="C90" s="1" t="s">
        <v>190</v>
      </c>
      <c r="D90" s="5">
        <v>2000000</v>
      </c>
      <c r="E90" s="1">
        <v>1193218691</v>
      </c>
      <c r="F90" s="1" t="s">
        <v>191</v>
      </c>
      <c r="G90" s="1" t="s">
        <v>9</v>
      </c>
    </row>
    <row r="91" spans="1:7" ht="14.25" customHeight="1" x14ac:dyDescent="0.25">
      <c r="A91" s="13">
        <v>45467</v>
      </c>
      <c r="B91" s="1">
        <v>2024000852</v>
      </c>
      <c r="C91" s="1" t="s">
        <v>234</v>
      </c>
      <c r="D91" s="5">
        <v>4750000</v>
      </c>
      <c r="E91" s="1">
        <v>1085318201</v>
      </c>
      <c r="F91" s="1" t="s">
        <v>235</v>
      </c>
      <c r="G91" s="1" t="s">
        <v>9</v>
      </c>
    </row>
    <row r="92" spans="1:7" ht="14.25" customHeight="1" x14ac:dyDescent="0.25">
      <c r="A92" s="13">
        <v>45467</v>
      </c>
      <c r="B92" s="1">
        <v>2024000853</v>
      </c>
      <c r="C92" s="1" t="s">
        <v>28</v>
      </c>
      <c r="D92" s="5">
        <v>4750000</v>
      </c>
      <c r="E92" s="1">
        <v>1085324546</v>
      </c>
      <c r="F92" s="1" t="s">
        <v>29</v>
      </c>
      <c r="G92" s="1" t="s">
        <v>9</v>
      </c>
    </row>
    <row r="93" spans="1:7" ht="14.25" customHeight="1" x14ac:dyDescent="0.25">
      <c r="A93" s="13">
        <v>45467</v>
      </c>
      <c r="B93" s="1">
        <v>2024000854</v>
      </c>
      <c r="C93" s="1" t="s">
        <v>348</v>
      </c>
      <c r="D93" s="5">
        <v>2000000</v>
      </c>
      <c r="E93" s="1">
        <v>27285974</v>
      </c>
      <c r="F93" s="1" t="s">
        <v>349</v>
      </c>
      <c r="G93" s="1" t="s">
        <v>9</v>
      </c>
    </row>
    <row r="94" spans="1:7" ht="14.25" customHeight="1" x14ac:dyDescent="0.25">
      <c r="A94" s="13">
        <v>45467</v>
      </c>
      <c r="B94" s="1">
        <v>2024000855</v>
      </c>
      <c r="C94" s="1" t="s">
        <v>210</v>
      </c>
      <c r="D94" s="5">
        <v>2000000</v>
      </c>
      <c r="E94" s="1">
        <v>1080040858</v>
      </c>
      <c r="F94" s="1" t="s">
        <v>211</v>
      </c>
      <c r="G94" s="1" t="s">
        <v>9</v>
      </c>
    </row>
    <row r="95" spans="1:7" ht="14.25" customHeight="1" x14ac:dyDescent="0.25">
      <c r="A95" s="13">
        <v>45467</v>
      </c>
      <c r="B95" s="1">
        <v>2024000856</v>
      </c>
      <c r="C95" s="1" t="s">
        <v>288</v>
      </c>
      <c r="D95" s="5">
        <v>2000000</v>
      </c>
      <c r="E95" s="1">
        <v>1004709928</v>
      </c>
      <c r="F95" s="1" t="s">
        <v>289</v>
      </c>
      <c r="G95" s="1" t="s">
        <v>9</v>
      </c>
    </row>
    <row r="96" spans="1:7" ht="14.25" customHeight="1" x14ac:dyDescent="0.25">
      <c r="A96" s="13">
        <v>45467</v>
      </c>
      <c r="B96" s="1">
        <v>2024000857</v>
      </c>
      <c r="C96" s="1" t="s">
        <v>354</v>
      </c>
      <c r="D96" s="5">
        <v>4750000</v>
      </c>
      <c r="E96" s="1">
        <v>1085318684</v>
      </c>
      <c r="F96" s="1" t="s">
        <v>355</v>
      </c>
      <c r="G96" s="1" t="s">
        <v>9</v>
      </c>
    </row>
    <row r="97" spans="1:7" ht="14.25" customHeight="1" x14ac:dyDescent="0.25">
      <c r="A97" s="13">
        <v>45467</v>
      </c>
      <c r="B97" s="1">
        <v>2024000858</v>
      </c>
      <c r="C97" s="1" t="s">
        <v>164</v>
      </c>
      <c r="D97" s="14">
        <v>22750000</v>
      </c>
      <c r="E97" s="1">
        <v>900633448</v>
      </c>
      <c r="F97" s="1" t="s">
        <v>165</v>
      </c>
      <c r="G97" s="1" t="s">
        <v>9</v>
      </c>
    </row>
    <row r="98" spans="1:7" ht="14.25" customHeight="1" x14ac:dyDescent="0.25">
      <c r="A98" s="13">
        <v>45469</v>
      </c>
      <c r="B98" s="1">
        <v>2024000934</v>
      </c>
      <c r="C98" s="1" t="s">
        <v>408</v>
      </c>
      <c r="D98" s="5">
        <v>2000000</v>
      </c>
      <c r="E98" s="1">
        <v>1193224810</v>
      </c>
      <c r="F98" s="1" t="s">
        <v>409</v>
      </c>
      <c r="G98" s="1" t="s">
        <v>9</v>
      </c>
    </row>
    <row r="99" spans="1:7" ht="14.25" customHeight="1" x14ac:dyDescent="0.25">
      <c r="A99" s="13">
        <v>45469</v>
      </c>
      <c r="B99" s="1">
        <v>2024000935</v>
      </c>
      <c r="C99" s="1" t="s">
        <v>20</v>
      </c>
      <c r="D99" s="5">
        <v>7500000</v>
      </c>
      <c r="E99" s="1">
        <v>1089244511</v>
      </c>
      <c r="F99" s="1" t="s">
        <v>21</v>
      </c>
      <c r="G99" s="1" t="s">
        <v>9</v>
      </c>
    </row>
    <row r="100" spans="1:7" ht="14.25" customHeight="1" x14ac:dyDescent="0.25">
      <c r="A100" s="13">
        <v>45469</v>
      </c>
      <c r="B100" s="1">
        <v>2024000937</v>
      </c>
      <c r="C100" s="1" t="s">
        <v>18</v>
      </c>
      <c r="D100" s="5">
        <v>6000000</v>
      </c>
      <c r="E100" s="1">
        <v>1089242085</v>
      </c>
      <c r="F100" s="1" t="s">
        <v>19</v>
      </c>
      <c r="G100" s="1" t="s">
        <v>9</v>
      </c>
    </row>
    <row r="101" spans="1:7" ht="14.25" customHeight="1" x14ac:dyDescent="0.25">
      <c r="A101" s="13">
        <v>45469</v>
      </c>
      <c r="B101" s="1">
        <v>2024000938</v>
      </c>
      <c r="C101" s="1" t="s">
        <v>352</v>
      </c>
      <c r="D101" s="5">
        <v>2000000</v>
      </c>
      <c r="E101" s="1">
        <v>1081592303</v>
      </c>
      <c r="F101" s="1" t="s">
        <v>353</v>
      </c>
      <c r="G101" s="1" t="s">
        <v>9</v>
      </c>
    </row>
    <row r="102" spans="1:7" ht="14.25" customHeight="1" x14ac:dyDescent="0.25">
      <c r="A102" s="13">
        <v>45470</v>
      </c>
      <c r="B102" s="1">
        <v>2024000941</v>
      </c>
      <c r="C102" s="1" t="s">
        <v>134</v>
      </c>
      <c r="D102" s="5">
        <v>4750000</v>
      </c>
      <c r="E102" s="1">
        <v>59821282</v>
      </c>
      <c r="F102" s="1" t="s">
        <v>135</v>
      </c>
      <c r="G102" s="1" t="s">
        <v>9</v>
      </c>
    </row>
    <row r="103" spans="1:7" ht="14.25" customHeight="1" x14ac:dyDescent="0.25">
      <c r="A103" s="13">
        <v>45470</v>
      </c>
      <c r="B103" s="1">
        <v>2024000942</v>
      </c>
      <c r="C103" s="1" t="s">
        <v>392</v>
      </c>
      <c r="D103" s="5">
        <v>7500000</v>
      </c>
      <c r="E103" s="1">
        <v>1085320661</v>
      </c>
      <c r="F103" s="1" t="s">
        <v>393</v>
      </c>
      <c r="G103" s="1" t="s">
        <v>9</v>
      </c>
    </row>
    <row r="104" spans="1:7" ht="14.25" customHeight="1" x14ac:dyDescent="0.25">
      <c r="A104" s="13">
        <v>45470</v>
      </c>
      <c r="B104" s="1">
        <v>2024000943</v>
      </c>
      <c r="C104" s="1" t="s">
        <v>92</v>
      </c>
      <c r="D104" s="5">
        <v>4825600</v>
      </c>
      <c r="E104" s="1">
        <v>1085291221</v>
      </c>
      <c r="F104" s="1" t="s">
        <v>93</v>
      </c>
      <c r="G104" s="1" t="s">
        <v>9</v>
      </c>
    </row>
    <row r="105" spans="1:7" ht="14.25" customHeight="1" x14ac:dyDescent="0.25">
      <c r="A105" s="13">
        <v>45470</v>
      </c>
      <c r="B105" s="1">
        <v>2024000944</v>
      </c>
      <c r="C105" s="1" t="s">
        <v>378</v>
      </c>
      <c r="D105" s="5">
        <v>7500000</v>
      </c>
      <c r="E105" s="1">
        <v>1085332934</v>
      </c>
      <c r="F105" s="1" t="s">
        <v>379</v>
      </c>
      <c r="G105" s="1" t="s">
        <v>9</v>
      </c>
    </row>
    <row r="106" spans="1:7" ht="14.25" customHeight="1" x14ac:dyDescent="0.25">
      <c r="A106" s="13">
        <v>45470</v>
      </c>
      <c r="B106" s="1">
        <v>2024000945</v>
      </c>
      <c r="C106" s="1" t="s">
        <v>426</v>
      </c>
      <c r="D106" s="5">
        <v>2000000</v>
      </c>
      <c r="E106" s="1">
        <v>1085318688</v>
      </c>
      <c r="F106" s="1" t="s">
        <v>427</v>
      </c>
      <c r="G106" s="1" t="s">
        <v>9</v>
      </c>
    </row>
    <row r="107" spans="1:7" ht="14.25" customHeight="1" x14ac:dyDescent="0.25">
      <c r="A107" s="13">
        <v>45470</v>
      </c>
      <c r="B107" s="1">
        <v>2024000946</v>
      </c>
      <c r="C107" s="1" t="s">
        <v>402</v>
      </c>
      <c r="D107" s="5">
        <v>2000000</v>
      </c>
      <c r="E107" s="1">
        <v>1004410201</v>
      </c>
      <c r="F107" s="1" t="s">
        <v>403</v>
      </c>
      <c r="G107" s="1" t="s">
        <v>9</v>
      </c>
    </row>
    <row r="108" spans="1:7" ht="14.25" customHeight="1" x14ac:dyDescent="0.25">
      <c r="A108" s="13">
        <v>45470</v>
      </c>
      <c r="B108" s="1">
        <v>2024000947</v>
      </c>
      <c r="C108" s="1" t="s">
        <v>330</v>
      </c>
      <c r="D108" s="5">
        <v>2000000</v>
      </c>
      <c r="E108" s="1">
        <v>1085313463</v>
      </c>
      <c r="F108" s="1" t="s">
        <v>331</v>
      </c>
      <c r="G108" s="1" t="s">
        <v>9</v>
      </c>
    </row>
    <row r="109" spans="1:7" ht="14.25" customHeight="1" x14ac:dyDescent="0.25">
      <c r="A109" s="13">
        <v>45470</v>
      </c>
      <c r="B109" s="1">
        <v>2024000948</v>
      </c>
      <c r="C109" s="1" t="s">
        <v>56</v>
      </c>
      <c r="D109" s="5">
        <v>4825600</v>
      </c>
      <c r="E109" s="1">
        <v>1193385736</v>
      </c>
      <c r="F109" s="1" t="s">
        <v>57</v>
      </c>
      <c r="G109" s="1" t="s">
        <v>9</v>
      </c>
    </row>
    <row r="110" spans="1:7" ht="14.25" customHeight="1" x14ac:dyDescent="0.25">
      <c r="A110" s="13">
        <v>45470</v>
      </c>
      <c r="B110" s="1">
        <v>2024000949</v>
      </c>
      <c r="C110" s="1" t="s">
        <v>44</v>
      </c>
      <c r="D110" s="5">
        <v>2000000</v>
      </c>
      <c r="E110" s="1">
        <v>1007356378</v>
      </c>
      <c r="F110" s="1" t="s">
        <v>45</v>
      </c>
      <c r="G110" s="1" t="s">
        <v>9</v>
      </c>
    </row>
    <row r="111" spans="1:7" ht="14.25" customHeight="1" x14ac:dyDescent="0.25">
      <c r="A111" s="13">
        <v>45470</v>
      </c>
      <c r="B111" s="1">
        <v>2024000950</v>
      </c>
      <c r="C111" s="1" t="s">
        <v>22</v>
      </c>
      <c r="D111" s="5">
        <v>4750000</v>
      </c>
      <c r="E111" s="1">
        <v>1085325342</v>
      </c>
      <c r="F111" s="1" t="s">
        <v>23</v>
      </c>
      <c r="G111" s="1" t="s">
        <v>9</v>
      </c>
    </row>
    <row r="112" spans="1:7" ht="14.25" customHeight="1" x14ac:dyDescent="0.25">
      <c r="A112" s="13">
        <v>45470</v>
      </c>
      <c r="B112" s="1">
        <v>2024000951</v>
      </c>
      <c r="C112" s="1" t="s">
        <v>404</v>
      </c>
      <c r="D112" s="5">
        <v>2000000</v>
      </c>
      <c r="E112" s="1">
        <v>1085288636</v>
      </c>
      <c r="F112" s="1" t="s">
        <v>405</v>
      </c>
      <c r="G112" s="1" t="s">
        <v>9</v>
      </c>
    </row>
    <row r="113" spans="1:7" ht="14.25" customHeight="1" x14ac:dyDescent="0.25">
      <c r="A113" s="13">
        <v>45470</v>
      </c>
      <c r="B113" s="1">
        <v>2024000952</v>
      </c>
      <c r="C113" s="1" t="s">
        <v>14</v>
      </c>
      <c r="D113" s="5">
        <v>4825600</v>
      </c>
      <c r="E113" s="1">
        <v>1085338534</v>
      </c>
      <c r="F113" s="1" t="s">
        <v>15</v>
      </c>
      <c r="G113" s="1" t="s">
        <v>9</v>
      </c>
    </row>
    <row r="114" spans="1:7" ht="14.25" customHeight="1" x14ac:dyDescent="0.25">
      <c r="A114" s="13">
        <v>45470</v>
      </c>
      <c r="B114" s="1">
        <v>2024000953</v>
      </c>
      <c r="C114" s="1" t="s">
        <v>386</v>
      </c>
      <c r="D114" s="5">
        <v>2000000</v>
      </c>
      <c r="E114" s="1">
        <v>1030606749</v>
      </c>
      <c r="F114" s="1" t="s">
        <v>387</v>
      </c>
      <c r="G114" s="1" t="s">
        <v>9</v>
      </c>
    </row>
    <row r="115" spans="1:7" ht="14.25" customHeight="1" x14ac:dyDescent="0.25">
      <c r="A115" s="13">
        <v>45470</v>
      </c>
      <c r="B115" s="1">
        <v>2024000954</v>
      </c>
      <c r="C115" s="1" t="s">
        <v>376</v>
      </c>
      <c r="D115" s="5">
        <v>4825600</v>
      </c>
      <c r="E115" s="1">
        <v>37082349</v>
      </c>
      <c r="F115" s="1" t="s">
        <v>377</v>
      </c>
      <c r="G115" s="1" t="s">
        <v>9</v>
      </c>
    </row>
    <row r="116" spans="1:7" ht="14.25" customHeight="1" x14ac:dyDescent="0.25">
      <c r="A116" s="13">
        <v>45470</v>
      </c>
      <c r="B116" s="1">
        <v>2024000955</v>
      </c>
      <c r="C116" s="1" t="s">
        <v>128</v>
      </c>
      <c r="D116" s="5">
        <v>4825600</v>
      </c>
      <c r="E116" s="1">
        <v>59310145</v>
      </c>
      <c r="F116" s="1" t="s">
        <v>129</v>
      </c>
      <c r="G116" s="1" t="s">
        <v>9</v>
      </c>
    </row>
    <row r="117" spans="1:7" ht="14.25" customHeight="1" x14ac:dyDescent="0.25">
      <c r="A117" s="13">
        <v>45470</v>
      </c>
      <c r="B117" s="1">
        <v>2024000956</v>
      </c>
      <c r="C117" s="1" t="s">
        <v>122</v>
      </c>
      <c r="D117" s="5">
        <v>2000000</v>
      </c>
      <c r="E117" s="1">
        <v>1004592366</v>
      </c>
      <c r="F117" s="1" t="s">
        <v>123</v>
      </c>
      <c r="G117" s="1" t="s">
        <v>9</v>
      </c>
    </row>
    <row r="118" spans="1:7" ht="14.25" customHeight="1" x14ac:dyDescent="0.25">
      <c r="A118" s="13">
        <v>45470</v>
      </c>
      <c r="B118" s="1">
        <v>2024000960</v>
      </c>
      <c r="C118" s="1" t="s">
        <v>84</v>
      </c>
      <c r="D118" s="5">
        <v>2000000</v>
      </c>
      <c r="E118" s="1">
        <v>1085327701</v>
      </c>
      <c r="F118" s="1" t="s">
        <v>85</v>
      </c>
      <c r="G118" s="1" t="s">
        <v>9</v>
      </c>
    </row>
    <row r="119" spans="1:7" ht="14.25" customHeight="1" x14ac:dyDescent="0.25">
      <c r="A119" s="13">
        <v>45470</v>
      </c>
      <c r="B119" s="1">
        <v>2024000961</v>
      </c>
      <c r="C119" s="1" t="s">
        <v>10</v>
      </c>
      <c r="D119" s="5">
        <v>2000000</v>
      </c>
      <c r="E119" s="1">
        <v>1085317833</v>
      </c>
      <c r="F119" s="1" t="s">
        <v>11</v>
      </c>
      <c r="G119" s="1" t="s">
        <v>9</v>
      </c>
    </row>
    <row r="120" spans="1:7" ht="14.25" customHeight="1" x14ac:dyDescent="0.25">
      <c r="A120" s="13">
        <v>45470</v>
      </c>
      <c r="B120" s="1">
        <v>2024000962</v>
      </c>
      <c r="C120" s="1" t="s">
        <v>294</v>
      </c>
      <c r="D120" s="5">
        <v>4825600</v>
      </c>
      <c r="E120" s="1">
        <v>1088730712</v>
      </c>
      <c r="F120" s="1" t="s">
        <v>295</v>
      </c>
      <c r="G120" s="1" t="s">
        <v>9</v>
      </c>
    </row>
    <row r="121" spans="1:7" ht="14.25" customHeight="1" x14ac:dyDescent="0.25">
      <c r="A121" s="13">
        <v>45470</v>
      </c>
      <c r="B121" s="1">
        <v>2024000963</v>
      </c>
      <c r="C121" s="1" t="s">
        <v>142</v>
      </c>
      <c r="D121" s="5">
        <v>6000000</v>
      </c>
      <c r="E121" s="1">
        <v>1085254626</v>
      </c>
      <c r="F121" s="1" t="s">
        <v>143</v>
      </c>
      <c r="G121" s="1" t="s">
        <v>9</v>
      </c>
    </row>
    <row r="122" spans="1:7" ht="14.25" customHeight="1" x14ac:dyDescent="0.25">
      <c r="A122" s="13">
        <v>45470</v>
      </c>
      <c r="B122" s="1">
        <v>2024000964</v>
      </c>
      <c r="C122" s="1" t="s">
        <v>410</v>
      </c>
      <c r="D122" s="5">
        <v>2000000</v>
      </c>
      <c r="E122" s="1">
        <v>36757213</v>
      </c>
      <c r="F122" s="1" t="s">
        <v>411</v>
      </c>
      <c r="G122" s="1" t="s">
        <v>9</v>
      </c>
    </row>
    <row r="123" spans="1:7" ht="14.25" customHeight="1" x14ac:dyDescent="0.25">
      <c r="A123" s="13">
        <v>45475</v>
      </c>
      <c r="B123" s="1">
        <v>2024000967</v>
      </c>
      <c r="C123" s="1" t="s">
        <v>410</v>
      </c>
      <c r="D123" s="5">
        <v>2000000</v>
      </c>
      <c r="E123" s="1">
        <v>36757213</v>
      </c>
      <c r="F123" s="1" t="s">
        <v>411</v>
      </c>
      <c r="G123" s="1" t="s">
        <v>9</v>
      </c>
    </row>
    <row r="124" spans="1:7" ht="14.25" customHeight="1" x14ac:dyDescent="0.25">
      <c r="A124" s="13">
        <v>45475</v>
      </c>
      <c r="B124" s="1">
        <v>2024000968</v>
      </c>
      <c r="C124" s="1" t="s">
        <v>46</v>
      </c>
      <c r="D124" s="5">
        <v>4750000</v>
      </c>
      <c r="E124" s="1">
        <v>1087414586</v>
      </c>
      <c r="F124" s="1" t="s">
        <v>47</v>
      </c>
      <c r="G124" s="1" t="s">
        <v>9</v>
      </c>
    </row>
    <row r="125" spans="1:7" ht="14.25" customHeight="1" x14ac:dyDescent="0.25">
      <c r="A125" s="13">
        <v>45475</v>
      </c>
      <c r="B125" s="1">
        <v>2024000969</v>
      </c>
      <c r="C125" s="1" t="s">
        <v>52</v>
      </c>
      <c r="D125" s="5">
        <v>4825600</v>
      </c>
      <c r="E125" s="1">
        <v>30733517</v>
      </c>
      <c r="F125" s="1" t="s">
        <v>53</v>
      </c>
      <c r="G125" s="1" t="s">
        <v>9</v>
      </c>
    </row>
    <row r="126" spans="1:7" ht="14.25" customHeight="1" x14ac:dyDescent="0.25">
      <c r="A126" s="13">
        <v>45475</v>
      </c>
      <c r="B126" s="1">
        <v>2024000970</v>
      </c>
      <c r="C126" s="1" t="s">
        <v>108</v>
      </c>
      <c r="D126" s="5">
        <v>2000000</v>
      </c>
      <c r="E126" s="1">
        <v>1004232508</v>
      </c>
      <c r="F126" s="1" t="s">
        <v>109</v>
      </c>
      <c r="G126" s="1" t="s">
        <v>9</v>
      </c>
    </row>
    <row r="127" spans="1:7" ht="14.25" customHeight="1" x14ac:dyDescent="0.25">
      <c r="A127" s="13">
        <v>45475</v>
      </c>
      <c r="B127" s="1">
        <v>2024000971</v>
      </c>
      <c r="C127" s="1" t="s">
        <v>364</v>
      </c>
      <c r="D127" s="5">
        <v>2000000</v>
      </c>
      <c r="E127" s="1">
        <v>1004726758</v>
      </c>
      <c r="F127" s="1" t="s">
        <v>365</v>
      </c>
      <c r="G127" s="1" t="s">
        <v>9</v>
      </c>
    </row>
    <row r="128" spans="1:7" ht="14.25" customHeight="1" x14ac:dyDescent="0.25">
      <c r="A128" s="13">
        <v>45475</v>
      </c>
      <c r="B128" s="1">
        <v>2024000972</v>
      </c>
      <c r="C128" s="1" t="s">
        <v>218</v>
      </c>
      <c r="D128" s="5">
        <v>2000000</v>
      </c>
      <c r="E128" s="1">
        <v>1010113730</v>
      </c>
      <c r="F128" s="1" t="s">
        <v>219</v>
      </c>
      <c r="G128" s="1" t="s">
        <v>9</v>
      </c>
    </row>
    <row r="129" spans="1:7" ht="14.25" customHeight="1" x14ac:dyDescent="0.25">
      <c r="A129" s="13">
        <v>45475</v>
      </c>
      <c r="B129" s="1">
        <v>2024000973</v>
      </c>
      <c r="C129" s="1" t="s">
        <v>48</v>
      </c>
      <c r="D129" s="5">
        <v>6000000</v>
      </c>
      <c r="E129" s="1">
        <v>27097289</v>
      </c>
      <c r="F129" s="1" t="s">
        <v>49</v>
      </c>
      <c r="G129" s="1" t="s">
        <v>9</v>
      </c>
    </row>
    <row r="130" spans="1:7" ht="14.25" customHeight="1" x14ac:dyDescent="0.25">
      <c r="A130" s="13">
        <v>45475</v>
      </c>
      <c r="B130" s="1">
        <v>2024000975</v>
      </c>
      <c r="C130" s="1" t="s">
        <v>106</v>
      </c>
      <c r="D130" s="5">
        <v>2000000</v>
      </c>
      <c r="E130" s="1">
        <v>36758143</v>
      </c>
      <c r="F130" s="1" t="s">
        <v>107</v>
      </c>
      <c r="G130" s="1" t="s">
        <v>9</v>
      </c>
    </row>
    <row r="131" spans="1:7" ht="14.25" customHeight="1" x14ac:dyDescent="0.25">
      <c r="A131" s="13">
        <v>45475</v>
      </c>
      <c r="B131" s="1">
        <v>2024000976</v>
      </c>
      <c r="C131" s="1" t="s">
        <v>236</v>
      </c>
      <c r="D131" s="5">
        <v>2000000</v>
      </c>
      <c r="E131" s="1">
        <v>1004234290</v>
      </c>
      <c r="F131" s="1" t="s">
        <v>237</v>
      </c>
      <c r="G131" s="1" t="s">
        <v>9</v>
      </c>
    </row>
    <row r="132" spans="1:7" ht="14.25" customHeight="1" x14ac:dyDescent="0.25">
      <c r="A132" s="13">
        <v>45475</v>
      </c>
      <c r="B132" s="1">
        <v>2024000977</v>
      </c>
      <c r="C132" s="1" t="s">
        <v>82</v>
      </c>
      <c r="D132" s="5">
        <v>7500000</v>
      </c>
      <c r="E132" s="1">
        <v>1085329230</v>
      </c>
      <c r="F132" s="1" t="s">
        <v>83</v>
      </c>
      <c r="G132" s="1" t="s">
        <v>9</v>
      </c>
    </row>
    <row r="133" spans="1:7" ht="14.25" customHeight="1" x14ac:dyDescent="0.25">
      <c r="A133" s="13">
        <v>45475</v>
      </c>
      <c r="B133" s="1">
        <v>2024000978</v>
      </c>
      <c r="C133" s="1" t="s">
        <v>272</v>
      </c>
      <c r="D133" s="5">
        <v>4825600</v>
      </c>
      <c r="E133" s="1">
        <v>1085332406</v>
      </c>
      <c r="F133" s="1" t="s">
        <v>273</v>
      </c>
      <c r="G133" s="1" t="s">
        <v>9</v>
      </c>
    </row>
    <row r="134" spans="1:7" ht="14.25" customHeight="1" x14ac:dyDescent="0.25">
      <c r="A134" s="13">
        <v>45475</v>
      </c>
      <c r="B134" s="1">
        <v>2024000979</v>
      </c>
      <c r="C134" s="1" t="s">
        <v>176</v>
      </c>
      <c r="D134" s="5">
        <v>4825600</v>
      </c>
      <c r="E134" s="1">
        <v>27087851</v>
      </c>
      <c r="F134" s="1" t="s">
        <v>177</v>
      </c>
      <c r="G134" s="1" t="s">
        <v>9</v>
      </c>
    </row>
    <row r="135" spans="1:7" ht="14.25" customHeight="1" x14ac:dyDescent="0.25">
      <c r="A135" s="13">
        <v>45475</v>
      </c>
      <c r="B135" s="1">
        <v>2024000980</v>
      </c>
      <c r="C135" s="1" t="s">
        <v>150</v>
      </c>
      <c r="D135" s="5">
        <v>4750000</v>
      </c>
      <c r="E135" s="1">
        <v>59824313</v>
      </c>
      <c r="F135" s="1" t="s">
        <v>151</v>
      </c>
      <c r="G135" s="1" t="s">
        <v>9</v>
      </c>
    </row>
    <row r="136" spans="1:7" ht="14.25" customHeight="1" x14ac:dyDescent="0.25">
      <c r="A136" s="13">
        <v>45475</v>
      </c>
      <c r="B136" s="1">
        <v>2024000981</v>
      </c>
      <c r="C136" s="1" t="s">
        <v>124</v>
      </c>
      <c r="D136" s="5">
        <v>6000000</v>
      </c>
      <c r="E136" s="1">
        <v>36951002</v>
      </c>
      <c r="F136" s="1" t="s">
        <v>125</v>
      </c>
      <c r="G136" s="1" t="s">
        <v>9</v>
      </c>
    </row>
    <row r="137" spans="1:7" ht="14.25" customHeight="1" x14ac:dyDescent="0.25">
      <c r="A137" s="13">
        <v>45475</v>
      </c>
      <c r="B137" s="1">
        <v>2024000982</v>
      </c>
      <c r="C137" s="1" t="s">
        <v>416</v>
      </c>
      <c r="D137" s="5">
        <v>2000000</v>
      </c>
      <c r="E137" s="1">
        <v>1085302942</v>
      </c>
      <c r="F137" s="1" t="s">
        <v>417</v>
      </c>
      <c r="G137" s="1" t="s">
        <v>9</v>
      </c>
    </row>
    <row r="138" spans="1:7" ht="14.25" customHeight="1" x14ac:dyDescent="0.25">
      <c r="A138" s="13">
        <v>45475</v>
      </c>
      <c r="B138" s="1">
        <v>2024000983</v>
      </c>
      <c r="C138" s="1" t="s">
        <v>396</v>
      </c>
      <c r="D138" s="5">
        <v>2000000</v>
      </c>
      <c r="E138" s="1">
        <v>1004635031</v>
      </c>
      <c r="F138" s="1" t="s">
        <v>397</v>
      </c>
      <c r="G138" s="1" t="s">
        <v>9</v>
      </c>
    </row>
    <row r="139" spans="1:7" ht="14.25" customHeight="1" x14ac:dyDescent="0.25">
      <c r="A139" s="13">
        <v>45475</v>
      </c>
      <c r="B139" s="1">
        <v>2024000984</v>
      </c>
      <c r="C139" s="1" t="s">
        <v>428</v>
      </c>
      <c r="D139" s="5">
        <v>4750000</v>
      </c>
      <c r="E139" s="1">
        <v>1085260497</v>
      </c>
      <c r="F139" s="1" t="s">
        <v>429</v>
      </c>
      <c r="G139" s="1" t="s">
        <v>9</v>
      </c>
    </row>
    <row r="140" spans="1:7" ht="14.25" customHeight="1" x14ac:dyDescent="0.25">
      <c r="A140" s="13">
        <v>45475</v>
      </c>
      <c r="B140" s="1">
        <v>2024000985</v>
      </c>
      <c r="C140" s="1" t="s">
        <v>36</v>
      </c>
      <c r="D140" s="5">
        <v>2000000</v>
      </c>
      <c r="E140" s="1">
        <v>27087122</v>
      </c>
      <c r="F140" s="1" t="s">
        <v>37</v>
      </c>
      <c r="G140" s="1" t="s">
        <v>9</v>
      </c>
    </row>
    <row r="141" spans="1:7" ht="14.25" customHeight="1" x14ac:dyDescent="0.25">
      <c r="A141" s="13">
        <v>45476</v>
      </c>
      <c r="B141" s="1">
        <v>2024000994</v>
      </c>
      <c r="C141" s="1" t="s">
        <v>334</v>
      </c>
      <c r="D141" s="5">
        <v>2000000</v>
      </c>
      <c r="E141" s="1">
        <v>1085261053</v>
      </c>
      <c r="F141" s="1" t="s">
        <v>335</v>
      </c>
      <c r="G141" s="1" t="s">
        <v>9</v>
      </c>
    </row>
    <row r="142" spans="1:7" ht="14.25" customHeight="1" x14ac:dyDescent="0.25">
      <c r="A142" s="13">
        <v>45476</v>
      </c>
      <c r="B142" s="1">
        <v>2024000995</v>
      </c>
      <c r="C142" s="1" t="s">
        <v>332</v>
      </c>
      <c r="D142" s="5">
        <v>4825600</v>
      </c>
      <c r="E142" s="1">
        <v>1085269530</v>
      </c>
      <c r="F142" s="1" t="s">
        <v>333</v>
      </c>
      <c r="G142" s="1" t="s">
        <v>9</v>
      </c>
    </row>
    <row r="143" spans="1:7" ht="14.25" customHeight="1" x14ac:dyDescent="0.25">
      <c r="A143" s="13">
        <v>45476</v>
      </c>
      <c r="B143" s="1">
        <v>2024000996</v>
      </c>
      <c r="C143" s="1" t="s">
        <v>178</v>
      </c>
      <c r="D143" s="5">
        <v>2000000</v>
      </c>
      <c r="E143" s="1">
        <v>1085250095</v>
      </c>
      <c r="F143" s="1" t="s">
        <v>179</v>
      </c>
      <c r="G143" s="1" t="s">
        <v>9</v>
      </c>
    </row>
    <row r="144" spans="1:7" ht="14.25" customHeight="1" x14ac:dyDescent="0.25">
      <c r="A144" s="13">
        <v>45476</v>
      </c>
      <c r="B144" s="1">
        <v>2024000997</v>
      </c>
      <c r="C144" s="1" t="s">
        <v>120</v>
      </c>
      <c r="D144" s="5">
        <v>2000000</v>
      </c>
      <c r="E144" s="1">
        <v>59834953</v>
      </c>
      <c r="F144" s="1" t="s">
        <v>121</v>
      </c>
      <c r="G144" s="1" t="s">
        <v>9</v>
      </c>
    </row>
    <row r="145" spans="1:7" ht="14.25" customHeight="1" x14ac:dyDescent="0.25">
      <c r="A145" s="13">
        <v>45476</v>
      </c>
      <c r="B145" s="1">
        <v>2024000998</v>
      </c>
      <c r="C145" s="1" t="s">
        <v>66</v>
      </c>
      <c r="D145" s="5">
        <v>2000000</v>
      </c>
      <c r="E145" s="1">
        <v>1193265360</v>
      </c>
      <c r="F145" s="1" t="s">
        <v>67</v>
      </c>
      <c r="G145" s="1" t="s">
        <v>9</v>
      </c>
    </row>
    <row r="146" spans="1:7" ht="14.25" customHeight="1" x14ac:dyDescent="0.25">
      <c r="A146" s="13">
        <v>45476</v>
      </c>
      <c r="B146" s="1">
        <v>2024000999</v>
      </c>
      <c r="C146" s="1" t="s">
        <v>112</v>
      </c>
      <c r="D146" s="5">
        <v>6000000</v>
      </c>
      <c r="E146" s="1">
        <v>1004213964</v>
      </c>
      <c r="F146" s="1" t="s">
        <v>113</v>
      </c>
      <c r="G146" s="1" t="s">
        <v>9</v>
      </c>
    </row>
    <row r="147" spans="1:7" ht="14.25" customHeight="1" x14ac:dyDescent="0.25">
      <c r="A147" s="13">
        <v>45476</v>
      </c>
      <c r="B147" s="1">
        <v>2024001000</v>
      </c>
      <c r="C147" s="1" t="s">
        <v>228</v>
      </c>
      <c r="D147" s="5">
        <v>2000000</v>
      </c>
      <c r="E147" s="1">
        <v>1193271854</v>
      </c>
      <c r="F147" s="1" t="s">
        <v>229</v>
      </c>
      <c r="G147" s="1" t="s">
        <v>9</v>
      </c>
    </row>
    <row r="148" spans="1:7" ht="14.25" customHeight="1" x14ac:dyDescent="0.25">
      <c r="A148" s="13">
        <v>45477</v>
      </c>
      <c r="B148" s="1">
        <v>2024001017</v>
      </c>
      <c r="C148" s="1" t="s">
        <v>94</v>
      </c>
      <c r="D148" s="5">
        <v>4750000</v>
      </c>
      <c r="E148" s="1">
        <v>1087413951</v>
      </c>
      <c r="F148" s="1" t="s">
        <v>95</v>
      </c>
      <c r="G148" s="1" t="s">
        <v>9</v>
      </c>
    </row>
    <row r="149" spans="1:7" ht="14.25" customHeight="1" x14ac:dyDescent="0.25">
      <c r="A149" s="13">
        <v>45477</v>
      </c>
      <c r="B149" s="1">
        <v>2024001018</v>
      </c>
      <c r="C149" s="1" t="s">
        <v>98</v>
      </c>
      <c r="D149" s="5">
        <v>4825600</v>
      </c>
      <c r="E149" s="1">
        <v>1085337969</v>
      </c>
      <c r="F149" s="1" t="s">
        <v>99</v>
      </c>
      <c r="G149" s="1" t="s">
        <v>9</v>
      </c>
    </row>
    <row r="150" spans="1:7" ht="14.25" customHeight="1" x14ac:dyDescent="0.25">
      <c r="A150" s="13">
        <v>45477</v>
      </c>
      <c r="B150" s="1">
        <v>2024001019</v>
      </c>
      <c r="C150" s="1" t="s">
        <v>420</v>
      </c>
      <c r="D150" s="5">
        <v>7500000</v>
      </c>
      <c r="E150" s="1">
        <v>1088599676</v>
      </c>
      <c r="F150" s="1" t="s">
        <v>421</v>
      </c>
      <c r="G150" s="1" t="s">
        <v>9</v>
      </c>
    </row>
    <row r="151" spans="1:7" ht="14.25" customHeight="1" x14ac:dyDescent="0.25">
      <c r="A151" s="13">
        <v>45477</v>
      </c>
      <c r="B151" s="1">
        <v>2024001020</v>
      </c>
      <c r="C151" s="1" t="s">
        <v>100</v>
      </c>
      <c r="D151" s="5">
        <v>2000000</v>
      </c>
      <c r="E151" s="1">
        <v>13070330</v>
      </c>
      <c r="F151" s="1" t="s">
        <v>101</v>
      </c>
      <c r="G151" s="1" t="s">
        <v>9</v>
      </c>
    </row>
    <row r="152" spans="1:7" ht="14.25" customHeight="1" x14ac:dyDescent="0.25">
      <c r="A152" s="13">
        <v>45477</v>
      </c>
      <c r="B152" s="1">
        <v>2024001021</v>
      </c>
      <c r="C152" s="1" t="s">
        <v>174</v>
      </c>
      <c r="D152" s="5">
        <v>4825600</v>
      </c>
      <c r="E152" s="1">
        <v>1085283723</v>
      </c>
      <c r="F152" s="1" t="s">
        <v>175</v>
      </c>
      <c r="G152" s="1" t="s">
        <v>9</v>
      </c>
    </row>
    <row r="153" spans="1:7" ht="14.25" customHeight="1" x14ac:dyDescent="0.25">
      <c r="A153" s="13">
        <v>45478</v>
      </c>
      <c r="B153" s="1">
        <v>2024001024</v>
      </c>
      <c r="C153" s="1" t="s">
        <v>76</v>
      </c>
      <c r="D153" s="5">
        <v>2000000</v>
      </c>
      <c r="E153" s="1">
        <v>1086362994</v>
      </c>
      <c r="F153" s="1" t="s">
        <v>77</v>
      </c>
      <c r="G153" s="1" t="s">
        <v>9</v>
      </c>
    </row>
    <row r="154" spans="1:7" ht="14.25" customHeight="1" x14ac:dyDescent="0.25">
      <c r="A154" s="13">
        <v>45478</v>
      </c>
      <c r="B154" s="1">
        <v>2024001025</v>
      </c>
      <c r="C154" s="1" t="s">
        <v>62</v>
      </c>
      <c r="D154" s="5">
        <v>7500000</v>
      </c>
      <c r="E154" s="1">
        <v>1006946167</v>
      </c>
      <c r="F154" s="1" t="s">
        <v>63</v>
      </c>
      <c r="G154" s="1" t="s">
        <v>9</v>
      </c>
    </row>
    <row r="155" spans="1:7" ht="14.25" customHeight="1" x14ac:dyDescent="0.25">
      <c r="A155" s="13">
        <v>45478</v>
      </c>
      <c r="B155" s="1">
        <v>2024001026</v>
      </c>
      <c r="C155" s="1" t="s">
        <v>72</v>
      </c>
      <c r="D155" s="5">
        <v>2000000</v>
      </c>
      <c r="E155" s="1">
        <v>1085323101</v>
      </c>
      <c r="F155" s="1" t="s">
        <v>73</v>
      </c>
      <c r="G155" s="1" t="s">
        <v>9</v>
      </c>
    </row>
    <row r="156" spans="1:7" ht="14.25" customHeight="1" x14ac:dyDescent="0.25">
      <c r="A156" s="13">
        <v>45478</v>
      </c>
      <c r="B156" s="1">
        <v>2024001027</v>
      </c>
      <c r="C156" s="1" t="s">
        <v>50</v>
      </c>
      <c r="D156" s="5">
        <v>2000000</v>
      </c>
      <c r="E156" s="1">
        <v>12974849</v>
      </c>
      <c r="F156" s="1" t="s">
        <v>51</v>
      </c>
      <c r="G156" s="1" t="s">
        <v>9</v>
      </c>
    </row>
    <row r="157" spans="1:7" ht="14.25" customHeight="1" x14ac:dyDescent="0.25">
      <c r="A157" s="13">
        <v>45478</v>
      </c>
      <c r="B157" s="1">
        <v>2024001028</v>
      </c>
      <c r="C157" s="1" t="s">
        <v>132</v>
      </c>
      <c r="D157" s="5">
        <v>4825600</v>
      </c>
      <c r="E157" s="1">
        <v>87062845</v>
      </c>
      <c r="F157" s="1" t="s">
        <v>133</v>
      </c>
      <c r="G157" s="1" t="s">
        <v>9</v>
      </c>
    </row>
    <row r="158" spans="1:7" ht="14.25" customHeight="1" x14ac:dyDescent="0.25">
      <c r="A158" s="13">
        <v>45478</v>
      </c>
      <c r="B158" s="1">
        <v>2024001029</v>
      </c>
      <c r="C158" s="1" t="s">
        <v>68</v>
      </c>
      <c r="D158" s="5">
        <v>7500000</v>
      </c>
      <c r="E158" s="1">
        <v>80765093</v>
      </c>
      <c r="F158" s="1" t="s">
        <v>69</v>
      </c>
      <c r="G158" s="1" t="s">
        <v>9</v>
      </c>
    </row>
    <row r="159" spans="1:7" ht="14.25" customHeight="1" x14ac:dyDescent="0.25">
      <c r="A159" s="13">
        <v>45478</v>
      </c>
      <c r="B159" s="1">
        <v>2024001030</v>
      </c>
      <c r="C159" s="1" t="s">
        <v>160</v>
      </c>
      <c r="D159" s="5">
        <v>7500000</v>
      </c>
      <c r="E159" s="1">
        <v>1085304670</v>
      </c>
      <c r="F159" s="1" t="s">
        <v>161</v>
      </c>
      <c r="G159" s="1" t="s">
        <v>9</v>
      </c>
    </row>
    <row r="160" spans="1:7" ht="14.25" customHeight="1" x14ac:dyDescent="0.25">
      <c r="A160" s="13">
        <v>45478</v>
      </c>
      <c r="B160" s="1">
        <v>2024001031</v>
      </c>
      <c r="C160" s="1" t="s">
        <v>414</v>
      </c>
      <c r="D160" s="5">
        <v>4750000</v>
      </c>
      <c r="E160" s="1">
        <v>59816986</v>
      </c>
      <c r="F160" s="1" t="s">
        <v>415</v>
      </c>
      <c r="G160" s="1" t="s">
        <v>9</v>
      </c>
    </row>
    <row r="161" spans="1:7" ht="14.25" customHeight="1" x14ac:dyDescent="0.25">
      <c r="A161" s="13">
        <v>45478</v>
      </c>
      <c r="B161" s="1">
        <v>2024001032</v>
      </c>
      <c r="C161" s="1" t="s">
        <v>74</v>
      </c>
      <c r="D161" s="5">
        <v>2000000</v>
      </c>
      <c r="E161" s="1">
        <v>1085286742</v>
      </c>
      <c r="F161" s="1" t="s">
        <v>75</v>
      </c>
      <c r="G161" s="1" t="s">
        <v>9</v>
      </c>
    </row>
    <row r="162" spans="1:7" ht="14.25" customHeight="1" x14ac:dyDescent="0.25">
      <c r="A162" s="13">
        <v>45481</v>
      </c>
      <c r="B162" s="1">
        <v>2024001039</v>
      </c>
      <c r="C162" s="1" t="s">
        <v>260</v>
      </c>
      <c r="D162" s="5">
        <v>6000000</v>
      </c>
      <c r="E162" s="1">
        <v>59820414</v>
      </c>
      <c r="F162" s="1" t="s">
        <v>261</v>
      </c>
      <c r="G162" s="1" t="s">
        <v>9</v>
      </c>
    </row>
    <row r="163" spans="1:7" ht="14.25" customHeight="1" x14ac:dyDescent="0.25">
      <c r="A163" s="13">
        <v>45481</v>
      </c>
      <c r="B163" s="1">
        <v>2024001040</v>
      </c>
      <c r="C163" s="1" t="s">
        <v>110</v>
      </c>
      <c r="D163" s="5">
        <v>2000000</v>
      </c>
      <c r="E163" s="1">
        <v>1085286725</v>
      </c>
      <c r="F163" s="1" t="s">
        <v>111</v>
      </c>
      <c r="G163" s="1" t="s">
        <v>9</v>
      </c>
    </row>
    <row r="164" spans="1:7" ht="14.25" customHeight="1" x14ac:dyDescent="0.25">
      <c r="A164" s="13">
        <v>45481</v>
      </c>
      <c r="B164" s="1">
        <v>2024001043</v>
      </c>
      <c r="C164" s="1" t="s">
        <v>148</v>
      </c>
      <c r="D164" s="5">
        <v>2000000</v>
      </c>
      <c r="E164" s="1">
        <v>1085339190</v>
      </c>
      <c r="F164" s="1" t="s">
        <v>149</v>
      </c>
      <c r="G164" s="1" t="s">
        <v>9</v>
      </c>
    </row>
    <row r="165" spans="1:7" ht="14.25" customHeight="1" x14ac:dyDescent="0.25">
      <c r="A165" s="13">
        <v>45481</v>
      </c>
      <c r="B165" s="1">
        <v>2024001044</v>
      </c>
      <c r="C165" s="1" t="s">
        <v>182</v>
      </c>
      <c r="D165" s="5">
        <v>2000000</v>
      </c>
      <c r="E165" s="1">
        <v>98382500</v>
      </c>
      <c r="F165" s="1" t="s">
        <v>183</v>
      </c>
      <c r="G165" s="1" t="s">
        <v>9</v>
      </c>
    </row>
    <row r="166" spans="1:7" ht="14.25" customHeight="1" x14ac:dyDescent="0.25">
      <c r="A166" s="13">
        <v>45482</v>
      </c>
      <c r="B166" s="1">
        <v>2024001045</v>
      </c>
      <c r="C166" s="1" t="s">
        <v>156</v>
      </c>
      <c r="D166" s="5">
        <v>7500000</v>
      </c>
      <c r="E166" s="1">
        <v>12961661</v>
      </c>
      <c r="F166" s="1" t="s">
        <v>157</v>
      </c>
      <c r="G166" s="1" t="s">
        <v>9</v>
      </c>
    </row>
    <row r="167" spans="1:7" ht="14.25" customHeight="1" x14ac:dyDescent="0.25">
      <c r="A167" s="13">
        <v>45482</v>
      </c>
      <c r="B167" s="1">
        <v>2024001048</v>
      </c>
      <c r="C167" s="1" t="s">
        <v>394</v>
      </c>
      <c r="D167" s="5">
        <v>2000000</v>
      </c>
      <c r="E167" s="1">
        <v>59837416</v>
      </c>
      <c r="F167" s="1" t="s">
        <v>395</v>
      </c>
      <c r="G167" s="1" t="s">
        <v>9</v>
      </c>
    </row>
    <row r="168" spans="1:7" ht="14.25" customHeight="1" x14ac:dyDescent="0.25">
      <c r="A168" s="13">
        <v>45482</v>
      </c>
      <c r="B168" s="1">
        <v>2024001049</v>
      </c>
      <c r="C168" s="1" t="s">
        <v>290</v>
      </c>
      <c r="D168" s="5">
        <v>2000000</v>
      </c>
      <c r="E168" s="1">
        <v>1085344082</v>
      </c>
      <c r="F168" s="1" t="s">
        <v>291</v>
      </c>
      <c r="G168" s="1" t="s">
        <v>9</v>
      </c>
    </row>
    <row r="169" spans="1:7" ht="14.25" customHeight="1" x14ac:dyDescent="0.25">
      <c r="A169" s="13">
        <v>45482</v>
      </c>
      <c r="B169" s="1">
        <v>2024001050</v>
      </c>
      <c r="C169" s="1" t="s">
        <v>168</v>
      </c>
      <c r="D169" s="5">
        <v>4750000</v>
      </c>
      <c r="E169" s="1">
        <v>1085273424</v>
      </c>
      <c r="F169" s="1" t="s">
        <v>169</v>
      </c>
      <c r="G169" s="1" t="s">
        <v>9</v>
      </c>
    </row>
    <row r="170" spans="1:7" ht="14.25" customHeight="1" x14ac:dyDescent="0.25">
      <c r="A170" s="13">
        <v>45482</v>
      </c>
      <c r="B170" s="1">
        <v>2024001051</v>
      </c>
      <c r="C170" s="1" t="s">
        <v>232</v>
      </c>
      <c r="D170" s="5">
        <v>2000000</v>
      </c>
      <c r="E170" s="1">
        <v>1014857280</v>
      </c>
      <c r="F170" s="1" t="s">
        <v>233</v>
      </c>
      <c r="G170" s="1" t="s">
        <v>9</v>
      </c>
    </row>
    <row r="171" spans="1:7" ht="14.25" customHeight="1" x14ac:dyDescent="0.25">
      <c r="A171" s="13">
        <v>45482</v>
      </c>
      <c r="B171" s="1">
        <v>2024001053</v>
      </c>
      <c r="C171" s="1" t="s">
        <v>144</v>
      </c>
      <c r="D171" s="5">
        <v>6000000</v>
      </c>
      <c r="E171" s="1">
        <v>59837608</v>
      </c>
      <c r="F171" s="1" t="s">
        <v>145</v>
      </c>
      <c r="G171" s="1" t="s">
        <v>9</v>
      </c>
    </row>
    <row r="172" spans="1:7" ht="14.25" customHeight="1" x14ac:dyDescent="0.25">
      <c r="A172" s="13">
        <v>45482</v>
      </c>
      <c r="B172" s="1">
        <v>2024001054</v>
      </c>
      <c r="C172" s="1" t="s">
        <v>266</v>
      </c>
      <c r="D172" s="5">
        <v>4750000</v>
      </c>
      <c r="E172" s="1">
        <v>1193383306</v>
      </c>
      <c r="F172" s="1" t="s">
        <v>267</v>
      </c>
      <c r="G172" s="1" t="s">
        <v>9</v>
      </c>
    </row>
    <row r="173" spans="1:7" ht="14.25" customHeight="1" x14ac:dyDescent="0.25">
      <c r="A173" s="13">
        <v>45482</v>
      </c>
      <c r="B173" s="1">
        <v>2024001055</v>
      </c>
      <c r="C173" s="1" t="s">
        <v>60</v>
      </c>
      <c r="D173" s="5">
        <v>7500000</v>
      </c>
      <c r="E173" s="1">
        <v>1085321192</v>
      </c>
      <c r="F173" s="1" t="s">
        <v>61</v>
      </c>
      <c r="G173" s="1" t="s">
        <v>9</v>
      </c>
    </row>
    <row r="174" spans="1:7" ht="14.25" customHeight="1" x14ac:dyDescent="0.25">
      <c r="A174" s="13">
        <v>45482</v>
      </c>
      <c r="B174" s="1">
        <v>2024001057</v>
      </c>
      <c r="C174" s="1" t="s">
        <v>164</v>
      </c>
      <c r="D174" s="14">
        <v>82250000</v>
      </c>
      <c r="E174" s="1">
        <v>900633448</v>
      </c>
      <c r="F174" s="1" t="s">
        <v>165</v>
      </c>
      <c r="G174" s="1" t="s">
        <v>9</v>
      </c>
    </row>
    <row r="175" spans="1:7" ht="14.25" customHeight="1" x14ac:dyDescent="0.25">
      <c r="A175" s="13">
        <v>45482</v>
      </c>
      <c r="B175" s="1">
        <v>2024001059</v>
      </c>
      <c r="C175" s="1" t="s">
        <v>220</v>
      </c>
      <c r="D175" s="5">
        <v>4750000</v>
      </c>
      <c r="E175" s="1">
        <v>1085345772</v>
      </c>
      <c r="F175" s="1" t="s">
        <v>221</v>
      </c>
      <c r="G175" s="1" t="s">
        <v>9</v>
      </c>
    </row>
    <row r="176" spans="1:7" ht="14.25" customHeight="1" x14ac:dyDescent="0.25">
      <c r="A176" s="13">
        <v>45483</v>
      </c>
      <c r="B176" s="1">
        <v>2024001065</v>
      </c>
      <c r="C176" s="1" t="s">
        <v>226</v>
      </c>
      <c r="D176" s="5">
        <v>2000000</v>
      </c>
      <c r="E176" s="1">
        <v>1085338575</v>
      </c>
      <c r="F176" s="1" t="s">
        <v>227</v>
      </c>
      <c r="G176" s="1" t="s">
        <v>9</v>
      </c>
    </row>
    <row r="177" spans="1:7" ht="14.25" customHeight="1" x14ac:dyDescent="0.25">
      <c r="A177" s="13">
        <v>45483</v>
      </c>
      <c r="B177" s="1">
        <v>2024001067</v>
      </c>
      <c r="C177" s="1" t="s">
        <v>158</v>
      </c>
      <c r="D177" s="5">
        <v>7500000</v>
      </c>
      <c r="E177" s="1">
        <v>37087120</v>
      </c>
      <c r="F177" s="1" t="s">
        <v>159</v>
      </c>
      <c r="G177" s="1" t="s">
        <v>9</v>
      </c>
    </row>
    <row r="178" spans="1:7" ht="14.25" customHeight="1" x14ac:dyDescent="0.25">
      <c r="A178" s="13">
        <v>45483</v>
      </c>
      <c r="B178" s="1">
        <v>2024001069</v>
      </c>
      <c r="C178" s="1" t="s">
        <v>128</v>
      </c>
      <c r="D178" s="5">
        <v>4825600</v>
      </c>
      <c r="E178" s="1">
        <v>59310145</v>
      </c>
      <c r="F178" s="1" t="s">
        <v>129</v>
      </c>
      <c r="G178" s="1" t="s">
        <v>9</v>
      </c>
    </row>
    <row r="179" spans="1:7" ht="14.25" customHeight="1" x14ac:dyDescent="0.25">
      <c r="A179" s="13">
        <v>45484</v>
      </c>
      <c r="B179" s="1">
        <v>2024001071</v>
      </c>
      <c r="C179" s="1" t="s">
        <v>116</v>
      </c>
      <c r="D179" s="5">
        <v>6000000</v>
      </c>
      <c r="E179" s="1">
        <v>1085275879</v>
      </c>
      <c r="F179" s="1" t="s">
        <v>117</v>
      </c>
      <c r="G179" s="1" t="s">
        <v>9</v>
      </c>
    </row>
    <row r="180" spans="1:7" ht="14.25" customHeight="1" x14ac:dyDescent="0.25">
      <c r="A180" s="13">
        <v>45484</v>
      </c>
      <c r="B180" s="1">
        <v>2024001072</v>
      </c>
      <c r="C180" s="1" t="s">
        <v>230</v>
      </c>
      <c r="D180" s="5">
        <v>7500000</v>
      </c>
      <c r="E180" s="1">
        <v>1085335767</v>
      </c>
      <c r="F180" s="1" t="s">
        <v>231</v>
      </c>
      <c r="G180" s="1" t="s">
        <v>9</v>
      </c>
    </row>
    <row r="181" spans="1:7" ht="14.25" customHeight="1" x14ac:dyDescent="0.25">
      <c r="A181" s="13">
        <v>45484</v>
      </c>
      <c r="B181" s="1">
        <v>2024001073</v>
      </c>
      <c r="C181" s="1" t="s">
        <v>162</v>
      </c>
      <c r="D181" s="5">
        <v>7500000</v>
      </c>
      <c r="E181" s="1">
        <v>1193202097</v>
      </c>
      <c r="F181" s="1" t="s">
        <v>163</v>
      </c>
      <c r="G181" s="1" t="s">
        <v>9</v>
      </c>
    </row>
    <row r="182" spans="1:7" ht="14.25" customHeight="1" x14ac:dyDescent="0.25">
      <c r="A182" s="13">
        <v>45484</v>
      </c>
      <c r="B182" s="1">
        <v>2024001074</v>
      </c>
      <c r="C182" s="1" t="s">
        <v>206</v>
      </c>
      <c r="D182" s="5">
        <v>2000000</v>
      </c>
      <c r="E182" s="1">
        <v>1004135064</v>
      </c>
      <c r="F182" s="1" t="s">
        <v>207</v>
      </c>
      <c r="G182" s="1" t="s">
        <v>9</v>
      </c>
    </row>
    <row r="183" spans="1:7" ht="14.25" customHeight="1" x14ac:dyDescent="0.25">
      <c r="A183" s="13">
        <v>45484</v>
      </c>
      <c r="B183" s="1">
        <v>2024001075</v>
      </c>
      <c r="C183" s="1" t="s">
        <v>208</v>
      </c>
      <c r="D183" s="5">
        <v>2000000</v>
      </c>
      <c r="E183" s="1">
        <v>1010082397</v>
      </c>
      <c r="F183" s="1" t="s">
        <v>209</v>
      </c>
      <c r="G183" s="1" t="s">
        <v>9</v>
      </c>
    </row>
    <row r="184" spans="1:7" ht="14.25" customHeight="1" x14ac:dyDescent="0.25">
      <c r="A184" s="13">
        <v>45484</v>
      </c>
      <c r="B184" s="1">
        <v>2024001076</v>
      </c>
      <c r="C184" s="1" t="s">
        <v>126</v>
      </c>
      <c r="D184" s="5">
        <v>4750000</v>
      </c>
      <c r="E184" s="1">
        <v>59312865</v>
      </c>
      <c r="F184" s="1" t="s">
        <v>127</v>
      </c>
      <c r="G184" s="1" t="s">
        <v>9</v>
      </c>
    </row>
    <row r="185" spans="1:7" ht="14.25" customHeight="1" x14ac:dyDescent="0.25">
      <c r="A185" s="13">
        <v>45484</v>
      </c>
      <c r="B185" s="1">
        <v>2024001077</v>
      </c>
      <c r="C185" s="1" t="s">
        <v>186</v>
      </c>
      <c r="D185" s="5">
        <v>2000000</v>
      </c>
      <c r="E185" s="1">
        <v>1085296353</v>
      </c>
      <c r="F185" s="1" t="s">
        <v>187</v>
      </c>
      <c r="G185" s="1" t="s">
        <v>9</v>
      </c>
    </row>
    <row r="186" spans="1:7" ht="14.25" customHeight="1" x14ac:dyDescent="0.25">
      <c r="A186" s="13">
        <v>45484</v>
      </c>
      <c r="B186" s="1">
        <v>2024001078</v>
      </c>
      <c r="C186" s="1" t="s">
        <v>118</v>
      </c>
      <c r="D186" s="5">
        <v>2000000</v>
      </c>
      <c r="E186" s="1">
        <v>37084285</v>
      </c>
      <c r="F186" s="1" t="s">
        <v>119</v>
      </c>
      <c r="G186" s="1" t="s">
        <v>9</v>
      </c>
    </row>
    <row r="187" spans="1:7" ht="14.25" customHeight="1" x14ac:dyDescent="0.25">
      <c r="A187" s="13">
        <v>45485</v>
      </c>
      <c r="B187" s="1">
        <v>2024001079</v>
      </c>
      <c r="C187" s="1" t="s">
        <v>264</v>
      </c>
      <c r="D187" s="5">
        <v>2000000</v>
      </c>
      <c r="E187" s="1">
        <v>1010085543</v>
      </c>
      <c r="F187" s="1" t="s">
        <v>265</v>
      </c>
      <c r="G187" s="1" t="s">
        <v>9</v>
      </c>
    </row>
    <row r="188" spans="1:7" ht="14.25" customHeight="1" x14ac:dyDescent="0.25">
      <c r="A188" s="13">
        <v>45485</v>
      </c>
      <c r="B188" s="1">
        <v>2024001080</v>
      </c>
      <c r="C188" s="1" t="s">
        <v>238</v>
      </c>
      <c r="D188" s="5">
        <v>7500000</v>
      </c>
      <c r="E188" s="1">
        <v>1233189066</v>
      </c>
      <c r="F188" s="1" t="s">
        <v>239</v>
      </c>
      <c r="G188" s="1" t="s">
        <v>9</v>
      </c>
    </row>
    <row r="189" spans="1:7" ht="14.25" customHeight="1" x14ac:dyDescent="0.25">
      <c r="A189" s="13">
        <v>45485</v>
      </c>
      <c r="B189" s="1">
        <v>2024001083</v>
      </c>
      <c r="C189" s="1" t="s">
        <v>154</v>
      </c>
      <c r="D189" s="5">
        <v>4750000</v>
      </c>
      <c r="E189" s="1">
        <v>1085293619</v>
      </c>
      <c r="F189" s="1" t="s">
        <v>155</v>
      </c>
      <c r="G189" s="1" t="s">
        <v>9</v>
      </c>
    </row>
    <row r="190" spans="1:7" ht="14.25" customHeight="1" x14ac:dyDescent="0.25">
      <c r="A190" s="13">
        <v>45485</v>
      </c>
      <c r="B190" s="1">
        <v>2024001084</v>
      </c>
      <c r="C190" s="1" t="s">
        <v>200</v>
      </c>
      <c r="D190" s="5">
        <v>2000000</v>
      </c>
      <c r="E190" s="1">
        <v>1085300095</v>
      </c>
      <c r="F190" s="1" t="s">
        <v>201</v>
      </c>
      <c r="G190" s="1" t="s">
        <v>9</v>
      </c>
    </row>
    <row r="191" spans="1:7" ht="14.25" customHeight="1" x14ac:dyDescent="0.25">
      <c r="A191" s="13">
        <v>45485</v>
      </c>
      <c r="B191" s="1">
        <v>2024001085</v>
      </c>
      <c r="C191" s="1" t="s">
        <v>184</v>
      </c>
      <c r="D191" s="5">
        <v>2000000</v>
      </c>
      <c r="E191" s="1">
        <v>87070661</v>
      </c>
      <c r="F191" s="1" t="s">
        <v>185</v>
      </c>
      <c r="G191" s="1" t="s">
        <v>9</v>
      </c>
    </row>
    <row r="192" spans="1:7" ht="14.25" customHeight="1" x14ac:dyDescent="0.25">
      <c r="A192" s="13">
        <v>45485</v>
      </c>
      <c r="B192" s="1">
        <v>2024001086</v>
      </c>
      <c r="C192" s="1" t="s">
        <v>210</v>
      </c>
      <c r="D192" s="5">
        <v>2000000</v>
      </c>
      <c r="E192" s="1">
        <v>1080040858</v>
      </c>
      <c r="F192" s="1" t="s">
        <v>211</v>
      </c>
      <c r="G192" s="1" t="s">
        <v>9</v>
      </c>
    </row>
    <row r="193" spans="1:7" ht="14.25" customHeight="1" x14ac:dyDescent="0.25">
      <c r="A193" s="13">
        <v>45485</v>
      </c>
      <c r="B193" s="1">
        <v>2024001087</v>
      </c>
      <c r="C193" s="1" t="s">
        <v>234</v>
      </c>
      <c r="D193" s="5">
        <v>4750000</v>
      </c>
      <c r="E193" s="1">
        <v>1085318201</v>
      </c>
      <c r="F193" s="1" t="s">
        <v>235</v>
      </c>
      <c r="G193" s="1" t="s">
        <v>9</v>
      </c>
    </row>
    <row r="194" spans="1:7" ht="14.25" customHeight="1" x14ac:dyDescent="0.25">
      <c r="A194" s="13">
        <v>45485</v>
      </c>
      <c r="B194" s="1">
        <v>2024001088</v>
      </c>
      <c r="C194" s="1" t="s">
        <v>276</v>
      </c>
      <c r="D194" s="5">
        <v>2000000</v>
      </c>
      <c r="E194" s="1">
        <v>1192717330</v>
      </c>
      <c r="F194" s="1" t="s">
        <v>277</v>
      </c>
      <c r="G194" s="1" t="s">
        <v>9</v>
      </c>
    </row>
    <row r="195" spans="1:7" ht="14.25" customHeight="1" x14ac:dyDescent="0.25">
      <c r="A195" s="13">
        <v>45488</v>
      </c>
      <c r="B195" s="1">
        <v>2024001090</v>
      </c>
      <c r="C195" s="1" t="s">
        <v>250</v>
      </c>
      <c r="D195" s="5">
        <v>2000000</v>
      </c>
      <c r="E195" s="1">
        <v>1085271641</v>
      </c>
      <c r="F195" s="1" t="s">
        <v>251</v>
      </c>
      <c r="G195" s="1" t="s">
        <v>9</v>
      </c>
    </row>
    <row r="196" spans="1:7" ht="14.25" customHeight="1" x14ac:dyDescent="0.25">
      <c r="A196" s="13">
        <v>45488</v>
      </c>
      <c r="B196" s="1">
        <v>2024001091</v>
      </c>
      <c r="C196" s="1" t="s">
        <v>328</v>
      </c>
      <c r="D196" s="5">
        <v>6000000</v>
      </c>
      <c r="E196" s="1">
        <v>97470681</v>
      </c>
      <c r="F196" s="1" t="s">
        <v>329</v>
      </c>
      <c r="G196" s="1" t="s">
        <v>9</v>
      </c>
    </row>
    <row r="197" spans="1:7" ht="14.25" customHeight="1" x14ac:dyDescent="0.25">
      <c r="A197" s="13">
        <v>45488</v>
      </c>
      <c r="B197" s="1">
        <v>2024001092</v>
      </c>
      <c r="C197" s="1" t="s">
        <v>288</v>
      </c>
      <c r="D197" s="5">
        <v>2000000</v>
      </c>
      <c r="E197" s="1">
        <v>1004709928</v>
      </c>
      <c r="F197" s="1" t="s">
        <v>289</v>
      </c>
      <c r="G197" s="1" t="s">
        <v>9</v>
      </c>
    </row>
    <row r="198" spans="1:7" ht="14.25" customHeight="1" x14ac:dyDescent="0.25">
      <c r="A198" s="13">
        <v>45488</v>
      </c>
      <c r="B198" s="1">
        <v>2024001093</v>
      </c>
      <c r="C198" s="1" t="s">
        <v>362</v>
      </c>
      <c r="D198" s="5">
        <v>4825600</v>
      </c>
      <c r="E198" s="1">
        <v>1085321943</v>
      </c>
      <c r="F198" s="1" t="s">
        <v>363</v>
      </c>
      <c r="G198" s="1" t="s">
        <v>9</v>
      </c>
    </row>
    <row r="199" spans="1:7" ht="14.25" customHeight="1" x14ac:dyDescent="0.25">
      <c r="A199" s="13">
        <v>45488</v>
      </c>
      <c r="B199" s="1">
        <v>2024001094</v>
      </c>
      <c r="C199" s="1" t="s">
        <v>114</v>
      </c>
      <c r="D199" s="5">
        <v>2000000</v>
      </c>
      <c r="E199" s="1">
        <v>1085266584</v>
      </c>
      <c r="F199" s="1" t="s">
        <v>115</v>
      </c>
      <c r="G199" s="1" t="s">
        <v>9</v>
      </c>
    </row>
    <row r="200" spans="1:7" ht="14.25" customHeight="1" x14ac:dyDescent="0.25">
      <c r="A200" s="13">
        <v>45488</v>
      </c>
      <c r="B200" s="1">
        <v>2024001095</v>
      </c>
      <c r="C200" s="1" t="s">
        <v>146</v>
      </c>
      <c r="D200" s="5">
        <v>2000000</v>
      </c>
      <c r="E200" s="1">
        <v>1085255972</v>
      </c>
      <c r="F200" s="1" t="s">
        <v>147</v>
      </c>
      <c r="G200" s="1" t="s">
        <v>9</v>
      </c>
    </row>
    <row r="201" spans="1:7" ht="14.25" customHeight="1" x14ac:dyDescent="0.25">
      <c r="A201" s="13">
        <v>45488</v>
      </c>
      <c r="B201" s="1">
        <v>2024001096</v>
      </c>
      <c r="C201" s="1" t="s">
        <v>330</v>
      </c>
      <c r="D201" s="5">
        <v>2000000</v>
      </c>
      <c r="E201" s="1">
        <v>1085313463</v>
      </c>
      <c r="F201" s="1" t="s">
        <v>331</v>
      </c>
      <c r="G201" s="1" t="s">
        <v>9</v>
      </c>
    </row>
    <row r="202" spans="1:7" ht="14.25" customHeight="1" x14ac:dyDescent="0.25">
      <c r="A202" s="13">
        <v>45489</v>
      </c>
      <c r="B202" s="1">
        <v>2024001100</v>
      </c>
      <c r="C202" s="1" t="s">
        <v>270</v>
      </c>
      <c r="D202" s="5">
        <v>2000000</v>
      </c>
      <c r="E202" s="1">
        <v>36757522</v>
      </c>
      <c r="F202" s="1" t="s">
        <v>271</v>
      </c>
      <c r="G202" s="1" t="s">
        <v>9</v>
      </c>
    </row>
    <row r="203" spans="1:7" ht="14.25" customHeight="1" x14ac:dyDescent="0.25">
      <c r="A203" s="13">
        <v>45489</v>
      </c>
      <c r="B203" s="1">
        <v>2024001101</v>
      </c>
      <c r="C203" s="1" t="s">
        <v>274</v>
      </c>
      <c r="D203" s="5">
        <v>4850600</v>
      </c>
      <c r="E203" s="1">
        <v>1085321578</v>
      </c>
      <c r="F203" s="1" t="s">
        <v>275</v>
      </c>
      <c r="G203" s="1" t="s">
        <v>9</v>
      </c>
    </row>
    <row r="204" spans="1:7" ht="14.25" customHeight="1" x14ac:dyDescent="0.25">
      <c r="A204" s="13">
        <v>45489</v>
      </c>
      <c r="B204" s="1">
        <v>2024001102</v>
      </c>
      <c r="C204" s="1" t="s">
        <v>248</v>
      </c>
      <c r="D204" s="5">
        <v>4750000</v>
      </c>
      <c r="E204" s="1">
        <v>1085330309</v>
      </c>
      <c r="F204" s="1" t="s">
        <v>249</v>
      </c>
      <c r="G204" s="1" t="s">
        <v>9</v>
      </c>
    </row>
    <row r="205" spans="1:7" ht="14.25" customHeight="1" x14ac:dyDescent="0.25">
      <c r="A205" s="13">
        <v>45490</v>
      </c>
      <c r="B205" s="1">
        <v>2024001134</v>
      </c>
      <c r="C205" s="1" t="s">
        <v>332</v>
      </c>
      <c r="D205" s="5">
        <v>4825600</v>
      </c>
      <c r="E205" s="1">
        <v>1085269530</v>
      </c>
      <c r="F205" s="1" t="s">
        <v>333</v>
      </c>
      <c r="G205" s="1" t="s">
        <v>9</v>
      </c>
    </row>
    <row r="206" spans="1:7" ht="14.25" customHeight="1" x14ac:dyDescent="0.25">
      <c r="A206" s="13">
        <v>45490</v>
      </c>
      <c r="B206" s="1">
        <v>2024001135</v>
      </c>
      <c r="C206" s="1" t="s">
        <v>170</v>
      </c>
      <c r="D206" s="5">
        <v>2000000</v>
      </c>
      <c r="E206" s="1">
        <v>69028150</v>
      </c>
      <c r="F206" s="1" t="s">
        <v>171</v>
      </c>
      <c r="G206" s="1" t="s">
        <v>9</v>
      </c>
    </row>
    <row r="207" spans="1:7" ht="14.25" customHeight="1" x14ac:dyDescent="0.25">
      <c r="A207" s="13">
        <v>45490</v>
      </c>
      <c r="B207" s="1">
        <v>2024001136</v>
      </c>
      <c r="C207" s="1" t="s">
        <v>214</v>
      </c>
      <c r="D207" s="5">
        <v>2000000</v>
      </c>
      <c r="E207" s="1">
        <v>1085327677</v>
      </c>
      <c r="F207" s="1" t="s">
        <v>215</v>
      </c>
      <c r="G207" s="1" t="s">
        <v>9</v>
      </c>
    </row>
    <row r="208" spans="1:7" ht="14.25" customHeight="1" x14ac:dyDescent="0.25">
      <c r="A208" s="13">
        <v>45490</v>
      </c>
      <c r="B208" s="1">
        <v>2024001137</v>
      </c>
      <c r="C208" s="1" t="s">
        <v>196</v>
      </c>
      <c r="D208" s="5">
        <v>2000000</v>
      </c>
      <c r="E208" s="1">
        <v>1089243630</v>
      </c>
      <c r="F208" s="1" t="s">
        <v>197</v>
      </c>
      <c r="G208" s="1" t="s">
        <v>9</v>
      </c>
    </row>
    <row r="209" spans="1:7" ht="14.25" customHeight="1" x14ac:dyDescent="0.25">
      <c r="A209" s="13">
        <v>45490</v>
      </c>
      <c r="B209" s="1">
        <v>2024001151</v>
      </c>
      <c r="C209" s="1" t="s">
        <v>222</v>
      </c>
      <c r="D209" s="5">
        <v>4750000</v>
      </c>
      <c r="E209" s="1">
        <v>87060703</v>
      </c>
      <c r="F209" s="1" t="s">
        <v>223</v>
      </c>
      <c r="G209" s="1" t="s">
        <v>9</v>
      </c>
    </row>
    <row r="210" spans="1:7" ht="14.25" customHeight="1" x14ac:dyDescent="0.25">
      <c r="A210" s="13">
        <v>45490</v>
      </c>
      <c r="B210" s="1">
        <v>2024001152</v>
      </c>
      <c r="C210" s="1" t="s">
        <v>334</v>
      </c>
      <c r="D210" s="5">
        <v>2000000</v>
      </c>
      <c r="E210" s="1">
        <v>1085261053</v>
      </c>
      <c r="F210" s="1" t="s">
        <v>335</v>
      </c>
      <c r="G210" s="1" t="s">
        <v>9</v>
      </c>
    </row>
    <row r="211" spans="1:7" ht="14.25" customHeight="1" x14ac:dyDescent="0.25">
      <c r="A211" s="13">
        <v>45491</v>
      </c>
      <c r="B211" s="1">
        <v>2024001154</v>
      </c>
      <c r="C211" s="1" t="s">
        <v>268</v>
      </c>
      <c r="D211" s="5">
        <v>64529001</v>
      </c>
      <c r="E211" s="1">
        <v>900994364</v>
      </c>
      <c r="F211" s="1" t="s">
        <v>269</v>
      </c>
      <c r="G211" s="1" t="s">
        <v>9</v>
      </c>
    </row>
    <row r="212" spans="1:7" ht="14.25" customHeight="1" x14ac:dyDescent="0.25">
      <c r="A212" s="13">
        <v>45491</v>
      </c>
      <c r="B212" s="1">
        <v>2024001155</v>
      </c>
      <c r="C212" s="1" t="s">
        <v>104</v>
      </c>
      <c r="D212" s="5">
        <v>4750000</v>
      </c>
      <c r="E212" s="1">
        <v>1085303067</v>
      </c>
      <c r="F212" s="1" t="s">
        <v>105</v>
      </c>
      <c r="G212" s="1" t="s">
        <v>9</v>
      </c>
    </row>
    <row r="213" spans="1:7" ht="14.25" customHeight="1" x14ac:dyDescent="0.25">
      <c r="A213" s="13">
        <v>45491</v>
      </c>
      <c r="B213" s="1">
        <v>2024001156</v>
      </c>
      <c r="C213" s="1" t="s">
        <v>190</v>
      </c>
      <c r="D213" s="5">
        <v>2000000</v>
      </c>
      <c r="E213" s="1">
        <v>1193218691</v>
      </c>
      <c r="F213" s="1" t="s">
        <v>191</v>
      </c>
      <c r="G213" s="1" t="s">
        <v>9</v>
      </c>
    </row>
    <row r="214" spans="1:7" ht="14.25" customHeight="1" x14ac:dyDescent="0.25">
      <c r="A214" s="13">
        <v>45491</v>
      </c>
      <c r="B214" s="1">
        <v>2024001157</v>
      </c>
      <c r="C214" s="1" t="s">
        <v>194</v>
      </c>
      <c r="D214" s="5">
        <v>2000000</v>
      </c>
      <c r="E214" s="1">
        <v>1085316191</v>
      </c>
      <c r="F214" s="1" t="s">
        <v>195</v>
      </c>
      <c r="G214" s="1" t="s">
        <v>9</v>
      </c>
    </row>
    <row r="215" spans="1:7" ht="14.25" customHeight="1" x14ac:dyDescent="0.25">
      <c r="A215" s="13">
        <v>45491</v>
      </c>
      <c r="B215" s="1">
        <v>2024001158</v>
      </c>
      <c r="C215" s="1" t="s">
        <v>202</v>
      </c>
      <c r="D215" s="5">
        <v>2000000</v>
      </c>
      <c r="E215" s="1">
        <v>27211504</v>
      </c>
      <c r="F215" s="1" t="s">
        <v>203</v>
      </c>
      <c r="G215" s="1" t="s">
        <v>9</v>
      </c>
    </row>
    <row r="216" spans="1:7" ht="14.25" customHeight="1" x14ac:dyDescent="0.25">
      <c r="A216" s="13">
        <v>45491</v>
      </c>
      <c r="B216" s="1">
        <v>2024001160</v>
      </c>
      <c r="C216" s="1" t="s">
        <v>14</v>
      </c>
      <c r="D216" s="5">
        <v>4825600</v>
      </c>
      <c r="E216" s="1">
        <v>1085338534</v>
      </c>
      <c r="F216" s="1" t="s">
        <v>15</v>
      </c>
      <c r="G216" s="1" t="s">
        <v>9</v>
      </c>
    </row>
    <row r="217" spans="1:7" ht="14.25" customHeight="1" x14ac:dyDescent="0.25">
      <c r="A217" s="13">
        <v>45491</v>
      </c>
      <c r="B217" s="1">
        <v>2024001161</v>
      </c>
      <c r="C217" s="1" t="s">
        <v>180</v>
      </c>
      <c r="D217" s="5">
        <v>2000000</v>
      </c>
      <c r="E217" s="1">
        <v>59828916</v>
      </c>
      <c r="F217" s="1" t="s">
        <v>181</v>
      </c>
      <c r="G217" s="1" t="s">
        <v>9</v>
      </c>
    </row>
    <row r="218" spans="1:7" ht="14.25" customHeight="1" x14ac:dyDescent="0.25">
      <c r="A218" s="13">
        <v>45492</v>
      </c>
      <c r="B218" s="1">
        <v>2024001163</v>
      </c>
      <c r="C218" s="1" t="s">
        <v>350</v>
      </c>
      <c r="D218" s="5">
        <v>4750000</v>
      </c>
      <c r="E218" s="1">
        <v>1233192618</v>
      </c>
      <c r="F218" s="1" t="s">
        <v>351</v>
      </c>
      <c r="G218" s="1" t="s">
        <v>9</v>
      </c>
    </row>
    <row r="219" spans="1:7" ht="14.25" customHeight="1" x14ac:dyDescent="0.25">
      <c r="A219" s="13">
        <v>45495</v>
      </c>
      <c r="B219" s="1">
        <v>2024001167</v>
      </c>
      <c r="C219" s="1" t="s">
        <v>390</v>
      </c>
      <c r="D219" s="5">
        <v>4750000</v>
      </c>
      <c r="E219" s="1">
        <v>36953206</v>
      </c>
      <c r="F219" s="1" t="s">
        <v>391</v>
      </c>
      <c r="G219" s="1" t="s">
        <v>9</v>
      </c>
    </row>
    <row r="220" spans="1:7" ht="14.25" customHeight="1" x14ac:dyDescent="0.25">
      <c r="A220" s="13">
        <v>45495</v>
      </c>
      <c r="B220" s="1">
        <v>2024001168</v>
      </c>
      <c r="C220" s="1" t="s">
        <v>378</v>
      </c>
      <c r="D220" s="5">
        <v>7500000</v>
      </c>
      <c r="E220" s="1">
        <v>1085332934</v>
      </c>
      <c r="F220" s="1" t="s">
        <v>379</v>
      </c>
      <c r="G220" s="1" t="s">
        <v>9</v>
      </c>
    </row>
    <row r="221" spans="1:7" ht="14.25" customHeight="1" x14ac:dyDescent="0.25">
      <c r="A221" s="13">
        <v>45495</v>
      </c>
      <c r="B221" s="1">
        <v>2024001169</v>
      </c>
      <c r="C221" s="1" t="s">
        <v>218</v>
      </c>
      <c r="D221" s="5">
        <v>2000000</v>
      </c>
      <c r="E221" s="1">
        <v>1010113730</v>
      </c>
      <c r="F221" s="1" t="s">
        <v>219</v>
      </c>
      <c r="G221" s="1" t="s">
        <v>9</v>
      </c>
    </row>
    <row r="222" spans="1:7" ht="14.25" customHeight="1" x14ac:dyDescent="0.25">
      <c r="A222" s="13">
        <v>45495</v>
      </c>
      <c r="B222" s="1">
        <v>2024001170</v>
      </c>
      <c r="C222" s="1" t="s">
        <v>212</v>
      </c>
      <c r="D222" s="5">
        <v>2000000</v>
      </c>
      <c r="E222" s="1">
        <v>5930737</v>
      </c>
      <c r="F222" s="1" t="s">
        <v>213</v>
      </c>
      <c r="G222" s="1" t="s">
        <v>9</v>
      </c>
    </row>
    <row r="223" spans="1:7" ht="14.25" customHeight="1" x14ac:dyDescent="0.25">
      <c r="A223" s="13">
        <v>45495</v>
      </c>
      <c r="B223" s="1">
        <v>2024001171</v>
      </c>
      <c r="C223" s="1" t="s">
        <v>240</v>
      </c>
      <c r="D223" s="5">
        <v>4825600</v>
      </c>
      <c r="E223" s="1">
        <v>1085289739</v>
      </c>
      <c r="F223" s="1" t="s">
        <v>241</v>
      </c>
      <c r="G223" s="1" t="s">
        <v>9</v>
      </c>
    </row>
    <row r="224" spans="1:7" ht="14.25" customHeight="1" x14ac:dyDescent="0.25">
      <c r="A224" s="13">
        <v>45496</v>
      </c>
      <c r="B224" s="1">
        <v>2024001177</v>
      </c>
      <c r="C224" s="1" t="s">
        <v>320</v>
      </c>
      <c r="D224" s="5">
        <v>2000000</v>
      </c>
      <c r="E224" s="1">
        <v>1085347540</v>
      </c>
      <c r="F224" s="1" t="s">
        <v>321</v>
      </c>
      <c r="G224" s="1" t="s">
        <v>9</v>
      </c>
    </row>
    <row r="225" spans="1:7" ht="14.25" customHeight="1" x14ac:dyDescent="0.25">
      <c r="A225" s="13">
        <v>45496</v>
      </c>
      <c r="B225" s="1">
        <v>2024001178</v>
      </c>
      <c r="C225" s="1" t="s">
        <v>358</v>
      </c>
      <c r="D225" s="5">
        <v>7500000</v>
      </c>
      <c r="E225" s="1">
        <v>1085345430</v>
      </c>
      <c r="F225" s="1" t="s">
        <v>359</v>
      </c>
      <c r="G225" s="1" t="s">
        <v>9</v>
      </c>
    </row>
    <row r="226" spans="1:7" ht="14.25" customHeight="1" x14ac:dyDescent="0.25">
      <c r="A226" s="13">
        <v>45496</v>
      </c>
      <c r="B226" s="1">
        <v>2024001179</v>
      </c>
      <c r="C226" s="1" t="s">
        <v>242</v>
      </c>
      <c r="D226" s="5">
        <v>2000000</v>
      </c>
      <c r="E226" s="1">
        <v>1137624011</v>
      </c>
      <c r="F226" s="1" t="s">
        <v>243</v>
      </c>
      <c r="G226" s="1" t="s">
        <v>9</v>
      </c>
    </row>
    <row r="227" spans="1:7" ht="14.25" customHeight="1" x14ac:dyDescent="0.25">
      <c r="A227" s="13">
        <v>45496</v>
      </c>
      <c r="B227" s="1">
        <v>2024001184</v>
      </c>
      <c r="C227" s="1" t="s">
        <v>392</v>
      </c>
      <c r="D227" s="5">
        <v>7500000</v>
      </c>
      <c r="E227" s="1">
        <v>1085320661</v>
      </c>
      <c r="F227" s="1" t="s">
        <v>393</v>
      </c>
      <c r="G227" s="1" t="s">
        <v>9</v>
      </c>
    </row>
    <row r="228" spans="1:7" ht="14.25" customHeight="1" x14ac:dyDescent="0.25">
      <c r="A228" s="13">
        <v>45496</v>
      </c>
      <c r="B228" s="1">
        <v>2024001186</v>
      </c>
      <c r="C228" s="1" t="s">
        <v>296</v>
      </c>
      <c r="D228" s="5">
        <v>2000000</v>
      </c>
      <c r="E228" s="1">
        <v>59830040</v>
      </c>
      <c r="F228" s="1" t="s">
        <v>297</v>
      </c>
      <c r="G228" s="1" t="s">
        <v>9</v>
      </c>
    </row>
    <row r="229" spans="1:7" ht="14.25" customHeight="1" x14ac:dyDescent="0.25">
      <c r="A229" s="13">
        <v>45497</v>
      </c>
      <c r="B229" s="1">
        <v>2024001193</v>
      </c>
      <c r="C229" s="1" t="s">
        <v>416</v>
      </c>
      <c r="D229" s="5">
        <v>2000000</v>
      </c>
      <c r="E229" s="1">
        <v>1085302942</v>
      </c>
      <c r="F229" s="1" t="s">
        <v>417</v>
      </c>
      <c r="G229" s="1" t="s">
        <v>9</v>
      </c>
    </row>
    <row r="230" spans="1:7" ht="14.25" customHeight="1" x14ac:dyDescent="0.25">
      <c r="A230" s="13">
        <v>45497</v>
      </c>
      <c r="B230" s="1">
        <v>2024001194</v>
      </c>
      <c r="C230" s="1" t="s">
        <v>396</v>
      </c>
      <c r="D230" s="5">
        <v>2000000</v>
      </c>
      <c r="E230" s="1">
        <v>1004635031</v>
      </c>
      <c r="F230" s="1" t="s">
        <v>397</v>
      </c>
      <c r="G230" s="1" t="s">
        <v>9</v>
      </c>
    </row>
    <row r="231" spans="1:7" ht="14.25" customHeight="1" x14ac:dyDescent="0.25">
      <c r="A231" s="13">
        <v>45497</v>
      </c>
      <c r="B231" s="1">
        <v>2024001195</v>
      </c>
      <c r="C231" s="1" t="s">
        <v>246</v>
      </c>
      <c r="D231" s="5">
        <v>4825600</v>
      </c>
      <c r="E231" s="1">
        <v>1085267184</v>
      </c>
      <c r="F231" s="1" t="s">
        <v>247</v>
      </c>
      <c r="G231" s="1" t="s">
        <v>9</v>
      </c>
    </row>
    <row r="232" spans="1:7" ht="14.25" customHeight="1" x14ac:dyDescent="0.25">
      <c r="A232" s="13">
        <v>45498</v>
      </c>
      <c r="B232" s="1">
        <v>2024001210</v>
      </c>
      <c r="C232" s="1" t="s">
        <v>262</v>
      </c>
      <c r="D232" s="5">
        <v>2000000</v>
      </c>
      <c r="E232" s="1">
        <v>36752202</v>
      </c>
      <c r="F232" s="1" t="s">
        <v>263</v>
      </c>
      <c r="G232" s="1" t="s">
        <v>9</v>
      </c>
    </row>
    <row r="233" spans="1:7" ht="14.25" customHeight="1" x14ac:dyDescent="0.25">
      <c r="A233" s="13">
        <v>45502</v>
      </c>
      <c r="B233" s="1">
        <v>2024001279</v>
      </c>
      <c r="C233" s="1" t="s">
        <v>376</v>
      </c>
      <c r="D233" s="5">
        <v>4825600</v>
      </c>
      <c r="E233" s="1">
        <v>37082349</v>
      </c>
      <c r="F233" s="1" t="s">
        <v>377</v>
      </c>
      <c r="G233" s="1" t="s">
        <v>9</v>
      </c>
    </row>
    <row r="234" spans="1:7" ht="14.25" customHeight="1" x14ac:dyDescent="0.25">
      <c r="A234" s="13">
        <v>45502</v>
      </c>
      <c r="B234" s="1">
        <v>2024001280</v>
      </c>
      <c r="C234" s="1" t="s">
        <v>428</v>
      </c>
      <c r="D234" s="5">
        <v>4750000</v>
      </c>
      <c r="E234" s="1">
        <v>1085260497</v>
      </c>
      <c r="F234" s="1" t="s">
        <v>429</v>
      </c>
      <c r="G234" s="1" t="s">
        <v>9</v>
      </c>
    </row>
    <row r="235" spans="1:7" ht="14.25" customHeight="1" x14ac:dyDescent="0.25">
      <c r="A235" s="13">
        <v>45502</v>
      </c>
      <c r="B235" s="1">
        <v>2024001281</v>
      </c>
      <c r="C235" s="1" t="s">
        <v>386</v>
      </c>
      <c r="D235" s="5">
        <v>2000000</v>
      </c>
      <c r="E235" s="1">
        <v>1030606749</v>
      </c>
      <c r="F235" s="1" t="s">
        <v>387</v>
      </c>
      <c r="G235" s="1" t="s">
        <v>9</v>
      </c>
    </row>
    <row r="236" spans="1:7" ht="14.25" customHeight="1" x14ac:dyDescent="0.25">
      <c r="A236" s="13">
        <v>45502</v>
      </c>
      <c r="B236" s="1">
        <v>2024001282</v>
      </c>
      <c r="C236" s="1" t="s">
        <v>414</v>
      </c>
      <c r="D236" s="5">
        <v>4750000</v>
      </c>
      <c r="E236" s="1">
        <v>59816986</v>
      </c>
      <c r="F236" s="1" t="s">
        <v>415</v>
      </c>
      <c r="G236" s="1" t="s">
        <v>9</v>
      </c>
    </row>
    <row r="237" spans="1:7" ht="14.25" customHeight="1" x14ac:dyDescent="0.25">
      <c r="A237" s="13">
        <v>45502</v>
      </c>
      <c r="B237" s="1">
        <v>2024001283</v>
      </c>
      <c r="C237" s="1" t="s">
        <v>352</v>
      </c>
      <c r="D237" s="5">
        <v>2000000</v>
      </c>
      <c r="E237" s="1">
        <v>1081592303</v>
      </c>
      <c r="F237" s="1" t="s">
        <v>353</v>
      </c>
      <c r="G237" s="1" t="s">
        <v>9</v>
      </c>
    </row>
    <row r="238" spans="1:7" ht="14.25" customHeight="1" x14ac:dyDescent="0.25">
      <c r="A238" s="13">
        <v>45502</v>
      </c>
      <c r="B238" s="1">
        <v>2024001284</v>
      </c>
      <c r="C238" s="1" t="s">
        <v>24</v>
      </c>
      <c r="D238" s="5">
        <v>6000000</v>
      </c>
      <c r="E238" s="1">
        <v>37013610</v>
      </c>
      <c r="F238" s="1" t="s">
        <v>25</v>
      </c>
      <c r="G238" s="1" t="s">
        <v>9</v>
      </c>
    </row>
    <row r="239" spans="1:7" ht="14.25" customHeight="1" x14ac:dyDescent="0.25">
      <c r="A239" s="13">
        <v>45502</v>
      </c>
      <c r="B239" s="1">
        <v>2024001285</v>
      </c>
      <c r="C239" s="1" t="s">
        <v>102</v>
      </c>
      <c r="D239" s="5">
        <v>2000000</v>
      </c>
      <c r="E239" s="1">
        <v>59813323</v>
      </c>
      <c r="F239" s="1" t="s">
        <v>103</v>
      </c>
      <c r="G239" s="1" t="s">
        <v>9</v>
      </c>
    </row>
    <row r="240" spans="1:7" ht="14.25" customHeight="1" x14ac:dyDescent="0.25">
      <c r="A240" s="13">
        <v>45502</v>
      </c>
      <c r="B240" s="1">
        <v>2024001286</v>
      </c>
      <c r="C240" s="1" t="s">
        <v>360</v>
      </c>
      <c r="D240" s="5">
        <v>7500000</v>
      </c>
      <c r="E240" s="1">
        <v>7603662</v>
      </c>
      <c r="F240" s="1" t="s">
        <v>361</v>
      </c>
      <c r="G240" s="1" t="s">
        <v>9</v>
      </c>
    </row>
    <row r="241" spans="1:7" ht="14.25" customHeight="1" x14ac:dyDescent="0.25">
      <c r="A241" s="13">
        <v>45502</v>
      </c>
      <c r="B241" s="1">
        <v>2024001288</v>
      </c>
      <c r="C241" s="1" t="s">
        <v>366</v>
      </c>
      <c r="D241" s="5">
        <v>2000000</v>
      </c>
      <c r="E241" s="1">
        <v>1004508436</v>
      </c>
      <c r="F241" s="1" t="s">
        <v>367</v>
      </c>
      <c r="G241" s="1" t="s">
        <v>9</v>
      </c>
    </row>
    <row r="242" spans="1:7" ht="14.25" customHeight="1" x14ac:dyDescent="0.25">
      <c r="A242" s="13">
        <v>45502</v>
      </c>
      <c r="B242" s="1">
        <v>2024001289</v>
      </c>
      <c r="C242" s="1" t="s">
        <v>96</v>
      </c>
      <c r="D242" s="5">
        <v>2000000</v>
      </c>
      <c r="E242" s="1">
        <v>59178610</v>
      </c>
      <c r="F242" s="1" t="s">
        <v>97</v>
      </c>
      <c r="G242" s="1" t="s">
        <v>9</v>
      </c>
    </row>
    <row r="243" spans="1:7" ht="14.25" customHeight="1" x14ac:dyDescent="0.25">
      <c r="A243" s="13">
        <v>45502</v>
      </c>
      <c r="B243" s="1">
        <v>2024001290</v>
      </c>
      <c r="C243" s="1" t="s">
        <v>10</v>
      </c>
      <c r="D243" s="5">
        <v>2000000</v>
      </c>
      <c r="E243" s="1">
        <v>1085317833</v>
      </c>
      <c r="F243" s="1" t="s">
        <v>11</v>
      </c>
      <c r="G243" s="1" t="s">
        <v>9</v>
      </c>
    </row>
    <row r="244" spans="1:7" ht="14.25" customHeight="1" x14ac:dyDescent="0.25">
      <c r="A244" s="13">
        <v>45502</v>
      </c>
      <c r="B244" s="1">
        <v>2024001291</v>
      </c>
      <c r="C244" s="1" t="s">
        <v>336</v>
      </c>
      <c r="D244" s="5">
        <v>6000000</v>
      </c>
      <c r="E244" s="1">
        <v>1010010954</v>
      </c>
      <c r="F244" s="1" t="s">
        <v>337</v>
      </c>
      <c r="G244" s="1" t="s">
        <v>9</v>
      </c>
    </row>
    <row r="245" spans="1:7" ht="14.25" customHeight="1" x14ac:dyDescent="0.25">
      <c r="A245" s="13">
        <v>45502</v>
      </c>
      <c r="B245" s="1">
        <v>2024001292</v>
      </c>
      <c r="C245" s="1" t="s">
        <v>380</v>
      </c>
      <c r="D245" s="5">
        <v>2000000</v>
      </c>
      <c r="E245" s="1">
        <v>1085324107</v>
      </c>
      <c r="F245" s="1" t="s">
        <v>381</v>
      </c>
      <c r="G245" s="1" t="s">
        <v>9</v>
      </c>
    </row>
    <row r="246" spans="1:7" ht="14.25" customHeight="1" x14ac:dyDescent="0.25">
      <c r="A246" s="13">
        <v>45502</v>
      </c>
      <c r="B246" s="1">
        <v>2024001293</v>
      </c>
      <c r="C246" s="1" t="s">
        <v>380</v>
      </c>
      <c r="D246" s="5">
        <v>2000000</v>
      </c>
      <c r="E246" s="1">
        <v>1085324107</v>
      </c>
      <c r="F246" s="1" t="s">
        <v>381</v>
      </c>
      <c r="G246" s="1" t="s">
        <v>9</v>
      </c>
    </row>
    <row r="247" spans="1:7" ht="14.25" customHeight="1" x14ac:dyDescent="0.25">
      <c r="A247" s="13">
        <v>45503</v>
      </c>
      <c r="B247" s="1">
        <v>2024001301</v>
      </c>
      <c r="C247" s="1" t="s">
        <v>420</v>
      </c>
      <c r="D247" s="5">
        <v>7500000</v>
      </c>
      <c r="E247" s="1">
        <v>1088599676</v>
      </c>
      <c r="F247" s="1" t="s">
        <v>421</v>
      </c>
      <c r="G247" s="1" t="s">
        <v>9</v>
      </c>
    </row>
    <row r="248" spans="1:7" ht="14.25" customHeight="1" x14ac:dyDescent="0.25">
      <c r="A248" s="13">
        <v>45503</v>
      </c>
      <c r="B248" s="1">
        <v>2024001302</v>
      </c>
      <c r="C248" s="1" t="s">
        <v>408</v>
      </c>
      <c r="D248" s="5">
        <v>2000000</v>
      </c>
      <c r="E248" s="1">
        <v>1193224810</v>
      </c>
      <c r="F248" s="1" t="s">
        <v>409</v>
      </c>
      <c r="G248" s="1" t="s">
        <v>9</v>
      </c>
    </row>
    <row r="249" spans="1:7" ht="14.25" customHeight="1" x14ac:dyDescent="0.25">
      <c r="A249" s="13">
        <v>45503</v>
      </c>
      <c r="B249" s="1">
        <v>2024001303</v>
      </c>
      <c r="C249" s="1" t="s">
        <v>294</v>
      </c>
      <c r="D249" s="5">
        <v>4825600</v>
      </c>
      <c r="E249" s="1">
        <v>1088730712</v>
      </c>
      <c r="F249" s="1" t="s">
        <v>295</v>
      </c>
      <c r="G249" s="1" t="s">
        <v>9</v>
      </c>
    </row>
    <row r="250" spans="1:7" ht="14.25" customHeight="1" x14ac:dyDescent="0.25">
      <c r="A250" s="13">
        <v>45503</v>
      </c>
      <c r="B250" s="1">
        <v>2024001304</v>
      </c>
      <c r="C250" s="1" t="s">
        <v>298</v>
      </c>
      <c r="D250" s="5">
        <v>4825600</v>
      </c>
      <c r="E250" s="1">
        <v>12983807</v>
      </c>
      <c r="F250" s="1" t="s">
        <v>299</v>
      </c>
      <c r="G250" s="1" t="s">
        <v>9</v>
      </c>
    </row>
    <row r="251" spans="1:7" ht="14.25" customHeight="1" x14ac:dyDescent="0.25">
      <c r="A251" s="13">
        <v>45503</v>
      </c>
      <c r="B251" s="1">
        <v>2024001305</v>
      </c>
      <c r="C251" s="1" t="s">
        <v>348</v>
      </c>
      <c r="D251" s="5">
        <v>2000000</v>
      </c>
      <c r="E251" s="1">
        <v>27285974</v>
      </c>
      <c r="F251" s="1" t="s">
        <v>349</v>
      </c>
      <c r="G251" s="1" t="s">
        <v>9</v>
      </c>
    </row>
    <row r="252" spans="1:7" ht="14.25" customHeight="1" x14ac:dyDescent="0.25">
      <c r="A252" s="13">
        <v>45503</v>
      </c>
      <c r="B252" s="1">
        <v>2024001306</v>
      </c>
      <c r="C252" s="1" t="s">
        <v>426</v>
      </c>
      <c r="D252" s="5">
        <v>2000000</v>
      </c>
      <c r="E252" s="1">
        <v>1085318688</v>
      </c>
      <c r="F252" s="1" t="s">
        <v>427</v>
      </c>
      <c r="G252" s="1" t="s">
        <v>9</v>
      </c>
    </row>
    <row r="253" spans="1:7" ht="14.25" customHeight="1" x14ac:dyDescent="0.25">
      <c r="A253" s="13">
        <v>45504</v>
      </c>
      <c r="B253" s="1">
        <v>2024001307</v>
      </c>
      <c r="C253" s="1" t="s">
        <v>244</v>
      </c>
      <c r="D253" s="5">
        <v>4825600</v>
      </c>
      <c r="E253" s="1">
        <v>30732782</v>
      </c>
      <c r="F253" s="1" t="s">
        <v>245</v>
      </c>
      <c r="G253" s="1" t="s">
        <v>9</v>
      </c>
    </row>
    <row r="254" spans="1:7" ht="14.25" customHeight="1" x14ac:dyDescent="0.25">
      <c r="A254" s="13">
        <v>45504</v>
      </c>
      <c r="B254" s="1">
        <v>2024001308</v>
      </c>
      <c r="C254" s="1" t="s">
        <v>418</v>
      </c>
      <c r="D254" s="5">
        <v>2000000</v>
      </c>
      <c r="E254" s="1">
        <v>1085260568</v>
      </c>
      <c r="F254" s="1" t="s">
        <v>419</v>
      </c>
      <c r="G254" s="1" t="s">
        <v>9</v>
      </c>
    </row>
    <row r="255" spans="1:7" ht="14.25" customHeight="1" x14ac:dyDescent="0.25">
      <c r="A255" s="13">
        <v>45504</v>
      </c>
      <c r="B255" s="1">
        <v>2024001309</v>
      </c>
      <c r="C255" s="1" t="s">
        <v>402</v>
      </c>
      <c r="D255" s="5">
        <v>2000000</v>
      </c>
      <c r="E255" s="1">
        <v>1004410201</v>
      </c>
      <c r="F255" s="1" t="s">
        <v>403</v>
      </c>
      <c r="G255" s="1" t="s">
        <v>9</v>
      </c>
    </row>
    <row r="256" spans="1:7" ht="14.25" customHeight="1" x14ac:dyDescent="0.25">
      <c r="A256" s="13">
        <v>45504</v>
      </c>
      <c r="B256" s="1">
        <v>2024001310</v>
      </c>
      <c r="C256" s="1" t="s">
        <v>404</v>
      </c>
      <c r="D256" s="5">
        <v>2000000</v>
      </c>
      <c r="E256" s="1">
        <v>1085288636</v>
      </c>
      <c r="F256" s="1" t="s">
        <v>405</v>
      </c>
      <c r="G256" s="1" t="s">
        <v>9</v>
      </c>
    </row>
    <row r="257" spans="1:7" ht="14.25" customHeight="1" x14ac:dyDescent="0.25">
      <c r="A257" s="13">
        <v>45504</v>
      </c>
      <c r="B257" s="1">
        <v>2024001311</v>
      </c>
      <c r="C257" s="1" t="s">
        <v>394</v>
      </c>
      <c r="D257" s="5">
        <v>2000000</v>
      </c>
      <c r="E257" s="1">
        <v>59837416</v>
      </c>
      <c r="F257" s="1" t="s">
        <v>395</v>
      </c>
      <c r="G257" s="1" t="s">
        <v>9</v>
      </c>
    </row>
    <row r="258" spans="1:7" ht="14.25" customHeight="1" x14ac:dyDescent="0.25">
      <c r="A258" s="13">
        <v>45504</v>
      </c>
      <c r="B258" s="1">
        <v>2024001315</v>
      </c>
      <c r="C258" s="1" t="s">
        <v>364</v>
      </c>
      <c r="D258" s="5">
        <v>2000000</v>
      </c>
      <c r="E258" s="1">
        <v>1004726758</v>
      </c>
      <c r="F258" s="1" t="s">
        <v>365</v>
      </c>
      <c r="G258" s="1" t="s">
        <v>9</v>
      </c>
    </row>
    <row r="259" spans="1:7" ht="14.25" customHeight="1" x14ac:dyDescent="0.25">
      <c r="A259" s="13">
        <v>45504</v>
      </c>
      <c r="B259" s="1">
        <v>2024001316</v>
      </c>
      <c r="C259" s="1" t="s">
        <v>342</v>
      </c>
      <c r="D259" s="5">
        <v>6000000</v>
      </c>
      <c r="E259" s="1">
        <v>36954410</v>
      </c>
      <c r="F259" s="1" t="s">
        <v>343</v>
      </c>
      <c r="G259" s="1" t="s">
        <v>9</v>
      </c>
    </row>
    <row r="260" spans="1:7" ht="14.25" customHeight="1" x14ac:dyDescent="0.25">
      <c r="A260" s="13">
        <v>45504</v>
      </c>
      <c r="B260" s="1">
        <v>2024001317</v>
      </c>
      <c r="C260" s="1" t="s">
        <v>354</v>
      </c>
      <c r="D260" s="5">
        <v>4750000</v>
      </c>
      <c r="E260" s="1">
        <v>1085318684</v>
      </c>
      <c r="F260" s="1" t="s">
        <v>355</v>
      </c>
      <c r="G260" s="1" t="s">
        <v>9</v>
      </c>
    </row>
    <row r="261" spans="1:7" ht="14.25" customHeight="1" x14ac:dyDescent="0.25">
      <c r="A261" s="13">
        <v>45505</v>
      </c>
      <c r="B261" s="1">
        <v>2024001318</v>
      </c>
      <c r="C261" s="1" t="s">
        <v>24</v>
      </c>
      <c r="D261" s="5">
        <v>6000000</v>
      </c>
      <c r="E261" s="1">
        <v>37013610</v>
      </c>
      <c r="F261" s="1" t="s">
        <v>25</v>
      </c>
      <c r="G261" s="1" t="s">
        <v>9</v>
      </c>
    </row>
    <row r="262" spans="1:7" ht="14.25" customHeight="1" x14ac:dyDescent="0.25">
      <c r="A262" s="13">
        <v>45505</v>
      </c>
      <c r="B262" s="1">
        <v>2024001319</v>
      </c>
      <c r="C262" s="1" t="s">
        <v>26</v>
      </c>
      <c r="D262" s="5">
        <v>6000000</v>
      </c>
      <c r="E262" s="1">
        <v>1085292185</v>
      </c>
      <c r="F262" s="1" t="s">
        <v>27</v>
      </c>
      <c r="G262" s="1" t="s">
        <v>9</v>
      </c>
    </row>
    <row r="263" spans="1:7" ht="14.25" customHeight="1" x14ac:dyDescent="0.25">
      <c r="A263" s="13">
        <v>45505</v>
      </c>
      <c r="B263" s="1">
        <v>2024001321</v>
      </c>
      <c r="C263" s="1" t="s">
        <v>28</v>
      </c>
      <c r="D263" s="5">
        <v>4750000</v>
      </c>
      <c r="E263" s="1">
        <v>1085324546</v>
      </c>
      <c r="F263" s="1" t="s">
        <v>29</v>
      </c>
      <c r="G263" s="1" t="s">
        <v>9</v>
      </c>
    </row>
    <row r="264" spans="1:7" ht="14.25" customHeight="1" x14ac:dyDescent="0.25">
      <c r="A264" s="13">
        <v>45505</v>
      </c>
      <c r="B264" s="1">
        <v>2024001322</v>
      </c>
      <c r="C264" s="1" t="s">
        <v>30</v>
      </c>
      <c r="D264" s="5">
        <v>6000000</v>
      </c>
      <c r="E264" s="1">
        <v>1085253062</v>
      </c>
      <c r="F264" s="1" t="s">
        <v>31</v>
      </c>
      <c r="G264" s="1" t="s">
        <v>9</v>
      </c>
    </row>
    <row r="265" spans="1:7" ht="14.25" customHeight="1" x14ac:dyDescent="0.25">
      <c r="A265" s="13">
        <v>45505</v>
      </c>
      <c r="B265" s="1">
        <v>2024001323</v>
      </c>
      <c r="C265" s="1" t="s">
        <v>32</v>
      </c>
      <c r="D265" s="5">
        <v>2000000</v>
      </c>
      <c r="E265" s="1">
        <v>1085252263</v>
      </c>
      <c r="F265" s="1" t="s">
        <v>33</v>
      </c>
      <c r="G265" s="1" t="s">
        <v>9</v>
      </c>
    </row>
    <row r="266" spans="1:7" ht="14.25" customHeight="1" x14ac:dyDescent="0.25">
      <c r="A266" s="13">
        <v>45509</v>
      </c>
      <c r="B266" s="1">
        <v>2024001336</v>
      </c>
      <c r="C266" s="1" t="s">
        <v>34</v>
      </c>
      <c r="D266" s="5">
        <v>2000000</v>
      </c>
      <c r="E266" s="1">
        <v>1085331508</v>
      </c>
      <c r="F266" s="1" t="s">
        <v>35</v>
      </c>
      <c r="G266" s="1" t="s">
        <v>9</v>
      </c>
    </row>
    <row r="267" spans="1:7" ht="14.25" customHeight="1" x14ac:dyDescent="0.25">
      <c r="A267" s="13">
        <v>45509</v>
      </c>
      <c r="B267" s="1">
        <v>2024001337</v>
      </c>
      <c r="C267" s="1" t="s">
        <v>36</v>
      </c>
      <c r="D267" s="5">
        <v>2000000</v>
      </c>
      <c r="E267" s="1">
        <v>27087122</v>
      </c>
      <c r="F267" s="1" t="s">
        <v>37</v>
      </c>
      <c r="G267" s="1" t="s">
        <v>9</v>
      </c>
    </row>
    <row r="268" spans="1:7" ht="14.25" customHeight="1" x14ac:dyDescent="0.25">
      <c r="A268" s="13">
        <v>45509</v>
      </c>
      <c r="B268" s="1">
        <v>2024001338</v>
      </c>
      <c r="C268" s="1" t="s">
        <v>38</v>
      </c>
      <c r="D268" s="5">
        <v>2000000</v>
      </c>
      <c r="E268" s="1">
        <v>1193385397</v>
      </c>
      <c r="F268" s="1" t="s">
        <v>39</v>
      </c>
      <c r="G268" s="1" t="s">
        <v>9</v>
      </c>
    </row>
    <row r="269" spans="1:7" ht="14.25" customHeight="1" x14ac:dyDescent="0.25">
      <c r="A269" s="13">
        <v>45509</v>
      </c>
      <c r="B269" s="1">
        <v>2024001340</v>
      </c>
      <c r="C269" s="1" t="s">
        <v>40</v>
      </c>
      <c r="D269" s="5">
        <v>7500000</v>
      </c>
      <c r="E269" s="1">
        <v>1085336362</v>
      </c>
      <c r="F269" s="1" t="s">
        <v>41</v>
      </c>
      <c r="G269" s="1" t="s">
        <v>9</v>
      </c>
    </row>
    <row r="270" spans="1:7" ht="14.25" customHeight="1" x14ac:dyDescent="0.25">
      <c r="A270" s="13">
        <v>45509</v>
      </c>
      <c r="B270" s="1">
        <v>2024001341</v>
      </c>
      <c r="C270" s="1" t="s">
        <v>42</v>
      </c>
      <c r="D270" s="5">
        <v>7500000</v>
      </c>
      <c r="E270" s="1">
        <v>87065647</v>
      </c>
      <c r="F270" s="1" t="s">
        <v>43</v>
      </c>
      <c r="G270" s="1" t="s">
        <v>9</v>
      </c>
    </row>
    <row r="271" spans="1:7" ht="14.25" customHeight="1" x14ac:dyDescent="0.25">
      <c r="A271" s="13">
        <v>45509</v>
      </c>
      <c r="B271" s="1">
        <v>2024001342</v>
      </c>
      <c r="C271" s="1" t="s">
        <v>44</v>
      </c>
      <c r="D271" s="5">
        <v>2000000</v>
      </c>
      <c r="E271" s="1">
        <v>1007356378</v>
      </c>
      <c r="F271" s="1" t="s">
        <v>45</v>
      </c>
      <c r="G271" s="1" t="s">
        <v>9</v>
      </c>
    </row>
    <row r="272" spans="1:7" ht="14.25" customHeight="1" x14ac:dyDescent="0.25">
      <c r="A272" s="13">
        <v>45509</v>
      </c>
      <c r="B272" s="1">
        <v>2024001343</v>
      </c>
      <c r="C272" s="1" t="s">
        <v>46</v>
      </c>
      <c r="D272" s="5">
        <v>4750000</v>
      </c>
      <c r="E272" s="1">
        <v>1087414586</v>
      </c>
      <c r="F272" s="1" t="s">
        <v>47</v>
      </c>
      <c r="G272" s="1" t="s">
        <v>9</v>
      </c>
    </row>
    <row r="273" spans="1:7" ht="14.25" customHeight="1" x14ac:dyDescent="0.25">
      <c r="A273" s="13">
        <v>45509</v>
      </c>
      <c r="B273" s="1">
        <v>2024001344</v>
      </c>
      <c r="C273" s="1" t="s">
        <v>48</v>
      </c>
      <c r="D273" s="5">
        <v>6000000</v>
      </c>
      <c r="E273" s="1">
        <v>27097289</v>
      </c>
      <c r="F273" s="1" t="s">
        <v>49</v>
      </c>
      <c r="G273" s="1" t="s">
        <v>9</v>
      </c>
    </row>
    <row r="274" spans="1:7" ht="14.25" customHeight="1" x14ac:dyDescent="0.25">
      <c r="A274" s="13">
        <v>45509</v>
      </c>
      <c r="B274" s="1">
        <v>2024001345</v>
      </c>
      <c r="C274" s="1" t="s">
        <v>50</v>
      </c>
      <c r="D274" s="5">
        <v>2000000</v>
      </c>
      <c r="E274" s="1">
        <v>12974849</v>
      </c>
      <c r="F274" s="1" t="s">
        <v>51</v>
      </c>
      <c r="G274" s="1" t="s">
        <v>9</v>
      </c>
    </row>
    <row r="275" spans="1:7" ht="14.25" customHeight="1" x14ac:dyDescent="0.25">
      <c r="A275" s="13">
        <v>45509</v>
      </c>
      <c r="B275" s="1">
        <v>2024001346</v>
      </c>
      <c r="C275" s="1" t="s">
        <v>52</v>
      </c>
      <c r="D275" s="5">
        <v>4825600</v>
      </c>
      <c r="E275" s="1">
        <v>30733517</v>
      </c>
      <c r="F275" s="1" t="s">
        <v>53</v>
      </c>
      <c r="G275" s="1" t="s">
        <v>9</v>
      </c>
    </row>
    <row r="276" spans="1:7" ht="14.25" customHeight="1" x14ac:dyDescent="0.25">
      <c r="A276" s="13">
        <v>45509</v>
      </c>
      <c r="B276" s="1">
        <v>2024001347</v>
      </c>
      <c r="C276" s="1" t="s">
        <v>54</v>
      </c>
      <c r="D276" s="5">
        <v>6000000</v>
      </c>
      <c r="E276" s="1">
        <v>1085246134</v>
      </c>
      <c r="F276" s="1" t="s">
        <v>55</v>
      </c>
      <c r="G276" s="1" t="s">
        <v>9</v>
      </c>
    </row>
    <row r="277" spans="1:7" ht="14.25" customHeight="1" x14ac:dyDescent="0.25">
      <c r="A277" s="13">
        <v>45510</v>
      </c>
      <c r="B277" s="1">
        <v>2024001349</v>
      </c>
      <c r="C277" s="1" t="s">
        <v>56</v>
      </c>
      <c r="D277" s="5">
        <v>4825600</v>
      </c>
      <c r="E277" s="1">
        <v>1193385736</v>
      </c>
      <c r="F277" s="1" t="s">
        <v>57</v>
      </c>
      <c r="G277" s="1" t="s">
        <v>9</v>
      </c>
    </row>
    <row r="278" spans="1:7" ht="14.25" customHeight="1" x14ac:dyDescent="0.25">
      <c r="A278" s="13">
        <v>45510</v>
      </c>
      <c r="B278" s="1">
        <v>2024001357</v>
      </c>
      <c r="C278" s="1" t="s">
        <v>58</v>
      </c>
      <c r="D278" s="5">
        <v>2000000</v>
      </c>
      <c r="E278" s="1">
        <v>1081272025</v>
      </c>
      <c r="F278" s="1" t="s">
        <v>59</v>
      </c>
      <c r="G278" s="1" t="s">
        <v>9</v>
      </c>
    </row>
    <row r="279" spans="1:7" ht="14.25" customHeight="1" x14ac:dyDescent="0.25">
      <c r="A279" s="13">
        <v>45510</v>
      </c>
      <c r="B279" s="1">
        <v>2024001358</v>
      </c>
      <c r="C279" s="1" t="s">
        <v>60</v>
      </c>
      <c r="D279" s="5">
        <v>7500000</v>
      </c>
      <c r="E279" s="1">
        <v>1085321192</v>
      </c>
      <c r="F279" s="1" t="s">
        <v>61</v>
      </c>
      <c r="G279" s="1" t="s">
        <v>9</v>
      </c>
    </row>
    <row r="280" spans="1:7" ht="14.25" customHeight="1" x14ac:dyDescent="0.25">
      <c r="A280" s="13">
        <v>45510</v>
      </c>
      <c r="B280" s="1">
        <v>2024001360</v>
      </c>
      <c r="C280" s="1" t="s">
        <v>62</v>
      </c>
      <c r="D280" s="5">
        <v>7500000</v>
      </c>
      <c r="E280" s="1">
        <v>1006946167</v>
      </c>
      <c r="F280" s="1" t="s">
        <v>63</v>
      </c>
      <c r="G280" s="1" t="s">
        <v>9</v>
      </c>
    </row>
    <row r="281" spans="1:7" ht="14.25" customHeight="1" x14ac:dyDescent="0.25">
      <c r="A281" s="13">
        <v>45512</v>
      </c>
      <c r="B281" s="1">
        <v>2024001364</v>
      </c>
      <c r="C281" s="1" t="s">
        <v>64</v>
      </c>
      <c r="D281" s="5">
        <v>2000000</v>
      </c>
      <c r="E281" s="1">
        <v>59310524</v>
      </c>
      <c r="F281" s="1" t="s">
        <v>65</v>
      </c>
      <c r="G281" s="1" t="s">
        <v>9</v>
      </c>
    </row>
    <row r="282" spans="1:7" ht="14.25" customHeight="1" x14ac:dyDescent="0.25">
      <c r="A282" s="13">
        <v>45512</v>
      </c>
      <c r="B282" s="1">
        <v>2024001365</v>
      </c>
      <c r="C282" s="1" t="s">
        <v>66</v>
      </c>
      <c r="D282" s="5">
        <v>2000000</v>
      </c>
      <c r="E282" s="1">
        <v>1193265360</v>
      </c>
      <c r="F282" s="1" t="s">
        <v>67</v>
      </c>
      <c r="G282" s="1" t="s">
        <v>9</v>
      </c>
    </row>
    <row r="283" spans="1:7" ht="14.25" customHeight="1" x14ac:dyDescent="0.25">
      <c r="A283" s="13">
        <v>45512</v>
      </c>
      <c r="B283" s="1">
        <v>2024001366</v>
      </c>
      <c r="C283" s="1" t="s">
        <v>68</v>
      </c>
      <c r="D283" s="5">
        <v>7500000</v>
      </c>
      <c r="E283" s="1">
        <v>80765093</v>
      </c>
      <c r="F283" s="1" t="s">
        <v>69</v>
      </c>
      <c r="G283" s="1" t="s">
        <v>9</v>
      </c>
    </row>
    <row r="284" spans="1:7" ht="14.25" customHeight="1" x14ac:dyDescent="0.25">
      <c r="A284" s="13">
        <v>45512</v>
      </c>
      <c r="B284" s="1">
        <v>2024001367</v>
      </c>
      <c r="C284" s="1" t="s">
        <v>70</v>
      </c>
      <c r="D284" s="5">
        <v>2000000</v>
      </c>
      <c r="E284" s="1">
        <v>59314601</v>
      </c>
      <c r="F284" s="1" t="s">
        <v>71</v>
      </c>
      <c r="G284" s="1" t="s">
        <v>9</v>
      </c>
    </row>
    <row r="285" spans="1:7" ht="14.25" customHeight="1" x14ac:dyDescent="0.25">
      <c r="A285" s="13">
        <v>45512</v>
      </c>
      <c r="B285" s="1">
        <v>2024001368</v>
      </c>
      <c r="C285" s="1" t="s">
        <v>72</v>
      </c>
      <c r="D285" s="5">
        <v>2000000</v>
      </c>
      <c r="E285" s="1">
        <v>1085323101</v>
      </c>
      <c r="F285" s="1" t="s">
        <v>73</v>
      </c>
      <c r="G285" s="1" t="s">
        <v>9</v>
      </c>
    </row>
    <row r="286" spans="1:7" ht="14.25" customHeight="1" x14ac:dyDescent="0.25">
      <c r="A286" s="13">
        <v>45512</v>
      </c>
      <c r="B286" s="1">
        <v>2024001369</v>
      </c>
      <c r="C286" s="1" t="s">
        <v>74</v>
      </c>
      <c r="D286" s="5">
        <v>2000000</v>
      </c>
      <c r="E286" s="1">
        <v>1085286742</v>
      </c>
      <c r="F286" s="1" t="s">
        <v>75</v>
      </c>
      <c r="G286" s="1" t="s">
        <v>9</v>
      </c>
    </row>
    <row r="287" spans="1:7" ht="14.25" customHeight="1" x14ac:dyDescent="0.25">
      <c r="A287" s="13">
        <v>45512</v>
      </c>
      <c r="B287" s="1">
        <v>2024001370</v>
      </c>
      <c r="C287" s="1" t="s">
        <v>76</v>
      </c>
      <c r="D287" s="5">
        <v>2000000</v>
      </c>
      <c r="E287" s="1">
        <v>1086362994</v>
      </c>
      <c r="F287" s="1" t="s">
        <v>77</v>
      </c>
      <c r="G287" s="1" t="s">
        <v>9</v>
      </c>
    </row>
    <row r="288" spans="1:7" ht="14.25" customHeight="1" x14ac:dyDescent="0.25">
      <c r="A288" s="13">
        <v>45512</v>
      </c>
      <c r="B288" s="1">
        <v>2024001371</v>
      </c>
      <c r="C288" s="1" t="s">
        <v>78</v>
      </c>
      <c r="D288" s="5">
        <v>2000000</v>
      </c>
      <c r="E288" s="1">
        <v>1085326198</v>
      </c>
      <c r="F288" s="1" t="s">
        <v>79</v>
      </c>
      <c r="G288" s="1" t="s">
        <v>9</v>
      </c>
    </row>
    <row r="289" spans="1:7" ht="14.25" customHeight="1" x14ac:dyDescent="0.25">
      <c r="A289" s="13">
        <v>45512</v>
      </c>
      <c r="B289" s="1">
        <v>2024001372</v>
      </c>
      <c r="C289" s="1" t="s">
        <v>80</v>
      </c>
      <c r="D289" s="5">
        <v>2000000</v>
      </c>
      <c r="E289" s="1">
        <v>1088799034</v>
      </c>
      <c r="F289" s="1" t="s">
        <v>81</v>
      </c>
      <c r="G289" s="1" t="s">
        <v>9</v>
      </c>
    </row>
    <row r="290" spans="1:7" ht="14.25" customHeight="1" x14ac:dyDescent="0.25">
      <c r="A290" s="13">
        <v>45512</v>
      </c>
      <c r="B290" s="1">
        <v>2024001373</v>
      </c>
      <c r="C290" s="1" t="s">
        <v>82</v>
      </c>
      <c r="D290" s="5">
        <v>7500000</v>
      </c>
      <c r="E290" s="1">
        <v>1085329230</v>
      </c>
      <c r="F290" s="1" t="s">
        <v>83</v>
      </c>
      <c r="G290" s="1" t="s">
        <v>9</v>
      </c>
    </row>
    <row r="291" spans="1:7" ht="14.25" customHeight="1" x14ac:dyDescent="0.25">
      <c r="A291" s="13">
        <v>45512</v>
      </c>
      <c r="B291" s="1">
        <v>2024001374</v>
      </c>
      <c r="C291" s="1" t="s">
        <v>84</v>
      </c>
      <c r="D291" s="5">
        <v>2000000</v>
      </c>
      <c r="E291" s="1">
        <v>1085327701</v>
      </c>
      <c r="F291" s="1" t="s">
        <v>85</v>
      </c>
      <c r="G291" s="1" t="s">
        <v>9</v>
      </c>
    </row>
    <row r="292" spans="1:7" ht="14.25" customHeight="1" x14ac:dyDescent="0.25">
      <c r="A292" s="13">
        <v>45512</v>
      </c>
      <c r="B292" s="1">
        <v>2024001375</v>
      </c>
      <c r="C292" s="1" t="s">
        <v>86</v>
      </c>
      <c r="D292" s="5">
        <v>2000000</v>
      </c>
      <c r="E292" s="1">
        <v>1233189234</v>
      </c>
      <c r="F292" s="1" t="s">
        <v>87</v>
      </c>
      <c r="G292" s="1" t="s">
        <v>9</v>
      </c>
    </row>
    <row r="293" spans="1:7" ht="14.25" customHeight="1" x14ac:dyDescent="0.25">
      <c r="A293" s="13">
        <v>45512</v>
      </c>
      <c r="B293" s="1">
        <v>2024001376</v>
      </c>
      <c r="C293" s="1" t="s">
        <v>88</v>
      </c>
      <c r="D293" s="5">
        <v>6000000</v>
      </c>
      <c r="E293" s="1">
        <v>1085337232</v>
      </c>
      <c r="F293" s="1" t="s">
        <v>89</v>
      </c>
      <c r="G293" s="1" t="s">
        <v>9</v>
      </c>
    </row>
    <row r="294" spans="1:7" ht="14.25" customHeight="1" x14ac:dyDescent="0.25">
      <c r="A294" s="13">
        <v>45512</v>
      </c>
      <c r="B294" s="1">
        <v>2024001377</v>
      </c>
      <c r="C294" s="1" t="s">
        <v>90</v>
      </c>
      <c r="D294" s="5">
        <v>4750000</v>
      </c>
      <c r="E294" s="1">
        <v>1085263018</v>
      </c>
      <c r="F294" s="1" t="s">
        <v>91</v>
      </c>
      <c r="G294" s="1" t="s">
        <v>9</v>
      </c>
    </row>
    <row r="295" spans="1:7" ht="14.25" customHeight="1" x14ac:dyDescent="0.25">
      <c r="A295" s="13">
        <v>45512</v>
      </c>
      <c r="B295" s="1">
        <v>2024001378</v>
      </c>
      <c r="C295" s="1" t="s">
        <v>92</v>
      </c>
      <c r="D295" s="5">
        <v>4825600</v>
      </c>
      <c r="E295" s="1">
        <v>1085291221</v>
      </c>
      <c r="F295" s="1" t="s">
        <v>93</v>
      </c>
      <c r="G295" s="1" t="s">
        <v>9</v>
      </c>
    </row>
    <row r="296" spans="1:7" ht="14.25" customHeight="1" x14ac:dyDescent="0.25">
      <c r="A296" s="13">
        <v>45512</v>
      </c>
      <c r="B296" s="1">
        <v>2024001379</v>
      </c>
      <c r="C296" s="1" t="s">
        <v>94</v>
      </c>
      <c r="D296" s="5">
        <v>4750000</v>
      </c>
      <c r="E296" s="1">
        <v>1087413951</v>
      </c>
      <c r="F296" s="1" t="s">
        <v>95</v>
      </c>
      <c r="G296" s="1" t="s">
        <v>9</v>
      </c>
    </row>
    <row r="297" spans="1:7" ht="14.25" customHeight="1" x14ac:dyDescent="0.25">
      <c r="A297" s="13">
        <v>45512</v>
      </c>
      <c r="B297" s="1">
        <v>2024001380</v>
      </c>
      <c r="C297" s="1" t="s">
        <v>96</v>
      </c>
      <c r="D297" s="5">
        <v>2000000</v>
      </c>
      <c r="E297" s="1">
        <v>59178610</v>
      </c>
      <c r="F297" s="1" t="s">
        <v>97</v>
      </c>
      <c r="G297" s="1" t="s">
        <v>9</v>
      </c>
    </row>
    <row r="298" spans="1:7" ht="14.25" customHeight="1" x14ac:dyDescent="0.25">
      <c r="A298" s="13">
        <v>45513</v>
      </c>
      <c r="B298" s="1">
        <v>2024001392</v>
      </c>
      <c r="C298" s="1" t="s">
        <v>98</v>
      </c>
      <c r="D298" s="5">
        <v>4825600</v>
      </c>
      <c r="E298" s="1">
        <v>1085337969</v>
      </c>
      <c r="F298" s="1" t="s">
        <v>99</v>
      </c>
      <c r="G298" s="1" t="s">
        <v>9</v>
      </c>
    </row>
    <row r="299" spans="1:7" ht="14.25" customHeight="1" x14ac:dyDescent="0.25">
      <c r="A299" s="13">
        <v>45513</v>
      </c>
      <c r="B299" s="1">
        <v>2024001393</v>
      </c>
      <c r="C299" s="1" t="s">
        <v>100</v>
      </c>
      <c r="D299" s="5">
        <v>2000000</v>
      </c>
      <c r="E299" s="1">
        <v>13070330</v>
      </c>
      <c r="F299" s="1" t="s">
        <v>101</v>
      </c>
      <c r="G299" s="1" t="s">
        <v>9</v>
      </c>
    </row>
    <row r="300" spans="1:7" ht="14.25" customHeight="1" x14ac:dyDescent="0.25">
      <c r="A300" s="13">
        <v>45513</v>
      </c>
      <c r="B300" s="1">
        <v>2024001394</v>
      </c>
      <c r="C300" s="1" t="s">
        <v>102</v>
      </c>
      <c r="D300" s="5">
        <v>2000000</v>
      </c>
      <c r="E300" s="1">
        <v>59813323</v>
      </c>
      <c r="F300" s="1" t="s">
        <v>103</v>
      </c>
      <c r="G300" s="1" t="s">
        <v>9</v>
      </c>
    </row>
    <row r="301" spans="1:7" ht="14.25" customHeight="1" x14ac:dyDescent="0.25">
      <c r="A301" s="13">
        <v>45513</v>
      </c>
      <c r="B301" s="1">
        <v>2024001395</v>
      </c>
      <c r="C301" s="1" t="s">
        <v>104</v>
      </c>
      <c r="D301" s="5">
        <v>4750000</v>
      </c>
      <c r="E301" s="1">
        <v>1085303067</v>
      </c>
      <c r="F301" s="1" t="s">
        <v>105</v>
      </c>
      <c r="G301" s="1" t="s">
        <v>9</v>
      </c>
    </row>
    <row r="302" spans="1:7" ht="14.25" customHeight="1" x14ac:dyDescent="0.25">
      <c r="A302" s="13">
        <v>45513</v>
      </c>
      <c r="B302" s="1">
        <v>2024001396</v>
      </c>
      <c r="C302" s="1" t="s">
        <v>106</v>
      </c>
      <c r="D302" s="5">
        <v>2000000</v>
      </c>
      <c r="E302" s="1">
        <v>36758143</v>
      </c>
      <c r="F302" s="1" t="s">
        <v>107</v>
      </c>
      <c r="G302" s="1" t="s">
        <v>9</v>
      </c>
    </row>
    <row r="303" spans="1:7" ht="14.25" customHeight="1" x14ac:dyDescent="0.25">
      <c r="A303" s="13">
        <v>45513</v>
      </c>
      <c r="B303" s="1">
        <v>2024001397</v>
      </c>
      <c r="C303" s="1" t="s">
        <v>108</v>
      </c>
      <c r="D303" s="5">
        <v>2000000</v>
      </c>
      <c r="E303" s="1">
        <v>1004232508</v>
      </c>
      <c r="F303" s="1" t="s">
        <v>109</v>
      </c>
      <c r="G303" s="1" t="s">
        <v>9</v>
      </c>
    </row>
    <row r="304" spans="1:7" ht="14.25" customHeight="1" x14ac:dyDescent="0.25">
      <c r="A304" s="13">
        <v>45513</v>
      </c>
      <c r="B304" s="1">
        <v>2024001398</v>
      </c>
      <c r="C304" s="1" t="s">
        <v>110</v>
      </c>
      <c r="D304" s="5">
        <v>2000000</v>
      </c>
      <c r="E304" s="1">
        <v>1085286725</v>
      </c>
      <c r="F304" s="1" t="s">
        <v>111</v>
      </c>
      <c r="G304" s="1" t="s">
        <v>9</v>
      </c>
    </row>
    <row r="305" spans="1:7" ht="14.25" customHeight="1" x14ac:dyDescent="0.25">
      <c r="A305" s="13">
        <v>45513</v>
      </c>
      <c r="B305" s="1">
        <v>2024001399</v>
      </c>
      <c r="C305" s="1" t="s">
        <v>112</v>
      </c>
      <c r="D305" s="5">
        <v>6000000</v>
      </c>
      <c r="E305" s="1">
        <v>1004213964</v>
      </c>
      <c r="F305" s="1" t="s">
        <v>113</v>
      </c>
      <c r="G305" s="1" t="s">
        <v>9</v>
      </c>
    </row>
    <row r="306" spans="1:7" ht="14.25" customHeight="1" x14ac:dyDescent="0.25">
      <c r="A306" s="13">
        <v>45513</v>
      </c>
      <c r="B306" s="1">
        <v>2024001400</v>
      </c>
      <c r="C306" s="1" t="s">
        <v>114</v>
      </c>
      <c r="D306" s="5">
        <v>2000000</v>
      </c>
      <c r="E306" s="1">
        <v>1085266584</v>
      </c>
      <c r="F306" s="1" t="s">
        <v>115</v>
      </c>
      <c r="G306" s="1" t="s">
        <v>9</v>
      </c>
    </row>
    <row r="307" spans="1:7" ht="14.25" customHeight="1" x14ac:dyDescent="0.25">
      <c r="A307" s="13">
        <v>45513</v>
      </c>
      <c r="B307" s="1">
        <v>2024001401</v>
      </c>
      <c r="C307" s="1" t="s">
        <v>116</v>
      </c>
      <c r="D307" s="5">
        <v>6000000</v>
      </c>
      <c r="E307" s="1">
        <v>1085275879</v>
      </c>
      <c r="F307" s="1" t="s">
        <v>117</v>
      </c>
      <c r="G307" s="1" t="s">
        <v>9</v>
      </c>
    </row>
    <row r="308" spans="1:7" ht="14.25" customHeight="1" x14ac:dyDescent="0.25">
      <c r="A308" s="13">
        <v>45513</v>
      </c>
      <c r="B308" s="1">
        <v>2024001402</v>
      </c>
      <c r="C308" s="1" t="s">
        <v>118</v>
      </c>
      <c r="D308" s="5">
        <v>2000000</v>
      </c>
      <c r="E308" s="1">
        <v>37084285</v>
      </c>
      <c r="F308" s="1" t="s">
        <v>119</v>
      </c>
      <c r="G308" s="1" t="s">
        <v>9</v>
      </c>
    </row>
    <row r="309" spans="1:7" ht="14.25" customHeight="1" x14ac:dyDescent="0.25">
      <c r="A309" s="13">
        <v>45513</v>
      </c>
      <c r="B309" s="1">
        <v>2024001403</v>
      </c>
      <c r="C309" s="1" t="s">
        <v>120</v>
      </c>
      <c r="D309" s="5">
        <v>2000000</v>
      </c>
      <c r="E309" s="1">
        <v>59834953</v>
      </c>
      <c r="F309" s="1" t="s">
        <v>121</v>
      </c>
      <c r="G309" s="1" t="s">
        <v>9</v>
      </c>
    </row>
    <row r="310" spans="1:7" ht="14.25" customHeight="1" x14ac:dyDescent="0.25">
      <c r="A310" s="13">
        <v>45516</v>
      </c>
      <c r="B310" s="1">
        <v>2024001404</v>
      </c>
      <c r="C310" s="1" t="s">
        <v>122</v>
      </c>
      <c r="D310" s="5">
        <v>2000000</v>
      </c>
      <c r="E310" s="1">
        <v>1004592366</v>
      </c>
      <c r="F310" s="1" t="s">
        <v>123</v>
      </c>
      <c r="G310" s="1" t="s">
        <v>9</v>
      </c>
    </row>
    <row r="311" spans="1:7" ht="14.25" customHeight="1" x14ac:dyDescent="0.25">
      <c r="A311" s="13">
        <v>45516</v>
      </c>
      <c r="B311" s="1">
        <v>2024001405</v>
      </c>
      <c r="C311" s="1" t="s">
        <v>124</v>
      </c>
      <c r="D311" s="5">
        <v>6000000</v>
      </c>
      <c r="E311" s="1">
        <v>36951002</v>
      </c>
      <c r="F311" s="1" t="s">
        <v>125</v>
      </c>
      <c r="G311" s="1" t="s">
        <v>9</v>
      </c>
    </row>
    <row r="312" spans="1:7" ht="14.25" customHeight="1" x14ac:dyDescent="0.25">
      <c r="A312" s="13">
        <v>45516</v>
      </c>
      <c r="B312" s="1">
        <v>2024001406</v>
      </c>
      <c r="C312" s="1" t="s">
        <v>126</v>
      </c>
      <c r="D312" s="5">
        <v>4750000</v>
      </c>
      <c r="E312" s="1">
        <v>59312865</v>
      </c>
      <c r="F312" s="1" t="s">
        <v>127</v>
      </c>
      <c r="G312" s="1" t="s">
        <v>9</v>
      </c>
    </row>
    <row r="313" spans="1:7" ht="14.25" customHeight="1" x14ac:dyDescent="0.25">
      <c r="A313" s="13">
        <v>45516</v>
      </c>
      <c r="B313" s="1">
        <v>2024001407</v>
      </c>
      <c r="C313" s="1" t="s">
        <v>128</v>
      </c>
      <c r="D313" s="5">
        <v>4825600</v>
      </c>
      <c r="E313" s="1">
        <v>59310145</v>
      </c>
      <c r="F313" s="1" t="s">
        <v>129</v>
      </c>
      <c r="G313" s="1" t="s">
        <v>9</v>
      </c>
    </row>
    <row r="314" spans="1:7" ht="14.25" customHeight="1" x14ac:dyDescent="0.25">
      <c r="A314" s="13">
        <v>45516</v>
      </c>
      <c r="B314" s="1">
        <v>2024001408</v>
      </c>
      <c r="C314" s="1" t="s">
        <v>130</v>
      </c>
      <c r="D314" s="5">
        <v>4825600</v>
      </c>
      <c r="E314" s="1">
        <v>1087643211</v>
      </c>
      <c r="F314" s="1" t="s">
        <v>131</v>
      </c>
      <c r="G314" s="1" t="s">
        <v>9</v>
      </c>
    </row>
    <row r="315" spans="1:7" ht="14.25" customHeight="1" x14ac:dyDescent="0.25">
      <c r="A315" s="13">
        <v>45516</v>
      </c>
      <c r="B315" s="1">
        <v>2024001409</v>
      </c>
      <c r="C315" s="1" t="s">
        <v>132</v>
      </c>
      <c r="D315" s="5">
        <v>4825600</v>
      </c>
      <c r="E315" s="1">
        <v>87062845</v>
      </c>
      <c r="F315" s="1" t="s">
        <v>133</v>
      </c>
      <c r="G315" s="1" t="s">
        <v>9</v>
      </c>
    </row>
    <row r="316" spans="1:7" ht="14.25" customHeight="1" x14ac:dyDescent="0.25">
      <c r="A316" s="13">
        <v>45516</v>
      </c>
      <c r="B316" s="1">
        <v>2024001410</v>
      </c>
      <c r="C316" s="1" t="s">
        <v>134</v>
      </c>
      <c r="D316" s="5">
        <v>4750000</v>
      </c>
      <c r="E316" s="1">
        <v>59821282</v>
      </c>
      <c r="F316" s="1" t="s">
        <v>135</v>
      </c>
      <c r="G316" s="1" t="s">
        <v>9</v>
      </c>
    </row>
    <row r="317" spans="1:7" ht="14.25" customHeight="1" x14ac:dyDescent="0.25">
      <c r="A317" s="13">
        <v>45516</v>
      </c>
      <c r="B317" s="1">
        <v>2024001411</v>
      </c>
      <c r="C317" s="1" t="s">
        <v>136</v>
      </c>
      <c r="D317" s="5">
        <v>7500000</v>
      </c>
      <c r="E317" s="1">
        <v>1151934571</v>
      </c>
      <c r="F317" s="1" t="s">
        <v>137</v>
      </c>
      <c r="G317" s="1" t="s">
        <v>9</v>
      </c>
    </row>
    <row r="318" spans="1:7" ht="14.25" customHeight="1" x14ac:dyDescent="0.25">
      <c r="A318" s="13">
        <v>45516</v>
      </c>
      <c r="B318" s="1">
        <v>2024001412</v>
      </c>
      <c r="C318" s="1" t="s">
        <v>138</v>
      </c>
      <c r="D318" s="5">
        <v>2000000</v>
      </c>
      <c r="E318" s="1">
        <v>1085295383</v>
      </c>
      <c r="F318" s="1" t="s">
        <v>139</v>
      </c>
      <c r="G318" s="1" t="s">
        <v>9</v>
      </c>
    </row>
    <row r="319" spans="1:7" ht="14.25" customHeight="1" x14ac:dyDescent="0.25">
      <c r="A319" s="13">
        <v>45516</v>
      </c>
      <c r="B319" s="1">
        <v>2024001413</v>
      </c>
      <c r="C319" s="1" t="s">
        <v>140</v>
      </c>
      <c r="D319" s="5">
        <v>4825600</v>
      </c>
      <c r="E319" s="1">
        <v>59314451</v>
      </c>
      <c r="F319" s="1" t="s">
        <v>141</v>
      </c>
      <c r="G319" s="1" t="s">
        <v>9</v>
      </c>
    </row>
    <row r="320" spans="1:7" ht="14.25" customHeight="1" x14ac:dyDescent="0.25">
      <c r="A320" s="13">
        <v>45517</v>
      </c>
      <c r="B320" s="1">
        <v>2024001435</v>
      </c>
      <c r="C320" s="1" t="s">
        <v>164</v>
      </c>
      <c r="D320" s="14">
        <v>120050000</v>
      </c>
      <c r="E320" s="1">
        <v>900633448</v>
      </c>
      <c r="F320" s="1" t="s">
        <v>165</v>
      </c>
      <c r="G320" s="1" t="s">
        <v>9</v>
      </c>
    </row>
    <row r="321" spans="1:7" ht="14.25" customHeight="1" x14ac:dyDescent="0.25">
      <c r="A321" s="13">
        <v>45517</v>
      </c>
      <c r="B321" s="1">
        <v>2024001441</v>
      </c>
      <c r="C321" s="1" t="s">
        <v>142</v>
      </c>
      <c r="D321" s="5">
        <v>6000000</v>
      </c>
      <c r="E321" s="1">
        <v>1085254626</v>
      </c>
      <c r="F321" s="1" t="s">
        <v>143</v>
      </c>
      <c r="G321" s="1" t="s">
        <v>9</v>
      </c>
    </row>
    <row r="322" spans="1:7" ht="14.25" customHeight="1" x14ac:dyDescent="0.25">
      <c r="A322" s="13">
        <v>45517</v>
      </c>
      <c r="B322" s="1">
        <v>2024001442</v>
      </c>
      <c r="C322" s="1" t="s">
        <v>144</v>
      </c>
      <c r="D322" s="5">
        <v>6000000</v>
      </c>
      <c r="E322" s="1">
        <v>59837608</v>
      </c>
      <c r="F322" s="1" t="s">
        <v>145</v>
      </c>
      <c r="G322" s="1" t="s">
        <v>9</v>
      </c>
    </row>
    <row r="323" spans="1:7" ht="14.25" customHeight="1" x14ac:dyDescent="0.25">
      <c r="A323" s="13">
        <v>45517</v>
      </c>
      <c r="B323" s="1">
        <v>2024001443</v>
      </c>
      <c r="C323" s="1" t="s">
        <v>146</v>
      </c>
      <c r="D323" s="5">
        <v>2000000</v>
      </c>
      <c r="E323" s="1">
        <v>1085255972</v>
      </c>
      <c r="F323" s="1" t="s">
        <v>147</v>
      </c>
      <c r="G323" s="1" t="s">
        <v>9</v>
      </c>
    </row>
    <row r="324" spans="1:7" ht="14.25" customHeight="1" x14ac:dyDescent="0.25">
      <c r="A324" s="13">
        <v>45517</v>
      </c>
      <c r="B324" s="1">
        <v>2024001444</v>
      </c>
      <c r="C324" s="1" t="s">
        <v>148</v>
      </c>
      <c r="D324" s="5">
        <v>2000000</v>
      </c>
      <c r="E324" s="1">
        <v>1085339190</v>
      </c>
      <c r="F324" s="1" t="s">
        <v>149</v>
      </c>
      <c r="G324" s="1" t="s">
        <v>9</v>
      </c>
    </row>
    <row r="325" spans="1:7" ht="14.25" customHeight="1" x14ac:dyDescent="0.25">
      <c r="A325" s="13">
        <v>45517</v>
      </c>
      <c r="B325" s="1">
        <v>2024001445</v>
      </c>
      <c r="C325" s="1" t="s">
        <v>150</v>
      </c>
      <c r="D325" s="5">
        <v>4750000</v>
      </c>
      <c r="E325" s="1">
        <v>59824313</v>
      </c>
      <c r="F325" s="1" t="s">
        <v>151</v>
      </c>
      <c r="G325" s="1" t="s">
        <v>9</v>
      </c>
    </row>
    <row r="326" spans="1:7" ht="14.25" customHeight="1" x14ac:dyDescent="0.25">
      <c r="A326" s="13">
        <v>45517</v>
      </c>
      <c r="B326" s="1">
        <v>2024001446</v>
      </c>
      <c r="C326" s="1" t="s">
        <v>152</v>
      </c>
      <c r="D326" s="5">
        <v>2000000</v>
      </c>
      <c r="E326" s="1">
        <v>1144206777</v>
      </c>
      <c r="F326" s="1" t="s">
        <v>153</v>
      </c>
      <c r="G326" s="1" t="s">
        <v>9</v>
      </c>
    </row>
    <row r="327" spans="1:7" ht="14.25" customHeight="1" x14ac:dyDescent="0.25">
      <c r="A327" s="13">
        <v>45517</v>
      </c>
      <c r="B327" s="1">
        <v>2024001447</v>
      </c>
      <c r="C327" s="1" t="s">
        <v>154</v>
      </c>
      <c r="D327" s="5">
        <v>4750000</v>
      </c>
      <c r="E327" s="1">
        <v>1085293619</v>
      </c>
      <c r="F327" s="1" t="s">
        <v>155</v>
      </c>
      <c r="G327" s="1" t="s">
        <v>9</v>
      </c>
    </row>
    <row r="328" spans="1:7" ht="14.25" customHeight="1" x14ac:dyDescent="0.25">
      <c r="A328" s="13">
        <v>45517</v>
      </c>
      <c r="B328" s="1">
        <v>2024001448</v>
      </c>
      <c r="C328" s="1" t="s">
        <v>156</v>
      </c>
      <c r="D328" s="5">
        <v>7500000</v>
      </c>
      <c r="E328" s="1">
        <v>12961661</v>
      </c>
      <c r="F328" s="1" t="s">
        <v>157</v>
      </c>
      <c r="G328" s="1" t="s">
        <v>9</v>
      </c>
    </row>
    <row r="329" spans="1:7" ht="14.25" customHeight="1" x14ac:dyDescent="0.25">
      <c r="A329" s="13">
        <v>45517</v>
      </c>
      <c r="B329" s="1">
        <v>2024001449</v>
      </c>
      <c r="C329" s="1" t="s">
        <v>158</v>
      </c>
      <c r="D329" s="5">
        <v>7500000</v>
      </c>
      <c r="E329" s="1">
        <v>37087120</v>
      </c>
      <c r="F329" s="1" t="s">
        <v>159</v>
      </c>
      <c r="G329" s="1" t="s">
        <v>9</v>
      </c>
    </row>
    <row r="330" spans="1:7" ht="14.25" customHeight="1" x14ac:dyDescent="0.25">
      <c r="A330" s="13">
        <v>45517</v>
      </c>
      <c r="B330" s="1">
        <v>2024001450</v>
      </c>
      <c r="C330" s="1" t="s">
        <v>160</v>
      </c>
      <c r="D330" s="5">
        <v>7500000</v>
      </c>
      <c r="E330" s="1">
        <v>1085304670</v>
      </c>
      <c r="F330" s="1" t="s">
        <v>161</v>
      </c>
      <c r="G330" s="1" t="s">
        <v>9</v>
      </c>
    </row>
    <row r="331" spans="1:7" ht="14.25" customHeight="1" x14ac:dyDescent="0.25">
      <c r="A331" s="13">
        <v>45517</v>
      </c>
      <c r="B331" s="1">
        <v>2024001451</v>
      </c>
      <c r="C331" s="1" t="s">
        <v>162</v>
      </c>
      <c r="D331" s="5">
        <v>7500000</v>
      </c>
      <c r="E331" s="1">
        <v>1193202097</v>
      </c>
      <c r="F331" s="1" t="s">
        <v>163</v>
      </c>
      <c r="G331" s="1" t="s">
        <v>9</v>
      </c>
    </row>
    <row r="332" spans="1:7" ht="14.25" customHeight="1" x14ac:dyDescent="0.25">
      <c r="A332" s="13">
        <v>45517</v>
      </c>
      <c r="B332" s="1">
        <v>2024001452</v>
      </c>
      <c r="C332" s="1" t="s">
        <v>20</v>
      </c>
      <c r="D332" s="5">
        <v>7500000</v>
      </c>
      <c r="E332" s="1">
        <v>1089244511</v>
      </c>
      <c r="F332" s="1" t="s">
        <v>21</v>
      </c>
      <c r="G332" s="1" t="s">
        <v>9</v>
      </c>
    </row>
    <row r="333" spans="1:7" ht="14.25" customHeight="1" x14ac:dyDescent="0.25">
      <c r="A333" s="13">
        <v>45518</v>
      </c>
      <c r="B333" s="1">
        <v>2024001456</v>
      </c>
      <c r="C333" s="1" t="s">
        <v>166</v>
      </c>
      <c r="D333" s="5">
        <v>2000000</v>
      </c>
      <c r="E333" s="1">
        <v>1081052552</v>
      </c>
      <c r="F333" s="1" t="s">
        <v>167</v>
      </c>
      <c r="G333" s="1" t="s">
        <v>9</v>
      </c>
    </row>
    <row r="334" spans="1:7" ht="14.25" customHeight="1" x14ac:dyDescent="0.25">
      <c r="A334" s="13">
        <v>45518</v>
      </c>
      <c r="B334" s="1">
        <v>2024001457</v>
      </c>
      <c r="C334" s="1" t="s">
        <v>168</v>
      </c>
      <c r="D334" s="5">
        <v>4750000</v>
      </c>
      <c r="E334" s="1">
        <v>1085273424</v>
      </c>
      <c r="F334" s="1" t="s">
        <v>169</v>
      </c>
      <c r="G334" s="1" t="s">
        <v>9</v>
      </c>
    </row>
    <row r="335" spans="1:7" ht="14.25" customHeight="1" x14ac:dyDescent="0.25">
      <c r="A335" s="13">
        <v>45518</v>
      </c>
      <c r="B335" s="1">
        <v>2024001458</v>
      </c>
      <c r="C335" s="1" t="s">
        <v>170</v>
      </c>
      <c r="D335" s="5">
        <v>2000000</v>
      </c>
      <c r="E335" s="1">
        <v>69028150</v>
      </c>
      <c r="F335" s="1" t="s">
        <v>171</v>
      </c>
      <c r="G335" s="1" t="s">
        <v>9</v>
      </c>
    </row>
    <row r="336" spans="1:7" ht="14.25" customHeight="1" x14ac:dyDescent="0.25">
      <c r="A336" s="13">
        <v>45518</v>
      </c>
      <c r="B336" s="1">
        <v>2024001459</v>
      </c>
      <c r="C336" s="1" t="s">
        <v>172</v>
      </c>
      <c r="D336" s="5">
        <v>2000000</v>
      </c>
      <c r="E336" s="1">
        <v>59833702</v>
      </c>
      <c r="F336" s="1" t="s">
        <v>173</v>
      </c>
      <c r="G336" s="1" t="s">
        <v>9</v>
      </c>
    </row>
    <row r="337" spans="1:7" ht="14.25" customHeight="1" x14ac:dyDescent="0.25">
      <c r="A337" s="13">
        <v>45518</v>
      </c>
      <c r="B337" s="1">
        <v>2024001460</v>
      </c>
      <c r="C337" s="1" t="s">
        <v>174</v>
      </c>
      <c r="D337" s="5">
        <v>4825600</v>
      </c>
      <c r="E337" s="1">
        <v>1085283723</v>
      </c>
      <c r="F337" s="1" t="s">
        <v>175</v>
      </c>
      <c r="G337" s="1" t="s">
        <v>9</v>
      </c>
    </row>
    <row r="338" spans="1:7" ht="14.25" customHeight="1" x14ac:dyDescent="0.25">
      <c r="A338" s="13">
        <v>45518</v>
      </c>
      <c r="B338" s="1">
        <v>2024001463</v>
      </c>
      <c r="C338" s="1" t="s">
        <v>24</v>
      </c>
      <c r="D338" s="5">
        <v>6000000</v>
      </c>
      <c r="E338" s="1">
        <v>37013610</v>
      </c>
      <c r="F338" s="1" t="s">
        <v>25</v>
      </c>
      <c r="G338" s="1" t="s">
        <v>9</v>
      </c>
    </row>
    <row r="339" spans="1:7" ht="14.25" customHeight="1" x14ac:dyDescent="0.25">
      <c r="A339" s="13">
        <v>45518</v>
      </c>
      <c r="B339" s="1">
        <v>2024001464</v>
      </c>
      <c r="C339" s="1" t="s">
        <v>176</v>
      </c>
      <c r="D339" s="5">
        <v>4825600</v>
      </c>
      <c r="E339" s="1">
        <v>27087851</v>
      </c>
      <c r="F339" s="1" t="s">
        <v>177</v>
      </c>
      <c r="G339" s="1" t="s">
        <v>9</v>
      </c>
    </row>
    <row r="340" spans="1:7" ht="14.25" customHeight="1" x14ac:dyDescent="0.25">
      <c r="A340" s="13">
        <v>45518</v>
      </c>
      <c r="B340" s="1">
        <v>2024001465</v>
      </c>
      <c r="C340" s="1" t="s">
        <v>178</v>
      </c>
      <c r="D340" s="5">
        <v>2000000</v>
      </c>
      <c r="E340" s="1">
        <v>1085250095</v>
      </c>
      <c r="F340" s="1" t="s">
        <v>179</v>
      </c>
      <c r="G340" s="1" t="s">
        <v>9</v>
      </c>
    </row>
    <row r="341" spans="1:7" ht="14.25" customHeight="1" x14ac:dyDescent="0.25">
      <c r="A341" s="13">
        <v>45518</v>
      </c>
      <c r="B341" s="1">
        <v>2024001466</v>
      </c>
      <c r="C341" s="1" t="s">
        <v>180</v>
      </c>
      <c r="D341" s="5">
        <v>2000000</v>
      </c>
      <c r="E341" s="1">
        <v>59828916</v>
      </c>
      <c r="F341" s="1" t="s">
        <v>181</v>
      </c>
      <c r="G341" s="1" t="s">
        <v>9</v>
      </c>
    </row>
    <row r="342" spans="1:7" ht="14.25" customHeight="1" x14ac:dyDescent="0.25">
      <c r="A342" s="13">
        <v>45518</v>
      </c>
      <c r="B342" s="1">
        <v>2024001467</v>
      </c>
      <c r="C342" s="1" t="s">
        <v>182</v>
      </c>
      <c r="D342" s="5">
        <v>2000000</v>
      </c>
      <c r="E342" s="1">
        <v>98382500</v>
      </c>
      <c r="F342" s="1" t="s">
        <v>183</v>
      </c>
      <c r="G342" s="1" t="s">
        <v>9</v>
      </c>
    </row>
    <row r="343" spans="1:7" ht="14.25" customHeight="1" x14ac:dyDescent="0.25">
      <c r="A343" s="13">
        <v>45519</v>
      </c>
      <c r="B343" s="1">
        <v>2024001483</v>
      </c>
      <c r="C343" s="1" t="s">
        <v>184</v>
      </c>
      <c r="D343" s="5">
        <v>2000000</v>
      </c>
      <c r="E343" s="1">
        <v>87070661</v>
      </c>
      <c r="F343" s="1" t="s">
        <v>185</v>
      </c>
      <c r="G343" s="1" t="s">
        <v>9</v>
      </c>
    </row>
    <row r="344" spans="1:7" ht="14.25" customHeight="1" x14ac:dyDescent="0.25">
      <c r="A344" s="13">
        <v>45519</v>
      </c>
      <c r="B344" s="1">
        <v>2024001484</v>
      </c>
      <c r="C344" s="1" t="s">
        <v>186</v>
      </c>
      <c r="D344" s="5">
        <v>2000000</v>
      </c>
      <c r="E344" s="1">
        <v>1085296353</v>
      </c>
      <c r="F344" s="1" t="s">
        <v>187</v>
      </c>
      <c r="G344" s="1" t="s">
        <v>9</v>
      </c>
    </row>
    <row r="345" spans="1:7" ht="14.25" customHeight="1" x14ac:dyDescent="0.25">
      <c r="A345" s="13">
        <v>45519</v>
      </c>
      <c r="B345" s="1">
        <v>2024001485</v>
      </c>
      <c r="C345" s="1" t="s">
        <v>18</v>
      </c>
      <c r="D345" s="5">
        <v>6000000</v>
      </c>
      <c r="E345" s="1">
        <v>1089242085</v>
      </c>
      <c r="F345" s="1" t="s">
        <v>19</v>
      </c>
      <c r="G345" s="1" t="s">
        <v>9</v>
      </c>
    </row>
    <row r="346" spans="1:7" ht="14.25" customHeight="1" x14ac:dyDescent="0.25">
      <c r="A346" s="13">
        <v>45519</v>
      </c>
      <c r="B346" s="1">
        <v>2024001486</v>
      </c>
      <c r="C346" s="1" t="s">
        <v>188</v>
      </c>
      <c r="D346" s="5">
        <v>2000000</v>
      </c>
      <c r="E346" s="1">
        <v>1081595853</v>
      </c>
      <c r="F346" s="1" t="s">
        <v>189</v>
      </c>
      <c r="G346" s="1" t="s">
        <v>9</v>
      </c>
    </row>
    <row r="347" spans="1:7" ht="14.25" customHeight="1" x14ac:dyDescent="0.25">
      <c r="A347" s="13">
        <v>45519</v>
      </c>
      <c r="B347" s="1">
        <v>2024001487</v>
      </c>
      <c r="C347" s="1" t="s">
        <v>190</v>
      </c>
      <c r="D347" s="5">
        <v>2000000</v>
      </c>
      <c r="E347" s="1">
        <v>1193218691</v>
      </c>
      <c r="F347" s="1" t="s">
        <v>191</v>
      </c>
      <c r="G347" s="1" t="s">
        <v>9</v>
      </c>
    </row>
    <row r="348" spans="1:7" ht="14.25" customHeight="1" x14ac:dyDescent="0.25">
      <c r="A348" s="13">
        <v>45519</v>
      </c>
      <c r="B348" s="1">
        <v>2024001488</v>
      </c>
      <c r="C348" s="1" t="s">
        <v>192</v>
      </c>
      <c r="D348" s="5">
        <v>7500000</v>
      </c>
      <c r="E348" s="1">
        <v>1126004086</v>
      </c>
      <c r="F348" s="1" t="s">
        <v>193</v>
      </c>
      <c r="G348" s="1" t="s">
        <v>9</v>
      </c>
    </row>
    <row r="349" spans="1:7" ht="14.25" customHeight="1" x14ac:dyDescent="0.25">
      <c r="A349" s="13">
        <v>45525</v>
      </c>
      <c r="B349" s="1">
        <v>2024001495</v>
      </c>
      <c r="C349" s="1" t="s">
        <v>194</v>
      </c>
      <c r="D349" s="5">
        <v>2000000</v>
      </c>
      <c r="E349" s="1">
        <v>1085316191</v>
      </c>
      <c r="F349" s="1" t="s">
        <v>195</v>
      </c>
      <c r="G349" s="1" t="s">
        <v>9</v>
      </c>
    </row>
    <row r="350" spans="1:7" ht="14.25" customHeight="1" x14ac:dyDescent="0.25">
      <c r="A350" s="13">
        <v>45525</v>
      </c>
      <c r="B350" s="1">
        <v>2024001496</v>
      </c>
      <c r="C350" s="1" t="s">
        <v>196</v>
      </c>
      <c r="D350" s="5">
        <v>2000000</v>
      </c>
      <c r="E350" s="1">
        <v>1089243630</v>
      </c>
      <c r="F350" s="1" t="s">
        <v>197</v>
      </c>
      <c r="G350" s="1" t="s">
        <v>9</v>
      </c>
    </row>
    <row r="351" spans="1:7" ht="14.25" customHeight="1" x14ac:dyDescent="0.25">
      <c r="A351" s="13">
        <v>45525</v>
      </c>
      <c r="B351" s="1">
        <v>2024001498</v>
      </c>
      <c r="C351" s="1" t="s">
        <v>198</v>
      </c>
      <c r="D351" s="5">
        <v>2000000</v>
      </c>
      <c r="E351" s="1">
        <v>30737741</v>
      </c>
      <c r="F351" s="1" t="s">
        <v>199</v>
      </c>
      <c r="G351" s="1" t="s">
        <v>9</v>
      </c>
    </row>
    <row r="352" spans="1:7" ht="14.25" customHeight="1" x14ac:dyDescent="0.25">
      <c r="A352" s="13">
        <v>45525</v>
      </c>
      <c r="B352" s="1">
        <v>2024001500</v>
      </c>
      <c r="C352" s="1" t="s">
        <v>200</v>
      </c>
      <c r="D352" s="5">
        <v>2000000</v>
      </c>
      <c r="E352" s="1">
        <v>1085300095</v>
      </c>
      <c r="F352" s="1" t="s">
        <v>201</v>
      </c>
      <c r="G352" s="1" t="s">
        <v>9</v>
      </c>
    </row>
    <row r="353" spans="1:7" ht="14.25" customHeight="1" x14ac:dyDescent="0.25">
      <c r="A353" s="13">
        <v>45525</v>
      </c>
      <c r="B353" s="1">
        <v>2024001501</v>
      </c>
      <c r="C353" s="1" t="s">
        <v>202</v>
      </c>
      <c r="D353" s="5">
        <v>2000000</v>
      </c>
      <c r="E353" s="1">
        <v>27211504</v>
      </c>
      <c r="F353" s="1" t="s">
        <v>203</v>
      </c>
      <c r="G353" s="1" t="s">
        <v>9</v>
      </c>
    </row>
    <row r="354" spans="1:7" ht="14.25" customHeight="1" x14ac:dyDescent="0.25">
      <c r="A354" s="13">
        <v>45525</v>
      </c>
      <c r="B354" s="1">
        <v>2024001502</v>
      </c>
      <c r="C354" s="1" t="s">
        <v>204</v>
      </c>
      <c r="D354" s="5">
        <v>2000000</v>
      </c>
      <c r="E354" s="1">
        <v>13072447</v>
      </c>
      <c r="F354" s="1" t="s">
        <v>205</v>
      </c>
      <c r="G354" s="1" t="s">
        <v>9</v>
      </c>
    </row>
    <row r="355" spans="1:7" ht="14.25" customHeight="1" x14ac:dyDescent="0.25">
      <c r="A355" s="13">
        <v>45525</v>
      </c>
      <c r="B355" s="1">
        <v>2024001503</v>
      </c>
      <c r="C355" s="1" t="s">
        <v>206</v>
      </c>
      <c r="D355" s="5">
        <v>2000000</v>
      </c>
      <c r="E355" s="1">
        <v>1004135064</v>
      </c>
      <c r="F355" s="1" t="s">
        <v>207</v>
      </c>
      <c r="G355" s="1" t="s">
        <v>9</v>
      </c>
    </row>
    <row r="356" spans="1:7" ht="14.25" customHeight="1" x14ac:dyDescent="0.25">
      <c r="A356" s="13">
        <v>45525</v>
      </c>
      <c r="B356" s="1">
        <v>2024001504</v>
      </c>
      <c r="C356" s="1" t="s">
        <v>208</v>
      </c>
      <c r="D356" s="5">
        <v>2000000</v>
      </c>
      <c r="E356" s="1">
        <v>1010082397</v>
      </c>
      <c r="F356" s="1" t="s">
        <v>209</v>
      </c>
      <c r="G356" s="1" t="s">
        <v>9</v>
      </c>
    </row>
    <row r="357" spans="1:7" ht="14.25" customHeight="1" x14ac:dyDescent="0.25">
      <c r="A357" s="13">
        <v>45525</v>
      </c>
      <c r="B357" s="1">
        <v>2024001505</v>
      </c>
      <c r="C357" s="1" t="s">
        <v>32</v>
      </c>
      <c r="D357" s="5">
        <v>2000000</v>
      </c>
      <c r="E357" s="1">
        <v>1085252263</v>
      </c>
      <c r="F357" s="1" t="s">
        <v>33</v>
      </c>
      <c r="G357" s="1" t="s">
        <v>9</v>
      </c>
    </row>
    <row r="358" spans="1:7" ht="14.25" customHeight="1" x14ac:dyDescent="0.25">
      <c r="A358" s="13">
        <v>45525</v>
      </c>
      <c r="B358" s="1">
        <v>2024001506</v>
      </c>
      <c r="C358" s="1" t="s">
        <v>210</v>
      </c>
      <c r="D358" s="5">
        <v>2000000</v>
      </c>
      <c r="E358" s="1">
        <v>1080040858</v>
      </c>
      <c r="F358" s="1" t="s">
        <v>211</v>
      </c>
      <c r="G358" s="1" t="s">
        <v>9</v>
      </c>
    </row>
    <row r="359" spans="1:7" ht="14.25" customHeight="1" x14ac:dyDescent="0.25">
      <c r="A359" s="13">
        <v>45525</v>
      </c>
      <c r="B359" s="1">
        <v>2024001507</v>
      </c>
      <c r="C359" s="1" t="s">
        <v>212</v>
      </c>
      <c r="D359" s="5">
        <v>2000000</v>
      </c>
      <c r="E359" s="1">
        <v>5930737</v>
      </c>
      <c r="F359" s="1" t="s">
        <v>213</v>
      </c>
      <c r="G359" s="1" t="s">
        <v>9</v>
      </c>
    </row>
    <row r="360" spans="1:7" ht="14.25" customHeight="1" x14ac:dyDescent="0.25">
      <c r="A360" s="13">
        <v>45525</v>
      </c>
      <c r="B360" s="1">
        <v>2024001508</v>
      </c>
      <c r="C360" s="1" t="s">
        <v>214</v>
      </c>
      <c r="D360" s="5">
        <v>2000000</v>
      </c>
      <c r="E360" s="1">
        <v>1085327677</v>
      </c>
      <c r="F360" s="1" t="s">
        <v>215</v>
      </c>
      <c r="G360" s="1" t="s">
        <v>9</v>
      </c>
    </row>
    <row r="361" spans="1:7" ht="14.25" customHeight="1" x14ac:dyDescent="0.25">
      <c r="A361" s="13">
        <v>45525</v>
      </c>
      <c r="B361" s="1">
        <v>2024001509</v>
      </c>
      <c r="C361" s="1" t="s">
        <v>216</v>
      </c>
      <c r="D361" s="5">
        <v>6000000</v>
      </c>
      <c r="E361" s="1">
        <v>27109314</v>
      </c>
      <c r="F361" s="1" t="s">
        <v>217</v>
      </c>
      <c r="G361" s="1" t="s">
        <v>9</v>
      </c>
    </row>
    <row r="362" spans="1:7" ht="14.25" customHeight="1" x14ac:dyDescent="0.25">
      <c r="A362" s="13">
        <v>45525</v>
      </c>
      <c r="B362" s="1">
        <v>2024001510</v>
      </c>
      <c r="C362" s="1" t="s">
        <v>218</v>
      </c>
      <c r="D362" s="5">
        <v>2000000</v>
      </c>
      <c r="E362" s="1">
        <v>1010113730</v>
      </c>
      <c r="F362" s="1" t="s">
        <v>219</v>
      </c>
      <c r="G362" s="1" t="s">
        <v>9</v>
      </c>
    </row>
    <row r="363" spans="1:7" ht="14.25" customHeight="1" x14ac:dyDescent="0.25">
      <c r="A363" s="13">
        <v>45525</v>
      </c>
      <c r="B363" s="1">
        <v>2024001511</v>
      </c>
      <c r="C363" s="1" t="s">
        <v>220</v>
      </c>
      <c r="D363" s="5">
        <v>4750000</v>
      </c>
      <c r="E363" s="1">
        <v>1085345772</v>
      </c>
      <c r="F363" s="1" t="s">
        <v>221</v>
      </c>
      <c r="G363" s="1" t="s">
        <v>9</v>
      </c>
    </row>
    <row r="364" spans="1:7" ht="14.25" customHeight="1" x14ac:dyDescent="0.25">
      <c r="A364" s="13">
        <v>45525</v>
      </c>
      <c r="B364" s="1">
        <v>2024001512</v>
      </c>
      <c r="C364" s="1" t="s">
        <v>222</v>
      </c>
      <c r="D364" s="5">
        <v>4750000</v>
      </c>
      <c r="E364" s="1">
        <v>87060703</v>
      </c>
      <c r="F364" s="1" t="s">
        <v>223</v>
      </c>
      <c r="G364" s="1" t="s">
        <v>9</v>
      </c>
    </row>
    <row r="365" spans="1:7" ht="14.25" customHeight="1" x14ac:dyDescent="0.25">
      <c r="A365" s="13">
        <v>45525</v>
      </c>
      <c r="B365" s="1">
        <v>2024001513</v>
      </c>
      <c r="C365" s="1" t="s">
        <v>224</v>
      </c>
      <c r="D365" s="5">
        <v>2000000</v>
      </c>
      <c r="E365" s="1">
        <v>12750863</v>
      </c>
      <c r="F365" s="1" t="s">
        <v>225</v>
      </c>
      <c r="G365" s="1" t="s">
        <v>9</v>
      </c>
    </row>
    <row r="366" spans="1:7" ht="14.25" customHeight="1" x14ac:dyDescent="0.25">
      <c r="A366" s="13">
        <v>45525</v>
      </c>
      <c r="B366" s="1">
        <v>2024001514</v>
      </c>
      <c r="C366" s="1" t="s">
        <v>252</v>
      </c>
      <c r="D366" s="5">
        <v>4750000</v>
      </c>
      <c r="E366" s="1">
        <v>1087422930</v>
      </c>
      <c r="F366" s="1" t="s">
        <v>253</v>
      </c>
      <c r="G366" s="1" t="s">
        <v>9</v>
      </c>
    </row>
    <row r="367" spans="1:7" ht="14.25" customHeight="1" x14ac:dyDescent="0.25">
      <c r="A367" s="13">
        <v>45525</v>
      </c>
      <c r="B367" s="1">
        <v>2024001515</v>
      </c>
      <c r="C367" s="1" t="s">
        <v>226</v>
      </c>
      <c r="D367" s="5">
        <v>2000000</v>
      </c>
      <c r="E367" s="1">
        <v>1085338575</v>
      </c>
      <c r="F367" s="1" t="s">
        <v>227</v>
      </c>
      <c r="G367" s="1" t="s">
        <v>9</v>
      </c>
    </row>
    <row r="368" spans="1:7" ht="14.25" customHeight="1" x14ac:dyDescent="0.25">
      <c r="A368" s="13">
        <v>45525</v>
      </c>
      <c r="B368" s="1">
        <v>2024001516</v>
      </c>
      <c r="C368" s="1" t="s">
        <v>228</v>
      </c>
      <c r="D368" s="5">
        <v>2000000</v>
      </c>
      <c r="E368" s="1">
        <v>1193271854</v>
      </c>
      <c r="F368" s="1" t="s">
        <v>229</v>
      </c>
      <c r="G368" s="1" t="s">
        <v>9</v>
      </c>
    </row>
    <row r="369" spans="1:7" ht="14.25" customHeight="1" x14ac:dyDescent="0.25">
      <c r="A369" s="13">
        <v>45525</v>
      </c>
      <c r="B369" s="1">
        <v>2024001517</v>
      </c>
      <c r="C369" s="1" t="s">
        <v>230</v>
      </c>
      <c r="D369" s="5">
        <v>7500000</v>
      </c>
      <c r="E369" s="1">
        <v>1085335767</v>
      </c>
      <c r="F369" s="1" t="s">
        <v>231</v>
      </c>
      <c r="G369" s="1" t="s">
        <v>9</v>
      </c>
    </row>
    <row r="370" spans="1:7" ht="14.25" customHeight="1" x14ac:dyDescent="0.25">
      <c r="A370" s="13">
        <v>45525</v>
      </c>
      <c r="B370" s="1">
        <v>2024001518</v>
      </c>
      <c r="C370" s="1" t="s">
        <v>232</v>
      </c>
      <c r="D370" s="5">
        <v>2000000</v>
      </c>
      <c r="E370" s="1">
        <v>1014857280</v>
      </c>
      <c r="F370" s="1" t="s">
        <v>233</v>
      </c>
      <c r="G370" s="1" t="s">
        <v>9</v>
      </c>
    </row>
    <row r="371" spans="1:7" ht="14.25" customHeight="1" x14ac:dyDescent="0.25">
      <c r="A371" s="13">
        <v>45525</v>
      </c>
      <c r="B371" s="1">
        <v>2024001519</v>
      </c>
      <c r="C371" s="1" t="s">
        <v>234</v>
      </c>
      <c r="D371" s="5">
        <v>4750000</v>
      </c>
      <c r="E371" s="1">
        <v>1085318201</v>
      </c>
      <c r="F371" s="1" t="s">
        <v>235</v>
      </c>
      <c r="G371" s="1" t="s">
        <v>9</v>
      </c>
    </row>
    <row r="372" spans="1:7" ht="14.25" customHeight="1" x14ac:dyDescent="0.25">
      <c r="A372" s="13">
        <v>45525</v>
      </c>
      <c r="B372" s="1">
        <v>2024001520</v>
      </c>
      <c r="C372" s="1" t="s">
        <v>236</v>
      </c>
      <c r="D372" s="5">
        <v>2000000</v>
      </c>
      <c r="E372" s="1">
        <v>1004234290</v>
      </c>
      <c r="F372" s="1" t="s">
        <v>237</v>
      </c>
      <c r="G372" s="1" t="s">
        <v>9</v>
      </c>
    </row>
    <row r="373" spans="1:7" ht="14.25" customHeight="1" x14ac:dyDescent="0.25">
      <c r="A373" s="13">
        <v>45525</v>
      </c>
      <c r="B373" s="1">
        <v>2024001521</v>
      </c>
      <c r="C373" s="1" t="s">
        <v>238</v>
      </c>
      <c r="D373" s="5">
        <v>7500000</v>
      </c>
      <c r="E373" s="1">
        <v>1233189066</v>
      </c>
      <c r="F373" s="1" t="s">
        <v>239</v>
      </c>
      <c r="G373" s="1" t="s">
        <v>9</v>
      </c>
    </row>
    <row r="374" spans="1:7" ht="14.25" customHeight="1" x14ac:dyDescent="0.25">
      <c r="A374" s="13">
        <v>45525</v>
      </c>
      <c r="B374" s="1">
        <v>2024001522</v>
      </c>
      <c r="C374" s="1" t="s">
        <v>240</v>
      </c>
      <c r="D374" s="5">
        <v>4825600</v>
      </c>
      <c r="E374" s="1">
        <v>1085289739</v>
      </c>
      <c r="F374" s="1" t="s">
        <v>241</v>
      </c>
      <c r="G374" s="1" t="s">
        <v>9</v>
      </c>
    </row>
    <row r="375" spans="1:7" ht="14.25" customHeight="1" x14ac:dyDescent="0.25">
      <c r="A375" s="13">
        <v>45525</v>
      </c>
      <c r="B375" s="1">
        <v>2024001523</v>
      </c>
      <c r="C375" s="1" t="s">
        <v>242</v>
      </c>
      <c r="D375" s="5">
        <v>2000000</v>
      </c>
      <c r="E375" s="1">
        <v>1137624011</v>
      </c>
      <c r="F375" s="1" t="s">
        <v>243</v>
      </c>
      <c r="G375" s="1" t="s">
        <v>9</v>
      </c>
    </row>
    <row r="376" spans="1:7" ht="14.25" customHeight="1" x14ac:dyDescent="0.25">
      <c r="A376" s="13">
        <v>45525</v>
      </c>
      <c r="B376" s="1">
        <v>2024001524</v>
      </c>
      <c r="C376" s="1" t="s">
        <v>244</v>
      </c>
      <c r="D376" s="5">
        <v>4825600</v>
      </c>
      <c r="E376" s="1">
        <v>30732782</v>
      </c>
      <c r="F376" s="1" t="s">
        <v>245</v>
      </c>
      <c r="G376" s="1" t="s">
        <v>9</v>
      </c>
    </row>
    <row r="377" spans="1:7" ht="14.25" customHeight="1" x14ac:dyDescent="0.25">
      <c r="A377" s="13">
        <v>45525</v>
      </c>
      <c r="B377" s="1">
        <v>2024001525</v>
      </c>
      <c r="C377" s="1" t="s">
        <v>246</v>
      </c>
      <c r="D377" s="5">
        <v>4825600</v>
      </c>
      <c r="E377" s="1">
        <v>1085267184</v>
      </c>
      <c r="F377" s="1" t="s">
        <v>247</v>
      </c>
      <c r="G377" s="1" t="s">
        <v>9</v>
      </c>
    </row>
    <row r="378" spans="1:7" ht="14.25" customHeight="1" x14ac:dyDescent="0.25">
      <c r="A378" s="13">
        <v>45525</v>
      </c>
      <c r="B378" s="1">
        <v>2024001526</v>
      </c>
      <c r="C378" s="1" t="s">
        <v>248</v>
      </c>
      <c r="D378" s="5">
        <v>4750000</v>
      </c>
      <c r="E378" s="1">
        <v>1085330309</v>
      </c>
      <c r="F378" s="1" t="s">
        <v>249</v>
      </c>
      <c r="G378" s="1" t="s">
        <v>9</v>
      </c>
    </row>
    <row r="379" spans="1:7" ht="14.25" customHeight="1" x14ac:dyDescent="0.25">
      <c r="A379" s="13">
        <v>45525</v>
      </c>
      <c r="B379" s="1">
        <v>2024001527</v>
      </c>
      <c r="C379" s="1" t="s">
        <v>250</v>
      </c>
      <c r="D379" s="5">
        <v>2000000</v>
      </c>
      <c r="E379" s="1">
        <v>1085271641</v>
      </c>
      <c r="F379" s="1" t="s">
        <v>251</v>
      </c>
      <c r="G379" s="1" t="s">
        <v>9</v>
      </c>
    </row>
    <row r="380" spans="1:7" ht="14.25" customHeight="1" x14ac:dyDescent="0.25">
      <c r="A380" s="13">
        <v>45525</v>
      </c>
      <c r="B380" s="1">
        <v>2024001529</v>
      </c>
      <c r="C380" s="1" t="s">
        <v>78</v>
      </c>
      <c r="D380" s="5">
        <v>2000000</v>
      </c>
      <c r="E380" s="1">
        <v>1085326198</v>
      </c>
      <c r="F380" s="1" t="s">
        <v>79</v>
      </c>
      <c r="G380" s="1" t="s">
        <v>9</v>
      </c>
    </row>
    <row r="381" spans="1:7" ht="14.25" customHeight="1" x14ac:dyDescent="0.25">
      <c r="A381" s="13">
        <v>45525</v>
      </c>
      <c r="B381" s="1">
        <v>2024001531</v>
      </c>
      <c r="C381" s="1" t="s">
        <v>268</v>
      </c>
      <c r="D381" s="5">
        <v>64529002</v>
      </c>
      <c r="E381" s="1">
        <v>900994364</v>
      </c>
      <c r="F381" s="1" t="s">
        <v>269</v>
      </c>
      <c r="G381" s="1" t="s">
        <v>9</v>
      </c>
    </row>
    <row r="382" spans="1:7" ht="14.25" customHeight="1" x14ac:dyDescent="0.25">
      <c r="A382" s="13">
        <v>45525</v>
      </c>
      <c r="B382" s="1">
        <v>2024001532</v>
      </c>
      <c r="C382" s="1" t="s">
        <v>80</v>
      </c>
      <c r="D382" s="5">
        <v>2000000</v>
      </c>
      <c r="E382" s="1">
        <v>1088799034</v>
      </c>
      <c r="F382" s="1" t="s">
        <v>81</v>
      </c>
      <c r="G382" s="1" t="s">
        <v>9</v>
      </c>
    </row>
    <row r="383" spans="1:7" ht="14.25" customHeight="1" x14ac:dyDescent="0.25">
      <c r="A383" s="13">
        <v>45525</v>
      </c>
      <c r="B383" s="1">
        <v>2024001533</v>
      </c>
      <c r="C383" s="1" t="s">
        <v>254</v>
      </c>
      <c r="D383" s="5">
        <v>2000000</v>
      </c>
      <c r="E383" s="1">
        <v>1085330237</v>
      </c>
      <c r="F383" s="1" t="s">
        <v>255</v>
      </c>
      <c r="G383" s="1" t="s">
        <v>9</v>
      </c>
    </row>
    <row r="384" spans="1:7" ht="14.25" customHeight="1" x14ac:dyDescent="0.25">
      <c r="A384" s="13">
        <v>45525</v>
      </c>
      <c r="B384" s="1">
        <v>2024001534</v>
      </c>
      <c r="C384" s="1" t="s">
        <v>256</v>
      </c>
      <c r="D384" s="5">
        <v>2000000</v>
      </c>
      <c r="E384" s="1">
        <v>37087268</v>
      </c>
      <c r="F384" s="1" t="s">
        <v>257</v>
      </c>
      <c r="G384" s="1" t="s">
        <v>9</v>
      </c>
    </row>
    <row r="385" spans="1:7" ht="14.25" customHeight="1" x14ac:dyDescent="0.25">
      <c r="A385" s="13">
        <v>45525</v>
      </c>
      <c r="B385" s="1">
        <v>2024001535</v>
      </c>
      <c r="C385" s="1" t="s">
        <v>258</v>
      </c>
      <c r="D385" s="5">
        <v>2000000</v>
      </c>
      <c r="E385" s="1">
        <v>1085320930</v>
      </c>
      <c r="F385" s="1" t="s">
        <v>259</v>
      </c>
      <c r="G385" s="1" t="s">
        <v>9</v>
      </c>
    </row>
    <row r="386" spans="1:7" ht="14.25" customHeight="1" x14ac:dyDescent="0.25">
      <c r="A386" s="13">
        <v>45525</v>
      </c>
      <c r="B386" s="1">
        <v>2024001542</v>
      </c>
      <c r="C386" s="1" t="s">
        <v>138</v>
      </c>
      <c r="D386" s="5">
        <v>2000000</v>
      </c>
      <c r="E386" s="1">
        <v>1085295383</v>
      </c>
      <c r="F386" s="1" t="s">
        <v>139</v>
      </c>
      <c r="G386" s="1" t="s">
        <v>9</v>
      </c>
    </row>
    <row r="387" spans="1:7" ht="14.25" customHeight="1" x14ac:dyDescent="0.25">
      <c r="A387" s="13">
        <v>45525</v>
      </c>
      <c r="B387" s="1">
        <v>2024001544</v>
      </c>
      <c r="C387" s="1" t="s">
        <v>260</v>
      </c>
      <c r="D387" s="5">
        <v>6000000</v>
      </c>
      <c r="E387" s="1">
        <v>59820414</v>
      </c>
      <c r="F387" s="1" t="s">
        <v>261</v>
      </c>
      <c r="G387" s="1" t="s">
        <v>9</v>
      </c>
    </row>
    <row r="388" spans="1:7" ht="14.25" customHeight="1" x14ac:dyDescent="0.25">
      <c r="A388" s="13">
        <v>45525</v>
      </c>
      <c r="B388" s="1">
        <v>2024001546</v>
      </c>
      <c r="C388" s="1" t="s">
        <v>262</v>
      </c>
      <c r="D388" s="5">
        <v>2000000</v>
      </c>
      <c r="E388" s="1">
        <v>36752202</v>
      </c>
      <c r="F388" s="1" t="s">
        <v>263</v>
      </c>
      <c r="G388" s="1" t="s">
        <v>9</v>
      </c>
    </row>
    <row r="389" spans="1:7" ht="14.25" customHeight="1" x14ac:dyDescent="0.25">
      <c r="A389" s="13">
        <v>45525</v>
      </c>
      <c r="B389" s="1">
        <v>2024001549</v>
      </c>
      <c r="C389" s="1" t="s">
        <v>264</v>
      </c>
      <c r="D389" s="5">
        <v>2000000</v>
      </c>
      <c r="E389" s="1">
        <v>1010085543</v>
      </c>
      <c r="F389" s="1" t="s">
        <v>265</v>
      </c>
      <c r="G389" s="1" t="s">
        <v>9</v>
      </c>
    </row>
    <row r="390" spans="1:7" ht="14.25" customHeight="1" x14ac:dyDescent="0.25">
      <c r="A390" s="13">
        <v>45525</v>
      </c>
      <c r="B390" s="1">
        <v>2024001551</v>
      </c>
      <c r="C390" s="1" t="s">
        <v>266</v>
      </c>
      <c r="D390" s="5">
        <v>4750000</v>
      </c>
      <c r="E390" s="1">
        <v>1193383306</v>
      </c>
      <c r="F390" s="1" t="s">
        <v>267</v>
      </c>
      <c r="G390" s="1" t="s">
        <v>9</v>
      </c>
    </row>
    <row r="391" spans="1:7" ht="14.25" customHeight="1" x14ac:dyDescent="0.25">
      <c r="A391" s="13">
        <v>45526</v>
      </c>
      <c r="B391" s="1">
        <v>2024001554</v>
      </c>
      <c r="C391" s="1" t="s">
        <v>270</v>
      </c>
      <c r="D391" s="5">
        <v>2000000</v>
      </c>
      <c r="E391" s="1">
        <v>36757522</v>
      </c>
      <c r="F391" s="1" t="s">
        <v>271</v>
      </c>
      <c r="G391" s="1" t="s">
        <v>9</v>
      </c>
    </row>
    <row r="392" spans="1:7" ht="14.25" customHeight="1" x14ac:dyDescent="0.25">
      <c r="A392" s="13">
        <v>45526</v>
      </c>
      <c r="B392" s="1">
        <v>2024001555</v>
      </c>
      <c r="C392" s="1" t="s">
        <v>272</v>
      </c>
      <c r="D392" s="5">
        <v>4825600</v>
      </c>
      <c r="E392" s="1">
        <v>1085332406</v>
      </c>
      <c r="F392" s="1" t="s">
        <v>273</v>
      </c>
      <c r="G392" s="1" t="s">
        <v>9</v>
      </c>
    </row>
    <row r="393" spans="1:7" ht="14.25" customHeight="1" x14ac:dyDescent="0.25">
      <c r="A393" s="13">
        <v>45526</v>
      </c>
      <c r="B393" s="1">
        <v>2024001556</v>
      </c>
      <c r="C393" s="1" t="s">
        <v>122</v>
      </c>
      <c r="D393" s="5">
        <v>2000000</v>
      </c>
      <c r="E393" s="1">
        <v>1004592366</v>
      </c>
      <c r="F393" s="1" t="s">
        <v>123</v>
      </c>
      <c r="G393" s="1" t="s">
        <v>9</v>
      </c>
    </row>
    <row r="394" spans="1:7" ht="14.25" customHeight="1" x14ac:dyDescent="0.25">
      <c r="A394" s="13">
        <v>45526</v>
      </c>
      <c r="B394" s="1">
        <v>2024001557</v>
      </c>
      <c r="C394" s="1" t="s">
        <v>274</v>
      </c>
      <c r="D394" s="5">
        <v>4800600</v>
      </c>
      <c r="E394" s="1">
        <v>1085321578</v>
      </c>
      <c r="F394" s="1" t="s">
        <v>275</v>
      </c>
      <c r="G394" s="1" t="s">
        <v>9</v>
      </c>
    </row>
    <row r="395" spans="1:7" ht="14.25" customHeight="1" x14ac:dyDescent="0.25">
      <c r="A395" s="13">
        <v>45526</v>
      </c>
      <c r="B395" s="1">
        <v>2024001558</v>
      </c>
      <c r="C395" s="1" t="s">
        <v>276</v>
      </c>
      <c r="D395" s="5">
        <v>2000000</v>
      </c>
      <c r="E395" s="1">
        <v>1192717330</v>
      </c>
      <c r="F395" s="1" t="s">
        <v>277</v>
      </c>
      <c r="G395" s="1" t="s">
        <v>9</v>
      </c>
    </row>
    <row r="396" spans="1:7" ht="14.25" customHeight="1" x14ac:dyDescent="0.25">
      <c r="A396" s="13">
        <v>45526</v>
      </c>
      <c r="B396" s="1">
        <v>2024001559</v>
      </c>
      <c r="C396" s="1" t="s">
        <v>278</v>
      </c>
      <c r="D396" s="5">
        <v>2000000</v>
      </c>
      <c r="E396" s="1">
        <v>1233189896</v>
      </c>
      <c r="F396" s="1" t="s">
        <v>279</v>
      </c>
      <c r="G396" s="1" t="s">
        <v>9</v>
      </c>
    </row>
    <row r="397" spans="1:7" ht="14.25" customHeight="1" x14ac:dyDescent="0.25">
      <c r="A397" s="13">
        <v>45526</v>
      </c>
      <c r="B397" s="1">
        <v>2024001561</v>
      </c>
      <c r="C397" s="1" t="s">
        <v>280</v>
      </c>
      <c r="D397" s="5">
        <v>2000000</v>
      </c>
      <c r="E397" s="1">
        <v>59830219</v>
      </c>
      <c r="F397" s="1" t="s">
        <v>281</v>
      </c>
      <c r="G397" s="1" t="s">
        <v>9</v>
      </c>
    </row>
    <row r="398" spans="1:7" ht="14.25" customHeight="1" x14ac:dyDescent="0.25">
      <c r="A398" s="13">
        <v>45526</v>
      </c>
      <c r="B398" s="1">
        <v>2024001562</v>
      </c>
      <c r="C398" s="1" t="s">
        <v>282</v>
      </c>
      <c r="D398" s="5">
        <v>2000000</v>
      </c>
      <c r="E398" s="1">
        <v>1085327836</v>
      </c>
      <c r="F398" s="1" t="s">
        <v>283</v>
      </c>
      <c r="G398" s="1" t="s">
        <v>9</v>
      </c>
    </row>
    <row r="399" spans="1:7" ht="14.25" customHeight="1" x14ac:dyDescent="0.25">
      <c r="A399" s="13">
        <v>45526</v>
      </c>
      <c r="B399" s="1">
        <v>2024001563</v>
      </c>
      <c r="C399" s="1" t="s">
        <v>22</v>
      </c>
      <c r="D399" s="5">
        <v>4750000</v>
      </c>
      <c r="E399" s="1">
        <v>1085325342</v>
      </c>
      <c r="F399" s="1" t="s">
        <v>23</v>
      </c>
      <c r="G399" s="1" t="s">
        <v>9</v>
      </c>
    </row>
    <row r="400" spans="1:7" ht="14.25" customHeight="1" x14ac:dyDescent="0.25">
      <c r="A400" s="13">
        <v>45526</v>
      </c>
      <c r="B400" s="1">
        <v>2024001564</v>
      </c>
      <c r="C400" s="1" t="s">
        <v>284</v>
      </c>
      <c r="D400" s="5">
        <v>2000000</v>
      </c>
      <c r="E400" s="1">
        <v>27094521</v>
      </c>
      <c r="F400" s="1" t="s">
        <v>285</v>
      </c>
      <c r="G400" s="1" t="s">
        <v>9</v>
      </c>
    </row>
    <row r="401" spans="1:7" ht="14.25" customHeight="1" x14ac:dyDescent="0.25">
      <c r="A401" s="13">
        <v>45526</v>
      </c>
      <c r="B401" s="1">
        <v>2024001565</v>
      </c>
      <c r="C401" s="1" t="s">
        <v>286</v>
      </c>
      <c r="D401" s="5">
        <v>2000000</v>
      </c>
      <c r="E401" s="1">
        <v>1085338232</v>
      </c>
      <c r="F401" s="1" t="s">
        <v>287</v>
      </c>
      <c r="G401" s="1" t="s">
        <v>9</v>
      </c>
    </row>
    <row r="402" spans="1:7" ht="14.25" customHeight="1" x14ac:dyDescent="0.25">
      <c r="A402" s="13">
        <v>45526</v>
      </c>
      <c r="B402" s="1">
        <v>2024001566</v>
      </c>
      <c r="C402" s="1" t="s">
        <v>288</v>
      </c>
      <c r="D402" s="5">
        <v>2000000</v>
      </c>
      <c r="E402" s="1">
        <v>1004709928</v>
      </c>
      <c r="F402" s="1" t="s">
        <v>289</v>
      </c>
      <c r="G402" s="1" t="s">
        <v>9</v>
      </c>
    </row>
    <row r="403" spans="1:7" ht="14.25" customHeight="1" x14ac:dyDescent="0.25">
      <c r="A403" s="13">
        <v>45526</v>
      </c>
      <c r="B403" s="1">
        <v>2024001567</v>
      </c>
      <c r="C403" s="1" t="s">
        <v>290</v>
      </c>
      <c r="D403" s="5">
        <v>2000000</v>
      </c>
      <c r="E403" s="1">
        <v>1085344082</v>
      </c>
      <c r="F403" s="1" t="s">
        <v>291</v>
      </c>
      <c r="G403" s="1" t="s">
        <v>9</v>
      </c>
    </row>
    <row r="404" spans="1:7" ht="14.25" customHeight="1" x14ac:dyDescent="0.25">
      <c r="A404" s="13">
        <v>45526</v>
      </c>
      <c r="B404" s="1">
        <v>2024001568</v>
      </c>
      <c r="C404" s="1" t="s">
        <v>292</v>
      </c>
      <c r="D404" s="5">
        <v>2000000</v>
      </c>
      <c r="E404" s="1">
        <v>1085330079</v>
      </c>
      <c r="F404" s="1" t="s">
        <v>293</v>
      </c>
      <c r="G404" s="1" t="s">
        <v>9</v>
      </c>
    </row>
    <row r="405" spans="1:7" ht="14.25" customHeight="1" x14ac:dyDescent="0.25">
      <c r="A405" s="13">
        <v>45526</v>
      </c>
      <c r="B405" s="1">
        <v>2024001569</v>
      </c>
      <c r="C405" s="1" t="s">
        <v>294</v>
      </c>
      <c r="D405" s="5">
        <v>4825600</v>
      </c>
      <c r="E405" s="1">
        <v>1088730712</v>
      </c>
      <c r="F405" s="1" t="s">
        <v>295</v>
      </c>
      <c r="G405" s="1" t="s">
        <v>9</v>
      </c>
    </row>
    <row r="406" spans="1:7" ht="14.25" customHeight="1" x14ac:dyDescent="0.25">
      <c r="A406" s="13">
        <v>45526</v>
      </c>
      <c r="B406" s="1">
        <v>2024001571</v>
      </c>
      <c r="C406" s="1" t="s">
        <v>296</v>
      </c>
      <c r="D406" s="5">
        <v>2000000</v>
      </c>
      <c r="E406" s="1">
        <v>59830040</v>
      </c>
      <c r="F406" s="1" t="s">
        <v>297</v>
      </c>
      <c r="G406" s="1" t="s">
        <v>9</v>
      </c>
    </row>
    <row r="407" spans="1:7" ht="14.25" customHeight="1" x14ac:dyDescent="0.25">
      <c r="A407" s="13">
        <v>45526</v>
      </c>
      <c r="B407" s="1">
        <v>2024001572</v>
      </c>
      <c r="C407" s="1" t="s">
        <v>298</v>
      </c>
      <c r="D407" s="5">
        <v>4825600</v>
      </c>
      <c r="E407" s="1">
        <v>12983807</v>
      </c>
      <c r="F407" s="1" t="s">
        <v>299</v>
      </c>
      <c r="G407" s="1" t="s">
        <v>9</v>
      </c>
    </row>
    <row r="408" spans="1:7" ht="14.25" customHeight="1" x14ac:dyDescent="0.25">
      <c r="A408" s="13">
        <v>45526</v>
      </c>
      <c r="B408" s="1">
        <v>2024001573</v>
      </c>
      <c r="C408" s="1" t="s">
        <v>26</v>
      </c>
      <c r="D408" s="5">
        <v>6000000</v>
      </c>
      <c r="E408" s="1">
        <v>1085292185</v>
      </c>
      <c r="F408" s="1" t="s">
        <v>27</v>
      </c>
      <c r="G408" s="1" t="s">
        <v>9</v>
      </c>
    </row>
    <row r="409" spans="1:7" ht="14.25" customHeight="1" x14ac:dyDescent="0.25">
      <c r="A409" s="13">
        <v>45526</v>
      </c>
      <c r="B409" s="1">
        <v>2024001575</v>
      </c>
      <c r="C409" s="1" t="s">
        <v>300</v>
      </c>
      <c r="D409" s="5">
        <v>2000000</v>
      </c>
      <c r="E409" s="1">
        <v>1085325718</v>
      </c>
      <c r="F409" s="1" t="s">
        <v>301</v>
      </c>
      <c r="G409" s="1" t="s">
        <v>9</v>
      </c>
    </row>
    <row r="410" spans="1:7" ht="14.25" customHeight="1" x14ac:dyDescent="0.25">
      <c r="A410" s="13">
        <v>45526</v>
      </c>
      <c r="B410" s="1">
        <v>2024001576</v>
      </c>
      <c r="C410" s="1" t="s">
        <v>300</v>
      </c>
      <c r="D410" s="5">
        <v>2000000</v>
      </c>
      <c r="E410" s="1">
        <v>1085325718</v>
      </c>
      <c r="F410" s="1" t="s">
        <v>301</v>
      </c>
      <c r="G410" s="1" t="s">
        <v>9</v>
      </c>
    </row>
    <row r="411" spans="1:7" ht="14.25" customHeight="1" x14ac:dyDescent="0.25">
      <c r="A411" s="13">
        <v>45526</v>
      </c>
      <c r="B411" s="1">
        <v>2024001577</v>
      </c>
      <c r="C411" s="1" t="s">
        <v>302</v>
      </c>
      <c r="D411" s="5">
        <v>2000000</v>
      </c>
      <c r="E411" s="1">
        <v>1085251468</v>
      </c>
      <c r="F411" s="1" t="s">
        <v>303</v>
      </c>
      <c r="G411" s="1" t="s">
        <v>9</v>
      </c>
    </row>
    <row r="412" spans="1:7" ht="14.25" customHeight="1" x14ac:dyDescent="0.25">
      <c r="A412" s="13">
        <v>45526</v>
      </c>
      <c r="B412" s="1">
        <v>2024001578</v>
      </c>
      <c r="C412" s="1" t="s">
        <v>70</v>
      </c>
      <c r="D412" s="5">
        <v>2000000</v>
      </c>
      <c r="E412" s="1">
        <v>59314601</v>
      </c>
      <c r="F412" s="1" t="s">
        <v>71</v>
      </c>
      <c r="G412" s="1" t="s">
        <v>9</v>
      </c>
    </row>
    <row r="413" spans="1:7" ht="14.25" customHeight="1" x14ac:dyDescent="0.25">
      <c r="A413" s="13">
        <v>45526</v>
      </c>
      <c r="B413" s="1">
        <v>2024001579</v>
      </c>
      <c r="C413" s="1" t="s">
        <v>34</v>
      </c>
      <c r="D413" s="5">
        <v>2000000</v>
      </c>
      <c r="E413" s="1">
        <v>1085331508</v>
      </c>
      <c r="F413" s="1" t="s">
        <v>35</v>
      </c>
      <c r="G413" s="1" t="s">
        <v>9</v>
      </c>
    </row>
    <row r="414" spans="1:7" ht="14.25" customHeight="1" x14ac:dyDescent="0.25">
      <c r="A414" s="13">
        <v>45526</v>
      </c>
      <c r="B414" s="1">
        <v>2024001581</v>
      </c>
      <c r="C414" s="1" t="s">
        <v>304</v>
      </c>
      <c r="D414" s="5">
        <v>2000000</v>
      </c>
      <c r="E414" s="1">
        <v>1086016308</v>
      </c>
      <c r="F414" s="1" t="s">
        <v>305</v>
      </c>
      <c r="G414" s="1" t="s">
        <v>9</v>
      </c>
    </row>
    <row r="415" spans="1:7" ht="14.25" customHeight="1" x14ac:dyDescent="0.25">
      <c r="A415" s="13">
        <v>45526</v>
      </c>
      <c r="B415" s="1">
        <v>2024001583</v>
      </c>
      <c r="C415" s="1" t="s">
        <v>306</v>
      </c>
      <c r="D415" s="5">
        <v>2000000</v>
      </c>
      <c r="E415" s="1">
        <v>1085310465</v>
      </c>
      <c r="F415" s="1" t="s">
        <v>307</v>
      </c>
      <c r="G415" s="1" t="s">
        <v>9</v>
      </c>
    </row>
    <row r="416" spans="1:7" ht="14.25" customHeight="1" x14ac:dyDescent="0.25">
      <c r="A416" s="13">
        <v>45530</v>
      </c>
      <c r="B416" s="1">
        <v>2024001599</v>
      </c>
      <c r="C416" s="1" t="s">
        <v>308</v>
      </c>
      <c r="D416" s="5">
        <v>7500000</v>
      </c>
      <c r="E416" s="1">
        <v>12961407</v>
      </c>
      <c r="F416" s="1" t="s">
        <v>309</v>
      </c>
      <c r="G416" s="1" t="s">
        <v>9</v>
      </c>
    </row>
    <row r="417" spans="1:7" ht="14.25" customHeight="1" x14ac:dyDescent="0.25">
      <c r="A417" s="13">
        <v>45530</v>
      </c>
      <c r="B417" s="1">
        <v>2024001600</v>
      </c>
      <c r="C417" s="1" t="s">
        <v>310</v>
      </c>
      <c r="D417" s="5">
        <v>6000000</v>
      </c>
      <c r="E417" s="1">
        <v>59836926</v>
      </c>
      <c r="F417" s="1" t="s">
        <v>311</v>
      </c>
      <c r="G417" s="1" t="s">
        <v>9</v>
      </c>
    </row>
    <row r="418" spans="1:7" ht="14.25" customHeight="1" x14ac:dyDescent="0.25">
      <c r="A418" s="13">
        <v>45530</v>
      </c>
      <c r="B418" s="1">
        <v>2024001601</v>
      </c>
      <c r="C418" s="1" t="s">
        <v>312</v>
      </c>
      <c r="D418" s="5">
        <v>2000000</v>
      </c>
      <c r="E418" s="1">
        <v>36757715</v>
      </c>
      <c r="F418" s="1" t="s">
        <v>313</v>
      </c>
      <c r="G418" s="1" t="s">
        <v>9</v>
      </c>
    </row>
    <row r="419" spans="1:7" ht="14.25" customHeight="1" x14ac:dyDescent="0.25">
      <c r="A419" s="13">
        <v>45530</v>
      </c>
      <c r="B419" s="1">
        <v>2024001602</v>
      </c>
      <c r="C419" s="1" t="s">
        <v>314</v>
      </c>
      <c r="D419" s="5">
        <v>2000000</v>
      </c>
      <c r="E419" s="1">
        <v>1085337465</v>
      </c>
      <c r="F419" s="1" t="s">
        <v>315</v>
      </c>
      <c r="G419" s="1" t="s">
        <v>9</v>
      </c>
    </row>
    <row r="420" spans="1:7" ht="14.25" customHeight="1" x14ac:dyDescent="0.25">
      <c r="A420" s="13">
        <v>45530</v>
      </c>
      <c r="B420" s="1">
        <v>2024001603</v>
      </c>
      <c r="C420" s="1" t="s">
        <v>316</v>
      </c>
      <c r="D420" s="5">
        <v>2000000</v>
      </c>
      <c r="E420" s="1">
        <v>1193265831</v>
      </c>
      <c r="F420" s="1" t="s">
        <v>317</v>
      </c>
      <c r="G420" s="1" t="s">
        <v>9</v>
      </c>
    </row>
    <row r="421" spans="1:7" ht="14.25" customHeight="1" x14ac:dyDescent="0.25">
      <c r="A421" s="13">
        <v>45530</v>
      </c>
      <c r="B421" s="1">
        <v>2024001604</v>
      </c>
      <c r="C421" s="1" t="s">
        <v>318</v>
      </c>
      <c r="D421" s="5">
        <v>2000000</v>
      </c>
      <c r="E421" s="1">
        <v>1081052090</v>
      </c>
      <c r="F421" s="1" t="s">
        <v>319</v>
      </c>
      <c r="G421" s="1" t="s">
        <v>9</v>
      </c>
    </row>
    <row r="422" spans="1:7" ht="14.25" customHeight="1" x14ac:dyDescent="0.25">
      <c r="A422" s="13">
        <v>45530</v>
      </c>
      <c r="B422" s="1">
        <v>2024001605</v>
      </c>
      <c r="C422" s="1" t="s">
        <v>30</v>
      </c>
      <c r="D422" s="5">
        <v>6000000</v>
      </c>
      <c r="E422" s="1">
        <v>1085253062</v>
      </c>
      <c r="F422" s="1" t="s">
        <v>31</v>
      </c>
      <c r="G422" s="1" t="s">
        <v>9</v>
      </c>
    </row>
    <row r="423" spans="1:7" ht="14.25" customHeight="1" x14ac:dyDescent="0.25">
      <c r="A423" s="13">
        <v>45530</v>
      </c>
      <c r="B423" s="1">
        <v>2024001606</v>
      </c>
      <c r="C423" s="1" t="s">
        <v>320</v>
      </c>
      <c r="D423" s="5">
        <v>2000000</v>
      </c>
      <c r="E423" s="1">
        <v>1085347540</v>
      </c>
      <c r="F423" s="1" t="s">
        <v>321</v>
      </c>
      <c r="G423" s="1" t="s">
        <v>9</v>
      </c>
    </row>
    <row r="424" spans="1:7" ht="14.25" customHeight="1" x14ac:dyDescent="0.25">
      <c r="A424" s="13">
        <v>45530</v>
      </c>
      <c r="B424" s="1">
        <v>2024001607</v>
      </c>
      <c r="C424" s="1" t="s">
        <v>28</v>
      </c>
      <c r="D424" s="5">
        <v>4750000</v>
      </c>
      <c r="E424" s="1">
        <v>1085324546</v>
      </c>
      <c r="F424" s="1" t="s">
        <v>29</v>
      </c>
      <c r="G424" s="1" t="s">
        <v>9</v>
      </c>
    </row>
    <row r="425" spans="1:7" ht="14.25" customHeight="1" x14ac:dyDescent="0.25">
      <c r="A425" s="13">
        <v>45531</v>
      </c>
      <c r="B425" s="1">
        <v>2024001610</v>
      </c>
      <c r="C425" s="1" t="s">
        <v>322</v>
      </c>
      <c r="D425" s="5">
        <v>2625000</v>
      </c>
      <c r="E425" s="1">
        <v>1085904098</v>
      </c>
      <c r="F425" s="1" t="s">
        <v>323</v>
      </c>
      <c r="G425" s="1" t="s">
        <v>9</v>
      </c>
    </row>
    <row r="426" spans="1:7" ht="14.25" customHeight="1" x14ac:dyDescent="0.25">
      <c r="A426" s="13">
        <v>45531</v>
      </c>
      <c r="B426" s="1">
        <v>2024001613</v>
      </c>
      <c r="C426" s="1" t="s">
        <v>324</v>
      </c>
      <c r="D426" s="5">
        <v>2000000</v>
      </c>
      <c r="E426" s="1">
        <v>1085290651</v>
      </c>
      <c r="F426" s="1" t="s">
        <v>325</v>
      </c>
      <c r="G426" s="1" t="s">
        <v>9</v>
      </c>
    </row>
    <row r="427" spans="1:7" ht="14.25" customHeight="1" x14ac:dyDescent="0.25">
      <c r="A427" s="13">
        <v>45531</v>
      </c>
      <c r="B427" s="1">
        <v>2024001614</v>
      </c>
      <c r="C427" s="1" t="s">
        <v>326</v>
      </c>
      <c r="D427" s="5">
        <v>2000000</v>
      </c>
      <c r="E427" s="1">
        <v>1085314075</v>
      </c>
      <c r="F427" s="1" t="s">
        <v>327</v>
      </c>
      <c r="G427" s="1" t="s">
        <v>9</v>
      </c>
    </row>
    <row r="428" spans="1:7" ht="14.25" customHeight="1" x14ac:dyDescent="0.25">
      <c r="A428" s="13">
        <v>45531</v>
      </c>
      <c r="B428" s="1">
        <v>2024001615</v>
      </c>
      <c r="C428" s="1" t="s">
        <v>328</v>
      </c>
      <c r="D428" s="5">
        <v>6000000</v>
      </c>
      <c r="E428" s="1">
        <v>97470681</v>
      </c>
      <c r="F428" s="1" t="s">
        <v>329</v>
      </c>
      <c r="G428" s="1" t="s">
        <v>9</v>
      </c>
    </row>
    <row r="429" spans="1:7" ht="14.25" customHeight="1" x14ac:dyDescent="0.25">
      <c r="A429" s="13">
        <v>45531</v>
      </c>
      <c r="B429" s="1">
        <v>2024001616</v>
      </c>
      <c r="C429" s="1" t="s">
        <v>38</v>
      </c>
      <c r="D429" s="5">
        <v>2000000</v>
      </c>
      <c r="E429" s="1">
        <v>1193385397</v>
      </c>
      <c r="F429" s="1" t="s">
        <v>39</v>
      </c>
      <c r="G429" s="1" t="s">
        <v>9</v>
      </c>
    </row>
    <row r="430" spans="1:7" ht="14.25" customHeight="1" x14ac:dyDescent="0.25">
      <c r="A430" s="13">
        <v>45531</v>
      </c>
      <c r="B430" s="1">
        <v>2024001617</v>
      </c>
      <c r="C430" s="1" t="s">
        <v>58</v>
      </c>
      <c r="D430" s="5">
        <v>2000000</v>
      </c>
      <c r="E430" s="1">
        <v>1081272025</v>
      </c>
      <c r="F430" s="1" t="s">
        <v>59</v>
      </c>
      <c r="G430" s="1" t="s">
        <v>9</v>
      </c>
    </row>
    <row r="431" spans="1:7" ht="14.25" customHeight="1" x14ac:dyDescent="0.25">
      <c r="A431" s="13">
        <v>45531</v>
      </c>
      <c r="B431" s="1">
        <v>2024001618</v>
      </c>
      <c r="C431" s="1" t="s">
        <v>330</v>
      </c>
      <c r="D431" s="5">
        <v>2000000</v>
      </c>
      <c r="E431" s="1">
        <v>1085313463</v>
      </c>
      <c r="F431" s="1" t="s">
        <v>331</v>
      </c>
      <c r="G431" s="1" t="s">
        <v>9</v>
      </c>
    </row>
    <row r="432" spans="1:7" ht="14.25" customHeight="1" x14ac:dyDescent="0.25">
      <c r="A432" s="13">
        <v>45531</v>
      </c>
      <c r="B432" s="1">
        <v>2024001619</v>
      </c>
      <c r="C432" s="1" t="s">
        <v>332</v>
      </c>
      <c r="D432" s="5">
        <v>4825600</v>
      </c>
      <c r="E432" s="1">
        <v>1085269530</v>
      </c>
      <c r="F432" s="1" t="s">
        <v>333</v>
      </c>
      <c r="G432" s="1" t="s">
        <v>9</v>
      </c>
    </row>
    <row r="433" spans="1:7" ht="14.25" customHeight="1" x14ac:dyDescent="0.25">
      <c r="A433" s="13">
        <v>45531</v>
      </c>
      <c r="B433" s="1">
        <v>2024001620</v>
      </c>
      <c r="C433" s="1" t="s">
        <v>334</v>
      </c>
      <c r="D433" s="5">
        <v>2000000</v>
      </c>
      <c r="E433" s="1">
        <v>1085261053</v>
      </c>
      <c r="F433" s="1" t="s">
        <v>335</v>
      </c>
      <c r="G433" s="1" t="s">
        <v>9</v>
      </c>
    </row>
    <row r="434" spans="1:7" ht="14.25" customHeight="1" x14ac:dyDescent="0.25">
      <c r="A434" s="13">
        <v>45531</v>
      </c>
      <c r="B434" s="1">
        <v>2024001621</v>
      </c>
      <c r="C434" s="1" t="s">
        <v>336</v>
      </c>
      <c r="D434" s="5">
        <v>6000000</v>
      </c>
      <c r="E434" s="1">
        <v>1010010954</v>
      </c>
      <c r="F434" s="1" t="s">
        <v>337</v>
      </c>
      <c r="G434" s="1" t="s">
        <v>9</v>
      </c>
    </row>
    <row r="435" spans="1:7" ht="14.25" customHeight="1" x14ac:dyDescent="0.25">
      <c r="A435" s="13">
        <v>45531</v>
      </c>
      <c r="B435" s="1">
        <v>2024001622</v>
      </c>
      <c r="C435" s="1" t="s">
        <v>338</v>
      </c>
      <c r="D435" s="5">
        <v>2000000</v>
      </c>
      <c r="E435" s="1">
        <v>1081273343</v>
      </c>
      <c r="F435" s="1" t="s">
        <v>339</v>
      </c>
      <c r="G435" s="1" t="s">
        <v>9</v>
      </c>
    </row>
    <row r="436" spans="1:7" ht="14.25" customHeight="1" x14ac:dyDescent="0.25">
      <c r="A436" s="13">
        <v>45531</v>
      </c>
      <c r="B436" s="1">
        <v>2024001623</v>
      </c>
      <c r="C436" s="1" t="s">
        <v>340</v>
      </c>
      <c r="D436" s="5">
        <v>2000000</v>
      </c>
      <c r="E436" s="1">
        <v>36759281</v>
      </c>
      <c r="F436" s="1" t="s">
        <v>341</v>
      </c>
      <c r="G436" s="1" t="s">
        <v>9</v>
      </c>
    </row>
    <row r="437" spans="1:7" ht="14.25" customHeight="1" x14ac:dyDescent="0.25">
      <c r="A437" s="13">
        <v>45531</v>
      </c>
      <c r="B437" s="1">
        <v>2024001624</v>
      </c>
      <c r="C437" s="1" t="s">
        <v>342</v>
      </c>
      <c r="D437" s="5">
        <v>6000000</v>
      </c>
      <c r="E437" s="1">
        <v>36954410</v>
      </c>
      <c r="F437" s="1" t="s">
        <v>343</v>
      </c>
      <c r="G437" s="1" t="s">
        <v>9</v>
      </c>
    </row>
    <row r="438" spans="1:7" ht="14.25" customHeight="1" x14ac:dyDescent="0.25">
      <c r="A438" s="13">
        <v>45532</v>
      </c>
      <c r="B438" s="1">
        <v>2024001625</v>
      </c>
      <c r="C438" s="1" t="s">
        <v>344</v>
      </c>
      <c r="D438" s="5">
        <v>2000000</v>
      </c>
      <c r="E438" s="1">
        <v>27309586</v>
      </c>
      <c r="F438" s="1" t="s">
        <v>345</v>
      </c>
      <c r="G438" s="1" t="s">
        <v>9</v>
      </c>
    </row>
    <row r="439" spans="1:7" ht="14.25" customHeight="1" x14ac:dyDescent="0.25">
      <c r="A439" s="13">
        <v>45532</v>
      </c>
      <c r="B439" s="1">
        <v>2024001626</v>
      </c>
      <c r="C439" s="1" t="s">
        <v>346</v>
      </c>
      <c r="D439" s="5">
        <v>2000000</v>
      </c>
      <c r="E439" s="1">
        <v>1004535115</v>
      </c>
      <c r="F439" s="1" t="s">
        <v>347</v>
      </c>
      <c r="G439" s="1" t="s">
        <v>9</v>
      </c>
    </row>
    <row r="440" spans="1:7" ht="14.25" customHeight="1" x14ac:dyDescent="0.25">
      <c r="A440" s="13">
        <v>45532</v>
      </c>
      <c r="B440" s="1">
        <v>2024001628</v>
      </c>
      <c r="C440" s="1" t="s">
        <v>348</v>
      </c>
      <c r="D440" s="5">
        <v>2000000</v>
      </c>
      <c r="E440" s="1">
        <v>27285974</v>
      </c>
      <c r="F440" s="1" t="s">
        <v>349</v>
      </c>
      <c r="G440" s="1" t="s">
        <v>9</v>
      </c>
    </row>
    <row r="441" spans="1:7" ht="14.25" customHeight="1" x14ac:dyDescent="0.25">
      <c r="A441" s="13">
        <v>45532</v>
      </c>
      <c r="B441" s="1">
        <v>2024001629</v>
      </c>
      <c r="C441" s="1" t="s">
        <v>350</v>
      </c>
      <c r="D441" s="5">
        <v>4750000</v>
      </c>
      <c r="E441" s="1">
        <v>1233192618</v>
      </c>
      <c r="F441" s="1" t="s">
        <v>351</v>
      </c>
      <c r="G441" s="1" t="s">
        <v>9</v>
      </c>
    </row>
    <row r="442" spans="1:7" ht="14.25" customHeight="1" x14ac:dyDescent="0.25">
      <c r="A442" s="13">
        <v>45532</v>
      </c>
      <c r="B442" s="1">
        <v>2024001630</v>
      </c>
      <c r="C442" s="1" t="s">
        <v>94</v>
      </c>
      <c r="D442" s="5">
        <v>4750000</v>
      </c>
      <c r="E442" s="1">
        <v>1087413951</v>
      </c>
      <c r="F442" s="1" t="s">
        <v>95</v>
      </c>
      <c r="G442" s="1" t="s">
        <v>9</v>
      </c>
    </row>
    <row r="443" spans="1:7" ht="14.25" customHeight="1" x14ac:dyDescent="0.25">
      <c r="A443" s="13">
        <v>45532</v>
      </c>
      <c r="B443" s="1">
        <v>2024001632</v>
      </c>
      <c r="C443" s="1" t="s">
        <v>352</v>
      </c>
      <c r="D443" s="5">
        <v>2000000</v>
      </c>
      <c r="E443" s="1">
        <v>1081592303</v>
      </c>
      <c r="F443" s="1" t="s">
        <v>353</v>
      </c>
      <c r="G443" s="1" t="s">
        <v>9</v>
      </c>
    </row>
    <row r="444" spans="1:7" ht="14.25" customHeight="1" x14ac:dyDescent="0.25">
      <c r="A444" s="13">
        <v>45532</v>
      </c>
      <c r="B444" s="1">
        <v>2024001633</v>
      </c>
      <c r="C444" s="1" t="s">
        <v>86</v>
      </c>
      <c r="D444" s="5">
        <v>2000000</v>
      </c>
      <c r="E444" s="1">
        <v>1233189234</v>
      </c>
      <c r="F444" s="1" t="s">
        <v>87</v>
      </c>
      <c r="G444" s="1" t="s">
        <v>9</v>
      </c>
    </row>
    <row r="445" spans="1:7" ht="14.25" customHeight="1" x14ac:dyDescent="0.25">
      <c r="A445" s="13">
        <v>45532</v>
      </c>
      <c r="B445" s="1">
        <v>2024001634</v>
      </c>
      <c r="C445" s="1" t="s">
        <v>354</v>
      </c>
      <c r="D445" s="5">
        <v>4750000</v>
      </c>
      <c r="E445" s="1">
        <v>1085318684</v>
      </c>
      <c r="F445" s="1" t="s">
        <v>355</v>
      </c>
      <c r="G445" s="1" t="s">
        <v>9</v>
      </c>
    </row>
    <row r="446" spans="1:7" ht="14.25" customHeight="1" x14ac:dyDescent="0.25">
      <c r="A446" s="13">
        <v>45532</v>
      </c>
      <c r="B446" s="1">
        <v>2024001636</v>
      </c>
      <c r="C446" s="1" t="s">
        <v>356</v>
      </c>
      <c r="D446" s="5">
        <v>2000000</v>
      </c>
      <c r="E446" s="1">
        <v>27090145</v>
      </c>
      <c r="F446" s="1" t="s">
        <v>357</v>
      </c>
      <c r="G446" s="1" t="s">
        <v>9</v>
      </c>
    </row>
    <row r="447" spans="1:7" ht="14.25" customHeight="1" x14ac:dyDescent="0.25">
      <c r="A447" s="13">
        <v>45532</v>
      </c>
      <c r="B447" s="1">
        <v>2024001637</v>
      </c>
      <c r="C447" s="1" t="s">
        <v>358</v>
      </c>
      <c r="D447" s="5">
        <v>7500000</v>
      </c>
      <c r="E447" s="1">
        <v>1085345430</v>
      </c>
      <c r="F447" s="1" t="s">
        <v>359</v>
      </c>
      <c r="G447" s="1" t="s">
        <v>9</v>
      </c>
    </row>
    <row r="448" spans="1:7" ht="14.25" customHeight="1" x14ac:dyDescent="0.25">
      <c r="A448" s="13">
        <v>45532</v>
      </c>
      <c r="B448" s="1">
        <v>2024001638</v>
      </c>
      <c r="C448" s="1" t="s">
        <v>360</v>
      </c>
      <c r="D448" s="5">
        <v>7500000</v>
      </c>
      <c r="E448" s="1">
        <v>7603662</v>
      </c>
      <c r="F448" s="1" t="s">
        <v>361</v>
      </c>
      <c r="G448" s="1" t="s">
        <v>9</v>
      </c>
    </row>
    <row r="449" spans="1:7" ht="14.25" customHeight="1" x14ac:dyDescent="0.25">
      <c r="A449" s="13">
        <v>45532</v>
      </c>
      <c r="B449" s="1">
        <v>2024001639</v>
      </c>
      <c r="C449" s="1" t="s">
        <v>42</v>
      </c>
      <c r="D449" s="5">
        <v>7500000</v>
      </c>
      <c r="E449" s="1">
        <v>87065647</v>
      </c>
      <c r="F449" s="1" t="s">
        <v>43</v>
      </c>
      <c r="G449" s="1" t="s">
        <v>9</v>
      </c>
    </row>
    <row r="450" spans="1:7" ht="14.25" customHeight="1" x14ac:dyDescent="0.25">
      <c r="A450" s="13">
        <v>45532</v>
      </c>
      <c r="B450" s="1">
        <v>2024001641</v>
      </c>
      <c r="C450" s="1" t="s">
        <v>152</v>
      </c>
      <c r="D450" s="5">
        <v>2000000</v>
      </c>
      <c r="E450" s="1">
        <v>1144206777</v>
      </c>
      <c r="F450" s="1" t="s">
        <v>153</v>
      </c>
      <c r="G450" s="1" t="s">
        <v>9</v>
      </c>
    </row>
    <row r="451" spans="1:7" ht="14.25" customHeight="1" x14ac:dyDescent="0.25">
      <c r="A451" s="13">
        <v>45532</v>
      </c>
      <c r="B451" s="1">
        <v>2024001642</v>
      </c>
      <c r="C451" s="1" t="s">
        <v>40</v>
      </c>
      <c r="D451" s="5">
        <v>7500000</v>
      </c>
      <c r="E451" s="1">
        <v>1085336362</v>
      </c>
      <c r="F451" s="1" t="s">
        <v>41</v>
      </c>
      <c r="G451" s="1" t="s">
        <v>9</v>
      </c>
    </row>
    <row r="452" spans="1:7" ht="14.25" customHeight="1" x14ac:dyDescent="0.25">
      <c r="A452" s="13">
        <v>45533</v>
      </c>
      <c r="B452" s="1">
        <v>2024001646</v>
      </c>
      <c r="C452" s="1" t="s">
        <v>362</v>
      </c>
      <c r="D452" s="5">
        <v>4825600</v>
      </c>
      <c r="E452" s="1">
        <v>1085321943</v>
      </c>
      <c r="F452" s="1" t="s">
        <v>363</v>
      </c>
      <c r="G452" s="1" t="s">
        <v>9</v>
      </c>
    </row>
    <row r="453" spans="1:7" ht="14.25" customHeight="1" x14ac:dyDescent="0.25">
      <c r="A453" s="13">
        <v>45533</v>
      </c>
      <c r="B453" s="1">
        <v>2024001647</v>
      </c>
      <c r="C453" s="1" t="s">
        <v>364</v>
      </c>
      <c r="D453" s="5">
        <v>2000000</v>
      </c>
      <c r="E453" s="1">
        <v>1004726758</v>
      </c>
      <c r="F453" s="1" t="s">
        <v>365</v>
      </c>
      <c r="G453" s="1" t="s">
        <v>9</v>
      </c>
    </row>
    <row r="454" spans="1:7" ht="14.25" customHeight="1" x14ac:dyDescent="0.25">
      <c r="A454" s="13">
        <v>45533</v>
      </c>
      <c r="B454" s="1">
        <v>2024001648</v>
      </c>
      <c r="C454" s="1" t="s">
        <v>366</v>
      </c>
      <c r="D454" s="5">
        <v>2000000</v>
      </c>
      <c r="E454" s="1">
        <v>1004508436</v>
      </c>
      <c r="F454" s="1" t="s">
        <v>367</v>
      </c>
      <c r="G454" s="1" t="s">
        <v>9</v>
      </c>
    </row>
    <row r="455" spans="1:7" ht="14.25" customHeight="1" x14ac:dyDescent="0.25">
      <c r="A455" s="13">
        <v>45533</v>
      </c>
      <c r="B455" s="1">
        <v>2024001649</v>
      </c>
      <c r="C455" s="1" t="s">
        <v>368</v>
      </c>
      <c r="D455" s="5">
        <v>2000000</v>
      </c>
      <c r="E455" s="1">
        <v>1085338135</v>
      </c>
      <c r="F455" s="1" t="s">
        <v>369</v>
      </c>
      <c r="G455" s="1" t="s">
        <v>9</v>
      </c>
    </row>
    <row r="456" spans="1:7" ht="14.25" customHeight="1" x14ac:dyDescent="0.25">
      <c r="A456" s="13">
        <v>45533</v>
      </c>
      <c r="B456" s="1">
        <v>2024001650</v>
      </c>
      <c r="C456" s="1" t="s">
        <v>370</v>
      </c>
      <c r="D456" s="5">
        <v>2000000</v>
      </c>
      <c r="E456" s="1">
        <v>1085269090</v>
      </c>
      <c r="F456" s="1" t="s">
        <v>371</v>
      </c>
      <c r="G456" s="1" t="s">
        <v>9</v>
      </c>
    </row>
    <row r="457" spans="1:7" ht="14.25" customHeight="1" x14ac:dyDescent="0.25">
      <c r="A457" s="13">
        <v>45537</v>
      </c>
      <c r="B457" s="1">
        <v>2024001654</v>
      </c>
      <c r="C457" s="1" t="s">
        <v>192</v>
      </c>
      <c r="D457" s="5">
        <v>7500000</v>
      </c>
      <c r="E457" s="1">
        <v>1126004086</v>
      </c>
      <c r="F457" s="1" t="s">
        <v>193</v>
      </c>
      <c r="G457" s="1" t="s">
        <v>9</v>
      </c>
    </row>
    <row r="458" spans="1:7" ht="14.25" customHeight="1" x14ac:dyDescent="0.25">
      <c r="A458" s="13">
        <v>45537</v>
      </c>
      <c r="B458" s="1">
        <v>2024001665</v>
      </c>
      <c r="C458" s="1" t="s">
        <v>112</v>
      </c>
      <c r="D458" s="5">
        <v>6000000</v>
      </c>
      <c r="E458" s="1">
        <v>1004213964</v>
      </c>
      <c r="F458" s="1" t="s">
        <v>113</v>
      </c>
      <c r="G458" s="1" t="s">
        <v>9</v>
      </c>
    </row>
    <row r="459" spans="1:7" ht="14.25" customHeight="1" x14ac:dyDescent="0.25">
      <c r="A459" s="13">
        <v>45537</v>
      </c>
      <c r="B459" s="1">
        <v>2024001670</v>
      </c>
      <c r="C459" s="1" t="s">
        <v>372</v>
      </c>
      <c r="D459" s="5">
        <v>2000000</v>
      </c>
      <c r="E459" s="1">
        <v>59311646</v>
      </c>
      <c r="F459" s="1" t="s">
        <v>373</v>
      </c>
      <c r="G459" s="1" t="s">
        <v>9</v>
      </c>
    </row>
    <row r="460" spans="1:7" ht="14.25" customHeight="1" x14ac:dyDescent="0.25">
      <c r="A460" s="13">
        <v>45538</v>
      </c>
      <c r="B460" s="1">
        <v>2024001685</v>
      </c>
      <c r="C460" s="1" t="s">
        <v>54</v>
      </c>
      <c r="D460" s="5">
        <v>6000000</v>
      </c>
      <c r="E460" s="1">
        <v>1085246134</v>
      </c>
      <c r="F460" s="1" t="s">
        <v>55</v>
      </c>
      <c r="G460" s="1" t="s">
        <v>9</v>
      </c>
    </row>
    <row r="461" spans="1:7" ht="14.25" customHeight="1" x14ac:dyDescent="0.25">
      <c r="A461" s="13">
        <v>45538</v>
      </c>
      <c r="B461" s="1">
        <v>2024001686</v>
      </c>
      <c r="C461" s="1" t="s">
        <v>374</v>
      </c>
      <c r="D461" s="5">
        <v>2000000</v>
      </c>
      <c r="E461" s="1">
        <v>1085289798</v>
      </c>
      <c r="F461" s="1" t="s">
        <v>375</v>
      </c>
      <c r="G461" s="1" t="s">
        <v>9</v>
      </c>
    </row>
    <row r="462" spans="1:7" ht="14.25" customHeight="1" x14ac:dyDescent="0.25">
      <c r="A462" s="13">
        <v>45538</v>
      </c>
      <c r="B462" s="1">
        <v>2024001687</v>
      </c>
      <c r="C462" s="1" t="s">
        <v>212</v>
      </c>
      <c r="D462" s="5">
        <v>2000000</v>
      </c>
      <c r="E462" s="1">
        <v>5930737</v>
      </c>
      <c r="F462" s="1" t="s">
        <v>213</v>
      </c>
      <c r="G462" s="1" t="s">
        <v>9</v>
      </c>
    </row>
    <row r="463" spans="1:7" ht="14.25" customHeight="1" x14ac:dyDescent="0.25">
      <c r="A463" s="13">
        <v>45538</v>
      </c>
      <c r="B463" s="1">
        <v>2024001688</v>
      </c>
      <c r="C463" s="1" t="s">
        <v>376</v>
      </c>
      <c r="D463" s="5">
        <v>4825600</v>
      </c>
      <c r="E463" s="1">
        <v>37082349</v>
      </c>
      <c r="F463" s="1" t="s">
        <v>377</v>
      </c>
      <c r="G463" s="1" t="s">
        <v>9</v>
      </c>
    </row>
    <row r="464" spans="1:7" ht="14.25" customHeight="1" x14ac:dyDescent="0.25">
      <c r="A464" s="13">
        <v>45539</v>
      </c>
      <c r="B464" s="1">
        <v>2024001694</v>
      </c>
      <c r="C464" s="1" t="s">
        <v>56</v>
      </c>
      <c r="D464" s="5">
        <v>4825600</v>
      </c>
      <c r="E464" s="1">
        <v>1193385736</v>
      </c>
      <c r="F464" s="1" t="s">
        <v>57</v>
      </c>
      <c r="G464" s="1" t="s">
        <v>9</v>
      </c>
    </row>
    <row r="465" spans="1:7" ht="14.25" customHeight="1" x14ac:dyDescent="0.25">
      <c r="A465" s="13">
        <v>45539</v>
      </c>
      <c r="B465" s="1">
        <v>2024001695</v>
      </c>
      <c r="C465" s="1" t="s">
        <v>226</v>
      </c>
      <c r="D465" s="5">
        <v>2000000</v>
      </c>
      <c r="E465" s="1">
        <v>1085338575</v>
      </c>
      <c r="F465" s="1" t="s">
        <v>227</v>
      </c>
      <c r="G465" s="1" t="s">
        <v>9</v>
      </c>
    </row>
    <row r="466" spans="1:7" ht="14.25" customHeight="1" x14ac:dyDescent="0.25">
      <c r="A466" s="13">
        <v>45539</v>
      </c>
      <c r="B466" s="1">
        <v>2024001696</v>
      </c>
      <c r="C466" s="1" t="s">
        <v>72</v>
      </c>
      <c r="D466" s="5">
        <v>2000000</v>
      </c>
      <c r="E466" s="1">
        <v>1085323101</v>
      </c>
      <c r="F466" s="1" t="s">
        <v>73</v>
      </c>
      <c r="G466" s="1" t="s">
        <v>9</v>
      </c>
    </row>
    <row r="467" spans="1:7" ht="14.25" customHeight="1" x14ac:dyDescent="0.25">
      <c r="A467" s="13">
        <v>45539</v>
      </c>
      <c r="B467" s="1">
        <v>2024001697</v>
      </c>
      <c r="C467" s="1" t="s">
        <v>90</v>
      </c>
      <c r="D467" s="5">
        <v>4750000</v>
      </c>
      <c r="E467" s="1">
        <v>1085263018</v>
      </c>
      <c r="F467" s="1" t="s">
        <v>91</v>
      </c>
      <c r="G467" s="1" t="s">
        <v>9</v>
      </c>
    </row>
    <row r="468" spans="1:7" ht="14.25" customHeight="1" x14ac:dyDescent="0.25">
      <c r="A468" s="13">
        <v>45539</v>
      </c>
      <c r="B468" s="1">
        <v>2024001698</v>
      </c>
      <c r="C468" s="1" t="s">
        <v>50</v>
      </c>
      <c r="D468" s="5">
        <v>2000000</v>
      </c>
      <c r="E468" s="1">
        <v>12974849</v>
      </c>
      <c r="F468" s="1" t="s">
        <v>51</v>
      </c>
      <c r="G468" s="1" t="s">
        <v>9</v>
      </c>
    </row>
    <row r="469" spans="1:7" ht="14.25" customHeight="1" x14ac:dyDescent="0.25">
      <c r="A469" s="13">
        <v>45539</v>
      </c>
      <c r="B469" s="1">
        <v>2024001699</v>
      </c>
      <c r="C469" s="1" t="s">
        <v>378</v>
      </c>
      <c r="D469" s="5">
        <v>7500000</v>
      </c>
      <c r="E469" s="1">
        <v>1085332934</v>
      </c>
      <c r="F469" s="1" t="s">
        <v>379</v>
      </c>
      <c r="G469" s="1" t="s">
        <v>9</v>
      </c>
    </row>
    <row r="470" spans="1:7" ht="14.25" customHeight="1" x14ac:dyDescent="0.25">
      <c r="A470" s="13">
        <v>45539</v>
      </c>
      <c r="B470" s="1">
        <v>2024001700</v>
      </c>
      <c r="C470" s="1" t="s">
        <v>60</v>
      </c>
      <c r="D470" s="5">
        <v>7500000</v>
      </c>
      <c r="E470" s="1">
        <v>1085321192</v>
      </c>
      <c r="F470" s="1" t="s">
        <v>61</v>
      </c>
      <c r="G470" s="1" t="s">
        <v>9</v>
      </c>
    </row>
    <row r="471" spans="1:7" ht="14.25" customHeight="1" x14ac:dyDescent="0.25">
      <c r="A471" s="13">
        <v>45539</v>
      </c>
      <c r="B471" s="1">
        <v>2024001701</v>
      </c>
      <c r="C471" s="1" t="s">
        <v>14</v>
      </c>
      <c r="D471" s="5">
        <v>4825600</v>
      </c>
      <c r="E471" s="1">
        <v>1085338534</v>
      </c>
      <c r="F471" s="1" t="s">
        <v>15</v>
      </c>
      <c r="G471" s="1" t="s">
        <v>9</v>
      </c>
    </row>
    <row r="472" spans="1:7" ht="14.25" customHeight="1" x14ac:dyDescent="0.25">
      <c r="A472" s="13">
        <v>45539</v>
      </c>
      <c r="B472" s="1">
        <v>2024001702</v>
      </c>
      <c r="C472" s="1" t="s">
        <v>106</v>
      </c>
      <c r="D472" s="5">
        <v>2000000</v>
      </c>
      <c r="E472" s="1">
        <v>36758143</v>
      </c>
      <c r="F472" s="1" t="s">
        <v>107</v>
      </c>
      <c r="G472" s="1" t="s">
        <v>9</v>
      </c>
    </row>
    <row r="473" spans="1:7" ht="14.25" customHeight="1" x14ac:dyDescent="0.25">
      <c r="A473" s="13">
        <v>45539</v>
      </c>
      <c r="B473" s="1">
        <v>2024001703</v>
      </c>
      <c r="C473" s="1" t="s">
        <v>108</v>
      </c>
      <c r="D473" s="5">
        <v>2000000</v>
      </c>
      <c r="E473" s="1">
        <v>1004232508</v>
      </c>
      <c r="F473" s="1" t="s">
        <v>109</v>
      </c>
      <c r="G473" s="1" t="s">
        <v>9</v>
      </c>
    </row>
    <row r="474" spans="1:7" ht="14.25" customHeight="1" x14ac:dyDescent="0.25">
      <c r="A474" s="13">
        <v>45539</v>
      </c>
      <c r="B474" s="1">
        <v>2024001704</v>
      </c>
      <c r="C474" s="1" t="s">
        <v>46</v>
      </c>
      <c r="D474" s="5">
        <v>4750000</v>
      </c>
      <c r="E474" s="1">
        <v>1087414586</v>
      </c>
      <c r="F474" s="1" t="s">
        <v>47</v>
      </c>
      <c r="G474" s="1" t="s">
        <v>9</v>
      </c>
    </row>
    <row r="475" spans="1:7" ht="14.25" customHeight="1" x14ac:dyDescent="0.25">
      <c r="A475" s="13">
        <v>45539</v>
      </c>
      <c r="B475" s="1">
        <v>2024001705</v>
      </c>
      <c r="C475" s="1" t="s">
        <v>380</v>
      </c>
      <c r="D475" s="5">
        <v>2000000</v>
      </c>
      <c r="E475" s="1">
        <v>1085324107</v>
      </c>
      <c r="F475" s="1" t="s">
        <v>381</v>
      </c>
      <c r="G475" s="1" t="s">
        <v>9</v>
      </c>
    </row>
    <row r="476" spans="1:7" ht="14.25" customHeight="1" x14ac:dyDescent="0.25">
      <c r="A476" s="13">
        <v>45539</v>
      </c>
      <c r="B476" s="1">
        <v>2024001706</v>
      </c>
      <c r="C476" s="1" t="s">
        <v>382</v>
      </c>
      <c r="D476" s="5">
        <v>2000000</v>
      </c>
      <c r="E476" s="1">
        <v>36753698</v>
      </c>
      <c r="F476" s="1" t="s">
        <v>383</v>
      </c>
      <c r="G476" s="1" t="s">
        <v>9</v>
      </c>
    </row>
    <row r="477" spans="1:7" ht="14.25" customHeight="1" x14ac:dyDescent="0.25">
      <c r="A477" s="13">
        <v>45539</v>
      </c>
      <c r="B477" s="1">
        <v>2024001707</v>
      </c>
      <c r="C477" s="1" t="s">
        <v>160</v>
      </c>
      <c r="D477" s="5">
        <v>7500000</v>
      </c>
      <c r="E477" s="1">
        <v>1085304670</v>
      </c>
      <c r="F477" s="1" t="s">
        <v>161</v>
      </c>
      <c r="G477" s="1" t="s">
        <v>9</v>
      </c>
    </row>
    <row r="478" spans="1:7" ht="14.25" customHeight="1" x14ac:dyDescent="0.25">
      <c r="A478" s="13">
        <v>45539</v>
      </c>
      <c r="B478" s="1">
        <v>2024001708</v>
      </c>
      <c r="C478" s="1" t="s">
        <v>228</v>
      </c>
      <c r="D478" s="5">
        <v>2000000</v>
      </c>
      <c r="E478" s="1">
        <v>1193271854</v>
      </c>
      <c r="F478" s="1" t="s">
        <v>229</v>
      </c>
      <c r="G478" s="1" t="s">
        <v>9</v>
      </c>
    </row>
    <row r="479" spans="1:7" ht="14.25" customHeight="1" x14ac:dyDescent="0.25">
      <c r="A479" s="13">
        <v>45539</v>
      </c>
      <c r="B479" s="1">
        <v>2024001709</v>
      </c>
      <c r="C479" s="1" t="s">
        <v>48</v>
      </c>
      <c r="D479" s="5">
        <v>6000000</v>
      </c>
      <c r="E479" s="1">
        <v>27097289</v>
      </c>
      <c r="F479" s="1" t="s">
        <v>49</v>
      </c>
      <c r="G479" s="1" t="s">
        <v>9</v>
      </c>
    </row>
    <row r="480" spans="1:7" ht="14.25" customHeight="1" x14ac:dyDescent="0.25">
      <c r="A480" s="13">
        <v>45539</v>
      </c>
      <c r="B480" s="1">
        <v>2024001710</v>
      </c>
      <c r="C480" s="1" t="s">
        <v>68</v>
      </c>
      <c r="D480" s="5">
        <v>7500000</v>
      </c>
      <c r="E480" s="1">
        <v>80765093</v>
      </c>
      <c r="F480" s="1" t="s">
        <v>69</v>
      </c>
      <c r="G480" s="1" t="s">
        <v>9</v>
      </c>
    </row>
    <row r="481" spans="1:7" ht="14.25" customHeight="1" x14ac:dyDescent="0.25">
      <c r="A481" s="13">
        <v>45539</v>
      </c>
      <c r="B481" s="1">
        <v>2024001711</v>
      </c>
      <c r="C481" s="1" t="s">
        <v>82</v>
      </c>
      <c r="D481" s="5">
        <v>7500000</v>
      </c>
      <c r="E481" s="1">
        <v>1085329230</v>
      </c>
      <c r="F481" s="1" t="s">
        <v>83</v>
      </c>
      <c r="G481" s="1" t="s">
        <v>9</v>
      </c>
    </row>
    <row r="482" spans="1:7" ht="14.25" customHeight="1" x14ac:dyDescent="0.25">
      <c r="A482" s="13">
        <v>45540</v>
      </c>
      <c r="B482" s="1">
        <v>2024001716</v>
      </c>
      <c r="C482" s="1" t="s">
        <v>18</v>
      </c>
      <c r="D482" s="5">
        <v>6000000</v>
      </c>
      <c r="E482" s="1">
        <v>1089242085</v>
      </c>
      <c r="F482" s="1" t="s">
        <v>19</v>
      </c>
      <c r="G482" s="1" t="s">
        <v>9</v>
      </c>
    </row>
    <row r="483" spans="1:7" ht="14.25" customHeight="1" x14ac:dyDescent="0.25">
      <c r="A483" s="13">
        <v>45540</v>
      </c>
      <c r="B483" s="1">
        <v>2024001718</v>
      </c>
      <c r="C483" s="1" t="s">
        <v>384</v>
      </c>
      <c r="D483" s="5">
        <v>6000000</v>
      </c>
      <c r="E483" s="1">
        <v>1085286476</v>
      </c>
      <c r="F483" s="1" t="s">
        <v>385</v>
      </c>
      <c r="G483" s="1" t="s">
        <v>9</v>
      </c>
    </row>
    <row r="484" spans="1:7" ht="14.25" customHeight="1" x14ac:dyDescent="0.25">
      <c r="A484" s="13">
        <v>45540</v>
      </c>
      <c r="B484" s="1">
        <v>2024001719</v>
      </c>
      <c r="C484" s="1" t="s">
        <v>96</v>
      </c>
      <c r="D484" s="5">
        <v>2000000</v>
      </c>
      <c r="E484" s="1">
        <v>59178610</v>
      </c>
      <c r="F484" s="1" t="s">
        <v>97</v>
      </c>
      <c r="G484" s="1" t="s">
        <v>9</v>
      </c>
    </row>
    <row r="485" spans="1:7" ht="14.25" customHeight="1" x14ac:dyDescent="0.25">
      <c r="A485" s="13">
        <v>45540</v>
      </c>
      <c r="B485" s="1">
        <v>2024001720</v>
      </c>
      <c r="C485" s="1" t="s">
        <v>386</v>
      </c>
      <c r="D485" s="5">
        <v>2000000</v>
      </c>
      <c r="E485" s="1">
        <v>1030606749</v>
      </c>
      <c r="F485" s="1" t="s">
        <v>387</v>
      </c>
      <c r="G485" s="1" t="s">
        <v>9</v>
      </c>
    </row>
    <row r="486" spans="1:7" ht="14.25" customHeight="1" x14ac:dyDescent="0.25">
      <c r="A486" s="13">
        <v>45540</v>
      </c>
      <c r="B486" s="1">
        <v>2024001721</v>
      </c>
      <c r="C486" s="1" t="s">
        <v>272</v>
      </c>
      <c r="D486" s="5">
        <v>4825600</v>
      </c>
      <c r="E486" s="1">
        <v>1085332406</v>
      </c>
      <c r="F486" s="1" t="s">
        <v>273</v>
      </c>
      <c r="G486" s="1" t="s">
        <v>9</v>
      </c>
    </row>
    <row r="487" spans="1:7" ht="14.25" customHeight="1" x14ac:dyDescent="0.25">
      <c r="A487" s="13">
        <v>45540</v>
      </c>
      <c r="B487" s="1">
        <v>2024001728</v>
      </c>
      <c r="C487" s="1" t="s">
        <v>388</v>
      </c>
      <c r="D487" s="5">
        <v>6000000</v>
      </c>
      <c r="E487" s="1">
        <v>1085289928</v>
      </c>
      <c r="F487" s="1" t="s">
        <v>389</v>
      </c>
      <c r="G487" s="1" t="s">
        <v>9</v>
      </c>
    </row>
    <row r="488" spans="1:7" ht="14.25" customHeight="1" x14ac:dyDescent="0.25">
      <c r="A488" s="13">
        <v>45540</v>
      </c>
      <c r="B488" s="1">
        <v>2024001729</v>
      </c>
      <c r="C488" s="1" t="s">
        <v>130</v>
      </c>
      <c r="D488" s="5">
        <v>4825600</v>
      </c>
      <c r="E488" s="1">
        <v>1087643211</v>
      </c>
      <c r="F488" s="1" t="s">
        <v>131</v>
      </c>
      <c r="G488" s="1" t="s">
        <v>9</v>
      </c>
    </row>
    <row r="489" spans="1:7" ht="14.25" customHeight="1" x14ac:dyDescent="0.25">
      <c r="A489" s="13">
        <v>45540</v>
      </c>
      <c r="B489" s="1">
        <v>2024001731</v>
      </c>
      <c r="C489" s="1" t="s">
        <v>66</v>
      </c>
      <c r="D489" s="5">
        <v>2000000</v>
      </c>
      <c r="E489" s="1">
        <v>1193265360</v>
      </c>
      <c r="F489" s="1" t="s">
        <v>67</v>
      </c>
      <c r="G489" s="1" t="s">
        <v>9</v>
      </c>
    </row>
    <row r="490" spans="1:7" ht="14.25" customHeight="1" x14ac:dyDescent="0.25">
      <c r="A490" s="13">
        <v>45540</v>
      </c>
      <c r="B490" s="1">
        <v>2024001732</v>
      </c>
      <c r="C490" s="1" t="s">
        <v>120</v>
      </c>
      <c r="D490" s="5">
        <v>2000000</v>
      </c>
      <c r="E490" s="1">
        <v>59834953</v>
      </c>
      <c r="F490" s="1" t="s">
        <v>121</v>
      </c>
      <c r="G490" s="1" t="s">
        <v>9</v>
      </c>
    </row>
    <row r="491" spans="1:7" ht="14.25" customHeight="1" x14ac:dyDescent="0.25">
      <c r="A491" s="13">
        <v>45540</v>
      </c>
      <c r="B491" s="1">
        <v>2024001734</v>
      </c>
      <c r="C491" s="1" t="s">
        <v>240</v>
      </c>
      <c r="D491" s="5">
        <v>4825600</v>
      </c>
      <c r="E491" s="1">
        <v>1085289739</v>
      </c>
      <c r="F491" s="1" t="s">
        <v>241</v>
      </c>
      <c r="G491" s="1" t="s">
        <v>9</v>
      </c>
    </row>
    <row r="492" spans="1:7" ht="14.25" customHeight="1" x14ac:dyDescent="0.25">
      <c r="A492" s="13">
        <v>45540</v>
      </c>
      <c r="B492" s="1">
        <v>2024001735</v>
      </c>
      <c r="C492" s="1" t="s">
        <v>216</v>
      </c>
      <c r="D492" s="5">
        <v>6000000</v>
      </c>
      <c r="E492" s="1">
        <v>27109314</v>
      </c>
      <c r="F492" s="1" t="s">
        <v>217</v>
      </c>
      <c r="G492" s="1" t="s">
        <v>9</v>
      </c>
    </row>
    <row r="493" spans="1:7" ht="14.25" customHeight="1" x14ac:dyDescent="0.25">
      <c r="A493" s="13">
        <v>45540</v>
      </c>
      <c r="B493" s="1">
        <v>2024001736</v>
      </c>
      <c r="C493" s="1" t="s">
        <v>390</v>
      </c>
      <c r="D493" s="5">
        <v>4750000</v>
      </c>
      <c r="E493" s="1">
        <v>36953206</v>
      </c>
      <c r="F493" s="1" t="s">
        <v>391</v>
      </c>
      <c r="G493" s="1" t="s">
        <v>9</v>
      </c>
    </row>
    <row r="494" spans="1:7" ht="14.25" customHeight="1" x14ac:dyDescent="0.25">
      <c r="A494" s="13">
        <v>45540</v>
      </c>
      <c r="B494" s="1">
        <v>2024001737</v>
      </c>
      <c r="C494" s="1" t="s">
        <v>168</v>
      </c>
      <c r="D494" s="5">
        <v>4750000</v>
      </c>
      <c r="E494" s="1">
        <v>1085273424</v>
      </c>
      <c r="F494" s="1" t="s">
        <v>169</v>
      </c>
      <c r="G494" s="1" t="s">
        <v>9</v>
      </c>
    </row>
    <row r="495" spans="1:7" ht="14.25" customHeight="1" x14ac:dyDescent="0.25">
      <c r="A495" s="13">
        <v>45540</v>
      </c>
      <c r="B495" s="1">
        <v>2024001738</v>
      </c>
      <c r="C495" s="1" t="s">
        <v>392</v>
      </c>
      <c r="D495" s="5">
        <v>7500000</v>
      </c>
      <c r="E495" s="1">
        <v>1085320661</v>
      </c>
      <c r="F495" s="1" t="s">
        <v>393</v>
      </c>
      <c r="G495" s="1" t="s">
        <v>9</v>
      </c>
    </row>
    <row r="496" spans="1:7" ht="14.25" customHeight="1" x14ac:dyDescent="0.25">
      <c r="A496" s="13">
        <v>45540</v>
      </c>
      <c r="B496" s="1">
        <v>2024001739</v>
      </c>
      <c r="C496" s="1" t="s">
        <v>144</v>
      </c>
      <c r="D496" s="5">
        <v>6000000</v>
      </c>
      <c r="E496" s="1">
        <v>59837608</v>
      </c>
      <c r="F496" s="1" t="s">
        <v>145</v>
      </c>
      <c r="G496" s="1" t="s">
        <v>9</v>
      </c>
    </row>
    <row r="497" spans="1:7" ht="14.25" customHeight="1" x14ac:dyDescent="0.25">
      <c r="A497" s="13">
        <v>45541</v>
      </c>
      <c r="B497" s="1">
        <v>2024001749</v>
      </c>
      <c r="C497" s="1" t="s">
        <v>394</v>
      </c>
      <c r="D497" s="5">
        <v>2000000</v>
      </c>
      <c r="E497" s="1">
        <v>59837416</v>
      </c>
      <c r="F497" s="1" t="s">
        <v>395</v>
      </c>
      <c r="G497" s="1" t="s">
        <v>9</v>
      </c>
    </row>
    <row r="498" spans="1:7" ht="14.25" customHeight="1" x14ac:dyDescent="0.25">
      <c r="A498" s="13">
        <v>45541</v>
      </c>
      <c r="B498" s="1">
        <v>2024001750</v>
      </c>
      <c r="C498" s="1" t="s">
        <v>186</v>
      </c>
      <c r="D498" s="5">
        <v>2000000</v>
      </c>
      <c r="E498" s="1">
        <v>1085296353</v>
      </c>
      <c r="F498" s="1" t="s">
        <v>187</v>
      </c>
      <c r="G498" s="1" t="s">
        <v>9</v>
      </c>
    </row>
    <row r="499" spans="1:7" ht="14.25" customHeight="1" x14ac:dyDescent="0.25">
      <c r="A499" s="13">
        <v>45541</v>
      </c>
      <c r="B499" s="1">
        <v>2024001751</v>
      </c>
      <c r="C499" s="1" t="s">
        <v>126</v>
      </c>
      <c r="D499" s="5">
        <v>4750000</v>
      </c>
      <c r="E499" s="1">
        <v>59312865</v>
      </c>
      <c r="F499" s="1" t="s">
        <v>127</v>
      </c>
      <c r="G499" s="1" t="s">
        <v>9</v>
      </c>
    </row>
    <row r="500" spans="1:7" ht="14.25" customHeight="1" x14ac:dyDescent="0.25">
      <c r="A500" s="13">
        <v>45541</v>
      </c>
      <c r="B500" s="1">
        <v>2024001753</v>
      </c>
      <c r="C500" s="1" t="s">
        <v>132</v>
      </c>
      <c r="D500" s="5">
        <v>4825600</v>
      </c>
      <c r="E500" s="1">
        <v>87062845</v>
      </c>
      <c r="F500" s="1" t="s">
        <v>133</v>
      </c>
      <c r="G500" s="1" t="s">
        <v>9</v>
      </c>
    </row>
    <row r="501" spans="1:7" ht="14.25" customHeight="1" x14ac:dyDescent="0.25">
      <c r="A501" s="13">
        <v>45541</v>
      </c>
      <c r="B501" s="1">
        <v>2024001754</v>
      </c>
      <c r="C501" s="1" t="s">
        <v>396</v>
      </c>
      <c r="D501" s="5">
        <v>2000000</v>
      </c>
      <c r="E501" s="1">
        <v>1004635031</v>
      </c>
      <c r="F501" s="1" t="s">
        <v>397</v>
      </c>
      <c r="G501" s="1" t="s">
        <v>9</v>
      </c>
    </row>
    <row r="502" spans="1:7" ht="14.25" customHeight="1" x14ac:dyDescent="0.25">
      <c r="A502" s="13">
        <v>45541</v>
      </c>
      <c r="B502" s="1">
        <v>2024001755</v>
      </c>
      <c r="C502" s="1" t="s">
        <v>310</v>
      </c>
      <c r="D502" s="5">
        <v>6000000</v>
      </c>
      <c r="E502" s="1">
        <v>59836926</v>
      </c>
      <c r="F502" s="1" t="s">
        <v>311</v>
      </c>
      <c r="G502" s="1" t="s">
        <v>9</v>
      </c>
    </row>
    <row r="503" spans="1:7" ht="14.25" customHeight="1" x14ac:dyDescent="0.25">
      <c r="A503" s="13">
        <v>45541</v>
      </c>
      <c r="B503" s="1">
        <v>2024001756</v>
      </c>
      <c r="C503" s="1" t="s">
        <v>176</v>
      </c>
      <c r="D503" s="5">
        <v>4825600</v>
      </c>
      <c r="E503" s="1">
        <v>27087851</v>
      </c>
      <c r="F503" s="1" t="s">
        <v>177</v>
      </c>
      <c r="G503" s="1" t="s">
        <v>9</v>
      </c>
    </row>
    <row r="504" spans="1:7" ht="14.25" customHeight="1" x14ac:dyDescent="0.25">
      <c r="A504" s="13">
        <v>45541</v>
      </c>
      <c r="B504" s="1">
        <v>2024001757</v>
      </c>
      <c r="C504" s="1" t="s">
        <v>84</v>
      </c>
      <c r="D504" s="5">
        <v>2000000</v>
      </c>
      <c r="E504" s="1">
        <v>1085327701</v>
      </c>
      <c r="F504" s="1" t="s">
        <v>85</v>
      </c>
      <c r="G504" s="1" t="s">
        <v>9</v>
      </c>
    </row>
    <row r="505" spans="1:7" ht="14.25" customHeight="1" x14ac:dyDescent="0.25">
      <c r="A505" s="13">
        <v>45541</v>
      </c>
      <c r="B505" s="1">
        <v>2024001758</v>
      </c>
      <c r="C505" s="1" t="s">
        <v>136</v>
      </c>
      <c r="D505" s="5">
        <v>7500000</v>
      </c>
      <c r="E505" s="1">
        <v>1151934571</v>
      </c>
      <c r="F505" s="1" t="s">
        <v>137</v>
      </c>
      <c r="G505" s="1" t="s">
        <v>9</v>
      </c>
    </row>
    <row r="506" spans="1:7" ht="14.25" customHeight="1" x14ac:dyDescent="0.25">
      <c r="A506" s="13">
        <v>45541</v>
      </c>
      <c r="B506" s="1">
        <v>2024001760</v>
      </c>
      <c r="C506" s="1" t="s">
        <v>398</v>
      </c>
      <c r="D506" s="5">
        <v>2000000</v>
      </c>
      <c r="E506" s="1">
        <v>98392455</v>
      </c>
      <c r="F506" s="1" t="s">
        <v>399</v>
      </c>
      <c r="G506" s="1" t="s">
        <v>9</v>
      </c>
    </row>
    <row r="507" spans="1:7" ht="14.25" customHeight="1" x14ac:dyDescent="0.25">
      <c r="A507" s="13">
        <v>45545</v>
      </c>
      <c r="B507" s="1">
        <v>2024001781</v>
      </c>
      <c r="C507" s="1" t="s">
        <v>76</v>
      </c>
      <c r="D507" s="5">
        <v>2000000</v>
      </c>
      <c r="E507" s="1">
        <v>1086362994</v>
      </c>
      <c r="F507" s="1" t="s">
        <v>77</v>
      </c>
      <c r="G507" s="1" t="s">
        <v>9</v>
      </c>
    </row>
    <row r="508" spans="1:7" ht="14.25" customHeight="1" x14ac:dyDescent="0.25">
      <c r="A508" s="13">
        <v>45545</v>
      </c>
      <c r="B508" s="1">
        <v>2024001782</v>
      </c>
      <c r="C508" s="1" t="s">
        <v>102</v>
      </c>
      <c r="D508" s="5">
        <v>2000000</v>
      </c>
      <c r="E508" s="1">
        <v>59813323</v>
      </c>
      <c r="F508" s="1" t="s">
        <v>103</v>
      </c>
      <c r="G508" s="1" t="s">
        <v>9</v>
      </c>
    </row>
    <row r="509" spans="1:7" ht="14.25" customHeight="1" x14ac:dyDescent="0.25">
      <c r="A509" s="13">
        <v>45545</v>
      </c>
      <c r="B509" s="1">
        <v>2024001783</v>
      </c>
      <c r="C509" s="1" t="s">
        <v>10</v>
      </c>
      <c r="D509" s="5">
        <v>2000000</v>
      </c>
      <c r="E509" s="1">
        <v>1085317833</v>
      </c>
      <c r="F509" s="1" t="s">
        <v>11</v>
      </c>
      <c r="G509" s="1" t="s">
        <v>9</v>
      </c>
    </row>
    <row r="510" spans="1:7" ht="14.25" customHeight="1" x14ac:dyDescent="0.25">
      <c r="A510" s="13">
        <v>45545</v>
      </c>
      <c r="B510" s="1">
        <v>2024001784</v>
      </c>
      <c r="C510" s="1" t="s">
        <v>116</v>
      </c>
      <c r="D510" s="5">
        <v>6000000</v>
      </c>
      <c r="E510" s="1">
        <v>1085275879</v>
      </c>
      <c r="F510" s="1" t="s">
        <v>117</v>
      </c>
      <c r="G510" s="1" t="s">
        <v>9</v>
      </c>
    </row>
    <row r="511" spans="1:7" ht="14.25" customHeight="1" x14ac:dyDescent="0.25">
      <c r="A511" s="13">
        <v>45545</v>
      </c>
      <c r="B511" s="1">
        <v>2024001785</v>
      </c>
      <c r="C511" s="1" t="s">
        <v>62</v>
      </c>
      <c r="D511" s="5">
        <v>7500000</v>
      </c>
      <c r="E511" s="1">
        <v>1006946167</v>
      </c>
      <c r="F511" s="1" t="s">
        <v>63</v>
      </c>
      <c r="G511" s="1" t="s">
        <v>9</v>
      </c>
    </row>
    <row r="512" spans="1:7" ht="14.25" customHeight="1" x14ac:dyDescent="0.25">
      <c r="A512" s="13">
        <v>45545</v>
      </c>
      <c r="B512" s="1">
        <v>2024001786</v>
      </c>
      <c r="C512" s="1" t="s">
        <v>266</v>
      </c>
      <c r="D512" s="5">
        <v>4750000</v>
      </c>
      <c r="E512" s="1">
        <v>1193383306</v>
      </c>
      <c r="F512" s="1" t="s">
        <v>267</v>
      </c>
      <c r="G512" s="1" t="s">
        <v>9</v>
      </c>
    </row>
    <row r="513" spans="1:7" ht="14.25" customHeight="1" x14ac:dyDescent="0.25">
      <c r="A513" s="13">
        <v>45545</v>
      </c>
      <c r="B513" s="1">
        <v>2024001787</v>
      </c>
      <c r="C513" s="1" t="s">
        <v>236</v>
      </c>
      <c r="D513" s="5">
        <v>2000000</v>
      </c>
      <c r="E513" s="1">
        <v>1004234290</v>
      </c>
      <c r="F513" s="1" t="s">
        <v>237</v>
      </c>
      <c r="G513" s="1" t="s">
        <v>9</v>
      </c>
    </row>
    <row r="514" spans="1:7" ht="14.25" customHeight="1" x14ac:dyDescent="0.25">
      <c r="A514" s="13">
        <v>45546</v>
      </c>
      <c r="B514" s="1">
        <v>2024001792</v>
      </c>
      <c r="C514" s="1" t="s">
        <v>92</v>
      </c>
      <c r="D514" s="5">
        <v>4825600</v>
      </c>
      <c r="E514" s="1">
        <v>1085291221</v>
      </c>
      <c r="F514" s="1" t="s">
        <v>93</v>
      </c>
      <c r="G514" s="1" t="s">
        <v>9</v>
      </c>
    </row>
    <row r="515" spans="1:7" ht="14.25" customHeight="1" x14ac:dyDescent="0.25">
      <c r="A515" s="13">
        <v>45546</v>
      </c>
      <c r="B515" s="1">
        <v>2024001794</v>
      </c>
      <c r="C515" s="1" t="s">
        <v>400</v>
      </c>
      <c r="D515" s="5">
        <v>7500000</v>
      </c>
      <c r="E515" s="1">
        <v>1085296958</v>
      </c>
      <c r="F515" s="1" t="s">
        <v>401</v>
      </c>
      <c r="G515" s="1" t="s">
        <v>9</v>
      </c>
    </row>
    <row r="516" spans="1:7" ht="14.25" customHeight="1" x14ac:dyDescent="0.25">
      <c r="A516" s="13">
        <v>45546</v>
      </c>
      <c r="B516" s="1">
        <v>2024001796</v>
      </c>
      <c r="C516" s="1" t="s">
        <v>264</v>
      </c>
      <c r="D516" s="5">
        <v>2000000</v>
      </c>
      <c r="E516" s="1">
        <v>1010085543</v>
      </c>
      <c r="F516" s="1" t="s">
        <v>265</v>
      </c>
      <c r="G516" s="1" t="s">
        <v>9</v>
      </c>
    </row>
    <row r="517" spans="1:7" ht="14.25" customHeight="1" x14ac:dyDescent="0.25">
      <c r="A517" s="13">
        <v>45546</v>
      </c>
      <c r="B517" s="1">
        <v>2024001797</v>
      </c>
      <c r="C517" s="1" t="s">
        <v>402</v>
      </c>
      <c r="D517" s="5">
        <v>2000000</v>
      </c>
      <c r="E517" s="1">
        <v>1004410201</v>
      </c>
      <c r="F517" s="1" t="s">
        <v>403</v>
      </c>
      <c r="G517" s="1" t="s">
        <v>9</v>
      </c>
    </row>
    <row r="518" spans="1:7" ht="14.25" customHeight="1" x14ac:dyDescent="0.25">
      <c r="A518" s="13">
        <v>45546</v>
      </c>
      <c r="B518" s="1">
        <v>2024001798</v>
      </c>
      <c r="C518" s="1" t="s">
        <v>134</v>
      </c>
      <c r="D518" s="5">
        <v>4750000</v>
      </c>
      <c r="E518" s="1">
        <v>59821282</v>
      </c>
      <c r="F518" s="1" t="s">
        <v>135</v>
      </c>
      <c r="G518" s="1" t="s">
        <v>9</v>
      </c>
    </row>
    <row r="519" spans="1:7" ht="14.25" customHeight="1" x14ac:dyDescent="0.25">
      <c r="A519" s="13">
        <v>45546</v>
      </c>
      <c r="B519" s="1">
        <v>2024001799</v>
      </c>
      <c r="C519" s="1" t="s">
        <v>404</v>
      </c>
      <c r="D519" s="5">
        <v>2000000</v>
      </c>
      <c r="E519" s="1">
        <v>1085288636</v>
      </c>
      <c r="F519" s="1" t="s">
        <v>405</v>
      </c>
      <c r="G519" s="1" t="s">
        <v>9</v>
      </c>
    </row>
    <row r="520" spans="1:7" ht="14.25" customHeight="1" x14ac:dyDescent="0.25">
      <c r="A520" s="13">
        <v>45546</v>
      </c>
      <c r="B520" s="1">
        <v>2024001800</v>
      </c>
      <c r="C520" s="1" t="s">
        <v>64</v>
      </c>
      <c r="D520" s="5">
        <v>2000000</v>
      </c>
      <c r="E520" s="1">
        <v>59310524</v>
      </c>
      <c r="F520" s="1" t="s">
        <v>65</v>
      </c>
      <c r="G520" s="1" t="s">
        <v>9</v>
      </c>
    </row>
    <row r="521" spans="1:7" ht="14.25" customHeight="1" x14ac:dyDescent="0.25">
      <c r="A521" s="13">
        <v>45546</v>
      </c>
      <c r="B521" s="1">
        <v>2024001801</v>
      </c>
      <c r="C521" s="1" t="s">
        <v>156</v>
      </c>
      <c r="D521" s="5">
        <v>7500000</v>
      </c>
      <c r="E521" s="1">
        <v>12961661</v>
      </c>
      <c r="F521" s="1" t="s">
        <v>157</v>
      </c>
      <c r="G521" s="1" t="s">
        <v>9</v>
      </c>
    </row>
    <row r="522" spans="1:7" ht="14.25" customHeight="1" x14ac:dyDescent="0.25">
      <c r="A522" s="13">
        <v>45546</v>
      </c>
      <c r="B522" s="1">
        <v>2024001802</v>
      </c>
      <c r="C522" s="1" t="s">
        <v>164</v>
      </c>
      <c r="D522" s="14">
        <v>124950000</v>
      </c>
      <c r="E522" s="1">
        <v>900633448</v>
      </c>
      <c r="F522" s="1" t="s">
        <v>165</v>
      </c>
      <c r="G522" s="1" t="s">
        <v>9</v>
      </c>
    </row>
    <row r="523" spans="1:7" ht="14.25" customHeight="1" x14ac:dyDescent="0.25">
      <c r="A523" s="13">
        <v>45546</v>
      </c>
      <c r="B523" s="1">
        <v>2024001803</v>
      </c>
      <c r="C523" s="1" t="s">
        <v>406</v>
      </c>
      <c r="D523" s="5">
        <v>2000000</v>
      </c>
      <c r="E523" s="1">
        <v>59311233</v>
      </c>
      <c r="F523" s="1" t="s">
        <v>407</v>
      </c>
      <c r="G523" s="1" t="s">
        <v>9</v>
      </c>
    </row>
    <row r="524" spans="1:7" ht="14.25" customHeight="1" x14ac:dyDescent="0.25">
      <c r="A524" s="13">
        <v>45546</v>
      </c>
      <c r="B524" s="1">
        <v>2024001804</v>
      </c>
      <c r="C524" s="1" t="s">
        <v>408</v>
      </c>
      <c r="D524" s="5">
        <v>2000000</v>
      </c>
      <c r="E524" s="1">
        <v>1193224810</v>
      </c>
      <c r="F524" s="1" t="s">
        <v>409</v>
      </c>
      <c r="G524" s="1" t="s">
        <v>9</v>
      </c>
    </row>
    <row r="525" spans="1:7" ht="14.25" customHeight="1" x14ac:dyDescent="0.25">
      <c r="A525" s="13">
        <v>45546</v>
      </c>
      <c r="B525" s="1">
        <v>2024001805</v>
      </c>
      <c r="C525" s="1" t="s">
        <v>190</v>
      </c>
      <c r="D525" s="5">
        <v>2000000</v>
      </c>
      <c r="E525" s="1">
        <v>1193218691</v>
      </c>
      <c r="F525" s="1" t="s">
        <v>191</v>
      </c>
      <c r="G525" s="1" t="s">
        <v>9</v>
      </c>
    </row>
    <row r="526" spans="1:7" ht="14.25" customHeight="1" x14ac:dyDescent="0.25">
      <c r="A526" s="13">
        <v>45546</v>
      </c>
      <c r="B526" s="1">
        <v>2024001806</v>
      </c>
      <c r="C526" s="1" t="s">
        <v>222</v>
      </c>
      <c r="D526" s="5">
        <v>4750000</v>
      </c>
      <c r="E526" s="1">
        <v>87060703</v>
      </c>
      <c r="F526" s="1" t="s">
        <v>223</v>
      </c>
      <c r="G526" s="1" t="s">
        <v>9</v>
      </c>
    </row>
    <row r="527" spans="1:7" ht="14.25" customHeight="1" x14ac:dyDescent="0.25">
      <c r="A527" s="13">
        <v>45546</v>
      </c>
      <c r="B527" s="1">
        <v>2024001807</v>
      </c>
      <c r="C527" s="1" t="s">
        <v>150</v>
      </c>
      <c r="D527" s="5">
        <v>4750000</v>
      </c>
      <c r="E527" s="1">
        <v>59824313</v>
      </c>
      <c r="F527" s="1" t="s">
        <v>151</v>
      </c>
      <c r="G527" s="1" t="s">
        <v>9</v>
      </c>
    </row>
    <row r="528" spans="1:7" ht="14.25" customHeight="1" x14ac:dyDescent="0.25">
      <c r="A528" s="13">
        <v>45547</v>
      </c>
      <c r="B528" s="1">
        <v>2024001813</v>
      </c>
      <c r="C528" s="1" t="s">
        <v>410</v>
      </c>
      <c r="D528" s="5">
        <v>4000000</v>
      </c>
      <c r="E528" s="1">
        <v>36757213</v>
      </c>
      <c r="F528" s="1" t="s">
        <v>411</v>
      </c>
      <c r="G528" s="1" t="s">
        <v>9</v>
      </c>
    </row>
    <row r="529" spans="1:7" ht="14.25" customHeight="1" x14ac:dyDescent="0.25">
      <c r="A529" s="13">
        <v>45547</v>
      </c>
      <c r="B529" s="1">
        <v>2024001815</v>
      </c>
      <c r="C529" s="1" t="s">
        <v>204</v>
      </c>
      <c r="D529" s="5">
        <v>2000000</v>
      </c>
      <c r="E529" s="1">
        <v>13072447</v>
      </c>
      <c r="F529" s="1" t="s">
        <v>205</v>
      </c>
      <c r="G529" s="1" t="s">
        <v>9</v>
      </c>
    </row>
    <row r="530" spans="1:7" ht="14.25" customHeight="1" x14ac:dyDescent="0.25">
      <c r="A530" s="13">
        <v>45547</v>
      </c>
      <c r="B530" s="1">
        <v>2024001816</v>
      </c>
      <c r="C530" s="1" t="s">
        <v>52</v>
      </c>
      <c r="D530" s="5">
        <v>4825600</v>
      </c>
      <c r="E530" s="1">
        <v>30733517</v>
      </c>
      <c r="F530" s="1" t="s">
        <v>53</v>
      </c>
      <c r="G530" s="1" t="s">
        <v>9</v>
      </c>
    </row>
    <row r="531" spans="1:7" ht="14.25" customHeight="1" x14ac:dyDescent="0.25">
      <c r="A531" s="13">
        <v>45547</v>
      </c>
      <c r="B531" s="1">
        <v>2024001817</v>
      </c>
      <c r="C531" s="1" t="s">
        <v>20</v>
      </c>
      <c r="D531" s="5">
        <v>7500000</v>
      </c>
      <c r="E531" s="1">
        <v>1089244511</v>
      </c>
      <c r="F531" s="1" t="s">
        <v>21</v>
      </c>
      <c r="G531" s="1" t="s">
        <v>9</v>
      </c>
    </row>
    <row r="532" spans="1:7" ht="14.25" customHeight="1" x14ac:dyDescent="0.25">
      <c r="A532" s="13">
        <v>45547</v>
      </c>
      <c r="B532" s="1">
        <v>2024001818</v>
      </c>
      <c r="C532" s="1" t="s">
        <v>412</v>
      </c>
      <c r="D532" s="5">
        <v>2000000</v>
      </c>
      <c r="E532" s="1">
        <v>1004215136</v>
      </c>
      <c r="F532" s="1" t="s">
        <v>413</v>
      </c>
      <c r="G532" s="1" t="s">
        <v>9</v>
      </c>
    </row>
    <row r="533" spans="1:7" ht="14.25" customHeight="1" x14ac:dyDescent="0.25">
      <c r="A533" s="13">
        <v>45547</v>
      </c>
      <c r="B533" s="1">
        <v>2024001819</v>
      </c>
      <c r="C533" s="1" t="s">
        <v>238</v>
      </c>
      <c r="D533" s="5">
        <v>7500000</v>
      </c>
      <c r="E533" s="1">
        <v>1233189066</v>
      </c>
      <c r="F533" s="1" t="s">
        <v>239</v>
      </c>
      <c r="G533" s="1" t="s">
        <v>9</v>
      </c>
    </row>
    <row r="534" spans="1:7" ht="14.25" customHeight="1" x14ac:dyDescent="0.25">
      <c r="A534" s="13">
        <v>45547</v>
      </c>
      <c r="B534" s="1">
        <v>2024001820</v>
      </c>
      <c r="C534" s="1" t="s">
        <v>188</v>
      </c>
      <c r="D534" s="5">
        <v>2000000</v>
      </c>
      <c r="E534" s="1">
        <v>1081595853</v>
      </c>
      <c r="F534" s="1" t="s">
        <v>189</v>
      </c>
      <c r="G534" s="1" t="s">
        <v>9</v>
      </c>
    </row>
    <row r="535" spans="1:7" ht="14.25" customHeight="1" x14ac:dyDescent="0.25">
      <c r="A535" s="13">
        <v>45547</v>
      </c>
      <c r="B535" s="1">
        <v>2024001821</v>
      </c>
      <c r="C535" s="1" t="s">
        <v>200</v>
      </c>
      <c r="D535" s="5">
        <v>2000000</v>
      </c>
      <c r="E535" s="1">
        <v>1085300095</v>
      </c>
      <c r="F535" s="1" t="s">
        <v>201</v>
      </c>
      <c r="G535" s="1" t="s">
        <v>9</v>
      </c>
    </row>
    <row r="536" spans="1:7" ht="14.25" customHeight="1" x14ac:dyDescent="0.25">
      <c r="A536" s="13">
        <v>45547</v>
      </c>
      <c r="B536" s="1">
        <v>2024001822</v>
      </c>
      <c r="C536" s="1" t="s">
        <v>44</v>
      </c>
      <c r="D536" s="5">
        <v>2000000</v>
      </c>
      <c r="E536" s="1">
        <v>1007356378</v>
      </c>
      <c r="F536" s="1" t="s">
        <v>45</v>
      </c>
      <c r="G536" s="1" t="s">
        <v>9</v>
      </c>
    </row>
    <row r="537" spans="1:7" ht="14.25" customHeight="1" x14ac:dyDescent="0.25">
      <c r="A537" s="13">
        <v>45548</v>
      </c>
      <c r="B537" s="1">
        <v>2024001823</v>
      </c>
      <c r="C537" s="1" t="s">
        <v>282</v>
      </c>
      <c r="D537" s="5">
        <v>2000000</v>
      </c>
      <c r="E537" s="1">
        <v>1085327836</v>
      </c>
      <c r="F537" s="1" t="s">
        <v>283</v>
      </c>
      <c r="G537" s="1" t="s">
        <v>9</v>
      </c>
    </row>
    <row r="538" spans="1:7" ht="14.25" customHeight="1" x14ac:dyDescent="0.25">
      <c r="A538" s="13">
        <v>45548</v>
      </c>
      <c r="B538" s="1">
        <v>2024001824</v>
      </c>
      <c r="C538" s="1" t="s">
        <v>278</v>
      </c>
      <c r="D538" s="5">
        <v>2000000</v>
      </c>
      <c r="E538" s="1">
        <v>1233189896</v>
      </c>
      <c r="F538" s="1" t="s">
        <v>279</v>
      </c>
      <c r="G538" s="1" t="s">
        <v>9</v>
      </c>
    </row>
    <row r="539" spans="1:7" ht="14.25" customHeight="1" x14ac:dyDescent="0.25">
      <c r="A539" s="13">
        <v>45548</v>
      </c>
      <c r="B539" s="1">
        <v>2024001825</v>
      </c>
      <c r="C539" s="1" t="s">
        <v>276</v>
      </c>
      <c r="D539" s="5">
        <v>2000000</v>
      </c>
      <c r="E539" s="1">
        <v>1192717330</v>
      </c>
      <c r="F539" s="1" t="s">
        <v>277</v>
      </c>
      <c r="G539" s="1" t="s">
        <v>9</v>
      </c>
    </row>
    <row r="540" spans="1:7" ht="14.25" customHeight="1" x14ac:dyDescent="0.25">
      <c r="A540" s="13">
        <v>45548</v>
      </c>
      <c r="B540" s="1">
        <v>2024001826</v>
      </c>
      <c r="C540" s="1" t="s">
        <v>202</v>
      </c>
      <c r="D540" s="5">
        <v>2000000</v>
      </c>
      <c r="E540" s="1">
        <v>27211504</v>
      </c>
      <c r="F540" s="1" t="s">
        <v>203</v>
      </c>
      <c r="G540" s="1" t="s">
        <v>9</v>
      </c>
    </row>
    <row r="541" spans="1:7" ht="14.25" customHeight="1" x14ac:dyDescent="0.25">
      <c r="A541" s="13">
        <v>45548</v>
      </c>
      <c r="B541" s="1">
        <v>2024001827</v>
      </c>
      <c r="C541" s="1" t="s">
        <v>170</v>
      </c>
      <c r="D541" s="5">
        <v>2000000</v>
      </c>
      <c r="E541" s="1">
        <v>69028150</v>
      </c>
      <c r="F541" s="1" t="s">
        <v>171</v>
      </c>
      <c r="G541" s="1" t="s">
        <v>9</v>
      </c>
    </row>
    <row r="542" spans="1:7" ht="14.25" customHeight="1" x14ac:dyDescent="0.25">
      <c r="A542" s="13">
        <v>45548</v>
      </c>
      <c r="B542" s="1">
        <v>2024001828</v>
      </c>
      <c r="C542" s="1" t="s">
        <v>208</v>
      </c>
      <c r="D542" s="5">
        <v>2000000</v>
      </c>
      <c r="E542" s="1">
        <v>1010082397</v>
      </c>
      <c r="F542" s="1" t="s">
        <v>209</v>
      </c>
      <c r="G542" s="1" t="s">
        <v>9</v>
      </c>
    </row>
    <row r="543" spans="1:7" ht="14.25" customHeight="1" x14ac:dyDescent="0.25">
      <c r="A543" s="13">
        <v>45548</v>
      </c>
      <c r="B543" s="1">
        <v>2024001829</v>
      </c>
      <c r="C543" s="1" t="s">
        <v>210</v>
      </c>
      <c r="D543" s="5">
        <v>2000000</v>
      </c>
      <c r="E543" s="1">
        <v>1080040858</v>
      </c>
      <c r="F543" s="1" t="s">
        <v>211</v>
      </c>
      <c r="G543" s="1" t="s">
        <v>9</v>
      </c>
    </row>
    <row r="544" spans="1:7" ht="14.25" customHeight="1" x14ac:dyDescent="0.25">
      <c r="A544" s="13">
        <v>45551</v>
      </c>
      <c r="B544" s="1">
        <v>2024001830</v>
      </c>
      <c r="C544" s="1" t="s">
        <v>114</v>
      </c>
      <c r="D544" s="5">
        <v>2000000</v>
      </c>
      <c r="E544" s="1">
        <v>1085266584</v>
      </c>
      <c r="F544" s="1" t="s">
        <v>115</v>
      </c>
      <c r="G544" s="1" t="s">
        <v>9</v>
      </c>
    </row>
    <row r="545" spans="1:7" ht="14.25" customHeight="1" x14ac:dyDescent="0.25">
      <c r="A545" s="13">
        <v>45551</v>
      </c>
      <c r="B545" s="1">
        <v>2024001831</v>
      </c>
      <c r="C545" s="1" t="s">
        <v>74</v>
      </c>
      <c r="D545" s="5">
        <v>2000000</v>
      </c>
      <c r="E545" s="1">
        <v>1085286742</v>
      </c>
      <c r="F545" s="1" t="s">
        <v>75</v>
      </c>
      <c r="G545" s="1" t="s">
        <v>9</v>
      </c>
    </row>
    <row r="546" spans="1:7" ht="14.25" customHeight="1" x14ac:dyDescent="0.25">
      <c r="A546" s="13">
        <v>45551</v>
      </c>
      <c r="B546" s="1">
        <v>2024001832</v>
      </c>
      <c r="C546" s="1" t="s">
        <v>98</v>
      </c>
      <c r="D546" s="5">
        <v>4825600</v>
      </c>
      <c r="E546" s="1">
        <v>1085337969</v>
      </c>
      <c r="F546" s="1" t="s">
        <v>99</v>
      </c>
      <c r="G546" s="1" t="s">
        <v>9</v>
      </c>
    </row>
    <row r="547" spans="1:7" ht="14.25" customHeight="1" x14ac:dyDescent="0.25">
      <c r="A547" s="13">
        <v>45551</v>
      </c>
      <c r="B547" s="1">
        <v>2024001833</v>
      </c>
      <c r="C547" s="1" t="s">
        <v>100</v>
      </c>
      <c r="D547" s="5">
        <v>2000000</v>
      </c>
      <c r="E547" s="1">
        <v>13070330</v>
      </c>
      <c r="F547" s="1" t="s">
        <v>101</v>
      </c>
      <c r="G547" s="1" t="s">
        <v>9</v>
      </c>
    </row>
    <row r="548" spans="1:7" ht="14.25" customHeight="1" x14ac:dyDescent="0.25">
      <c r="A548" s="13">
        <v>45551</v>
      </c>
      <c r="B548" s="1">
        <v>2024001834</v>
      </c>
      <c r="C548" s="1" t="s">
        <v>260</v>
      </c>
      <c r="D548" s="5">
        <v>6000000</v>
      </c>
      <c r="E548" s="1">
        <v>59820414</v>
      </c>
      <c r="F548" s="1" t="s">
        <v>261</v>
      </c>
      <c r="G548" s="1" t="s">
        <v>9</v>
      </c>
    </row>
    <row r="549" spans="1:7" ht="14.25" customHeight="1" x14ac:dyDescent="0.25">
      <c r="A549" s="13">
        <v>45551</v>
      </c>
      <c r="B549" s="1">
        <v>2024001835</v>
      </c>
      <c r="C549" s="1" t="s">
        <v>182</v>
      </c>
      <c r="D549" s="5">
        <v>2000000</v>
      </c>
      <c r="E549" s="1">
        <v>98382500</v>
      </c>
      <c r="F549" s="1" t="s">
        <v>183</v>
      </c>
      <c r="G549" s="1" t="s">
        <v>9</v>
      </c>
    </row>
    <row r="550" spans="1:7" ht="14.25" customHeight="1" x14ac:dyDescent="0.25">
      <c r="A550" s="13">
        <v>45551</v>
      </c>
      <c r="B550" s="1">
        <v>2024001836</v>
      </c>
      <c r="C550" s="1" t="s">
        <v>180</v>
      </c>
      <c r="D550" s="5">
        <v>2000000</v>
      </c>
      <c r="E550" s="1">
        <v>59828916</v>
      </c>
      <c r="F550" s="1" t="s">
        <v>181</v>
      </c>
      <c r="G550" s="1" t="s">
        <v>9</v>
      </c>
    </row>
    <row r="551" spans="1:7" ht="14.25" customHeight="1" x14ac:dyDescent="0.25">
      <c r="A551" s="13">
        <v>45551</v>
      </c>
      <c r="B551" s="1">
        <v>2024001837</v>
      </c>
      <c r="C551" s="1" t="s">
        <v>250</v>
      </c>
      <c r="D551" s="5">
        <v>2000000</v>
      </c>
      <c r="E551" s="1">
        <v>1085271641</v>
      </c>
      <c r="F551" s="1" t="s">
        <v>251</v>
      </c>
      <c r="G551" s="1" t="s">
        <v>9</v>
      </c>
    </row>
    <row r="552" spans="1:7" ht="14.25" customHeight="1" x14ac:dyDescent="0.25">
      <c r="A552" s="13">
        <v>45551</v>
      </c>
      <c r="B552" s="1">
        <v>2024001838</v>
      </c>
      <c r="C552" s="1" t="s">
        <v>414</v>
      </c>
      <c r="D552" s="5">
        <v>4750000</v>
      </c>
      <c r="E552" s="1">
        <v>59816986</v>
      </c>
      <c r="F552" s="1" t="s">
        <v>415</v>
      </c>
      <c r="G552" s="1" t="s">
        <v>9</v>
      </c>
    </row>
    <row r="553" spans="1:7" ht="14.25" customHeight="1" x14ac:dyDescent="0.25">
      <c r="A553" s="13">
        <v>45551</v>
      </c>
      <c r="B553" s="1">
        <v>2024001839</v>
      </c>
      <c r="C553" s="1" t="s">
        <v>104</v>
      </c>
      <c r="D553" s="5">
        <v>4750000</v>
      </c>
      <c r="E553" s="1">
        <v>1085303067</v>
      </c>
      <c r="F553" s="1" t="s">
        <v>105</v>
      </c>
      <c r="G553" s="1" t="s">
        <v>9</v>
      </c>
    </row>
    <row r="554" spans="1:7" ht="14.25" customHeight="1" x14ac:dyDescent="0.25">
      <c r="A554" s="13">
        <v>45551</v>
      </c>
      <c r="B554" s="1">
        <v>2024001840</v>
      </c>
      <c r="C554" s="1" t="s">
        <v>178</v>
      </c>
      <c r="D554" s="5">
        <v>2000000</v>
      </c>
      <c r="E554" s="1">
        <v>1085250095</v>
      </c>
      <c r="F554" s="1" t="s">
        <v>179</v>
      </c>
      <c r="G554" s="1" t="s">
        <v>9</v>
      </c>
    </row>
    <row r="555" spans="1:7" ht="14.25" customHeight="1" x14ac:dyDescent="0.25">
      <c r="A555" s="13">
        <v>45551</v>
      </c>
      <c r="B555" s="1">
        <v>2024001841</v>
      </c>
      <c r="C555" s="1" t="s">
        <v>416</v>
      </c>
      <c r="D555" s="5">
        <v>2000000</v>
      </c>
      <c r="E555" s="1">
        <v>1085302942</v>
      </c>
      <c r="F555" s="1" t="s">
        <v>417</v>
      </c>
      <c r="G555" s="1" t="s">
        <v>9</v>
      </c>
    </row>
    <row r="556" spans="1:7" ht="14.25" customHeight="1" x14ac:dyDescent="0.25">
      <c r="A556" s="13">
        <v>45552</v>
      </c>
      <c r="B556" s="1">
        <v>2024001844</v>
      </c>
      <c r="C556" s="1" t="s">
        <v>162</v>
      </c>
      <c r="D556" s="5">
        <v>7500000</v>
      </c>
      <c r="E556" s="1">
        <v>1193202097</v>
      </c>
      <c r="F556" s="1" t="s">
        <v>163</v>
      </c>
      <c r="G556" s="1" t="s">
        <v>9</v>
      </c>
    </row>
    <row r="557" spans="1:7" ht="14.25" customHeight="1" x14ac:dyDescent="0.25">
      <c r="A557" s="13">
        <v>45552</v>
      </c>
      <c r="B557" s="1">
        <v>2024001845</v>
      </c>
      <c r="C557" s="1" t="s">
        <v>288</v>
      </c>
      <c r="D557" s="5">
        <v>2000000</v>
      </c>
      <c r="E557" s="1">
        <v>1004709928</v>
      </c>
      <c r="F557" s="1" t="s">
        <v>289</v>
      </c>
      <c r="G557" s="1" t="s">
        <v>9</v>
      </c>
    </row>
    <row r="558" spans="1:7" ht="14.25" customHeight="1" x14ac:dyDescent="0.25">
      <c r="A558" s="13">
        <v>45552</v>
      </c>
      <c r="B558" s="1">
        <v>2024001846</v>
      </c>
      <c r="C558" s="1" t="s">
        <v>374</v>
      </c>
      <c r="D558" s="5">
        <v>2000000</v>
      </c>
      <c r="E558" s="1">
        <v>1085289798</v>
      </c>
      <c r="F558" s="1" t="s">
        <v>375</v>
      </c>
      <c r="G558" s="1" t="s">
        <v>9</v>
      </c>
    </row>
    <row r="559" spans="1:7" ht="14.25" customHeight="1" x14ac:dyDescent="0.25">
      <c r="A559" s="13">
        <v>45552</v>
      </c>
      <c r="B559" s="1">
        <v>2024001847</v>
      </c>
      <c r="C559" s="1" t="s">
        <v>206</v>
      </c>
      <c r="D559" s="5">
        <v>2000000</v>
      </c>
      <c r="E559" s="1">
        <v>1004135064</v>
      </c>
      <c r="F559" s="1" t="s">
        <v>207</v>
      </c>
      <c r="G559" s="1" t="s">
        <v>9</v>
      </c>
    </row>
    <row r="560" spans="1:7" ht="14.25" customHeight="1" x14ac:dyDescent="0.25">
      <c r="A560" s="13">
        <v>45552</v>
      </c>
      <c r="B560" s="1">
        <v>2024001852</v>
      </c>
      <c r="C560" s="1" t="s">
        <v>88</v>
      </c>
      <c r="D560" s="5">
        <v>6000000</v>
      </c>
      <c r="E560" s="1">
        <v>1085337232</v>
      </c>
      <c r="F560" s="1" t="s">
        <v>89</v>
      </c>
      <c r="G560" s="1" t="s">
        <v>9</v>
      </c>
    </row>
    <row r="561" spans="1:7" ht="14.25" customHeight="1" x14ac:dyDescent="0.25">
      <c r="A561" s="13">
        <v>45552</v>
      </c>
      <c r="B561" s="1">
        <v>2024001853</v>
      </c>
      <c r="C561" s="1" t="s">
        <v>318</v>
      </c>
      <c r="D561" s="5">
        <v>2000000</v>
      </c>
      <c r="E561" s="1">
        <v>1081052090</v>
      </c>
      <c r="F561" s="1" t="s">
        <v>319</v>
      </c>
      <c r="G561" s="1" t="s">
        <v>9</v>
      </c>
    </row>
    <row r="562" spans="1:7" ht="14.25" customHeight="1" x14ac:dyDescent="0.25">
      <c r="A562" s="13">
        <v>45552</v>
      </c>
      <c r="B562" s="1">
        <v>2024001854</v>
      </c>
      <c r="C562" s="1" t="s">
        <v>418</v>
      </c>
      <c r="D562" s="5">
        <v>2000000</v>
      </c>
      <c r="E562" s="1">
        <v>1085260568</v>
      </c>
      <c r="F562" s="1" t="s">
        <v>419</v>
      </c>
      <c r="G562" s="1" t="s">
        <v>9</v>
      </c>
    </row>
    <row r="563" spans="1:7" ht="14.25" customHeight="1" x14ac:dyDescent="0.25">
      <c r="A563" s="13">
        <v>45552</v>
      </c>
      <c r="B563" s="1">
        <v>2024001855</v>
      </c>
      <c r="C563" s="1" t="s">
        <v>308</v>
      </c>
      <c r="D563" s="5">
        <v>7500000</v>
      </c>
      <c r="E563" s="1">
        <v>12961407</v>
      </c>
      <c r="F563" s="1" t="s">
        <v>309</v>
      </c>
      <c r="G563" s="1" t="s">
        <v>9</v>
      </c>
    </row>
    <row r="564" spans="1:7" ht="14.25" customHeight="1" x14ac:dyDescent="0.25">
      <c r="A564" s="13">
        <v>45552</v>
      </c>
      <c r="B564" s="1">
        <v>2024001856</v>
      </c>
      <c r="C564" s="1" t="s">
        <v>140</v>
      </c>
      <c r="D564" s="5">
        <v>4825600</v>
      </c>
      <c r="E564" s="1">
        <v>59314451</v>
      </c>
      <c r="F564" s="1" t="s">
        <v>141</v>
      </c>
      <c r="G564" s="1" t="s">
        <v>9</v>
      </c>
    </row>
    <row r="565" spans="1:7" ht="14.25" customHeight="1" x14ac:dyDescent="0.25">
      <c r="A565" s="13">
        <v>45552</v>
      </c>
      <c r="B565" s="1">
        <v>2024001857</v>
      </c>
      <c r="C565" s="1" t="s">
        <v>280</v>
      </c>
      <c r="D565" s="5">
        <v>2000000</v>
      </c>
      <c r="E565" s="1">
        <v>59830219</v>
      </c>
      <c r="F565" s="1" t="s">
        <v>281</v>
      </c>
      <c r="G565" s="1" t="s">
        <v>9</v>
      </c>
    </row>
    <row r="566" spans="1:7" ht="14.25" customHeight="1" x14ac:dyDescent="0.25">
      <c r="A566" s="13">
        <v>45552</v>
      </c>
      <c r="B566" s="1">
        <v>2024001858</v>
      </c>
      <c r="C566" s="1" t="s">
        <v>146</v>
      </c>
      <c r="D566" s="5">
        <v>2000000</v>
      </c>
      <c r="E566" s="1">
        <v>1085255972</v>
      </c>
      <c r="F566" s="1" t="s">
        <v>147</v>
      </c>
      <c r="G566" s="1" t="s">
        <v>9</v>
      </c>
    </row>
    <row r="567" spans="1:7" ht="14.25" customHeight="1" x14ac:dyDescent="0.25">
      <c r="A567" s="13">
        <v>45552</v>
      </c>
      <c r="B567" s="1">
        <v>2024001859</v>
      </c>
      <c r="C567" s="1" t="s">
        <v>370</v>
      </c>
      <c r="D567" s="5">
        <v>2000000</v>
      </c>
      <c r="E567" s="1">
        <v>1085269090</v>
      </c>
      <c r="F567" s="1" t="s">
        <v>371</v>
      </c>
      <c r="G567" s="1" t="s">
        <v>9</v>
      </c>
    </row>
    <row r="568" spans="1:7" ht="14.25" customHeight="1" x14ac:dyDescent="0.25">
      <c r="A568" s="13">
        <v>45552</v>
      </c>
      <c r="B568" s="1">
        <v>2024001860</v>
      </c>
      <c r="C568" s="1" t="s">
        <v>256</v>
      </c>
      <c r="D568" s="5">
        <v>2000000</v>
      </c>
      <c r="E568" s="1">
        <v>37087268</v>
      </c>
      <c r="F568" s="1" t="s">
        <v>257</v>
      </c>
      <c r="G568" s="1" t="s">
        <v>9</v>
      </c>
    </row>
    <row r="569" spans="1:7" ht="14.25" customHeight="1" x14ac:dyDescent="0.25">
      <c r="A569" s="13">
        <v>45553</v>
      </c>
      <c r="B569" s="1">
        <v>2024001861</v>
      </c>
      <c r="C569" s="1" t="s">
        <v>174</v>
      </c>
      <c r="D569" s="5">
        <v>4825600</v>
      </c>
      <c r="E569" s="1">
        <v>1085283723</v>
      </c>
      <c r="F569" s="1" t="s">
        <v>175</v>
      </c>
      <c r="G569" s="1" t="s">
        <v>9</v>
      </c>
    </row>
    <row r="570" spans="1:7" ht="14.25" customHeight="1" x14ac:dyDescent="0.25">
      <c r="A570" s="13">
        <v>45553</v>
      </c>
      <c r="B570" s="1">
        <v>2024001862</v>
      </c>
      <c r="C570" s="1" t="s">
        <v>420</v>
      </c>
      <c r="D570" s="5">
        <v>7500000</v>
      </c>
      <c r="E570" s="1">
        <v>1088599676</v>
      </c>
      <c r="F570" s="1" t="s">
        <v>421</v>
      </c>
      <c r="G570" s="1" t="s">
        <v>9</v>
      </c>
    </row>
    <row r="571" spans="1:7" ht="14.25" customHeight="1" x14ac:dyDescent="0.25">
      <c r="A571" s="13">
        <v>45553</v>
      </c>
      <c r="B571" s="1">
        <v>2024001863</v>
      </c>
      <c r="C571" s="1" t="s">
        <v>118</v>
      </c>
      <c r="D571" s="5">
        <v>2000000</v>
      </c>
      <c r="E571" s="1">
        <v>37084285</v>
      </c>
      <c r="F571" s="1" t="s">
        <v>119</v>
      </c>
      <c r="G571" s="1" t="s">
        <v>9</v>
      </c>
    </row>
    <row r="572" spans="1:7" ht="14.25" customHeight="1" x14ac:dyDescent="0.25">
      <c r="A572" s="13">
        <v>45553</v>
      </c>
      <c r="B572" s="1">
        <v>2024001864</v>
      </c>
      <c r="C572" s="1" t="s">
        <v>290</v>
      </c>
      <c r="D572" s="5">
        <v>2000000</v>
      </c>
      <c r="E572" s="1">
        <v>1085344082</v>
      </c>
      <c r="F572" s="1" t="s">
        <v>291</v>
      </c>
      <c r="G572" s="1" t="s">
        <v>9</v>
      </c>
    </row>
    <row r="573" spans="1:7" ht="14.25" customHeight="1" x14ac:dyDescent="0.25">
      <c r="A573" s="13">
        <v>45553</v>
      </c>
      <c r="B573" s="1">
        <v>2024001865</v>
      </c>
      <c r="C573" s="1" t="s">
        <v>244</v>
      </c>
      <c r="D573" s="5">
        <v>4825600</v>
      </c>
      <c r="E573" s="1">
        <v>30732782</v>
      </c>
      <c r="F573" s="1" t="s">
        <v>245</v>
      </c>
      <c r="G573" s="1" t="s">
        <v>9</v>
      </c>
    </row>
    <row r="574" spans="1:7" ht="14.25" customHeight="1" x14ac:dyDescent="0.25">
      <c r="A574" s="13">
        <v>45553</v>
      </c>
      <c r="B574" s="1">
        <v>2024001866</v>
      </c>
      <c r="C574" s="1" t="s">
        <v>248</v>
      </c>
      <c r="D574" s="5">
        <v>4750000</v>
      </c>
      <c r="E574" s="1">
        <v>1085330309</v>
      </c>
      <c r="F574" s="1" t="s">
        <v>249</v>
      </c>
      <c r="G574" s="1" t="s">
        <v>9</v>
      </c>
    </row>
    <row r="575" spans="1:7" ht="14.25" customHeight="1" x14ac:dyDescent="0.25">
      <c r="A575" s="13">
        <v>45553</v>
      </c>
      <c r="B575" s="1">
        <v>2024001867</v>
      </c>
      <c r="C575" s="1" t="s">
        <v>184</v>
      </c>
      <c r="D575" s="5">
        <v>2000000</v>
      </c>
      <c r="E575" s="1">
        <v>87070661</v>
      </c>
      <c r="F575" s="1" t="s">
        <v>185</v>
      </c>
      <c r="G575" s="1" t="s">
        <v>9</v>
      </c>
    </row>
    <row r="576" spans="1:7" ht="14.25" customHeight="1" x14ac:dyDescent="0.25">
      <c r="A576" s="13">
        <v>45553</v>
      </c>
      <c r="B576" s="1">
        <v>2024001868</v>
      </c>
      <c r="C576" s="1" t="s">
        <v>232</v>
      </c>
      <c r="D576" s="5">
        <v>2000000</v>
      </c>
      <c r="E576" s="1">
        <v>1014857280</v>
      </c>
      <c r="F576" s="1" t="s">
        <v>233</v>
      </c>
      <c r="G576" s="1" t="s">
        <v>9</v>
      </c>
    </row>
    <row r="577" spans="1:7" ht="14.25" customHeight="1" x14ac:dyDescent="0.25">
      <c r="A577" s="13">
        <v>45553</v>
      </c>
      <c r="B577" s="1">
        <v>2024001869</v>
      </c>
      <c r="C577" s="1" t="s">
        <v>252</v>
      </c>
      <c r="D577" s="5">
        <v>4750000</v>
      </c>
      <c r="E577" s="1">
        <v>1087422930</v>
      </c>
      <c r="F577" s="1" t="s">
        <v>253</v>
      </c>
      <c r="G577" s="1" t="s">
        <v>9</v>
      </c>
    </row>
    <row r="578" spans="1:7" ht="14.25" customHeight="1" x14ac:dyDescent="0.25">
      <c r="A578" s="13">
        <v>45553</v>
      </c>
      <c r="B578" s="1">
        <v>2024001870</v>
      </c>
      <c r="C578" s="1" t="s">
        <v>230</v>
      </c>
      <c r="D578" s="5">
        <v>7500000</v>
      </c>
      <c r="E578" s="1">
        <v>1085335767</v>
      </c>
      <c r="F578" s="1" t="s">
        <v>231</v>
      </c>
      <c r="G578" s="1" t="s">
        <v>9</v>
      </c>
    </row>
    <row r="579" spans="1:7" ht="14.25" customHeight="1" x14ac:dyDescent="0.25">
      <c r="A579" s="13">
        <v>45553</v>
      </c>
      <c r="B579" s="1">
        <v>2024001873</v>
      </c>
      <c r="C579" s="1" t="s">
        <v>356</v>
      </c>
      <c r="D579" s="5">
        <v>2000000</v>
      </c>
      <c r="E579" s="1">
        <v>27090145</v>
      </c>
      <c r="F579" s="1" t="s">
        <v>357</v>
      </c>
      <c r="G579" s="1" t="s">
        <v>9</v>
      </c>
    </row>
    <row r="580" spans="1:7" ht="14.25" customHeight="1" x14ac:dyDescent="0.25">
      <c r="A580" s="13">
        <v>45553</v>
      </c>
      <c r="B580" s="1">
        <v>2024001874</v>
      </c>
      <c r="C580" s="1" t="s">
        <v>300</v>
      </c>
      <c r="D580" s="5">
        <v>2000000</v>
      </c>
      <c r="E580" s="1">
        <v>1085325718</v>
      </c>
      <c r="F580" s="1" t="s">
        <v>301</v>
      </c>
      <c r="G580" s="1" t="s">
        <v>9</v>
      </c>
    </row>
    <row r="581" spans="1:7" ht="14.25" customHeight="1" x14ac:dyDescent="0.25">
      <c r="A581" s="13">
        <v>45553</v>
      </c>
      <c r="B581" s="1">
        <v>2024001875</v>
      </c>
      <c r="C581" s="1" t="s">
        <v>254</v>
      </c>
      <c r="D581" s="5">
        <v>2000000</v>
      </c>
      <c r="E581" s="1">
        <v>1085330237</v>
      </c>
      <c r="F581" s="1" t="s">
        <v>255</v>
      </c>
      <c r="G581" s="1" t="s">
        <v>9</v>
      </c>
    </row>
    <row r="582" spans="1:7" ht="14.25" customHeight="1" x14ac:dyDescent="0.25">
      <c r="A582" s="13">
        <v>45553</v>
      </c>
      <c r="B582" s="1">
        <v>2024001876</v>
      </c>
      <c r="C582" s="1" t="s">
        <v>128</v>
      </c>
      <c r="D582" s="5">
        <v>4825600</v>
      </c>
      <c r="E582" s="1">
        <v>59310145</v>
      </c>
      <c r="F582" s="1" t="s">
        <v>129</v>
      </c>
      <c r="G582" s="1" t="s">
        <v>9</v>
      </c>
    </row>
    <row r="583" spans="1:7" ht="14.25" customHeight="1" x14ac:dyDescent="0.25">
      <c r="A583" s="13">
        <v>45553</v>
      </c>
      <c r="B583" s="1">
        <v>2024001877</v>
      </c>
      <c r="C583" s="1" t="s">
        <v>78</v>
      </c>
      <c r="D583" s="5">
        <v>2000000</v>
      </c>
      <c r="E583" s="1">
        <v>1085326198</v>
      </c>
      <c r="F583" s="1" t="s">
        <v>79</v>
      </c>
      <c r="G583" s="1" t="s">
        <v>9</v>
      </c>
    </row>
    <row r="584" spans="1:7" ht="14.25" customHeight="1" x14ac:dyDescent="0.25">
      <c r="A584" s="13">
        <v>45553</v>
      </c>
      <c r="B584" s="1">
        <v>2024001878</v>
      </c>
      <c r="C584" s="1" t="s">
        <v>154</v>
      </c>
      <c r="D584" s="5">
        <v>4750000</v>
      </c>
      <c r="E584" s="1">
        <v>1085293619</v>
      </c>
      <c r="F584" s="1" t="s">
        <v>155</v>
      </c>
      <c r="G584" s="1" t="s">
        <v>9</v>
      </c>
    </row>
    <row r="585" spans="1:7" ht="14.25" customHeight="1" x14ac:dyDescent="0.25">
      <c r="A585" s="13">
        <v>45553</v>
      </c>
      <c r="B585" s="1">
        <v>2024001879</v>
      </c>
      <c r="C585" s="1" t="s">
        <v>218</v>
      </c>
      <c r="D585" s="5">
        <v>2000000</v>
      </c>
      <c r="E585" s="1">
        <v>1010113730</v>
      </c>
      <c r="F585" s="1" t="s">
        <v>219</v>
      </c>
      <c r="G585" s="1" t="s">
        <v>9</v>
      </c>
    </row>
    <row r="586" spans="1:7" ht="14.25" customHeight="1" x14ac:dyDescent="0.25">
      <c r="A586" s="13">
        <v>45553</v>
      </c>
      <c r="B586" s="1">
        <v>2024001880</v>
      </c>
      <c r="C586" s="1" t="s">
        <v>306</v>
      </c>
      <c r="D586" s="5">
        <v>2000000</v>
      </c>
      <c r="E586" s="1">
        <v>1085310465</v>
      </c>
      <c r="F586" s="1" t="s">
        <v>307</v>
      </c>
      <c r="G586" s="1" t="s">
        <v>9</v>
      </c>
    </row>
    <row r="587" spans="1:7" ht="14.25" customHeight="1" x14ac:dyDescent="0.25">
      <c r="A587" s="13">
        <v>45553</v>
      </c>
      <c r="B587" s="1">
        <v>2024001881</v>
      </c>
      <c r="C587" s="1" t="s">
        <v>302</v>
      </c>
      <c r="D587" s="5">
        <v>2000000</v>
      </c>
      <c r="E587" s="1">
        <v>1085251468</v>
      </c>
      <c r="F587" s="1" t="s">
        <v>303</v>
      </c>
      <c r="G587" s="1" t="s">
        <v>9</v>
      </c>
    </row>
    <row r="588" spans="1:7" ht="14.25" customHeight="1" x14ac:dyDescent="0.25">
      <c r="A588" s="13">
        <v>45553</v>
      </c>
      <c r="B588" s="1">
        <v>2024001882</v>
      </c>
      <c r="C588" s="1" t="s">
        <v>194</v>
      </c>
      <c r="D588" s="5">
        <v>2000000</v>
      </c>
      <c r="E588" s="1">
        <v>1085316191</v>
      </c>
      <c r="F588" s="1" t="s">
        <v>195</v>
      </c>
      <c r="G588" s="1" t="s">
        <v>9</v>
      </c>
    </row>
    <row r="589" spans="1:7" ht="14.25" customHeight="1" x14ac:dyDescent="0.25">
      <c r="A589" s="13">
        <v>45553</v>
      </c>
      <c r="B589" s="1">
        <v>2024001883</v>
      </c>
      <c r="C589" s="1" t="s">
        <v>270</v>
      </c>
      <c r="D589" s="5">
        <v>2000000</v>
      </c>
      <c r="E589" s="1">
        <v>36757522</v>
      </c>
      <c r="F589" s="1" t="s">
        <v>271</v>
      </c>
      <c r="G589" s="1" t="s">
        <v>9</v>
      </c>
    </row>
    <row r="590" spans="1:7" ht="14.25" customHeight="1" x14ac:dyDescent="0.25">
      <c r="A590" s="13">
        <v>45553</v>
      </c>
      <c r="B590" s="1">
        <v>2024001884</v>
      </c>
      <c r="C590" s="1" t="s">
        <v>338</v>
      </c>
      <c r="D590" s="5">
        <v>2000000</v>
      </c>
      <c r="E590" s="1">
        <v>1081273343</v>
      </c>
      <c r="F590" s="1" t="s">
        <v>339</v>
      </c>
      <c r="G590" s="1" t="s">
        <v>9</v>
      </c>
    </row>
    <row r="591" spans="1:7" ht="14.25" customHeight="1" x14ac:dyDescent="0.25">
      <c r="A591" s="13">
        <v>45554</v>
      </c>
      <c r="B591" s="1">
        <v>2024001885</v>
      </c>
      <c r="C591" s="1" t="s">
        <v>242</v>
      </c>
      <c r="D591" s="5">
        <v>2000000</v>
      </c>
      <c r="E591" s="1">
        <v>1137624011</v>
      </c>
      <c r="F591" s="1" t="s">
        <v>243</v>
      </c>
      <c r="G591" s="1" t="s">
        <v>9</v>
      </c>
    </row>
    <row r="592" spans="1:7" ht="14.25" customHeight="1" x14ac:dyDescent="0.25">
      <c r="A592" s="13">
        <v>45554</v>
      </c>
      <c r="B592" s="1">
        <v>2024001886</v>
      </c>
      <c r="C592" s="1" t="s">
        <v>286</v>
      </c>
      <c r="D592" s="5">
        <v>2000000</v>
      </c>
      <c r="E592" s="1">
        <v>1085338232</v>
      </c>
      <c r="F592" s="1" t="s">
        <v>287</v>
      </c>
      <c r="G592" s="1" t="s">
        <v>9</v>
      </c>
    </row>
    <row r="593" spans="1:7" ht="14.25" customHeight="1" x14ac:dyDescent="0.25">
      <c r="A593" s="13">
        <v>45554</v>
      </c>
      <c r="B593" s="1">
        <v>2024001887</v>
      </c>
      <c r="C593" s="1" t="s">
        <v>372</v>
      </c>
      <c r="D593" s="5">
        <v>2000000</v>
      </c>
      <c r="E593" s="1">
        <v>59311646</v>
      </c>
      <c r="F593" s="1" t="s">
        <v>373</v>
      </c>
      <c r="G593" s="1" t="s">
        <v>9</v>
      </c>
    </row>
    <row r="594" spans="1:7" ht="14.25" customHeight="1" x14ac:dyDescent="0.25">
      <c r="A594" s="13">
        <v>45554</v>
      </c>
      <c r="B594" s="1">
        <v>2024001888</v>
      </c>
      <c r="C594" s="1" t="s">
        <v>316</v>
      </c>
      <c r="D594" s="5">
        <v>2000000</v>
      </c>
      <c r="E594" s="1">
        <v>1193265831</v>
      </c>
      <c r="F594" s="1" t="s">
        <v>317</v>
      </c>
      <c r="G594" s="1" t="s">
        <v>9</v>
      </c>
    </row>
    <row r="595" spans="1:7" ht="14.25" customHeight="1" x14ac:dyDescent="0.25">
      <c r="A595" s="13">
        <v>45554</v>
      </c>
      <c r="B595" s="1">
        <v>2024001889</v>
      </c>
      <c r="C595" s="1" t="s">
        <v>422</v>
      </c>
      <c r="D595" s="5">
        <v>2000000</v>
      </c>
      <c r="E595" s="1">
        <v>12751390</v>
      </c>
      <c r="F595" s="1" t="s">
        <v>423</v>
      </c>
      <c r="G595" s="1" t="s">
        <v>9</v>
      </c>
    </row>
    <row r="596" spans="1:7" ht="14.25" customHeight="1" x14ac:dyDescent="0.25">
      <c r="A596" s="13">
        <v>45554</v>
      </c>
      <c r="B596" s="1">
        <v>2024001890</v>
      </c>
      <c r="C596" s="1" t="s">
        <v>124</v>
      </c>
      <c r="D596" s="5">
        <v>6000000</v>
      </c>
      <c r="E596" s="1">
        <v>36951002</v>
      </c>
      <c r="F596" s="1" t="s">
        <v>125</v>
      </c>
      <c r="G596" s="1" t="s">
        <v>9</v>
      </c>
    </row>
    <row r="597" spans="1:7" ht="14.25" customHeight="1" x14ac:dyDescent="0.25">
      <c r="A597" s="13">
        <v>45555</v>
      </c>
      <c r="B597" s="1">
        <v>2024001898</v>
      </c>
      <c r="C597" s="1" t="s">
        <v>424</v>
      </c>
      <c r="D597" s="5">
        <v>6000000</v>
      </c>
      <c r="E597" s="1">
        <v>79724257</v>
      </c>
      <c r="F597" s="1" t="s">
        <v>425</v>
      </c>
      <c r="G597" s="1" t="s">
        <v>9</v>
      </c>
    </row>
    <row r="598" spans="1:7" ht="14.25" customHeight="1" x14ac:dyDescent="0.25">
      <c r="A598" s="13">
        <v>45555</v>
      </c>
      <c r="B598" s="1">
        <v>2024001906</v>
      </c>
      <c r="C598" s="1" t="s">
        <v>268</v>
      </c>
      <c r="D598" s="5">
        <v>64141827</v>
      </c>
      <c r="E598" s="1">
        <v>900994364</v>
      </c>
      <c r="F598" s="1" t="s">
        <v>269</v>
      </c>
      <c r="G598" s="1" t="s">
        <v>9</v>
      </c>
    </row>
    <row r="599" spans="1:7" ht="14.25" customHeight="1" x14ac:dyDescent="0.25">
      <c r="A599" s="13">
        <v>45558</v>
      </c>
      <c r="B599" s="1">
        <v>2024001920</v>
      </c>
      <c r="C599" s="1" t="s">
        <v>172</v>
      </c>
      <c r="D599" s="5">
        <v>2000000</v>
      </c>
      <c r="E599" s="1">
        <v>59833702</v>
      </c>
      <c r="F599" s="1" t="s">
        <v>173</v>
      </c>
      <c r="G599" s="1" t="s">
        <v>9</v>
      </c>
    </row>
    <row r="600" spans="1:7" ht="14.25" customHeight="1" x14ac:dyDescent="0.25">
      <c r="A600" s="13">
        <v>45558</v>
      </c>
      <c r="B600" s="1">
        <v>2024001921</v>
      </c>
      <c r="C600" s="1" t="s">
        <v>330</v>
      </c>
      <c r="D600" s="5">
        <v>2000000</v>
      </c>
      <c r="E600" s="1">
        <v>1085313463</v>
      </c>
      <c r="F600" s="1" t="s">
        <v>331</v>
      </c>
      <c r="G600" s="1" t="s">
        <v>9</v>
      </c>
    </row>
    <row r="601" spans="1:7" ht="14.25" customHeight="1" x14ac:dyDescent="0.25">
      <c r="A601" s="13">
        <v>45558</v>
      </c>
      <c r="B601" s="1">
        <v>2024001922</v>
      </c>
      <c r="C601" s="1" t="s">
        <v>362</v>
      </c>
      <c r="D601" s="5">
        <v>4825600</v>
      </c>
      <c r="E601" s="1">
        <v>1085321943</v>
      </c>
      <c r="F601" s="1" t="s">
        <v>363</v>
      </c>
      <c r="G601" s="1" t="s">
        <v>9</v>
      </c>
    </row>
    <row r="602" spans="1:7" ht="14.25" customHeight="1" x14ac:dyDescent="0.25">
      <c r="A602" s="13">
        <v>45558</v>
      </c>
      <c r="B602" s="1">
        <v>2024001923</v>
      </c>
      <c r="C602" s="1" t="s">
        <v>348</v>
      </c>
      <c r="D602" s="5">
        <v>2000000</v>
      </c>
      <c r="E602" s="1">
        <v>27285974</v>
      </c>
      <c r="F602" s="1" t="s">
        <v>349</v>
      </c>
      <c r="G602" s="1" t="s">
        <v>9</v>
      </c>
    </row>
    <row r="603" spans="1:7" ht="14.25" customHeight="1" x14ac:dyDescent="0.25">
      <c r="A603" s="13">
        <v>45558</v>
      </c>
      <c r="B603" s="1">
        <v>2024001924</v>
      </c>
      <c r="C603" s="1" t="s">
        <v>220</v>
      </c>
      <c r="D603" s="5">
        <v>4750000</v>
      </c>
      <c r="E603" s="1">
        <v>1085345772</v>
      </c>
      <c r="F603" s="1" t="s">
        <v>221</v>
      </c>
      <c r="G603" s="1" t="s">
        <v>9</v>
      </c>
    </row>
    <row r="604" spans="1:7" ht="14.25" customHeight="1" x14ac:dyDescent="0.25">
      <c r="A604" s="13">
        <v>45558</v>
      </c>
      <c r="B604" s="1">
        <v>2024001925</v>
      </c>
      <c r="C604" s="1" t="s">
        <v>292</v>
      </c>
      <c r="D604" s="5">
        <v>2000000</v>
      </c>
      <c r="E604" s="1">
        <v>1085330079</v>
      </c>
      <c r="F604" s="1" t="s">
        <v>293</v>
      </c>
      <c r="G604" s="1" t="s">
        <v>9</v>
      </c>
    </row>
    <row r="605" spans="1:7" ht="14.25" customHeight="1" x14ac:dyDescent="0.25">
      <c r="A605" s="13">
        <v>45558</v>
      </c>
      <c r="B605" s="1">
        <v>2024001926</v>
      </c>
      <c r="C605" s="1" t="s">
        <v>426</v>
      </c>
      <c r="D605" s="5">
        <v>2000000</v>
      </c>
      <c r="E605" s="1">
        <v>1085318688</v>
      </c>
      <c r="F605" s="1" t="s">
        <v>427</v>
      </c>
      <c r="G605" s="1" t="s">
        <v>9</v>
      </c>
    </row>
    <row r="606" spans="1:7" ht="14.25" customHeight="1" x14ac:dyDescent="0.25">
      <c r="A606" s="13">
        <v>45558</v>
      </c>
      <c r="B606" s="1">
        <v>2024001927</v>
      </c>
      <c r="C606" s="1" t="s">
        <v>148</v>
      </c>
      <c r="D606" s="5">
        <v>2000000</v>
      </c>
      <c r="E606" s="1">
        <v>1085339190</v>
      </c>
      <c r="F606" s="1" t="s">
        <v>149</v>
      </c>
      <c r="G606" s="1" t="s">
        <v>9</v>
      </c>
    </row>
    <row r="607" spans="1:7" ht="14.25" customHeight="1" x14ac:dyDescent="0.25">
      <c r="A607" s="13">
        <v>45558</v>
      </c>
      <c r="B607" s="1">
        <v>2024001928</v>
      </c>
      <c r="C607" s="1" t="s">
        <v>262</v>
      </c>
      <c r="D607" s="5">
        <v>2000000</v>
      </c>
      <c r="E607" s="1">
        <v>36752202</v>
      </c>
      <c r="F607" s="1" t="s">
        <v>263</v>
      </c>
      <c r="G607" s="1" t="s">
        <v>9</v>
      </c>
    </row>
    <row r="608" spans="1:7" ht="14.25" customHeight="1" x14ac:dyDescent="0.25">
      <c r="A608" s="13">
        <v>45558</v>
      </c>
      <c r="B608" s="1">
        <v>2024001929</v>
      </c>
      <c r="C608" s="1" t="s">
        <v>24</v>
      </c>
      <c r="D608" s="5">
        <v>6000000</v>
      </c>
      <c r="E608" s="1">
        <v>37013610</v>
      </c>
      <c r="F608" s="1" t="s">
        <v>25</v>
      </c>
      <c r="G608" s="1" t="s">
        <v>9</v>
      </c>
    </row>
    <row r="609" spans="1:7" ht="14.25" customHeight="1" x14ac:dyDescent="0.25">
      <c r="A609" s="13">
        <v>45558</v>
      </c>
      <c r="B609" s="1">
        <v>2024001930</v>
      </c>
      <c r="C609" s="1" t="s">
        <v>158</v>
      </c>
      <c r="D609" s="5">
        <v>7500000</v>
      </c>
      <c r="E609" s="1">
        <v>37087120</v>
      </c>
      <c r="F609" s="1" t="s">
        <v>159</v>
      </c>
      <c r="G609" s="1" t="s">
        <v>9</v>
      </c>
    </row>
    <row r="610" spans="1:7" ht="14.25" customHeight="1" x14ac:dyDescent="0.25">
      <c r="A610" s="13">
        <v>45558</v>
      </c>
      <c r="B610" s="1">
        <v>2024001931</v>
      </c>
      <c r="C610" s="1" t="s">
        <v>234</v>
      </c>
      <c r="D610" s="5">
        <v>4750000</v>
      </c>
      <c r="E610" s="1">
        <v>1085318201</v>
      </c>
      <c r="F610" s="1" t="s">
        <v>235</v>
      </c>
      <c r="G610" s="1" t="s">
        <v>9</v>
      </c>
    </row>
    <row r="611" spans="1:7" ht="14.25" customHeight="1" x14ac:dyDescent="0.25">
      <c r="A611" s="13">
        <v>45558</v>
      </c>
      <c r="B611" s="1">
        <v>2024001932</v>
      </c>
      <c r="C611" s="1" t="s">
        <v>294</v>
      </c>
      <c r="D611" s="5">
        <v>4825600</v>
      </c>
      <c r="E611" s="1">
        <v>1088730712</v>
      </c>
      <c r="F611" s="1" t="s">
        <v>295</v>
      </c>
      <c r="G611" s="1" t="s">
        <v>9</v>
      </c>
    </row>
    <row r="612" spans="1:7" ht="14.25" customHeight="1" x14ac:dyDescent="0.25">
      <c r="A612" s="13">
        <v>45559</v>
      </c>
      <c r="B612" s="1">
        <v>2024001934</v>
      </c>
      <c r="C612" s="1" t="s">
        <v>214</v>
      </c>
      <c r="D612" s="5">
        <v>2000000</v>
      </c>
      <c r="E612" s="1">
        <v>1085327677</v>
      </c>
      <c r="F612" s="1" t="s">
        <v>215</v>
      </c>
      <c r="G612" s="1" t="s">
        <v>9</v>
      </c>
    </row>
    <row r="613" spans="1:7" ht="14.25" customHeight="1" x14ac:dyDescent="0.25">
      <c r="A613" s="13">
        <v>45559</v>
      </c>
      <c r="B613" s="1">
        <v>2024001935</v>
      </c>
      <c r="C613" s="1" t="s">
        <v>224</v>
      </c>
      <c r="D613" s="5">
        <v>2000000</v>
      </c>
      <c r="E613" s="1">
        <v>12750863</v>
      </c>
      <c r="F613" s="1" t="s">
        <v>225</v>
      </c>
      <c r="G613" s="1" t="s">
        <v>9</v>
      </c>
    </row>
    <row r="614" spans="1:7" ht="14.25" customHeight="1" x14ac:dyDescent="0.25">
      <c r="A614" s="13">
        <v>45559</v>
      </c>
      <c r="B614" s="1">
        <v>2024001936</v>
      </c>
      <c r="C614" s="1" t="s">
        <v>314</v>
      </c>
      <c r="D614" s="5">
        <v>2000000</v>
      </c>
      <c r="E614" s="1">
        <v>1085337465</v>
      </c>
      <c r="F614" s="1" t="s">
        <v>315</v>
      </c>
      <c r="G614" s="1" t="s">
        <v>9</v>
      </c>
    </row>
    <row r="615" spans="1:7" ht="14.25" customHeight="1" x14ac:dyDescent="0.25">
      <c r="A615" s="13">
        <v>45559</v>
      </c>
      <c r="B615" s="1">
        <v>2024001937</v>
      </c>
      <c r="C615" s="1" t="s">
        <v>196</v>
      </c>
      <c r="D615" s="5">
        <v>2000000</v>
      </c>
      <c r="E615" s="1">
        <v>1089243630</v>
      </c>
      <c r="F615" s="1" t="s">
        <v>197</v>
      </c>
      <c r="G615" s="1" t="s">
        <v>9</v>
      </c>
    </row>
    <row r="616" spans="1:7" ht="14.25" customHeight="1" x14ac:dyDescent="0.25">
      <c r="A616" s="13">
        <v>45559</v>
      </c>
      <c r="B616" s="1">
        <v>2024001938</v>
      </c>
      <c r="C616" s="1" t="s">
        <v>326</v>
      </c>
      <c r="D616" s="5">
        <v>2000000</v>
      </c>
      <c r="E616" s="1">
        <v>1085314075</v>
      </c>
      <c r="F616" s="1" t="s">
        <v>327</v>
      </c>
      <c r="G616" s="1" t="s">
        <v>9</v>
      </c>
    </row>
    <row r="617" spans="1:7" ht="14.25" customHeight="1" x14ac:dyDescent="0.25">
      <c r="A617" s="13">
        <v>45559</v>
      </c>
      <c r="B617" s="1">
        <v>2024001939</v>
      </c>
      <c r="C617" s="1" t="s">
        <v>40</v>
      </c>
      <c r="D617" s="5">
        <v>7500000</v>
      </c>
      <c r="E617" s="1">
        <v>1085336362</v>
      </c>
      <c r="F617" s="1" t="s">
        <v>41</v>
      </c>
      <c r="G617" s="1" t="s">
        <v>9</v>
      </c>
    </row>
    <row r="618" spans="1:7" ht="14.25" customHeight="1" x14ac:dyDescent="0.25">
      <c r="A618" s="13">
        <v>45559</v>
      </c>
      <c r="B618" s="1">
        <v>2024001941</v>
      </c>
      <c r="C618" s="1" t="s">
        <v>320</v>
      </c>
      <c r="D618" s="5">
        <v>2000000</v>
      </c>
      <c r="E618" s="1">
        <v>1085347540</v>
      </c>
      <c r="F618" s="1" t="s">
        <v>321</v>
      </c>
      <c r="G618" s="1" t="s">
        <v>9</v>
      </c>
    </row>
    <row r="619" spans="1:7" ht="14.25" customHeight="1" x14ac:dyDescent="0.25">
      <c r="A619" s="13">
        <v>45559</v>
      </c>
      <c r="B619" s="1">
        <v>2024001942</v>
      </c>
      <c r="C619" s="1" t="s">
        <v>344</v>
      </c>
      <c r="D619" s="5">
        <v>2000000</v>
      </c>
      <c r="E619" s="1">
        <v>27309586</v>
      </c>
      <c r="F619" s="1" t="s">
        <v>345</v>
      </c>
      <c r="G619" s="1" t="s">
        <v>9</v>
      </c>
    </row>
    <row r="620" spans="1:7" ht="14.25" customHeight="1" x14ac:dyDescent="0.25">
      <c r="A620" s="13">
        <v>45559</v>
      </c>
      <c r="B620" s="1">
        <v>2024001943</v>
      </c>
      <c r="C620" s="1" t="s">
        <v>304</v>
      </c>
      <c r="D620" s="5">
        <v>2000000</v>
      </c>
      <c r="E620" s="1">
        <v>1086016308</v>
      </c>
      <c r="F620" s="1" t="s">
        <v>305</v>
      </c>
      <c r="G620" s="1" t="s">
        <v>9</v>
      </c>
    </row>
    <row r="621" spans="1:7" ht="14.25" customHeight="1" x14ac:dyDescent="0.25">
      <c r="A621" s="13">
        <v>45559</v>
      </c>
      <c r="B621" s="1">
        <v>2024001944</v>
      </c>
      <c r="C621" s="1" t="s">
        <v>428</v>
      </c>
      <c r="D621" s="5">
        <v>4750000</v>
      </c>
      <c r="E621" s="1">
        <v>1085260497</v>
      </c>
      <c r="F621" s="1" t="s">
        <v>429</v>
      </c>
      <c r="G621" s="1" t="s">
        <v>9</v>
      </c>
    </row>
    <row r="622" spans="1:7" ht="14.25" customHeight="1" x14ac:dyDescent="0.25">
      <c r="A622" s="13">
        <v>45559</v>
      </c>
      <c r="B622" s="1">
        <v>2024001945</v>
      </c>
      <c r="C622" s="1" t="s">
        <v>284</v>
      </c>
      <c r="D622" s="5">
        <v>2000000</v>
      </c>
      <c r="E622" s="1">
        <v>27094521</v>
      </c>
      <c r="F622" s="1" t="s">
        <v>285</v>
      </c>
      <c r="G622" s="1" t="s">
        <v>9</v>
      </c>
    </row>
    <row r="623" spans="1:7" ht="14.25" customHeight="1" x14ac:dyDescent="0.25">
      <c r="A623" s="13">
        <v>45561</v>
      </c>
      <c r="B623" s="1">
        <v>2024001953</v>
      </c>
      <c r="C623" s="1" t="s">
        <v>274</v>
      </c>
      <c r="D623" s="5">
        <v>4825600</v>
      </c>
      <c r="E623" s="1">
        <v>1085321578</v>
      </c>
      <c r="F623" s="1" t="s">
        <v>275</v>
      </c>
      <c r="G623" s="1" t="s">
        <v>9</v>
      </c>
    </row>
    <row r="624" spans="1:7" ht="14.25" customHeight="1" x14ac:dyDescent="0.25">
      <c r="A624" s="13">
        <v>45561</v>
      </c>
      <c r="B624" s="1">
        <v>2024001954</v>
      </c>
      <c r="C624" s="1" t="s">
        <v>430</v>
      </c>
      <c r="D624" s="5">
        <v>2000000</v>
      </c>
      <c r="E624" s="1">
        <v>1081053820</v>
      </c>
      <c r="F624" s="1" t="s">
        <v>431</v>
      </c>
      <c r="G624" s="1" t="s">
        <v>9</v>
      </c>
    </row>
    <row r="625" spans="1:7" ht="14.25" customHeight="1" x14ac:dyDescent="0.25">
      <c r="A625" s="13">
        <v>45561</v>
      </c>
      <c r="B625" s="1">
        <v>2024001955</v>
      </c>
      <c r="C625" s="1" t="s">
        <v>38</v>
      </c>
      <c r="D625" s="5">
        <v>2000000</v>
      </c>
      <c r="E625" s="1">
        <v>1193385397</v>
      </c>
      <c r="F625" s="1" t="s">
        <v>39</v>
      </c>
      <c r="G625" s="1" t="s">
        <v>9</v>
      </c>
    </row>
    <row r="626" spans="1:7" ht="14.25" customHeight="1" x14ac:dyDescent="0.25">
      <c r="A626" s="13">
        <v>45561</v>
      </c>
      <c r="B626" s="1">
        <v>2024001956</v>
      </c>
      <c r="C626" s="1" t="s">
        <v>34</v>
      </c>
      <c r="D626" s="5">
        <v>2000000</v>
      </c>
      <c r="E626" s="1">
        <v>1085331508</v>
      </c>
      <c r="F626" s="1" t="s">
        <v>35</v>
      </c>
      <c r="G626" s="1" t="s">
        <v>9</v>
      </c>
    </row>
    <row r="627" spans="1:7" ht="14.25" customHeight="1" x14ac:dyDescent="0.25">
      <c r="A627" s="13">
        <v>45561</v>
      </c>
      <c r="B627" s="1">
        <v>2024001957</v>
      </c>
      <c r="C627" s="1" t="s">
        <v>32</v>
      </c>
      <c r="D627" s="5">
        <v>2000000</v>
      </c>
      <c r="E627" s="1">
        <v>1085252263</v>
      </c>
      <c r="F627" s="1" t="s">
        <v>33</v>
      </c>
      <c r="G627" s="1" t="s">
        <v>9</v>
      </c>
    </row>
    <row r="628" spans="1:7" ht="14.25" customHeight="1" x14ac:dyDescent="0.25">
      <c r="A628" s="13">
        <v>45561</v>
      </c>
      <c r="B628" s="1">
        <v>2024001958</v>
      </c>
      <c r="C628" s="1" t="s">
        <v>30</v>
      </c>
      <c r="D628" s="5">
        <v>6000000</v>
      </c>
      <c r="E628" s="1">
        <v>1085253062</v>
      </c>
      <c r="F628" s="1" t="s">
        <v>31</v>
      </c>
      <c r="G628" s="1" t="s">
        <v>9</v>
      </c>
    </row>
    <row r="629" spans="1:7" ht="14.25" customHeight="1" x14ac:dyDescent="0.25">
      <c r="A629" s="13">
        <v>45561</v>
      </c>
      <c r="B629" s="1">
        <v>2024001959</v>
      </c>
      <c r="C629" s="1" t="s">
        <v>336</v>
      </c>
      <c r="D629" s="5">
        <v>6000000</v>
      </c>
      <c r="E629" s="1">
        <v>1010010954</v>
      </c>
      <c r="F629" s="1" t="s">
        <v>337</v>
      </c>
      <c r="G629" s="1" t="s">
        <v>9</v>
      </c>
    </row>
    <row r="630" spans="1:7" ht="14.25" customHeight="1" x14ac:dyDescent="0.25">
      <c r="A630" s="13">
        <v>45561</v>
      </c>
      <c r="B630" s="1">
        <v>2024001960</v>
      </c>
      <c r="C630" s="1" t="s">
        <v>346</v>
      </c>
      <c r="D630" s="5">
        <v>2000000</v>
      </c>
      <c r="E630" s="1">
        <v>1004535115</v>
      </c>
      <c r="F630" s="1" t="s">
        <v>347</v>
      </c>
      <c r="G630" s="1" t="s">
        <v>9</v>
      </c>
    </row>
    <row r="631" spans="1:7" ht="14.25" customHeight="1" x14ac:dyDescent="0.25">
      <c r="A631" s="13">
        <v>45561</v>
      </c>
      <c r="B631" s="1">
        <v>2024001961</v>
      </c>
      <c r="C631" s="1" t="s">
        <v>298</v>
      </c>
      <c r="D631" s="5">
        <v>4825600</v>
      </c>
      <c r="E631" s="1">
        <v>12983807</v>
      </c>
      <c r="F631" s="1" t="s">
        <v>299</v>
      </c>
      <c r="G631" s="1" t="s">
        <v>9</v>
      </c>
    </row>
    <row r="632" spans="1:7" ht="14.25" customHeight="1" x14ac:dyDescent="0.25">
      <c r="A632" s="13">
        <v>45561</v>
      </c>
      <c r="B632" s="1">
        <v>2024001962</v>
      </c>
      <c r="C632" s="1" t="s">
        <v>350</v>
      </c>
      <c r="D632" s="5">
        <v>4750000</v>
      </c>
      <c r="E632" s="1">
        <v>1233192618</v>
      </c>
      <c r="F632" s="1" t="s">
        <v>351</v>
      </c>
      <c r="G632" s="1" t="s">
        <v>9</v>
      </c>
    </row>
    <row r="633" spans="1:7" ht="14.25" customHeight="1" x14ac:dyDescent="0.25">
      <c r="A633" s="13">
        <v>45561</v>
      </c>
      <c r="B633" s="1">
        <v>2024001963</v>
      </c>
      <c r="C633" s="1" t="s">
        <v>70</v>
      </c>
      <c r="D633" s="5">
        <v>2000000</v>
      </c>
      <c r="E633" s="1">
        <v>59314601</v>
      </c>
      <c r="F633" s="1" t="s">
        <v>71</v>
      </c>
      <c r="G633" s="1" t="s">
        <v>9</v>
      </c>
    </row>
    <row r="634" spans="1:7" ht="14.25" customHeight="1" x14ac:dyDescent="0.25">
      <c r="A634" s="13">
        <v>45561</v>
      </c>
      <c r="B634" s="1">
        <v>2024001964</v>
      </c>
      <c r="C634" s="1" t="s">
        <v>324</v>
      </c>
      <c r="D634" s="5">
        <v>2000000</v>
      </c>
      <c r="E634" s="1">
        <v>1085290651</v>
      </c>
      <c r="F634" s="1" t="s">
        <v>325</v>
      </c>
      <c r="G634" s="1" t="s">
        <v>9</v>
      </c>
    </row>
    <row r="635" spans="1:7" ht="14.25" customHeight="1" x14ac:dyDescent="0.25">
      <c r="A635" s="13">
        <v>45561</v>
      </c>
      <c r="B635" s="1">
        <v>2024001965</v>
      </c>
      <c r="C635" s="1" t="s">
        <v>296</v>
      </c>
      <c r="D635" s="5">
        <v>2000000</v>
      </c>
      <c r="E635" s="1">
        <v>59830040</v>
      </c>
      <c r="F635" s="1" t="s">
        <v>297</v>
      </c>
      <c r="G635" s="1" t="s">
        <v>9</v>
      </c>
    </row>
    <row r="636" spans="1:7" ht="14.25" customHeight="1" x14ac:dyDescent="0.25">
      <c r="A636" s="13">
        <v>45561</v>
      </c>
      <c r="B636" s="1">
        <v>2024001966</v>
      </c>
      <c r="C636" s="1" t="s">
        <v>138</v>
      </c>
      <c r="D636" s="5">
        <v>2000000</v>
      </c>
      <c r="E636" s="1">
        <v>1085295383</v>
      </c>
      <c r="F636" s="1" t="s">
        <v>139</v>
      </c>
      <c r="G636" s="1" t="s">
        <v>9</v>
      </c>
    </row>
    <row r="637" spans="1:7" ht="14.25" customHeight="1" x14ac:dyDescent="0.25">
      <c r="A637" s="13">
        <v>45561</v>
      </c>
      <c r="B637" s="1">
        <v>2024001967</v>
      </c>
      <c r="C637" s="1" t="s">
        <v>334</v>
      </c>
      <c r="D637" s="5">
        <v>2000000</v>
      </c>
      <c r="E637" s="1">
        <v>1085261053</v>
      </c>
      <c r="F637" s="1" t="s">
        <v>335</v>
      </c>
      <c r="G637" s="1" t="s">
        <v>9</v>
      </c>
    </row>
    <row r="638" spans="1:7" ht="14.25" customHeight="1" x14ac:dyDescent="0.25">
      <c r="A638" s="13">
        <v>45561</v>
      </c>
      <c r="B638" s="1">
        <v>2024001968</v>
      </c>
      <c r="C638" s="1" t="s">
        <v>342</v>
      </c>
      <c r="D638" s="5">
        <v>6000000</v>
      </c>
      <c r="E638" s="1">
        <v>36954410</v>
      </c>
      <c r="F638" s="1" t="s">
        <v>343</v>
      </c>
      <c r="G638" s="1" t="s">
        <v>9</v>
      </c>
    </row>
    <row r="639" spans="1:7" ht="14.25" customHeight="1" x14ac:dyDescent="0.25">
      <c r="A639" s="13">
        <v>45561</v>
      </c>
      <c r="B639" s="1">
        <v>2024001969</v>
      </c>
      <c r="C639" s="1" t="s">
        <v>36</v>
      </c>
      <c r="D639" s="5">
        <v>2000000</v>
      </c>
      <c r="E639" s="1">
        <v>27087122</v>
      </c>
      <c r="F639" s="1" t="s">
        <v>37</v>
      </c>
      <c r="G639" s="1" t="s">
        <v>9</v>
      </c>
    </row>
    <row r="640" spans="1:7" ht="14.25" customHeight="1" x14ac:dyDescent="0.25">
      <c r="A640" s="13">
        <v>45561</v>
      </c>
      <c r="B640" s="1">
        <v>2024001970</v>
      </c>
      <c r="C640" s="1" t="s">
        <v>312</v>
      </c>
      <c r="D640" s="5">
        <v>2000000</v>
      </c>
      <c r="E640" s="1">
        <v>36757715</v>
      </c>
      <c r="F640" s="1" t="s">
        <v>313</v>
      </c>
      <c r="G640" s="1" t="s">
        <v>9</v>
      </c>
    </row>
    <row r="641" spans="1:7" ht="14.25" customHeight="1" x14ac:dyDescent="0.25">
      <c r="A641" s="13">
        <v>45561</v>
      </c>
      <c r="B641" s="1">
        <v>2024001971</v>
      </c>
      <c r="C641" s="1" t="s">
        <v>122</v>
      </c>
      <c r="D641" s="5">
        <v>2000000</v>
      </c>
      <c r="E641" s="1">
        <v>1004592366</v>
      </c>
      <c r="F641" s="1" t="s">
        <v>123</v>
      </c>
      <c r="G641" s="1" t="s">
        <v>9</v>
      </c>
    </row>
    <row r="642" spans="1:7" ht="14.25" customHeight="1" x14ac:dyDescent="0.25">
      <c r="A642" s="13">
        <v>45561</v>
      </c>
      <c r="B642" s="1">
        <v>2024001972</v>
      </c>
      <c r="C642" s="1" t="s">
        <v>360</v>
      </c>
      <c r="D642" s="5">
        <v>7500000</v>
      </c>
      <c r="E642" s="1">
        <v>7603662</v>
      </c>
      <c r="F642" s="1" t="s">
        <v>361</v>
      </c>
      <c r="G642" s="1" t="s">
        <v>9</v>
      </c>
    </row>
    <row r="643" spans="1:7" ht="14.25" customHeight="1" x14ac:dyDescent="0.25">
      <c r="A643" s="13">
        <v>45561</v>
      </c>
      <c r="B643" s="1">
        <v>2024001976</v>
      </c>
      <c r="C643" s="1" t="s">
        <v>110</v>
      </c>
      <c r="D643" s="5">
        <v>2000000</v>
      </c>
      <c r="E643" s="1">
        <v>1085286725</v>
      </c>
      <c r="F643" s="1" t="s">
        <v>111</v>
      </c>
      <c r="G643" s="1" t="s">
        <v>9</v>
      </c>
    </row>
    <row r="644" spans="1:7" ht="14.25" customHeight="1" x14ac:dyDescent="0.25">
      <c r="A644" s="13">
        <v>45561</v>
      </c>
      <c r="B644" s="1">
        <v>2024001977</v>
      </c>
      <c r="C644" s="1" t="s">
        <v>112</v>
      </c>
      <c r="D644" s="5">
        <v>6000000</v>
      </c>
      <c r="E644" s="1">
        <v>1004213964</v>
      </c>
      <c r="F644" s="1" t="s">
        <v>113</v>
      </c>
      <c r="G644" s="1" t="s">
        <v>9</v>
      </c>
    </row>
    <row r="645" spans="1:7" ht="14.25" customHeight="1" x14ac:dyDescent="0.25">
      <c r="A645" s="13">
        <v>45561</v>
      </c>
      <c r="B645" s="1">
        <v>2024001978</v>
      </c>
      <c r="C645" s="1" t="s">
        <v>354</v>
      </c>
      <c r="D645" s="5">
        <v>4750000</v>
      </c>
      <c r="E645" s="1">
        <v>1085318684</v>
      </c>
      <c r="F645" s="1" t="s">
        <v>355</v>
      </c>
      <c r="G645" s="1" t="s">
        <v>9</v>
      </c>
    </row>
    <row r="646" spans="1:7" ht="14.25" customHeight="1" x14ac:dyDescent="0.25">
      <c r="A646" s="13">
        <v>45561</v>
      </c>
      <c r="B646" s="1">
        <v>2024001979</v>
      </c>
      <c r="C646" s="1" t="s">
        <v>42</v>
      </c>
      <c r="D646" s="5">
        <v>7500000</v>
      </c>
      <c r="E646" s="1">
        <v>87065647</v>
      </c>
      <c r="F646" s="1" t="s">
        <v>43</v>
      </c>
      <c r="G646" s="1" t="s">
        <v>9</v>
      </c>
    </row>
    <row r="647" spans="1:7" ht="14.25" customHeight="1" x14ac:dyDescent="0.25">
      <c r="A647" s="13">
        <v>45561</v>
      </c>
      <c r="B647" s="1">
        <v>2024001980</v>
      </c>
      <c r="C647" s="1" t="s">
        <v>142</v>
      </c>
      <c r="D647" s="5">
        <v>6000000</v>
      </c>
      <c r="E647" s="1">
        <v>1085254626</v>
      </c>
      <c r="F647" s="1" t="s">
        <v>143</v>
      </c>
      <c r="G647" s="1" t="s">
        <v>9</v>
      </c>
    </row>
    <row r="648" spans="1:7" ht="14.25" customHeight="1" x14ac:dyDescent="0.25">
      <c r="A648" s="13">
        <v>45561</v>
      </c>
      <c r="B648" s="1">
        <v>2024001981</v>
      </c>
      <c r="C648" s="1" t="s">
        <v>258</v>
      </c>
      <c r="D648" s="5">
        <v>2000000</v>
      </c>
      <c r="E648" s="1">
        <v>1085320930</v>
      </c>
      <c r="F648" s="1" t="s">
        <v>259</v>
      </c>
      <c r="G648" s="1" t="s">
        <v>9</v>
      </c>
    </row>
    <row r="649" spans="1:7" ht="14.25" customHeight="1" x14ac:dyDescent="0.25">
      <c r="A649" s="13">
        <v>45561</v>
      </c>
      <c r="B649" s="1">
        <v>2024001982</v>
      </c>
      <c r="C649" s="1" t="s">
        <v>86</v>
      </c>
      <c r="D649" s="5">
        <v>2000000</v>
      </c>
      <c r="E649" s="1">
        <v>1233189234</v>
      </c>
      <c r="F649" s="1" t="s">
        <v>87</v>
      </c>
      <c r="G649" s="1" t="s">
        <v>9</v>
      </c>
    </row>
    <row r="650" spans="1:7" ht="14.25" customHeight="1" x14ac:dyDescent="0.25">
      <c r="A650" s="13">
        <v>45561</v>
      </c>
      <c r="B650" s="1">
        <v>2024001983</v>
      </c>
      <c r="C650" s="1" t="s">
        <v>28</v>
      </c>
      <c r="D650" s="5">
        <v>4750000</v>
      </c>
      <c r="E650" s="1">
        <v>1085324546</v>
      </c>
      <c r="F650" s="1" t="s">
        <v>29</v>
      </c>
      <c r="G650" s="1" t="s">
        <v>9</v>
      </c>
    </row>
    <row r="651" spans="1:7" ht="14.25" customHeight="1" x14ac:dyDescent="0.25">
      <c r="A651" s="13">
        <v>45561</v>
      </c>
      <c r="B651" s="1">
        <v>2024001984</v>
      </c>
      <c r="C651" s="1" t="s">
        <v>72</v>
      </c>
      <c r="D651" s="5">
        <v>2000000</v>
      </c>
      <c r="E651" s="1">
        <v>1085323101</v>
      </c>
      <c r="F651" s="1" t="s">
        <v>73</v>
      </c>
      <c r="G651" s="1" t="s">
        <v>9</v>
      </c>
    </row>
    <row r="652" spans="1:7" ht="14.25" customHeight="1" x14ac:dyDescent="0.25">
      <c r="A652" s="13">
        <v>45565</v>
      </c>
      <c r="B652" s="1">
        <v>2024001993</v>
      </c>
      <c r="C652" s="1" t="s">
        <v>80</v>
      </c>
      <c r="D652" s="5">
        <v>2000000</v>
      </c>
      <c r="E652" s="1">
        <v>1088799034</v>
      </c>
      <c r="F652" s="1" t="s">
        <v>81</v>
      </c>
      <c r="G652" s="1" t="s">
        <v>9</v>
      </c>
    </row>
    <row r="653" spans="1:7" ht="14.25" customHeight="1" x14ac:dyDescent="0.25">
      <c r="A653" s="13">
        <v>45565</v>
      </c>
      <c r="B653" s="1">
        <v>2024001994</v>
      </c>
      <c r="C653" s="1" t="s">
        <v>310</v>
      </c>
      <c r="D653" s="5">
        <v>6000000</v>
      </c>
      <c r="E653" s="1">
        <v>59836926</v>
      </c>
      <c r="F653" s="1" t="s">
        <v>311</v>
      </c>
      <c r="G653" s="1" t="s">
        <v>9</v>
      </c>
    </row>
    <row r="654" spans="1:7" ht="14.25" customHeight="1" x14ac:dyDescent="0.25">
      <c r="A654" s="13">
        <v>45565</v>
      </c>
      <c r="B654" s="1">
        <v>2024001995</v>
      </c>
      <c r="C654" s="1" t="s">
        <v>340</v>
      </c>
      <c r="D654" s="5">
        <v>2000000</v>
      </c>
      <c r="E654" s="1">
        <v>36759281</v>
      </c>
      <c r="F654" s="1" t="s">
        <v>341</v>
      </c>
      <c r="G654" s="1" t="s">
        <v>9</v>
      </c>
    </row>
    <row r="655" spans="1:7" ht="14.25" customHeight="1" x14ac:dyDescent="0.25">
      <c r="A655" s="13">
        <v>45565</v>
      </c>
      <c r="B655" s="1">
        <v>2024001996</v>
      </c>
      <c r="C655" s="1" t="s">
        <v>432</v>
      </c>
      <c r="D655" s="5">
        <v>9506000</v>
      </c>
      <c r="E655" s="1">
        <v>1061696504</v>
      </c>
      <c r="F655" s="1" t="s">
        <v>433</v>
      </c>
      <c r="G655" s="1" t="s">
        <v>9</v>
      </c>
    </row>
    <row r="656" spans="1:7" ht="14.25" customHeight="1" x14ac:dyDescent="0.25">
      <c r="A656" s="13">
        <v>45566</v>
      </c>
      <c r="B656" s="1">
        <v>2024002002</v>
      </c>
      <c r="C656" s="1" t="s">
        <v>90</v>
      </c>
      <c r="D656" s="5">
        <v>4750000</v>
      </c>
      <c r="E656" s="1">
        <v>1085263018</v>
      </c>
      <c r="F656" s="1" t="s">
        <v>91</v>
      </c>
      <c r="G656" s="1" t="s">
        <v>9</v>
      </c>
    </row>
    <row r="657" spans="1:7" ht="14.25" customHeight="1" x14ac:dyDescent="0.25">
      <c r="A657" s="13">
        <v>45566</v>
      </c>
      <c r="B657" s="1">
        <v>2024002003</v>
      </c>
      <c r="C657" s="1" t="s">
        <v>328</v>
      </c>
      <c r="D657" s="5">
        <v>6000000</v>
      </c>
      <c r="E657" s="1">
        <v>97470681</v>
      </c>
      <c r="F657" s="1" t="s">
        <v>329</v>
      </c>
      <c r="G657" s="1" t="s">
        <v>9</v>
      </c>
    </row>
    <row r="658" spans="1:7" ht="14.25" customHeight="1" x14ac:dyDescent="0.25">
      <c r="A658" s="13">
        <v>45566</v>
      </c>
      <c r="B658" s="1">
        <v>2024002005</v>
      </c>
      <c r="C658" s="1" t="s">
        <v>58</v>
      </c>
      <c r="D658" s="5">
        <v>2000000</v>
      </c>
      <c r="E658" s="1">
        <v>1081272025</v>
      </c>
      <c r="F658" s="1" t="s">
        <v>59</v>
      </c>
      <c r="G658" s="1" t="s">
        <v>9</v>
      </c>
    </row>
    <row r="659" spans="1:7" ht="14.25" customHeight="1" x14ac:dyDescent="0.25">
      <c r="A659" s="13">
        <v>45566</v>
      </c>
      <c r="B659" s="1">
        <v>2024002006</v>
      </c>
      <c r="C659" s="1" t="s">
        <v>94</v>
      </c>
      <c r="D659" s="5">
        <v>4750000</v>
      </c>
      <c r="E659" s="1">
        <v>1087413951</v>
      </c>
      <c r="F659" s="1" t="s">
        <v>95</v>
      </c>
      <c r="G659" s="1" t="s">
        <v>9</v>
      </c>
    </row>
    <row r="660" spans="1:7" ht="14.25" customHeight="1" x14ac:dyDescent="0.25">
      <c r="A660" s="13">
        <v>45567</v>
      </c>
      <c r="B660" s="1">
        <v>2024002009</v>
      </c>
      <c r="C660" s="1" t="s">
        <v>108</v>
      </c>
      <c r="D660" s="5">
        <v>2000000</v>
      </c>
      <c r="E660" s="1">
        <v>1004232508</v>
      </c>
      <c r="F660" s="1" t="s">
        <v>109</v>
      </c>
      <c r="G660" s="1" t="s">
        <v>9</v>
      </c>
    </row>
    <row r="661" spans="1:7" ht="14.25" customHeight="1" x14ac:dyDescent="0.25">
      <c r="A661" s="13">
        <v>45567</v>
      </c>
      <c r="B661" s="1">
        <v>2024002011</v>
      </c>
      <c r="C661" s="1" t="s">
        <v>66</v>
      </c>
      <c r="D661" s="5">
        <v>2000000</v>
      </c>
      <c r="E661" s="1">
        <v>1193265360</v>
      </c>
      <c r="F661" s="1" t="s">
        <v>67</v>
      </c>
      <c r="G661" s="1" t="s">
        <v>9</v>
      </c>
    </row>
    <row r="662" spans="1:7" ht="14.25" customHeight="1" x14ac:dyDescent="0.25">
      <c r="A662" s="13">
        <v>45567</v>
      </c>
      <c r="B662" s="1">
        <v>2024002012</v>
      </c>
      <c r="C662" s="1" t="s">
        <v>50</v>
      </c>
      <c r="D662" s="5">
        <v>2000000</v>
      </c>
      <c r="E662" s="1">
        <v>12974849</v>
      </c>
      <c r="F662" s="1" t="s">
        <v>51</v>
      </c>
      <c r="G662" s="1" t="s">
        <v>9</v>
      </c>
    </row>
    <row r="663" spans="1:7" ht="14.25" customHeight="1" x14ac:dyDescent="0.25">
      <c r="A663" s="13">
        <v>45567</v>
      </c>
      <c r="B663" s="1">
        <v>2024002014</v>
      </c>
      <c r="C663" s="1" t="s">
        <v>246</v>
      </c>
      <c r="D663" s="5">
        <v>4825600</v>
      </c>
      <c r="E663" s="1">
        <v>1085267184</v>
      </c>
      <c r="F663" s="1" t="s">
        <v>247</v>
      </c>
      <c r="G663" s="1" t="s">
        <v>9</v>
      </c>
    </row>
    <row r="664" spans="1:7" ht="14.25" customHeight="1" x14ac:dyDescent="0.25">
      <c r="A664" s="13">
        <v>45568</v>
      </c>
      <c r="B664" s="1">
        <v>2024002029</v>
      </c>
      <c r="C664" s="1" t="s">
        <v>222</v>
      </c>
      <c r="D664" s="5">
        <v>4750000</v>
      </c>
      <c r="E664" s="1">
        <v>87060703</v>
      </c>
      <c r="F664" s="1" t="s">
        <v>223</v>
      </c>
      <c r="G664" s="1" t="s">
        <v>9</v>
      </c>
    </row>
    <row r="665" spans="1:7" ht="14.25" customHeight="1" x14ac:dyDescent="0.25">
      <c r="A665" s="13">
        <v>45568</v>
      </c>
      <c r="B665" s="1">
        <v>2024002030</v>
      </c>
      <c r="C665" s="1" t="s">
        <v>106</v>
      </c>
      <c r="D665" s="5">
        <v>2000000</v>
      </c>
      <c r="E665" s="1">
        <v>36758143</v>
      </c>
      <c r="F665" s="1" t="s">
        <v>107</v>
      </c>
      <c r="G665" s="1" t="s">
        <v>9</v>
      </c>
    </row>
    <row r="666" spans="1:7" ht="14.25" customHeight="1" x14ac:dyDescent="0.25">
      <c r="A666" s="13">
        <v>45568</v>
      </c>
      <c r="B666" s="1">
        <v>2024002031</v>
      </c>
      <c r="C666" s="1" t="s">
        <v>130</v>
      </c>
      <c r="D666" s="5">
        <v>4825600</v>
      </c>
      <c r="E666" s="1">
        <v>1087643211</v>
      </c>
      <c r="F666" s="1" t="s">
        <v>131</v>
      </c>
      <c r="G666" s="1" t="s">
        <v>9</v>
      </c>
    </row>
    <row r="667" spans="1:7" ht="14.25" customHeight="1" x14ac:dyDescent="0.25">
      <c r="A667" s="13">
        <v>45573</v>
      </c>
      <c r="B667" s="1">
        <v>2024002068</v>
      </c>
      <c r="C667" s="1" t="s">
        <v>172</v>
      </c>
      <c r="D667" s="5">
        <v>2000000</v>
      </c>
      <c r="E667" s="1">
        <v>59833702</v>
      </c>
      <c r="F667" s="1" t="s">
        <v>173</v>
      </c>
      <c r="G667" s="1" t="s">
        <v>9</v>
      </c>
    </row>
    <row r="668" spans="1:7" ht="14.25" customHeight="1" x14ac:dyDescent="0.25">
      <c r="A668" s="13">
        <v>45573</v>
      </c>
      <c r="B668" s="1">
        <v>2024002069</v>
      </c>
      <c r="C668" s="1" t="s">
        <v>198</v>
      </c>
      <c r="D668" s="5">
        <v>2000000</v>
      </c>
      <c r="E668" s="1">
        <v>30737741</v>
      </c>
      <c r="F668" s="1" t="s">
        <v>199</v>
      </c>
      <c r="G668" s="1" t="s">
        <v>9</v>
      </c>
    </row>
    <row r="669" spans="1:7" ht="14.25" customHeight="1" x14ac:dyDescent="0.25">
      <c r="A669" s="13">
        <v>45573</v>
      </c>
      <c r="B669" s="1">
        <v>2024002070</v>
      </c>
      <c r="C669" s="1" t="s">
        <v>332</v>
      </c>
      <c r="D669" s="5">
        <v>4825600</v>
      </c>
      <c r="E669" s="1">
        <v>1085269530</v>
      </c>
      <c r="F669" s="1" t="s">
        <v>333</v>
      </c>
      <c r="G669" s="1" t="s">
        <v>9</v>
      </c>
    </row>
    <row r="670" spans="1:7" ht="14.25" customHeight="1" x14ac:dyDescent="0.25">
      <c r="A670" s="13">
        <v>45573</v>
      </c>
      <c r="B670" s="1">
        <v>2024002071</v>
      </c>
      <c r="C670" s="1" t="s">
        <v>364</v>
      </c>
      <c r="D670" s="5">
        <v>2000000</v>
      </c>
      <c r="E670" s="1">
        <v>1004726758</v>
      </c>
      <c r="F670" s="1" t="s">
        <v>365</v>
      </c>
      <c r="G670" s="1" t="s">
        <v>9</v>
      </c>
    </row>
    <row r="671" spans="1:7" ht="14.25" customHeight="1" x14ac:dyDescent="0.25">
      <c r="A671" s="13">
        <v>45573</v>
      </c>
      <c r="B671" s="1">
        <v>2024002072</v>
      </c>
      <c r="C671" s="1" t="s">
        <v>382</v>
      </c>
      <c r="D671" s="5">
        <v>2000000</v>
      </c>
      <c r="E671" s="1">
        <v>36753698</v>
      </c>
      <c r="F671" s="1" t="s">
        <v>383</v>
      </c>
      <c r="G671" s="1" t="s">
        <v>9</v>
      </c>
    </row>
    <row r="672" spans="1:7" ht="14.25" customHeight="1" x14ac:dyDescent="0.25">
      <c r="A672" s="13">
        <v>45573</v>
      </c>
      <c r="B672" s="1">
        <v>2024002074</v>
      </c>
      <c r="C672" s="1" t="s">
        <v>368</v>
      </c>
      <c r="D672" s="5">
        <v>2000000</v>
      </c>
      <c r="E672" s="1">
        <v>1085338135</v>
      </c>
      <c r="F672" s="1" t="s">
        <v>369</v>
      </c>
      <c r="G672" s="1" t="s">
        <v>9</v>
      </c>
    </row>
    <row r="673" spans="1:7" ht="14.25" customHeight="1" x14ac:dyDescent="0.25">
      <c r="A673" s="13">
        <v>45573</v>
      </c>
      <c r="B673" s="1">
        <v>2024002075</v>
      </c>
      <c r="C673" s="1" t="s">
        <v>152</v>
      </c>
      <c r="D673" s="5">
        <v>2000000</v>
      </c>
      <c r="E673" s="1">
        <v>1144206777</v>
      </c>
      <c r="F673" s="1" t="s">
        <v>153</v>
      </c>
      <c r="G673" s="1" t="s">
        <v>9</v>
      </c>
    </row>
    <row r="674" spans="1:7" ht="14.25" customHeight="1" x14ac:dyDescent="0.25">
      <c r="A674" s="13">
        <v>45573</v>
      </c>
      <c r="B674" s="1">
        <v>2024002076</v>
      </c>
      <c r="C674" s="1" t="s">
        <v>228</v>
      </c>
      <c r="D674" s="5">
        <v>2000000</v>
      </c>
      <c r="E674" s="1">
        <v>1193271854</v>
      </c>
      <c r="F674" s="1" t="s">
        <v>229</v>
      </c>
      <c r="G674" s="1" t="s">
        <v>9</v>
      </c>
    </row>
    <row r="675" spans="1:7" ht="14.25" customHeight="1" x14ac:dyDescent="0.25">
      <c r="A675" s="13">
        <v>45573</v>
      </c>
      <c r="B675" s="1">
        <v>2024002077</v>
      </c>
      <c r="C675" s="1" t="s">
        <v>418</v>
      </c>
      <c r="D675" s="5">
        <v>2000000</v>
      </c>
      <c r="E675" s="1">
        <v>1085260568</v>
      </c>
      <c r="F675" s="1" t="s">
        <v>419</v>
      </c>
      <c r="G675" s="1" t="s">
        <v>9</v>
      </c>
    </row>
    <row r="676" spans="1:7" ht="14.25" customHeight="1" x14ac:dyDescent="0.25">
      <c r="A676" s="13">
        <v>45573</v>
      </c>
      <c r="B676" s="1">
        <v>2024002081</v>
      </c>
      <c r="C676" s="1" t="s">
        <v>140</v>
      </c>
      <c r="D676" s="5">
        <v>4825600</v>
      </c>
      <c r="E676" s="1">
        <v>59314451</v>
      </c>
      <c r="F676" s="1" t="s">
        <v>141</v>
      </c>
      <c r="G676" s="1" t="s">
        <v>9</v>
      </c>
    </row>
    <row r="677" spans="1:7" ht="14.25" customHeight="1" x14ac:dyDescent="0.25">
      <c r="A677" s="13">
        <v>45573</v>
      </c>
      <c r="B677" s="1">
        <v>2024002082</v>
      </c>
      <c r="C677" s="1" t="s">
        <v>26</v>
      </c>
      <c r="D677" s="5">
        <v>6000000</v>
      </c>
      <c r="E677" s="1">
        <v>1085292185</v>
      </c>
      <c r="F677" s="1" t="s">
        <v>27</v>
      </c>
      <c r="G677" s="1" t="s">
        <v>9</v>
      </c>
    </row>
    <row r="678" spans="1:7" ht="14.25" customHeight="1" x14ac:dyDescent="0.25">
      <c r="A678" s="13">
        <v>45573</v>
      </c>
      <c r="B678" s="1">
        <v>2024002083</v>
      </c>
      <c r="C678" s="1" t="s">
        <v>390</v>
      </c>
      <c r="D678" s="5">
        <v>4750000</v>
      </c>
      <c r="E678" s="1">
        <v>36953206</v>
      </c>
      <c r="F678" s="1" t="s">
        <v>391</v>
      </c>
      <c r="G678" s="1" t="s">
        <v>9</v>
      </c>
    </row>
    <row r="679" spans="1:7" ht="14.25" customHeight="1" x14ac:dyDescent="0.25">
      <c r="A679" s="13">
        <v>45573</v>
      </c>
      <c r="B679" s="1">
        <v>2024002085</v>
      </c>
      <c r="C679" s="1" t="s">
        <v>60</v>
      </c>
      <c r="D679" s="5">
        <v>7500000</v>
      </c>
      <c r="E679" s="1">
        <v>1085321192</v>
      </c>
      <c r="F679" s="1" t="s">
        <v>61</v>
      </c>
      <c r="G679" s="1" t="s">
        <v>9</v>
      </c>
    </row>
    <row r="680" spans="1:7" ht="14.25" customHeight="1" x14ac:dyDescent="0.25">
      <c r="A680" s="13">
        <v>45573</v>
      </c>
      <c r="B680" s="1">
        <v>2024002086</v>
      </c>
      <c r="C680" s="1" t="s">
        <v>216</v>
      </c>
      <c r="D680" s="5">
        <v>6000000</v>
      </c>
      <c r="E680" s="1">
        <v>27109314</v>
      </c>
      <c r="F680" s="1" t="s">
        <v>217</v>
      </c>
      <c r="G680" s="1" t="s">
        <v>9</v>
      </c>
    </row>
    <row r="681" spans="1:7" ht="14.25" customHeight="1" x14ac:dyDescent="0.25">
      <c r="A681" s="13">
        <v>45573</v>
      </c>
      <c r="B681" s="1">
        <v>2024002088</v>
      </c>
      <c r="C681" s="1" t="s">
        <v>22</v>
      </c>
      <c r="D681" s="5">
        <v>4750000</v>
      </c>
      <c r="E681" s="1">
        <v>1085325342</v>
      </c>
      <c r="F681" s="1" t="s">
        <v>23</v>
      </c>
      <c r="G681" s="1" t="s">
        <v>9</v>
      </c>
    </row>
    <row r="682" spans="1:7" ht="14.25" customHeight="1" x14ac:dyDescent="0.25">
      <c r="A682" s="13">
        <v>45573</v>
      </c>
      <c r="B682" s="1">
        <v>2024002089</v>
      </c>
      <c r="C682" s="1" t="s">
        <v>88</v>
      </c>
      <c r="D682" s="5">
        <v>6000000</v>
      </c>
      <c r="E682" s="1">
        <v>1085337232</v>
      </c>
      <c r="F682" s="1" t="s">
        <v>89</v>
      </c>
      <c r="G682" s="1" t="s">
        <v>9</v>
      </c>
    </row>
    <row r="683" spans="1:7" ht="14.25" customHeight="1" x14ac:dyDescent="0.25">
      <c r="A683" s="13">
        <v>45573</v>
      </c>
      <c r="B683" s="1">
        <v>2024002090</v>
      </c>
      <c r="C683" s="1" t="s">
        <v>424</v>
      </c>
      <c r="D683" s="5">
        <v>6000000</v>
      </c>
      <c r="E683" s="1">
        <v>79724257</v>
      </c>
      <c r="F683" s="1" t="s">
        <v>425</v>
      </c>
      <c r="G683" s="1" t="s">
        <v>9</v>
      </c>
    </row>
    <row r="684" spans="1:7" ht="14.25" customHeight="1" x14ac:dyDescent="0.25">
      <c r="A684" s="13">
        <v>45573</v>
      </c>
      <c r="B684" s="1">
        <v>2024002091</v>
      </c>
      <c r="C684" s="1" t="s">
        <v>184</v>
      </c>
      <c r="D684" s="5">
        <v>2000000</v>
      </c>
      <c r="E684" s="1">
        <v>87070661</v>
      </c>
      <c r="F684" s="1" t="s">
        <v>185</v>
      </c>
      <c r="G684" s="1" t="s">
        <v>9</v>
      </c>
    </row>
    <row r="685" spans="1:7" ht="14.25" customHeight="1" x14ac:dyDescent="0.25">
      <c r="A685" s="13">
        <v>45573</v>
      </c>
      <c r="B685" s="1">
        <v>2024002092</v>
      </c>
      <c r="C685" s="1" t="s">
        <v>136</v>
      </c>
      <c r="D685" s="5">
        <v>7500000</v>
      </c>
      <c r="E685" s="1">
        <v>1151934571</v>
      </c>
      <c r="F685" s="1" t="s">
        <v>137</v>
      </c>
      <c r="G685" s="1" t="s">
        <v>9</v>
      </c>
    </row>
    <row r="686" spans="1:7" ht="14.25" customHeight="1" x14ac:dyDescent="0.25">
      <c r="A686" s="13">
        <v>45573</v>
      </c>
      <c r="B686" s="1">
        <v>2024002094</v>
      </c>
      <c r="C686" s="1" t="s">
        <v>308</v>
      </c>
      <c r="D686" s="5">
        <v>7500000</v>
      </c>
      <c r="E686" s="1">
        <v>12961407</v>
      </c>
      <c r="F686" s="1" t="s">
        <v>309</v>
      </c>
      <c r="G686" s="1" t="s">
        <v>9</v>
      </c>
    </row>
    <row r="687" spans="1:7" ht="14.25" customHeight="1" x14ac:dyDescent="0.25">
      <c r="A687" s="13">
        <v>45574</v>
      </c>
      <c r="B687" s="1">
        <v>2024002084</v>
      </c>
      <c r="C687" s="1" t="s">
        <v>212</v>
      </c>
      <c r="D687" s="5">
        <v>2000000</v>
      </c>
      <c r="E687" s="1">
        <v>5930737</v>
      </c>
      <c r="F687" s="1" t="s">
        <v>213</v>
      </c>
      <c r="G687" s="1" t="s">
        <v>9</v>
      </c>
    </row>
    <row r="688" spans="1:7" ht="14.25" customHeight="1" x14ac:dyDescent="0.25">
      <c r="A688" s="13">
        <v>45574</v>
      </c>
      <c r="B688" s="1">
        <v>2024002087</v>
      </c>
      <c r="C688" s="1" t="s">
        <v>48</v>
      </c>
      <c r="D688" s="5">
        <v>6000000</v>
      </c>
      <c r="E688" s="1">
        <v>27097289</v>
      </c>
      <c r="F688" s="1" t="s">
        <v>49</v>
      </c>
      <c r="G688" s="1" t="s">
        <v>9</v>
      </c>
    </row>
    <row r="689" spans="1:7" ht="14.25" customHeight="1" x14ac:dyDescent="0.25">
      <c r="A689" s="13">
        <v>45574</v>
      </c>
      <c r="B689" s="1">
        <v>2024002114</v>
      </c>
      <c r="C689" s="1" t="s">
        <v>266</v>
      </c>
      <c r="D689" s="5">
        <v>4750000</v>
      </c>
      <c r="E689" s="1">
        <v>1193383306</v>
      </c>
      <c r="F689" s="1" t="s">
        <v>267</v>
      </c>
      <c r="G689" s="1" t="s">
        <v>9</v>
      </c>
    </row>
    <row r="690" spans="1:7" ht="14.25" customHeight="1" x14ac:dyDescent="0.25">
      <c r="A690" s="13">
        <v>45574</v>
      </c>
      <c r="B690" s="1">
        <v>2024002115</v>
      </c>
      <c r="C690" s="1" t="s">
        <v>352</v>
      </c>
      <c r="D690" s="5">
        <v>2000000</v>
      </c>
      <c r="E690" s="1">
        <v>1081592303</v>
      </c>
      <c r="F690" s="1" t="s">
        <v>353</v>
      </c>
      <c r="G690" s="1" t="s">
        <v>9</v>
      </c>
    </row>
    <row r="691" spans="1:7" ht="14.25" customHeight="1" x14ac:dyDescent="0.25">
      <c r="A691" s="13">
        <v>45574</v>
      </c>
      <c r="B691" s="1">
        <v>2024002116</v>
      </c>
      <c r="C691" s="1" t="s">
        <v>62</v>
      </c>
      <c r="D691" s="5">
        <v>7500000</v>
      </c>
      <c r="E691" s="1">
        <v>1006946167</v>
      </c>
      <c r="F691" s="1" t="s">
        <v>63</v>
      </c>
      <c r="G691" s="1" t="s">
        <v>9</v>
      </c>
    </row>
    <row r="692" spans="1:7" ht="14.25" customHeight="1" x14ac:dyDescent="0.25">
      <c r="A692" s="13">
        <v>45574</v>
      </c>
      <c r="B692" s="1">
        <v>2024002117</v>
      </c>
      <c r="C692" s="1" t="s">
        <v>226</v>
      </c>
      <c r="D692" s="5">
        <v>2000000</v>
      </c>
      <c r="E692" s="1">
        <v>1085338575</v>
      </c>
      <c r="F692" s="1" t="s">
        <v>227</v>
      </c>
      <c r="G692" s="1" t="s">
        <v>9</v>
      </c>
    </row>
    <row r="693" spans="1:7" ht="14.25" customHeight="1" x14ac:dyDescent="0.25">
      <c r="A693" s="13">
        <v>45574</v>
      </c>
      <c r="B693" s="1">
        <v>2024002118</v>
      </c>
      <c r="C693" s="1" t="s">
        <v>64</v>
      </c>
      <c r="D693" s="5">
        <v>2000000</v>
      </c>
      <c r="E693" s="1">
        <v>59310524</v>
      </c>
      <c r="F693" s="1" t="s">
        <v>65</v>
      </c>
      <c r="G693" s="1" t="s">
        <v>9</v>
      </c>
    </row>
    <row r="694" spans="1:7" ht="14.25" customHeight="1" x14ac:dyDescent="0.25">
      <c r="A694" s="13">
        <v>45575</v>
      </c>
      <c r="B694" s="1">
        <v>2024002126</v>
      </c>
      <c r="C694" s="1" t="s">
        <v>164</v>
      </c>
      <c r="D694" s="14">
        <v>39900000</v>
      </c>
      <c r="E694" s="1">
        <v>900633448</v>
      </c>
      <c r="F694" s="1" t="s">
        <v>165</v>
      </c>
      <c r="G694" s="1" t="s">
        <v>9</v>
      </c>
    </row>
    <row r="695" spans="1:7" ht="14.25" customHeight="1" x14ac:dyDescent="0.25">
      <c r="A695" s="13">
        <v>45576</v>
      </c>
      <c r="B695" s="1">
        <v>2024002119</v>
      </c>
      <c r="C695" s="1" t="s">
        <v>424</v>
      </c>
      <c r="D695" s="5">
        <v>6000000</v>
      </c>
      <c r="E695" s="1">
        <v>79724257</v>
      </c>
      <c r="F695" s="1" t="s">
        <v>425</v>
      </c>
      <c r="G695" s="1" t="s">
        <v>9</v>
      </c>
    </row>
    <row r="696" spans="1:7" ht="14.25" customHeight="1" x14ac:dyDescent="0.25">
      <c r="A696" s="13">
        <v>45576</v>
      </c>
      <c r="B696" s="1">
        <v>2024002130</v>
      </c>
      <c r="C696" s="1" t="s">
        <v>96</v>
      </c>
      <c r="D696" s="5">
        <v>2000000</v>
      </c>
      <c r="E696" s="1">
        <v>59178610</v>
      </c>
      <c r="F696" s="1" t="s">
        <v>97</v>
      </c>
      <c r="G696" s="1" t="s">
        <v>9</v>
      </c>
    </row>
    <row r="697" spans="1:7" ht="14.25" customHeight="1" x14ac:dyDescent="0.25">
      <c r="A697" s="13">
        <v>45576</v>
      </c>
      <c r="B697" s="1">
        <v>2024002131</v>
      </c>
      <c r="C697" s="1" t="s">
        <v>252</v>
      </c>
      <c r="D697" s="5">
        <v>4750000</v>
      </c>
      <c r="E697" s="1">
        <v>1087422930</v>
      </c>
      <c r="F697" s="1" t="s">
        <v>253</v>
      </c>
      <c r="G697" s="1" t="s">
        <v>9</v>
      </c>
    </row>
    <row r="698" spans="1:7" ht="14.25" customHeight="1" x14ac:dyDescent="0.25">
      <c r="A698" s="13">
        <v>45576</v>
      </c>
      <c r="B698" s="1">
        <v>2024002132</v>
      </c>
      <c r="C698" s="1" t="s">
        <v>240</v>
      </c>
      <c r="D698" s="5">
        <v>4825600</v>
      </c>
      <c r="E698" s="1">
        <v>1085289739</v>
      </c>
      <c r="F698" s="1" t="s">
        <v>241</v>
      </c>
      <c r="G698" s="1" t="s">
        <v>9</v>
      </c>
    </row>
    <row r="699" spans="1:7" ht="14.25" customHeight="1" x14ac:dyDescent="0.25">
      <c r="A699" s="13">
        <v>45580</v>
      </c>
      <c r="B699" s="1">
        <v>2024002136</v>
      </c>
      <c r="C699" s="1" t="s">
        <v>102</v>
      </c>
      <c r="D699" s="5">
        <v>2000000</v>
      </c>
      <c r="E699" s="1">
        <v>59813323</v>
      </c>
      <c r="F699" s="1" t="s">
        <v>103</v>
      </c>
      <c r="G699" s="1" t="s">
        <v>9</v>
      </c>
    </row>
    <row r="700" spans="1:7" ht="14.25" customHeight="1" x14ac:dyDescent="0.25">
      <c r="A700" s="13">
        <v>45580</v>
      </c>
      <c r="B700" s="1">
        <v>2024002137</v>
      </c>
      <c r="C700" s="1" t="s">
        <v>54</v>
      </c>
      <c r="D700" s="5">
        <v>6000000</v>
      </c>
      <c r="E700" s="1">
        <v>1085246134</v>
      </c>
      <c r="F700" s="1" t="s">
        <v>55</v>
      </c>
      <c r="G700" s="1" t="s">
        <v>9</v>
      </c>
    </row>
    <row r="701" spans="1:7" ht="14.25" customHeight="1" x14ac:dyDescent="0.25">
      <c r="A701" s="13">
        <v>45582</v>
      </c>
      <c r="B701" s="1">
        <v>2024002143</v>
      </c>
      <c r="C701" s="1" t="s">
        <v>434</v>
      </c>
      <c r="D701" s="5">
        <v>7500000</v>
      </c>
      <c r="E701" s="1">
        <v>1193279435</v>
      </c>
      <c r="F701" s="1" t="s">
        <v>435</v>
      </c>
      <c r="G701" s="1" t="s">
        <v>9</v>
      </c>
    </row>
    <row r="702" spans="1:7" ht="14.25" customHeight="1" x14ac:dyDescent="0.25">
      <c r="A702" s="13">
        <v>45582</v>
      </c>
      <c r="B702" s="1">
        <v>2024002144</v>
      </c>
      <c r="C702" s="1" t="s">
        <v>436</v>
      </c>
      <c r="D702" s="5">
        <v>6000000</v>
      </c>
      <c r="E702" s="1">
        <v>1085248939</v>
      </c>
      <c r="F702" s="1" t="s">
        <v>437</v>
      </c>
      <c r="G702" s="1" t="s">
        <v>9</v>
      </c>
    </row>
    <row r="703" spans="1:7" ht="14.25" customHeight="1" x14ac:dyDescent="0.25">
      <c r="A703" s="13">
        <v>45582</v>
      </c>
      <c r="B703" s="1">
        <v>2024002145</v>
      </c>
      <c r="C703" s="1" t="s">
        <v>436</v>
      </c>
      <c r="D703" s="5">
        <v>6000000</v>
      </c>
      <c r="E703" s="1">
        <v>1085248939</v>
      </c>
      <c r="F703" s="1" t="s">
        <v>437</v>
      </c>
      <c r="G703" s="1" t="s">
        <v>9</v>
      </c>
    </row>
    <row r="704" spans="1:7" ht="14.25" customHeight="1" x14ac:dyDescent="0.25">
      <c r="A704" s="13">
        <v>45582</v>
      </c>
      <c r="B704" s="1">
        <v>2024002146</v>
      </c>
      <c r="C704" s="1" t="s">
        <v>436</v>
      </c>
      <c r="D704" s="5">
        <v>6000000</v>
      </c>
      <c r="E704" s="1">
        <v>1085248939</v>
      </c>
      <c r="F704" s="1" t="s">
        <v>437</v>
      </c>
      <c r="G704" s="1" t="s">
        <v>9</v>
      </c>
    </row>
    <row r="705" spans="1:7" ht="14.25" customHeight="1" x14ac:dyDescent="0.25">
      <c r="A705" s="13">
        <v>45582</v>
      </c>
      <c r="B705" s="1">
        <v>2024002147</v>
      </c>
      <c r="C705" s="1" t="s">
        <v>358</v>
      </c>
      <c r="D705" s="5">
        <v>7500000</v>
      </c>
      <c r="E705" s="1">
        <v>1085345430</v>
      </c>
      <c r="F705" s="1" t="s">
        <v>359</v>
      </c>
      <c r="G705" s="1" t="s">
        <v>9</v>
      </c>
    </row>
    <row r="706" spans="1:7" ht="14.25" customHeight="1" x14ac:dyDescent="0.25">
      <c r="A706" s="13">
        <v>45582</v>
      </c>
      <c r="B706" s="1">
        <v>2024002148</v>
      </c>
      <c r="C706" s="1" t="s">
        <v>232</v>
      </c>
      <c r="D706" s="5">
        <v>2000000</v>
      </c>
      <c r="E706" s="1">
        <v>1014857280</v>
      </c>
      <c r="F706" s="1" t="s">
        <v>233</v>
      </c>
      <c r="G706" s="1" t="s">
        <v>9</v>
      </c>
    </row>
    <row r="707" spans="1:7" ht="14.25" customHeight="1" x14ac:dyDescent="0.25">
      <c r="A707" s="13">
        <v>45582</v>
      </c>
      <c r="B707" s="1">
        <v>2024002153</v>
      </c>
      <c r="C707" s="1" t="s">
        <v>366</v>
      </c>
      <c r="D707" s="5">
        <v>2000000</v>
      </c>
      <c r="E707" s="1">
        <v>1004508436</v>
      </c>
      <c r="F707" s="1" t="s">
        <v>367</v>
      </c>
      <c r="G707" s="1" t="s">
        <v>9</v>
      </c>
    </row>
    <row r="708" spans="1:7" ht="14.25" customHeight="1" x14ac:dyDescent="0.25">
      <c r="A708" s="13">
        <v>45582</v>
      </c>
      <c r="B708" s="1">
        <v>2024002154</v>
      </c>
      <c r="C708" s="1" t="s">
        <v>300</v>
      </c>
      <c r="D708" s="5">
        <v>2000000</v>
      </c>
      <c r="E708" s="1">
        <v>1085325718</v>
      </c>
      <c r="F708" s="1" t="s">
        <v>301</v>
      </c>
      <c r="G708" s="1" t="s">
        <v>9</v>
      </c>
    </row>
    <row r="709" spans="1:7" ht="14.25" customHeight="1" x14ac:dyDescent="0.25">
      <c r="A709" s="13">
        <v>45587</v>
      </c>
      <c r="B709" s="1">
        <v>2024002211</v>
      </c>
      <c r="C709" s="1" t="s">
        <v>166</v>
      </c>
      <c r="D709" s="5">
        <v>733333.33</v>
      </c>
      <c r="E709" s="1">
        <v>1081052552</v>
      </c>
      <c r="F709" s="1" t="s">
        <v>167</v>
      </c>
      <c r="G709" s="1" t="s">
        <v>9</v>
      </c>
    </row>
    <row r="710" spans="1:7" ht="14.25" customHeight="1" x14ac:dyDescent="0.25">
      <c r="A710" s="13">
        <v>45588</v>
      </c>
      <c r="B710" s="1">
        <v>2024002213</v>
      </c>
      <c r="C710" s="1" t="s">
        <v>76</v>
      </c>
      <c r="D710" s="5">
        <v>2000000</v>
      </c>
      <c r="E710" s="1">
        <v>1086362994</v>
      </c>
      <c r="F710" s="1" t="s">
        <v>77</v>
      </c>
      <c r="G710" s="1" t="s">
        <v>9</v>
      </c>
    </row>
    <row r="711" spans="1:7" ht="14.25" customHeight="1" x14ac:dyDescent="0.25">
      <c r="A711" s="3">
        <v>45594</v>
      </c>
      <c r="B711" s="4">
        <v>2024002292</v>
      </c>
      <c r="C711" s="4" t="s">
        <v>598</v>
      </c>
      <c r="D711" s="5">
        <v>106805500</v>
      </c>
      <c r="E711" s="4">
        <v>900994364</v>
      </c>
      <c r="F711" s="4" t="s">
        <v>269</v>
      </c>
      <c r="G711" t="s">
        <v>565</v>
      </c>
    </row>
    <row r="712" spans="1:7" ht="14.25" customHeight="1" x14ac:dyDescent="0.25">
      <c r="A712" s="13">
        <v>45595</v>
      </c>
      <c r="B712" s="1">
        <v>2024002306</v>
      </c>
      <c r="C712" s="1" t="s">
        <v>380</v>
      </c>
      <c r="D712" s="5">
        <v>2000000</v>
      </c>
      <c r="E712" s="1">
        <v>1085324107</v>
      </c>
      <c r="F712" s="1" t="s">
        <v>381</v>
      </c>
      <c r="G712" s="1" t="s">
        <v>9</v>
      </c>
    </row>
    <row r="713" spans="1:7" ht="14.25" customHeight="1" x14ac:dyDescent="0.25">
      <c r="A713" s="13">
        <v>45595</v>
      </c>
      <c r="B713" s="1">
        <v>2024002307</v>
      </c>
      <c r="C713" s="1" t="s">
        <v>380</v>
      </c>
      <c r="D713" s="5">
        <v>1000000</v>
      </c>
      <c r="E713" s="1">
        <v>1085324107</v>
      </c>
      <c r="F713" s="1" t="s">
        <v>381</v>
      </c>
      <c r="G713" s="1" t="s">
        <v>9</v>
      </c>
    </row>
    <row r="714" spans="1:7" ht="14.25" customHeight="1" x14ac:dyDescent="0.25">
      <c r="A714" s="3">
        <v>45604</v>
      </c>
      <c r="B714" s="4">
        <v>2024002372</v>
      </c>
      <c r="C714" s="4" t="s">
        <v>599</v>
      </c>
      <c r="D714" s="5">
        <v>7540000</v>
      </c>
      <c r="E714" s="4">
        <v>1085304670</v>
      </c>
      <c r="F714" s="4" t="s">
        <v>161</v>
      </c>
      <c r="G714" t="s">
        <v>565</v>
      </c>
    </row>
    <row r="715" spans="1:7" ht="14.25" customHeight="1" x14ac:dyDescent="0.25">
      <c r="A715" s="3">
        <v>45609</v>
      </c>
      <c r="B715" s="4">
        <v>2024002374</v>
      </c>
      <c r="C715" s="4" t="s">
        <v>600</v>
      </c>
      <c r="D715" s="5">
        <v>6000000</v>
      </c>
      <c r="E715" s="4">
        <v>59820414</v>
      </c>
      <c r="F715" s="4" t="s">
        <v>261</v>
      </c>
      <c r="G715" t="s">
        <v>565</v>
      </c>
    </row>
    <row r="716" spans="1:7" ht="14.25" customHeight="1" x14ac:dyDescent="0.25">
      <c r="A716" s="3">
        <v>45610</v>
      </c>
      <c r="B716" s="4">
        <v>2024002398</v>
      </c>
      <c r="C716" s="4" t="s">
        <v>601</v>
      </c>
      <c r="D716" s="5">
        <v>6000000</v>
      </c>
      <c r="E716" s="4">
        <v>27097289</v>
      </c>
      <c r="F716" s="4" t="s">
        <v>49</v>
      </c>
      <c r="G716" t="s">
        <v>565</v>
      </c>
    </row>
    <row r="717" spans="1:7" ht="14.25" customHeight="1" x14ac:dyDescent="0.25">
      <c r="A717" s="3">
        <v>45610</v>
      </c>
      <c r="B717" s="4">
        <v>2024002400</v>
      </c>
      <c r="C717" s="4" t="s">
        <v>602</v>
      </c>
      <c r="D717" s="5">
        <v>7540000</v>
      </c>
      <c r="E717" s="4">
        <v>1151934571</v>
      </c>
      <c r="F717" s="4" t="s">
        <v>137</v>
      </c>
      <c r="G717" t="s">
        <v>565</v>
      </c>
    </row>
    <row r="718" spans="1:7" ht="14.25" customHeight="1" x14ac:dyDescent="0.25">
      <c r="A718" s="3">
        <v>45610</v>
      </c>
      <c r="B718" s="4">
        <v>2024002401</v>
      </c>
      <c r="C718" s="4" t="s">
        <v>603</v>
      </c>
      <c r="D718" s="5">
        <v>6000000</v>
      </c>
      <c r="E718" s="4">
        <v>1085286476</v>
      </c>
      <c r="F718" s="4" t="s">
        <v>385</v>
      </c>
      <c r="G718" t="s">
        <v>565</v>
      </c>
    </row>
    <row r="719" spans="1:7" ht="14.25" customHeight="1" x14ac:dyDescent="0.25">
      <c r="A719" s="3">
        <v>45610</v>
      </c>
      <c r="B719" s="4">
        <v>2024002404</v>
      </c>
      <c r="C719" s="4" t="s">
        <v>604</v>
      </c>
      <c r="D719" s="5">
        <v>7540000</v>
      </c>
      <c r="E719" s="4">
        <v>1085336362</v>
      </c>
      <c r="F719" s="4" t="s">
        <v>41</v>
      </c>
      <c r="G719" t="s">
        <v>565</v>
      </c>
    </row>
    <row r="720" spans="1:7" ht="14.25" customHeight="1" x14ac:dyDescent="0.25">
      <c r="A720" s="3">
        <v>45610</v>
      </c>
      <c r="B720" s="4">
        <v>2024002406</v>
      </c>
      <c r="C720" s="4" t="s">
        <v>605</v>
      </c>
      <c r="D720" s="5">
        <v>3000000</v>
      </c>
      <c r="E720" s="4">
        <v>1085326198</v>
      </c>
      <c r="F720" s="4" t="s">
        <v>79</v>
      </c>
      <c r="G720" t="s">
        <v>565</v>
      </c>
    </row>
    <row r="721" spans="1:7" ht="14.25" customHeight="1" x14ac:dyDescent="0.25">
      <c r="A721" s="3">
        <v>45610</v>
      </c>
      <c r="B721" s="4">
        <v>2024002407</v>
      </c>
      <c r="C721" s="4" t="s">
        <v>606</v>
      </c>
      <c r="D721" s="5">
        <v>3000000</v>
      </c>
      <c r="E721" s="4">
        <v>1088799034</v>
      </c>
      <c r="F721" s="4" t="s">
        <v>81</v>
      </c>
      <c r="G721" t="s">
        <v>565</v>
      </c>
    </row>
    <row r="722" spans="1:7" ht="14.25" customHeight="1" x14ac:dyDescent="0.25">
      <c r="A722" s="3">
        <v>45610</v>
      </c>
      <c r="B722" s="4">
        <v>2024002408</v>
      </c>
      <c r="C722" s="4" t="s">
        <v>607</v>
      </c>
      <c r="D722" s="5">
        <v>3000000</v>
      </c>
      <c r="E722" s="4">
        <v>1085295383</v>
      </c>
      <c r="F722" s="4" t="s">
        <v>139</v>
      </c>
      <c r="G722" t="s">
        <v>565</v>
      </c>
    </row>
    <row r="723" spans="1:7" ht="14.25" customHeight="1" x14ac:dyDescent="0.25">
      <c r="A723" s="3">
        <v>45610</v>
      </c>
      <c r="B723" s="4">
        <v>2024002410</v>
      </c>
      <c r="C723" s="4" t="s">
        <v>608</v>
      </c>
      <c r="D723" s="5">
        <v>3000000</v>
      </c>
      <c r="E723" s="4">
        <v>1085331508</v>
      </c>
      <c r="F723" s="4" t="s">
        <v>35</v>
      </c>
      <c r="G723" t="s">
        <v>565</v>
      </c>
    </row>
    <row r="724" spans="1:7" ht="14.25" customHeight="1" x14ac:dyDescent="0.25">
      <c r="A724" s="3">
        <v>45610</v>
      </c>
      <c r="B724" s="4">
        <v>2024002411</v>
      </c>
      <c r="C724" s="4" t="s">
        <v>609</v>
      </c>
      <c r="D724" s="5">
        <v>6000000</v>
      </c>
      <c r="E724" s="4">
        <v>1085275879</v>
      </c>
      <c r="F724" s="4" t="s">
        <v>117</v>
      </c>
      <c r="G724" t="s">
        <v>565</v>
      </c>
    </row>
    <row r="725" spans="1:7" ht="14.25" customHeight="1" x14ac:dyDescent="0.25">
      <c r="A725" s="3">
        <v>45610</v>
      </c>
      <c r="B725" s="4">
        <v>2024002415</v>
      </c>
      <c r="C725" s="4" t="s">
        <v>610</v>
      </c>
      <c r="D725" s="5">
        <v>6000000</v>
      </c>
      <c r="E725" s="4">
        <v>1085254626</v>
      </c>
      <c r="F725" s="4" t="s">
        <v>143</v>
      </c>
      <c r="G725" t="s">
        <v>565</v>
      </c>
    </row>
    <row r="726" spans="1:7" ht="14.25" customHeight="1" x14ac:dyDescent="0.25">
      <c r="A726" s="3">
        <v>45610</v>
      </c>
      <c r="B726" s="4">
        <v>2024002416</v>
      </c>
      <c r="C726" s="4" t="s">
        <v>611</v>
      </c>
      <c r="D726" s="5">
        <v>3000000</v>
      </c>
      <c r="E726" s="4">
        <v>1085261053</v>
      </c>
      <c r="F726" s="4" t="s">
        <v>335</v>
      </c>
      <c r="G726" t="s">
        <v>565</v>
      </c>
    </row>
    <row r="727" spans="1:7" ht="14.25" customHeight="1" x14ac:dyDescent="0.25">
      <c r="A727" s="3">
        <v>45610</v>
      </c>
      <c r="B727" s="4">
        <v>2024002417</v>
      </c>
      <c r="C727" s="4" t="s">
        <v>612</v>
      </c>
      <c r="D727" s="5">
        <v>4750000</v>
      </c>
      <c r="E727" s="4">
        <v>27087475</v>
      </c>
      <c r="F727" s="4" t="s">
        <v>571</v>
      </c>
      <c r="G727" t="s">
        <v>565</v>
      </c>
    </row>
    <row r="728" spans="1:7" ht="14.25" customHeight="1" x14ac:dyDescent="0.25">
      <c r="A728" s="3">
        <v>45610</v>
      </c>
      <c r="B728" s="4">
        <v>2024002418</v>
      </c>
      <c r="C728" s="4" t="s">
        <v>613</v>
      </c>
      <c r="D728" s="5">
        <v>6000000</v>
      </c>
      <c r="E728" s="4">
        <v>1085313872</v>
      </c>
      <c r="F728" s="4" t="s">
        <v>614</v>
      </c>
      <c r="G728" t="s">
        <v>565</v>
      </c>
    </row>
    <row r="729" spans="1:7" ht="14.25" customHeight="1" x14ac:dyDescent="0.25">
      <c r="A729" s="3">
        <v>45611</v>
      </c>
      <c r="B729" s="4">
        <v>2024002427</v>
      </c>
      <c r="C729" s="4" t="s">
        <v>615</v>
      </c>
      <c r="D729" s="5">
        <v>9853200</v>
      </c>
      <c r="E729" s="4">
        <v>830004892</v>
      </c>
      <c r="F729" s="4" t="s">
        <v>616</v>
      </c>
      <c r="G729" t="s">
        <v>565</v>
      </c>
    </row>
    <row r="730" spans="1:7" ht="14.25" customHeight="1" x14ac:dyDescent="0.25">
      <c r="A730" s="3">
        <v>45614</v>
      </c>
      <c r="B730" s="4">
        <v>2024002440</v>
      </c>
      <c r="C730" s="4" t="s">
        <v>617</v>
      </c>
      <c r="D730" s="5">
        <v>6000000</v>
      </c>
      <c r="E730" s="4">
        <v>1082748420</v>
      </c>
      <c r="F730" s="4" t="s">
        <v>450</v>
      </c>
      <c r="G730" t="s">
        <v>565</v>
      </c>
    </row>
    <row r="731" spans="1:7" ht="14.25" customHeight="1" x14ac:dyDescent="0.25">
      <c r="A731" s="3">
        <v>45614</v>
      </c>
      <c r="B731" s="4">
        <v>2024002441</v>
      </c>
      <c r="C731" s="4" t="s">
        <v>618</v>
      </c>
      <c r="D731" s="5">
        <v>6000000</v>
      </c>
      <c r="E731" s="4">
        <v>1085320275</v>
      </c>
      <c r="F731" s="4" t="s">
        <v>619</v>
      </c>
      <c r="G731" t="s">
        <v>565</v>
      </c>
    </row>
    <row r="732" spans="1:7" ht="14.25" customHeight="1" x14ac:dyDescent="0.25">
      <c r="A732" s="3">
        <v>45614</v>
      </c>
      <c r="B732" s="4">
        <v>2024002442</v>
      </c>
      <c r="C732" s="4" t="s">
        <v>620</v>
      </c>
      <c r="D732" s="5">
        <v>4825000</v>
      </c>
      <c r="E732" s="4">
        <v>1085273986</v>
      </c>
      <c r="F732" s="4" t="s">
        <v>621</v>
      </c>
      <c r="G732" t="s">
        <v>565</v>
      </c>
    </row>
    <row r="733" spans="1:7" ht="14.25" customHeight="1" x14ac:dyDescent="0.25">
      <c r="A733" s="3">
        <v>45614</v>
      </c>
      <c r="B733" s="4">
        <v>2024002443</v>
      </c>
      <c r="C733" s="4" t="s">
        <v>622</v>
      </c>
      <c r="D733" s="5">
        <v>4825000</v>
      </c>
      <c r="E733" s="4">
        <v>1085283723</v>
      </c>
      <c r="F733" s="4" t="s">
        <v>175</v>
      </c>
      <c r="G733" t="s">
        <v>565</v>
      </c>
    </row>
    <row r="734" spans="1:7" ht="14.25" customHeight="1" x14ac:dyDescent="0.25">
      <c r="A734" s="3">
        <v>45614</v>
      </c>
      <c r="B734" s="4">
        <v>2024002444</v>
      </c>
      <c r="C734" s="4" t="s">
        <v>623</v>
      </c>
      <c r="D734" s="5">
        <v>4750000</v>
      </c>
      <c r="E734" s="4">
        <v>1085260497</v>
      </c>
      <c r="F734" s="4" t="s">
        <v>429</v>
      </c>
      <c r="G734" t="s">
        <v>565</v>
      </c>
    </row>
    <row r="735" spans="1:7" ht="14.25" customHeight="1" x14ac:dyDescent="0.25">
      <c r="A735" s="3">
        <v>45614</v>
      </c>
      <c r="B735" s="4">
        <v>2024002445</v>
      </c>
      <c r="C735" s="4" t="s">
        <v>624</v>
      </c>
      <c r="D735" s="5">
        <v>4825000</v>
      </c>
      <c r="E735" s="4">
        <v>37082349</v>
      </c>
      <c r="F735" s="4" t="s">
        <v>377</v>
      </c>
      <c r="G735" t="s">
        <v>565</v>
      </c>
    </row>
    <row r="736" spans="1:7" ht="14.25" customHeight="1" x14ac:dyDescent="0.25">
      <c r="A736" s="3">
        <v>45614</v>
      </c>
      <c r="B736" s="4">
        <v>2024002446</v>
      </c>
      <c r="C736" s="4" t="s">
        <v>625</v>
      </c>
      <c r="D736" s="5">
        <v>4750000</v>
      </c>
      <c r="E736" s="4">
        <v>1085263018</v>
      </c>
      <c r="F736" s="4" t="s">
        <v>91</v>
      </c>
      <c r="G736" t="s">
        <v>565</v>
      </c>
    </row>
    <row r="737" spans="1:7" ht="14.25" customHeight="1" x14ac:dyDescent="0.25">
      <c r="A737" s="3">
        <v>45614</v>
      </c>
      <c r="B737" s="4">
        <v>2024002447</v>
      </c>
      <c r="C737" s="4" t="s">
        <v>626</v>
      </c>
      <c r="D737" s="5">
        <v>4825000</v>
      </c>
      <c r="E737" s="4">
        <v>1085338534</v>
      </c>
      <c r="F737" s="4" t="s">
        <v>15</v>
      </c>
      <c r="G737" t="s">
        <v>565</v>
      </c>
    </row>
    <row r="738" spans="1:7" ht="14.25" customHeight="1" x14ac:dyDescent="0.25">
      <c r="A738" s="3">
        <v>45614</v>
      </c>
      <c r="B738" s="4">
        <v>2024002448</v>
      </c>
      <c r="C738" s="4" t="s">
        <v>627</v>
      </c>
      <c r="D738" s="5">
        <v>3000000</v>
      </c>
      <c r="E738" s="4">
        <v>1085271641</v>
      </c>
      <c r="F738" s="4" t="s">
        <v>251</v>
      </c>
      <c r="G738" t="s">
        <v>565</v>
      </c>
    </row>
    <row r="739" spans="1:7" ht="14.25" customHeight="1" x14ac:dyDescent="0.25">
      <c r="A739" s="3">
        <v>45614</v>
      </c>
      <c r="B739" s="4">
        <v>2024002449</v>
      </c>
      <c r="C739" s="4" t="s">
        <v>628</v>
      </c>
      <c r="D739" s="5">
        <v>3000000</v>
      </c>
      <c r="E739" s="4">
        <v>1192717330</v>
      </c>
      <c r="F739" s="4" t="s">
        <v>277</v>
      </c>
      <c r="G739" t="s">
        <v>565</v>
      </c>
    </row>
    <row r="740" spans="1:7" ht="14.25" customHeight="1" x14ac:dyDescent="0.25">
      <c r="A740" s="3">
        <v>45614</v>
      </c>
      <c r="B740" s="4">
        <v>2024002450</v>
      </c>
      <c r="C740" s="4" t="s">
        <v>629</v>
      </c>
      <c r="D740" s="5">
        <v>2500000</v>
      </c>
      <c r="E740" s="4">
        <v>27211504</v>
      </c>
      <c r="F740" s="4" t="s">
        <v>203</v>
      </c>
      <c r="G740" t="s">
        <v>565</v>
      </c>
    </row>
    <row r="741" spans="1:7" ht="14.25" customHeight="1" x14ac:dyDescent="0.25">
      <c r="A741" s="3">
        <v>45614</v>
      </c>
      <c r="B741" s="4">
        <v>2024002451</v>
      </c>
      <c r="C741" s="4" t="s">
        <v>630</v>
      </c>
      <c r="D741" s="5">
        <v>3000000</v>
      </c>
      <c r="E741" s="4">
        <v>1004635031</v>
      </c>
      <c r="F741" s="4" t="s">
        <v>397</v>
      </c>
      <c r="G741" t="s">
        <v>565</v>
      </c>
    </row>
    <row r="742" spans="1:7" ht="14.25" customHeight="1" x14ac:dyDescent="0.25">
      <c r="A742" s="3">
        <v>45614</v>
      </c>
      <c r="B742" s="4">
        <v>2024002452</v>
      </c>
      <c r="C742" s="4" t="s">
        <v>631</v>
      </c>
      <c r="D742" s="5">
        <v>6000000</v>
      </c>
      <c r="E742" s="4">
        <v>1085246134</v>
      </c>
      <c r="F742" s="4" t="s">
        <v>55</v>
      </c>
      <c r="G742" t="s">
        <v>565</v>
      </c>
    </row>
    <row r="743" spans="1:7" ht="14.25" customHeight="1" x14ac:dyDescent="0.25">
      <c r="A743" s="3">
        <v>45614</v>
      </c>
      <c r="B743" s="4">
        <v>2024002453</v>
      </c>
      <c r="C743" s="4" t="s">
        <v>632</v>
      </c>
      <c r="D743" s="5">
        <v>6000000</v>
      </c>
      <c r="E743" s="4">
        <v>36951002</v>
      </c>
      <c r="F743" s="4" t="s">
        <v>125</v>
      </c>
      <c r="G743" t="s">
        <v>565</v>
      </c>
    </row>
    <row r="744" spans="1:7" ht="14.25" customHeight="1" x14ac:dyDescent="0.25">
      <c r="A744" s="3">
        <v>45614</v>
      </c>
      <c r="B744" s="4">
        <v>2024002454</v>
      </c>
      <c r="C744" s="4" t="s">
        <v>633</v>
      </c>
      <c r="D744" s="5">
        <v>7540000</v>
      </c>
      <c r="E744" s="4">
        <v>36950112</v>
      </c>
      <c r="F744" s="4" t="s">
        <v>634</v>
      </c>
      <c r="G744" t="s">
        <v>565</v>
      </c>
    </row>
    <row r="745" spans="1:7" ht="14.25" customHeight="1" x14ac:dyDescent="0.25">
      <c r="A745" s="3">
        <v>45615</v>
      </c>
      <c r="B745" s="4">
        <v>2024002458</v>
      </c>
      <c r="C745" s="4" t="s">
        <v>635</v>
      </c>
      <c r="D745" s="5">
        <v>30171550</v>
      </c>
      <c r="E745" s="4">
        <v>900633448</v>
      </c>
      <c r="F745" s="4" t="s">
        <v>165</v>
      </c>
      <c r="G745" t="s">
        <v>565</v>
      </c>
    </row>
    <row r="746" spans="1:7" ht="14.25" customHeight="1" x14ac:dyDescent="0.25">
      <c r="A746" s="3">
        <v>45615</v>
      </c>
      <c r="B746" s="4">
        <v>2024002459</v>
      </c>
      <c r="C746" s="4" t="s">
        <v>636</v>
      </c>
      <c r="D746" s="5">
        <v>32976500</v>
      </c>
      <c r="E746" s="4">
        <v>900633448</v>
      </c>
      <c r="F746" s="4" t="s">
        <v>165</v>
      </c>
      <c r="G746" t="s">
        <v>565</v>
      </c>
    </row>
    <row r="747" spans="1:7" ht="14.25" customHeight="1" x14ac:dyDescent="0.25">
      <c r="A747" s="3">
        <v>45615</v>
      </c>
      <c r="B747" s="4">
        <v>2024002461</v>
      </c>
      <c r="C747" s="4" t="s">
        <v>637</v>
      </c>
      <c r="D747" s="5">
        <v>40641250</v>
      </c>
      <c r="E747" s="4">
        <v>900633448</v>
      </c>
      <c r="F747" s="4" t="s">
        <v>165</v>
      </c>
      <c r="G747" t="s">
        <v>565</v>
      </c>
    </row>
    <row r="748" spans="1:7" ht="14.25" customHeight="1" x14ac:dyDescent="0.25">
      <c r="A748" s="3">
        <v>45615</v>
      </c>
      <c r="B748" s="4">
        <v>2024002462</v>
      </c>
      <c r="C748" s="4" t="s">
        <v>638</v>
      </c>
      <c r="D748" s="5">
        <v>6000000</v>
      </c>
      <c r="E748" s="4">
        <v>1010010954</v>
      </c>
      <c r="F748" s="4" t="s">
        <v>337</v>
      </c>
      <c r="G748" t="s">
        <v>565</v>
      </c>
    </row>
    <row r="749" spans="1:7" ht="14.25" customHeight="1" x14ac:dyDescent="0.25">
      <c r="A749" s="3">
        <v>45615</v>
      </c>
      <c r="B749" s="4">
        <v>2024002463</v>
      </c>
      <c r="C749" s="4" t="s">
        <v>639</v>
      </c>
      <c r="D749" s="5">
        <v>3000000</v>
      </c>
      <c r="E749" s="4">
        <v>36757522</v>
      </c>
      <c r="F749" s="4" t="s">
        <v>271</v>
      </c>
      <c r="G749" t="s">
        <v>565</v>
      </c>
    </row>
    <row r="750" spans="1:7" ht="14.25" customHeight="1" x14ac:dyDescent="0.25">
      <c r="A750" s="3">
        <v>45615</v>
      </c>
      <c r="B750" s="4">
        <v>2024002464</v>
      </c>
      <c r="C750" s="4" t="s">
        <v>640</v>
      </c>
      <c r="D750" s="5">
        <v>3000000</v>
      </c>
      <c r="E750" s="4">
        <v>1004592366</v>
      </c>
      <c r="F750" s="4" t="s">
        <v>123</v>
      </c>
      <c r="G750" t="s">
        <v>565</v>
      </c>
    </row>
    <row r="751" spans="1:7" ht="14.25" customHeight="1" x14ac:dyDescent="0.25">
      <c r="A751" s="3">
        <v>45615</v>
      </c>
      <c r="B751" s="4">
        <v>2024002465</v>
      </c>
      <c r="C751" s="4" t="s">
        <v>641</v>
      </c>
      <c r="D751" s="5">
        <v>2500000</v>
      </c>
      <c r="E751" s="4">
        <v>1085251468</v>
      </c>
      <c r="F751" s="4" t="s">
        <v>303</v>
      </c>
      <c r="G751" t="s">
        <v>565</v>
      </c>
    </row>
    <row r="752" spans="1:7" ht="14.25" customHeight="1" x14ac:dyDescent="0.25">
      <c r="A752" s="3">
        <v>45615</v>
      </c>
      <c r="B752" s="4">
        <v>2024002466</v>
      </c>
      <c r="C752" s="4" t="s">
        <v>642</v>
      </c>
      <c r="D752" s="5">
        <v>1800000</v>
      </c>
      <c r="E752" s="4">
        <v>1085292185</v>
      </c>
      <c r="F752" s="4" t="s">
        <v>27</v>
      </c>
      <c r="G752" t="s">
        <v>565</v>
      </c>
    </row>
    <row r="753" spans="1:7" ht="14.25" customHeight="1" x14ac:dyDescent="0.25">
      <c r="A753" s="3">
        <v>45615</v>
      </c>
      <c r="B753" s="4">
        <v>2024002467</v>
      </c>
      <c r="C753" s="4" t="s">
        <v>643</v>
      </c>
      <c r="D753" s="5">
        <v>3000000</v>
      </c>
      <c r="E753" s="4">
        <v>1004232508</v>
      </c>
      <c r="F753" s="4" t="s">
        <v>109</v>
      </c>
      <c r="G753" t="s">
        <v>565</v>
      </c>
    </row>
    <row r="754" spans="1:7" ht="14.25" customHeight="1" x14ac:dyDescent="0.25">
      <c r="A754" s="3">
        <v>45615</v>
      </c>
      <c r="B754" s="4">
        <v>2024002468</v>
      </c>
      <c r="C754" s="4" t="s">
        <v>644</v>
      </c>
      <c r="D754" s="5">
        <v>27667150</v>
      </c>
      <c r="E754" s="4">
        <v>900633448</v>
      </c>
      <c r="F754" s="4" t="s">
        <v>165</v>
      </c>
      <c r="G754" t="s">
        <v>565</v>
      </c>
    </row>
    <row r="755" spans="1:7" ht="14.25" customHeight="1" x14ac:dyDescent="0.25">
      <c r="A755" s="3">
        <v>45615</v>
      </c>
      <c r="B755" s="4">
        <v>2024002469</v>
      </c>
      <c r="C755" s="4" t="s">
        <v>645</v>
      </c>
      <c r="D755" s="5">
        <v>7540000</v>
      </c>
      <c r="E755" s="4">
        <v>1085320661</v>
      </c>
      <c r="F755" s="4" t="s">
        <v>393</v>
      </c>
      <c r="G755" t="s">
        <v>565</v>
      </c>
    </row>
    <row r="756" spans="1:7" ht="14.25" customHeight="1" x14ac:dyDescent="0.25">
      <c r="A756" s="3">
        <v>45615</v>
      </c>
      <c r="B756" s="4">
        <v>2024002470</v>
      </c>
      <c r="C756" s="4" t="s">
        <v>646</v>
      </c>
      <c r="D756" s="5">
        <v>7540000</v>
      </c>
      <c r="E756" s="4">
        <v>1085332934</v>
      </c>
      <c r="F756" s="4" t="s">
        <v>379</v>
      </c>
      <c r="G756" t="s">
        <v>565</v>
      </c>
    </row>
    <row r="757" spans="1:7" ht="14.25" customHeight="1" x14ac:dyDescent="0.25">
      <c r="A757" s="3">
        <v>45615</v>
      </c>
      <c r="B757" s="4">
        <v>2024002471</v>
      </c>
      <c r="C757" s="4" t="s">
        <v>647</v>
      </c>
      <c r="D757" s="5">
        <v>4825000</v>
      </c>
      <c r="E757" s="4">
        <v>12748383</v>
      </c>
      <c r="F757" s="4" t="s">
        <v>447</v>
      </c>
      <c r="G757" t="s">
        <v>565</v>
      </c>
    </row>
    <row r="758" spans="1:7" ht="14.25" customHeight="1" x14ac:dyDescent="0.25">
      <c r="A758" s="3">
        <v>45615</v>
      </c>
      <c r="B758" s="4">
        <v>2024002472</v>
      </c>
      <c r="C758" s="4" t="s">
        <v>648</v>
      </c>
      <c r="D758" s="5">
        <v>4825000</v>
      </c>
      <c r="E758" s="4">
        <v>30732782</v>
      </c>
      <c r="F758" s="4" t="s">
        <v>245</v>
      </c>
      <c r="G758" t="s">
        <v>565</v>
      </c>
    </row>
    <row r="759" spans="1:7" ht="14.25" customHeight="1" x14ac:dyDescent="0.25">
      <c r="A759" s="3">
        <v>45615</v>
      </c>
      <c r="B759" s="4">
        <v>2024002475</v>
      </c>
      <c r="C759" s="4" t="s">
        <v>649</v>
      </c>
      <c r="D759" s="5">
        <v>9891756</v>
      </c>
      <c r="E759" s="4">
        <v>900414376</v>
      </c>
      <c r="F759" s="4" t="s">
        <v>650</v>
      </c>
      <c r="G759" t="s">
        <v>565</v>
      </c>
    </row>
    <row r="760" spans="1:7" ht="14.25" customHeight="1" x14ac:dyDescent="0.25">
      <c r="A760" s="3">
        <v>45615</v>
      </c>
      <c r="B760" s="4">
        <v>2024002476</v>
      </c>
      <c r="C760" s="4" t="s">
        <v>651</v>
      </c>
      <c r="D760" s="5">
        <v>13508223.119999999</v>
      </c>
      <c r="E760" s="4">
        <v>900441119</v>
      </c>
      <c r="F760" s="4" t="s">
        <v>652</v>
      </c>
      <c r="G760" t="s">
        <v>565</v>
      </c>
    </row>
    <row r="761" spans="1:7" ht="14.25" customHeight="1" x14ac:dyDescent="0.25">
      <c r="A761" s="3">
        <v>45615</v>
      </c>
      <c r="B761" s="4">
        <v>2024002477</v>
      </c>
      <c r="C761" s="4" t="s">
        <v>653</v>
      </c>
      <c r="D761" s="5">
        <v>36842400</v>
      </c>
      <c r="E761" s="4">
        <v>890312452</v>
      </c>
      <c r="F761" s="4" t="s">
        <v>654</v>
      </c>
      <c r="G761" t="s">
        <v>565</v>
      </c>
    </row>
    <row r="762" spans="1:7" ht="14.25" customHeight="1" x14ac:dyDescent="0.25">
      <c r="A762" s="3">
        <v>45615</v>
      </c>
      <c r="B762" s="4">
        <v>2024002478</v>
      </c>
      <c r="C762" s="4" t="s">
        <v>655</v>
      </c>
      <c r="D762" s="5">
        <v>2403324</v>
      </c>
      <c r="E762" s="4">
        <v>901181781</v>
      </c>
      <c r="F762" s="4" t="s">
        <v>656</v>
      </c>
      <c r="G762" t="s">
        <v>565</v>
      </c>
    </row>
    <row r="763" spans="1:7" ht="14.25" customHeight="1" x14ac:dyDescent="0.25">
      <c r="A763" s="3">
        <v>45616</v>
      </c>
      <c r="B763" s="4">
        <v>2024002479</v>
      </c>
      <c r="C763" s="4" t="s">
        <v>657</v>
      </c>
      <c r="D763" s="5">
        <v>3000000</v>
      </c>
      <c r="E763" s="4">
        <v>1081052746</v>
      </c>
      <c r="F763" s="4" t="s">
        <v>658</v>
      </c>
      <c r="G763" t="s">
        <v>565</v>
      </c>
    </row>
    <row r="764" spans="1:7" ht="14.25" customHeight="1" x14ac:dyDescent="0.25">
      <c r="A764" s="3">
        <v>45616</v>
      </c>
      <c r="B764" s="4">
        <v>2024002480</v>
      </c>
      <c r="C764" s="4" t="s">
        <v>659</v>
      </c>
      <c r="D764" s="5">
        <v>3000000</v>
      </c>
      <c r="E764" s="4">
        <v>59178610</v>
      </c>
      <c r="F764" s="4" t="s">
        <v>97</v>
      </c>
      <c r="G764" t="s">
        <v>565</v>
      </c>
    </row>
    <row r="765" spans="1:7" ht="14.25" customHeight="1" x14ac:dyDescent="0.25">
      <c r="A765" s="3">
        <v>45616</v>
      </c>
      <c r="B765" s="4">
        <v>2024002481</v>
      </c>
      <c r="C765" s="4" t="s">
        <v>660</v>
      </c>
      <c r="D765" s="5">
        <v>7540000</v>
      </c>
      <c r="E765" s="4">
        <v>1085329230</v>
      </c>
      <c r="F765" s="4" t="s">
        <v>83</v>
      </c>
      <c r="G765" t="s">
        <v>565</v>
      </c>
    </row>
    <row r="766" spans="1:7" ht="14.25" customHeight="1" x14ac:dyDescent="0.25">
      <c r="A766" s="3">
        <v>45616</v>
      </c>
      <c r="B766" s="4">
        <v>2024002482</v>
      </c>
      <c r="C766" s="4" t="s">
        <v>661</v>
      </c>
      <c r="D766" s="5">
        <v>6000000</v>
      </c>
      <c r="E766" s="4">
        <v>59837608</v>
      </c>
      <c r="F766" s="4" t="s">
        <v>145</v>
      </c>
      <c r="G766" t="s">
        <v>565</v>
      </c>
    </row>
    <row r="767" spans="1:7" ht="14.25" customHeight="1" x14ac:dyDescent="0.25">
      <c r="A767" s="3">
        <v>45616</v>
      </c>
      <c r="B767" s="4">
        <v>2024002483</v>
      </c>
      <c r="C767" s="4" t="s">
        <v>642</v>
      </c>
      <c r="D767" s="5">
        <v>6000000</v>
      </c>
      <c r="E767" s="4">
        <v>1085292185</v>
      </c>
      <c r="F767" s="4" t="s">
        <v>27</v>
      </c>
      <c r="G767" t="s">
        <v>565</v>
      </c>
    </row>
    <row r="768" spans="1:7" ht="14.25" customHeight="1" x14ac:dyDescent="0.25">
      <c r="A768" s="3">
        <v>45616</v>
      </c>
      <c r="B768" s="4">
        <v>2024002484</v>
      </c>
      <c r="C768" s="4" t="s">
        <v>662</v>
      </c>
      <c r="D768" s="5">
        <v>2500000</v>
      </c>
      <c r="E768" s="4">
        <v>1085330079</v>
      </c>
      <c r="F768" s="4" t="s">
        <v>293</v>
      </c>
      <c r="G768" t="s">
        <v>565</v>
      </c>
    </row>
    <row r="769" spans="1:7" ht="14.25" customHeight="1" x14ac:dyDescent="0.25">
      <c r="A769" s="3">
        <v>45616</v>
      </c>
      <c r="B769" s="4">
        <v>2024002485</v>
      </c>
      <c r="C769" s="4" t="s">
        <v>663</v>
      </c>
      <c r="D769" s="5">
        <v>4750000</v>
      </c>
      <c r="E769" s="4">
        <v>1085303067</v>
      </c>
      <c r="F769" s="4" t="s">
        <v>105</v>
      </c>
      <c r="G769" t="s">
        <v>565</v>
      </c>
    </row>
    <row r="770" spans="1:7" ht="14.25" customHeight="1" x14ac:dyDescent="0.25">
      <c r="A770" s="3">
        <v>45616</v>
      </c>
      <c r="B770" s="4">
        <v>2024002486</v>
      </c>
      <c r="C770" s="4" t="s">
        <v>664</v>
      </c>
      <c r="D770" s="5">
        <v>4750000</v>
      </c>
      <c r="E770" s="4">
        <v>59821282</v>
      </c>
      <c r="F770" s="4" t="s">
        <v>135</v>
      </c>
      <c r="G770" t="s">
        <v>565</v>
      </c>
    </row>
    <row r="771" spans="1:7" ht="14.25" customHeight="1" x14ac:dyDescent="0.25">
      <c r="A771" s="3">
        <v>45616</v>
      </c>
      <c r="B771" s="4">
        <v>2024002487</v>
      </c>
      <c r="C771" s="4" t="s">
        <v>665</v>
      </c>
      <c r="D771" s="5">
        <v>3000000</v>
      </c>
      <c r="E771" s="4">
        <v>1085327701</v>
      </c>
      <c r="F771" s="4" t="s">
        <v>85</v>
      </c>
      <c r="G771" t="s">
        <v>565</v>
      </c>
    </row>
    <row r="772" spans="1:7" ht="14.25" customHeight="1" x14ac:dyDescent="0.25">
      <c r="A772" s="3">
        <v>45616</v>
      </c>
      <c r="B772" s="4">
        <v>2024002488</v>
      </c>
      <c r="C772" s="4" t="s">
        <v>666</v>
      </c>
      <c r="D772" s="5">
        <v>2500000</v>
      </c>
      <c r="E772" s="4">
        <v>12974849</v>
      </c>
      <c r="F772" s="4" t="s">
        <v>51</v>
      </c>
      <c r="G772" t="s">
        <v>565</v>
      </c>
    </row>
    <row r="773" spans="1:7" ht="14.25" customHeight="1" x14ac:dyDescent="0.25">
      <c r="A773" s="3">
        <v>45617</v>
      </c>
      <c r="B773" s="4">
        <v>2024002496</v>
      </c>
      <c r="C773" s="4" t="s">
        <v>667</v>
      </c>
      <c r="D773" s="5">
        <v>31498000</v>
      </c>
      <c r="E773" s="4">
        <v>31498000</v>
      </c>
      <c r="F773" s="4" t="s">
        <v>668</v>
      </c>
      <c r="G773" t="s">
        <v>565</v>
      </c>
    </row>
    <row r="774" spans="1:7" ht="14.25" customHeight="1" x14ac:dyDescent="0.25">
      <c r="A774" s="3">
        <v>45618</v>
      </c>
      <c r="B774" s="4">
        <v>2024002501</v>
      </c>
      <c r="C774" s="4" t="s">
        <v>669</v>
      </c>
      <c r="D774" s="5">
        <v>6000000</v>
      </c>
      <c r="E774" s="4">
        <v>1193223736</v>
      </c>
      <c r="F774" s="4" t="s">
        <v>670</v>
      </c>
      <c r="G774" t="s">
        <v>565</v>
      </c>
    </row>
    <row r="775" spans="1:7" ht="14.25" customHeight="1" x14ac:dyDescent="0.25">
      <c r="A775" s="3">
        <v>45618</v>
      </c>
      <c r="B775" s="4">
        <v>2024002502</v>
      </c>
      <c r="C775" s="4" t="s">
        <v>671</v>
      </c>
      <c r="D775" s="5">
        <v>6000000</v>
      </c>
      <c r="E775" s="4">
        <v>1004213964</v>
      </c>
      <c r="F775" s="4" t="s">
        <v>113</v>
      </c>
      <c r="G775" t="s">
        <v>565</v>
      </c>
    </row>
    <row r="776" spans="1:7" ht="14.25" customHeight="1" x14ac:dyDescent="0.25">
      <c r="A776" s="3">
        <v>45618</v>
      </c>
      <c r="B776" s="4">
        <v>2024002503</v>
      </c>
      <c r="C776" s="4" t="s">
        <v>672</v>
      </c>
      <c r="D776" s="5">
        <v>4750000</v>
      </c>
      <c r="E776" s="4">
        <v>1087413951</v>
      </c>
      <c r="F776" s="4" t="s">
        <v>95</v>
      </c>
      <c r="G776" t="s">
        <v>565</v>
      </c>
    </row>
    <row r="777" spans="1:7" ht="14.25" customHeight="1" x14ac:dyDescent="0.25">
      <c r="A777" s="3">
        <v>45618</v>
      </c>
      <c r="B777" s="4">
        <v>2024002504</v>
      </c>
      <c r="C777" s="4" t="s">
        <v>673</v>
      </c>
      <c r="D777" s="5">
        <v>2500000</v>
      </c>
      <c r="E777" s="4">
        <v>12750863</v>
      </c>
      <c r="F777" s="4" t="s">
        <v>225</v>
      </c>
      <c r="G777" t="s">
        <v>565</v>
      </c>
    </row>
    <row r="778" spans="1:7" ht="14.25" customHeight="1" x14ac:dyDescent="0.25">
      <c r="A778" s="3">
        <v>45618</v>
      </c>
      <c r="B778" s="4">
        <v>2024002505</v>
      </c>
      <c r="C778" s="4" t="s">
        <v>674</v>
      </c>
      <c r="D778" s="5">
        <v>3000000</v>
      </c>
      <c r="E778" s="4">
        <v>27285974</v>
      </c>
      <c r="F778" s="4" t="s">
        <v>349</v>
      </c>
      <c r="G778" t="s">
        <v>565</v>
      </c>
    </row>
    <row r="779" spans="1:7" ht="14.25" customHeight="1" x14ac:dyDescent="0.25">
      <c r="A779" s="3">
        <v>45618</v>
      </c>
      <c r="B779" s="4">
        <v>2024002506</v>
      </c>
      <c r="C779" s="4" t="s">
        <v>675</v>
      </c>
      <c r="D779" s="5">
        <v>3000000</v>
      </c>
      <c r="E779" s="4">
        <v>59830040</v>
      </c>
      <c r="F779" s="4" t="s">
        <v>297</v>
      </c>
      <c r="G779" t="s">
        <v>565</v>
      </c>
    </row>
    <row r="780" spans="1:7" ht="14.25" customHeight="1" x14ac:dyDescent="0.25">
      <c r="A780" s="3">
        <v>45618</v>
      </c>
      <c r="B780" s="4">
        <v>2024002507</v>
      </c>
      <c r="C780" s="4" t="s">
        <v>676</v>
      </c>
      <c r="D780" s="5">
        <v>4750000</v>
      </c>
      <c r="E780" s="4">
        <v>1085293619</v>
      </c>
      <c r="F780" s="4" t="s">
        <v>155</v>
      </c>
      <c r="G780" t="s">
        <v>565</v>
      </c>
    </row>
    <row r="781" spans="1:7" ht="14.25" customHeight="1" x14ac:dyDescent="0.25">
      <c r="A781" s="3">
        <v>45618</v>
      </c>
      <c r="B781" s="4">
        <v>2024002508</v>
      </c>
      <c r="C781" s="4" t="s">
        <v>677</v>
      </c>
      <c r="D781" s="5">
        <v>3000000</v>
      </c>
      <c r="E781" s="4">
        <v>1137624011</v>
      </c>
      <c r="F781" s="4" t="s">
        <v>243</v>
      </c>
      <c r="G781" t="s">
        <v>565</v>
      </c>
    </row>
    <row r="782" spans="1:7" ht="14.25" customHeight="1" x14ac:dyDescent="0.25">
      <c r="A782" s="3">
        <v>45618</v>
      </c>
      <c r="B782" s="4">
        <v>2024002509</v>
      </c>
      <c r="C782" s="4" t="s">
        <v>678</v>
      </c>
      <c r="D782" s="5">
        <v>3000000</v>
      </c>
      <c r="E782" s="4">
        <v>36954407</v>
      </c>
      <c r="F782" s="4" t="s">
        <v>679</v>
      </c>
      <c r="G782" t="s">
        <v>565</v>
      </c>
    </row>
    <row r="783" spans="1:7" ht="14.25" customHeight="1" x14ac:dyDescent="0.25">
      <c r="A783" s="3">
        <v>45618</v>
      </c>
      <c r="B783" s="4">
        <v>2024002510</v>
      </c>
      <c r="C783" s="4" t="s">
        <v>680</v>
      </c>
      <c r="D783" s="5">
        <v>3000000</v>
      </c>
      <c r="E783" s="4">
        <v>1085290651</v>
      </c>
      <c r="F783" s="4" t="s">
        <v>325</v>
      </c>
      <c r="G783" t="s">
        <v>565</v>
      </c>
    </row>
    <row r="784" spans="1:7" ht="14.25" customHeight="1" x14ac:dyDescent="0.25">
      <c r="A784" s="3">
        <v>45618</v>
      </c>
      <c r="B784" s="4">
        <v>2024002511</v>
      </c>
      <c r="C784" s="4" t="s">
        <v>681</v>
      </c>
      <c r="D784" s="5">
        <v>3000000</v>
      </c>
      <c r="E784" s="4">
        <v>1085325325</v>
      </c>
      <c r="F784" s="4" t="s">
        <v>682</v>
      </c>
      <c r="G784" t="s">
        <v>565</v>
      </c>
    </row>
    <row r="785" spans="1:7" ht="14.25" customHeight="1" x14ac:dyDescent="0.25">
      <c r="A785" s="3">
        <v>45618</v>
      </c>
      <c r="B785" s="4">
        <v>2024002512</v>
      </c>
      <c r="C785" s="4" t="s">
        <v>683</v>
      </c>
      <c r="D785" s="5">
        <v>4825000</v>
      </c>
      <c r="E785" s="4">
        <v>1193385736</v>
      </c>
      <c r="F785" s="4" t="s">
        <v>57</v>
      </c>
      <c r="G785" t="s">
        <v>565</v>
      </c>
    </row>
    <row r="786" spans="1:7" ht="14.25" customHeight="1" x14ac:dyDescent="0.25">
      <c r="A786" s="3">
        <v>45618</v>
      </c>
      <c r="B786" s="4">
        <v>2024002513</v>
      </c>
      <c r="C786" s="4" t="s">
        <v>684</v>
      </c>
      <c r="D786" s="5">
        <v>3000000</v>
      </c>
      <c r="E786" s="4">
        <v>59310524</v>
      </c>
      <c r="F786" s="4" t="s">
        <v>65</v>
      </c>
      <c r="G786" t="s">
        <v>565</v>
      </c>
    </row>
    <row r="787" spans="1:7" ht="14.25" customHeight="1" x14ac:dyDescent="0.25">
      <c r="A787" s="3">
        <v>45621</v>
      </c>
      <c r="B787" s="4">
        <v>2024002514</v>
      </c>
      <c r="C787" s="4" t="s">
        <v>685</v>
      </c>
      <c r="D787" s="5">
        <v>6000000</v>
      </c>
      <c r="E787" s="4">
        <v>1089242085</v>
      </c>
      <c r="F787" s="4" t="s">
        <v>19</v>
      </c>
      <c r="G787" t="s">
        <v>565</v>
      </c>
    </row>
    <row r="788" spans="1:7" ht="14.25" customHeight="1" x14ac:dyDescent="0.25">
      <c r="A788" s="3">
        <v>45621</v>
      </c>
      <c r="B788" s="4">
        <v>2024002515</v>
      </c>
      <c r="C788" s="4" t="s">
        <v>686</v>
      </c>
      <c r="D788" s="5">
        <v>3000000</v>
      </c>
      <c r="E788" s="4">
        <v>1085288636</v>
      </c>
      <c r="F788" s="4" t="s">
        <v>405</v>
      </c>
      <c r="G788" t="s">
        <v>565</v>
      </c>
    </row>
    <row r="789" spans="1:7" ht="14.25" customHeight="1" x14ac:dyDescent="0.25">
      <c r="A789" s="3">
        <v>45621</v>
      </c>
      <c r="B789" s="4">
        <v>2024002516</v>
      </c>
      <c r="C789" s="4" t="s">
        <v>687</v>
      </c>
      <c r="D789" s="5">
        <v>3000000</v>
      </c>
      <c r="E789" s="4">
        <v>1080040858</v>
      </c>
      <c r="F789" s="4" t="s">
        <v>211</v>
      </c>
      <c r="G789" t="s">
        <v>565</v>
      </c>
    </row>
    <row r="790" spans="1:7" ht="14.25" customHeight="1" x14ac:dyDescent="0.25">
      <c r="A790" s="3">
        <v>45621</v>
      </c>
      <c r="B790" s="4">
        <v>2024002517</v>
      </c>
      <c r="C790" s="4" t="s">
        <v>688</v>
      </c>
      <c r="D790" s="5">
        <v>3000000</v>
      </c>
      <c r="E790" s="4">
        <v>1010082397</v>
      </c>
      <c r="F790" s="4" t="s">
        <v>209</v>
      </c>
      <c r="G790" t="s">
        <v>565</v>
      </c>
    </row>
    <row r="791" spans="1:7" ht="14.25" customHeight="1" x14ac:dyDescent="0.25">
      <c r="A791" s="3">
        <v>45621</v>
      </c>
      <c r="B791" s="4">
        <v>2024002518</v>
      </c>
      <c r="C791" s="4" t="s">
        <v>689</v>
      </c>
      <c r="D791" s="5">
        <v>3000000</v>
      </c>
      <c r="E791" s="4">
        <v>1004135064</v>
      </c>
      <c r="F791" s="4" t="s">
        <v>207</v>
      </c>
      <c r="G791" t="s">
        <v>565</v>
      </c>
    </row>
    <row r="792" spans="1:7" ht="14.25" customHeight="1" x14ac:dyDescent="0.25">
      <c r="A792" s="3">
        <v>45621</v>
      </c>
      <c r="B792" s="4">
        <v>2024002519</v>
      </c>
      <c r="C792" s="4" t="s">
        <v>690</v>
      </c>
      <c r="D792" s="5">
        <v>2500000</v>
      </c>
      <c r="E792" s="4">
        <v>1081595853</v>
      </c>
      <c r="F792" s="4" t="s">
        <v>189</v>
      </c>
      <c r="G792" t="s">
        <v>565</v>
      </c>
    </row>
    <row r="793" spans="1:7" ht="14.25" customHeight="1" x14ac:dyDescent="0.25">
      <c r="A793" s="13">
        <v>45621</v>
      </c>
      <c r="B793" s="1">
        <v>2024002520</v>
      </c>
      <c r="C793" s="1" t="s">
        <v>439</v>
      </c>
      <c r="D793" s="5">
        <v>4825000</v>
      </c>
      <c r="E793" s="1">
        <v>1088730712</v>
      </c>
      <c r="F793" s="1" t="s">
        <v>295</v>
      </c>
      <c r="G793" s="1" t="s">
        <v>9</v>
      </c>
    </row>
    <row r="794" spans="1:7" ht="14.25" customHeight="1" x14ac:dyDescent="0.25">
      <c r="A794" s="3">
        <v>45621</v>
      </c>
      <c r="B794" s="4">
        <v>2024002521</v>
      </c>
      <c r="C794" s="4" t="s">
        <v>691</v>
      </c>
      <c r="D794" s="5">
        <v>3000000</v>
      </c>
      <c r="E794" s="4">
        <v>1030606749</v>
      </c>
      <c r="F794" s="4" t="s">
        <v>387</v>
      </c>
      <c r="G794" t="s">
        <v>565</v>
      </c>
    </row>
    <row r="795" spans="1:7" ht="14.25" customHeight="1" x14ac:dyDescent="0.25">
      <c r="A795" s="3">
        <v>45621</v>
      </c>
      <c r="B795" s="4">
        <v>2024002522</v>
      </c>
      <c r="C795" s="4" t="s">
        <v>692</v>
      </c>
      <c r="D795" s="5">
        <v>3000000</v>
      </c>
      <c r="E795" s="4">
        <v>1085275473</v>
      </c>
      <c r="F795" s="4" t="s">
        <v>693</v>
      </c>
      <c r="G795" t="s">
        <v>565</v>
      </c>
    </row>
    <row r="796" spans="1:7" ht="14.25" customHeight="1" x14ac:dyDescent="0.25">
      <c r="A796" s="3">
        <v>45621</v>
      </c>
      <c r="B796" s="4">
        <v>2024002523</v>
      </c>
      <c r="C796" s="4" t="s">
        <v>694</v>
      </c>
      <c r="D796" s="5">
        <v>2500000</v>
      </c>
      <c r="E796" s="4">
        <v>1085338232</v>
      </c>
      <c r="F796" s="4" t="s">
        <v>287</v>
      </c>
      <c r="G796" t="s">
        <v>565</v>
      </c>
    </row>
    <row r="797" spans="1:7" ht="14.25" customHeight="1" x14ac:dyDescent="0.25">
      <c r="A797" s="3">
        <v>45621</v>
      </c>
      <c r="B797" s="4">
        <v>2024002524</v>
      </c>
      <c r="C797" s="4" t="s">
        <v>695</v>
      </c>
      <c r="D797" s="5">
        <v>3000000</v>
      </c>
      <c r="E797" s="4">
        <v>59837416</v>
      </c>
      <c r="F797" s="4" t="s">
        <v>395</v>
      </c>
      <c r="G797" t="s">
        <v>565</v>
      </c>
    </row>
    <row r="798" spans="1:7" ht="14.25" customHeight="1" x14ac:dyDescent="0.25">
      <c r="A798" s="3">
        <v>45621</v>
      </c>
      <c r="B798" s="4">
        <v>2024002526</v>
      </c>
      <c r="C798" s="4" t="s">
        <v>696</v>
      </c>
      <c r="D798" s="5">
        <v>4825000</v>
      </c>
      <c r="E798" s="4">
        <v>59310145</v>
      </c>
      <c r="F798" s="4" t="s">
        <v>129</v>
      </c>
      <c r="G798" t="s">
        <v>565</v>
      </c>
    </row>
    <row r="799" spans="1:7" ht="14.25" customHeight="1" x14ac:dyDescent="0.25">
      <c r="A799" s="3">
        <v>45621</v>
      </c>
      <c r="B799" s="4">
        <v>2024002527</v>
      </c>
      <c r="C799" s="4" t="s">
        <v>697</v>
      </c>
      <c r="D799" s="5">
        <v>7540000</v>
      </c>
      <c r="E799" s="4">
        <v>37087120</v>
      </c>
      <c r="F799" s="4" t="s">
        <v>159</v>
      </c>
      <c r="G799" t="s">
        <v>565</v>
      </c>
    </row>
    <row r="800" spans="1:7" ht="14.25" customHeight="1" x14ac:dyDescent="0.25">
      <c r="A800" s="3">
        <v>45621</v>
      </c>
      <c r="B800" s="4">
        <v>2024002529</v>
      </c>
      <c r="C800" s="4" t="s">
        <v>698</v>
      </c>
      <c r="D800" s="5">
        <v>2500000</v>
      </c>
      <c r="E800" s="4">
        <v>36753698</v>
      </c>
      <c r="F800" s="4" t="s">
        <v>383</v>
      </c>
      <c r="G800" t="s">
        <v>565</v>
      </c>
    </row>
    <row r="801" spans="1:7" ht="14.25" customHeight="1" x14ac:dyDescent="0.25">
      <c r="A801" s="3">
        <v>45621</v>
      </c>
      <c r="B801" s="4">
        <v>2024002531</v>
      </c>
      <c r="C801" s="4" t="s">
        <v>699</v>
      </c>
      <c r="D801" s="5">
        <v>7540000</v>
      </c>
      <c r="E801" s="4">
        <v>1085321192</v>
      </c>
      <c r="F801" s="4" t="s">
        <v>61</v>
      </c>
      <c r="G801" t="s">
        <v>565</v>
      </c>
    </row>
    <row r="802" spans="1:7" ht="14.25" customHeight="1" x14ac:dyDescent="0.25">
      <c r="A802" s="3">
        <v>45621</v>
      </c>
      <c r="B802" s="4">
        <v>2024002532</v>
      </c>
      <c r="C802" s="4" t="s">
        <v>700</v>
      </c>
      <c r="D802" s="5">
        <v>800000</v>
      </c>
      <c r="E802" s="4">
        <v>1085315209</v>
      </c>
      <c r="F802" s="4" t="s">
        <v>701</v>
      </c>
      <c r="G802" t="s">
        <v>565</v>
      </c>
    </row>
    <row r="803" spans="1:7" ht="14.25" customHeight="1" x14ac:dyDescent="0.25">
      <c r="A803" s="3">
        <v>45621</v>
      </c>
      <c r="B803" s="4">
        <v>2024002534</v>
      </c>
      <c r="C803" s="4" t="s">
        <v>702</v>
      </c>
      <c r="D803" s="5">
        <v>4825000</v>
      </c>
      <c r="E803" s="4">
        <v>1085289739</v>
      </c>
      <c r="F803" s="4" t="s">
        <v>241</v>
      </c>
      <c r="G803" t="s">
        <v>565</v>
      </c>
    </row>
    <row r="804" spans="1:7" ht="14.25" customHeight="1" x14ac:dyDescent="0.25">
      <c r="A804" s="3">
        <v>45621</v>
      </c>
      <c r="B804" s="4">
        <v>2024002539</v>
      </c>
      <c r="C804" s="4" t="s">
        <v>703</v>
      </c>
      <c r="D804" s="5">
        <v>3000000</v>
      </c>
      <c r="E804" s="4">
        <v>1233191675</v>
      </c>
      <c r="F804" s="4" t="s">
        <v>523</v>
      </c>
      <c r="G804" t="s">
        <v>565</v>
      </c>
    </row>
    <row r="805" spans="1:7" ht="14.25" customHeight="1" x14ac:dyDescent="0.25">
      <c r="A805" s="3">
        <v>45621</v>
      </c>
      <c r="B805" s="4">
        <v>2024002541</v>
      </c>
      <c r="C805" s="4" t="s">
        <v>704</v>
      </c>
      <c r="D805" s="5">
        <v>4750000</v>
      </c>
      <c r="E805" s="4">
        <v>36759759</v>
      </c>
      <c r="F805" s="4" t="s">
        <v>705</v>
      </c>
      <c r="G805" t="s">
        <v>565</v>
      </c>
    </row>
    <row r="806" spans="1:7" ht="14.25" customHeight="1" x14ac:dyDescent="0.25">
      <c r="A806" s="3">
        <v>45621</v>
      </c>
      <c r="B806" s="4">
        <v>2024002542</v>
      </c>
      <c r="C806" s="4" t="s">
        <v>706</v>
      </c>
      <c r="D806" s="5">
        <v>7500000</v>
      </c>
      <c r="E806" s="4">
        <v>1088599676</v>
      </c>
      <c r="F806" s="4" t="s">
        <v>421</v>
      </c>
      <c r="G806" t="s">
        <v>565</v>
      </c>
    </row>
    <row r="807" spans="1:7" ht="14.25" customHeight="1" x14ac:dyDescent="0.25">
      <c r="A807" s="3">
        <v>45621</v>
      </c>
      <c r="B807" s="4">
        <v>2024002545</v>
      </c>
      <c r="C807" s="4" t="s">
        <v>707</v>
      </c>
      <c r="D807" s="5">
        <v>3000000</v>
      </c>
      <c r="E807" s="4">
        <v>1085269090</v>
      </c>
      <c r="F807" s="4" t="s">
        <v>371</v>
      </c>
      <c r="G807" t="s">
        <v>565</v>
      </c>
    </row>
    <row r="808" spans="1:7" ht="14.25" customHeight="1" x14ac:dyDescent="0.25">
      <c r="A808" s="3">
        <v>45621</v>
      </c>
      <c r="B808" s="4">
        <v>2024002547</v>
      </c>
      <c r="C808" s="4" t="s">
        <v>708</v>
      </c>
      <c r="D808" s="5">
        <v>4750000</v>
      </c>
      <c r="E808" s="4">
        <v>1085330309</v>
      </c>
      <c r="F808" s="4" t="s">
        <v>249</v>
      </c>
      <c r="G808" t="s">
        <v>565</v>
      </c>
    </row>
    <row r="809" spans="1:7" ht="14.25" customHeight="1" x14ac:dyDescent="0.25">
      <c r="A809" s="3">
        <v>45621</v>
      </c>
      <c r="B809" s="4">
        <v>2024002548</v>
      </c>
      <c r="C809" s="4" t="s">
        <v>709</v>
      </c>
      <c r="D809" s="5">
        <v>4750000</v>
      </c>
      <c r="E809" s="4">
        <v>1087414586</v>
      </c>
      <c r="F809" s="4" t="s">
        <v>47</v>
      </c>
      <c r="G809" t="s">
        <v>565</v>
      </c>
    </row>
    <row r="810" spans="1:7" ht="14.25" customHeight="1" x14ac:dyDescent="0.25">
      <c r="A810" s="3">
        <v>45621</v>
      </c>
      <c r="B810" s="4">
        <v>2024002550</v>
      </c>
      <c r="C810" s="4" t="s">
        <v>710</v>
      </c>
      <c r="D810" s="5">
        <v>3000000</v>
      </c>
      <c r="E810" s="4">
        <v>37084285</v>
      </c>
      <c r="F810" s="4" t="s">
        <v>119</v>
      </c>
      <c r="G810" t="s">
        <v>565</v>
      </c>
    </row>
    <row r="811" spans="1:7" ht="14.25" customHeight="1" x14ac:dyDescent="0.25">
      <c r="A811" s="3">
        <v>45621</v>
      </c>
      <c r="B811" s="4">
        <v>2024002551</v>
      </c>
      <c r="C811" s="4" t="s">
        <v>711</v>
      </c>
      <c r="D811" s="5">
        <v>3000000</v>
      </c>
      <c r="E811" s="4">
        <v>36758143</v>
      </c>
      <c r="F811" s="4" t="s">
        <v>107</v>
      </c>
      <c r="G811" t="s">
        <v>565</v>
      </c>
    </row>
    <row r="812" spans="1:7" ht="14.25" customHeight="1" x14ac:dyDescent="0.25">
      <c r="A812" s="3">
        <v>45621</v>
      </c>
      <c r="B812" s="4">
        <v>2024002552</v>
      </c>
      <c r="C812" s="4" t="s">
        <v>568</v>
      </c>
      <c r="D812" s="5">
        <v>2500000</v>
      </c>
      <c r="E812" s="4">
        <v>1193265831</v>
      </c>
      <c r="F812" s="4" t="s">
        <v>317</v>
      </c>
      <c r="G812" t="s">
        <v>565</v>
      </c>
    </row>
    <row r="813" spans="1:7" ht="14.25" customHeight="1" x14ac:dyDescent="0.25">
      <c r="A813" s="3">
        <v>45621</v>
      </c>
      <c r="B813" s="4">
        <v>2024002553</v>
      </c>
      <c r="C813" s="4" t="s">
        <v>712</v>
      </c>
      <c r="D813" s="5">
        <v>7540000</v>
      </c>
      <c r="E813" s="4">
        <v>1233192708</v>
      </c>
      <c r="F813" s="4" t="s">
        <v>591</v>
      </c>
      <c r="G813" t="s">
        <v>565</v>
      </c>
    </row>
    <row r="814" spans="1:7" ht="14.25" customHeight="1" x14ac:dyDescent="0.25">
      <c r="A814" s="3">
        <v>45621</v>
      </c>
      <c r="B814" s="4">
        <v>2024002554</v>
      </c>
      <c r="C814" s="4" t="s">
        <v>713</v>
      </c>
      <c r="D814" s="5">
        <v>3000000</v>
      </c>
      <c r="E814" s="4">
        <v>1086328142</v>
      </c>
      <c r="F814" s="4" t="s">
        <v>470</v>
      </c>
      <c r="G814" t="s">
        <v>565</v>
      </c>
    </row>
    <row r="815" spans="1:7" ht="14.25" customHeight="1" x14ac:dyDescent="0.25">
      <c r="A815" s="3">
        <v>45621</v>
      </c>
      <c r="B815" s="4">
        <v>2024002555</v>
      </c>
      <c r="C815" s="4" t="s">
        <v>714</v>
      </c>
      <c r="D815" s="5">
        <v>4750000</v>
      </c>
      <c r="E815" s="4">
        <v>59824313</v>
      </c>
      <c r="F815" s="4" t="s">
        <v>151</v>
      </c>
      <c r="G815" t="s">
        <v>565</v>
      </c>
    </row>
    <row r="816" spans="1:7" ht="14.25" customHeight="1" x14ac:dyDescent="0.25">
      <c r="A816" s="3">
        <v>45621</v>
      </c>
      <c r="B816" s="4">
        <v>2024002556</v>
      </c>
      <c r="C816" s="4" t="s">
        <v>715</v>
      </c>
      <c r="D816" s="5">
        <v>3000000</v>
      </c>
      <c r="E816" s="4">
        <v>1085318688</v>
      </c>
      <c r="F816" s="4" t="s">
        <v>427</v>
      </c>
      <c r="G816" t="s">
        <v>565</v>
      </c>
    </row>
    <row r="817" spans="1:7" ht="14.25" customHeight="1" x14ac:dyDescent="0.25">
      <c r="A817" s="3">
        <v>45621</v>
      </c>
      <c r="B817" s="4">
        <v>2024002557</v>
      </c>
      <c r="C817" s="4" t="s">
        <v>716</v>
      </c>
      <c r="D817" s="5">
        <v>3000000</v>
      </c>
      <c r="E817" s="4">
        <v>1085339190</v>
      </c>
      <c r="F817" s="4" t="s">
        <v>149</v>
      </c>
      <c r="G817" t="s">
        <v>565</v>
      </c>
    </row>
    <row r="818" spans="1:7" ht="14.25" customHeight="1" x14ac:dyDescent="0.25">
      <c r="A818" s="3">
        <v>45621</v>
      </c>
      <c r="B818" s="4">
        <v>2024002558</v>
      </c>
      <c r="C818" s="4" t="s">
        <v>717</v>
      </c>
      <c r="D818" s="5">
        <v>3000000</v>
      </c>
      <c r="E818" s="4">
        <v>1007403454</v>
      </c>
      <c r="F818" s="4" t="s">
        <v>718</v>
      </c>
      <c r="G818" t="s">
        <v>565</v>
      </c>
    </row>
    <row r="819" spans="1:7" ht="14.25" customHeight="1" x14ac:dyDescent="0.25">
      <c r="A819" s="3">
        <v>45621</v>
      </c>
      <c r="B819" s="4">
        <v>2024002559</v>
      </c>
      <c r="C819" s="4" t="s">
        <v>719</v>
      </c>
      <c r="D819" s="5">
        <v>2500000</v>
      </c>
      <c r="E819" s="4">
        <v>27094521</v>
      </c>
      <c r="F819" s="4" t="s">
        <v>285</v>
      </c>
      <c r="G819" t="s">
        <v>565</v>
      </c>
    </row>
    <row r="820" spans="1:7" ht="14.25" customHeight="1" x14ac:dyDescent="0.25">
      <c r="A820" s="3">
        <v>45621</v>
      </c>
      <c r="B820" s="4">
        <v>2024002560</v>
      </c>
      <c r="C820" s="4" t="s">
        <v>720</v>
      </c>
      <c r="D820" s="5">
        <v>4825000</v>
      </c>
      <c r="E820" s="4">
        <v>87062845</v>
      </c>
      <c r="F820" s="4" t="s">
        <v>133</v>
      </c>
      <c r="G820" t="s">
        <v>565</v>
      </c>
    </row>
    <row r="821" spans="1:7" ht="14.25" customHeight="1" x14ac:dyDescent="0.25">
      <c r="A821" s="3">
        <v>45621</v>
      </c>
      <c r="B821" s="4">
        <v>2024002561</v>
      </c>
      <c r="C821" s="4" t="s">
        <v>721</v>
      </c>
      <c r="D821" s="5">
        <v>2500000</v>
      </c>
      <c r="E821" s="4">
        <v>1004535115</v>
      </c>
      <c r="F821" s="4" t="s">
        <v>347</v>
      </c>
      <c r="G821" t="s">
        <v>565</v>
      </c>
    </row>
    <row r="822" spans="1:7" ht="14.25" customHeight="1" x14ac:dyDescent="0.25">
      <c r="A822" s="3">
        <v>45621</v>
      </c>
      <c r="B822" s="4">
        <v>2024002562</v>
      </c>
      <c r="C822" s="4" t="s">
        <v>722</v>
      </c>
      <c r="D822" s="5">
        <v>3000000</v>
      </c>
      <c r="E822" s="4">
        <v>1086329609</v>
      </c>
      <c r="F822" s="4" t="s">
        <v>443</v>
      </c>
      <c r="G822" t="s">
        <v>565</v>
      </c>
    </row>
    <row r="823" spans="1:7" ht="14.25" customHeight="1" x14ac:dyDescent="0.25">
      <c r="A823" s="3">
        <v>45621</v>
      </c>
      <c r="B823" s="4">
        <v>2024002563</v>
      </c>
      <c r="C823" s="4" t="s">
        <v>723</v>
      </c>
      <c r="D823" s="5">
        <v>3000000</v>
      </c>
      <c r="E823" s="4">
        <v>1080046034</v>
      </c>
      <c r="F823" s="4" t="s">
        <v>724</v>
      </c>
      <c r="G823" t="s">
        <v>565</v>
      </c>
    </row>
    <row r="824" spans="1:7" ht="14.25" customHeight="1" x14ac:dyDescent="0.25">
      <c r="A824" s="3">
        <v>45621</v>
      </c>
      <c r="B824" s="4">
        <v>2024002564</v>
      </c>
      <c r="C824" s="4" t="s">
        <v>725</v>
      </c>
      <c r="D824" s="5">
        <v>4825000</v>
      </c>
      <c r="E824" s="4">
        <v>27088141</v>
      </c>
      <c r="F824" s="4" t="s">
        <v>515</v>
      </c>
      <c r="G824" t="s">
        <v>565</v>
      </c>
    </row>
    <row r="825" spans="1:7" ht="14.25" customHeight="1" x14ac:dyDescent="0.25">
      <c r="A825" s="3">
        <v>45621</v>
      </c>
      <c r="B825" s="4">
        <v>2024002565</v>
      </c>
      <c r="C825" s="4" t="s">
        <v>726</v>
      </c>
      <c r="D825" s="5">
        <v>2500000</v>
      </c>
      <c r="E825" s="4">
        <v>1085314075</v>
      </c>
      <c r="F825" s="4" t="s">
        <v>327</v>
      </c>
      <c r="G825" t="s">
        <v>565</v>
      </c>
    </row>
    <row r="826" spans="1:7" ht="14.25" customHeight="1" x14ac:dyDescent="0.25">
      <c r="A826" s="3">
        <v>45621</v>
      </c>
      <c r="B826" s="4">
        <v>2024002566</v>
      </c>
      <c r="C826" s="4" t="s">
        <v>727</v>
      </c>
      <c r="D826" s="5">
        <v>2500000</v>
      </c>
      <c r="E826" s="4">
        <v>1085310465</v>
      </c>
      <c r="F826" s="4" t="s">
        <v>307</v>
      </c>
      <c r="G826" t="s">
        <v>565</v>
      </c>
    </row>
    <row r="827" spans="1:7" ht="14.25" customHeight="1" x14ac:dyDescent="0.25">
      <c r="A827" s="3">
        <v>45621</v>
      </c>
      <c r="B827" s="4">
        <v>2024002568</v>
      </c>
      <c r="C827" s="4" t="s">
        <v>728</v>
      </c>
      <c r="D827" s="5">
        <v>3000000</v>
      </c>
      <c r="E827" s="4">
        <v>1010113730</v>
      </c>
      <c r="F827" s="4" t="s">
        <v>219</v>
      </c>
      <c r="G827" t="s">
        <v>565</v>
      </c>
    </row>
    <row r="828" spans="1:7" ht="14.25" customHeight="1" x14ac:dyDescent="0.25">
      <c r="A828" s="3">
        <v>45621</v>
      </c>
      <c r="B828" s="4">
        <v>2024002569</v>
      </c>
      <c r="C828" s="4" t="s">
        <v>729</v>
      </c>
      <c r="D828" s="5">
        <v>1250000</v>
      </c>
      <c r="E828" s="4">
        <v>1085335069</v>
      </c>
      <c r="F828" s="4" t="s">
        <v>730</v>
      </c>
      <c r="G828" t="s">
        <v>565</v>
      </c>
    </row>
    <row r="829" spans="1:7" ht="14.25" customHeight="1" x14ac:dyDescent="0.25">
      <c r="A829" s="3">
        <v>45621</v>
      </c>
      <c r="B829" s="4">
        <v>2024002570</v>
      </c>
      <c r="C829" s="4" t="s">
        <v>731</v>
      </c>
      <c r="D829" s="5">
        <v>916300</v>
      </c>
      <c r="E829" s="4">
        <v>1131085946</v>
      </c>
      <c r="F829" s="4" t="s">
        <v>732</v>
      </c>
      <c r="G829" t="s">
        <v>565</v>
      </c>
    </row>
    <row r="830" spans="1:7" ht="14.25" customHeight="1" x14ac:dyDescent="0.25">
      <c r="A830" s="3">
        <v>45621</v>
      </c>
      <c r="B830" s="4">
        <v>2024002571</v>
      </c>
      <c r="C830" s="4" t="s">
        <v>733</v>
      </c>
      <c r="D830" s="5">
        <v>3000000</v>
      </c>
      <c r="E830" s="4">
        <v>1085327677</v>
      </c>
      <c r="F830" s="4" t="s">
        <v>215</v>
      </c>
      <c r="G830" t="s">
        <v>565</v>
      </c>
    </row>
    <row r="831" spans="1:7" ht="14.25" customHeight="1" x14ac:dyDescent="0.25">
      <c r="A831" s="3">
        <v>45621</v>
      </c>
      <c r="B831" s="4">
        <v>2024002572</v>
      </c>
      <c r="C831" s="4" t="s">
        <v>734</v>
      </c>
      <c r="D831" s="5">
        <v>4750000</v>
      </c>
      <c r="E831" s="4">
        <v>1085343783</v>
      </c>
      <c r="F831" s="4" t="s">
        <v>735</v>
      </c>
      <c r="G831" t="s">
        <v>565</v>
      </c>
    </row>
    <row r="832" spans="1:7" ht="14.25" customHeight="1" x14ac:dyDescent="0.25">
      <c r="A832" s="3">
        <v>45621</v>
      </c>
      <c r="B832" s="4">
        <v>2024002573</v>
      </c>
      <c r="C832" s="4" t="s">
        <v>736</v>
      </c>
      <c r="D832" s="5">
        <v>6000000</v>
      </c>
      <c r="E832" s="4">
        <v>36954410</v>
      </c>
      <c r="F832" s="4" t="s">
        <v>343</v>
      </c>
      <c r="G832" t="s">
        <v>565</v>
      </c>
    </row>
    <row r="833" spans="1:7" ht="14.25" customHeight="1" x14ac:dyDescent="0.25">
      <c r="A833" s="3">
        <v>45621</v>
      </c>
      <c r="B833" s="4">
        <v>2024002574</v>
      </c>
      <c r="C833" s="4" t="s">
        <v>737</v>
      </c>
      <c r="D833" s="5">
        <v>6000000</v>
      </c>
      <c r="E833" s="4">
        <v>1085248939</v>
      </c>
      <c r="F833" s="4" t="s">
        <v>437</v>
      </c>
      <c r="G833" t="s">
        <v>565</v>
      </c>
    </row>
    <row r="834" spans="1:7" ht="14.25" customHeight="1" x14ac:dyDescent="0.25">
      <c r="A834" s="3">
        <v>45621</v>
      </c>
      <c r="B834" s="4">
        <v>2024002575</v>
      </c>
      <c r="C834" s="4" t="s">
        <v>738</v>
      </c>
      <c r="D834" s="5">
        <v>3000000</v>
      </c>
      <c r="E834" s="4">
        <v>1004726758</v>
      </c>
      <c r="F834" s="4" t="s">
        <v>365</v>
      </c>
      <c r="G834" t="s">
        <v>565</v>
      </c>
    </row>
    <row r="835" spans="1:7" ht="14.25" customHeight="1" x14ac:dyDescent="0.25">
      <c r="A835" s="3">
        <v>45621</v>
      </c>
      <c r="B835" s="4">
        <v>2024002576</v>
      </c>
      <c r="C835" s="4" t="s">
        <v>739</v>
      </c>
      <c r="D835" s="5">
        <v>2500000</v>
      </c>
      <c r="E835" s="4">
        <v>27090145</v>
      </c>
      <c r="F835" s="4" t="s">
        <v>357</v>
      </c>
      <c r="G835" t="s">
        <v>565</v>
      </c>
    </row>
    <row r="836" spans="1:7" ht="14.25" customHeight="1" x14ac:dyDescent="0.25">
      <c r="A836" s="3">
        <v>45621</v>
      </c>
      <c r="B836" s="4">
        <v>2024002577</v>
      </c>
      <c r="C836" s="4" t="s">
        <v>740</v>
      </c>
      <c r="D836" s="5">
        <v>6000000</v>
      </c>
      <c r="E836" s="4">
        <v>37013610</v>
      </c>
      <c r="F836" s="4" t="s">
        <v>25</v>
      </c>
      <c r="G836" t="s">
        <v>565</v>
      </c>
    </row>
    <row r="837" spans="1:7" ht="14.25" customHeight="1" x14ac:dyDescent="0.25">
      <c r="A837" s="3">
        <v>45621</v>
      </c>
      <c r="B837" s="4">
        <v>2024002578</v>
      </c>
      <c r="C837" s="4" t="s">
        <v>741</v>
      </c>
      <c r="D837" s="5">
        <v>800000</v>
      </c>
      <c r="E837" s="4">
        <v>1085317833</v>
      </c>
      <c r="F837" s="4" t="s">
        <v>11</v>
      </c>
      <c r="G837" t="s">
        <v>565</v>
      </c>
    </row>
    <row r="838" spans="1:7" ht="14.25" customHeight="1" x14ac:dyDescent="0.25">
      <c r="A838" s="3">
        <v>45621</v>
      </c>
      <c r="B838" s="4">
        <v>2024002579</v>
      </c>
      <c r="C838" s="4" t="s">
        <v>742</v>
      </c>
      <c r="D838" s="5">
        <v>3000000</v>
      </c>
      <c r="E838" s="4">
        <v>1004709928</v>
      </c>
      <c r="F838" s="4" t="s">
        <v>289</v>
      </c>
      <c r="G838" t="s">
        <v>565</v>
      </c>
    </row>
    <row r="839" spans="1:7" ht="14.25" customHeight="1" x14ac:dyDescent="0.25">
      <c r="A839" s="3">
        <v>45621</v>
      </c>
      <c r="B839" s="4">
        <v>2024002580</v>
      </c>
      <c r="C839" s="4" t="s">
        <v>743</v>
      </c>
      <c r="D839" s="5">
        <v>7540000</v>
      </c>
      <c r="E839" s="4">
        <v>1085345430</v>
      </c>
      <c r="F839" s="4" t="s">
        <v>359</v>
      </c>
      <c r="G839" t="s">
        <v>565</v>
      </c>
    </row>
    <row r="840" spans="1:7" ht="14.25" customHeight="1" x14ac:dyDescent="0.25">
      <c r="A840" s="3">
        <v>45621</v>
      </c>
      <c r="B840" s="4">
        <v>2024002581</v>
      </c>
      <c r="C840" s="4" t="s">
        <v>744</v>
      </c>
      <c r="D840" s="5">
        <v>7540000</v>
      </c>
      <c r="E840" s="4">
        <v>1085293105</v>
      </c>
      <c r="F840" s="4" t="s">
        <v>745</v>
      </c>
      <c r="G840" t="s">
        <v>565</v>
      </c>
    </row>
    <row r="841" spans="1:7" ht="14.25" customHeight="1" x14ac:dyDescent="0.25">
      <c r="A841" s="3">
        <v>45621</v>
      </c>
      <c r="B841" s="4">
        <v>2024002582</v>
      </c>
      <c r="C841" s="4" t="s">
        <v>746</v>
      </c>
      <c r="D841" s="5">
        <v>7540000</v>
      </c>
      <c r="E841" s="4">
        <v>1233191998</v>
      </c>
      <c r="F841" s="4" t="s">
        <v>747</v>
      </c>
      <c r="G841" t="s">
        <v>565</v>
      </c>
    </row>
    <row r="842" spans="1:7" ht="14.25" customHeight="1" x14ac:dyDescent="0.25">
      <c r="A842" s="3">
        <v>45621</v>
      </c>
      <c r="B842" s="4">
        <v>2024002583</v>
      </c>
      <c r="C842" s="4" t="s">
        <v>748</v>
      </c>
      <c r="D842" s="5">
        <v>7540000</v>
      </c>
      <c r="E842" s="4">
        <v>1085344794</v>
      </c>
      <c r="F842" s="4" t="s">
        <v>749</v>
      </c>
      <c r="G842" t="s">
        <v>565</v>
      </c>
    </row>
    <row r="843" spans="1:7" ht="14.25" customHeight="1" x14ac:dyDescent="0.25">
      <c r="A843" s="3">
        <v>45621</v>
      </c>
      <c r="B843" s="4">
        <v>2024002584</v>
      </c>
      <c r="C843" s="4" t="s">
        <v>750</v>
      </c>
      <c r="D843" s="5">
        <v>7540000</v>
      </c>
      <c r="E843" s="4">
        <v>7603662</v>
      </c>
      <c r="F843" s="4" t="s">
        <v>361</v>
      </c>
      <c r="G843" t="s">
        <v>565</v>
      </c>
    </row>
    <row r="844" spans="1:7" ht="14.25" customHeight="1" x14ac:dyDescent="0.25">
      <c r="A844" s="3">
        <v>45621</v>
      </c>
      <c r="B844" s="4">
        <v>2024002585</v>
      </c>
      <c r="C844" s="4" t="s">
        <v>751</v>
      </c>
      <c r="D844" s="5">
        <v>4750000</v>
      </c>
      <c r="E844" s="4">
        <v>1233192618</v>
      </c>
      <c r="F844" s="4" t="s">
        <v>351</v>
      </c>
      <c r="G844" t="s">
        <v>565</v>
      </c>
    </row>
    <row r="845" spans="1:7" ht="14.25" customHeight="1" x14ac:dyDescent="0.25">
      <c r="A845" s="3">
        <v>45622</v>
      </c>
      <c r="B845" s="4">
        <v>2024002615</v>
      </c>
      <c r="C845" s="4" t="s">
        <v>752</v>
      </c>
      <c r="D845" s="5">
        <v>7540000</v>
      </c>
      <c r="E845" s="4">
        <v>1233189066</v>
      </c>
      <c r="F845" s="4" t="s">
        <v>239</v>
      </c>
      <c r="G845" t="s">
        <v>565</v>
      </c>
    </row>
    <row r="846" spans="1:7" ht="14.25" customHeight="1" x14ac:dyDescent="0.25">
      <c r="A846" s="3">
        <v>45622</v>
      </c>
      <c r="B846" s="4">
        <v>2024002624</v>
      </c>
      <c r="C846" s="4" t="s">
        <v>753</v>
      </c>
      <c r="D846" s="5">
        <v>3000000</v>
      </c>
      <c r="E846" s="4">
        <v>1085272140</v>
      </c>
      <c r="F846" s="4" t="s">
        <v>754</v>
      </c>
      <c r="G846" t="s">
        <v>565</v>
      </c>
    </row>
    <row r="847" spans="1:7" ht="14.25" customHeight="1" x14ac:dyDescent="0.25">
      <c r="A847" s="3">
        <v>45622</v>
      </c>
      <c r="B847" s="4">
        <v>2024002625</v>
      </c>
      <c r="C847" s="4" t="s">
        <v>755</v>
      </c>
      <c r="D847" s="5">
        <v>3000000</v>
      </c>
      <c r="E847" s="4">
        <v>1085347540</v>
      </c>
      <c r="F847" s="4" t="s">
        <v>321</v>
      </c>
      <c r="G847" t="s">
        <v>565</v>
      </c>
    </row>
    <row r="848" spans="1:7" ht="14.25" customHeight="1" x14ac:dyDescent="0.25">
      <c r="A848" s="3">
        <v>45622</v>
      </c>
      <c r="B848" s="4">
        <v>2024002627</v>
      </c>
      <c r="C848" s="4" t="s">
        <v>756</v>
      </c>
      <c r="D848" s="5">
        <v>6000000</v>
      </c>
      <c r="E848" s="4">
        <v>36757221</v>
      </c>
      <c r="F848" s="4" t="s">
        <v>453</v>
      </c>
      <c r="G848" t="s">
        <v>565</v>
      </c>
    </row>
    <row r="849" spans="1:7" ht="14.25" customHeight="1" x14ac:dyDescent="0.25">
      <c r="A849" s="3">
        <v>45622</v>
      </c>
      <c r="B849" s="4">
        <v>2024002628</v>
      </c>
      <c r="C849" s="4" t="s">
        <v>757</v>
      </c>
      <c r="D849" s="5">
        <v>3000000</v>
      </c>
      <c r="E849" s="4">
        <v>1085309422</v>
      </c>
      <c r="F849" s="4" t="s">
        <v>758</v>
      </c>
      <c r="G849" t="s">
        <v>565</v>
      </c>
    </row>
    <row r="850" spans="1:7" ht="14.25" customHeight="1" x14ac:dyDescent="0.25">
      <c r="A850" s="3">
        <v>45622</v>
      </c>
      <c r="B850" s="4">
        <v>2024002630</v>
      </c>
      <c r="C850" s="4" t="s">
        <v>759</v>
      </c>
      <c r="D850" s="5">
        <v>6000000</v>
      </c>
      <c r="E850" s="4">
        <v>1085253062</v>
      </c>
      <c r="F850" s="4" t="s">
        <v>31</v>
      </c>
      <c r="G850" t="s">
        <v>565</v>
      </c>
    </row>
    <row r="851" spans="1:7" ht="14.25" customHeight="1" x14ac:dyDescent="0.25">
      <c r="A851" s="3">
        <v>45622</v>
      </c>
      <c r="B851" s="4">
        <v>2024002631</v>
      </c>
      <c r="C851" s="4" t="s">
        <v>760</v>
      </c>
      <c r="D851" s="5">
        <v>3000000</v>
      </c>
      <c r="E851" s="4">
        <v>1004535234</v>
      </c>
      <c r="F851" s="4" t="s">
        <v>507</v>
      </c>
      <c r="G851" t="s">
        <v>565</v>
      </c>
    </row>
    <row r="852" spans="1:7" ht="14.25" customHeight="1" x14ac:dyDescent="0.25">
      <c r="A852" s="3">
        <v>45622</v>
      </c>
      <c r="B852" s="4">
        <v>2024002632</v>
      </c>
      <c r="C852" s="4" t="s">
        <v>761</v>
      </c>
      <c r="D852" s="5">
        <v>7540000</v>
      </c>
      <c r="E852" s="4">
        <v>1006946167</v>
      </c>
      <c r="F852" s="4" t="s">
        <v>63</v>
      </c>
      <c r="G852" t="s">
        <v>565</v>
      </c>
    </row>
    <row r="853" spans="1:7" ht="14.25" customHeight="1" x14ac:dyDescent="0.25">
      <c r="A853" s="3">
        <v>45622</v>
      </c>
      <c r="B853" s="4">
        <v>2024002633</v>
      </c>
      <c r="C853" s="4" t="s">
        <v>762</v>
      </c>
      <c r="D853" s="5">
        <v>2500000</v>
      </c>
      <c r="E853" s="4">
        <v>36757715</v>
      </c>
      <c r="F853" s="4" t="s">
        <v>313</v>
      </c>
      <c r="G853" t="s">
        <v>565</v>
      </c>
    </row>
    <row r="854" spans="1:7" ht="14.25" customHeight="1" x14ac:dyDescent="0.25">
      <c r="A854" s="3">
        <v>45622</v>
      </c>
      <c r="B854" s="4">
        <v>2024002635</v>
      </c>
      <c r="C854" s="4" t="s">
        <v>763</v>
      </c>
      <c r="D854" s="5">
        <v>3000000</v>
      </c>
      <c r="E854" s="4">
        <v>36752202</v>
      </c>
      <c r="F854" s="4" t="s">
        <v>263</v>
      </c>
      <c r="G854" t="s">
        <v>565</v>
      </c>
    </row>
    <row r="855" spans="1:7" ht="14.25" customHeight="1" x14ac:dyDescent="0.25">
      <c r="A855" s="3">
        <v>45622</v>
      </c>
      <c r="B855" s="4">
        <v>2024002636</v>
      </c>
      <c r="C855" s="4" t="s">
        <v>764</v>
      </c>
      <c r="D855" s="5">
        <v>3000000</v>
      </c>
      <c r="E855" s="4">
        <v>36757213</v>
      </c>
      <c r="F855" s="4" t="s">
        <v>411</v>
      </c>
      <c r="G855" t="s">
        <v>565</v>
      </c>
    </row>
    <row r="856" spans="1:7" ht="14.25" customHeight="1" x14ac:dyDescent="0.25">
      <c r="A856" s="3">
        <v>45622</v>
      </c>
      <c r="B856" s="4">
        <v>2024002637</v>
      </c>
      <c r="C856" s="4" t="s">
        <v>765</v>
      </c>
      <c r="D856" s="5">
        <v>916300</v>
      </c>
      <c r="E856" s="4">
        <v>59821968</v>
      </c>
      <c r="F856" s="4" t="s">
        <v>766</v>
      </c>
      <c r="G856" t="s">
        <v>565</v>
      </c>
    </row>
    <row r="857" spans="1:7" ht="14.25" customHeight="1" x14ac:dyDescent="0.25">
      <c r="A857" s="3">
        <v>45622</v>
      </c>
      <c r="B857" s="4">
        <v>2024002638</v>
      </c>
      <c r="C857" s="4" t="s">
        <v>767</v>
      </c>
      <c r="D857" s="5">
        <v>4750000</v>
      </c>
      <c r="E857" s="4">
        <v>59651018</v>
      </c>
      <c r="F857" s="4" t="s">
        <v>493</v>
      </c>
      <c r="G857" t="s">
        <v>565</v>
      </c>
    </row>
    <row r="858" spans="1:7" ht="14.25" customHeight="1" x14ac:dyDescent="0.25">
      <c r="A858" s="3">
        <v>45622</v>
      </c>
      <c r="B858" s="4">
        <v>2024002639</v>
      </c>
      <c r="C858" s="4" t="s">
        <v>768</v>
      </c>
      <c r="D858" s="5">
        <v>3000000</v>
      </c>
      <c r="E858" s="4">
        <v>59314601</v>
      </c>
      <c r="F858" s="4" t="s">
        <v>71</v>
      </c>
      <c r="G858" t="s">
        <v>565</v>
      </c>
    </row>
    <row r="859" spans="1:7" ht="14.25" customHeight="1" x14ac:dyDescent="0.25">
      <c r="A859" s="3">
        <v>45622</v>
      </c>
      <c r="B859" s="4">
        <v>2024002640</v>
      </c>
      <c r="C859" s="4" t="s">
        <v>769</v>
      </c>
      <c r="D859" s="5">
        <v>800000</v>
      </c>
      <c r="E859" s="4">
        <v>1089846829</v>
      </c>
      <c r="F859" s="4" t="s">
        <v>770</v>
      </c>
      <c r="G859" t="s">
        <v>565</v>
      </c>
    </row>
    <row r="860" spans="1:7" ht="14.25" customHeight="1" x14ac:dyDescent="0.25">
      <c r="A860" s="3">
        <v>45622</v>
      </c>
      <c r="B860" s="4">
        <v>2024002641</v>
      </c>
      <c r="C860" s="4" t="s">
        <v>771</v>
      </c>
      <c r="D860" s="5">
        <v>2500000</v>
      </c>
      <c r="E860" s="4">
        <v>1085327836</v>
      </c>
      <c r="F860" s="4" t="s">
        <v>283</v>
      </c>
      <c r="G860" t="s">
        <v>565</v>
      </c>
    </row>
    <row r="861" spans="1:7" ht="14.25" customHeight="1" x14ac:dyDescent="0.25">
      <c r="A861" s="3">
        <v>45622</v>
      </c>
      <c r="B861" s="4">
        <v>2024002642</v>
      </c>
      <c r="C861" s="4" t="s">
        <v>772</v>
      </c>
      <c r="D861" s="5">
        <v>3000000</v>
      </c>
      <c r="E861" s="4">
        <v>1081592303</v>
      </c>
      <c r="F861" s="4" t="s">
        <v>353</v>
      </c>
      <c r="G861" t="s">
        <v>565</v>
      </c>
    </row>
    <row r="862" spans="1:7" ht="14.25" customHeight="1" x14ac:dyDescent="0.25">
      <c r="A862" s="3">
        <v>45622</v>
      </c>
      <c r="B862" s="4">
        <v>2024002643</v>
      </c>
      <c r="C862" s="4" t="s">
        <v>773</v>
      </c>
      <c r="D862" s="5">
        <v>4825000</v>
      </c>
      <c r="E862" s="4">
        <v>1085267184</v>
      </c>
      <c r="F862" s="4" t="s">
        <v>247</v>
      </c>
      <c r="G862" t="s">
        <v>565</v>
      </c>
    </row>
    <row r="863" spans="1:7" ht="14.25" customHeight="1" x14ac:dyDescent="0.25">
      <c r="A863" s="3">
        <v>45622</v>
      </c>
      <c r="B863" s="4">
        <v>2024002644</v>
      </c>
      <c r="C863" s="4" t="s">
        <v>774</v>
      </c>
      <c r="D863" s="5">
        <v>3000000</v>
      </c>
      <c r="E863" s="4">
        <v>1081272025</v>
      </c>
      <c r="F863" s="4" t="s">
        <v>59</v>
      </c>
      <c r="G863" t="s">
        <v>565</v>
      </c>
    </row>
    <row r="864" spans="1:7" ht="14.25" customHeight="1" x14ac:dyDescent="0.25">
      <c r="A864" s="3">
        <v>45622</v>
      </c>
      <c r="B864" s="4">
        <v>2024002645</v>
      </c>
      <c r="C864" s="4" t="s">
        <v>775</v>
      </c>
      <c r="D864" s="5">
        <v>3000000</v>
      </c>
      <c r="E864" s="4">
        <v>1193385397</v>
      </c>
      <c r="F864" s="4" t="s">
        <v>39</v>
      </c>
      <c r="G864" t="s">
        <v>565</v>
      </c>
    </row>
    <row r="865" spans="1:7" ht="14.25" customHeight="1" x14ac:dyDescent="0.25">
      <c r="A865" s="3">
        <v>45622</v>
      </c>
      <c r="B865" s="4">
        <v>2024002646</v>
      </c>
      <c r="C865" s="4" t="s">
        <v>776</v>
      </c>
      <c r="D865" s="5">
        <v>3000000</v>
      </c>
      <c r="E865" s="4">
        <v>1233189234</v>
      </c>
      <c r="F865" s="4" t="s">
        <v>87</v>
      </c>
      <c r="G865" t="s">
        <v>565</v>
      </c>
    </row>
    <row r="866" spans="1:7" ht="14.25" customHeight="1" x14ac:dyDescent="0.25">
      <c r="A866" s="3">
        <v>45622</v>
      </c>
      <c r="B866" s="4">
        <v>2024002647</v>
      </c>
      <c r="C866" s="4" t="s">
        <v>777</v>
      </c>
      <c r="D866" s="5">
        <v>3000000</v>
      </c>
      <c r="E866" s="4">
        <v>1144206777</v>
      </c>
      <c r="F866" s="4" t="s">
        <v>153</v>
      </c>
      <c r="G866" t="s">
        <v>565</v>
      </c>
    </row>
    <row r="867" spans="1:7" ht="14.25" customHeight="1" x14ac:dyDescent="0.25">
      <c r="A867" s="3">
        <v>45622</v>
      </c>
      <c r="B867" s="4">
        <v>2024002648</v>
      </c>
      <c r="C867" s="4" t="s">
        <v>778</v>
      </c>
      <c r="D867" s="5">
        <v>3000000</v>
      </c>
      <c r="E867" s="4">
        <v>1085324685</v>
      </c>
      <c r="F867" s="4" t="s">
        <v>779</v>
      </c>
      <c r="G867" t="s">
        <v>565</v>
      </c>
    </row>
    <row r="868" spans="1:7" ht="14.25" customHeight="1" x14ac:dyDescent="0.25">
      <c r="A868" s="3">
        <v>45622</v>
      </c>
      <c r="B868" s="4">
        <v>2024002649</v>
      </c>
      <c r="C868" s="4" t="s">
        <v>780</v>
      </c>
      <c r="D868" s="5">
        <v>4825000</v>
      </c>
      <c r="E868" s="4">
        <v>1085311814</v>
      </c>
      <c r="F868" s="4" t="s">
        <v>781</v>
      </c>
      <c r="G868" t="s">
        <v>565</v>
      </c>
    </row>
    <row r="869" spans="1:7" ht="14.25" customHeight="1" x14ac:dyDescent="0.25">
      <c r="A869" s="3">
        <v>45622</v>
      </c>
      <c r="B869" s="4">
        <v>2024002650</v>
      </c>
      <c r="C869" s="4" t="s">
        <v>782</v>
      </c>
      <c r="D869" s="5">
        <v>1100000</v>
      </c>
      <c r="E869" s="4">
        <v>59833899</v>
      </c>
      <c r="F869" s="4" t="s">
        <v>467</v>
      </c>
      <c r="G869" t="s">
        <v>565</v>
      </c>
    </row>
    <row r="870" spans="1:7" ht="14.25" customHeight="1" x14ac:dyDescent="0.25">
      <c r="A870" s="3">
        <v>45622</v>
      </c>
      <c r="B870" s="4">
        <v>2024002651</v>
      </c>
      <c r="C870" s="4" t="s">
        <v>783</v>
      </c>
      <c r="D870" s="5">
        <v>2500000</v>
      </c>
      <c r="E870" s="4">
        <v>1233189896</v>
      </c>
      <c r="F870" s="4" t="s">
        <v>279</v>
      </c>
      <c r="G870" t="s">
        <v>565</v>
      </c>
    </row>
    <row r="871" spans="1:7" ht="14.25" customHeight="1" x14ac:dyDescent="0.25">
      <c r="A871" s="3">
        <v>45622</v>
      </c>
      <c r="B871" s="4">
        <v>2024002652</v>
      </c>
      <c r="C871" s="4" t="s">
        <v>784</v>
      </c>
      <c r="D871" s="5">
        <v>3000000</v>
      </c>
      <c r="E871" s="4">
        <v>1085319295</v>
      </c>
      <c r="F871" s="4" t="s">
        <v>785</v>
      </c>
      <c r="G871" t="s">
        <v>565</v>
      </c>
    </row>
    <row r="872" spans="1:7" ht="14.25" customHeight="1" x14ac:dyDescent="0.25">
      <c r="A872" s="3">
        <v>45622</v>
      </c>
      <c r="B872" s="4">
        <v>2024002653</v>
      </c>
      <c r="C872" s="4" t="s">
        <v>786</v>
      </c>
      <c r="D872" s="5">
        <v>3000000</v>
      </c>
      <c r="E872" s="4">
        <v>69028150</v>
      </c>
      <c r="F872" s="4" t="s">
        <v>171</v>
      </c>
      <c r="G872" t="s">
        <v>565</v>
      </c>
    </row>
    <row r="873" spans="1:7" ht="14.25" customHeight="1" x14ac:dyDescent="0.25">
      <c r="A873" s="3">
        <v>45622</v>
      </c>
      <c r="B873" s="4">
        <v>2024002654</v>
      </c>
      <c r="C873" s="4" t="s">
        <v>787</v>
      </c>
      <c r="D873" s="5">
        <v>4750000</v>
      </c>
      <c r="E873" s="4">
        <v>1085324546</v>
      </c>
      <c r="F873" s="4" t="s">
        <v>29</v>
      </c>
      <c r="G873" t="s">
        <v>565</v>
      </c>
    </row>
    <row r="874" spans="1:7" ht="14.25" customHeight="1" x14ac:dyDescent="0.25">
      <c r="A874" s="3">
        <v>45622</v>
      </c>
      <c r="B874" s="4">
        <v>2024002655</v>
      </c>
      <c r="C874" s="4" t="s">
        <v>788</v>
      </c>
      <c r="D874" s="5">
        <v>3000000</v>
      </c>
      <c r="E874" s="4">
        <v>1193265360</v>
      </c>
      <c r="F874" s="4" t="s">
        <v>67</v>
      </c>
      <c r="G874" t="s">
        <v>565</v>
      </c>
    </row>
    <row r="875" spans="1:7" ht="14.25" customHeight="1" x14ac:dyDescent="0.25">
      <c r="A875" s="15">
        <v>45623</v>
      </c>
      <c r="B875" s="16">
        <v>2024002656</v>
      </c>
      <c r="C875" s="16" t="s">
        <v>789</v>
      </c>
      <c r="D875" s="6">
        <v>3000000</v>
      </c>
      <c r="E875" s="16">
        <v>1086362994</v>
      </c>
      <c r="F875" s="16" t="s">
        <v>77</v>
      </c>
      <c r="G875" t="s">
        <v>565</v>
      </c>
    </row>
    <row r="876" spans="1:7" ht="14.25" customHeight="1" x14ac:dyDescent="0.25">
      <c r="A876" s="3">
        <v>45623</v>
      </c>
      <c r="B876" s="4">
        <v>2024002658</v>
      </c>
      <c r="C876" s="4" t="s">
        <v>790</v>
      </c>
      <c r="D876" s="5">
        <v>7540000</v>
      </c>
      <c r="E876" s="4">
        <v>1085329980</v>
      </c>
      <c r="F876" s="4" t="s">
        <v>791</v>
      </c>
      <c r="G876" t="s">
        <v>565</v>
      </c>
    </row>
    <row r="877" spans="1:7" ht="14.25" customHeight="1" x14ac:dyDescent="0.25">
      <c r="A877" s="3">
        <v>45623</v>
      </c>
      <c r="B877" s="4">
        <v>2024002659</v>
      </c>
      <c r="C877" s="4" t="s">
        <v>792</v>
      </c>
      <c r="D877" s="5">
        <v>3000000</v>
      </c>
      <c r="E877" s="4">
        <v>59588823</v>
      </c>
      <c r="F877" s="4" t="s">
        <v>793</v>
      </c>
      <c r="G877" t="s">
        <v>565</v>
      </c>
    </row>
    <row r="878" spans="1:7" ht="14.25" customHeight="1" x14ac:dyDescent="0.25">
      <c r="A878" s="3">
        <v>45623</v>
      </c>
      <c r="B878" s="4">
        <v>2024002660</v>
      </c>
      <c r="C878" s="4" t="s">
        <v>794</v>
      </c>
      <c r="D878" s="5">
        <v>7540000</v>
      </c>
      <c r="E878" s="4">
        <v>1193202097</v>
      </c>
      <c r="F878" s="4" t="s">
        <v>163</v>
      </c>
      <c r="G878" t="s">
        <v>565</v>
      </c>
    </row>
    <row r="879" spans="1:7" ht="14.25" customHeight="1" x14ac:dyDescent="0.25">
      <c r="A879" s="3">
        <v>45623</v>
      </c>
      <c r="B879" s="4">
        <v>2024002661</v>
      </c>
      <c r="C879" s="4" t="s">
        <v>795</v>
      </c>
      <c r="D879" s="5">
        <v>3000000</v>
      </c>
      <c r="E879" s="4">
        <v>1007356378</v>
      </c>
      <c r="F879" s="4" t="s">
        <v>45</v>
      </c>
      <c r="G879" t="s">
        <v>565</v>
      </c>
    </row>
    <row r="880" spans="1:7" ht="14.25" customHeight="1" x14ac:dyDescent="0.25">
      <c r="A880" s="3">
        <v>45623</v>
      </c>
      <c r="B880" s="4">
        <v>2024002662</v>
      </c>
      <c r="C880" s="4" t="s">
        <v>796</v>
      </c>
      <c r="D880" s="5">
        <v>3000000</v>
      </c>
      <c r="E880" s="4">
        <v>59311295</v>
      </c>
      <c r="F880" s="4" t="s">
        <v>797</v>
      </c>
      <c r="G880" t="s">
        <v>565</v>
      </c>
    </row>
    <row r="881" spans="1:7" ht="14.25" customHeight="1" x14ac:dyDescent="0.25">
      <c r="A881" s="3">
        <v>45623</v>
      </c>
      <c r="B881" s="4">
        <v>2024002663</v>
      </c>
      <c r="C881" s="4" t="s">
        <v>798</v>
      </c>
      <c r="D881" s="5">
        <v>6000000</v>
      </c>
      <c r="E881" s="4">
        <v>27109314</v>
      </c>
      <c r="F881" s="4" t="s">
        <v>217</v>
      </c>
      <c r="G881" t="s">
        <v>565</v>
      </c>
    </row>
    <row r="882" spans="1:7" ht="14.25" customHeight="1" x14ac:dyDescent="0.25">
      <c r="A882" s="3">
        <v>45623</v>
      </c>
      <c r="B882" s="4">
        <v>2024002664</v>
      </c>
      <c r="C882" s="4" t="s">
        <v>799</v>
      </c>
      <c r="D882" s="5">
        <v>2500000</v>
      </c>
      <c r="E882" s="4">
        <v>1085320930</v>
      </c>
      <c r="F882" s="4" t="s">
        <v>259</v>
      </c>
      <c r="G882" t="s">
        <v>565</v>
      </c>
    </row>
    <row r="883" spans="1:7" ht="14.25" customHeight="1" x14ac:dyDescent="0.25">
      <c r="A883" s="3">
        <v>45623</v>
      </c>
      <c r="B883" s="4">
        <v>2024002665</v>
      </c>
      <c r="C883" s="4" t="s">
        <v>800</v>
      </c>
      <c r="D883" s="5">
        <v>3000000</v>
      </c>
      <c r="E883" s="4">
        <v>59833702</v>
      </c>
      <c r="F883" s="4" t="s">
        <v>173</v>
      </c>
      <c r="G883" t="s">
        <v>565</v>
      </c>
    </row>
    <row r="884" spans="1:7" ht="14.25" customHeight="1" x14ac:dyDescent="0.25">
      <c r="A884" s="3">
        <v>45623</v>
      </c>
      <c r="B884" s="4">
        <v>2024002666</v>
      </c>
      <c r="C884" s="4" t="s">
        <v>801</v>
      </c>
      <c r="D884" s="5">
        <v>1250000</v>
      </c>
      <c r="E884" s="4">
        <v>12994466</v>
      </c>
      <c r="F884" s="4" t="s">
        <v>802</v>
      </c>
      <c r="G884" t="s">
        <v>565</v>
      </c>
    </row>
    <row r="885" spans="1:7" ht="14.25" customHeight="1" x14ac:dyDescent="0.25">
      <c r="A885" s="3">
        <v>45623</v>
      </c>
      <c r="B885" s="4">
        <v>2024002667</v>
      </c>
      <c r="C885" s="4" t="s">
        <v>803</v>
      </c>
      <c r="D885" s="5">
        <v>7540000</v>
      </c>
      <c r="E885" s="4">
        <v>80765093</v>
      </c>
      <c r="F885" s="4" t="s">
        <v>69</v>
      </c>
      <c r="G885" t="s">
        <v>565</v>
      </c>
    </row>
    <row r="886" spans="1:7" ht="14.25" customHeight="1" x14ac:dyDescent="0.25">
      <c r="A886" s="3">
        <v>45623</v>
      </c>
      <c r="B886" s="4">
        <v>2024002668</v>
      </c>
      <c r="C886" s="4" t="s">
        <v>804</v>
      </c>
      <c r="D886" s="5">
        <v>3000000</v>
      </c>
      <c r="E886" s="4">
        <v>1089243630</v>
      </c>
      <c r="F886" s="4" t="s">
        <v>197</v>
      </c>
      <c r="G886" t="s">
        <v>565</v>
      </c>
    </row>
    <row r="887" spans="1:7" ht="14.25" customHeight="1" x14ac:dyDescent="0.25">
      <c r="A887" s="3">
        <v>45623</v>
      </c>
      <c r="B887" s="4">
        <v>2024002669</v>
      </c>
      <c r="C887" s="4" t="s">
        <v>805</v>
      </c>
      <c r="D887" s="5">
        <v>3000000</v>
      </c>
      <c r="E887" s="4">
        <v>59834953</v>
      </c>
      <c r="F887" s="4" t="s">
        <v>121</v>
      </c>
      <c r="G887" t="s">
        <v>565</v>
      </c>
    </row>
    <row r="888" spans="1:7" ht="14.25" customHeight="1" x14ac:dyDescent="0.25">
      <c r="A888" s="3">
        <v>45623</v>
      </c>
      <c r="B888" s="4">
        <v>2024002670</v>
      </c>
      <c r="C888" s="4" t="s">
        <v>806</v>
      </c>
      <c r="D888" s="5">
        <v>4750000</v>
      </c>
      <c r="E888" s="4">
        <v>1085345772</v>
      </c>
      <c r="F888" s="4" t="s">
        <v>221</v>
      </c>
      <c r="G888" t="s">
        <v>565</v>
      </c>
    </row>
    <row r="889" spans="1:7" ht="14.25" customHeight="1" x14ac:dyDescent="0.25">
      <c r="A889" s="3">
        <v>45623</v>
      </c>
      <c r="B889" s="4">
        <v>2024002671</v>
      </c>
      <c r="C889" s="4" t="s">
        <v>807</v>
      </c>
      <c r="D889" s="5">
        <v>2500000</v>
      </c>
      <c r="E889" s="4">
        <v>37087268</v>
      </c>
      <c r="F889" s="4" t="s">
        <v>257</v>
      </c>
      <c r="G889" t="s">
        <v>565</v>
      </c>
    </row>
    <row r="890" spans="1:7" ht="14.25" customHeight="1" x14ac:dyDescent="0.25">
      <c r="A890" s="3">
        <v>45623</v>
      </c>
      <c r="B890" s="4">
        <v>2024002672</v>
      </c>
      <c r="C890" s="4" t="s">
        <v>808</v>
      </c>
      <c r="D890" s="5">
        <v>3000000</v>
      </c>
      <c r="E890" s="4">
        <v>1085330237</v>
      </c>
      <c r="F890" s="4" t="s">
        <v>255</v>
      </c>
      <c r="G890" t="s">
        <v>565</v>
      </c>
    </row>
    <row r="891" spans="1:7" ht="14.25" customHeight="1" x14ac:dyDescent="0.25">
      <c r="A891" s="3">
        <v>45624</v>
      </c>
      <c r="B891" s="4">
        <v>2024002692</v>
      </c>
      <c r="C891" s="4" t="s">
        <v>809</v>
      </c>
      <c r="D891" s="5">
        <v>2500000</v>
      </c>
      <c r="E891" s="4">
        <v>59830219</v>
      </c>
      <c r="F891" s="4" t="s">
        <v>281</v>
      </c>
      <c r="G891" t="s">
        <v>565</v>
      </c>
    </row>
    <row r="892" spans="1:7" ht="14.25" customHeight="1" x14ac:dyDescent="0.25">
      <c r="A892" s="3">
        <v>45624</v>
      </c>
      <c r="B892" s="4">
        <v>2024002693</v>
      </c>
      <c r="C892" s="4" t="s">
        <v>810</v>
      </c>
      <c r="D892" s="5">
        <v>4825000</v>
      </c>
      <c r="E892" s="4">
        <v>1085337969</v>
      </c>
      <c r="F892" s="4" t="s">
        <v>99</v>
      </c>
      <c r="G892" t="s">
        <v>565</v>
      </c>
    </row>
    <row r="893" spans="1:7" ht="14.25" customHeight="1" x14ac:dyDescent="0.25">
      <c r="A893" s="3">
        <v>45624</v>
      </c>
      <c r="B893" s="4">
        <v>2024002695</v>
      </c>
      <c r="C893" s="4" t="s">
        <v>811</v>
      </c>
      <c r="D893" s="5">
        <v>3000000</v>
      </c>
      <c r="E893" s="4">
        <v>1085296353</v>
      </c>
      <c r="F893" s="4" t="s">
        <v>187</v>
      </c>
      <c r="G893" t="s">
        <v>565</v>
      </c>
    </row>
    <row r="894" spans="1:7" ht="14.25" customHeight="1" x14ac:dyDescent="0.25">
      <c r="A894" s="3">
        <v>45624</v>
      </c>
      <c r="B894" s="4">
        <v>2024002696</v>
      </c>
      <c r="C894" s="4" t="s">
        <v>812</v>
      </c>
      <c r="D894" s="5">
        <v>4750000</v>
      </c>
      <c r="E894" s="4">
        <v>59816986</v>
      </c>
      <c r="F894" s="4" t="s">
        <v>415</v>
      </c>
      <c r="G894" t="s">
        <v>565</v>
      </c>
    </row>
    <row r="895" spans="1:7" ht="14.25" customHeight="1" x14ac:dyDescent="0.25">
      <c r="A895" s="3">
        <v>45624</v>
      </c>
      <c r="B895" s="4">
        <v>2024002697</v>
      </c>
      <c r="C895" s="4" t="s">
        <v>813</v>
      </c>
      <c r="D895" s="5">
        <v>2200000</v>
      </c>
      <c r="E895" s="4">
        <v>1131085780</v>
      </c>
      <c r="F895" s="4" t="s">
        <v>814</v>
      </c>
      <c r="G895" t="s">
        <v>565</v>
      </c>
    </row>
    <row r="896" spans="1:7" ht="14.25" customHeight="1" x14ac:dyDescent="0.25">
      <c r="A896" s="3">
        <v>45624</v>
      </c>
      <c r="B896" s="4">
        <v>2024002698</v>
      </c>
      <c r="C896" s="4" t="s">
        <v>815</v>
      </c>
      <c r="D896" s="5">
        <v>6000000</v>
      </c>
      <c r="E896" s="4">
        <v>59836926</v>
      </c>
      <c r="F896" s="4" t="s">
        <v>311</v>
      </c>
      <c r="G896" t="s">
        <v>565</v>
      </c>
    </row>
    <row r="897" spans="1:7" ht="14.25" customHeight="1" x14ac:dyDescent="0.25">
      <c r="A897" s="3">
        <v>45624</v>
      </c>
      <c r="B897" s="4">
        <v>2024002700</v>
      </c>
      <c r="C897" s="4" t="s">
        <v>816</v>
      </c>
      <c r="D897" s="5">
        <v>4750000</v>
      </c>
      <c r="E897" s="4">
        <v>87060703</v>
      </c>
      <c r="F897" s="4" t="s">
        <v>223</v>
      </c>
      <c r="G897" t="s">
        <v>565</v>
      </c>
    </row>
    <row r="898" spans="1:7" ht="14.25" customHeight="1" x14ac:dyDescent="0.25">
      <c r="A898" s="3">
        <v>45624</v>
      </c>
      <c r="B898" s="4">
        <v>2024002702</v>
      </c>
      <c r="C898" s="4" t="s">
        <v>817</v>
      </c>
      <c r="D898" s="5">
        <v>3000000</v>
      </c>
      <c r="E898" s="4">
        <v>1085252263</v>
      </c>
      <c r="F898" s="4" t="s">
        <v>33</v>
      </c>
      <c r="G898" t="s">
        <v>565</v>
      </c>
    </row>
    <row r="899" spans="1:7" ht="14.25" customHeight="1" x14ac:dyDescent="0.25">
      <c r="A899" s="3">
        <v>45624</v>
      </c>
      <c r="B899" s="4">
        <v>2024002704</v>
      </c>
      <c r="C899" s="4" t="s">
        <v>818</v>
      </c>
      <c r="D899" s="5">
        <v>3000000</v>
      </c>
      <c r="E899" s="4">
        <v>27082649</v>
      </c>
      <c r="F899" s="4" t="s">
        <v>595</v>
      </c>
      <c r="G899" t="s">
        <v>565</v>
      </c>
    </row>
    <row r="900" spans="1:7" ht="14.25" customHeight="1" x14ac:dyDescent="0.25">
      <c r="A900" s="3">
        <v>45624</v>
      </c>
      <c r="B900" s="4">
        <v>2024002705</v>
      </c>
      <c r="C900" s="4" t="s">
        <v>819</v>
      </c>
      <c r="D900" s="5">
        <v>4825000</v>
      </c>
      <c r="E900" s="4">
        <v>1081595485</v>
      </c>
      <c r="F900" s="4" t="s">
        <v>820</v>
      </c>
      <c r="G900" t="s">
        <v>565</v>
      </c>
    </row>
    <row r="901" spans="1:7" ht="14.25" customHeight="1" x14ac:dyDescent="0.25">
      <c r="A901" s="3">
        <v>45624</v>
      </c>
      <c r="B901" s="4">
        <v>2024002707</v>
      </c>
      <c r="C901" s="4" t="s">
        <v>821</v>
      </c>
      <c r="D901" s="5">
        <v>3000000</v>
      </c>
      <c r="E901" s="4">
        <v>1085255972</v>
      </c>
      <c r="F901" s="4" t="s">
        <v>147</v>
      </c>
      <c r="G901" t="s">
        <v>565</v>
      </c>
    </row>
    <row r="902" spans="1:7" ht="14.25" customHeight="1" x14ac:dyDescent="0.25">
      <c r="A902" s="3">
        <v>45624</v>
      </c>
      <c r="B902" s="4">
        <v>2024002708</v>
      </c>
      <c r="C902" s="4" t="s">
        <v>822</v>
      </c>
      <c r="D902" s="5">
        <v>3000000</v>
      </c>
      <c r="E902" s="4">
        <v>98382500</v>
      </c>
      <c r="F902" s="4" t="s">
        <v>183</v>
      </c>
      <c r="G902" t="s">
        <v>565</v>
      </c>
    </row>
    <row r="903" spans="1:7" ht="14.25" customHeight="1" x14ac:dyDescent="0.25">
      <c r="A903" s="3">
        <v>45624</v>
      </c>
      <c r="B903" s="4">
        <v>2024002709</v>
      </c>
      <c r="C903" s="4" t="s">
        <v>823</v>
      </c>
      <c r="D903" s="5">
        <v>4750000</v>
      </c>
      <c r="E903" s="4">
        <v>59312865</v>
      </c>
      <c r="F903" s="4" t="s">
        <v>127</v>
      </c>
      <c r="G903" t="s">
        <v>565</v>
      </c>
    </row>
    <row r="904" spans="1:7" ht="14.25" customHeight="1" x14ac:dyDescent="0.25">
      <c r="A904" s="3">
        <v>45624</v>
      </c>
      <c r="B904" s="4">
        <v>2024002710</v>
      </c>
      <c r="C904" s="4" t="s">
        <v>824</v>
      </c>
      <c r="D904" s="5">
        <v>4825000</v>
      </c>
      <c r="E904" s="4">
        <v>1085321943</v>
      </c>
      <c r="F904" s="4" t="s">
        <v>363</v>
      </c>
      <c r="G904" t="s">
        <v>565</v>
      </c>
    </row>
    <row r="905" spans="1:7" ht="14.25" customHeight="1" x14ac:dyDescent="0.25">
      <c r="A905" s="3">
        <v>45624</v>
      </c>
      <c r="B905" s="4">
        <v>2024002711</v>
      </c>
      <c r="C905" s="4" t="s">
        <v>825</v>
      </c>
      <c r="D905" s="5">
        <v>3000000</v>
      </c>
      <c r="E905" s="4">
        <v>1085313463</v>
      </c>
      <c r="F905" s="4" t="s">
        <v>331</v>
      </c>
      <c r="G905" t="s">
        <v>565</v>
      </c>
    </row>
    <row r="906" spans="1:7" ht="14.25" customHeight="1" x14ac:dyDescent="0.25">
      <c r="A906" s="3">
        <v>45624</v>
      </c>
      <c r="B906" s="4">
        <v>2024002713</v>
      </c>
      <c r="C906" s="4" t="s">
        <v>826</v>
      </c>
      <c r="D906" s="5">
        <v>2500000</v>
      </c>
      <c r="E906" s="4">
        <v>59311646</v>
      </c>
      <c r="F906" s="4" t="s">
        <v>373</v>
      </c>
      <c r="G906" t="s">
        <v>565</v>
      </c>
    </row>
    <row r="907" spans="1:7" ht="14.25" customHeight="1" x14ac:dyDescent="0.25">
      <c r="A907" s="3">
        <v>45624</v>
      </c>
      <c r="B907" s="4">
        <v>2024002714</v>
      </c>
      <c r="C907" s="4" t="s">
        <v>827</v>
      </c>
      <c r="D907" s="5">
        <v>6000000</v>
      </c>
      <c r="E907" s="4">
        <v>27097745</v>
      </c>
      <c r="F907" s="4" t="s">
        <v>828</v>
      </c>
      <c r="G907" t="s">
        <v>565</v>
      </c>
    </row>
    <row r="908" spans="1:7" ht="14.25" customHeight="1" x14ac:dyDescent="0.25">
      <c r="A908" s="3">
        <v>45624</v>
      </c>
      <c r="B908" s="4">
        <v>2024002715</v>
      </c>
      <c r="C908" s="4" t="s">
        <v>829</v>
      </c>
      <c r="D908" s="5">
        <v>3000000</v>
      </c>
      <c r="E908" s="4">
        <v>1085286742</v>
      </c>
      <c r="F908" s="4" t="s">
        <v>75</v>
      </c>
      <c r="G908" t="s">
        <v>565</v>
      </c>
    </row>
    <row r="909" spans="1:7" ht="14.25" customHeight="1" x14ac:dyDescent="0.25">
      <c r="A909" s="3">
        <v>45625</v>
      </c>
      <c r="B909" s="4">
        <v>2024002718</v>
      </c>
      <c r="C909" s="4" t="s">
        <v>830</v>
      </c>
      <c r="D909" s="5">
        <v>2500000</v>
      </c>
      <c r="E909" s="4">
        <v>1085289798</v>
      </c>
      <c r="F909" s="4" t="s">
        <v>375</v>
      </c>
      <c r="G909" t="s">
        <v>565</v>
      </c>
    </row>
    <row r="910" spans="1:7" ht="14.25" customHeight="1" x14ac:dyDescent="0.25">
      <c r="A910" s="3">
        <v>45625</v>
      </c>
      <c r="B910" s="4">
        <v>2024002719</v>
      </c>
      <c r="C910" s="4" t="s">
        <v>831</v>
      </c>
      <c r="D910" s="5">
        <v>3000000</v>
      </c>
      <c r="E910" s="4">
        <v>27087122</v>
      </c>
      <c r="F910" s="4" t="s">
        <v>37</v>
      </c>
      <c r="G910" t="s">
        <v>565</v>
      </c>
    </row>
    <row r="911" spans="1:7" ht="14.25" customHeight="1" x14ac:dyDescent="0.25">
      <c r="A911" s="3">
        <v>45625</v>
      </c>
      <c r="B911" s="4">
        <v>2024002720</v>
      </c>
      <c r="C911" s="4" t="s">
        <v>832</v>
      </c>
      <c r="D911" s="5">
        <v>3000000</v>
      </c>
      <c r="E911" s="4">
        <v>59311233</v>
      </c>
      <c r="F911" s="4" t="s">
        <v>833</v>
      </c>
      <c r="G911" t="s">
        <v>565</v>
      </c>
    </row>
    <row r="912" spans="1:7" ht="14.25" customHeight="1" x14ac:dyDescent="0.25">
      <c r="A912" s="3">
        <v>45625</v>
      </c>
      <c r="B912" s="4">
        <v>2024002721</v>
      </c>
      <c r="C912" s="4" t="s">
        <v>834</v>
      </c>
      <c r="D912" s="5">
        <v>7540000</v>
      </c>
      <c r="E912" s="4">
        <v>1085335767</v>
      </c>
      <c r="F912" s="4" t="s">
        <v>231</v>
      </c>
      <c r="G912" t="s">
        <v>565</v>
      </c>
    </row>
    <row r="913" spans="1:7" ht="14.25" customHeight="1" x14ac:dyDescent="0.25">
      <c r="A913" s="3">
        <v>45625</v>
      </c>
      <c r="B913" s="4">
        <v>2024002722</v>
      </c>
      <c r="C913" s="4" t="s">
        <v>835</v>
      </c>
      <c r="D913" s="5">
        <v>3000000</v>
      </c>
      <c r="E913" s="4">
        <v>1081276146</v>
      </c>
      <c r="F913" s="4" t="s">
        <v>836</v>
      </c>
      <c r="G913" t="s">
        <v>565</v>
      </c>
    </row>
    <row r="914" spans="1:7" ht="14.25" customHeight="1" x14ac:dyDescent="0.25">
      <c r="A914" s="3">
        <v>45625</v>
      </c>
      <c r="B914" s="4">
        <v>2024002723</v>
      </c>
      <c r="C914" s="4" t="s">
        <v>837</v>
      </c>
      <c r="D914" s="5">
        <v>2500000</v>
      </c>
      <c r="E914" s="4">
        <v>27309586</v>
      </c>
      <c r="F914" s="4" t="s">
        <v>345</v>
      </c>
      <c r="G914" t="s">
        <v>565</v>
      </c>
    </row>
    <row r="915" spans="1:7" ht="14.25" customHeight="1" x14ac:dyDescent="0.25">
      <c r="A915" s="3">
        <v>45625</v>
      </c>
      <c r="B915" s="4">
        <v>2024002724</v>
      </c>
      <c r="C915" s="4" t="s">
        <v>838</v>
      </c>
      <c r="D915" s="5">
        <v>3000000</v>
      </c>
      <c r="E915" s="4">
        <v>59310433</v>
      </c>
      <c r="F915" s="4" t="s">
        <v>839</v>
      </c>
      <c r="G915" t="s">
        <v>565</v>
      </c>
    </row>
    <row r="916" spans="1:7" ht="14.25" customHeight="1" x14ac:dyDescent="0.25">
      <c r="A916" s="3">
        <v>45625</v>
      </c>
      <c r="B916" s="4">
        <v>2024002725</v>
      </c>
      <c r="C916" s="4" t="s">
        <v>840</v>
      </c>
      <c r="D916" s="5">
        <v>3000000</v>
      </c>
      <c r="E916" s="4">
        <v>1233188273</v>
      </c>
      <c r="F916" s="4" t="s">
        <v>473</v>
      </c>
      <c r="G916" t="s">
        <v>565</v>
      </c>
    </row>
    <row r="917" spans="1:7" ht="14.25" customHeight="1" x14ac:dyDescent="0.25">
      <c r="A917" s="3">
        <v>45625</v>
      </c>
      <c r="B917" s="4">
        <v>2024002726</v>
      </c>
      <c r="C917" s="4" t="s">
        <v>841</v>
      </c>
      <c r="D917" s="5">
        <v>4825000</v>
      </c>
      <c r="E917" s="4">
        <v>1085265622</v>
      </c>
      <c r="F917" s="4" t="s">
        <v>460</v>
      </c>
      <c r="G917" t="s">
        <v>565</v>
      </c>
    </row>
    <row r="918" spans="1:7" ht="14.25" customHeight="1" x14ac:dyDescent="0.25">
      <c r="A918" s="3">
        <v>45625</v>
      </c>
      <c r="B918" s="4">
        <v>2024002727</v>
      </c>
      <c r="C918" s="4" t="s">
        <v>842</v>
      </c>
      <c r="D918" s="5">
        <v>3000000</v>
      </c>
      <c r="E918" s="4">
        <v>1010085543</v>
      </c>
      <c r="F918" s="4" t="s">
        <v>265</v>
      </c>
      <c r="G918" t="s">
        <v>565</v>
      </c>
    </row>
    <row r="919" spans="1:7" ht="14.25" customHeight="1" x14ac:dyDescent="0.25">
      <c r="A919" s="3">
        <v>45625</v>
      </c>
      <c r="B919" s="4">
        <v>2024002728</v>
      </c>
      <c r="C919" s="4" t="s">
        <v>843</v>
      </c>
      <c r="D919" s="5">
        <v>4825000</v>
      </c>
      <c r="E919" s="4">
        <v>1085321578</v>
      </c>
      <c r="F919" s="4" t="s">
        <v>275</v>
      </c>
      <c r="G919" t="s">
        <v>565</v>
      </c>
    </row>
    <row r="920" spans="1:7" ht="14.25" customHeight="1" x14ac:dyDescent="0.25">
      <c r="A920" s="3">
        <v>45625</v>
      </c>
      <c r="B920" s="4">
        <v>2024002729</v>
      </c>
      <c r="C920" s="4" t="s">
        <v>844</v>
      </c>
      <c r="D920" s="5">
        <v>6000000</v>
      </c>
      <c r="E920" s="4">
        <v>1085254153</v>
      </c>
      <c r="F920" s="4" t="s">
        <v>845</v>
      </c>
      <c r="G920" t="s">
        <v>565</v>
      </c>
    </row>
    <row r="921" spans="1:7" ht="14.25" customHeight="1" x14ac:dyDescent="0.25">
      <c r="A921" s="3">
        <v>45625</v>
      </c>
      <c r="B921" s="4">
        <v>2024002730</v>
      </c>
      <c r="C921" s="4" t="s">
        <v>846</v>
      </c>
      <c r="D921" s="5">
        <v>4825000</v>
      </c>
      <c r="E921" s="4">
        <v>1085269530</v>
      </c>
      <c r="F921" s="4" t="s">
        <v>333</v>
      </c>
      <c r="G921" t="s">
        <v>565</v>
      </c>
    </row>
    <row r="922" spans="1:7" ht="14.25" customHeight="1" x14ac:dyDescent="0.25">
      <c r="A922" s="3">
        <v>45625</v>
      </c>
      <c r="B922" s="4">
        <v>2024002731</v>
      </c>
      <c r="C922" s="4" t="s">
        <v>847</v>
      </c>
      <c r="D922" s="5">
        <v>2412500</v>
      </c>
      <c r="E922" s="4">
        <v>1085324891</v>
      </c>
      <c r="F922" s="4" t="s">
        <v>509</v>
      </c>
      <c r="G922" t="s">
        <v>565</v>
      </c>
    </row>
    <row r="923" spans="1:7" ht="14.25" customHeight="1" x14ac:dyDescent="0.25">
      <c r="A923" s="3">
        <v>45625</v>
      </c>
      <c r="B923" s="4">
        <v>2024002732</v>
      </c>
      <c r="C923" s="4" t="s">
        <v>848</v>
      </c>
      <c r="D923" s="5">
        <v>3000000</v>
      </c>
      <c r="E923" s="4">
        <v>1004299312</v>
      </c>
      <c r="F923" s="4" t="s">
        <v>849</v>
      </c>
      <c r="G923" t="s">
        <v>565</v>
      </c>
    </row>
    <row r="924" spans="1:7" ht="14.25" customHeight="1" x14ac:dyDescent="0.25">
      <c r="A924" s="3">
        <v>45625</v>
      </c>
      <c r="B924" s="4">
        <v>2024002733</v>
      </c>
      <c r="C924" s="4" t="s">
        <v>850</v>
      </c>
      <c r="D924" s="5">
        <v>3000000</v>
      </c>
      <c r="E924" s="4">
        <v>1004215136</v>
      </c>
      <c r="F924" s="4" t="s">
        <v>413</v>
      </c>
      <c r="G924" t="s">
        <v>565</v>
      </c>
    </row>
    <row r="925" spans="1:7" ht="14.25" customHeight="1" x14ac:dyDescent="0.25">
      <c r="A925" s="3">
        <v>45625</v>
      </c>
      <c r="B925" s="4">
        <v>2024002734</v>
      </c>
      <c r="C925" s="4" t="s">
        <v>851</v>
      </c>
      <c r="D925" s="5">
        <v>3000000</v>
      </c>
      <c r="E925" s="4">
        <v>1085344082</v>
      </c>
      <c r="F925" s="4" t="s">
        <v>291</v>
      </c>
      <c r="G925" t="s">
        <v>565</v>
      </c>
    </row>
    <row r="926" spans="1:7" ht="14.25" customHeight="1" x14ac:dyDescent="0.25">
      <c r="A926" s="3">
        <v>45625</v>
      </c>
      <c r="B926" s="4">
        <v>2024002735</v>
      </c>
      <c r="C926" s="4" t="s">
        <v>852</v>
      </c>
      <c r="D926" s="5">
        <v>2500000</v>
      </c>
      <c r="E926" s="4">
        <v>1085337465</v>
      </c>
      <c r="F926" s="4" t="s">
        <v>315</v>
      </c>
      <c r="G926" t="s">
        <v>565</v>
      </c>
    </row>
    <row r="927" spans="1:7" ht="14.25" customHeight="1" x14ac:dyDescent="0.25">
      <c r="A927" s="3">
        <v>45625</v>
      </c>
      <c r="B927" s="4">
        <v>2024002736</v>
      </c>
      <c r="C927" s="4" t="s">
        <v>853</v>
      </c>
      <c r="D927" s="5">
        <v>4825000</v>
      </c>
      <c r="E927" s="4">
        <v>1087643211</v>
      </c>
      <c r="F927" s="4" t="s">
        <v>131</v>
      </c>
      <c r="G927" t="s">
        <v>565</v>
      </c>
    </row>
    <row r="928" spans="1:7" ht="14.25" customHeight="1" x14ac:dyDescent="0.25">
      <c r="A928" s="3">
        <v>45625</v>
      </c>
      <c r="B928" s="4">
        <v>2024002737</v>
      </c>
      <c r="C928" s="4" t="s">
        <v>854</v>
      </c>
      <c r="D928" s="5">
        <v>3000000</v>
      </c>
      <c r="E928" s="4">
        <v>1085266584</v>
      </c>
      <c r="F928" s="4" t="s">
        <v>115</v>
      </c>
      <c r="G928" t="s">
        <v>565</v>
      </c>
    </row>
    <row r="929" spans="1:7" ht="14.25" customHeight="1" x14ac:dyDescent="0.25">
      <c r="A929" s="3">
        <v>45625</v>
      </c>
      <c r="B929" s="4">
        <v>2024002738</v>
      </c>
      <c r="C929" s="4" t="s">
        <v>855</v>
      </c>
      <c r="D929" s="5">
        <v>4750000</v>
      </c>
      <c r="E929" s="4">
        <v>1193383306</v>
      </c>
      <c r="F929" s="4" t="s">
        <v>267</v>
      </c>
      <c r="G929" t="s">
        <v>565</v>
      </c>
    </row>
    <row r="930" spans="1:7" ht="14.25" customHeight="1" x14ac:dyDescent="0.25">
      <c r="A930" s="3">
        <v>45625</v>
      </c>
      <c r="B930" s="4">
        <v>2024002739</v>
      </c>
      <c r="C930" s="4" t="s">
        <v>856</v>
      </c>
      <c r="D930" s="5">
        <v>2500000</v>
      </c>
      <c r="E930" s="4">
        <v>1086016308</v>
      </c>
      <c r="F930" s="4" t="s">
        <v>305</v>
      </c>
      <c r="G930" t="s">
        <v>565</v>
      </c>
    </row>
    <row r="931" spans="1:7" ht="14.25" customHeight="1" x14ac:dyDescent="0.25">
      <c r="A931" s="3">
        <v>45625</v>
      </c>
      <c r="B931" s="4">
        <v>2024002740</v>
      </c>
      <c r="C931" s="4" t="s">
        <v>857</v>
      </c>
      <c r="D931" s="5">
        <v>1250000</v>
      </c>
      <c r="E931" s="4">
        <v>37082480</v>
      </c>
      <c r="F931" s="4" t="s">
        <v>858</v>
      </c>
      <c r="G931" t="s">
        <v>565</v>
      </c>
    </row>
    <row r="932" spans="1:7" ht="14.25" customHeight="1" x14ac:dyDescent="0.25">
      <c r="A932" s="3">
        <v>45625</v>
      </c>
      <c r="B932" s="4">
        <v>2024002741</v>
      </c>
      <c r="C932" s="4" t="s">
        <v>859</v>
      </c>
      <c r="D932" s="5">
        <v>3000000</v>
      </c>
      <c r="E932" s="4">
        <v>1014857280</v>
      </c>
      <c r="F932" s="4" t="s">
        <v>233</v>
      </c>
      <c r="G932" t="s">
        <v>565</v>
      </c>
    </row>
    <row r="933" spans="1:7" ht="14.25" customHeight="1" x14ac:dyDescent="0.25">
      <c r="A933" s="3">
        <v>45625</v>
      </c>
      <c r="B933" s="4">
        <v>2024002742</v>
      </c>
      <c r="C933" s="4" t="s">
        <v>860</v>
      </c>
      <c r="D933" s="5">
        <v>6000000</v>
      </c>
      <c r="E933" s="4">
        <v>1085337232</v>
      </c>
      <c r="F933" s="4" t="s">
        <v>89</v>
      </c>
      <c r="G933" t="s">
        <v>565</v>
      </c>
    </row>
    <row r="934" spans="1:7" ht="14.25" customHeight="1" x14ac:dyDescent="0.25">
      <c r="A934" s="3">
        <v>45625</v>
      </c>
      <c r="B934" s="4">
        <v>2024002743</v>
      </c>
      <c r="C934" s="4" t="s">
        <v>861</v>
      </c>
      <c r="D934" s="5">
        <v>3000000</v>
      </c>
      <c r="E934" s="4">
        <v>1193271854</v>
      </c>
      <c r="F934" s="4" t="s">
        <v>229</v>
      </c>
      <c r="G934" t="s">
        <v>565</v>
      </c>
    </row>
    <row r="935" spans="1:7" ht="14.25" customHeight="1" x14ac:dyDescent="0.25">
      <c r="A935" s="3">
        <v>45625</v>
      </c>
      <c r="B935" s="4">
        <v>2024002744</v>
      </c>
      <c r="C935" s="4" t="s">
        <v>862</v>
      </c>
      <c r="D935" s="5">
        <v>3000000</v>
      </c>
      <c r="E935" s="4">
        <v>1085300095</v>
      </c>
      <c r="F935" s="4" t="s">
        <v>201</v>
      </c>
      <c r="G935" t="s">
        <v>565</v>
      </c>
    </row>
    <row r="936" spans="1:7" ht="14.25" customHeight="1" x14ac:dyDescent="0.25">
      <c r="A936" s="3">
        <v>45625</v>
      </c>
      <c r="B936" s="4">
        <v>2024002745</v>
      </c>
      <c r="C936" s="4" t="s">
        <v>863</v>
      </c>
      <c r="D936" s="5">
        <v>7540000</v>
      </c>
      <c r="E936" s="4">
        <v>1085255870</v>
      </c>
      <c r="F936" s="4" t="s">
        <v>864</v>
      </c>
      <c r="G936" t="s">
        <v>565</v>
      </c>
    </row>
    <row r="937" spans="1:7" ht="14.25" customHeight="1" x14ac:dyDescent="0.25">
      <c r="A937" s="3">
        <v>45625</v>
      </c>
      <c r="B937" s="4">
        <v>2024002746</v>
      </c>
      <c r="C937" s="4" t="s">
        <v>865</v>
      </c>
      <c r="D937" s="5">
        <v>1250000</v>
      </c>
      <c r="E937" s="4">
        <v>1085281545</v>
      </c>
      <c r="F937" s="4" t="s">
        <v>866</v>
      </c>
      <c r="G937" t="s">
        <v>565</v>
      </c>
    </row>
    <row r="938" spans="1:7" ht="14.25" customHeight="1" x14ac:dyDescent="0.25">
      <c r="A938" s="3">
        <v>45625</v>
      </c>
      <c r="B938" s="4">
        <v>2024002747</v>
      </c>
      <c r="C938" s="4" t="s">
        <v>867</v>
      </c>
      <c r="D938" s="5">
        <v>4825000</v>
      </c>
      <c r="E938" s="4">
        <v>1085291221</v>
      </c>
      <c r="F938" s="4" t="s">
        <v>93</v>
      </c>
      <c r="G938" t="s">
        <v>565</v>
      </c>
    </row>
    <row r="939" spans="1:7" ht="14.25" customHeight="1" x14ac:dyDescent="0.25">
      <c r="A939" s="3">
        <v>45625</v>
      </c>
      <c r="B939" s="4">
        <v>2024002748</v>
      </c>
      <c r="C939" s="4" t="s">
        <v>868</v>
      </c>
      <c r="D939" s="5">
        <v>4825000</v>
      </c>
      <c r="E939" s="4">
        <v>30733517</v>
      </c>
      <c r="F939" s="4" t="s">
        <v>53</v>
      </c>
      <c r="G939" t="s">
        <v>565</v>
      </c>
    </row>
    <row r="940" spans="1:7" ht="14.25" customHeight="1" x14ac:dyDescent="0.25">
      <c r="A940" s="3">
        <v>45625</v>
      </c>
      <c r="B940" s="4">
        <v>2024002749</v>
      </c>
      <c r="C940" s="4" t="s">
        <v>869</v>
      </c>
      <c r="D940" s="5">
        <v>3000000</v>
      </c>
      <c r="E940" s="4">
        <v>1004410201</v>
      </c>
      <c r="F940" s="4" t="s">
        <v>403</v>
      </c>
      <c r="G940" t="s">
        <v>565</v>
      </c>
    </row>
    <row r="941" spans="1:7" ht="14.25" customHeight="1" x14ac:dyDescent="0.25">
      <c r="A941" s="3">
        <v>45625</v>
      </c>
      <c r="B941" s="4">
        <v>2024002750</v>
      </c>
      <c r="C941" s="4" t="s">
        <v>870</v>
      </c>
      <c r="D941" s="5">
        <v>2500000</v>
      </c>
      <c r="E941" s="4">
        <v>1081273343</v>
      </c>
      <c r="F941" s="4" t="s">
        <v>339</v>
      </c>
      <c r="G941" t="s">
        <v>565</v>
      </c>
    </row>
    <row r="942" spans="1:7" ht="14.25" customHeight="1" x14ac:dyDescent="0.25">
      <c r="A942" s="3">
        <v>45629</v>
      </c>
      <c r="B942" s="4">
        <v>2024002757</v>
      </c>
      <c r="C942" s="4" t="s">
        <v>871</v>
      </c>
      <c r="D942" s="5">
        <v>7540000</v>
      </c>
      <c r="E942" s="4">
        <v>12961407</v>
      </c>
      <c r="F942" s="4" t="s">
        <v>309</v>
      </c>
      <c r="G942" t="s">
        <v>565</v>
      </c>
    </row>
    <row r="943" spans="1:7" ht="14.25" customHeight="1" x14ac:dyDescent="0.25">
      <c r="A943" s="3">
        <v>45629</v>
      </c>
      <c r="B943" s="4">
        <v>2024002758</v>
      </c>
      <c r="C943" s="4" t="s">
        <v>872</v>
      </c>
      <c r="D943" s="5">
        <v>3000000</v>
      </c>
      <c r="E943" s="4">
        <v>1085250095</v>
      </c>
      <c r="F943" s="4" t="s">
        <v>179</v>
      </c>
      <c r="G943" t="s">
        <v>565</v>
      </c>
    </row>
    <row r="944" spans="1:7" ht="14.25" customHeight="1" x14ac:dyDescent="0.25">
      <c r="A944" s="3">
        <v>45629</v>
      </c>
      <c r="B944" s="4">
        <v>2024002759</v>
      </c>
      <c r="C944" s="4" t="s">
        <v>873</v>
      </c>
      <c r="D944" s="5">
        <v>4750000</v>
      </c>
      <c r="E944" s="4">
        <v>1085318201</v>
      </c>
      <c r="F944" s="4" t="s">
        <v>235</v>
      </c>
      <c r="G944" t="s">
        <v>565</v>
      </c>
    </row>
    <row r="945" spans="1:7" ht="14.25" customHeight="1" x14ac:dyDescent="0.25">
      <c r="A945" s="3">
        <v>45629</v>
      </c>
      <c r="B945" s="4">
        <v>2024002760</v>
      </c>
      <c r="C945" s="4" t="s">
        <v>874</v>
      </c>
      <c r="D945" s="5">
        <v>800000</v>
      </c>
      <c r="E945" s="4">
        <v>27088197</v>
      </c>
      <c r="F945" s="4" t="s">
        <v>875</v>
      </c>
      <c r="G945" t="s">
        <v>565</v>
      </c>
    </row>
    <row r="946" spans="1:7" ht="14.25" customHeight="1" x14ac:dyDescent="0.25">
      <c r="A946" s="3">
        <v>45629</v>
      </c>
      <c r="B946" s="4">
        <v>2024002761</v>
      </c>
      <c r="C946" s="4" t="s">
        <v>876</v>
      </c>
      <c r="D946" s="5">
        <v>4825000</v>
      </c>
      <c r="E946" s="4">
        <v>59314451</v>
      </c>
      <c r="F946" s="4" t="s">
        <v>141</v>
      </c>
      <c r="G946" t="s">
        <v>565</v>
      </c>
    </row>
    <row r="947" spans="1:7" ht="14.25" customHeight="1" x14ac:dyDescent="0.25">
      <c r="A947" s="3">
        <v>45629</v>
      </c>
      <c r="B947" s="4">
        <v>2024002777</v>
      </c>
      <c r="C947" s="4" t="s">
        <v>877</v>
      </c>
      <c r="D947" s="5">
        <v>3000000</v>
      </c>
      <c r="E947" s="4">
        <v>87070661</v>
      </c>
      <c r="F947" s="4" t="s">
        <v>185</v>
      </c>
      <c r="G947" t="s">
        <v>565</v>
      </c>
    </row>
    <row r="948" spans="1:7" ht="14.25" customHeight="1" x14ac:dyDescent="0.25">
      <c r="A948" s="3">
        <v>45629</v>
      </c>
      <c r="B948" s="4">
        <v>2024002778</v>
      </c>
      <c r="C948" s="4" t="s">
        <v>878</v>
      </c>
      <c r="D948" s="5">
        <v>3000000</v>
      </c>
      <c r="E948" s="4">
        <v>1085338575</v>
      </c>
      <c r="F948" s="4" t="s">
        <v>227</v>
      </c>
      <c r="G948" t="s">
        <v>565</v>
      </c>
    </row>
    <row r="949" spans="1:7" ht="14.25" customHeight="1" x14ac:dyDescent="0.25">
      <c r="A949" s="3">
        <v>45629</v>
      </c>
      <c r="B949" s="4">
        <v>2024002779</v>
      </c>
      <c r="C949" s="4" t="s">
        <v>879</v>
      </c>
      <c r="D949" s="5">
        <v>2500000</v>
      </c>
      <c r="E949" s="4">
        <v>30737741</v>
      </c>
      <c r="F949" s="4" t="s">
        <v>199</v>
      </c>
      <c r="G949" t="s">
        <v>565</v>
      </c>
    </row>
    <row r="950" spans="1:7" ht="14.25" customHeight="1" x14ac:dyDescent="0.25">
      <c r="A950" s="3">
        <v>45629</v>
      </c>
      <c r="B950" s="4">
        <v>2024002780</v>
      </c>
      <c r="C950" s="4" t="s">
        <v>880</v>
      </c>
      <c r="D950" s="5">
        <v>3000000</v>
      </c>
      <c r="E950" s="4">
        <v>1085323101</v>
      </c>
      <c r="F950" s="4" t="s">
        <v>73</v>
      </c>
      <c r="G950" t="s">
        <v>565</v>
      </c>
    </row>
    <row r="951" spans="1:7" ht="14.25" customHeight="1" x14ac:dyDescent="0.25">
      <c r="A951" s="3">
        <v>45629</v>
      </c>
      <c r="B951" s="4">
        <v>2024002781</v>
      </c>
      <c r="C951" s="4" t="s">
        <v>881</v>
      </c>
      <c r="D951" s="5">
        <v>4750000</v>
      </c>
      <c r="E951" s="4">
        <v>1085318684</v>
      </c>
      <c r="F951" s="4" t="s">
        <v>355</v>
      </c>
      <c r="G951" t="s">
        <v>565</v>
      </c>
    </row>
    <row r="952" spans="1:7" ht="14.25" customHeight="1" x14ac:dyDescent="0.25">
      <c r="A952" s="3">
        <v>45629</v>
      </c>
      <c r="B952" s="4">
        <v>2024002782</v>
      </c>
      <c r="C952" s="4" t="s">
        <v>882</v>
      </c>
      <c r="D952" s="5">
        <v>3000000</v>
      </c>
      <c r="E952" s="4">
        <v>5930737</v>
      </c>
      <c r="F952" s="4" t="s">
        <v>213</v>
      </c>
      <c r="G952" t="s">
        <v>565</v>
      </c>
    </row>
    <row r="953" spans="1:7" ht="14.25" customHeight="1" x14ac:dyDescent="0.25">
      <c r="A953" s="3">
        <v>45629</v>
      </c>
      <c r="B953" s="4">
        <v>2024002783</v>
      </c>
      <c r="C953" s="4" t="s">
        <v>883</v>
      </c>
      <c r="D953" s="5">
        <v>3000000</v>
      </c>
      <c r="E953" s="4">
        <v>37083086</v>
      </c>
      <c r="F953" s="4" t="s">
        <v>884</v>
      </c>
      <c r="G953" t="s">
        <v>565</v>
      </c>
    </row>
    <row r="954" spans="1:7" ht="14.25" customHeight="1" x14ac:dyDescent="0.25">
      <c r="A954" s="3">
        <v>45629</v>
      </c>
      <c r="B954" s="4">
        <v>2024002784</v>
      </c>
      <c r="C954" s="4" t="s">
        <v>885</v>
      </c>
      <c r="D954" s="5">
        <v>3000000</v>
      </c>
      <c r="E954" s="4">
        <v>1084224968</v>
      </c>
      <c r="F954" s="4" t="s">
        <v>886</v>
      </c>
      <c r="G954" t="s">
        <v>565</v>
      </c>
    </row>
    <row r="955" spans="1:7" ht="14.25" customHeight="1" x14ac:dyDescent="0.25">
      <c r="A955" s="3">
        <v>45629</v>
      </c>
      <c r="B955" s="4">
        <v>2024002785</v>
      </c>
      <c r="C955" s="4" t="s">
        <v>887</v>
      </c>
      <c r="D955" s="5">
        <v>3000000</v>
      </c>
      <c r="E955" s="4">
        <v>1004234290</v>
      </c>
      <c r="F955" s="4" t="s">
        <v>237</v>
      </c>
      <c r="G955" t="s">
        <v>565</v>
      </c>
    </row>
    <row r="956" spans="1:7" ht="14.25" customHeight="1" x14ac:dyDescent="0.25">
      <c r="A956" s="3">
        <v>45629</v>
      </c>
      <c r="B956" s="4">
        <v>2024002786</v>
      </c>
      <c r="C956" s="4" t="s">
        <v>888</v>
      </c>
      <c r="D956" s="5">
        <v>3770000</v>
      </c>
      <c r="E956" s="4">
        <v>1233193882</v>
      </c>
      <c r="F956" s="4" t="s">
        <v>889</v>
      </c>
      <c r="G956" t="s">
        <v>565</v>
      </c>
    </row>
    <row r="957" spans="1:7" ht="14.25" customHeight="1" x14ac:dyDescent="0.25">
      <c r="A957" s="3">
        <v>45629</v>
      </c>
      <c r="B957" s="4">
        <v>2024002787</v>
      </c>
      <c r="C957" s="4" t="s">
        <v>890</v>
      </c>
      <c r="D957" s="5">
        <v>3000000</v>
      </c>
      <c r="E957" s="4">
        <v>1085277516</v>
      </c>
      <c r="F957" s="4" t="s">
        <v>891</v>
      </c>
      <c r="G957" t="s">
        <v>565</v>
      </c>
    </row>
    <row r="958" spans="1:7" ht="14.25" customHeight="1" x14ac:dyDescent="0.25">
      <c r="A958" s="3">
        <v>45629</v>
      </c>
      <c r="B958" s="4">
        <v>2024002788</v>
      </c>
      <c r="C958" s="4" t="s">
        <v>892</v>
      </c>
      <c r="D958" s="5">
        <v>3000000</v>
      </c>
      <c r="E958" s="4">
        <v>13070330</v>
      </c>
      <c r="F958" s="4" t="s">
        <v>101</v>
      </c>
      <c r="G958" t="s">
        <v>565</v>
      </c>
    </row>
    <row r="959" spans="1:7" ht="14.25" customHeight="1" x14ac:dyDescent="0.25">
      <c r="A959" s="3">
        <v>45629</v>
      </c>
      <c r="B959" s="4">
        <v>2024002789</v>
      </c>
      <c r="C959" s="4" t="s">
        <v>893</v>
      </c>
      <c r="D959" s="5">
        <v>6000000</v>
      </c>
      <c r="E959" s="4">
        <v>97470681</v>
      </c>
      <c r="F959" s="4" t="s">
        <v>329</v>
      </c>
      <c r="G959" t="s">
        <v>565</v>
      </c>
    </row>
    <row r="960" spans="1:7" ht="14.25" customHeight="1" x14ac:dyDescent="0.25">
      <c r="A960" s="3">
        <v>45629</v>
      </c>
      <c r="B960" s="4">
        <v>2024002790</v>
      </c>
      <c r="C960" s="4" t="s">
        <v>894</v>
      </c>
      <c r="D960" s="5">
        <v>6000000</v>
      </c>
      <c r="E960" s="4">
        <v>1085272491</v>
      </c>
      <c r="F960" s="4" t="s">
        <v>895</v>
      </c>
      <c r="G960" t="s">
        <v>565</v>
      </c>
    </row>
    <row r="961" spans="1:7" ht="14.25" customHeight="1" x14ac:dyDescent="0.25">
      <c r="A961" s="3">
        <v>45630</v>
      </c>
      <c r="B961" s="4">
        <v>2024002795</v>
      </c>
      <c r="C961" s="4" t="s">
        <v>896</v>
      </c>
      <c r="D961" s="5">
        <v>4825000</v>
      </c>
      <c r="E961" s="4">
        <v>59310622</v>
      </c>
      <c r="F961" s="4" t="s">
        <v>897</v>
      </c>
      <c r="G961" t="s">
        <v>565</v>
      </c>
    </row>
    <row r="962" spans="1:7" ht="14.25" customHeight="1" x14ac:dyDescent="0.25">
      <c r="A962" s="3">
        <v>45630</v>
      </c>
      <c r="B962" s="4">
        <v>2024002796</v>
      </c>
      <c r="C962" s="4" t="s">
        <v>898</v>
      </c>
      <c r="D962" s="5">
        <v>4750000</v>
      </c>
      <c r="E962" s="4">
        <v>1085325342</v>
      </c>
      <c r="F962" s="4" t="s">
        <v>23</v>
      </c>
      <c r="G962" t="s">
        <v>565</v>
      </c>
    </row>
    <row r="963" spans="1:7" ht="14.25" customHeight="1" x14ac:dyDescent="0.25">
      <c r="A963" s="3">
        <v>45630</v>
      </c>
      <c r="B963" s="4">
        <v>2024002797</v>
      </c>
      <c r="C963" s="4" t="s">
        <v>899</v>
      </c>
      <c r="D963" s="5">
        <v>4750000</v>
      </c>
      <c r="E963" s="4">
        <v>36950073</v>
      </c>
      <c r="F963" s="4" t="s">
        <v>900</v>
      </c>
      <c r="G963" t="s">
        <v>565</v>
      </c>
    </row>
    <row r="964" spans="1:7" ht="14.25" customHeight="1" x14ac:dyDescent="0.25">
      <c r="A964" s="3">
        <v>45630</v>
      </c>
      <c r="B964" s="4">
        <v>2024002798</v>
      </c>
      <c r="C964" s="4" t="s">
        <v>901</v>
      </c>
      <c r="D964" s="5">
        <v>1500000</v>
      </c>
      <c r="E964" s="4">
        <v>1004235479</v>
      </c>
      <c r="F964" s="4" t="s">
        <v>477</v>
      </c>
      <c r="G964" t="s">
        <v>565</v>
      </c>
    </row>
    <row r="965" spans="1:7" ht="14.25" customHeight="1" x14ac:dyDescent="0.25">
      <c r="A965" s="3">
        <v>45630</v>
      </c>
      <c r="B965" s="4">
        <v>2024002799</v>
      </c>
      <c r="C965" s="4" t="s">
        <v>902</v>
      </c>
      <c r="D965" s="5">
        <v>3000000</v>
      </c>
      <c r="E965" s="4">
        <v>1080043348</v>
      </c>
      <c r="F965" s="4" t="s">
        <v>903</v>
      </c>
      <c r="G965" t="s">
        <v>565</v>
      </c>
    </row>
    <row r="966" spans="1:7" ht="14.25" customHeight="1" x14ac:dyDescent="0.25">
      <c r="A966" s="3">
        <v>45630</v>
      </c>
      <c r="B966" s="4">
        <v>2024002800</v>
      </c>
      <c r="C966" s="4" t="s">
        <v>904</v>
      </c>
      <c r="D966" s="5">
        <v>3000000</v>
      </c>
      <c r="E966" s="4">
        <v>1193224810</v>
      </c>
      <c r="F966" s="4" t="s">
        <v>409</v>
      </c>
      <c r="G966" t="s">
        <v>565</v>
      </c>
    </row>
    <row r="967" spans="1:7" ht="14.25" customHeight="1" x14ac:dyDescent="0.25">
      <c r="A967" s="3">
        <v>45630</v>
      </c>
      <c r="B967" s="4">
        <v>2024002801</v>
      </c>
      <c r="C967" s="4" t="s">
        <v>905</v>
      </c>
      <c r="D967" s="5">
        <v>3000000</v>
      </c>
      <c r="E967" s="4">
        <v>1085302942</v>
      </c>
      <c r="F967" s="4" t="s">
        <v>417</v>
      </c>
      <c r="G967" t="s">
        <v>565</v>
      </c>
    </row>
    <row r="968" spans="1:7" ht="14.25" customHeight="1" x14ac:dyDescent="0.25">
      <c r="A968" s="3">
        <v>45630</v>
      </c>
      <c r="B968" s="4">
        <v>2024002802</v>
      </c>
      <c r="C968" s="4" t="s">
        <v>906</v>
      </c>
      <c r="D968" s="5">
        <v>1500000</v>
      </c>
      <c r="E968" s="4">
        <v>1004216993</v>
      </c>
      <c r="F968" s="4" t="s">
        <v>511</v>
      </c>
      <c r="G968" t="s">
        <v>565</v>
      </c>
    </row>
    <row r="969" spans="1:7" ht="14.25" customHeight="1" x14ac:dyDescent="0.25">
      <c r="A969" s="3">
        <v>45630</v>
      </c>
      <c r="B969" s="4">
        <v>2024002803</v>
      </c>
      <c r="C969" s="4" t="s">
        <v>907</v>
      </c>
      <c r="D969" s="5">
        <v>3000000</v>
      </c>
      <c r="E969" s="4">
        <v>1004131723</v>
      </c>
      <c r="F969" s="4" t="s">
        <v>908</v>
      </c>
      <c r="G969" t="s">
        <v>565</v>
      </c>
    </row>
    <row r="970" spans="1:7" ht="14.25" customHeight="1" x14ac:dyDescent="0.25">
      <c r="A970" s="3">
        <v>45630</v>
      </c>
      <c r="B970" s="4">
        <v>2024002804</v>
      </c>
      <c r="C970" s="4" t="s">
        <v>909</v>
      </c>
      <c r="D970" s="5">
        <v>7540000</v>
      </c>
      <c r="E970" s="4">
        <v>1085312978</v>
      </c>
      <c r="F970" s="4" t="s">
        <v>910</v>
      </c>
      <c r="G970" t="s">
        <v>565</v>
      </c>
    </row>
    <row r="971" spans="1:7" ht="14.25" customHeight="1" x14ac:dyDescent="0.25">
      <c r="A971" s="3">
        <v>45630</v>
      </c>
      <c r="B971" s="4">
        <v>2024002805</v>
      </c>
      <c r="C971" s="4" t="s">
        <v>911</v>
      </c>
      <c r="D971" s="5">
        <v>2500000</v>
      </c>
      <c r="E971" s="4">
        <v>13072447</v>
      </c>
      <c r="F971" s="4" t="s">
        <v>205</v>
      </c>
      <c r="G971" t="s">
        <v>565</v>
      </c>
    </row>
    <row r="972" spans="1:7" ht="14.25" customHeight="1" x14ac:dyDescent="0.25">
      <c r="A972" s="3">
        <v>45630</v>
      </c>
      <c r="B972" s="4">
        <v>2024002806</v>
      </c>
      <c r="C972" s="4" t="s">
        <v>912</v>
      </c>
      <c r="D972" s="5">
        <v>2500000</v>
      </c>
      <c r="E972" s="4">
        <v>1085338135</v>
      </c>
      <c r="F972" s="4" t="s">
        <v>369</v>
      </c>
      <c r="G972" t="s">
        <v>565</v>
      </c>
    </row>
    <row r="973" spans="1:7" ht="14.25" customHeight="1" x14ac:dyDescent="0.25">
      <c r="A973" s="3">
        <v>45630</v>
      </c>
      <c r="B973" s="4">
        <v>2024002807</v>
      </c>
      <c r="C973" s="4" t="s">
        <v>913</v>
      </c>
      <c r="D973" s="5">
        <v>4750000</v>
      </c>
      <c r="E973" s="4">
        <v>36953206</v>
      </c>
      <c r="F973" s="4" t="s">
        <v>391</v>
      </c>
      <c r="G973" t="s">
        <v>565</v>
      </c>
    </row>
    <row r="974" spans="1:7" ht="14.25" customHeight="1" x14ac:dyDescent="0.25">
      <c r="A974" s="3">
        <v>45630</v>
      </c>
      <c r="B974" s="4">
        <v>2024002810</v>
      </c>
      <c r="C974" s="4" t="s">
        <v>609</v>
      </c>
      <c r="D974" s="5">
        <v>6000000</v>
      </c>
      <c r="E974" s="4">
        <v>1085275879</v>
      </c>
      <c r="F974" s="4" t="s">
        <v>117</v>
      </c>
      <c r="G974" t="s">
        <v>565</v>
      </c>
    </row>
    <row r="975" spans="1:7" ht="14.25" customHeight="1" x14ac:dyDescent="0.25">
      <c r="A975" s="3">
        <v>45631</v>
      </c>
      <c r="B975" s="4">
        <v>2024002815</v>
      </c>
      <c r="C975" s="4" t="s">
        <v>914</v>
      </c>
      <c r="D975" s="5">
        <v>4750000</v>
      </c>
      <c r="E975" s="4">
        <v>1018492767</v>
      </c>
      <c r="F975" s="4" t="s">
        <v>915</v>
      </c>
      <c r="G975" t="s">
        <v>565</v>
      </c>
    </row>
    <row r="976" spans="1:7" ht="14.25" customHeight="1" x14ac:dyDescent="0.25">
      <c r="A976" s="3">
        <v>45631</v>
      </c>
      <c r="B976" s="4">
        <v>2024002821</v>
      </c>
      <c r="C976" s="4" t="s">
        <v>916</v>
      </c>
      <c r="D976" s="5">
        <v>3000000</v>
      </c>
      <c r="E976" s="4">
        <v>30743783</v>
      </c>
      <c r="F976" s="4" t="s">
        <v>504</v>
      </c>
      <c r="G976" t="s">
        <v>565</v>
      </c>
    </row>
    <row r="977" spans="1:7" ht="14.25" customHeight="1" x14ac:dyDescent="0.25">
      <c r="A977" s="3">
        <v>45631</v>
      </c>
      <c r="B977" s="4">
        <v>2024002822</v>
      </c>
      <c r="C977" s="4" t="s">
        <v>917</v>
      </c>
      <c r="D977" s="5">
        <v>7540000</v>
      </c>
      <c r="E977" s="4">
        <v>87940284</v>
      </c>
      <c r="F977" s="4" t="s">
        <v>918</v>
      </c>
      <c r="G977" t="s">
        <v>565</v>
      </c>
    </row>
    <row r="978" spans="1:7" ht="14.25" customHeight="1" x14ac:dyDescent="0.25">
      <c r="A978" s="3">
        <v>45631</v>
      </c>
      <c r="B978" s="4">
        <v>2024002823</v>
      </c>
      <c r="C978" s="4" t="s">
        <v>919</v>
      </c>
      <c r="D978" s="5">
        <v>3000000</v>
      </c>
      <c r="E978" s="4">
        <v>1085260568</v>
      </c>
      <c r="F978" s="4" t="s">
        <v>419</v>
      </c>
      <c r="G978" t="s">
        <v>565</v>
      </c>
    </row>
    <row r="979" spans="1:7" ht="14.25" customHeight="1" x14ac:dyDescent="0.25">
      <c r="A979" s="3">
        <v>45631</v>
      </c>
      <c r="B979" s="4">
        <v>2024002824</v>
      </c>
      <c r="C979" s="4" t="s">
        <v>920</v>
      </c>
      <c r="D979" s="5">
        <v>7540000</v>
      </c>
      <c r="E979" s="4">
        <v>1085300619</v>
      </c>
      <c r="F979" s="4" t="s">
        <v>921</v>
      </c>
      <c r="G979" t="s">
        <v>565</v>
      </c>
    </row>
    <row r="980" spans="1:7" ht="14.25" customHeight="1" x14ac:dyDescent="0.25">
      <c r="A980" s="3">
        <v>45631</v>
      </c>
      <c r="B980" s="4">
        <v>2024002825</v>
      </c>
      <c r="C980" s="4" t="s">
        <v>922</v>
      </c>
      <c r="D980" s="5">
        <v>3000000</v>
      </c>
      <c r="E980" s="4">
        <v>1193218691</v>
      </c>
      <c r="F980" s="4" t="s">
        <v>191</v>
      </c>
      <c r="G980" t="s">
        <v>565</v>
      </c>
    </row>
    <row r="981" spans="1:7" ht="14.25" customHeight="1" x14ac:dyDescent="0.25">
      <c r="A981" s="3">
        <v>45631</v>
      </c>
      <c r="B981" s="4">
        <v>2024002826</v>
      </c>
      <c r="C981" s="4" t="s">
        <v>923</v>
      </c>
      <c r="D981" s="5">
        <v>3000000</v>
      </c>
      <c r="E981" s="4">
        <v>1085310350</v>
      </c>
      <c r="F981" s="4" t="s">
        <v>924</v>
      </c>
      <c r="G981" t="s">
        <v>565</v>
      </c>
    </row>
    <row r="982" spans="1:7" ht="14.25" customHeight="1" x14ac:dyDescent="0.25">
      <c r="A982" s="3">
        <v>45631</v>
      </c>
      <c r="B982" s="4">
        <v>2024002827</v>
      </c>
      <c r="C982" s="4" t="s">
        <v>925</v>
      </c>
      <c r="D982" s="5">
        <v>2412500</v>
      </c>
      <c r="E982" s="4">
        <v>1004508471</v>
      </c>
      <c r="F982" s="4" t="s">
        <v>926</v>
      </c>
      <c r="G982" t="s">
        <v>565</v>
      </c>
    </row>
    <row r="983" spans="1:7" ht="14.25" customHeight="1" x14ac:dyDescent="0.25">
      <c r="A983" s="3">
        <v>45631</v>
      </c>
      <c r="B983" s="4">
        <v>2024002828</v>
      </c>
      <c r="C983" s="4" t="s">
        <v>927</v>
      </c>
      <c r="D983" s="5">
        <v>4750000</v>
      </c>
      <c r="E983" s="4">
        <v>1086332188</v>
      </c>
      <c r="F983" s="4" t="s">
        <v>928</v>
      </c>
      <c r="G983" t="s">
        <v>565</v>
      </c>
    </row>
    <row r="984" spans="1:7" ht="14.25" customHeight="1" x14ac:dyDescent="0.25">
      <c r="A984" s="3">
        <v>45631</v>
      </c>
      <c r="B984" s="4">
        <v>2024002831</v>
      </c>
      <c r="C984" s="4" t="s">
        <v>929</v>
      </c>
      <c r="D984" s="5">
        <v>7540000</v>
      </c>
      <c r="E984" s="4">
        <v>87065647</v>
      </c>
      <c r="F984" s="4" t="s">
        <v>43</v>
      </c>
      <c r="G984" t="s">
        <v>565</v>
      </c>
    </row>
    <row r="985" spans="1:7" ht="14.25" customHeight="1" x14ac:dyDescent="0.25">
      <c r="A985" s="3">
        <v>45631</v>
      </c>
      <c r="B985" s="4">
        <v>2024002832</v>
      </c>
      <c r="C985" s="4" t="s">
        <v>804</v>
      </c>
      <c r="D985" s="5">
        <v>3000000</v>
      </c>
      <c r="E985" s="4">
        <v>1089243630</v>
      </c>
      <c r="F985" s="4" t="s">
        <v>197</v>
      </c>
      <c r="G985" t="s">
        <v>565</v>
      </c>
    </row>
    <row r="986" spans="1:7" ht="14.25" customHeight="1" x14ac:dyDescent="0.25">
      <c r="A986" s="3">
        <v>45631</v>
      </c>
      <c r="B986" s="4">
        <v>2024002833</v>
      </c>
      <c r="C986" s="4" t="s">
        <v>930</v>
      </c>
      <c r="D986" s="5">
        <v>3000000</v>
      </c>
      <c r="E986" s="4">
        <v>1085322676</v>
      </c>
      <c r="F986" s="4" t="s">
        <v>931</v>
      </c>
      <c r="G986" t="s">
        <v>565</v>
      </c>
    </row>
    <row r="987" spans="1:7" ht="14.25" customHeight="1" x14ac:dyDescent="0.25">
      <c r="A987" s="3">
        <v>45631</v>
      </c>
      <c r="B987" s="4">
        <v>2024002834</v>
      </c>
      <c r="C987" s="4" t="s">
        <v>932</v>
      </c>
      <c r="D987" s="5">
        <v>7540000</v>
      </c>
      <c r="E987" s="4">
        <v>1085296958</v>
      </c>
      <c r="F987" s="4" t="s">
        <v>401</v>
      </c>
      <c r="G987" t="s">
        <v>565</v>
      </c>
    </row>
    <row r="988" spans="1:7" ht="14.25" customHeight="1" x14ac:dyDescent="0.25">
      <c r="A988" s="3">
        <v>45632</v>
      </c>
      <c r="B988" s="4">
        <v>2024002915</v>
      </c>
      <c r="C988" s="4" t="s">
        <v>639</v>
      </c>
      <c r="D988" s="5">
        <v>3000000</v>
      </c>
      <c r="E988" s="4">
        <v>36757522</v>
      </c>
      <c r="F988" s="4" t="s">
        <v>271</v>
      </c>
      <c r="G988" t="s">
        <v>565</v>
      </c>
    </row>
    <row r="989" spans="1:7" ht="14.25" customHeight="1" x14ac:dyDescent="0.25">
      <c r="A989" s="3">
        <v>45632</v>
      </c>
      <c r="B989" s="4">
        <v>2024002916</v>
      </c>
      <c r="C989" s="4" t="s">
        <v>933</v>
      </c>
      <c r="D989" s="5">
        <v>3000000</v>
      </c>
      <c r="E989" s="4">
        <v>1085325718</v>
      </c>
      <c r="F989" s="4" t="s">
        <v>301</v>
      </c>
      <c r="G989" t="s">
        <v>565</v>
      </c>
    </row>
    <row r="990" spans="1:7" ht="14.25" customHeight="1" x14ac:dyDescent="0.25">
      <c r="A990" s="3">
        <v>45632</v>
      </c>
      <c r="B990" s="4">
        <v>2024002917</v>
      </c>
      <c r="C990" s="4" t="s">
        <v>934</v>
      </c>
      <c r="D990" s="5">
        <v>4825000</v>
      </c>
      <c r="E990" s="4">
        <v>27087851</v>
      </c>
      <c r="F990" s="4" t="s">
        <v>177</v>
      </c>
      <c r="G990" t="s">
        <v>565</v>
      </c>
    </row>
    <row r="991" spans="1:7" ht="14.25" customHeight="1" x14ac:dyDescent="0.25">
      <c r="A991" s="3">
        <v>45632</v>
      </c>
      <c r="B991" s="4">
        <v>2024002919</v>
      </c>
      <c r="C991" s="4" t="s">
        <v>935</v>
      </c>
      <c r="D991" s="5">
        <v>3000000</v>
      </c>
      <c r="E991" s="4">
        <v>59828916</v>
      </c>
      <c r="F991" s="4" t="s">
        <v>181</v>
      </c>
      <c r="G991" t="s">
        <v>565</v>
      </c>
    </row>
    <row r="992" spans="1:7" ht="14.25" customHeight="1" x14ac:dyDescent="0.25">
      <c r="A992" s="3">
        <v>45632</v>
      </c>
      <c r="B992" s="4">
        <v>2024002920</v>
      </c>
      <c r="C992" s="4" t="s">
        <v>936</v>
      </c>
      <c r="D992" s="5">
        <v>7540000</v>
      </c>
      <c r="E992" s="4">
        <v>79800150</v>
      </c>
      <c r="F992" s="4" t="s">
        <v>937</v>
      </c>
      <c r="G992" t="s">
        <v>565</v>
      </c>
    </row>
    <row r="993" spans="1:7" ht="14.25" customHeight="1" x14ac:dyDescent="0.25">
      <c r="A993" s="3">
        <v>45632</v>
      </c>
      <c r="B993" s="4">
        <v>2024002921</v>
      </c>
      <c r="C993" s="4" t="s">
        <v>938</v>
      </c>
      <c r="D993" s="5">
        <v>2090400</v>
      </c>
      <c r="E993" s="4">
        <v>52048780</v>
      </c>
      <c r="F993" s="4" t="s">
        <v>939</v>
      </c>
      <c r="G993" t="s">
        <v>565</v>
      </c>
    </row>
    <row r="994" spans="1:7" ht="14.25" customHeight="1" x14ac:dyDescent="0.25">
      <c r="A994" s="3">
        <v>45632</v>
      </c>
      <c r="B994" s="4">
        <v>2024002922</v>
      </c>
      <c r="C994" s="4" t="s">
        <v>750</v>
      </c>
      <c r="D994" s="5">
        <v>7540000</v>
      </c>
      <c r="E994" s="4">
        <v>7603662</v>
      </c>
      <c r="F994" s="4" t="s">
        <v>361</v>
      </c>
      <c r="G994" t="s">
        <v>565</v>
      </c>
    </row>
    <row r="995" spans="1:7" ht="14.25" customHeight="1" x14ac:dyDescent="0.25">
      <c r="A995" s="3">
        <v>45632</v>
      </c>
      <c r="B995" s="4">
        <v>2024002923</v>
      </c>
      <c r="C995" s="4" t="s">
        <v>696</v>
      </c>
      <c r="D995" s="5">
        <v>4825000</v>
      </c>
      <c r="E995" s="4">
        <v>59310145</v>
      </c>
      <c r="F995" s="4" t="s">
        <v>129</v>
      </c>
      <c r="G995" t="s">
        <v>565</v>
      </c>
    </row>
    <row r="996" spans="1:7" ht="14.25" customHeight="1" x14ac:dyDescent="0.25">
      <c r="A996" s="3">
        <v>45632</v>
      </c>
      <c r="B996" s="4">
        <v>2024002924</v>
      </c>
      <c r="C996" s="4" t="s">
        <v>862</v>
      </c>
      <c r="D996" s="5">
        <v>3000000</v>
      </c>
      <c r="E996" s="4">
        <v>1085300095</v>
      </c>
      <c r="F996" s="4" t="s">
        <v>201</v>
      </c>
      <c r="G996" t="s">
        <v>565</v>
      </c>
    </row>
    <row r="997" spans="1:7" ht="14.25" customHeight="1" x14ac:dyDescent="0.25">
      <c r="A997" s="3">
        <v>45632</v>
      </c>
      <c r="B997" s="4">
        <v>2024002925</v>
      </c>
      <c r="C997" s="4" t="s">
        <v>710</v>
      </c>
      <c r="D997" s="5">
        <v>3000000</v>
      </c>
      <c r="E997" s="4">
        <v>37084285</v>
      </c>
      <c r="F997" s="4" t="s">
        <v>119</v>
      </c>
      <c r="G997" t="s">
        <v>565</v>
      </c>
    </row>
    <row r="998" spans="1:7" ht="15" customHeight="1" x14ac:dyDescent="0.25">
      <c r="A998" s="3">
        <v>45632</v>
      </c>
      <c r="B998" s="4">
        <v>2024002926</v>
      </c>
      <c r="C998" s="4" t="s">
        <v>776</v>
      </c>
      <c r="D998" s="5">
        <v>3000000</v>
      </c>
      <c r="E998" s="4">
        <v>1233189234</v>
      </c>
      <c r="F998" s="4" t="s">
        <v>87</v>
      </c>
      <c r="G998" t="s">
        <v>565</v>
      </c>
    </row>
    <row r="999" spans="1:7" ht="15" customHeight="1" x14ac:dyDescent="0.25">
      <c r="A999" s="3">
        <v>45632</v>
      </c>
      <c r="B999" s="4">
        <v>2024002927</v>
      </c>
      <c r="C999" s="4" t="s">
        <v>821</v>
      </c>
      <c r="D999" s="5">
        <v>3000000</v>
      </c>
      <c r="E999" s="4">
        <v>1085255972</v>
      </c>
      <c r="F999" s="4" t="s">
        <v>147</v>
      </c>
      <c r="G999" t="s">
        <v>565</v>
      </c>
    </row>
    <row r="1000" spans="1:7" ht="15" customHeight="1" x14ac:dyDescent="0.25">
      <c r="A1000" s="3">
        <v>45632</v>
      </c>
      <c r="B1000" s="4">
        <v>2024002928</v>
      </c>
      <c r="C1000" s="4" t="s">
        <v>689</v>
      </c>
      <c r="D1000" s="5">
        <v>3000000</v>
      </c>
      <c r="E1000" s="4">
        <v>1004135064</v>
      </c>
      <c r="F1000" s="4" t="s">
        <v>207</v>
      </c>
      <c r="G1000" t="s">
        <v>565</v>
      </c>
    </row>
    <row r="1001" spans="1:7" ht="15" customHeight="1" x14ac:dyDescent="0.25">
      <c r="A1001" s="3">
        <v>45632</v>
      </c>
      <c r="B1001" s="4">
        <v>2024002929</v>
      </c>
      <c r="C1001" s="4" t="s">
        <v>687</v>
      </c>
      <c r="D1001" s="5">
        <v>3000000</v>
      </c>
      <c r="E1001" s="4">
        <v>1080040858</v>
      </c>
      <c r="F1001" s="4" t="s">
        <v>211</v>
      </c>
      <c r="G1001" t="s">
        <v>565</v>
      </c>
    </row>
    <row r="1002" spans="1:7" ht="15" customHeight="1" x14ac:dyDescent="0.25">
      <c r="A1002" s="3">
        <v>45632</v>
      </c>
      <c r="B1002" s="4">
        <v>2024002930</v>
      </c>
      <c r="C1002" s="4" t="s">
        <v>688</v>
      </c>
      <c r="D1002" s="5">
        <v>3000000</v>
      </c>
      <c r="E1002" s="4">
        <v>1010082397</v>
      </c>
      <c r="F1002" s="4" t="s">
        <v>209</v>
      </c>
      <c r="G1002" t="s">
        <v>565</v>
      </c>
    </row>
    <row r="1003" spans="1:7" ht="15" customHeight="1" x14ac:dyDescent="0.25">
      <c r="A1003" s="3">
        <v>45632</v>
      </c>
      <c r="B1003" s="4">
        <v>2024002931</v>
      </c>
      <c r="C1003" s="4" t="s">
        <v>940</v>
      </c>
      <c r="D1003" s="5">
        <v>3000000</v>
      </c>
      <c r="E1003" s="4">
        <v>59813323</v>
      </c>
      <c r="F1003" s="4" t="s">
        <v>103</v>
      </c>
      <c r="G1003" t="s">
        <v>565</v>
      </c>
    </row>
    <row r="1004" spans="1:7" ht="15" customHeight="1" x14ac:dyDescent="0.25">
      <c r="A1004" s="3">
        <v>45632</v>
      </c>
      <c r="B1004" s="4">
        <v>2024002932</v>
      </c>
      <c r="C1004" s="4" t="s">
        <v>941</v>
      </c>
      <c r="D1004" s="5">
        <v>4825000</v>
      </c>
      <c r="E1004" s="4">
        <v>1085332406</v>
      </c>
      <c r="F1004" s="4" t="s">
        <v>273</v>
      </c>
      <c r="G1004" t="s">
        <v>565</v>
      </c>
    </row>
    <row r="1005" spans="1:7" ht="15" customHeight="1" x14ac:dyDescent="0.25">
      <c r="A1005" s="3">
        <v>45632</v>
      </c>
      <c r="B1005" s="4">
        <v>2024002933</v>
      </c>
      <c r="C1005" s="4" t="s">
        <v>673</v>
      </c>
      <c r="D1005" s="5">
        <v>2500000</v>
      </c>
      <c r="E1005" s="4">
        <v>12750863</v>
      </c>
      <c r="F1005" s="4" t="s">
        <v>225</v>
      </c>
      <c r="G1005" t="s">
        <v>565</v>
      </c>
    </row>
    <row r="1006" spans="1:7" ht="15" customHeight="1" x14ac:dyDescent="0.25">
      <c r="A1006" s="3">
        <v>45632</v>
      </c>
      <c r="B1006" s="4">
        <v>2024002935</v>
      </c>
      <c r="C1006" s="4" t="s">
        <v>648</v>
      </c>
      <c r="D1006" s="5">
        <v>4825000</v>
      </c>
      <c r="E1006" s="4">
        <v>30732782</v>
      </c>
      <c r="F1006" s="4" t="s">
        <v>245</v>
      </c>
      <c r="G1006" t="s">
        <v>565</v>
      </c>
    </row>
    <row r="1007" spans="1:7" ht="15" customHeight="1" x14ac:dyDescent="0.25">
      <c r="A1007" s="3">
        <v>45632</v>
      </c>
      <c r="B1007" s="4">
        <v>2024002936</v>
      </c>
      <c r="C1007" s="4" t="s">
        <v>611</v>
      </c>
      <c r="D1007" s="5">
        <v>3000000</v>
      </c>
      <c r="E1007" s="4">
        <v>1085261053</v>
      </c>
      <c r="F1007" s="4" t="s">
        <v>335</v>
      </c>
      <c r="G1007" t="s">
        <v>565</v>
      </c>
    </row>
    <row r="1008" spans="1:7" ht="15" customHeight="1" x14ac:dyDescent="0.25">
      <c r="A1008" s="3">
        <v>45632</v>
      </c>
      <c r="B1008" s="4">
        <v>2024002938</v>
      </c>
      <c r="C1008" s="4" t="s">
        <v>686</v>
      </c>
      <c r="D1008" s="5">
        <v>3000000</v>
      </c>
      <c r="E1008" s="4">
        <v>1085288636</v>
      </c>
      <c r="F1008" s="4" t="s">
        <v>405</v>
      </c>
      <c r="G1008" t="s">
        <v>565</v>
      </c>
    </row>
    <row r="1009" spans="1:7" ht="15" customHeight="1" x14ac:dyDescent="0.25">
      <c r="A1009" s="3">
        <v>45632</v>
      </c>
      <c r="B1009" s="4">
        <v>2024002939</v>
      </c>
      <c r="C1009" s="4" t="s">
        <v>942</v>
      </c>
      <c r="D1009" s="5">
        <v>4825000</v>
      </c>
      <c r="E1009" s="4">
        <v>1086755334</v>
      </c>
      <c r="F1009" s="4" t="s">
        <v>943</v>
      </c>
      <c r="G1009" t="s">
        <v>565</v>
      </c>
    </row>
    <row r="1010" spans="1:7" ht="15" customHeight="1" x14ac:dyDescent="0.25">
      <c r="A1010" s="3">
        <v>45632</v>
      </c>
      <c r="B1010" s="4">
        <v>2024002940</v>
      </c>
      <c r="C1010" s="4" t="s">
        <v>944</v>
      </c>
      <c r="D1010" s="5">
        <v>2500000</v>
      </c>
      <c r="E1010" s="4">
        <v>36759281</v>
      </c>
      <c r="F1010" s="4" t="s">
        <v>341</v>
      </c>
      <c r="G1010" t="s">
        <v>565</v>
      </c>
    </row>
    <row r="1011" spans="1:7" ht="15" customHeight="1" x14ac:dyDescent="0.25">
      <c r="A1011" s="3">
        <v>45632</v>
      </c>
      <c r="B1011" s="4">
        <v>2024002941</v>
      </c>
      <c r="C1011" s="4" t="s">
        <v>945</v>
      </c>
      <c r="D1011" s="5">
        <v>4825000</v>
      </c>
      <c r="E1011" s="4">
        <v>98260088</v>
      </c>
      <c r="F1011" s="4" t="s">
        <v>946</v>
      </c>
      <c r="G1011" t="s">
        <v>565</v>
      </c>
    </row>
    <row r="1012" spans="1:7" ht="15" customHeight="1" x14ac:dyDescent="0.25">
      <c r="A1012" s="3">
        <v>45632</v>
      </c>
      <c r="B1012" s="4">
        <v>2024002942</v>
      </c>
      <c r="C1012" s="4" t="s">
        <v>759</v>
      </c>
      <c r="D1012" s="5">
        <v>6000000</v>
      </c>
      <c r="E1012" s="4">
        <v>1085253062</v>
      </c>
      <c r="F1012" s="4" t="s">
        <v>31</v>
      </c>
      <c r="G1012" t="s">
        <v>565</v>
      </c>
    </row>
    <row r="1013" spans="1:7" ht="15" customHeight="1" x14ac:dyDescent="0.25">
      <c r="A1013" s="3">
        <v>45632</v>
      </c>
      <c r="B1013" s="4">
        <v>2024002943</v>
      </c>
      <c r="C1013" s="4" t="s">
        <v>861</v>
      </c>
      <c r="D1013" s="5">
        <v>3000000</v>
      </c>
      <c r="E1013" s="4">
        <v>1193271854</v>
      </c>
      <c r="F1013" s="4" t="s">
        <v>229</v>
      </c>
      <c r="G1013" t="s">
        <v>565</v>
      </c>
    </row>
    <row r="1014" spans="1:7" ht="15" customHeight="1" x14ac:dyDescent="0.25">
      <c r="A1014" s="3">
        <v>45632</v>
      </c>
      <c r="B1014" s="4">
        <v>2024002944</v>
      </c>
      <c r="C1014" s="4" t="s">
        <v>859</v>
      </c>
      <c r="D1014" s="5">
        <v>3000000</v>
      </c>
      <c r="E1014" s="4">
        <v>1014857280</v>
      </c>
      <c r="F1014" s="4" t="s">
        <v>233</v>
      </c>
      <c r="G1014" t="s">
        <v>565</v>
      </c>
    </row>
    <row r="1015" spans="1:7" ht="15" customHeight="1" x14ac:dyDescent="0.25">
      <c r="A1015" s="3">
        <v>45632</v>
      </c>
      <c r="B1015" s="4">
        <v>2024002945</v>
      </c>
      <c r="C1015" s="4" t="s">
        <v>772</v>
      </c>
      <c r="D1015" s="5">
        <v>3000000</v>
      </c>
      <c r="E1015" s="4">
        <v>1081592303</v>
      </c>
      <c r="F1015" s="4" t="s">
        <v>353</v>
      </c>
      <c r="G1015" t="s">
        <v>565</v>
      </c>
    </row>
    <row r="1016" spans="1:7" ht="15" customHeight="1" x14ac:dyDescent="0.25">
      <c r="A1016" s="3">
        <v>45632</v>
      </c>
      <c r="B1016" s="4">
        <v>2024002946</v>
      </c>
      <c r="C1016" s="4" t="s">
        <v>665</v>
      </c>
      <c r="D1016" s="5">
        <v>3000000</v>
      </c>
      <c r="E1016" s="4">
        <v>1085327701</v>
      </c>
      <c r="F1016" s="4" t="s">
        <v>85</v>
      </c>
      <c r="G1016" t="s">
        <v>565</v>
      </c>
    </row>
    <row r="1017" spans="1:7" ht="15" customHeight="1" x14ac:dyDescent="0.25">
      <c r="A1017" s="3">
        <v>45632</v>
      </c>
      <c r="B1017" s="4">
        <v>2024002947</v>
      </c>
      <c r="C1017" s="4" t="s">
        <v>640</v>
      </c>
      <c r="D1017" s="5">
        <v>3000000</v>
      </c>
      <c r="E1017" s="4">
        <v>1004592366</v>
      </c>
      <c r="F1017" s="4" t="s">
        <v>123</v>
      </c>
      <c r="G1017" t="s">
        <v>565</v>
      </c>
    </row>
    <row r="1018" spans="1:7" ht="15" customHeight="1" x14ac:dyDescent="0.25">
      <c r="A1018" s="3">
        <v>45635</v>
      </c>
      <c r="B1018" s="4">
        <v>2024002950</v>
      </c>
      <c r="C1018" s="4" t="s">
        <v>695</v>
      </c>
      <c r="D1018" s="5">
        <v>3000000</v>
      </c>
      <c r="E1018" s="4">
        <v>59837416</v>
      </c>
      <c r="F1018" s="4" t="s">
        <v>395</v>
      </c>
      <c r="G1018" t="s">
        <v>565</v>
      </c>
    </row>
    <row r="1019" spans="1:7" ht="15" customHeight="1" x14ac:dyDescent="0.25">
      <c r="A1019" s="3">
        <v>45635</v>
      </c>
      <c r="B1019" s="4">
        <v>2024002951</v>
      </c>
      <c r="C1019" s="4" t="s">
        <v>676</v>
      </c>
      <c r="D1019" s="5">
        <v>4750000</v>
      </c>
      <c r="E1019" s="4">
        <v>1085293619</v>
      </c>
      <c r="F1019" s="4" t="s">
        <v>155</v>
      </c>
      <c r="G1019" t="s">
        <v>565</v>
      </c>
    </row>
    <row r="1020" spans="1:7" ht="15" customHeight="1" x14ac:dyDescent="0.25">
      <c r="A1020" s="3">
        <v>45635</v>
      </c>
      <c r="B1020" s="4">
        <v>2024002952</v>
      </c>
      <c r="C1020" s="4" t="s">
        <v>767</v>
      </c>
      <c r="D1020" s="5">
        <v>4750000</v>
      </c>
      <c r="E1020" s="4">
        <v>59651018</v>
      </c>
      <c r="F1020" s="4" t="s">
        <v>493</v>
      </c>
      <c r="G1020" t="s">
        <v>565</v>
      </c>
    </row>
    <row r="1021" spans="1:7" ht="15" customHeight="1" x14ac:dyDescent="0.25">
      <c r="A1021" s="3">
        <v>45635</v>
      </c>
      <c r="B1021" s="4">
        <v>2024002953</v>
      </c>
      <c r="C1021" s="4" t="s">
        <v>694</v>
      </c>
      <c r="D1021" s="5">
        <v>2500000</v>
      </c>
      <c r="E1021" s="4">
        <v>1085338232</v>
      </c>
      <c r="F1021" s="4" t="s">
        <v>287</v>
      </c>
      <c r="G1021" t="s">
        <v>565</v>
      </c>
    </row>
    <row r="1022" spans="1:7" ht="15" customHeight="1" x14ac:dyDescent="0.25">
      <c r="A1022" s="3">
        <v>45635</v>
      </c>
      <c r="B1022" s="4">
        <v>2024002954</v>
      </c>
      <c r="C1022" s="4" t="s">
        <v>599</v>
      </c>
      <c r="D1022" s="5">
        <v>7540000</v>
      </c>
      <c r="E1022" s="4">
        <v>1085304670</v>
      </c>
      <c r="F1022" s="4" t="s">
        <v>161</v>
      </c>
      <c r="G1022" t="s">
        <v>565</v>
      </c>
    </row>
    <row r="1023" spans="1:7" ht="15" customHeight="1" x14ac:dyDescent="0.25">
      <c r="A1023" s="3">
        <v>45635</v>
      </c>
      <c r="B1023" s="4">
        <v>2024002955</v>
      </c>
      <c r="C1023" s="4" t="s">
        <v>741</v>
      </c>
      <c r="D1023" s="5">
        <v>3000000</v>
      </c>
      <c r="E1023" s="4">
        <v>1085317833</v>
      </c>
      <c r="F1023" s="4" t="s">
        <v>11</v>
      </c>
      <c r="G1023" t="s">
        <v>565</v>
      </c>
    </row>
    <row r="1024" spans="1:7" ht="15" customHeight="1" x14ac:dyDescent="0.25">
      <c r="A1024" s="3">
        <v>45635</v>
      </c>
      <c r="B1024" s="4">
        <v>2024002956</v>
      </c>
      <c r="C1024" s="4" t="s">
        <v>691</v>
      </c>
      <c r="D1024" s="5">
        <v>3000000</v>
      </c>
      <c r="E1024" s="4">
        <v>1030606749</v>
      </c>
      <c r="F1024" s="4" t="s">
        <v>387</v>
      </c>
      <c r="G1024" t="s">
        <v>565</v>
      </c>
    </row>
    <row r="1025" spans="1:7" ht="15" customHeight="1" x14ac:dyDescent="0.25">
      <c r="A1025" s="3">
        <v>45635</v>
      </c>
      <c r="B1025" s="4">
        <v>2024002957</v>
      </c>
      <c r="C1025" s="4" t="s">
        <v>708</v>
      </c>
      <c r="D1025" s="5">
        <v>4750000</v>
      </c>
      <c r="E1025" s="4">
        <v>1085330309</v>
      </c>
      <c r="F1025" s="4" t="s">
        <v>249</v>
      </c>
      <c r="G1025" t="s">
        <v>565</v>
      </c>
    </row>
    <row r="1026" spans="1:7" ht="15" customHeight="1" x14ac:dyDescent="0.25">
      <c r="A1026" s="3">
        <v>45635</v>
      </c>
      <c r="B1026" s="4">
        <v>2024002958</v>
      </c>
      <c r="C1026" s="4" t="s">
        <v>925</v>
      </c>
      <c r="D1026" s="5">
        <v>4825000</v>
      </c>
      <c r="E1026" s="4">
        <v>1004508471</v>
      </c>
      <c r="F1026" s="4" t="s">
        <v>926</v>
      </c>
      <c r="G1026" t="s">
        <v>565</v>
      </c>
    </row>
    <row r="1027" spans="1:7" ht="15" customHeight="1" x14ac:dyDescent="0.25">
      <c r="A1027" s="3">
        <v>45635</v>
      </c>
      <c r="B1027" s="4">
        <v>2024002959</v>
      </c>
      <c r="C1027" s="4" t="s">
        <v>933</v>
      </c>
      <c r="D1027" s="5">
        <v>3000000</v>
      </c>
      <c r="E1027" s="4">
        <v>1085325718</v>
      </c>
      <c r="F1027" s="4" t="s">
        <v>301</v>
      </c>
      <c r="G1027" t="s">
        <v>565</v>
      </c>
    </row>
    <row r="1028" spans="1:7" ht="15" customHeight="1" x14ac:dyDescent="0.25">
      <c r="A1028" s="3">
        <v>45635</v>
      </c>
      <c r="B1028" s="4">
        <v>2024002960</v>
      </c>
      <c r="C1028" s="4" t="s">
        <v>683</v>
      </c>
      <c r="D1028" s="5">
        <v>4825000</v>
      </c>
      <c r="E1028" s="4">
        <v>1193385736</v>
      </c>
      <c r="F1028" s="4" t="s">
        <v>57</v>
      </c>
      <c r="G1028" t="s">
        <v>565</v>
      </c>
    </row>
    <row r="1029" spans="1:7" ht="15" customHeight="1" x14ac:dyDescent="0.25">
      <c r="A1029" s="3">
        <v>45635</v>
      </c>
      <c r="B1029" s="4">
        <v>2024002961</v>
      </c>
      <c r="C1029" s="4" t="s">
        <v>874</v>
      </c>
      <c r="D1029" s="5">
        <v>3000000</v>
      </c>
      <c r="E1029" s="4">
        <v>27088197</v>
      </c>
      <c r="F1029" s="4" t="s">
        <v>875</v>
      </c>
      <c r="G1029" t="s">
        <v>565</v>
      </c>
    </row>
    <row r="1030" spans="1:7" ht="15" customHeight="1" x14ac:dyDescent="0.25">
      <c r="A1030" s="3">
        <v>45635</v>
      </c>
      <c r="B1030" s="4">
        <v>2024002962</v>
      </c>
      <c r="C1030" s="4" t="s">
        <v>947</v>
      </c>
      <c r="D1030" s="5">
        <v>6000000</v>
      </c>
      <c r="E1030" s="4">
        <v>1085266036</v>
      </c>
      <c r="F1030" s="4" t="s">
        <v>948</v>
      </c>
      <c r="G1030" t="s">
        <v>565</v>
      </c>
    </row>
    <row r="1031" spans="1:7" ht="15" customHeight="1" x14ac:dyDescent="0.25">
      <c r="A1031" s="3">
        <v>45635</v>
      </c>
      <c r="B1031" s="4">
        <v>2024002964</v>
      </c>
      <c r="C1031" s="4" t="s">
        <v>773</v>
      </c>
      <c r="D1031" s="5">
        <v>4825000</v>
      </c>
      <c r="E1031" s="4">
        <v>1085267184</v>
      </c>
      <c r="F1031" s="4" t="s">
        <v>247</v>
      </c>
      <c r="G1031" t="s">
        <v>565</v>
      </c>
    </row>
    <row r="1032" spans="1:7" ht="15" customHeight="1" x14ac:dyDescent="0.25">
      <c r="A1032" s="3">
        <v>45635</v>
      </c>
      <c r="B1032" s="4">
        <v>2024002965</v>
      </c>
      <c r="C1032" s="4" t="s">
        <v>949</v>
      </c>
      <c r="D1032" s="5">
        <v>800000</v>
      </c>
      <c r="E1032" s="4">
        <v>1081272318</v>
      </c>
      <c r="F1032" s="4" t="s">
        <v>950</v>
      </c>
      <c r="G1032" t="s">
        <v>565</v>
      </c>
    </row>
    <row r="1033" spans="1:7" ht="15" customHeight="1" x14ac:dyDescent="0.25">
      <c r="A1033" s="3">
        <v>45635</v>
      </c>
      <c r="B1033" s="4">
        <v>2024002966</v>
      </c>
      <c r="C1033" s="4" t="s">
        <v>847</v>
      </c>
      <c r="D1033" s="5">
        <v>4825000</v>
      </c>
      <c r="E1033" s="4">
        <v>1085324891</v>
      </c>
      <c r="F1033" s="4" t="s">
        <v>509</v>
      </c>
      <c r="G1033" t="s">
        <v>565</v>
      </c>
    </row>
    <row r="1034" spans="1:7" ht="15" customHeight="1" x14ac:dyDescent="0.25">
      <c r="A1034" s="3">
        <v>45635</v>
      </c>
      <c r="B1034" s="4">
        <v>2024002967</v>
      </c>
      <c r="C1034" s="4" t="s">
        <v>771</v>
      </c>
      <c r="D1034" s="5">
        <v>2500000</v>
      </c>
      <c r="E1034" s="4">
        <v>1085327836</v>
      </c>
      <c r="F1034" s="4" t="s">
        <v>283</v>
      </c>
      <c r="G1034" t="s">
        <v>565</v>
      </c>
    </row>
    <row r="1035" spans="1:7" ht="15" customHeight="1" x14ac:dyDescent="0.25">
      <c r="A1035" s="3">
        <v>45635</v>
      </c>
      <c r="B1035" s="4">
        <v>2024002968</v>
      </c>
      <c r="C1035" s="4" t="s">
        <v>763</v>
      </c>
      <c r="D1035" s="5">
        <v>3000000</v>
      </c>
      <c r="E1035" s="4">
        <v>36752202</v>
      </c>
      <c r="F1035" s="4" t="s">
        <v>263</v>
      </c>
      <c r="G1035" t="s">
        <v>565</v>
      </c>
    </row>
    <row r="1036" spans="1:7" ht="15" customHeight="1" x14ac:dyDescent="0.25">
      <c r="A1036" s="3">
        <v>45635</v>
      </c>
      <c r="B1036" s="4">
        <v>2024002969</v>
      </c>
      <c r="C1036" s="4" t="s">
        <v>783</v>
      </c>
      <c r="D1036" s="5">
        <v>2500000</v>
      </c>
      <c r="E1036" s="4">
        <v>1233189896</v>
      </c>
      <c r="F1036" s="4" t="s">
        <v>279</v>
      </c>
      <c r="G1036" t="s">
        <v>565</v>
      </c>
    </row>
    <row r="1037" spans="1:7" ht="15" customHeight="1" x14ac:dyDescent="0.25">
      <c r="A1037" s="3">
        <v>45635</v>
      </c>
      <c r="B1037" s="4">
        <v>2024002970</v>
      </c>
      <c r="C1037" s="4" t="s">
        <v>685</v>
      </c>
      <c r="D1037" s="5">
        <v>6000000</v>
      </c>
      <c r="E1037" s="4">
        <v>1089242085</v>
      </c>
      <c r="F1037" s="4" t="s">
        <v>19</v>
      </c>
      <c r="G1037" t="s">
        <v>565</v>
      </c>
    </row>
    <row r="1038" spans="1:7" ht="15" customHeight="1" x14ac:dyDescent="0.25">
      <c r="A1038" s="3">
        <v>45635</v>
      </c>
      <c r="B1038" s="4">
        <v>2024002971</v>
      </c>
      <c r="C1038" s="4" t="s">
        <v>951</v>
      </c>
      <c r="D1038" s="5">
        <v>7540000</v>
      </c>
      <c r="E1038" s="4">
        <v>1085251158</v>
      </c>
      <c r="F1038" s="4" t="s">
        <v>952</v>
      </c>
      <c r="G1038" t="s">
        <v>565</v>
      </c>
    </row>
    <row r="1039" spans="1:7" ht="15" customHeight="1" x14ac:dyDescent="0.25">
      <c r="A1039" s="3">
        <v>45635</v>
      </c>
      <c r="B1039" s="4">
        <v>2024002972</v>
      </c>
      <c r="C1039" s="4" t="s">
        <v>733</v>
      </c>
      <c r="D1039" s="5">
        <v>3000000</v>
      </c>
      <c r="E1039" s="4">
        <v>1085327677</v>
      </c>
      <c r="F1039" s="4" t="s">
        <v>215</v>
      </c>
      <c r="G1039" t="s">
        <v>565</v>
      </c>
    </row>
    <row r="1040" spans="1:7" ht="15" customHeight="1" x14ac:dyDescent="0.25">
      <c r="A1040" s="3">
        <v>45635</v>
      </c>
      <c r="B1040" s="4">
        <v>2024002973</v>
      </c>
      <c r="C1040" s="4" t="s">
        <v>727</v>
      </c>
      <c r="D1040" s="5">
        <v>2500000</v>
      </c>
      <c r="E1040" s="4">
        <v>1085310465</v>
      </c>
      <c r="F1040" s="4" t="s">
        <v>307</v>
      </c>
      <c r="G1040" t="s">
        <v>565</v>
      </c>
    </row>
    <row r="1041" spans="1:7" ht="15" customHeight="1" x14ac:dyDescent="0.25">
      <c r="A1041" s="3">
        <v>45635</v>
      </c>
      <c r="B1041" s="4">
        <v>2024002974</v>
      </c>
      <c r="C1041" s="4" t="s">
        <v>794</v>
      </c>
      <c r="D1041" s="5">
        <v>7540000</v>
      </c>
      <c r="E1041" s="4">
        <v>1193202097</v>
      </c>
      <c r="F1041" s="4" t="s">
        <v>163</v>
      </c>
      <c r="G1041" t="s">
        <v>565</v>
      </c>
    </row>
    <row r="1042" spans="1:7" ht="15" customHeight="1" x14ac:dyDescent="0.25">
      <c r="A1042" s="3">
        <v>45635</v>
      </c>
      <c r="B1042" s="4">
        <v>2024002975</v>
      </c>
      <c r="C1042" s="4" t="s">
        <v>953</v>
      </c>
      <c r="D1042" s="5">
        <v>6000000</v>
      </c>
      <c r="E1042" s="4">
        <v>1087420025</v>
      </c>
      <c r="F1042" s="4" t="s">
        <v>954</v>
      </c>
      <c r="G1042" t="s">
        <v>565</v>
      </c>
    </row>
    <row r="1043" spans="1:7" ht="15" customHeight="1" x14ac:dyDescent="0.25">
      <c r="A1043" s="3">
        <v>45635</v>
      </c>
      <c r="B1043" s="4">
        <v>2024002976</v>
      </c>
      <c r="C1043" s="4" t="s">
        <v>738</v>
      </c>
      <c r="D1043" s="5">
        <v>3000000</v>
      </c>
      <c r="E1043" s="4">
        <v>1004726758</v>
      </c>
      <c r="F1043" s="4" t="s">
        <v>365</v>
      </c>
      <c r="G1043" t="s">
        <v>565</v>
      </c>
    </row>
    <row r="1044" spans="1:7" ht="15" customHeight="1" x14ac:dyDescent="0.25">
      <c r="A1044" s="3">
        <v>45635</v>
      </c>
      <c r="B1044" s="4">
        <v>2024002981</v>
      </c>
      <c r="C1044" s="4" t="s">
        <v>806</v>
      </c>
      <c r="D1044" s="5">
        <v>4750000</v>
      </c>
      <c r="E1044" s="4">
        <v>1085345772</v>
      </c>
      <c r="F1044" s="4" t="s">
        <v>221</v>
      </c>
      <c r="G1044" t="s">
        <v>565</v>
      </c>
    </row>
    <row r="1045" spans="1:7" ht="15" customHeight="1" x14ac:dyDescent="0.25">
      <c r="A1045" s="3">
        <v>45635</v>
      </c>
      <c r="B1045" s="4">
        <v>2024002982</v>
      </c>
      <c r="C1045" s="4" t="s">
        <v>955</v>
      </c>
      <c r="D1045" s="5">
        <v>2500000</v>
      </c>
      <c r="E1045" s="4">
        <v>36950441</v>
      </c>
      <c r="F1045" s="4" t="s">
        <v>956</v>
      </c>
      <c r="G1045" t="s">
        <v>565</v>
      </c>
    </row>
    <row r="1046" spans="1:7" ht="15" customHeight="1" x14ac:dyDescent="0.25">
      <c r="A1046" s="3">
        <v>45636</v>
      </c>
      <c r="B1046" s="4">
        <v>2024002985</v>
      </c>
      <c r="C1046" s="4" t="s">
        <v>957</v>
      </c>
      <c r="D1046" s="5">
        <v>2733600</v>
      </c>
      <c r="E1046" s="4">
        <v>31324345</v>
      </c>
      <c r="F1046" s="4" t="s">
        <v>958</v>
      </c>
      <c r="G1046" t="s">
        <v>565</v>
      </c>
    </row>
    <row r="1047" spans="1:7" ht="15" customHeight="1" x14ac:dyDescent="0.25">
      <c r="A1047" s="3">
        <v>45636</v>
      </c>
      <c r="B1047" s="4">
        <v>2024002986</v>
      </c>
      <c r="C1047" s="4" t="s">
        <v>752</v>
      </c>
      <c r="D1047" s="5">
        <v>7540000</v>
      </c>
      <c r="E1047" s="4">
        <v>1233189066</v>
      </c>
      <c r="F1047" s="4" t="s">
        <v>239</v>
      </c>
      <c r="G1047" t="s">
        <v>565</v>
      </c>
    </row>
    <row r="1048" spans="1:7" ht="15" customHeight="1" x14ac:dyDescent="0.25">
      <c r="A1048" s="3">
        <v>45636</v>
      </c>
      <c r="B1048" s="4">
        <v>2024002995</v>
      </c>
      <c r="C1048" s="4" t="s">
        <v>959</v>
      </c>
      <c r="D1048" s="5">
        <v>3000000</v>
      </c>
      <c r="E1048" s="4">
        <v>1085286725</v>
      </c>
      <c r="F1048" s="4" t="s">
        <v>111</v>
      </c>
      <c r="G1048" t="s">
        <v>565</v>
      </c>
    </row>
    <row r="1049" spans="1:7" ht="15" customHeight="1" x14ac:dyDescent="0.25">
      <c r="A1049" s="3">
        <v>45636</v>
      </c>
      <c r="B1049" s="4">
        <v>2024002996</v>
      </c>
      <c r="C1049" s="4" t="s">
        <v>795</v>
      </c>
      <c r="D1049" s="5">
        <v>3000000</v>
      </c>
      <c r="E1049" s="4">
        <v>1007356378</v>
      </c>
      <c r="F1049" s="4" t="s">
        <v>45</v>
      </c>
      <c r="G1049" t="s">
        <v>565</v>
      </c>
    </row>
    <row r="1050" spans="1:7" ht="15" customHeight="1" x14ac:dyDescent="0.25">
      <c r="A1050" s="3">
        <v>45636</v>
      </c>
      <c r="B1050" s="4">
        <v>2024002997</v>
      </c>
      <c r="C1050" s="4" t="s">
        <v>831</v>
      </c>
      <c r="D1050" s="5">
        <v>3000000</v>
      </c>
      <c r="E1050" s="4">
        <v>27087122</v>
      </c>
      <c r="F1050" s="4" t="s">
        <v>37</v>
      </c>
      <c r="G1050" t="s">
        <v>565</v>
      </c>
    </row>
    <row r="1051" spans="1:7" ht="15" customHeight="1" x14ac:dyDescent="0.25">
      <c r="A1051" s="3">
        <v>45636</v>
      </c>
      <c r="B1051" s="4">
        <v>2024002998</v>
      </c>
      <c r="C1051" s="4" t="s">
        <v>662</v>
      </c>
      <c r="D1051" s="5">
        <v>2500000</v>
      </c>
      <c r="E1051" s="4">
        <v>1085330079</v>
      </c>
      <c r="F1051" s="4" t="s">
        <v>293</v>
      </c>
      <c r="G1051" t="s">
        <v>565</v>
      </c>
    </row>
    <row r="1052" spans="1:7" ht="15" customHeight="1" x14ac:dyDescent="0.25">
      <c r="A1052" s="3">
        <v>45636</v>
      </c>
      <c r="B1052" s="4">
        <v>2024002999</v>
      </c>
      <c r="C1052" s="4" t="s">
        <v>706</v>
      </c>
      <c r="D1052" s="5">
        <v>7500000</v>
      </c>
      <c r="E1052" s="4">
        <v>1088599676</v>
      </c>
      <c r="F1052" s="4" t="s">
        <v>421</v>
      </c>
      <c r="G1052" t="s">
        <v>565</v>
      </c>
    </row>
    <row r="1053" spans="1:7" ht="15" customHeight="1" x14ac:dyDescent="0.25">
      <c r="A1053" s="3">
        <v>45636</v>
      </c>
      <c r="B1053" s="4">
        <v>2024003001</v>
      </c>
      <c r="C1053" s="4" t="s">
        <v>960</v>
      </c>
      <c r="D1053" s="5">
        <v>4750000</v>
      </c>
      <c r="E1053" s="4">
        <v>1233188873</v>
      </c>
      <c r="F1053" s="4" t="s">
        <v>961</v>
      </c>
      <c r="G1053" t="s">
        <v>565</v>
      </c>
    </row>
    <row r="1054" spans="1:7" ht="15" customHeight="1" x14ac:dyDescent="0.25">
      <c r="A1054" s="3">
        <v>45636</v>
      </c>
      <c r="B1054" s="4">
        <v>2024003002</v>
      </c>
      <c r="C1054" s="4" t="s">
        <v>962</v>
      </c>
      <c r="D1054" s="5">
        <v>3000000</v>
      </c>
      <c r="E1054" s="4">
        <v>1081272656</v>
      </c>
      <c r="F1054" s="4" t="s">
        <v>963</v>
      </c>
      <c r="G1054" t="s">
        <v>565</v>
      </c>
    </row>
    <row r="1055" spans="1:7" ht="15" customHeight="1" x14ac:dyDescent="0.25">
      <c r="A1055" s="3">
        <v>45637</v>
      </c>
      <c r="B1055" s="4">
        <v>2024003004</v>
      </c>
      <c r="C1055" s="4" t="s">
        <v>869</v>
      </c>
      <c r="D1055" s="5">
        <v>3000000</v>
      </c>
      <c r="E1055" s="4">
        <v>1004410201</v>
      </c>
      <c r="F1055" s="4" t="s">
        <v>403</v>
      </c>
      <c r="G1055" t="s">
        <v>565</v>
      </c>
    </row>
    <row r="1056" spans="1:7" ht="15" customHeight="1" x14ac:dyDescent="0.25">
      <c r="A1056" s="3">
        <v>45637</v>
      </c>
      <c r="B1056" s="4">
        <v>2024003005</v>
      </c>
      <c r="C1056" s="4" t="s">
        <v>644</v>
      </c>
      <c r="D1056" s="5">
        <v>55861750</v>
      </c>
      <c r="E1056" s="4">
        <v>900633448</v>
      </c>
      <c r="F1056" s="4" t="s">
        <v>165</v>
      </c>
      <c r="G1056" t="s">
        <v>565</v>
      </c>
    </row>
    <row r="1057" spans="1:7" ht="15" customHeight="1" x14ac:dyDescent="0.25">
      <c r="A1057" s="3">
        <v>45637</v>
      </c>
      <c r="B1057" s="4">
        <v>2024003006</v>
      </c>
      <c r="C1057" s="4" t="s">
        <v>635</v>
      </c>
      <c r="D1057" s="5">
        <v>85878450</v>
      </c>
      <c r="E1057" s="4">
        <v>900633448</v>
      </c>
      <c r="F1057" s="4" t="s">
        <v>165</v>
      </c>
      <c r="G1057" t="s">
        <v>565</v>
      </c>
    </row>
    <row r="1058" spans="1:7" ht="15" customHeight="1" x14ac:dyDescent="0.25">
      <c r="A1058" s="3">
        <v>45637</v>
      </c>
      <c r="B1058" s="4">
        <v>2024003007</v>
      </c>
      <c r="C1058" s="4" t="s">
        <v>830</v>
      </c>
      <c r="D1058" s="5">
        <v>2500000</v>
      </c>
      <c r="E1058" s="4">
        <v>1085289798</v>
      </c>
      <c r="F1058" s="4" t="s">
        <v>375</v>
      </c>
      <c r="G1058" t="s">
        <v>565</v>
      </c>
    </row>
    <row r="1059" spans="1:7" ht="15" customHeight="1" x14ac:dyDescent="0.25">
      <c r="A1059" s="3">
        <v>45637</v>
      </c>
      <c r="B1059" s="4">
        <v>2024003008</v>
      </c>
      <c r="C1059" s="4" t="s">
        <v>636</v>
      </c>
      <c r="D1059" s="5">
        <v>63773500</v>
      </c>
      <c r="E1059" s="4">
        <v>900633448</v>
      </c>
      <c r="F1059" s="4" t="s">
        <v>165</v>
      </c>
      <c r="G1059" t="s">
        <v>565</v>
      </c>
    </row>
    <row r="1060" spans="1:7" ht="15" customHeight="1" x14ac:dyDescent="0.25">
      <c r="A1060" s="3">
        <v>45637</v>
      </c>
      <c r="B1060" s="4">
        <v>2024003009</v>
      </c>
      <c r="C1060" s="4" t="s">
        <v>736</v>
      </c>
      <c r="D1060" s="5">
        <v>6000000</v>
      </c>
      <c r="E1060" s="4">
        <v>36954410</v>
      </c>
      <c r="F1060" s="4" t="s">
        <v>343</v>
      </c>
      <c r="G1060" t="s">
        <v>565</v>
      </c>
    </row>
    <row r="1061" spans="1:7" ht="15" customHeight="1" x14ac:dyDescent="0.25">
      <c r="A1061" s="3">
        <v>45637</v>
      </c>
      <c r="B1061" s="4">
        <v>2024003010</v>
      </c>
      <c r="C1061" s="4" t="s">
        <v>637</v>
      </c>
      <c r="D1061" s="5">
        <v>87508750</v>
      </c>
      <c r="E1061" s="4">
        <v>900633448</v>
      </c>
      <c r="F1061" s="4" t="s">
        <v>165</v>
      </c>
      <c r="G1061" t="s">
        <v>565</v>
      </c>
    </row>
    <row r="1062" spans="1:7" ht="15" customHeight="1" x14ac:dyDescent="0.25">
      <c r="A1062" s="3">
        <v>45637</v>
      </c>
      <c r="B1062" s="4">
        <v>2024003011</v>
      </c>
      <c r="C1062" s="4" t="s">
        <v>748</v>
      </c>
      <c r="D1062" s="5">
        <v>7540000</v>
      </c>
      <c r="E1062" s="4">
        <v>1085344794</v>
      </c>
      <c r="F1062" s="4" t="s">
        <v>749</v>
      </c>
      <c r="G1062" t="s">
        <v>565</v>
      </c>
    </row>
    <row r="1063" spans="1:7" ht="15" customHeight="1" x14ac:dyDescent="0.25">
      <c r="A1063" s="3">
        <v>45637</v>
      </c>
      <c r="B1063" s="4">
        <v>2024003012</v>
      </c>
      <c r="C1063" s="4" t="s">
        <v>885</v>
      </c>
      <c r="D1063" s="5">
        <v>3000000</v>
      </c>
      <c r="E1063" s="4">
        <v>1084224968</v>
      </c>
      <c r="F1063" s="4" t="s">
        <v>886</v>
      </c>
      <c r="G1063" t="s">
        <v>565</v>
      </c>
    </row>
    <row r="1064" spans="1:7" ht="15" customHeight="1" x14ac:dyDescent="0.25">
      <c r="A1064" s="3">
        <v>45637</v>
      </c>
      <c r="B1064" s="4">
        <v>2024003013</v>
      </c>
      <c r="C1064" s="4" t="s">
        <v>598</v>
      </c>
      <c r="D1064" s="5">
        <v>106164667</v>
      </c>
      <c r="E1064" s="4">
        <v>900994364</v>
      </c>
      <c r="F1064" s="4" t="s">
        <v>269</v>
      </c>
      <c r="G1064" t="s">
        <v>565</v>
      </c>
    </row>
    <row r="1065" spans="1:7" ht="15" customHeight="1" x14ac:dyDescent="0.25">
      <c r="A1065" s="3">
        <v>45637</v>
      </c>
      <c r="B1065" s="4">
        <v>2024003014</v>
      </c>
      <c r="C1065" s="4" t="s">
        <v>657</v>
      </c>
      <c r="D1065" s="5">
        <v>3000000</v>
      </c>
      <c r="E1065" s="4">
        <v>1081052746</v>
      </c>
      <c r="F1065" s="4" t="s">
        <v>658</v>
      </c>
      <c r="G1065" t="s">
        <v>565</v>
      </c>
    </row>
    <row r="1066" spans="1:7" ht="15" customHeight="1" x14ac:dyDescent="0.25">
      <c r="A1066" s="3">
        <v>45637</v>
      </c>
      <c r="B1066" s="4">
        <v>2024003016</v>
      </c>
      <c r="C1066" s="4" t="s">
        <v>744</v>
      </c>
      <c r="D1066" s="5">
        <v>7540000</v>
      </c>
      <c r="E1066" s="4">
        <v>1085293105</v>
      </c>
      <c r="F1066" s="4" t="s">
        <v>745</v>
      </c>
      <c r="G1066" t="s">
        <v>565</v>
      </c>
    </row>
    <row r="1067" spans="1:7" ht="15" customHeight="1" x14ac:dyDescent="0.25">
      <c r="A1067" s="3">
        <v>45637</v>
      </c>
      <c r="B1067" s="4">
        <v>2024003017</v>
      </c>
      <c r="C1067" s="4" t="s">
        <v>809</v>
      </c>
      <c r="D1067" s="5">
        <v>2500000</v>
      </c>
      <c r="E1067" s="4">
        <v>59830219</v>
      </c>
      <c r="F1067" s="4" t="s">
        <v>281</v>
      </c>
      <c r="G1067" t="s">
        <v>565</v>
      </c>
    </row>
    <row r="1068" spans="1:7" ht="15" customHeight="1" x14ac:dyDescent="0.25">
      <c r="A1068" s="3">
        <v>45637</v>
      </c>
      <c r="B1068" s="4">
        <v>2024003018</v>
      </c>
      <c r="C1068" s="4" t="s">
        <v>964</v>
      </c>
      <c r="D1068" s="5">
        <v>7540000</v>
      </c>
      <c r="E1068" s="4">
        <v>1085291725</v>
      </c>
      <c r="F1068" s="4" t="s">
        <v>965</v>
      </c>
      <c r="G1068" t="s">
        <v>565</v>
      </c>
    </row>
    <row r="1069" spans="1:7" ht="15" customHeight="1" x14ac:dyDescent="0.25">
      <c r="A1069" s="3">
        <v>45637</v>
      </c>
      <c r="B1069" s="4">
        <v>2024003019</v>
      </c>
      <c r="C1069" s="4" t="s">
        <v>916</v>
      </c>
      <c r="D1069" s="5">
        <v>3000000</v>
      </c>
      <c r="E1069" s="4">
        <v>30743783</v>
      </c>
      <c r="F1069" s="4" t="s">
        <v>504</v>
      </c>
      <c r="G1069" t="s">
        <v>565</v>
      </c>
    </row>
    <row r="1070" spans="1:7" ht="15" customHeight="1" x14ac:dyDescent="0.25">
      <c r="A1070" s="3">
        <v>45637</v>
      </c>
      <c r="B1070" s="4">
        <v>2024003020</v>
      </c>
      <c r="C1070" s="4" t="s">
        <v>715</v>
      </c>
      <c r="D1070" s="5">
        <v>3000000</v>
      </c>
      <c r="E1070" s="4">
        <v>1085318688</v>
      </c>
      <c r="F1070" s="4" t="s">
        <v>427</v>
      </c>
      <c r="G1070" t="s">
        <v>565</v>
      </c>
    </row>
    <row r="1071" spans="1:7" ht="15" customHeight="1" x14ac:dyDescent="0.25">
      <c r="A1071" s="3">
        <v>45637</v>
      </c>
      <c r="B1071" s="4">
        <v>2024003021</v>
      </c>
      <c r="C1071" s="4" t="s">
        <v>716</v>
      </c>
      <c r="D1071" s="5">
        <v>3000000</v>
      </c>
      <c r="E1071" s="4">
        <v>1085339190</v>
      </c>
      <c r="F1071" s="4" t="s">
        <v>149</v>
      </c>
      <c r="G1071" t="s">
        <v>565</v>
      </c>
    </row>
    <row r="1072" spans="1:7" ht="15" customHeight="1" x14ac:dyDescent="0.25">
      <c r="A1072" s="3">
        <v>45637</v>
      </c>
      <c r="B1072" s="4">
        <v>2024003022</v>
      </c>
      <c r="C1072" s="4" t="s">
        <v>801</v>
      </c>
      <c r="D1072" s="5">
        <v>2500000</v>
      </c>
      <c r="E1072" s="4">
        <v>12994466</v>
      </c>
      <c r="F1072" s="4" t="s">
        <v>802</v>
      </c>
      <c r="G1072" t="s">
        <v>565</v>
      </c>
    </row>
    <row r="1073" spans="1:7" ht="15" customHeight="1" x14ac:dyDescent="0.25">
      <c r="A1073" s="3">
        <v>45637</v>
      </c>
      <c r="B1073" s="4">
        <v>2024003023</v>
      </c>
      <c r="C1073" s="4" t="s">
        <v>892</v>
      </c>
      <c r="D1073" s="5">
        <v>3000000</v>
      </c>
      <c r="E1073" s="4">
        <v>13070330</v>
      </c>
      <c r="F1073" s="4" t="s">
        <v>101</v>
      </c>
      <c r="G1073" t="s">
        <v>565</v>
      </c>
    </row>
    <row r="1074" spans="1:7" ht="15" customHeight="1" x14ac:dyDescent="0.25">
      <c r="A1074" s="3">
        <v>45637</v>
      </c>
      <c r="B1074" s="4">
        <v>2024003024</v>
      </c>
      <c r="C1074" s="4" t="s">
        <v>714</v>
      </c>
      <c r="D1074" s="5">
        <v>4750000</v>
      </c>
      <c r="E1074" s="4">
        <v>59824313</v>
      </c>
      <c r="F1074" s="4" t="s">
        <v>151</v>
      </c>
      <c r="G1074" t="s">
        <v>565</v>
      </c>
    </row>
    <row r="1075" spans="1:7" ht="15" customHeight="1" x14ac:dyDescent="0.25">
      <c r="A1075" s="3">
        <v>45637</v>
      </c>
      <c r="B1075" s="4">
        <v>2024003025</v>
      </c>
      <c r="C1075" s="4" t="s">
        <v>704</v>
      </c>
      <c r="D1075" s="5">
        <v>4750000</v>
      </c>
      <c r="E1075" s="4">
        <v>36759759</v>
      </c>
      <c r="F1075" s="4" t="s">
        <v>705</v>
      </c>
      <c r="G1075" t="s">
        <v>565</v>
      </c>
    </row>
    <row r="1076" spans="1:7" ht="15" customHeight="1" x14ac:dyDescent="0.25">
      <c r="A1076" s="3">
        <v>45637</v>
      </c>
      <c r="B1076" s="4">
        <v>2024003026</v>
      </c>
      <c r="C1076" s="4" t="s">
        <v>853</v>
      </c>
      <c r="D1076" s="5">
        <v>4825000</v>
      </c>
      <c r="E1076" s="4">
        <v>1087643211</v>
      </c>
      <c r="F1076" s="4" t="s">
        <v>131</v>
      </c>
      <c r="G1076" t="s">
        <v>565</v>
      </c>
    </row>
    <row r="1077" spans="1:7" ht="15" customHeight="1" x14ac:dyDescent="0.25">
      <c r="A1077" s="3">
        <v>45637</v>
      </c>
      <c r="B1077" s="4">
        <v>2024003027</v>
      </c>
      <c r="C1077" s="4" t="s">
        <v>774</v>
      </c>
      <c r="D1077" s="5">
        <v>3000000</v>
      </c>
      <c r="E1077" s="4">
        <v>1081272025</v>
      </c>
      <c r="F1077" s="4" t="s">
        <v>59</v>
      </c>
      <c r="G1077" t="s">
        <v>565</v>
      </c>
    </row>
    <row r="1078" spans="1:7" ht="15" customHeight="1" x14ac:dyDescent="0.25">
      <c r="A1078" s="3">
        <v>45637</v>
      </c>
      <c r="B1078" s="4">
        <v>2024003028</v>
      </c>
      <c r="C1078" s="4" t="s">
        <v>775</v>
      </c>
      <c r="D1078" s="5">
        <v>3000000</v>
      </c>
      <c r="E1078" s="4">
        <v>1193385397</v>
      </c>
      <c r="F1078" s="4" t="s">
        <v>39</v>
      </c>
      <c r="G1078" t="s">
        <v>565</v>
      </c>
    </row>
    <row r="1079" spans="1:7" ht="15" customHeight="1" x14ac:dyDescent="0.25">
      <c r="A1079" s="3">
        <v>45637</v>
      </c>
      <c r="B1079" s="4">
        <v>2024003029</v>
      </c>
      <c r="C1079" s="4" t="s">
        <v>816</v>
      </c>
      <c r="D1079" s="5">
        <v>4750000</v>
      </c>
      <c r="E1079" s="4">
        <v>87060703</v>
      </c>
      <c r="F1079" s="4" t="s">
        <v>223</v>
      </c>
      <c r="G1079" t="s">
        <v>565</v>
      </c>
    </row>
    <row r="1080" spans="1:7" ht="15" customHeight="1" x14ac:dyDescent="0.25">
      <c r="A1080" s="3">
        <v>45637</v>
      </c>
      <c r="B1080" s="4">
        <v>2024003030</v>
      </c>
      <c r="C1080" s="4" t="s">
        <v>610</v>
      </c>
      <c r="D1080" s="5">
        <v>6000000</v>
      </c>
      <c r="E1080" s="4">
        <v>1085254626</v>
      </c>
      <c r="F1080" s="4" t="s">
        <v>143</v>
      </c>
      <c r="G1080" t="s">
        <v>565</v>
      </c>
    </row>
    <row r="1081" spans="1:7" ht="15" customHeight="1" x14ac:dyDescent="0.25">
      <c r="A1081" s="3">
        <v>45637</v>
      </c>
      <c r="B1081" s="4">
        <v>2024003031</v>
      </c>
      <c r="C1081" s="4" t="s">
        <v>646</v>
      </c>
      <c r="D1081" s="5">
        <v>7540000</v>
      </c>
      <c r="E1081" s="4">
        <v>1085332934</v>
      </c>
      <c r="F1081" s="4" t="s">
        <v>379</v>
      </c>
      <c r="G1081" t="s">
        <v>565</v>
      </c>
    </row>
    <row r="1082" spans="1:7" ht="15" customHeight="1" x14ac:dyDescent="0.25">
      <c r="A1082" s="3">
        <v>45637</v>
      </c>
      <c r="B1082" s="4">
        <v>2024003032</v>
      </c>
      <c r="C1082" s="4" t="s">
        <v>811</v>
      </c>
      <c r="D1082" s="5">
        <v>3000000</v>
      </c>
      <c r="E1082" s="4">
        <v>1085296353</v>
      </c>
      <c r="F1082" s="4" t="s">
        <v>187</v>
      </c>
      <c r="G1082" t="s">
        <v>565</v>
      </c>
    </row>
    <row r="1083" spans="1:7" ht="15" customHeight="1" x14ac:dyDescent="0.25">
      <c r="A1083" s="3">
        <v>45637</v>
      </c>
      <c r="B1083" s="4">
        <v>2024003033</v>
      </c>
      <c r="C1083" s="4" t="s">
        <v>709</v>
      </c>
      <c r="D1083" s="5">
        <v>4750000</v>
      </c>
      <c r="E1083" s="4">
        <v>1087414586</v>
      </c>
      <c r="F1083" s="4" t="s">
        <v>47</v>
      </c>
      <c r="G1083" t="s">
        <v>565</v>
      </c>
    </row>
    <row r="1084" spans="1:7" ht="15" customHeight="1" x14ac:dyDescent="0.25">
      <c r="A1084" s="3">
        <v>45637</v>
      </c>
      <c r="B1084" s="4">
        <v>2024003034</v>
      </c>
      <c r="C1084" s="4" t="s">
        <v>953</v>
      </c>
      <c r="D1084" s="5">
        <v>6000000</v>
      </c>
      <c r="E1084" s="4">
        <v>1087420025</v>
      </c>
      <c r="F1084" s="4" t="s">
        <v>954</v>
      </c>
      <c r="G1084" t="s">
        <v>565</v>
      </c>
    </row>
    <row r="1085" spans="1:7" ht="15" customHeight="1" x14ac:dyDescent="0.25">
      <c r="A1085" s="3">
        <v>45637</v>
      </c>
      <c r="B1085" s="4">
        <v>2024003035</v>
      </c>
      <c r="C1085" s="4" t="s">
        <v>888</v>
      </c>
      <c r="D1085" s="5">
        <v>7540000</v>
      </c>
      <c r="E1085" s="4">
        <v>1233193882</v>
      </c>
      <c r="F1085" s="4" t="s">
        <v>889</v>
      </c>
      <c r="G1085" t="s">
        <v>565</v>
      </c>
    </row>
    <row r="1086" spans="1:7" ht="15" customHeight="1" x14ac:dyDescent="0.25">
      <c r="A1086" s="3">
        <v>45637</v>
      </c>
      <c r="B1086" s="4">
        <v>2024003036</v>
      </c>
      <c r="C1086" s="4" t="s">
        <v>907</v>
      </c>
      <c r="D1086" s="5">
        <v>6000000</v>
      </c>
      <c r="E1086" s="4">
        <v>1004131723</v>
      </c>
      <c r="F1086" s="4" t="s">
        <v>908</v>
      </c>
      <c r="G1086" t="s">
        <v>565</v>
      </c>
    </row>
    <row r="1087" spans="1:7" ht="15" customHeight="1" x14ac:dyDescent="0.25">
      <c r="A1087" s="3">
        <v>45637</v>
      </c>
      <c r="B1087" s="4">
        <v>2024003040</v>
      </c>
      <c r="C1087" s="4" t="s">
        <v>607</v>
      </c>
      <c r="D1087" s="5">
        <v>3000000</v>
      </c>
      <c r="E1087" s="4">
        <v>1085295383</v>
      </c>
      <c r="F1087" s="4" t="s">
        <v>139</v>
      </c>
      <c r="G1087" t="s">
        <v>565</v>
      </c>
    </row>
    <row r="1088" spans="1:7" ht="15" customHeight="1" x14ac:dyDescent="0.25">
      <c r="A1088" s="3">
        <v>45637</v>
      </c>
      <c r="B1088" s="4">
        <v>2024003041</v>
      </c>
      <c r="C1088" s="4" t="s">
        <v>604</v>
      </c>
      <c r="D1088" s="5">
        <v>7540000</v>
      </c>
      <c r="E1088" s="4">
        <v>1085336362</v>
      </c>
      <c r="F1088" s="4" t="s">
        <v>41</v>
      </c>
      <c r="G1088" t="s">
        <v>565</v>
      </c>
    </row>
    <row r="1089" spans="1:7" ht="15" customHeight="1" x14ac:dyDescent="0.25">
      <c r="A1089" s="3">
        <v>45637</v>
      </c>
      <c r="B1089" s="4">
        <v>2024003042</v>
      </c>
      <c r="C1089" s="4" t="s">
        <v>734</v>
      </c>
      <c r="D1089" s="5">
        <v>4750000</v>
      </c>
      <c r="E1089" s="4">
        <v>1085343783</v>
      </c>
      <c r="F1089" s="4" t="s">
        <v>735</v>
      </c>
      <c r="G1089" t="s">
        <v>565</v>
      </c>
    </row>
    <row r="1090" spans="1:7" ht="15" customHeight="1" x14ac:dyDescent="0.25">
      <c r="A1090" s="3">
        <v>45637</v>
      </c>
      <c r="B1090" s="4">
        <v>2024003043</v>
      </c>
      <c r="C1090" s="4" t="s">
        <v>966</v>
      </c>
      <c r="D1090" s="5">
        <v>7540000</v>
      </c>
      <c r="E1090" s="4">
        <v>1085315800</v>
      </c>
      <c r="F1090" s="4" t="s">
        <v>967</v>
      </c>
      <c r="G1090" t="s">
        <v>565</v>
      </c>
    </row>
    <row r="1091" spans="1:7" ht="15" customHeight="1" x14ac:dyDescent="0.25">
      <c r="A1091" s="3">
        <v>45637</v>
      </c>
      <c r="B1091" s="4">
        <v>2024003044</v>
      </c>
      <c r="C1091" s="4" t="s">
        <v>968</v>
      </c>
      <c r="D1091" s="5">
        <v>7540000</v>
      </c>
      <c r="E1091" s="4">
        <v>1085327344</v>
      </c>
      <c r="F1091" s="4" t="s">
        <v>969</v>
      </c>
      <c r="G1091" t="s">
        <v>565</v>
      </c>
    </row>
    <row r="1092" spans="1:7" ht="15" customHeight="1" x14ac:dyDescent="0.25">
      <c r="A1092" s="3">
        <v>45637</v>
      </c>
      <c r="B1092" s="4">
        <v>2024003045</v>
      </c>
      <c r="C1092" s="4" t="s">
        <v>970</v>
      </c>
      <c r="D1092" s="5">
        <v>7540000</v>
      </c>
      <c r="E1092" s="4">
        <v>1085317791</v>
      </c>
      <c r="F1092" s="4" t="s">
        <v>971</v>
      </c>
      <c r="G1092" t="s">
        <v>565</v>
      </c>
    </row>
    <row r="1093" spans="1:7" ht="15" customHeight="1" x14ac:dyDescent="0.25">
      <c r="A1093" s="3">
        <v>45637</v>
      </c>
      <c r="B1093" s="4">
        <v>2024003046</v>
      </c>
      <c r="C1093" s="4" t="s">
        <v>972</v>
      </c>
      <c r="D1093" s="5">
        <v>4750000</v>
      </c>
      <c r="E1093" s="4">
        <v>59824800</v>
      </c>
      <c r="F1093" s="4" t="s">
        <v>973</v>
      </c>
      <c r="G1093" t="s">
        <v>565</v>
      </c>
    </row>
    <row r="1094" spans="1:7" ht="15" customHeight="1" x14ac:dyDescent="0.25">
      <c r="A1094" s="3">
        <v>45637</v>
      </c>
      <c r="B1094" s="4">
        <v>2024003047</v>
      </c>
      <c r="C1094" s="4" t="s">
        <v>974</v>
      </c>
      <c r="D1094" s="5">
        <v>6000000</v>
      </c>
      <c r="E1094" s="4">
        <v>79724257</v>
      </c>
      <c r="F1094" s="4" t="s">
        <v>425</v>
      </c>
      <c r="G1094" t="s">
        <v>565</v>
      </c>
    </row>
    <row r="1095" spans="1:7" ht="15" customHeight="1" x14ac:dyDescent="0.25">
      <c r="A1095" s="3">
        <v>45637</v>
      </c>
      <c r="B1095" s="4">
        <v>2024003048</v>
      </c>
      <c r="C1095" s="4" t="s">
        <v>975</v>
      </c>
      <c r="D1095" s="5">
        <v>916300</v>
      </c>
      <c r="E1095" s="4">
        <v>1085268450</v>
      </c>
      <c r="F1095" s="4" t="s">
        <v>976</v>
      </c>
      <c r="G1095" t="s">
        <v>565</v>
      </c>
    </row>
    <row r="1096" spans="1:7" ht="15" customHeight="1" x14ac:dyDescent="0.25">
      <c r="A1096" s="3">
        <v>45637</v>
      </c>
      <c r="B1096" s="4">
        <v>2024003049</v>
      </c>
      <c r="C1096" s="4" t="s">
        <v>944</v>
      </c>
      <c r="D1096" s="5">
        <v>2500000</v>
      </c>
      <c r="E1096" s="4">
        <v>36759281</v>
      </c>
      <c r="F1096" s="4" t="s">
        <v>341</v>
      </c>
      <c r="G1096" t="s">
        <v>565</v>
      </c>
    </row>
    <row r="1097" spans="1:7" ht="15" customHeight="1" x14ac:dyDescent="0.25">
      <c r="A1097" s="3">
        <v>45637</v>
      </c>
      <c r="B1097" s="4">
        <v>2024003050</v>
      </c>
      <c r="C1097" s="4" t="s">
        <v>977</v>
      </c>
      <c r="D1097" s="5">
        <v>4825000</v>
      </c>
      <c r="E1097" s="4">
        <v>59177204</v>
      </c>
      <c r="F1097" s="4" t="s">
        <v>978</v>
      </c>
      <c r="G1097" t="s">
        <v>565</v>
      </c>
    </row>
    <row r="1098" spans="1:7" ht="15" customHeight="1" x14ac:dyDescent="0.25">
      <c r="A1098" s="3">
        <v>45637</v>
      </c>
      <c r="B1098" s="4">
        <v>2024003051</v>
      </c>
      <c r="C1098" s="4" t="s">
        <v>979</v>
      </c>
      <c r="D1098" s="5">
        <v>4825000</v>
      </c>
      <c r="E1098" s="4">
        <v>1085306723</v>
      </c>
      <c r="F1098" s="4" t="s">
        <v>980</v>
      </c>
      <c r="G1098" t="s">
        <v>565</v>
      </c>
    </row>
    <row r="1099" spans="1:7" ht="15" customHeight="1" x14ac:dyDescent="0.25">
      <c r="A1099" s="3">
        <v>45637</v>
      </c>
      <c r="B1099" s="4">
        <v>2024003052</v>
      </c>
      <c r="C1099" s="4" t="s">
        <v>890</v>
      </c>
      <c r="D1099" s="5">
        <v>3000000</v>
      </c>
      <c r="E1099" s="4">
        <v>1085277516</v>
      </c>
      <c r="F1099" s="4" t="s">
        <v>891</v>
      </c>
      <c r="G1099" t="s">
        <v>565</v>
      </c>
    </row>
    <row r="1100" spans="1:7" ht="15" customHeight="1" x14ac:dyDescent="0.25">
      <c r="A1100" s="3">
        <v>45637</v>
      </c>
      <c r="B1100" s="4">
        <v>2024003053</v>
      </c>
      <c r="C1100" s="4" t="s">
        <v>692</v>
      </c>
      <c r="D1100" s="5">
        <v>3000000</v>
      </c>
      <c r="E1100" s="4">
        <v>1085275473</v>
      </c>
      <c r="F1100" s="4" t="s">
        <v>693</v>
      </c>
      <c r="G1100" t="s">
        <v>565</v>
      </c>
    </row>
    <row r="1101" spans="1:7" ht="15" customHeight="1" x14ac:dyDescent="0.25">
      <c r="A1101" s="3">
        <v>45637</v>
      </c>
      <c r="B1101" s="4">
        <v>2024003054</v>
      </c>
      <c r="C1101" s="4" t="s">
        <v>930</v>
      </c>
      <c r="D1101" s="5">
        <v>3000000</v>
      </c>
      <c r="E1101" s="4">
        <v>1085322676</v>
      </c>
      <c r="F1101" s="4" t="s">
        <v>931</v>
      </c>
      <c r="G1101" t="s">
        <v>565</v>
      </c>
    </row>
    <row r="1102" spans="1:7" ht="15" customHeight="1" x14ac:dyDescent="0.25">
      <c r="A1102" s="3">
        <v>45637</v>
      </c>
      <c r="B1102" s="4">
        <v>2024003055</v>
      </c>
      <c r="C1102" s="4" t="s">
        <v>675</v>
      </c>
      <c r="D1102" s="5">
        <v>3000000</v>
      </c>
      <c r="E1102" s="4">
        <v>59830040</v>
      </c>
      <c r="F1102" s="4" t="s">
        <v>297</v>
      </c>
      <c r="G1102" t="s">
        <v>565</v>
      </c>
    </row>
    <row r="1103" spans="1:7" ht="15" customHeight="1" x14ac:dyDescent="0.25">
      <c r="A1103" s="3">
        <v>45637</v>
      </c>
      <c r="B1103" s="4">
        <v>2024003056</v>
      </c>
      <c r="C1103" s="4" t="s">
        <v>778</v>
      </c>
      <c r="D1103" s="5">
        <v>3000000</v>
      </c>
      <c r="E1103" s="4">
        <v>1085324685</v>
      </c>
      <c r="F1103" s="4" t="s">
        <v>779</v>
      </c>
      <c r="G1103" t="s">
        <v>565</v>
      </c>
    </row>
    <row r="1104" spans="1:7" ht="15" customHeight="1" x14ac:dyDescent="0.25">
      <c r="A1104" s="3">
        <v>45637</v>
      </c>
      <c r="B1104" s="4">
        <v>2024003057</v>
      </c>
      <c r="C1104" s="4" t="s">
        <v>923</v>
      </c>
      <c r="D1104" s="5">
        <v>3000000</v>
      </c>
      <c r="E1104" s="4">
        <v>1085310350</v>
      </c>
      <c r="F1104" s="4" t="s">
        <v>924</v>
      </c>
      <c r="G1104" t="s">
        <v>565</v>
      </c>
    </row>
    <row r="1105" spans="1:7" ht="15" customHeight="1" x14ac:dyDescent="0.25">
      <c r="A1105" s="3">
        <v>45638</v>
      </c>
      <c r="B1105" s="4">
        <v>2024003058</v>
      </c>
      <c r="C1105" s="4" t="s">
        <v>742</v>
      </c>
      <c r="D1105" s="5">
        <v>3000000</v>
      </c>
      <c r="E1105" s="4">
        <v>1004709928</v>
      </c>
      <c r="F1105" s="4" t="s">
        <v>289</v>
      </c>
      <c r="G1105" t="s">
        <v>565</v>
      </c>
    </row>
    <row r="1106" spans="1:7" ht="15" customHeight="1" x14ac:dyDescent="0.25">
      <c r="A1106" s="3">
        <v>45638</v>
      </c>
      <c r="B1106" s="4">
        <v>2024003059</v>
      </c>
      <c r="C1106" s="4" t="s">
        <v>981</v>
      </c>
      <c r="D1106" s="5">
        <v>2200000</v>
      </c>
      <c r="E1106" s="4">
        <v>1233193716</v>
      </c>
      <c r="F1106" s="4" t="s">
        <v>597</v>
      </c>
      <c r="G1106" t="s">
        <v>565</v>
      </c>
    </row>
    <row r="1107" spans="1:7" ht="15" customHeight="1" x14ac:dyDescent="0.25">
      <c r="A1107" s="3">
        <v>45638</v>
      </c>
      <c r="B1107" s="4">
        <v>2024003060</v>
      </c>
      <c r="C1107" s="4" t="s">
        <v>919</v>
      </c>
      <c r="D1107" s="5">
        <v>3000000</v>
      </c>
      <c r="E1107" s="4">
        <v>1085260568</v>
      </c>
      <c r="F1107" s="4" t="s">
        <v>419</v>
      </c>
      <c r="G1107" t="s">
        <v>565</v>
      </c>
    </row>
    <row r="1108" spans="1:7" ht="15" customHeight="1" x14ac:dyDescent="0.25">
      <c r="A1108" s="3">
        <v>45638</v>
      </c>
      <c r="B1108" s="4">
        <v>2024003061</v>
      </c>
      <c r="C1108" s="4" t="s">
        <v>982</v>
      </c>
      <c r="D1108" s="5">
        <v>7540000</v>
      </c>
      <c r="E1108" s="4">
        <v>1085262570</v>
      </c>
      <c r="F1108" s="4" t="s">
        <v>983</v>
      </c>
      <c r="G1108" t="s">
        <v>565</v>
      </c>
    </row>
    <row r="1109" spans="1:7" ht="15" customHeight="1" x14ac:dyDescent="0.25">
      <c r="A1109" s="3">
        <v>45638</v>
      </c>
      <c r="B1109" s="4">
        <v>2024003062</v>
      </c>
      <c r="C1109" s="4" t="s">
        <v>857</v>
      </c>
      <c r="D1109" s="5">
        <v>2500000</v>
      </c>
      <c r="E1109" s="4">
        <v>37082480</v>
      </c>
      <c r="F1109" s="4" t="s">
        <v>858</v>
      </c>
      <c r="G1109" t="s">
        <v>565</v>
      </c>
    </row>
    <row r="1110" spans="1:7" ht="15" customHeight="1" x14ac:dyDescent="0.25">
      <c r="A1110" s="3">
        <v>45638</v>
      </c>
      <c r="B1110" s="4">
        <v>2024003063</v>
      </c>
      <c r="C1110" s="4" t="s">
        <v>720</v>
      </c>
      <c r="D1110" s="5">
        <v>4825000</v>
      </c>
      <c r="E1110" s="4">
        <v>87062845</v>
      </c>
      <c r="F1110" s="4" t="s">
        <v>133</v>
      </c>
      <c r="G1110" t="s">
        <v>565</v>
      </c>
    </row>
    <row r="1111" spans="1:7" ht="15" customHeight="1" x14ac:dyDescent="0.25">
      <c r="A1111" s="3">
        <v>45638</v>
      </c>
      <c r="B1111" s="4">
        <v>2024003064</v>
      </c>
      <c r="C1111" s="4" t="s">
        <v>860</v>
      </c>
      <c r="D1111" s="5">
        <v>6000000</v>
      </c>
      <c r="E1111" s="4">
        <v>1085337232</v>
      </c>
      <c r="F1111" s="4" t="s">
        <v>89</v>
      </c>
      <c r="G1111" t="s">
        <v>565</v>
      </c>
    </row>
    <row r="1112" spans="1:7" ht="15" customHeight="1" x14ac:dyDescent="0.25">
      <c r="A1112" s="3">
        <v>45638</v>
      </c>
      <c r="B1112" s="4">
        <v>2024003065</v>
      </c>
      <c r="C1112" s="4" t="s">
        <v>739</v>
      </c>
      <c r="D1112" s="5">
        <v>2500000</v>
      </c>
      <c r="E1112" s="4">
        <v>27090145</v>
      </c>
      <c r="F1112" s="4" t="s">
        <v>357</v>
      </c>
      <c r="G1112" t="s">
        <v>565</v>
      </c>
    </row>
    <row r="1113" spans="1:7" ht="15" customHeight="1" x14ac:dyDescent="0.25">
      <c r="A1113" s="3">
        <v>45638</v>
      </c>
      <c r="B1113" s="4">
        <v>2024003066</v>
      </c>
      <c r="C1113" s="4" t="s">
        <v>834</v>
      </c>
      <c r="D1113" s="5">
        <v>7540000</v>
      </c>
      <c r="E1113" s="4">
        <v>1085335767</v>
      </c>
      <c r="F1113" s="4" t="s">
        <v>231</v>
      </c>
      <c r="G1113" t="s">
        <v>565</v>
      </c>
    </row>
    <row r="1114" spans="1:7" ht="15" customHeight="1" x14ac:dyDescent="0.25">
      <c r="A1114" s="3">
        <v>45638</v>
      </c>
      <c r="B1114" s="4">
        <v>2024003067</v>
      </c>
      <c r="C1114" s="4" t="s">
        <v>601</v>
      </c>
      <c r="D1114" s="5">
        <v>6000000</v>
      </c>
      <c r="E1114" s="4">
        <v>27097289</v>
      </c>
      <c r="F1114" s="4" t="s">
        <v>49</v>
      </c>
      <c r="G1114" t="s">
        <v>565</v>
      </c>
    </row>
    <row r="1115" spans="1:7" ht="15" customHeight="1" x14ac:dyDescent="0.25">
      <c r="A1115" s="3">
        <v>45638</v>
      </c>
      <c r="B1115" s="4">
        <v>2024003068</v>
      </c>
      <c r="C1115" s="4" t="s">
        <v>867</v>
      </c>
      <c r="D1115" s="5">
        <v>4825000</v>
      </c>
      <c r="E1115" s="4">
        <v>1085291221</v>
      </c>
      <c r="F1115" s="4" t="s">
        <v>93</v>
      </c>
      <c r="G1115" t="s">
        <v>565</v>
      </c>
    </row>
    <row r="1116" spans="1:7" ht="15" customHeight="1" x14ac:dyDescent="0.25">
      <c r="A1116" s="3">
        <v>45638</v>
      </c>
      <c r="B1116" s="4">
        <v>2024003069</v>
      </c>
      <c r="C1116" s="4" t="s">
        <v>608</v>
      </c>
      <c r="D1116" s="5">
        <v>3000000</v>
      </c>
      <c r="E1116" s="4">
        <v>1085331508</v>
      </c>
      <c r="F1116" s="4" t="s">
        <v>35</v>
      </c>
      <c r="G1116" t="s">
        <v>565</v>
      </c>
    </row>
    <row r="1117" spans="1:7" ht="15" customHeight="1" x14ac:dyDescent="0.25">
      <c r="A1117" s="3">
        <v>45638</v>
      </c>
      <c r="B1117" s="4">
        <v>2024003070</v>
      </c>
      <c r="C1117" s="4" t="s">
        <v>602</v>
      </c>
      <c r="D1117" s="5">
        <v>7540000</v>
      </c>
      <c r="E1117" s="4">
        <v>1151934571</v>
      </c>
      <c r="F1117" s="4" t="s">
        <v>137</v>
      </c>
      <c r="G1117" t="s">
        <v>565</v>
      </c>
    </row>
    <row r="1118" spans="1:7" ht="15" customHeight="1" x14ac:dyDescent="0.25">
      <c r="A1118" s="3">
        <v>45638</v>
      </c>
      <c r="B1118" s="4">
        <v>2024003071</v>
      </c>
      <c r="C1118" s="4" t="s">
        <v>984</v>
      </c>
      <c r="D1118" s="5">
        <v>2733600</v>
      </c>
      <c r="E1118" s="4">
        <v>59835376</v>
      </c>
      <c r="F1118" s="4" t="s">
        <v>985</v>
      </c>
      <c r="G1118" t="s">
        <v>565</v>
      </c>
    </row>
    <row r="1119" spans="1:7" ht="15" customHeight="1" x14ac:dyDescent="0.25">
      <c r="A1119" s="3">
        <v>45638</v>
      </c>
      <c r="B1119" s="4">
        <v>2024003072</v>
      </c>
      <c r="C1119" s="4" t="s">
        <v>674</v>
      </c>
      <c r="D1119" s="5">
        <v>3000000</v>
      </c>
      <c r="E1119" s="4">
        <v>27285974</v>
      </c>
      <c r="F1119" s="4" t="s">
        <v>349</v>
      </c>
      <c r="G1119" t="s">
        <v>565</v>
      </c>
    </row>
    <row r="1120" spans="1:7" ht="15" customHeight="1" x14ac:dyDescent="0.25">
      <c r="A1120" s="3">
        <v>45638</v>
      </c>
      <c r="B1120" s="4">
        <v>2024003078</v>
      </c>
      <c r="C1120" s="4" t="s">
        <v>986</v>
      </c>
      <c r="D1120" s="5">
        <v>3000000</v>
      </c>
      <c r="E1120" s="4">
        <v>1086222977</v>
      </c>
      <c r="F1120" s="4" t="s">
        <v>987</v>
      </c>
      <c r="G1120" t="s">
        <v>565</v>
      </c>
    </row>
    <row r="1121" spans="1:7" ht="15" customHeight="1" x14ac:dyDescent="0.25">
      <c r="A1121" s="3">
        <v>45638</v>
      </c>
      <c r="B1121" s="4">
        <v>2024003079</v>
      </c>
      <c r="C1121" s="4" t="s">
        <v>666</v>
      </c>
      <c r="D1121" s="5">
        <v>2500000</v>
      </c>
      <c r="E1121" s="4">
        <v>12974849</v>
      </c>
      <c r="F1121" s="4" t="s">
        <v>51</v>
      </c>
      <c r="G1121" t="s">
        <v>565</v>
      </c>
    </row>
    <row r="1122" spans="1:7" ht="15" customHeight="1" x14ac:dyDescent="0.25">
      <c r="A1122" s="3">
        <v>45638</v>
      </c>
      <c r="B1122" s="4">
        <v>2024003080</v>
      </c>
      <c r="C1122" s="4" t="s">
        <v>988</v>
      </c>
      <c r="D1122" s="5">
        <v>3000000</v>
      </c>
      <c r="E1122" s="4">
        <v>1085255829</v>
      </c>
      <c r="F1122" s="4" t="s">
        <v>989</v>
      </c>
      <c r="G1122" t="s">
        <v>565</v>
      </c>
    </row>
    <row r="1123" spans="1:7" ht="15" customHeight="1" x14ac:dyDescent="0.25">
      <c r="A1123" s="3">
        <v>45638</v>
      </c>
      <c r="B1123" s="4">
        <v>2024003081</v>
      </c>
      <c r="C1123" s="4" t="s">
        <v>990</v>
      </c>
      <c r="D1123" s="5">
        <v>600000</v>
      </c>
      <c r="E1123" s="4">
        <v>1085283703</v>
      </c>
      <c r="F1123" s="4" t="s">
        <v>991</v>
      </c>
      <c r="G1123" t="s">
        <v>565</v>
      </c>
    </row>
    <row r="1124" spans="1:7" ht="15" customHeight="1" x14ac:dyDescent="0.25">
      <c r="A1124" s="3">
        <v>45638</v>
      </c>
      <c r="B1124" s="4">
        <v>2024003082</v>
      </c>
      <c r="C1124" s="4" t="s">
        <v>723</v>
      </c>
      <c r="D1124" s="5">
        <v>3000000</v>
      </c>
      <c r="E1124" s="4">
        <v>1080046034</v>
      </c>
      <c r="F1124" s="4" t="s">
        <v>724</v>
      </c>
      <c r="G1124" t="s">
        <v>565</v>
      </c>
    </row>
    <row r="1125" spans="1:7" ht="15" customHeight="1" x14ac:dyDescent="0.25">
      <c r="A1125" s="3">
        <v>45638</v>
      </c>
      <c r="B1125" s="4">
        <v>2024003083</v>
      </c>
      <c r="C1125" s="4" t="s">
        <v>725</v>
      </c>
      <c r="D1125" s="5">
        <v>4825000</v>
      </c>
      <c r="E1125" s="4">
        <v>27088141</v>
      </c>
      <c r="F1125" s="4" t="s">
        <v>515</v>
      </c>
      <c r="G1125" t="s">
        <v>565</v>
      </c>
    </row>
    <row r="1126" spans="1:7" ht="15" customHeight="1" x14ac:dyDescent="0.25">
      <c r="A1126" s="3">
        <v>45638</v>
      </c>
      <c r="B1126" s="4">
        <v>2024003084</v>
      </c>
      <c r="C1126" s="4" t="s">
        <v>713</v>
      </c>
      <c r="D1126" s="5">
        <v>3000000</v>
      </c>
      <c r="E1126" s="4">
        <v>1086328142</v>
      </c>
      <c r="F1126" s="4" t="s">
        <v>470</v>
      </c>
      <c r="G1126" t="s">
        <v>565</v>
      </c>
    </row>
    <row r="1127" spans="1:7" ht="15" customHeight="1" x14ac:dyDescent="0.25">
      <c r="A1127" s="3">
        <v>45638</v>
      </c>
      <c r="B1127" s="4">
        <v>2024003085</v>
      </c>
      <c r="C1127" s="4" t="s">
        <v>796</v>
      </c>
      <c r="D1127" s="5">
        <v>3000000</v>
      </c>
      <c r="E1127" s="4">
        <v>59311295</v>
      </c>
      <c r="F1127" s="4" t="s">
        <v>797</v>
      </c>
      <c r="G1127" t="s">
        <v>565</v>
      </c>
    </row>
    <row r="1128" spans="1:7" ht="15" customHeight="1" x14ac:dyDescent="0.25">
      <c r="A1128" s="3">
        <v>45638</v>
      </c>
      <c r="B1128" s="4">
        <v>2024003086</v>
      </c>
      <c r="C1128" s="4" t="s">
        <v>726</v>
      </c>
      <c r="D1128" s="5">
        <v>2500000</v>
      </c>
      <c r="E1128" s="4">
        <v>1085314075</v>
      </c>
      <c r="F1128" s="4" t="s">
        <v>327</v>
      </c>
      <c r="G1128" t="s">
        <v>565</v>
      </c>
    </row>
    <row r="1129" spans="1:7" ht="15" customHeight="1" x14ac:dyDescent="0.25">
      <c r="A1129" s="3">
        <v>45638</v>
      </c>
      <c r="B1129" s="4">
        <v>2024003087</v>
      </c>
      <c r="C1129" s="4" t="s">
        <v>617</v>
      </c>
      <c r="D1129" s="5">
        <v>6000000</v>
      </c>
      <c r="E1129" s="4">
        <v>1082748420</v>
      </c>
      <c r="F1129" s="4" t="s">
        <v>450</v>
      </c>
      <c r="G1129" t="s">
        <v>565</v>
      </c>
    </row>
    <row r="1130" spans="1:7" ht="15" customHeight="1" x14ac:dyDescent="0.25">
      <c r="A1130" s="3">
        <v>45638</v>
      </c>
      <c r="B1130" s="4">
        <v>2024003088</v>
      </c>
      <c r="C1130" s="4" t="s">
        <v>627</v>
      </c>
      <c r="D1130" s="5">
        <v>3000000</v>
      </c>
      <c r="E1130" s="4">
        <v>1085271641</v>
      </c>
      <c r="F1130" s="4" t="s">
        <v>251</v>
      </c>
      <c r="G1130" t="s">
        <v>565</v>
      </c>
    </row>
    <row r="1131" spans="1:7" ht="15" customHeight="1" x14ac:dyDescent="0.25">
      <c r="A1131" s="3">
        <v>45638</v>
      </c>
      <c r="B1131" s="4">
        <v>2024003089</v>
      </c>
      <c r="C1131" s="4" t="s">
        <v>643</v>
      </c>
      <c r="D1131" s="5">
        <v>3000000</v>
      </c>
      <c r="E1131" s="4">
        <v>1004232508</v>
      </c>
      <c r="F1131" s="4" t="s">
        <v>109</v>
      </c>
      <c r="G1131" t="s">
        <v>565</v>
      </c>
    </row>
    <row r="1132" spans="1:7" ht="15" customHeight="1" x14ac:dyDescent="0.25">
      <c r="A1132" s="3">
        <v>45638</v>
      </c>
      <c r="B1132" s="4">
        <v>2024003093</v>
      </c>
      <c r="C1132" s="4" t="s">
        <v>922</v>
      </c>
      <c r="D1132" s="5">
        <v>3000000</v>
      </c>
      <c r="E1132" s="4">
        <v>1193218691</v>
      </c>
      <c r="F1132" s="4" t="s">
        <v>191</v>
      </c>
      <c r="G1132" t="s">
        <v>565</v>
      </c>
    </row>
    <row r="1133" spans="1:7" ht="15" customHeight="1" x14ac:dyDescent="0.25">
      <c r="A1133" s="3">
        <v>45638</v>
      </c>
      <c r="B1133" s="4">
        <v>2024003094</v>
      </c>
      <c r="C1133" s="4" t="s">
        <v>848</v>
      </c>
      <c r="D1133" s="5">
        <v>3000000</v>
      </c>
      <c r="E1133" s="4">
        <v>1004299312</v>
      </c>
      <c r="F1133" s="4" t="s">
        <v>849</v>
      </c>
      <c r="G1133" t="s">
        <v>565</v>
      </c>
    </row>
    <row r="1134" spans="1:7" ht="15" customHeight="1" x14ac:dyDescent="0.25">
      <c r="A1134" s="3">
        <v>45638</v>
      </c>
      <c r="B1134" s="4">
        <v>2024003095</v>
      </c>
      <c r="C1134" s="4" t="s">
        <v>870</v>
      </c>
      <c r="D1134" s="5">
        <v>2500000</v>
      </c>
      <c r="E1134" s="4">
        <v>1081273343</v>
      </c>
      <c r="F1134" s="4" t="s">
        <v>339</v>
      </c>
      <c r="G1134" t="s">
        <v>565</v>
      </c>
    </row>
    <row r="1135" spans="1:7" ht="15" customHeight="1" x14ac:dyDescent="0.25">
      <c r="A1135" s="3">
        <v>45638</v>
      </c>
      <c r="B1135" s="4">
        <v>2024003097</v>
      </c>
      <c r="C1135" s="4" t="s">
        <v>761</v>
      </c>
      <c r="D1135" s="5">
        <v>7540000</v>
      </c>
      <c r="E1135" s="4">
        <v>1006946167</v>
      </c>
      <c r="F1135" s="4" t="s">
        <v>63</v>
      </c>
      <c r="G1135" t="s">
        <v>565</v>
      </c>
    </row>
    <row r="1136" spans="1:7" ht="15" customHeight="1" x14ac:dyDescent="0.25">
      <c r="A1136" s="3">
        <v>45638</v>
      </c>
      <c r="B1136" s="4">
        <v>2024003098</v>
      </c>
      <c r="C1136" s="4" t="s">
        <v>787</v>
      </c>
      <c r="D1136" s="5">
        <v>4750000</v>
      </c>
      <c r="E1136" s="4">
        <v>1085324546</v>
      </c>
      <c r="F1136" s="4" t="s">
        <v>29</v>
      </c>
      <c r="G1136" t="s">
        <v>565</v>
      </c>
    </row>
    <row r="1137" spans="1:7" ht="15" customHeight="1" x14ac:dyDescent="0.25">
      <c r="A1137" s="3">
        <v>45638</v>
      </c>
      <c r="B1137" s="4">
        <v>2024003099</v>
      </c>
      <c r="C1137" s="4" t="s">
        <v>846</v>
      </c>
      <c r="D1137" s="5">
        <v>4825000</v>
      </c>
      <c r="E1137" s="4">
        <v>1085269530</v>
      </c>
      <c r="F1137" s="4" t="s">
        <v>333</v>
      </c>
      <c r="G1137" t="s">
        <v>565</v>
      </c>
    </row>
    <row r="1138" spans="1:7" ht="15" customHeight="1" x14ac:dyDescent="0.25">
      <c r="A1138" s="3">
        <v>45638</v>
      </c>
      <c r="B1138" s="4">
        <v>2024003101</v>
      </c>
      <c r="C1138" s="4" t="s">
        <v>768</v>
      </c>
      <c r="D1138" s="5">
        <v>3000000</v>
      </c>
      <c r="E1138" s="4">
        <v>59314601</v>
      </c>
      <c r="F1138" s="4" t="s">
        <v>71</v>
      </c>
      <c r="G1138" t="s">
        <v>565</v>
      </c>
    </row>
    <row r="1139" spans="1:7" ht="15" customHeight="1" x14ac:dyDescent="0.25">
      <c r="A1139" s="3">
        <v>45638</v>
      </c>
      <c r="B1139" s="4">
        <v>2024003102</v>
      </c>
      <c r="C1139" s="4" t="s">
        <v>628</v>
      </c>
      <c r="D1139" s="5">
        <v>3000000</v>
      </c>
      <c r="E1139" s="4">
        <v>1192717330</v>
      </c>
      <c r="F1139" s="4" t="s">
        <v>277</v>
      </c>
      <c r="G1139" t="s">
        <v>565</v>
      </c>
    </row>
    <row r="1140" spans="1:7" ht="15" customHeight="1" x14ac:dyDescent="0.25">
      <c r="A1140" s="3">
        <v>45638</v>
      </c>
      <c r="B1140" s="4">
        <v>2024003103</v>
      </c>
      <c r="C1140" s="4" t="s">
        <v>633</v>
      </c>
      <c r="D1140" s="5">
        <v>7540000</v>
      </c>
      <c r="E1140" s="4">
        <v>36950112</v>
      </c>
      <c r="F1140" s="4" t="s">
        <v>634</v>
      </c>
      <c r="G1140" t="s">
        <v>565</v>
      </c>
    </row>
    <row r="1141" spans="1:7" ht="15" customHeight="1" x14ac:dyDescent="0.25">
      <c r="A1141" s="3">
        <v>45638</v>
      </c>
      <c r="B1141" s="4">
        <v>2024003104</v>
      </c>
      <c r="C1141" s="4" t="s">
        <v>711</v>
      </c>
      <c r="D1141" s="5">
        <v>3000000</v>
      </c>
      <c r="E1141" s="4">
        <v>36758143</v>
      </c>
      <c r="F1141" s="4" t="s">
        <v>107</v>
      </c>
      <c r="G1141" t="s">
        <v>565</v>
      </c>
    </row>
    <row r="1142" spans="1:7" ht="15" customHeight="1" x14ac:dyDescent="0.25">
      <c r="A1142" s="3">
        <v>45638</v>
      </c>
      <c r="B1142" s="4">
        <v>2024003105</v>
      </c>
      <c r="C1142" s="4" t="s">
        <v>677</v>
      </c>
      <c r="D1142" s="5">
        <v>3000000</v>
      </c>
      <c r="E1142" s="4">
        <v>1137624011</v>
      </c>
      <c r="F1142" s="4" t="s">
        <v>243</v>
      </c>
      <c r="G1142" t="s">
        <v>565</v>
      </c>
    </row>
    <row r="1143" spans="1:7" ht="15" customHeight="1" x14ac:dyDescent="0.25">
      <c r="A1143" s="3">
        <v>45638</v>
      </c>
      <c r="B1143" s="4">
        <v>2024003106</v>
      </c>
      <c r="C1143" s="4" t="s">
        <v>751</v>
      </c>
      <c r="D1143" s="5">
        <v>4750000</v>
      </c>
      <c r="E1143" s="4">
        <v>1233192618</v>
      </c>
      <c r="F1143" s="4" t="s">
        <v>351</v>
      </c>
      <c r="G1143" t="s">
        <v>565</v>
      </c>
    </row>
    <row r="1144" spans="1:7" ht="15" customHeight="1" x14ac:dyDescent="0.25">
      <c r="A1144" s="3">
        <v>45638</v>
      </c>
      <c r="B1144" s="4">
        <v>2024003107</v>
      </c>
      <c r="C1144" s="4" t="s">
        <v>699</v>
      </c>
      <c r="D1144" s="5">
        <v>7540000</v>
      </c>
      <c r="E1144" s="4">
        <v>1085321192</v>
      </c>
      <c r="F1144" s="4" t="s">
        <v>61</v>
      </c>
      <c r="G1144" t="s">
        <v>565</v>
      </c>
    </row>
    <row r="1145" spans="1:7" ht="15" customHeight="1" x14ac:dyDescent="0.25">
      <c r="A1145" s="3">
        <v>45638</v>
      </c>
      <c r="B1145" s="4">
        <v>2024003108</v>
      </c>
      <c r="C1145" s="4" t="s">
        <v>743</v>
      </c>
      <c r="D1145" s="5">
        <v>7540000</v>
      </c>
      <c r="E1145" s="4">
        <v>1085345430</v>
      </c>
      <c r="F1145" s="4" t="s">
        <v>359</v>
      </c>
      <c r="G1145" t="s">
        <v>565</v>
      </c>
    </row>
    <row r="1146" spans="1:7" ht="15" customHeight="1" x14ac:dyDescent="0.25">
      <c r="A1146" s="3">
        <v>45638</v>
      </c>
      <c r="B1146" s="4">
        <v>2024003109</v>
      </c>
      <c r="C1146" s="4" t="s">
        <v>612</v>
      </c>
      <c r="D1146" s="5">
        <v>4750000</v>
      </c>
      <c r="E1146" s="4">
        <v>27087475</v>
      </c>
      <c r="F1146" s="4" t="s">
        <v>571</v>
      </c>
      <c r="G1146" t="s">
        <v>565</v>
      </c>
    </row>
    <row r="1147" spans="1:7" ht="15" customHeight="1" x14ac:dyDescent="0.25">
      <c r="A1147" s="3">
        <v>45638</v>
      </c>
      <c r="B1147" s="4">
        <v>2024003110</v>
      </c>
      <c r="C1147" s="4" t="s">
        <v>631</v>
      </c>
      <c r="D1147" s="5">
        <v>6000000</v>
      </c>
      <c r="E1147" s="4">
        <v>1085246134</v>
      </c>
      <c r="F1147" s="4" t="s">
        <v>55</v>
      </c>
      <c r="G1147" t="s">
        <v>565</v>
      </c>
    </row>
    <row r="1148" spans="1:7" ht="15" customHeight="1" x14ac:dyDescent="0.25">
      <c r="A1148" s="3">
        <v>45638</v>
      </c>
      <c r="B1148" s="4">
        <v>2024003111</v>
      </c>
      <c r="C1148" s="4" t="s">
        <v>823</v>
      </c>
      <c r="D1148" s="5">
        <v>4750000</v>
      </c>
      <c r="E1148" s="4">
        <v>59312865</v>
      </c>
      <c r="F1148" s="4" t="s">
        <v>127</v>
      </c>
      <c r="G1148" t="s">
        <v>565</v>
      </c>
    </row>
    <row r="1149" spans="1:7" ht="15" customHeight="1" x14ac:dyDescent="0.25">
      <c r="A1149" s="3">
        <v>45638</v>
      </c>
      <c r="B1149" s="4">
        <v>2024003112</v>
      </c>
      <c r="C1149" s="4" t="s">
        <v>669</v>
      </c>
      <c r="D1149" s="5">
        <v>6000000</v>
      </c>
      <c r="E1149" s="4">
        <v>1193223736</v>
      </c>
      <c r="F1149" s="4" t="s">
        <v>670</v>
      </c>
      <c r="G1149" t="s">
        <v>565</v>
      </c>
    </row>
    <row r="1150" spans="1:7" ht="15" customHeight="1" x14ac:dyDescent="0.25">
      <c r="A1150" s="3">
        <v>45638</v>
      </c>
      <c r="B1150" s="4">
        <v>2024003113</v>
      </c>
      <c r="C1150" s="4" t="s">
        <v>740</v>
      </c>
      <c r="D1150" s="5">
        <v>6000000</v>
      </c>
      <c r="E1150" s="4">
        <v>37013610</v>
      </c>
      <c r="F1150" s="4" t="s">
        <v>25</v>
      </c>
      <c r="G1150" t="s">
        <v>565</v>
      </c>
    </row>
    <row r="1151" spans="1:7" ht="15" customHeight="1" x14ac:dyDescent="0.25">
      <c r="A1151" s="3">
        <v>45638</v>
      </c>
      <c r="B1151" s="4">
        <v>2024003114</v>
      </c>
      <c r="C1151" s="4" t="s">
        <v>824</v>
      </c>
      <c r="D1151" s="5">
        <v>4825000</v>
      </c>
      <c r="E1151" s="4">
        <v>1085321943</v>
      </c>
      <c r="F1151" s="4" t="s">
        <v>363</v>
      </c>
      <c r="G1151" t="s">
        <v>565</v>
      </c>
    </row>
    <row r="1152" spans="1:7" ht="15" customHeight="1" x14ac:dyDescent="0.25">
      <c r="A1152" s="3">
        <v>45638</v>
      </c>
      <c r="B1152" s="4">
        <v>2024003115</v>
      </c>
      <c r="C1152" s="4" t="s">
        <v>737</v>
      </c>
      <c r="D1152" s="5">
        <v>6000000</v>
      </c>
      <c r="E1152" s="4">
        <v>1085248939</v>
      </c>
      <c r="F1152" s="4" t="s">
        <v>437</v>
      </c>
      <c r="G1152" t="s">
        <v>565</v>
      </c>
    </row>
    <row r="1153" spans="1:7" ht="15" customHeight="1" x14ac:dyDescent="0.25">
      <c r="A1153" s="3">
        <v>45638</v>
      </c>
      <c r="B1153" s="4">
        <v>2024003116</v>
      </c>
      <c r="C1153" s="4" t="s">
        <v>600</v>
      </c>
      <c r="D1153" s="5">
        <v>6000000</v>
      </c>
      <c r="E1153" s="4">
        <v>59820414</v>
      </c>
      <c r="F1153" s="4" t="s">
        <v>261</v>
      </c>
      <c r="G1153" t="s">
        <v>565</v>
      </c>
    </row>
    <row r="1154" spans="1:7" ht="15" customHeight="1" x14ac:dyDescent="0.25">
      <c r="A1154" s="3">
        <v>45638</v>
      </c>
      <c r="B1154" s="4">
        <v>2024003117</v>
      </c>
      <c r="C1154" s="4" t="s">
        <v>765</v>
      </c>
      <c r="D1154" s="5">
        <v>2500000</v>
      </c>
      <c r="E1154" s="4">
        <v>59821968</v>
      </c>
      <c r="F1154" s="4" t="s">
        <v>766</v>
      </c>
      <c r="G1154" t="s">
        <v>565</v>
      </c>
    </row>
    <row r="1155" spans="1:7" ht="15" customHeight="1" x14ac:dyDescent="0.25">
      <c r="A1155" s="3">
        <v>45638</v>
      </c>
      <c r="B1155" s="4">
        <v>2024003118</v>
      </c>
      <c r="C1155" s="4" t="s">
        <v>684</v>
      </c>
      <c r="D1155" s="5">
        <v>3000000</v>
      </c>
      <c r="E1155" s="4">
        <v>59310524</v>
      </c>
      <c r="F1155" s="4" t="s">
        <v>992</v>
      </c>
      <c r="G1155" t="s">
        <v>565</v>
      </c>
    </row>
    <row r="1156" spans="1:7" ht="15" customHeight="1" x14ac:dyDescent="0.25">
      <c r="A1156" s="3">
        <v>45639</v>
      </c>
      <c r="B1156" s="4">
        <v>2024003120</v>
      </c>
      <c r="C1156" s="4" t="s">
        <v>719</v>
      </c>
      <c r="D1156" s="5">
        <v>2500000</v>
      </c>
      <c r="E1156" s="4">
        <v>27094521</v>
      </c>
      <c r="F1156" s="4" t="s">
        <v>285</v>
      </c>
      <c r="G1156" t="s">
        <v>565</v>
      </c>
    </row>
    <row r="1157" spans="1:7" ht="15" customHeight="1" x14ac:dyDescent="0.25">
      <c r="A1157" s="3">
        <v>45639</v>
      </c>
      <c r="B1157" s="4">
        <v>2024003121</v>
      </c>
      <c r="C1157" s="4" t="s">
        <v>993</v>
      </c>
      <c r="D1157" s="5">
        <v>3000000</v>
      </c>
      <c r="E1157" s="4">
        <v>1004508436</v>
      </c>
      <c r="F1157" s="4" t="s">
        <v>367</v>
      </c>
      <c r="G1157" t="s">
        <v>565</v>
      </c>
    </row>
    <row r="1158" spans="1:7" ht="15" customHeight="1" x14ac:dyDescent="0.25">
      <c r="A1158" s="3">
        <v>45639</v>
      </c>
      <c r="B1158" s="4">
        <v>2024003122</v>
      </c>
      <c r="C1158" s="4" t="s">
        <v>994</v>
      </c>
      <c r="D1158" s="5">
        <v>1416100</v>
      </c>
      <c r="E1158" s="4">
        <v>1085312811</v>
      </c>
      <c r="F1158" s="4" t="s">
        <v>995</v>
      </c>
      <c r="G1158" t="s">
        <v>565</v>
      </c>
    </row>
    <row r="1159" spans="1:7" ht="15" customHeight="1" x14ac:dyDescent="0.25">
      <c r="A1159" s="3">
        <v>45639</v>
      </c>
      <c r="B1159" s="4">
        <v>2024003123</v>
      </c>
      <c r="C1159" s="4" t="s">
        <v>680</v>
      </c>
      <c r="D1159" s="5">
        <v>3000000</v>
      </c>
      <c r="E1159" s="4">
        <v>1085290651</v>
      </c>
      <c r="F1159" s="4" t="s">
        <v>325</v>
      </c>
      <c r="G1159" t="s">
        <v>565</v>
      </c>
    </row>
    <row r="1160" spans="1:7" ht="15" customHeight="1" x14ac:dyDescent="0.25">
      <c r="A1160" s="3">
        <v>45639</v>
      </c>
      <c r="B1160" s="4">
        <v>2024003124</v>
      </c>
      <c r="C1160" s="4" t="s">
        <v>996</v>
      </c>
      <c r="D1160" s="5">
        <v>3000000</v>
      </c>
      <c r="E1160" s="4">
        <v>98391531</v>
      </c>
      <c r="F1160" s="4" t="s">
        <v>499</v>
      </c>
      <c r="G1160" t="s">
        <v>565</v>
      </c>
    </row>
    <row r="1161" spans="1:7" ht="15" customHeight="1" x14ac:dyDescent="0.25">
      <c r="A1161" s="3">
        <v>45639</v>
      </c>
      <c r="B1161" s="4">
        <v>2024003125</v>
      </c>
      <c r="C1161" s="4" t="s">
        <v>997</v>
      </c>
      <c r="D1161" s="5">
        <v>4750000</v>
      </c>
      <c r="E1161" s="4">
        <v>1085264667</v>
      </c>
      <c r="F1161" s="4" t="s">
        <v>464</v>
      </c>
      <c r="G1161" t="s">
        <v>565</v>
      </c>
    </row>
    <row r="1162" spans="1:7" ht="15" customHeight="1" x14ac:dyDescent="0.25">
      <c r="A1162" s="3">
        <v>45639</v>
      </c>
      <c r="B1162" s="4">
        <v>2024003126</v>
      </c>
      <c r="C1162" s="4" t="s">
        <v>998</v>
      </c>
      <c r="D1162" s="5">
        <v>2500000</v>
      </c>
      <c r="E1162" s="4">
        <v>1085318898</v>
      </c>
      <c r="F1162" s="4" t="s">
        <v>517</v>
      </c>
      <c r="G1162" t="s">
        <v>565</v>
      </c>
    </row>
    <row r="1163" spans="1:7" ht="15" customHeight="1" x14ac:dyDescent="0.25">
      <c r="A1163" s="3">
        <v>45639</v>
      </c>
      <c r="B1163" s="4">
        <v>2024003127</v>
      </c>
      <c r="C1163" s="4" t="s">
        <v>999</v>
      </c>
      <c r="D1163" s="5">
        <v>600000</v>
      </c>
      <c r="E1163" s="4">
        <v>59313539</v>
      </c>
      <c r="F1163" s="4" t="s">
        <v>1000</v>
      </c>
      <c r="G1163" t="s">
        <v>565</v>
      </c>
    </row>
    <row r="1164" spans="1:7" ht="15" customHeight="1" x14ac:dyDescent="0.25">
      <c r="A1164" s="3">
        <v>45639</v>
      </c>
      <c r="B1164" s="4">
        <v>2024003128</v>
      </c>
      <c r="C1164" s="4" t="s">
        <v>1001</v>
      </c>
      <c r="D1164" s="5">
        <v>3000000</v>
      </c>
      <c r="E1164" s="4">
        <v>1081053820</v>
      </c>
      <c r="F1164" s="4" t="s">
        <v>431</v>
      </c>
      <c r="G1164" t="s">
        <v>565</v>
      </c>
    </row>
    <row r="1165" spans="1:7" ht="15" customHeight="1" x14ac:dyDescent="0.25">
      <c r="A1165" s="3">
        <v>45639</v>
      </c>
      <c r="B1165" s="4">
        <v>2024003129</v>
      </c>
      <c r="C1165" s="4" t="s">
        <v>700</v>
      </c>
      <c r="D1165" s="5">
        <v>3000000</v>
      </c>
      <c r="E1165" s="4">
        <v>1085315209</v>
      </c>
      <c r="F1165" s="4" t="s">
        <v>701</v>
      </c>
      <c r="G1165" t="s">
        <v>565</v>
      </c>
    </row>
    <row r="1166" spans="1:7" ht="15" customHeight="1" x14ac:dyDescent="0.25">
      <c r="A1166" s="3">
        <v>45639</v>
      </c>
      <c r="B1166" s="4">
        <v>2024003130</v>
      </c>
      <c r="C1166" s="4" t="s">
        <v>731</v>
      </c>
      <c r="D1166" s="5">
        <v>2500000</v>
      </c>
      <c r="E1166" s="4">
        <v>1131085946</v>
      </c>
      <c r="F1166" s="4" t="s">
        <v>732</v>
      </c>
      <c r="G1166" t="s">
        <v>565</v>
      </c>
    </row>
    <row r="1167" spans="1:7" ht="15" customHeight="1" x14ac:dyDescent="0.25">
      <c r="A1167" s="3">
        <v>45639</v>
      </c>
      <c r="B1167" s="4">
        <v>2024003131</v>
      </c>
      <c r="C1167" s="4" t="s">
        <v>1002</v>
      </c>
      <c r="D1167" s="5">
        <v>1082900</v>
      </c>
      <c r="E1167" s="4">
        <v>36951530</v>
      </c>
      <c r="F1167" s="4" t="s">
        <v>1003</v>
      </c>
      <c r="G1167" t="s">
        <v>565</v>
      </c>
    </row>
    <row r="1168" spans="1:7" ht="15" customHeight="1" x14ac:dyDescent="0.25">
      <c r="A1168" s="3">
        <v>45639</v>
      </c>
      <c r="B1168" s="4">
        <v>2024003132</v>
      </c>
      <c r="C1168" s="4" t="s">
        <v>842</v>
      </c>
      <c r="D1168" s="5">
        <v>3000000</v>
      </c>
      <c r="E1168" s="4">
        <v>1010085543</v>
      </c>
      <c r="F1168" s="4" t="s">
        <v>265</v>
      </c>
      <c r="G1168" t="s">
        <v>565</v>
      </c>
    </row>
    <row r="1169" spans="1:7" ht="15" customHeight="1" x14ac:dyDescent="0.25">
      <c r="A1169" s="3">
        <v>45639</v>
      </c>
      <c r="B1169" s="4">
        <v>2024003134</v>
      </c>
      <c r="C1169" s="4" t="s">
        <v>788</v>
      </c>
      <c r="D1169" s="5">
        <v>3000000</v>
      </c>
      <c r="E1169" s="4">
        <v>1193265360</v>
      </c>
      <c r="F1169" s="4" t="s">
        <v>67</v>
      </c>
      <c r="G1169" t="s">
        <v>565</v>
      </c>
    </row>
    <row r="1170" spans="1:7" ht="15" customHeight="1" x14ac:dyDescent="0.25">
      <c r="A1170" s="3">
        <v>45639</v>
      </c>
      <c r="B1170" s="4">
        <v>2024003135</v>
      </c>
      <c r="C1170" s="4" t="s">
        <v>835</v>
      </c>
      <c r="D1170" s="5">
        <v>3000000</v>
      </c>
      <c r="E1170" s="4">
        <v>1081276146</v>
      </c>
      <c r="F1170" s="4" t="s">
        <v>836</v>
      </c>
      <c r="G1170" t="s">
        <v>565</v>
      </c>
    </row>
    <row r="1171" spans="1:7" ht="15" customHeight="1" x14ac:dyDescent="0.25">
      <c r="A1171" s="3">
        <v>45639</v>
      </c>
      <c r="B1171" s="4">
        <v>2024003136</v>
      </c>
      <c r="C1171" s="4" t="s">
        <v>844</v>
      </c>
      <c r="D1171" s="5">
        <v>6000000</v>
      </c>
      <c r="E1171" s="4">
        <v>1085254153</v>
      </c>
      <c r="F1171" s="4" t="s">
        <v>845</v>
      </c>
      <c r="G1171" t="s">
        <v>565</v>
      </c>
    </row>
    <row r="1172" spans="1:7" ht="15" customHeight="1" x14ac:dyDescent="0.25">
      <c r="A1172" s="3">
        <v>45639</v>
      </c>
      <c r="B1172" s="4">
        <v>2024003138</v>
      </c>
      <c r="C1172" s="4" t="s">
        <v>940</v>
      </c>
      <c r="D1172" s="5">
        <v>3000000</v>
      </c>
      <c r="E1172" s="4">
        <v>59813323</v>
      </c>
      <c r="F1172" s="4" t="s">
        <v>103</v>
      </c>
      <c r="G1172" t="s">
        <v>565</v>
      </c>
    </row>
    <row r="1173" spans="1:7" ht="15" customHeight="1" x14ac:dyDescent="0.25">
      <c r="A1173" s="3">
        <v>45639</v>
      </c>
      <c r="B1173" s="4">
        <v>2024003139</v>
      </c>
      <c r="C1173" s="4" t="s">
        <v>663</v>
      </c>
      <c r="D1173" s="5">
        <v>4750000</v>
      </c>
      <c r="E1173" s="4">
        <v>1085303067</v>
      </c>
      <c r="F1173" s="4" t="s">
        <v>105</v>
      </c>
      <c r="G1173" t="s">
        <v>565</v>
      </c>
    </row>
    <row r="1174" spans="1:7" ht="15" customHeight="1" x14ac:dyDescent="0.25">
      <c r="A1174" s="3">
        <v>45639</v>
      </c>
      <c r="B1174" s="4">
        <v>2024003140</v>
      </c>
      <c r="C1174" s="4" t="s">
        <v>769</v>
      </c>
      <c r="D1174" s="5">
        <v>3000000</v>
      </c>
      <c r="E1174" s="4">
        <v>1089846829</v>
      </c>
      <c r="F1174" s="4" t="s">
        <v>770</v>
      </c>
      <c r="G1174" t="s">
        <v>565</v>
      </c>
    </row>
    <row r="1175" spans="1:7" ht="15" customHeight="1" x14ac:dyDescent="0.25">
      <c r="A1175" s="3">
        <v>45639</v>
      </c>
      <c r="B1175" s="4">
        <v>2024003141</v>
      </c>
      <c r="C1175" s="4" t="s">
        <v>729</v>
      </c>
      <c r="D1175" s="5">
        <v>2500000</v>
      </c>
      <c r="E1175" s="4">
        <v>1085335069</v>
      </c>
      <c r="F1175" s="4" t="s">
        <v>730</v>
      </c>
      <c r="G1175" t="s">
        <v>565</v>
      </c>
    </row>
    <row r="1176" spans="1:7" ht="15" customHeight="1" x14ac:dyDescent="0.25">
      <c r="A1176" s="3">
        <v>45639</v>
      </c>
      <c r="B1176" s="4">
        <v>2024003142</v>
      </c>
      <c r="C1176" s="4" t="s">
        <v>777</v>
      </c>
      <c r="D1176" s="5">
        <v>3000000</v>
      </c>
      <c r="E1176" s="4">
        <v>1144206777</v>
      </c>
      <c r="F1176" s="4" t="s">
        <v>153</v>
      </c>
      <c r="G1176" t="s">
        <v>565</v>
      </c>
    </row>
    <row r="1177" spans="1:7" ht="15" customHeight="1" x14ac:dyDescent="0.25">
      <c r="A1177" s="3">
        <v>45639</v>
      </c>
      <c r="B1177" s="4">
        <v>2024003144</v>
      </c>
      <c r="C1177" s="4" t="s">
        <v>681</v>
      </c>
      <c r="D1177" s="5">
        <v>3000000</v>
      </c>
      <c r="E1177" s="4">
        <v>1085325325</v>
      </c>
      <c r="F1177" s="4" t="s">
        <v>682</v>
      </c>
      <c r="G1177" t="s">
        <v>565</v>
      </c>
    </row>
    <row r="1178" spans="1:7" ht="15" customHeight="1" x14ac:dyDescent="0.25">
      <c r="A1178" s="3">
        <v>45639</v>
      </c>
      <c r="B1178" s="4">
        <v>2024003145</v>
      </c>
      <c r="C1178" s="4" t="s">
        <v>1004</v>
      </c>
      <c r="D1178" s="5">
        <v>6000000</v>
      </c>
      <c r="E1178" s="4">
        <v>59825948</v>
      </c>
      <c r="F1178" s="4" t="s">
        <v>1005</v>
      </c>
      <c r="G1178" t="s">
        <v>565</v>
      </c>
    </row>
    <row r="1179" spans="1:7" ht="15" customHeight="1" x14ac:dyDescent="0.25">
      <c r="A1179" s="3">
        <v>45639</v>
      </c>
      <c r="B1179" s="4">
        <v>2024003146</v>
      </c>
      <c r="C1179" s="4" t="s">
        <v>1006</v>
      </c>
      <c r="D1179" s="5">
        <v>1416100</v>
      </c>
      <c r="E1179" s="4">
        <v>36754171</v>
      </c>
      <c r="F1179" s="4" t="s">
        <v>1007</v>
      </c>
      <c r="G1179" t="s">
        <v>565</v>
      </c>
    </row>
    <row r="1180" spans="1:7" ht="15" customHeight="1" x14ac:dyDescent="0.25">
      <c r="A1180" s="3">
        <v>45639</v>
      </c>
      <c r="B1180" s="4">
        <v>2024003147</v>
      </c>
      <c r="C1180" s="4" t="s">
        <v>786</v>
      </c>
      <c r="D1180" s="5">
        <v>3000000</v>
      </c>
      <c r="E1180" s="4">
        <v>69028150</v>
      </c>
      <c r="F1180" s="4" t="s">
        <v>171</v>
      </c>
      <c r="G1180" t="s">
        <v>565</v>
      </c>
    </row>
    <row r="1181" spans="1:7" ht="15" customHeight="1" x14ac:dyDescent="0.25">
      <c r="A1181" s="3">
        <v>45639</v>
      </c>
      <c r="B1181" s="4">
        <v>2024003148</v>
      </c>
      <c r="C1181" s="4" t="s">
        <v>1008</v>
      </c>
      <c r="D1181" s="5">
        <v>3000000</v>
      </c>
      <c r="E1181" s="4">
        <v>1085265947</v>
      </c>
      <c r="F1181" s="4" t="s">
        <v>1009</v>
      </c>
      <c r="G1181" t="s">
        <v>565</v>
      </c>
    </row>
    <row r="1182" spans="1:7" ht="15" customHeight="1" x14ac:dyDescent="0.25">
      <c r="A1182" s="3">
        <v>45639</v>
      </c>
      <c r="B1182" s="4">
        <v>2024003149</v>
      </c>
      <c r="C1182" s="4" t="s">
        <v>1010</v>
      </c>
      <c r="D1182" s="5">
        <v>3000000</v>
      </c>
      <c r="E1182" s="4">
        <v>1004131976</v>
      </c>
      <c r="F1182" s="4" t="s">
        <v>1011</v>
      </c>
      <c r="G1182" t="s">
        <v>565</v>
      </c>
    </row>
    <row r="1183" spans="1:7" ht="15" customHeight="1" x14ac:dyDescent="0.25">
      <c r="A1183" s="3">
        <v>45639</v>
      </c>
      <c r="B1183" s="4">
        <v>2024003150</v>
      </c>
      <c r="C1183" s="4" t="s">
        <v>1012</v>
      </c>
      <c r="D1183" s="5">
        <v>4825000</v>
      </c>
      <c r="E1183" s="4">
        <v>1085289539</v>
      </c>
      <c r="F1183" s="4" t="s">
        <v>1013</v>
      </c>
      <c r="G1183" t="s">
        <v>565</v>
      </c>
    </row>
    <row r="1184" spans="1:7" ht="15" customHeight="1" x14ac:dyDescent="0.25">
      <c r="A1184" s="3">
        <v>45639</v>
      </c>
      <c r="B1184" s="4">
        <v>2024003151</v>
      </c>
      <c r="C1184" s="4" t="s">
        <v>764</v>
      </c>
      <c r="D1184" s="5">
        <v>3000000</v>
      </c>
      <c r="E1184" s="4">
        <v>36757213</v>
      </c>
      <c r="F1184" s="4" t="s">
        <v>411</v>
      </c>
      <c r="G1184" t="s">
        <v>565</v>
      </c>
    </row>
    <row r="1185" spans="1:7" ht="15" customHeight="1" x14ac:dyDescent="0.25">
      <c r="A1185" s="3">
        <v>45639</v>
      </c>
      <c r="B1185" s="4">
        <v>2024003152</v>
      </c>
      <c r="C1185" s="4" t="s">
        <v>664</v>
      </c>
      <c r="D1185" s="5">
        <v>4750000</v>
      </c>
      <c r="E1185" s="4">
        <v>59821282</v>
      </c>
      <c r="F1185" s="4" t="s">
        <v>135</v>
      </c>
      <c r="G1185" t="s">
        <v>565</v>
      </c>
    </row>
    <row r="1186" spans="1:7" ht="15" customHeight="1" x14ac:dyDescent="0.25">
      <c r="A1186" s="3">
        <v>45639</v>
      </c>
      <c r="B1186" s="4">
        <v>2024003153</v>
      </c>
      <c r="C1186" s="4" t="s">
        <v>855</v>
      </c>
      <c r="D1186" s="5">
        <v>4750000</v>
      </c>
      <c r="E1186" s="4">
        <v>1193383306</v>
      </c>
      <c r="F1186" s="4" t="s">
        <v>267</v>
      </c>
      <c r="G1186" t="s">
        <v>565</v>
      </c>
    </row>
    <row r="1187" spans="1:7" ht="15" customHeight="1" x14ac:dyDescent="0.25">
      <c r="A1187" s="3">
        <v>45639</v>
      </c>
      <c r="B1187" s="4">
        <v>2024003154</v>
      </c>
      <c r="C1187" s="4" t="s">
        <v>852</v>
      </c>
      <c r="D1187" s="5">
        <v>2500000</v>
      </c>
      <c r="E1187" s="4">
        <v>1085337465</v>
      </c>
      <c r="F1187" s="4" t="s">
        <v>315</v>
      </c>
      <c r="G1187" t="s">
        <v>565</v>
      </c>
    </row>
    <row r="1188" spans="1:7" ht="15" customHeight="1" x14ac:dyDescent="0.25">
      <c r="A1188" s="3">
        <v>45639</v>
      </c>
      <c r="B1188" s="4">
        <v>2024003155</v>
      </c>
      <c r="C1188" s="4" t="s">
        <v>659</v>
      </c>
      <c r="D1188" s="5">
        <v>3000000</v>
      </c>
      <c r="E1188" s="4">
        <v>59178610</v>
      </c>
      <c r="F1188" s="4" t="s">
        <v>97</v>
      </c>
      <c r="G1188" t="s">
        <v>565</v>
      </c>
    </row>
    <row r="1189" spans="1:7" ht="15" customHeight="1" x14ac:dyDescent="0.25">
      <c r="A1189" s="3">
        <v>45639</v>
      </c>
      <c r="B1189" s="4">
        <v>2024003156</v>
      </c>
      <c r="C1189" s="4" t="s">
        <v>678</v>
      </c>
      <c r="D1189" s="5">
        <v>3000000</v>
      </c>
      <c r="E1189" s="4">
        <v>36954407</v>
      </c>
      <c r="F1189" s="4" t="s">
        <v>679</v>
      </c>
      <c r="G1189" t="s">
        <v>565</v>
      </c>
    </row>
    <row r="1190" spans="1:7" ht="15" customHeight="1" x14ac:dyDescent="0.25">
      <c r="A1190" s="3">
        <v>45639</v>
      </c>
      <c r="B1190" s="4">
        <v>2024003157</v>
      </c>
      <c r="C1190" s="4" t="s">
        <v>818</v>
      </c>
      <c r="D1190" s="5">
        <v>3000000</v>
      </c>
      <c r="E1190" s="4">
        <v>27082649</v>
      </c>
      <c r="F1190" s="4" t="s">
        <v>595</v>
      </c>
      <c r="G1190" t="s">
        <v>565</v>
      </c>
    </row>
    <row r="1191" spans="1:7" ht="15" customHeight="1" x14ac:dyDescent="0.25">
      <c r="A1191" s="3">
        <v>45639</v>
      </c>
      <c r="B1191" s="4">
        <v>2024003158</v>
      </c>
      <c r="C1191" s="4" t="s">
        <v>932</v>
      </c>
      <c r="D1191" s="5">
        <v>7540000</v>
      </c>
      <c r="E1191" s="4">
        <v>1085296958</v>
      </c>
      <c r="F1191" s="4" t="s">
        <v>401</v>
      </c>
      <c r="G1191" t="s">
        <v>565</v>
      </c>
    </row>
    <row r="1192" spans="1:7" ht="15" customHeight="1" x14ac:dyDescent="0.25">
      <c r="A1192" s="3">
        <v>45642</v>
      </c>
      <c r="B1192" s="4">
        <v>2024003159</v>
      </c>
      <c r="C1192" s="4" t="s">
        <v>941</v>
      </c>
      <c r="D1192" s="5">
        <v>4825000</v>
      </c>
      <c r="E1192" s="4">
        <v>1085332406</v>
      </c>
      <c r="F1192" s="4" t="s">
        <v>273</v>
      </c>
      <c r="G1192" t="s">
        <v>565</v>
      </c>
    </row>
    <row r="1193" spans="1:7" ht="15" customHeight="1" x14ac:dyDescent="0.25">
      <c r="A1193" s="3">
        <v>45642</v>
      </c>
      <c r="B1193" s="4">
        <v>2024003160</v>
      </c>
      <c r="C1193" s="4" t="s">
        <v>1014</v>
      </c>
      <c r="D1193" s="5">
        <v>916300</v>
      </c>
      <c r="E1193" s="4">
        <v>30736949</v>
      </c>
      <c r="F1193" s="4" t="s">
        <v>557</v>
      </c>
      <c r="G1193" t="s">
        <v>565</v>
      </c>
    </row>
    <row r="1194" spans="1:7" ht="15" customHeight="1" x14ac:dyDescent="0.25">
      <c r="A1194" s="3">
        <v>45642</v>
      </c>
      <c r="B1194" s="4">
        <v>2024003161</v>
      </c>
      <c r="C1194" s="4" t="s">
        <v>1014</v>
      </c>
      <c r="D1194" s="5">
        <v>2500000</v>
      </c>
      <c r="E1194" s="4">
        <v>30736949</v>
      </c>
      <c r="F1194" s="4" t="s">
        <v>557</v>
      </c>
      <c r="G1194" t="s">
        <v>565</v>
      </c>
    </row>
    <row r="1195" spans="1:7" ht="15" customHeight="1" x14ac:dyDescent="0.25">
      <c r="A1195" s="3">
        <v>45642</v>
      </c>
      <c r="B1195" s="4">
        <v>2024003162</v>
      </c>
      <c r="C1195" s="4" t="s">
        <v>1015</v>
      </c>
      <c r="D1195" s="5">
        <v>804000</v>
      </c>
      <c r="E1195" s="4">
        <v>1080900817</v>
      </c>
      <c r="F1195" s="4" t="s">
        <v>1016</v>
      </c>
      <c r="G1195" t="s">
        <v>565</v>
      </c>
    </row>
    <row r="1196" spans="1:7" ht="15" customHeight="1" x14ac:dyDescent="0.25">
      <c r="A1196" s="3">
        <v>45642</v>
      </c>
      <c r="B1196" s="4">
        <v>2024003163</v>
      </c>
      <c r="C1196" s="4" t="s">
        <v>1017</v>
      </c>
      <c r="D1196" s="5">
        <v>7540000</v>
      </c>
      <c r="E1196" s="4">
        <v>1193279435</v>
      </c>
      <c r="F1196" s="4" t="s">
        <v>435</v>
      </c>
      <c r="G1196" t="s">
        <v>565</v>
      </c>
    </row>
    <row r="1197" spans="1:7" ht="15" customHeight="1" x14ac:dyDescent="0.25">
      <c r="A1197" s="3">
        <v>45642</v>
      </c>
      <c r="B1197" s="4">
        <v>2024003164</v>
      </c>
      <c r="C1197" s="4" t="s">
        <v>929</v>
      </c>
      <c r="D1197" s="5">
        <v>7540000</v>
      </c>
      <c r="E1197" s="4">
        <v>87065647</v>
      </c>
      <c r="F1197" s="4" t="s">
        <v>43</v>
      </c>
      <c r="G1197" t="s">
        <v>565</v>
      </c>
    </row>
    <row r="1198" spans="1:7" ht="15" customHeight="1" x14ac:dyDescent="0.25">
      <c r="A1198" s="3">
        <v>45642</v>
      </c>
      <c r="B1198" s="4">
        <v>2024003165</v>
      </c>
      <c r="C1198" s="4" t="s">
        <v>803</v>
      </c>
      <c r="D1198" s="5">
        <v>7540000</v>
      </c>
      <c r="E1198" s="4">
        <v>80765093</v>
      </c>
      <c r="F1198" s="4" t="s">
        <v>69</v>
      </c>
      <c r="G1198" t="s">
        <v>565</v>
      </c>
    </row>
    <row r="1199" spans="1:7" ht="15" customHeight="1" x14ac:dyDescent="0.25">
      <c r="A1199" s="3">
        <v>45642</v>
      </c>
      <c r="B1199" s="4">
        <v>2024003166</v>
      </c>
      <c r="C1199" s="4" t="s">
        <v>746</v>
      </c>
      <c r="D1199" s="5">
        <v>7540000</v>
      </c>
      <c r="E1199" s="4">
        <v>1233191998</v>
      </c>
      <c r="F1199" s="4" t="s">
        <v>747</v>
      </c>
      <c r="G1199" t="s">
        <v>565</v>
      </c>
    </row>
    <row r="1200" spans="1:7" ht="15" customHeight="1" x14ac:dyDescent="0.25">
      <c r="A1200" s="3">
        <v>45642</v>
      </c>
      <c r="B1200" s="4">
        <v>2024003167</v>
      </c>
      <c r="C1200" s="4" t="s">
        <v>661</v>
      </c>
      <c r="D1200" s="5">
        <v>6000000</v>
      </c>
      <c r="E1200" s="4">
        <v>59837608</v>
      </c>
      <c r="F1200" s="4" t="s">
        <v>145</v>
      </c>
      <c r="G1200" t="s">
        <v>565</v>
      </c>
    </row>
    <row r="1201" spans="1:7" ht="15" customHeight="1" x14ac:dyDescent="0.25">
      <c r="A1201" s="3">
        <v>45642</v>
      </c>
      <c r="B1201" s="4">
        <v>2024003168</v>
      </c>
      <c r="C1201" s="4" t="s">
        <v>894</v>
      </c>
      <c r="D1201" s="5">
        <v>6000000</v>
      </c>
      <c r="E1201" s="4">
        <v>1085272491</v>
      </c>
      <c r="F1201" s="4" t="s">
        <v>895</v>
      </c>
      <c r="G1201" t="s">
        <v>565</v>
      </c>
    </row>
    <row r="1202" spans="1:7" ht="15" customHeight="1" x14ac:dyDescent="0.25">
      <c r="A1202" s="3">
        <v>45642</v>
      </c>
      <c r="B1202" s="4">
        <v>2024003169</v>
      </c>
      <c r="C1202" s="4" t="s">
        <v>913</v>
      </c>
      <c r="D1202" s="5">
        <v>4750000</v>
      </c>
      <c r="E1202" s="4">
        <v>36953206</v>
      </c>
      <c r="F1202" s="4" t="s">
        <v>391</v>
      </c>
      <c r="G1202" t="s">
        <v>565</v>
      </c>
    </row>
    <row r="1203" spans="1:7" ht="15" customHeight="1" x14ac:dyDescent="0.25">
      <c r="A1203" s="3">
        <v>45642</v>
      </c>
      <c r="B1203" s="4">
        <v>2024003170</v>
      </c>
      <c r="C1203" s="4" t="s">
        <v>638</v>
      </c>
      <c r="D1203" s="5">
        <v>6000000</v>
      </c>
      <c r="E1203" s="4">
        <v>1010010954</v>
      </c>
      <c r="F1203" s="4" t="s">
        <v>337</v>
      </c>
      <c r="G1203" t="s">
        <v>565</v>
      </c>
    </row>
    <row r="1204" spans="1:7" ht="15" customHeight="1" x14ac:dyDescent="0.25">
      <c r="A1204" s="3">
        <v>45642</v>
      </c>
      <c r="B1204" s="4">
        <v>2024003171</v>
      </c>
      <c r="C1204" s="4" t="s">
        <v>808</v>
      </c>
      <c r="D1204" s="5">
        <v>3000000</v>
      </c>
      <c r="E1204" s="4">
        <v>1085330237</v>
      </c>
      <c r="F1204" s="4" t="s">
        <v>255</v>
      </c>
      <c r="G1204" t="s">
        <v>565</v>
      </c>
    </row>
    <row r="1205" spans="1:7" ht="15" customHeight="1" x14ac:dyDescent="0.25">
      <c r="A1205" s="3">
        <v>45642</v>
      </c>
      <c r="B1205" s="4">
        <v>2024003172</v>
      </c>
      <c r="C1205" s="4" t="s">
        <v>805</v>
      </c>
      <c r="D1205" s="5">
        <v>3000000</v>
      </c>
      <c r="E1205" s="4">
        <v>59834953</v>
      </c>
      <c r="F1205" s="4" t="s">
        <v>121</v>
      </c>
      <c r="G1205" t="s">
        <v>565</v>
      </c>
    </row>
    <row r="1206" spans="1:7" ht="15" customHeight="1" x14ac:dyDescent="0.25">
      <c r="A1206" s="3">
        <v>45642</v>
      </c>
      <c r="B1206" s="4">
        <v>2024003173</v>
      </c>
      <c r="C1206" s="4" t="s">
        <v>810</v>
      </c>
      <c r="D1206" s="5">
        <v>4825000</v>
      </c>
      <c r="E1206" s="4">
        <v>1085337969</v>
      </c>
      <c r="F1206" s="4" t="s">
        <v>99</v>
      </c>
      <c r="G1206" t="s">
        <v>565</v>
      </c>
    </row>
    <row r="1207" spans="1:7" ht="15" customHeight="1" x14ac:dyDescent="0.25">
      <c r="A1207" s="3">
        <v>45642</v>
      </c>
      <c r="B1207" s="4">
        <v>2024003174</v>
      </c>
      <c r="C1207" s="4" t="s">
        <v>914</v>
      </c>
      <c r="D1207" s="5">
        <v>4750000</v>
      </c>
      <c r="E1207" s="4">
        <v>1018492767</v>
      </c>
      <c r="F1207" s="4" t="s">
        <v>915</v>
      </c>
      <c r="G1207" t="s">
        <v>565</v>
      </c>
    </row>
    <row r="1208" spans="1:7" ht="15" customHeight="1" x14ac:dyDescent="0.25">
      <c r="A1208" s="3">
        <v>45642</v>
      </c>
      <c r="B1208" s="4">
        <v>2024003175</v>
      </c>
      <c r="C1208" s="4" t="s">
        <v>1018</v>
      </c>
      <c r="D1208" s="5">
        <v>2500000</v>
      </c>
      <c r="E1208" s="4">
        <v>1081052090</v>
      </c>
      <c r="F1208" s="4" t="s">
        <v>319</v>
      </c>
      <c r="G1208" t="s">
        <v>565</v>
      </c>
    </row>
    <row r="1209" spans="1:7" ht="15" customHeight="1" x14ac:dyDescent="0.25">
      <c r="A1209" s="3">
        <v>45642</v>
      </c>
      <c r="B1209" s="4">
        <v>2024003176</v>
      </c>
      <c r="C1209" s="4" t="s">
        <v>1019</v>
      </c>
      <c r="D1209" s="5">
        <v>1416100</v>
      </c>
      <c r="E1209" s="4">
        <v>12990231</v>
      </c>
      <c r="F1209" s="4" t="s">
        <v>1020</v>
      </c>
      <c r="G1209" t="s">
        <v>565</v>
      </c>
    </row>
    <row r="1210" spans="1:7" ht="15" customHeight="1" x14ac:dyDescent="0.25">
      <c r="A1210" s="3">
        <v>45642</v>
      </c>
      <c r="B1210" s="4">
        <v>2024003177</v>
      </c>
      <c r="C1210" s="4" t="s">
        <v>622</v>
      </c>
      <c r="D1210" s="5">
        <v>4825000</v>
      </c>
      <c r="E1210" s="4">
        <v>1085283723</v>
      </c>
      <c r="F1210" s="4" t="s">
        <v>175</v>
      </c>
      <c r="G1210" t="s">
        <v>565</v>
      </c>
    </row>
    <row r="1211" spans="1:7" ht="15" customHeight="1" x14ac:dyDescent="0.25">
      <c r="A1211" s="3">
        <v>45642</v>
      </c>
      <c r="B1211" s="4">
        <v>2024003178</v>
      </c>
      <c r="C1211" s="4" t="s">
        <v>902</v>
      </c>
      <c r="D1211" s="5">
        <v>3000000</v>
      </c>
      <c r="E1211" s="4">
        <v>1080043348</v>
      </c>
      <c r="F1211" s="4" t="s">
        <v>903</v>
      </c>
      <c r="G1211" t="s">
        <v>565</v>
      </c>
    </row>
    <row r="1212" spans="1:7" ht="15" customHeight="1" x14ac:dyDescent="0.25">
      <c r="A1212" s="3">
        <v>45642</v>
      </c>
      <c r="B1212" s="4">
        <v>2024003179</v>
      </c>
      <c r="C1212" s="4" t="s">
        <v>620</v>
      </c>
      <c r="D1212" s="5">
        <v>4825000</v>
      </c>
      <c r="E1212" s="4">
        <v>1085273986</v>
      </c>
      <c r="F1212" s="4" t="s">
        <v>621</v>
      </c>
      <c r="G1212" t="s">
        <v>565</v>
      </c>
    </row>
    <row r="1213" spans="1:7" ht="15" customHeight="1" x14ac:dyDescent="0.25">
      <c r="A1213" s="3">
        <v>45642</v>
      </c>
      <c r="B1213" s="4">
        <v>2024003180</v>
      </c>
      <c r="C1213" s="4" t="s">
        <v>883</v>
      </c>
      <c r="D1213" s="5">
        <v>3000000</v>
      </c>
      <c r="E1213" s="4">
        <v>37083086</v>
      </c>
      <c r="F1213" s="4" t="s">
        <v>884</v>
      </c>
      <c r="G1213" t="s">
        <v>565</v>
      </c>
    </row>
    <row r="1214" spans="1:7" ht="15" customHeight="1" x14ac:dyDescent="0.25">
      <c r="A1214" s="3">
        <v>45642</v>
      </c>
      <c r="B1214" s="4">
        <v>2024003181</v>
      </c>
      <c r="C1214" s="4" t="s">
        <v>626</v>
      </c>
      <c r="D1214" s="5">
        <v>4825000</v>
      </c>
      <c r="E1214" s="4">
        <v>1085338534</v>
      </c>
      <c r="F1214" s="4" t="s">
        <v>15</v>
      </c>
      <c r="G1214" t="s">
        <v>565</v>
      </c>
    </row>
    <row r="1215" spans="1:7" ht="15" customHeight="1" x14ac:dyDescent="0.25">
      <c r="A1215" s="3">
        <v>45642</v>
      </c>
      <c r="B1215" s="4">
        <v>2024003182</v>
      </c>
      <c r="C1215" s="4" t="s">
        <v>605</v>
      </c>
      <c r="D1215" s="5">
        <v>3000000</v>
      </c>
      <c r="E1215" s="4">
        <v>1085326198</v>
      </c>
      <c r="F1215" s="4" t="s">
        <v>79</v>
      </c>
      <c r="G1215" t="s">
        <v>565</v>
      </c>
    </row>
    <row r="1216" spans="1:7" ht="15" customHeight="1" x14ac:dyDescent="0.25">
      <c r="A1216" s="3">
        <v>45642</v>
      </c>
      <c r="B1216" s="4">
        <v>2024003183</v>
      </c>
      <c r="C1216" s="4" t="s">
        <v>904</v>
      </c>
      <c r="D1216" s="5">
        <v>3000000</v>
      </c>
      <c r="E1216" s="4">
        <v>1193224810</v>
      </c>
      <c r="F1216" s="4" t="s">
        <v>409</v>
      </c>
      <c r="G1216" t="s">
        <v>565</v>
      </c>
    </row>
    <row r="1217" spans="1:7" ht="15" customHeight="1" x14ac:dyDescent="0.25">
      <c r="A1217" s="3">
        <v>45642</v>
      </c>
      <c r="B1217" s="4">
        <v>2024003184</v>
      </c>
      <c r="C1217" s="4" t="s">
        <v>632</v>
      </c>
      <c r="D1217" s="5">
        <v>6000000</v>
      </c>
      <c r="E1217" s="4">
        <v>36951002</v>
      </c>
      <c r="F1217" s="4" t="s">
        <v>125</v>
      </c>
      <c r="G1217" t="s">
        <v>565</v>
      </c>
    </row>
    <row r="1218" spans="1:7" ht="15" customHeight="1" x14ac:dyDescent="0.25">
      <c r="A1218" s="3">
        <v>45642</v>
      </c>
      <c r="B1218" s="4">
        <v>2024003186</v>
      </c>
      <c r="C1218" s="4" t="s">
        <v>630</v>
      </c>
      <c r="D1218" s="5">
        <v>3000000</v>
      </c>
      <c r="E1218" s="4">
        <v>1004635031</v>
      </c>
      <c r="F1218" s="4" t="s">
        <v>397</v>
      </c>
      <c r="G1218" t="s">
        <v>565</v>
      </c>
    </row>
    <row r="1219" spans="1:7" ht="15" customHeight="1" x14ac:dyDescent="0.25">
      <c r="A1219" s="3">
        <v>45642</v>
      </c>
      <c r="B1219" s="4">
        <v>2024003187</v>
      </c>
      <c r="C1219" s="4" t="s">
        <v>690</v>
      </c>
      <c r="D1219" s="5">
        <v>2500000</v>
      </c>
      <c r="E1219" s="4">
        <v>1081595853</v>
      </c>
      <c r="F1219" s="4" t="s">
        <v>189</v>
      </c>
      <c r="G1219" t="s">
        <v>565</v>
      </c>
    </row>
    <row r="1220" spans="1:7" ht="15" customHeight="1" x14ac:dyDescent="0.25">
      <c r="A1220" s="3">
        <v>45642</v>
      </c>
      <c r="B1220" s="4">
        <v>2024003188</v>
      </c>
      <c r="C1220" s="4" t="s">
        <v>887</v>
      </c>
      <c r="D1220" s="5">
        <v>3000000</v>
      </c>
      <c r="E1220" s="4">
        <v>1004234290</v>
      </c>
      <c r="F1220" s="4" t="s">
        <v>237</v>
      </c>
      <c r="G1220" t="s">
        <v>565</v>
      </c>
    </row>
    <row r="1221" spans="1:7" ht="15" customHeight="1" x14ac:dyDescent="0.25">
      <c r="A1221" s="3">
        <v>45642</v>
      </c>
      <c r="B1221" s="4">
        <v>2024003189</v>
      </c>
      <c r="C1221" s="4" t="s">
        <v>854</v>
      </c>
      <c r="D1221" s="5">
        <v>3000000</v>
      </c>
      <c r="E1221" s="4">
        <v>1085266584</v>
      </c>
      <c r="F1221" s="4" t="s">
        <v>115</v>
      </c>
      <c r="G1221" t="s">
        <v>565</v>
      </c>
    </row>
    <row r="1222" spans="1:7" ht="15" customHeight="1" x14ac:dyDescent="0.25">
      <c r="A1222" s="3">
        <v>45642</v>
      </c>
      <c r="B1222" s="4">
        <v>2024003190</v>
      </c>
      <c r="C1222" s="4" t="s">
        <v>865</v>
      </c>
      <c r="D1222" s="5">
        <v>2500000</v>
      </c>
      <c r="E1222" s="4">
        <v>1085281545</v>
      </c>
      <c r="F1222" s="4" t="s">
        <v>866</v>
      </c>
      <c r="G1222" t="s">
        <v>565</v>
      </c>
    </row>
    <row r="1223" spans="1:7" ht="15" customHeight="1" x14ac:dyDescent="0.25">
      <c r="A1223" s="3">
        <v>45642</v>
      </c>
      <c r="B1223" s="4">
        <v>2024003191</v>
      </c>
      <c r="C1223" s="4" t="s">
        <v>838</v>
      </c>
      <c r="D1223" s="5">
        <v>3000000</v>
      </c>
      <c r="E1223" s="4">
        <v>59310433</v>
      </c>
      <c r="F1223" s="4" t="s">
        <v>839</v>
      </c>
      <c r="G1223" t="s">
        <v>565</v>
      </c>
    </row>
    <row r="1224" spans="1:7" ht="15" customHeight="1" x14ac:dyDescent="0.25">
      <c r="A1224" s="3">
        <v>45642</v>
      </c>
      <c r="B1224" s="4">
        <v>2024003192</v>
      </c>
      <c r="C1224" s="4" t="s">
        <v>1021</v>
      </c>
      <c r="D1224" s="5">
        <v>804000</v>
      </c>
      <c r="E1224" s="4">
        <v>1085319572</v>
      </c>
      <c r="F1224" s="4" t="s">
        <v>1022</v>
      </c>
      <c r="G1224" t="s">
        <v>565</v>
      </c>
    </row>
    <row r="1225" spans="1:7" ht="15" customHeight="1" x14ac:dyDescent="0.25">
      <c r="A1225" s="3">
        <v>45642</v>
      </c>
      <c r="B1225" s="4">
        <v>2024003193</v>
      </c>
      <c r="C1225" s="4" t="s">
        <v>728</v>
      </c>
      <c r="D1225" s="5">
        <v>3000000</v>
      </c>
      <c r="E1225" s="4">
        <v>1010113730</v>
      </c>
      <c r="F1225" s="4" t="s">
        <v>219</v>
      </c>
      <c r="G1225" t="s">
        <v>565</v>
      </c>
    </row>
    <row r="1226" spans="1:7" ht="15" customHeight="1" x14ac:dyDescent="0.25">
      <c r="A1226" s="3">
        <v>45642</v>
      </c>
      <c r="B1226" s="4">
        <v>2024003194</v>
      </c>
      <c r="C1226" s="4" t="s">
        <v>564</v>
      </c>
      <c r="D1226" s="5">
        <v>3000000</v>
      </c>
      <c r="E1226" s="4">
        <v>1085324107</v>
      </c>
      <c r="F1226" s="4" t="s">
        <v>381</v>
      </c>
      <c r="G1226" t="s">
        <v>565</v>
      </c>
    </row>
    <row r="1227" spans="1:7" ht="15" customHeight="1" x14ac:dyDescent="0.25">
      <c r="A1227" s="3">
        <v>45642</v>
      </c>
      <c r="B1227" s="4">
        <v>2024003195</v>
      </c>
      <c r="C1227" s="4" t="s">
        <v>807</v>
      </c>
      <c r="D1227" s="5">
        <v>2500000</v>
      </c>
      <c r="E1227" s="4">
        <v>37087268</v>
      </c>
      <c r="F1227" s="4" t="s">
        <v>257</v>
      </c>
      <c r="G1227" t="s">
        <v>565</v>
      </c>
    </row>
    <row r="1228" spans="1:7" ht="15" customHeight="1" x14ac:dyDescent="0.25">
      <c r="A1228" s="3">
        <v>45642</v>
      </c>
      <c r="B1228" s="4">
        <v>2024003196</v>
      </c>
      <c r="C1228" s="4" t="s">
        <v>822</v>
      </c>
      <c r="D1228" s="5">
        <v>3000000</v>
      </c>
      <c r="E1228" s="4">
        <v>98382500</v>
      </c>
      <c r="F1228" s="4" t="s">
        <v>183</v>
      </c>
      <c r="G1228" t="s">
        <v>565</v>
      </c>
    </row>
    <row r="1229" spans="1:7" ht="15" customHeight="1" x14ac:dyDescent="0.25">
      <c r="A1229" s="3">
        <v>45642</v>
      </c>
      <c r="B1229" s="4">
        <v>2024003198</v>
      </c>
      <c r="C1229" s="4" t="s">
        <v>712</v>
      </c>
      <c r="D1229" s="5">
        <v>7540000</v>
      </c>
      <c r="E1229" s="4">
        <v>1233192708</v>
      </c>
      <c r="F1229" s="4" t="s">
        <v>591</v>
      </c>
      <c r="G1229" t="s">
        <v>565</v>
      </c>
    </row>
    <row r="1230" spans="1:7" ht="15" customHeight="1" x14ac:dyDescent="0.25">
      <c r="A1230" s="3">
        <v>45642</v>
      </c>
      <c r="B1230" s="4">
        <v>2024003199</v>
      </c>
      <c r="C1230" s="4" t="s">
        <v>762</v>
      </c>
      <c r="D1230" s="5">
        <v>2500000</v>
      </c>
      <c r="E1230" s="4">
        <v>36757715</v>
      </c>
      <c r="F1230" s="4" t="s">
        <v>313</v>
      </c>
      <c r="G1230" t="s">
        <v>565</v>
      </c>
    </row>
    <row r="1231" spans="1:7" ht="15" customHeight="1" x14ac:dyDescent="0.25">
      <c r="A1231" s="3">
        <v>45642</v>
      </c>
      <c r="B1231" s="4">
        <v>2024003200</v>
      </c>
      <c r="C1231" s="4" t="s">
        <v>1023</v>
      </c>
      <c r="D1231" s="5">
        <v>2500000</v>
      </c>
      <c r="E1231" s="4">
        <v>36757507</v>
      </c>
      <c r="F1231" s="4" t="s">
        <v>1024</v>
      </c>
      <c r="G1231" t="s">
        <v>565</v>
      </c>
    </row>
    <row r="1232" spans="1:7" ht="15" customHeight="1" x14ac:dyDescent="0.25">
      <c r="A1232" s="3">
        <v>45642</v>
      </c>
      <c r="B1232" s="4">
        <v>2024003201</v>
      </c>
      <c r="C1232" s="4" t="s">
        <v>613</v>
      </c>
      <c r="D1232" s="5">
        <v>6000000</v>
      </c>
      <c r="E1232" s="4">
        <v>1085313872</v>
      </c>
      <c r="F1232" s="4" t="s">
        <v>614</v>
      </c>
      <c r="G1232" t="s">
        <v>565</v>
      </c>
    </row>
    <row r="1233" spans="1:7" ht="15" customHeight="1" x14ac:dyDescent="0.25">
      <c r="A1233" s="3">
        <v>45642</v>
      </c>
      <c r="B1233" s="4">
        <v>2024003202</v>
      </c>
      <c r="C1233" s="4" t="s">
        <v>1025</v>
      </c>
      <c r="D1233" s="5">
        <v>3000000</v>
      </c>
      <c r="E1233" s="4">
        <v>37083324</v>
      </c>
      <c r="F1233" s="4" t="s">
        <v>485</v>
      </c>
      <c r="G1233" t="s">
        <v>565</v>
      </c>
    </row>
    <row r="1234" spans="1:7" ht="15" customHeight="1" x14ac:dyDescent="0.25">
      <c r="A1234" s="3">
        <v>45642</v>
      </c>
      <c r="B1234" s="4">
        <v>2024003203</v>
      </c>
      <c r="C1234" s="4" t="s">
        <v>841</v>
      </c>
      <c r="D1234" s="5">
        <v>4825000</v>
      </c>
      <c r="E1234" s="4">
        <v>1085265622</v>
      </c>
      <c r="F1234" s="4" t="s">
        <v>460</v>
      </c>
      <c r="G1234" t="s">
        <v>565</v>
      </c>
    </row>
    <row r="1235" spans="1:7" ht="15" customHeight="1" x14ac:dyDescent="0.25">
      <c r="A1235" s="3">
        <v>45642</v>
      </c>
      <c r="B1235" s="4">
        <v>2024003204</v>
      </c>
      <c r="C1235" s="4" t="s">
        <v>905</v>
      </c>
      <c r="D1235" s="5">
        <v>3000000</v>
      </c>
      <c r="E1235" s="4">
        <v>1085302942</v>
      </c>
      <c r="F1235" s="4" t="s">
        <v>417</v>
      </c>
      <c r="G1235" t="s">
        <v>565</v>
      </c>
    </row>
    <row r="1236" spans="1:7" ht="15" customHeight="1" x14ac:dyDescent="0.25">
      <c r="A1236" s="3">
        <v>45642</v>
      </c>
      <c r="B1236" s="4">
        <v>2024003205</v>
      </c>
      <c r="C1236" s="4" t="s">
        <v>645</v>
      </c>
      <c r="D1236" s="5">
        <v>7540000</v>
      </c>
      <c r="E1236" s="4">
        <v>1085320661</v>
      </c>
      <c r="F1236" s="4" t="s">
        <v>393</v>
      </c>
      <c r="G1236" t="s">
        <v>565</v>
      </c>
    </row>
    <row r="1237" spans="1:7" ht="15" customHeight="1" x14ac:dyDescent="0.25">
      <c r="A1237" s="3">
        <v>45642</v>
      </c>
      <c r="B1237" s="4">
        <v>2024003207</v>
      </c>
      <c r="C1237" s="4" t="s">
        <v>697</v>
      </c>
      <c r="D1237" s="5">
        <v>7540000</v>
      </c>
      <c r="E1237" s="4">
        <v>37087120</v>
      </c>
      <c r="F1237" s="4" t="s">
        <v>159</v>
      </c>
      <c r="G1237" t="s">
        <v>565</v>
      </c>
    </row>
    <row r="1238" spans="1:7" ht="15" customHeight="1" x14ac:dyDescent="0.25">
      <c r="A1238" s="3">
        <v>45642</v>
      </c>
      <c r="B1238" s="4">
        <v>2024003208</v>
      </c>
      <c r="C1238" s="4" t="s">
        <v>647</v>
      </c>
      <c r="D1238" s="5">
        <v>4825000</v>
      </c>
      <c r="E1238" s="4">
        <v>12748383</v>
      </c>
      <c r="F1238" s="4" t="s">
        <v>447</v>
      </c>
      <c r="G1238" t="s">
        <v>565</v>
      </c>
    </row>
    <row r="1239" spans="1:7" ht="15" customHeight="1" x14ac:dyDescent="0.25">
      <c r="A1239" s="3">
        <v>45642</v>
      </c>
      <c r="B1239" s="4">
        <v>2024003209</v>
      </c>
      <c r="C1239" s="4" t="s">
        <v>707</v>
      </c>
      <c r="D1239" s="5">
        <v>3000000</v>
      </c>
      <c r="E1239" s="4">
        <v>1085269090</v>
      </c>
      <c r="F1239" s="4" t="s">
        <v>371</v>
      </c>
      <c r="G1239" t="s">
        <v>565</v>
      </c>
    </row>
    <row r="1240" spans="1:7" ht="15" customHeight="1" x14ac:dyDescent="0.25">
      <c r="A1240" s="3">
        <v>45642</v>
      </c>
      <c r="B1240" s="4">
        <v>2024003210</v>
      </c>
      <c r="C1240" s="4" t="s">
        <v>1026</v>
      </c>
      <c r="D1240" s="5">
        <v>833000</v>
      </c>
      <c r="E1240" s="4">
        <v>1085254615</v>
      </c>
      <c r="F1240" s="4" t="s">
        <v>1027</v>
      </c>
      <c r="G1240" t="s">
        <v>565</v>
      </c>
    </row>
    <row r="1241" spans="1:7" ht="15" customHeight="1" x14ac:dyDescent="0.25">
      <c r="A1241" s="3">
        <v>45642</v>
      </c>
      <c r="B1241" s="4">
        <v>2024003211</v>
      </c>
      <c r="C1241" s="4" t="s">
        <v>753</v>
      </c>
      <c r="D1241" s="5">
        <v>3000000</v>
      </c>
      <c r="E1241" s="4">
        <v>1085272140</v>
      </c>
      <c r="F1241" s="4" t="s">
        <v>754</v>
      </c>
      <c r="G1241" t="s">
        <v>565</v>
      </c>
    </row>
    <row r="1242" spans="1:7" ht="15" customHeight="1" x14ac:dyDescent="0.25">
      <c r="A1242" s="3">
        <v>45642</v>
      </c>
      <c r="B1242" s="4">
        <v>2024003212</v>
      </c>
      <c r="C1242" s="4" t="s">
        <v>721</v>
      </c>
      <c r="D1242" s="5">
        <v>2500000</v>
      </c>
      <c r="E1242" s="4">
        <v>1004535115</v>
      </c>
      <c r="F1242" s="4" t="s">
        <v>347</v>
      </c>
      <c r="G1242" t="s">
        <v>565</v>
      </c>
    </row>
    <row r="1243" spans="1:7" ht="15" customHeight="1" x14ac:dyDescent="0.25">
      <c r="A1243" s="3">
        <v>45642</v>
      </c>
      <c r="B1243" s="4">
        <v>2024003213</v>
      </c>
      <c r="C1243" s="4" t="s">
        <v>799</v>
      </c>
      <c r="D1243" s="5">
        <v>2500000</v>
      </c>
      <c r="E1243" s="4">
        <v>1085320930</v>
      </c>
      <c r="F1243" s="4" t="s">
        <v>259</v>
      </c>
      <c r="G1243" t="s">
        <v>565</v>
      </c>
    </row>
    <row r="1244" spans="1:7" ht="15" customHeight="1" x14ac:dyDescent="0.25">
      <c r="A1244" s="3">
        <v>45642</v>
      </c>
      <c r="B1244" s="4">
        <v>2024003214</v>
      </c>
      <c r="C1244" s="4" t="s">
        <v>606</v>
      </c>
      <c r="D1244" s="5">
        <v>3000000</v>
      </c>
      <c r="E1244" s="4">
        <v>1088799034</v>
      </c>
      <c r="F1244" s="4" t="s">
        <v>81</v>
      </c>
      <c r="G1244" t="s">
        <v>565</v>
      </c>
    </row>
    <row r="1245" spans="1:7" ht="15" customHeight="1" x14ac:dyDescent="0.25">
      <c r="A1245" s="3">
        <v>45642</v>
      </c>
      <c r="B1245" s="4">
        <v>2024003215</v>
      </c>
      <c r="C1245" s="4" t="s">
        <v>881</v>
      </c>
      <c r="D1245" s="5">
        <v>4750000</v>
      </c>
      <c r="E1245" s="4">
        <v>1085318684</v>
      </c>
      <c r="F1245" s="4" t="s">
        <v>355</v>
      </c>
      <c r="G1245" t="s">
        <v>565</v>
      </c>
    </row>
    <row r="1246" spans="1:7" ht="15" customHeight="1" x14ac:dyDescent="0.25">
      <c r="A1246" s="3">
        <v>45642</v>
      </c>
      <c r="B1246" s="4">
        <v>2024003217</v>
      </c>
      <c r="C1246" s="4" t="s">
        <v>882</v>
      </c>
      <c r="D1246" s="5">
        <v>3000000</v>
      </c>
      <c r="E1246" s="4">
        <v>5930737</v>
      </c>
      <c r="F1246" s="4" t="s">
        <v>213</v>
      </c>
      <c r="G1246" t="s">
        <v>565</v>
      </c>
    </row>
    <row r="1247" spans="1:7" ht="15" customHeight="1" x14ac:dyDescent="0.25">
      <c r="A1247" s="3">
        <v>45642</v>
      </c>
      <c r="B1247" s="4">
        <v>2024003218</v>
      </c>
      <c r="C1247" s="4" t="s">
        <v>880</v>
      </c>
      <c r="D1247" s="5">
        <v>3000000</v>
      </c>
      <c r="E1247" s="4">
        <v>1085323101</v>
      </c>
      <c r="F1247" s="4" t="s">
        <v>73</v>
      </c>
      <c r="G1247" t="s">
        <v>565</v>
      </c>
    </row>
    <row r="1248" spans="1:7" ht="15" customHeight="1" x14ac:dyDescent="0.25">
      <c r="A1248" s="3">
        <v>45642</v>
      </c>
      <c r="B1248" s="4">
        <v>2024003219</v>
      </c>
      <c r="C1248" s="4" t="s">
        <v>877</v>
      </c>
      <c r="D1248" s="5">
        <v>3000000</v>
      </c>
      <c r="E1248" s="4">
        <v>87070661</v>
      </c>
      <c r="F1248" s="4" t="s">
        <v>185</v>
      </c>
      <c r="G1248" t="s">
        <v>565</v>
      </c>
    </row>
    <row r="1249" spans="1:7" ht="15" customHeight="1" x14ac:dyDescent="0.25">
      <c r="A1249" s="3">
        <v>45642</v>
      </c>
      <c r="B1249" s="4">
        <v>2024003220</v>
      </c>
      <c r="C1249" s="4" t="s">
        <v>879</v>
      </c>
      <c r="D1249" s="5">
        <v>2500000</v>
      </c>
      <c r="E1249" s="4">
        <v>30737741</v>
      </c>
      <c r="F1249" s="4" t="s">
        <v>199</v>
      </c>
      <c r="G1249" t="s">
        <v>565</v>
      </c>
    </row>
    <row r="1250" spans="1:7" ht="15" customHeight="1" x14ac:dyDescent="0.25">
      <c r="A1250" s="13">
        <v>45642</v>
      </c>
      <c r="B1250" s="1">
        <v>2024003221</v>
      </c>
      <c r="C1250" s="1" t="s">
        <v>439</v>
      </c>
      <c r="D1250" s="5">
        <v>4825000</v>
      </c>
      <c r="E1250" s="1">
        <v>1088730712</v>
      </c>
      <c r="F1250" s="1" t="s">
        <v>295</v>
      </c>
      <c r="G1250" s="1" t="s">
        <v>9</v>
      </c>
    </row>
    <row r="1251" spans="1:7" ht="15" customHeight="1" x14ac:dyDescent="0.25">
      <c r="A1251" s="3">
        <v>45642</v>
      </c>
      <c r="B1251" s="4">
        <v>2024003222</v>
      </c>
      <c r="C1251" s="4" t="s">
        <v>1028</v>
      </c>
      <c r="D1251" s="5">
        <v>1416100</v>
      </c>
      <c r="E1251" s="4">
        <v>12996869</v>
      </c>
      <c r="F1251" s="4" t="s">
        <v>1029</v>
      </c>
      <c r="G1251" t="s">
        <v>565</v>
      </c>
    </row>
    <row r="1252" spans="1:7" ht="15" customHeight="1" x14ac:dyDescent="0.25">
      <c r="A1252" s="3">
        <v>45642</v>
      </c>
      <c r="B1252" s="4">
        <v>2024003223</v>
      </c>
      <c r="C1252" s="4" t="s">
        <v>856</v>
      </c>
      <c r="D1252" s="5">
        <v>2500000</v>
      </c>
      <c r="E1252" s="4">
        <v>1086016308</v>
      </c>
      <c r="F1252" s="4" t="s">
        <v>305</v>
      </c>
      <c r="G1252" t="s">
        <v>565</v>
      </c>
    </row>
    <row r="1253" spans="1:7" ht="15" customHeight="1" x14ac:dyDescent="0.25">
      <c r="A1253" s="3">
        <v>45642</v>
      </c>
      <c r="B1253" s="4">
        <v>2024003225</v>
      </c>
      <c r="C1253" s="4" t="s">
        <v>756</v>
      </c>
      <c r="D1253" s="5">
        <v>6000000</v>
      </c>
      <c r="E1253" s="4">
        <v>36757221</v>
      </c>
      <c r="F1253" s="4" t="s">
        <v>453</v>
      </c>
      <c r="G1253" t="s">
        <v>565</v>
      </c>
    </row>
    <row r="1254" spans="1:7" ht="15" customHeight="1" x14ac:dyDescent="0.25">
      <c r="A1254" s="3">
        <v>45642</v>
      </c>
      <c r="B1254" s="4">
        <v>2024003226</v>
      </c>
      <c r="C1254" s="4" t="s">
        <v>798</v>
      </c>
      <c r="D1254" s="5">
        <v>6000000</v>
      </c>
      <c r="E1254" s="4">
        <v>27109314</v>
      </c>
      <c r="F1254" s="4" t="s">
        <v>217</v>
      </c>
      <c r="G1254" t="s">
        <v>565</v>
      </c>
    </row>
    <row r="1255" spans="1:7" ht="15" customHeight="1" x14ac:dyDescent="0.25">
      <c r="A1255" s="3">
        <v>45642</v>
      </c>
      <c r="B1255" s="4">
        <v>2024003228</v>
      </c>
      <c r="C1255" s="4" t="s">
        <v>618</v>
      </c>
      <c r="D1255" s="5">
        <v>6000000</v>
      </c>
      <c r="E1255" s="4">
        <v>1085320275</v>
      </c>
      <c r="F1255" s="4" t="s">
        <v>619</v>
      </c>
      <c r="G1255" t="s">
        <v>565</v>
      </c>
    </row>
    <row r="1256" spans="1:7" ht="15" customHeight="1" x14ac:dyDescent="0.25">
      <c r="A1256" s="3">
        <v>45642</v>
      </c>
      <c r="B1256" s="4">
        <v>2024003229</v>
      </c>
      <c r="C1256" s="4" t="s">
        <v>757</v>
      </c>
      <c r="D1256" s="5">
        <v>3000000</v>
      </c>
      <c r="E1256" s="4">
        <v>1085309422</v>
      </c>
      <c r="F1256" s="4" t="s">
        <v>758</v>
      </c>
      <c r="G1256" t="s">
        <v>565</v>
      </c>
    </row>
    <row r="1257" spans="1:7" ht="15" customHeight="1" x14ac:dyDescent="0.25">
      <c r="A1257" s="3">
        <v>45642</v>
      </c>
      <c r="B1257" s="4">
        <v>2024003230</v>
      </c>
      <c r="C1257" s="4" t="s">
        <v>629</v>
      </c>
      <c r="D1257" s="5">
        <v>2500000</v>
      </c>
      <c r="E1257" s="4">
        <v>27211504</v>
      </c>
      <c r="F1257" s="4" t="s">
        <v>203</v>
      </c>
      <c r="G1257" t="s">
        <v>565</v>
      </c>
    </row>
    <row r="1258" spans="1:7" ht="15" customHeight="1" x14ac:dyDescent="0.25">
      <c r="A1258" s="3">
        <v>45642</v>
      </c>
      <c r="B1258" s="4">
        <v>2024003232</v>
      </c>
      <c r="C1258" s="4" t="s">
        <v>641</v>
      </c>
      <c r="D1258" s="5">
        <v>2500000</v>
      </c>
      <c r="E1258" s="4">
        <v>1085251468</v>
      </c>
      <c r="F1258" s="4" t="s">
        <v>303</v>
      </c>
      <c r="G1258" t="s">
        <v>565</v>
      </c>
    </row>
    <row r="1259" spans="1:7" ht="15" customHeight="1" x14ac:dyDescent="0.25">
      <c r="A1259" s="3">
        <v>45642</v>
      </c>
      <c r="B1259" s="4">
        <v>2024003233</v>
      </c>
      <c r="C1259" s="4" t="s">
        <v>642</v>
      </c>
      <c r="D1259" s="5">
        <v>6000000</v>
      </c>
      <c r="E1259" s="4">
        <v>1085292185</v>
      </c>
      <c r="F1259" s="4" t="s">
        <v>27</v>
      </c>
      <c r="G1259" t="s">
        <v>565</v>
      </c>
    </row>
    <row r="1260" spans="1:7" ht="15" customHeight="1" x14ac:dyDescent="0.25">
      <c r="A1260" s="3">
        <v>45642</v>
      </c>
      <c r="B1260" s="4">
        <v>2024003234</v>
      </c>
      <c r="C1260" s="4" t="s">
        <v>935</v>
      </c>
      <c r="D1260" s="5">
        <v>3000000</v>
      </c>
      <c r="E1260" s="4">
        <v>59828916</v>
      </c>
      <c r="F1260" s="4" t="s">
        <v>181</v>
      </c>
      <c r="G1260" t="s">
        <v>565</v>
      </c>
    </row>
    <row r="1261" spans="1:7" ht="15" customHeight="1" x14ac:dyDescent="0.25">
      <c r="A1261" s="3">
        <v>45642</v>
      </c>
      <c r="B1261" s="4">
        <v>2024003235</v>
      </c>
      <c r="C1261" s="4" t="s">
        <v>901</v>
      </c>
      <c r="D1261" s="5">
        <v>3000000</v>
      </c>
      <c r="E1261" s="4">
        <v>1004235479</v>
      </c>
      <c r="F1261" s="4" t="s">
        <v>477</v>
      </c>
      <c r="G1261" t="s">
        <v>565</v>
      </c>
    </row>
    <row r="1262" spans="1:7" ht="15" customHeight="1" x14ac:dyDescent="0.25">
      <c r="A1262" s="3">
        <v>45642</v>
      </c>
      <c r="B1262" s="4">
        <v>2024003236</v>
      </c>
      <c r="C1262" s="4" t="s">
        <v>934</v>
      </c>
      <c r="D1262" s="5">
        <v>4825000</v>
      </c>
      <c r="E1262" s="4">
        <v>27087851</v>
      </c>
      <c r="F1262" s="4" t="s">
        <v>177</v>
      </c>
      <c r="G1262" t="s">
        <v>565</v>
      </c>
    </row>
    <row r="1263" spans="1:7" ht="15" customHeight="1" x14ac:dyDescent="0.25">
      <c r="A1263" s="3">
        <v>45642</v>
      </c>
      <c r="B1263" s="4">
        <v>2024003237</v>
      </c>
      <c r="C1263" s="4" t="s">
        <v>826</v>
      </c>
      <c r="D1263" s="5">
        <v>2500000</v>
      </c>
      <c r="E1263" s="4">
        <v>59311646</v>
      </c>
      <c r="F1263" s="4" t="s">
        <v>373</v>
      </c>
      <c r="G1263" t="s">
        <v>565</v>
      </c>
    </row>
    <row r="1264" spans="1:7" ht="15" customHeight="1" x14ac:dyDescent="0.25">
      <c r="A1264" s="3">
        <v>45643</v>
      </c>
      <c r="B1264" s="4">
        <v>2024003240</v>
      </c>
      <c r="C1264" s="4" t="s">
        <v>832</v>
      </c>
      <c r="D1264" s="5">
        <v>3000000</v>
      </c>
      <c r="E1264" s="4">
        <v>59311233</v>
      </c>
      <c r="F1264" s="4" t="s">
        <v>833</v>
      </c>
      <c r="G1264" t="s">
        <v>565</v>
      </c>
    </row>
    <row r="1265" spans="1:7" ht="15" customHeight="1" x14ac:dyDescent="0.25">
      <c r="A1265" s="3">
        <v>45643</v>
      </c>
      <c r="B1265" s="4">
        <v>2024003241</v>
      </c>
      <c r="C1265" s="4" t="s">
        <v>825</v>
      </c>
      <c r="D1265" s="5">
        <v>3000000</v>
      </c>
      <c r="E1265" s="4">
        <v>1085313463</v>
      </c>
      <c r="F1265" s="4" t="s">
        <v>331</v>
      </c>
      <c r="G1265" t="s">
        <v>565</v>
      </c>
    </row>
    <row r="1266" spans="1:7" ht="15" customHeight="1" x14ac:dyDescent="0.25">
      <c r="A1266" s="3">
        <v>45643</v>
      </c>
      <c r="B1266" s="4">
        <v>2024003242</v>
      </c>
      <c r="C1266" s="4" t="s">
        <v>909</v>
      </c>
      <c r="D1266" s="5">
        <v>7540000</v>
      </c>
      <c r="E1266" s="4">
        <v>1085312978</v>
      </c>
      <c r="F1266" s="4" t="s">
        <v>910</v>
      </c>
      <c r="G1266" t="s">
        <v>565</v>
      </c>
    </row>
    <row r="1267" spans="1:7" ht="15" customHeight="1" x14ac:dyDescent="0.25">
      <c r="A1267" s="3">
        <v>45643</v>
      </c>
      <c r="B1267" s="4">
        <v>2024003243</v>
      </c>
      <c r="C1267" s="4" t="s">
        <v>623</v>
      </c>
      <c r="D1267" s="5">
        <v>4750000</v>
      </c>
      <c r="E1267" s="4">
        <v>1085260497</v>
      </c>
      <c r="F1267" s="4" t="s">
        <v>429</v>
      </c>
      <c r="G1267" t="s">
        <v>565</v>
      </c>
    </row>
    <row r="1268" spans="1:7" ht="15" customHeight="1" x14ac:dyDescent="0.25">
      <c r="A1268" s="3">
        <v>45643</v>
      </c>
      <c r="B1268" s="4">
        <v>2024003245</v>
      </c>
      <c r="C1268" s="4" t="s">
        <v>760</v>
      </c>
      <c r="D1268" s="5">
        <v>3000000</v>
      </c>
      <c r="E1268" s="4">
        <v>1004535234</v>
      </c>
      <c r="F1268" s="4" t="s">
        <v>507</v>
      </c>
      <c r="G1268" t="s">
        <v>565</v>
      </c>
    </row>
    <row r="1269" spans="1:7" ht="15" customHeight="1" x14ac:dyDescent="0.25">
      <c r="A1269" s="3">
        <v>45643</v>
      </c>
      <c r="B1269" s="4">
        <v>2024003246</v>
      </c>
      <c r="C1269" s="4" t="s">
        <v>703</v>
      </c>
      <c r="D1269" s="5">
        <v>3000000</v>
      </c>
      <c r="E1269" s="4">
        <v>1233191675</v>
      </c>
      <c r="F1269" s="4" t="s">
        <v>523</v>
      </c>
      <c r="G1269" t="s">
        <v>565</v>
      </c>
    </row>
    <row r="1270" spans="1:7" ht="15" customHeight="1" x14ac:dyDescent="0.25">
      <c r="A1270" s="3">
        <v>45643</v>
      </c>
      <c r="B1270" s="4">
        <v>2024003247</v>
      </c>
      <c r="C1270" s="4" t="s">
        <v>782</v>
      </c>
      <c r="D1270" s="5">
        <v>3000000</v>
      </c>
      <c r="E1270" s="4">
        <v>59833899</v>
      </c>
      <c r="F1270" s="4" t="s">
        <v>467</v>
      </c>
      <c r="G1270" t="s">
        <v>565</v>
      </c>
    </row>
    <row r="1271" spans="1:7" ht="15" customHeight="1" x14ac:dyDescent="0.25">
      <c r="A1271" s="3">
        <v>45643</v>
      </c>
      <c r="B1271" s="4">
        <v>2024003248</v>
      </c>
      <c r="C1271" s="4" t="s">
        <v>671</v>
      </c>
      <c r="D1271" s="5">
        <v>6000000</v>
      </c>
      <c r="E1271" s="4">
        <v>1004213964</v>
      </c>
      <c r="F1271" s="4" t="s">
        <v>113</v>
      </c>
      <c r="G1271" t="s">
        <v>565</v>
      </c>
    </row>
    <row r="1272" spans="1:7" ht="15" customHeight="1" x14ac:dyDescent="0.25">
      <c r="A1272" s="3">
        <v>45643</v>
      </c>
      <c r="B1272" s="4">
        <v>2024003249</v>
      </c>
      <c r="C1272" s="4" t="s">
        <v>817</v>
      </c>
      <c r="D1272" s="5">
        <v>3000000</v>
      </c>
      <c r="E1272" s="4">
        <v>1085252263</v>
      </c>
      <c r="F1272" s="4" t="s">
        <v>33</v>
      </c>
      <c r="G1272" t="s">
        <v>565</v>
      </c>
    </row>
    <row r="1273" spans="1:7" ht="15" customHeight="1" x14ac:dyDescent="0.25">
      <c r="A1273" s="3">
        <v>45643</v>
      </c>
      <c r="B1273" s="4">
        <v>2024003250</v>
      </c>
      <c r="C1273" s="4" t="s">
        <v>755</v>
      </c>
      <c r="D1273" s="5">
        <v>3000000</v>
      </c>
      <c r="E1273" s="4">
        <v>1085347540</v>
      </c>
      <c r="F1273" s="4" t="s">
        <v>321</v>
      </c>
      <c r="G1273" t="s">
        <v>565</v>
      </c>
    </row>
    <row r="1274" spans="1:7" ht="15" customHeight="1" x14ac:dyDescent="0.25">
      <c r="A1274" s="3">
        <v>45643</v>
      </c>
      <c r="B1274" s="4">
        <v>2024003251</v>
      </c>
      <c r="C1274" s="4" t="s">
        <v>722</v>
      </c>
      <c r="D1274" s="5">
        <v>3000000</v>
      </c>
      <c r="E1274" s="4">
        <v>1086329609</v>
      </c>
      <c r="F1274" s="4" t="s">
        <v>443</v>
      </c>
      <c r="G1274" t="s">
        <v>565</v>
      </c>
    </row>
    <row r="1275" spans="1:7" ht="15" customHeight="1" x14ac:dyDescent="0.25">
      <c r="A1275" s="3">
        <v>45643</v>
      </c>
      <c r="B1275" s="4">
        <v>2024003252</v>
      </c>
      <c r="C1275" s="4" t="s">
        <v>843</v>
      </c>
      <c r="D1275" s="5">
        <v>4825000</v>
      </c>
      <c r="E1275" s="4">
        <v>1085321578</v>
      </c>
      <c r="F1275" s="4" t="s">
        <v>275</v>
      </c>
      <c r="G1275" t="s">
        <v>565</v>
      </c>
    </row>
    <row r="1276" spans="1:7" ht="15" customHeight="1" x14ac:dyDescent="0.25">
      <c r="A1276" s="3">
        <v>45643</v>
      </c>
      <c r="B1276" s="4">
        <v>2024003253</v>
      </c>
      <c r="C1276" s="4" t="s">
        <v>789</v>
      </c>
      <c r="D1276" s="5">
        <v>3000000</v>
      </c>
      <c r="E1276" s="4">
        <v>1086362994</v>
      </c>
      <c r="F1276" s="4" t="s">
        <v>77</v>
      </c>
      <c r="G1276" t="s">
        <v>565</v>
      </c>
    </row>
    <row r="1277" spans="1:7" ht="15" customHeight="1" x14ac:dyDescent="0.25">
      <c r="A1277" s="3">
        <v>45643</v>
      </c>
      <c r="B1277" s="4">
        <v>2024003254</v>
      </c>
      <c r="C1277" s="4" t="s">
        <v>906</v>
      </c>
      <c r="D1277" s="5">
        <v>3000000</v>
      </c>
      <c r="E1277" s="4">
        <v>1004216993</v>
      </c>
      <c r="F1277" s="4" t="s">
        <v>511</v>
      </c>
      <c r="G1277" t="s">
        <v>565</v>
      </c>
    </row>
    <row r="1278" spans="1:7" ht="15" customHeight="1" x14ac:dyDescent="0.25">
      <c r="A1278" s="3">
        <v>45643</v>
      </c>
      <c r="B1278" s="4">
        <v>2024003255</v>
      </c>
      <c r="C1278" s="4" t="s">
        <v>702</v>
      </c>
      <c r="D1278" s="5">
        <v>4825000</v>
      </c>
      <c r="E1278" s="4">
        <v>1085289739</v>
      </c>
      <c r="F1278" s="4" t="s">
        <v>241</v>
      </c>
      <c r="G1278" t="s">
        <v>565</v>
      </c>
    </row>
    <row r="1279" spans="1:7" ht="15" customHeight="1" x14ac:dyDescent="0.25">
      <c r="A1279" s="3">
        <v>45643</v>
      </c>
      <c r="B1279" s="4">
        <v>2024003256</v>
      </c>
      <c r="C1279" s="4" t="s">
        <v>1030</v>
      </c>
      <c r="D1279" s="5">
        <v>2090400</v>
      </c>
      <c r="E1279" s="4">
        <v>1085322873</v>
      </c>
      <c r="F1279" s="4" t="s">
        <v>1031</v>
      </c>
      <c r="G1279" t="s">
        <v>565</v>
      </c>
    </row>
    <row r="1280" spans="1:7" ht="15" customHeight="1" x14ac:dyDescent="0.25">
      <c r="A1280" s="3">
        <v>45643</v>
      </c>
      <c r="B1280" s="4">
        <v>2024003257</v>
      </c>
      <c r="C1280" s="4" t="s">
        <v>660</v>
      </c>
      <c r="D1280" s="5">
        <v>7540000</v>
      </c>
      <c r="E1280" s="4">
        <v>1085329230</v>
      </c>
      <c r="F1280" s="4" t="s">
        <v>83</v>
      </c>
      <c r="G1280" t="s">
        <v>565</v>
      </c>
    </row>
    <row r="1281" spans="1:7" ht="15" customHeight="1" x14ac:dyDescent="0.25">
      <c r="A1281" s="3">
        <v>45643</v>
      </c>
      <c r="B1281" s="4">
        <v>2024003258</v>
      </c>
      <c r="C1281" s="4" t="s">
        <v>871</v>
      </c>
      <c r="D1281" s="5">
        <v>7540000</v>
      </c>
      <c r="E1281" s="4">
        <v>12961407</v>
      </c>
      <c r="F1281" s="4" t="s">
        <v>309</v>
      </c>
      <c r="G1281" t="s">
        <v>565</v>
      </c>
    </row>
    <row r="1282" spans="1:7" ht="15" customHeight="1" x14ac:dyDescent="0.25">
      <c r="A1282" s="3">
        <v>45643</v>
      </c>
      <c r="B1282" s="4">
        <v>2024003259</v>
      </c>
      <c r="C1282" s="4" t="s">
        <v>1032</v>
      </c>
      <c r="D1282" s="5">
        <v>1700000</v>
      </c>
      <c r="E1282" s="4">
        <v>1004598784</v>
      </c>
      <c r="F1282" s="4" t="s">
        <v>552</v>
      </c>
      <c r="G1282" t="s">
        <v>565</v>
      </c>
    </row>
    <row r="1283" spans="1:7" ht="15" customHeight="1" x14ac:dyDescent="0.25">
      <c r="A1283" s="3">
        <v>45643</v>
      </c>
      <c r="B1283" s="4">
        <v>2024003260</v>
      </c>
      <c r="C1283" s="4" t="s">
        <v>603</v>
      </c>
      <c r="D1283" s="5">
        <v>6000000</v>
      </c>
      <c r="E1283" s="4">
        <v>1085286476</v>
      </c>
      <c r="F1283" s="4" t="s">
        <v>385</v>
      </c>
      <c r="G1283" t="s">
        <v>565</v>
      </c>
    </row>
    <row r="1284" spans="1:7" ht="15" customHeight="1" x14ac:dyDescent="0.25">
      <c r="A1284" s="3">
        <v>45643</v>
      </c>
      <c r="B1284" s="4">
        <v>2024003261</v>
      </c>
      <c r="C1284" s="4" t="s">
        <v>790</v>
      </c>
      <c r="D1284" s="5">
        <v>7540000</v>
      </c>
      <c r="E1284" s="4">
        <v>1085329980</v>
      </c>
      <c r="F1284" s="4" t="s">
        <v>791</v>
      </c>
      <c r="G1284" t="s">
        <v>565</v>
      </c>
    </row>
    <row r="1285" spans="1:7" ht="15" customHeight="1" x14ac:dyDescent="0.25">
      <c r="A1285" s="3">
        <v>45643</v>
      </c>
      <c r="B1285" s="4">
        <v>2024003262</v>
      </c>
      <c r="C1285" s="4" t="s">
        <v>863</v>
      </c>
      <c r="D1285" s="5">
        <v>7540000</v>
      </c>
      <c r="E1285" s="4">
        <v>1085255870</v>
      </c>
      <c r="F1285" s="4" t="s">
        <v>864</v>
      </c>
      <c r="G1285" t="s">
        <v>565</v>
      </c>
    </row>
    <row r="1286" spans="1:7" ht="15" customHeight="1" x14ac:dyDescent="0.25">
      <c r="A1286" s="3">
        <v>45643</v>
      </c>
      <c r="B1286" s="4">
        <v>2024003263</v>
      </c>
      <c r="C1286" s="4" t="s">
        <v>899</v>
      </c>
      <c r="D1286" s="5">
        <v>4750000</v>
      </c>
      <c r="E1286" s="4">
        <v>36950073</v>
      </c>
      <c r="F1286" s="4" t="s">
        <v>900</v>
      </c>
      <c r="G1286" t="s">
        <v>565</v>
      </c>
    </row>
    <row r="1287" spans="1:7" ht="15" customHeight="1" x14ac:dyDescent="0.25">
      <c r="A1287" s="3">
        <v>45643</v>
      </c>
      <c r="B1287" s="4">
        <v>2024003264</v>
      </c>
      <c r="C1287" s="4" t="s">
        <v>800</v>
      </c>
      <c r="D1287" s="5">
        <v>3000000</v>
      </c>
      <c r="E1287" s="4">
        <v>59833702</v>
      </c>
      <c r="F1287" s="4" t="s">
        <v>173</v>
      </c>
      <c r="G1287" t="s">
        <v>565</v>
      </c>
    </row>
    <row r="1288" spans="1:7" ht="15" customHeight="1" x14ac:dyDescent="0.25">
      <c r="A1288" s="3">
        <v>45643</v>
      </c>
      <c r="B1288" s="4">
        <v>2024003265</v>
      </c>
      <c r="C1288" s="4" t="s">
        <v>837</v>
      </c>
      <c r="D1288" s="5">
        <v>2500000</v>
      </c>
      <c r="E1288" s="4">
        <v>27309586</v>
      </c>
      <c r="F1288" s="4" t="s">
        <v>345</v>
      </c>
      <c r="G1288" t="s">
        <v>565</v>
      </c>
    </row>
    <row r="1289" spans="1:7" ht="15" customHeight="1" x14ac:dyDescent="0.25">
      <c r="A1289" s="3">
        <v>45643</v>
      </c>
      <c r="B1289" s="4">
        <v>2024003266</v>
      </c>
      <c r="C1289" s="4" t="s">
        <v>625</v>
      </c>
      <c r="D1289" s="5">
        <v>4750000</v>
      </c>
      <c r="E1289" s="4">
        <v>1085263018</v>
      </c>
      <c r="F1289" s="4" t="s">
        <v>91</v>
      </c>
      <c r="G1289" t="s">
        <v>565</v>
      </c>
    </row>
    <row r="1290" spans="1:7" ht="15" customHeight="1" x14ac:dyDescent="0.25">
      <c r="A1290" s="3">
        <v>45643</v>
      </c>
      <c r="B1290" s="4">
        <v>2024003267</v>
      </c>
      <c r="C1290" s="4" t="s">
        <v>1033</v>
      </c>
      <c r="D1290" s="5">
        <v>1416100</v>
      </c>
      <c r="E1290" s="4">
        <v>1088729401</v>
      </c>
      <c r="F1290" s="4" t="s">
        <v>543</v>
      </c>
      <c r="G1290" t="s">
        <v>565</v>
      </c>
    </row>
    <row r="1291" spans="1:7" ht="15" customHeight="1" x14ac:dyDescent="0.25">
      <c r="A1291" s="3">
        <v>45643</v>
      </c>
      <c r="B1291" s="4">
        <v>2024003268</v>
      </c>
      <c r="C1291" s="4" t="s">
        <v>996</v>
      </c>
      <c r="D1291" s="5">
        <v>3000000</v>
      </c>
      <c r="E1291" s="4">
        <v>98391531</v>
      </c>
      <c r="F1291" s="4" t="s">
        <v>499</v>
      </c>
      <c r="G1291" t="s">
        <v>565</v>
      </c>
    </row>
    <row r="1292" spans="1:7" ht="15" customHeight="1" x14ac:dyDescent="0.25">
      <c r="A1292" s="3">
        <v>45643</v>
      </c>
      <c r="B1292" s="4">
        <v>2024003269</v>
      </c>
      <c r="C1292" s="4" t="s">
        <v>1034</v>
      </c>
      <c r="D1292" s="5">
        <v>1700000</v>
      </c>
      <c r="E1292" s="4">
        <v>1085297914</v>
      </c>
      <c r="F1292" s="4" t="s">
        <v>1035</v>
      </c>
      <c r="G1292" t="s">
        <v>565</v>
      </c>
    </row>
    <row r="1293" spans="1:7" ht="15" customHeight="1" x14ac:dyDescent="0.25">
      <c r="A1293" s="3">
        <v>45643</v>
      </c>
      <c r="B1293" s="4">
        <v>2024003270</v>
      </c>
      <c r="C1293" s="4" t="s">
        <v>1036</v>
      </c>
      <c r="D1293" s="5">
        <v>3000000</v>
      </c>
      <c r="E1293" s="4">
        <v>27388522</v>
      </c>
      <c r="F1293" s="4" t="s">
        <v>525</v>
      </c>
      <c r="G1293" t="s">
        <v>565</v>
      </c>
    </row>
    <row r="1294" spans="1:7" ht="15" customHeight="1" x14ac:dyDescent="0.25">
      <c r="A1294" s="3">
        <v>45643</v>
      </c>
      <c r="B1294" s="4">
        <v>2024003271</v>
      </c>
      <c r="C1294" s="4" t="s">
        <v>717</v>
      </c>
      <c r="D1294" s="5">
        <v>3000000</v>
      </c>
      <c r="E1294" s="4">
        <v>1007403454</v>
      </c>
      <c r="F1294" s="4" t="s">
        <v>718</v>
      </c>
      <c r="G1294" t="s">
        <v>565</v>
      </c>
    </row>
    <row r="1295" spans="1:7" ht="15" customHeight="1" x14ac:dyDescent="0.25">
      <c r="A1295" s="3">
        <v>45643</v>
      </c>
      <c r="B1295" s="4">
        <v>2024003272</v>
      </c>
      <c r="C1295" s="4" t="s">
        <v>1037</v>
      </c>
      <c r="D1295" s="5">
        <v>4750000</v>
      </c>
      <c r="E1295" s="4">
        <v>1085325540</v>
      </c>
      <c r="F1295" s="4" t="s">
        <v>1038</v>
      </c>
      <c r="G1295" t="s">
        <v>565</v>
      </c>
    </row>
    <row r="1296" spans="1:7" ht="15" customHeight="1" x14ac:dyDescent="0.25">
      <c r="A1296" s="3">
        <v>45643</v>
      </c>
      <c r="B1296" s="4">
        <v>2024003273</v>
      </c>
      <c r="C1296" s="4" t="s">
        <v>566</v>
      </c>
      <c r="D1296" s="5">
        <v>1100000</v>
      </c>
      <c r="E1296" s="4">
        <v>1193035720</v>
      </c>
      <c r="F1296" s="4" t="s">
        <v>567</v>
      </c>
      <c r="G1296" t="s">
        <v>565</v>
      </c>
    </row>
    <row r="1297" spans="1:7" ht="15" customHeight="1" x14ac:dyDescent="0.25">
      <c r="A1297" s="3">
        <v>45643</v>
      </c>
      <c r="B1297" s="4">
        <v>2024003275</v>
      </c>
      <c r="C1297" s="4" t="s">
        <v>949</v>
      </c>
      <c r="D1297" s="5">
        <v>3000000</v>
      </c>
      <c r="E1297" s="4">
        <v>1081272318</v>
      </c>
      <c r="F1297" s="4" t="s">
        <v>950</v>
      </c>
      <c r="G1297" t="s">
        <v>565</v>
      </c>
    </row>
    <row r="1298" spans="1:7" ht="15" customHeight="1" x14ac:dyDescent="0.25">
      <c r="A1298" s="3">
        <v>45643</v>
      </c>
      <c r="B1298" s="4">
        <v>2024003277</v>
      </c>
      <c r="C1298" s="4" t="s">
        <v>1039</v>
      </c>
      <c r="D1298" s="5">
        <v>4750000</v>
      </c>
      <c r="E1298" s="4">
        <v>1087422930</v>
      </c>
      <c r="F1298" s="4" t="s">
        <v>253</v>
      </c>
      <c r="G1298" t="s">
        <v>565</v>
      </c>
    </row>
    <row r="1299" spans="1:7" ht="15" customHeight="1" x14ac:dyDescent="0.25">
      <c r="A1299" s="3">
        <v>45643</v>
      </c>
      <c r="B1299" s="4">
        <v>2024003280</v>
      </c>
      <c r="C1299" s="4" t="s">
        <v>1039</v>
      </c>
      <c r="D1299" s="5">
        <v>4750000</v>
      </c>
      <c r="E1299" s="4">
        <v>1087422930</v>
      </c>
      <c r="F1299" s="4" t="s">
        <v>253</v>
      </c>
      <c r="G1299" t="s">
        <v>565</v>
      </c>
    </row>
    <row r="1300" spans="1:7" ht="15" customHeight="1" x14ac:dyDescent="0.25">
      <c r="A1300" s="3">
        <v>45643</v>
      </c>
      <c r="B1300" s="4">
        <v>2024003286</v>
      </c>
      <c r="C1300" s="4" t="s">
        <v>981</v>
      </c>
      <c r="D1300" s="5">
        <v>6000000</v>
      </c>
      <c r="E1300" s="4">
        <v>1233193716</v>
      </c>
      <c r="F1300" s="4" t="s">
        <v>597</v>
      </c>
      <c r="G1300" t="s">
        <v>565</v>
      </c>
    </row>
    <row r="1301" spans="1:7" ht="15" customHeight="1" x14ac:dyDescent="0.25">
      <c r="A1301" s="3">
        <v>45643</v>
      </c>
      <c r="B1301" s="4">
        <v>2024003295</v>
      </c>
      <c r="C1301" s="4" t="s">
        <v>698</v>
      </c>
      <c r="D1301" s="5">
        <v>2500000</v>
      </c>
      <c r="E1301" s="4">
        <v>36753698</v>
      </c>
      <c r="F1301" s="4" t="s">
        <v>383</v>
      </c>
      <c r="G1301" t="s">
        <v>565</v>
      </c>
    </row>
    <row r="1302" spans="1:7" ht="15" customHeight="1" x14ac:dyDescent="0.25">
      <c r="A1302" s="3">
        <v>45643</v>
      </c>
      <c r="B1302" s="4">
        <v>2024003297</v>
      </c>
      <c r="C1302" s="4" t="s">
        <v>1040</v>
      </c>
      <c r="D1302" s="5">
        <v>4750000</v>
      </c>
      <c r="E1302" s="4">
        <v>1067940322</v>
      </c>
      <c r="F1302" s="4" t="s">
        <v>1041</v>
      </c>
      <c r="G1302" t="s">
        <v>565</v>
      </c>
    </row>
    <row r="1303" spans="1:7" ht="15" customHeight="1" x14ac:dyDescent="0.25">
      <c r="A1303" s="3">
        <v>45643</v>
      </c>
      <c r="B1303" s="4">
        <v>2024003299</v>
      </c>
      <c r="C1303" s="4" t="s">
        <v>1001</v>
      </c>
      <c r="D1303" s="5">
        <v>3000000</v>
      </c>
      <c r="E1303" s="4">
        <v>1081053820</v>
      </c>
      <c r="F1303" s="4" t="s">
        <v>431</v>
      </c>
      <c r="G1303" t="s">
        <v>565</v>
      </c>
    </row>
    <row r="1304" spans="1:7" ht="15" customHeight="1" x14ac:dyDescent="0.25">
      <c r="A1304" s="13">
        <v>45643</v>
      </c>
      <c r="B1304" s="1">
        <v>2024003301</v>
      </c>
      <c r="C1304" s="1" t="s">
        <v>166</v>
      </c>
      <c r="D1304" s="5">
        <v>1000000</v>
      </c>
      <c r="E1304" s="1">
        <v>1081052552</v>
      </c>
      <c r="F1304" s="1" t="s">
        <v>167</v>
      </c>
      <c r="G1304" s="1" t="s">
        <v>9</v>
      </c>
    </row>
    <row r="1305" spans="1:7" ht="15" customHeight="1" x14ac:dyDescent="0.25">
      <c r="A1305" s="3">
        <v>45643</v>
      </c>
      <c r="B1305" s="4">
        <v>2024003302</v>
      </c>
      <c r="C1305" s="4" t="s">
        <v>624</v>
      </c>
      <c r="D1305" s="5">
        <v>4825000</v>
      </c>
      <c r="E1305" s="4">
        <v>37082349</v>
      </c>
      <c r="F1305" s="4" t="s">
        <v>377</v>
      </c>
      <c r="G1305" t="s">
        <v>565</v>
      </c>
    </row>
    <row r="1306" spans="1:7" ht="15" customHeight="1" x14ac:dyDescent="0.25">
      <c r="A1306" s="3">
        <v>45643</v>
      </c>
      <c r="B1306" s="4">
        <v>2024003304</v>
      </c>
      <c r="C1306" s="4" t="s">
        <v>872</v>
      </c>
      <c r="D1306" s="5">
        <v>3000000</v>
      </c>
      <c r="E1306" s="4">
        <v>1085250095</v>
      </c>
      <c r="F1306" s="4" t="s">
        <v>179</v>
      </c>
      <c r="G1306" t="s">
        <v>565</v>
      </c>
    </row>
    <row r="1307" spans="1:7" ht="15" customHeight="1" x14ac:dyDescent="0.25">
      <c r="A1307" s="3">
        <v>45643</v>
      </c>
      <c r="B1307" s="4">
        <v>2024003307</v>
      </c>
      <c r="C1307" s="4" t="s">
        <v>827</v>
      </c>
      <c r="D1307" s="5">
        <v>6000000</v>
      </c>
      <c r="E1307" s="4">
        <v>27097745</v>
      </c>
      <c r="F1307" s="4" t="s">
        <v>828</v>
      </c>
      <c r="G1307" t="s">
        <v>565</v>
      </c>
    </row>
    <row r="1308" spans="1:7" ht="15" customHeight="1" x14ac:dyDescent="0.25">
      <c r="A1308" s="3">
        <v>45643</v>
      </c>
      <c r="B1308" s="4">
        <v>2024003309</v>
      </c>
      <c r="C1308" s="4" t="s">
        <v>1042</v>
      </c>
      <c r="D1308" s="5">
        <v>1300000</v>
      </c>
      <c r="E1308" s="4">
        <v>1088733625</v>
      </c>
      <c r="F1308" s="4" t="s">
        <v>559</v>
      </c>
      <c r="G1308" t="s">
        <v>565</v>
      </c>
    </row>
    <row r="1309" spans="1:7" ht="15" customHeight="1" x14ac:dyDescent="0.25">
      <c r="A1309" s="3">
        <v>45643</v>
      </c>
      <c r="B1309" s="4">
        <v>2024003311</v>
      </c>
      <c r="C1309" s="4" t="s">
        <v>784</v>
      </c>
      <c r="D1309" s="5">
        <v>3000000</v>
      </c>
      <c r="E1309" s="4">
        <v>1085319295</v>
      </c>
      <c r="F1309" s="4" t="s">
        <v>785</v>
      </c>
      <c r="G1309" t="s">
        <v>565</v>
      </c>
    </row>
    <row r="1310" spans="1:7" ht="15" customHeight="1" x14ac:dyDescent="0.25">
      <c r="A1310" s="3">
        <v>45643</v>
      </c>
      <c r="B1310" s="4">
        <v>2024003355</v>
      </c>
      <c r="C1310" s="4" t="s">
        <v>1043</v>
      </c>
      <c r="D1310" s="5">
        <v>4825000</v>
      </c>
      <c r="E1310" s="4">
        <v>12983807</v>
      </c>
      <c r="F1310" s="4" t="s">
        <v>299</v>
      </c>
      <c r="G1310" t="s">
        <v>565</v>
      </c>
    </row>
    <row r="1311" spans="1:7" ht="15" customHeight="1" x14ac:dyDescent="0.25">
      <c r="A1311" s="3">
        <v>45643</v>
      </c>
      <c r="B1311" s="4">
        <v>2024003356</v>
      </c>
      <c r="C1311" s="4" t="s">
        <v>1044</v>
      </c>
      <c r="D1311" s="5">
        <v>1082900</v>
      </c>
      <c r="E1311" s="4">
        <v>30722194</v>
      </c>
      <c r="F1311" s="4" t="s">
        <v>1045</v>
      </c>
      <c r="G1311" t="s">
        <v>565</v>
      </c>
    </row>
    <row r="1312" spans="1:7" ht="15" customHeight="1" x14ac:dyDescent="0.25">
      <c r="A1312" s="3">
        <v>45643</v>
      </c>
      <c r="B1312" s="4">
        <v>2024003357</v>
      </c>
      <c r="C1312" s="4" t="s">
        <v>851</v>
      </c>
      <c r="D1312" s="5">
        <v>3000000</v>
      </c>
      <c r="E1312" s="4">
        <v>1085344082</v>
      </c>
      <c r="F1312" s="4" t="s">
        <v>291</v>
      </c>
      <c r="G1312" t="s">
        <v>565</v>
      </c>
    </row>
    <row r="1313" spans="1:7" ht="15" customHeight="1" x14ac:dyDescent="0.25">
      <c r="A1313" s="3">
        <v>45643</v>
      </c>
      <c r="B1313" s="4">
        <v>2024003358</v>
      </c>
      <c r="C1313" s="4" t="s">
        <v>672</v>
      </c>
      <c r="D1313" s="5">
        <v>4750000</v>
      </c>
      <c r="E1313" s="4">
        <v>1087413951</v>
      </c>
      <c r="F1313" s="4" t="s">
        <v>95</v>
      </c>
      <c r="G1313" t="s">
        <v>565</v>
      </c>
    </row>
    <row r="1314" spans="1:7" ht="15" customHeight="1" x14ac:dyDescent="0.25">
      <c r="A1314" s="3">
        <v>45643</v>
      </c>
      <c r="B1314" s="4">
        <v>2024003359</v>
      </c>
      <c r="C1314" s="4" t="s">
        <v>1046</v>
      </c>
      <c r="D1314" s="5">
        <v>4750000</v>
      </c>
      <c r="E1314" s="4">
        <v>1085326561</v>
      </c>
      <c r="F1314" s="4" t="s">
        <v>1047</v>
      </c>
      <c r="G1314" t="s">
        <v>565</v>
      </c>
    </row>
    <row r="1315" spans="1:7" ht="15" customHeight="1" x14ac:dyDescent="0.25">
      <c r="A1315" s="3">
        <v>45643</v>
      </c>
      <c r="B1315" s="4">
        <v>2024003360</v>
      </c>
      <c r="C1315" s="4" t="s">
        <v>829</v>
      </c>
      <c r="D1315" s="5">
        <v>2100000</v>
      </c>
      <c r="E1315" s="4">
        <v>1085286742</v>
      </c>
      <c r="F1315" s="4" t="s">
        <v>75</v>
      </c>
      <c r="G1315" t="s">
        <v>565</v>
      </c>
    </row>
    <row r="1316" spans="1:7" ht="15" customHeight="1" x14ac:dyDescent="0.25">
      <c r="A1316" s="3">
        <v>45643</v>
      </c>
      <c r="B1316" s="4">
        <v>2024003361</v>
      </c>
      <c r="C1316" s="4" t="s">
        <v>850</v>
      </c>
      <c r="D1316" s="5">
        <v>3000000</v>
      </c>
      <c r="E1316" s="4">
        <v>1004215136</v>
      </c>
      <c r="F1316" s="4" t="s">
        <v>413</v>
      </c>
      <c r="G1316" t="s">
        <v>565</v>
      </c>
    </row>
    <row r="1317" spans="1:7" ht="15" customHeight="1" x14ac:dyDescent="0.25">
      <c r="A1317" s="3">
        <v>45643</v>
      </c>
      <c r="B1317" s="4">
        <v>2024003362</v>
      </c>
      <c r="C1317" s="4" t="s">
        <v>813</v>
      </c>
      <c r="D1317" s="5">
        <v>6000000</v>
      </c>
      <c r="E1317" s="4">
        <v>1131085780</v>
      </c>
      <c r="F1317" s="4" t="s">
        <v>814</v>
      </c>
      <c r="G1317" t="s">
        <v>565</v>
      </c>
    </row>
    <row r="1318" spans="1:7" ht="15" customHeight="1" x14ac:dyDescent="0.25">
      <c r="A1318" s="3">
        <v>45643</v>
      </c>
      <c r="B1318" s="4">
        <v>2024003363</v>
      </c>
      <c r="C1318" s="4" t="s">
        <v>1048</v>
      </c>
      <c r="D1318" s="5">
        <v>2500000</v>
      </c>
      <c r="E1318" s="4">
        <v>1085324252</v>
      </c>
      <c r="F1318" s="4" t="s">
        <v>1049</v>
      </c>
      <c r="G1318" t="s">
        <v>565</v>
      </c>
    </row>
    <row r="1319" spans="1:7" ht="15" customHeight="1" x14ac:dyDescent="0.25">
      <c r="A1319" s="3">
        <v>45643</v>
      </c>
      <c r="B1319" s="4">
        <v>2024003364</v>
      </c>
      <c r="C1319" s="4" t="s">
        <v>1050</v>
      </c>
      <c r="D1319" s="5">
        <v>4750000</v>
      </c>
      <c r="E1319" s="4">
        <v>1085313870</v>
      </c>
      <c r="F1319" s="4" t="s">
        <v>513</v>
      </c>
      <c r="G1319" t="s">
        <v>565</v>
      </c>
    </row>
    <row r="1320" spans="1:7" ht="15" customHeight="1" x14ac:dyDescent="0.25">
      <c r="A1320" s="3">
        <v>45643</v>
      </c>
      <c r="B1320" s="4">
        <v>2024003365</v>
      </c>
      <c r="C1320" s="4" t="s">
        <v>1051</v>
      </c>
      <c r="D1320" s="5">
        <v>2691100</v>
      </c>
      <c r="E1320" s="4">
        <v>1085334685</v>
      </c>
      <c r="F1320" s="4" t="s">
        <v>1052</v>
      </c>
      <c r="G1320" t="s">
        <v>565</v>
      </c>
    </row>
    <row r="1321" spans="1:7" ht="15" customHeight="1" x14ac:dyDescent="0.25">
      <c r="A1321" s="3">
        <v>45643</v>
      </c>
      <c r="B1321" s="4">
        <v>2024003366</v>
      </c>
      <c r="C1321" s="4" t="s">
        <v>840</v>
      </c>
      <c r="D1321" s="5">
        <v>3000000</v>
      </c>
      <c r="E1321" s="4">
        <v>1233188273</v>
      </c>
      <c r="F1321" s="4" t="s">
        <v>473</v>
      </c>
      <c r="G1321" t="s">
        <v>565</v>
      </c>
    </row>
    <row r="1322" spans="1:7" ht="15" customHeight="1" x14ac:dyDescent="0.25">
      <c r="A1322" s="3">
        <v>45643</v>
      </c>
      <c r="B1322" s="4">
        <v>2024003367</v>
      </c>
      <c r="C1322" s="4" t="s">
        <v>878</v>
      </c>
      <c r="D1322" s="5">
        <v>3000000</v>
      </c>
      <c r="E1322" s="4">
        <v>1085338575</v>
      </c>
      <c r="F1322" s="4" t="s">
        <v>227</v>
      </c>
      <c r="G1322" t="s">
        <v>565</v>
      </c>
    </row>
    <row r="1323" spans="1:7" ht="15" customHeight="1" x14ac:dyDescent="0.25">
      <c r="A1323" s="3">
        <v>45643</v>
      </c>
      <c r="B1323" s="4">
        <v>2024003368</v>
      </c>
      <c r="C1323" s="4" t="s">
        <v>792</v>
      </c>
      <c r="D1323" s="5">
        <v>6000000</v>
      </c>
      <c r="E1323" s="4">
        <v>59588823</v>
      </c>
      <c r="F1323" s="4" t="s">
        <v>793</v>
      </c>
      <c r="G1323" t="s">
        <v>565</v>
      </c>
    </row>
    <row r="1324" spans="1:7" ht="15" customHeight="1" x14ac:dyDescent="0.25">
      <c r="A1324" s="3">
        <v>45643</v>
      </c>
      <c r="B1324" s="4">
        <v>2024003369</v>
      </c>
      <c r="C1324" s="4" t="s">
        <v>868</v>
      </c>
      <c r="D1324" s="5">
        <v>4825000</v>
      </c>
      <c r="E1324" s="4">
        <v>30733517</v>
      </c>
      <c r="F1324" s="4" t="s">
        <v>53</v>
      </c>
      <c r="G1324" t="s">
        <v>565</v>
      </c>
    </row>
    <row r="1325" spans="1:7" ht="15" customHeight="1" x14ac:dyDescent="0.25">
      <c r="A1325" s="3">
        <v>45643</v>
      </c>
      <c r="B1325" s="4">
        <v>2024003370</v>
      </c>
      <c r="C1325" s="4" t="s">
        <v>911</v>
      </c>
      <c r="D1325" s="5">
        <v>2500000</v>
      </c>
      <c r="E1325" s="4">
        <v>13072447</v>
      </c>
      <c r="F1325" s="4" t="s">
        <v>205</v>
      </c>
      <c r="G1325" t="s">
        <v>565</v>
      </c>
    </row>
    <row r="1326" spans="1:7" ht="15" customHeight="1" x14ac:dyDescent="0.25">
      <c r="A1326" s="3">
        <v>45643</v>
      </c>
      <c r="B1326" s="4">
        <v>2024003371</v>
      </c>
      <c r="C1326" s="4" t="s">
        <v>912</v>
      </c>
      <c r="D1326" s="5">
        <v>2500000</v>
      </c>
      <c r="E1326" s="4">
        <v>1085338135</v>
      </c>
      <c r="F1326" s="4" t="s">
        <v>369</v>
      </c>
      <c r="G1326" t="s">
        <v>565</v>
      </c>
    </row>
    <row r="1327" spans="1:7" ht="15" customHeight="1" x14ac:dyDescent="0.25">
      <c r="A1327" s="3">
        <v>45643</v>
      </c>
      <c r="B1327" s="4">
        <v>2024003372</v>
      </c>
      <c r="C1327" s="4" t="s">
        <v>896</v>
      </c>
      <c r="D1327" s="5">
        <v>4825000</v>
      </c>
      <c r="E1327" s="4">
        <v>59310622</v>
      </c>
      <c r="F1327" s="4" t="s">
        <v>897</v>
      </c>
      <c r="G1327" t="s">
        <v>565</v>
      </c>
    </row>
    <row r="1328" spans="1:7" ht="15" customHeight="1" x14ac:dyDescent="0.25">
      <c r="A1328" s="3">
        <v>45643</v>
      </c>
      <c r="B1328" s="4">
        <v>2024003373</v>
      </c>
      <c r="C1328" s="4" t="s">
        <v>974</v>
      </c>
      <c r="D1328" s="5">
        <v>6000000</v>
      </c>
      <c r="E1328" s="4">
        <v>79724257</v>
      </c>
      <c r="F1328" s="4" t="s">
        <v>425</v>
      </c>
      <c r="G1328" t="s">
        <v>565</v>
      </c>
    </row>
    <row r="1329" spans="1:7" ht="15" customHeight="1" x14ac:dyDescent="0.25">
      <c r="A1329" s="3">
        <v>45645</v>
      </c>
      <c r="B1329" s="4">
        <v>2024003381</v>
      </c>
      <c r="C1329" s="4" t="s">
        <v>934</v>
      </c>
      <c r="D1329" s="5">
        <v>4825000</v>
      </c>
      <c r="E1329" s="4">
        <v>27087851</v>
      </c>
      <c r="F1329" s="4" t="s">
        <v>177</v>
      </c>
      <c r="G1329" t="s">
        <v>565</v>
      </c>
    </row>
    <row r="1330" spans="1:7" ht="15" customHeight="1" x14ac:dyDescent="0.25">
      <c r="A1330" s="3">
        <v>45645</v>
      </c>
      <c r="B1330" s="4">
        <v>2024003382</v>
      </c>
      <c r="C1330" s="4" t="s">
        <v>689</v>
      </c>
      <c r="D1330" s="5">
        <v>3000000</v>
      </c>
      <c r="E1330" s="4">
        <v>1004135064</v>
      </c>
      <c r="F1330" s="4" t="s">
        <v>207</v>
      </c>
      <c r="G1330" t="s">
        <v>565</v>
      </c>
    </row>
    <row r="1331" spans="1:7" ht="15" customHeight="1" x14ac:dyDescent="0.25">
      <c r="A1331" s="3">
        <v>45645</v>
      </c>
      <c r="B1331" s="4">
        <v>2024003383</v>
      </c>
      <c r="C1331" s="4" t="s">
        <v>694</v>
      </c>
      <c r="D1331" s="5">
        <v>2500000</v>
      </c>
      <c r="E1331" s="4">
        <v>1085338232</v>
      </c>
      <c r="F1331" s="4" t="s">
        <v>287</v>
      </c>
      <c r="G1331" t="s">
        <v>565</v>
      </c>
    </row>
    <row r="1332" spans="1:7" ht="15" customHeight="1" x14ac:dyDescent="0.25">
      <c r="A1332" s="3">
        <v>45645</v>
      </c>
      <c r="B1332" s="4">
        <v>2024003385</v>
      </c>
      <c r="C1332" s="4" t="s">
        <v>696</v>
      </c>
      <c r="D1332" s="5">
        <v>4825000</v>
      </c>
      <c r="E1332" s="4">
        <v>59310145</v>
      </c>
      <c r="F1332" s="4" t="s">
        <v>129</v>
      </c>
      <c r="G1332" t="s">
        <v>565</v>
      </c>
    </row>
    <row r="1333" spans="1:7" ht="15" customHeight="1" x14ac:dyDescent="0.25">
      <c r="A1333" s="3">
        <v>45645</v>
      </c>
      <c r="B1333" s="4">
        <v>2024003386</v>
      </c>
      <c r="C1333" s="4" t="s">
        <v>683</v>
      </c>
      <c r="D1333" s="5">
        <v>4825000</v>
      </c>
      <c r="E1333" s="4">
        <v>1193385736</v>
      </c>
      <c r="F1333" s="4" t="s">
        <v>57</v>
      </c>
      <c r="G1333" t="s">
        <v>565</v>
      </c>
    </row>
    <row r="1334" spans="1:7" ht="15" customHeight="1" x14ac:dyDescent="0.25">
      <c r="A1334" s="3">
        <v>45645</v>
      </c>
      <c r="B1334" s="4">
        <v>2024003387</v>
      </c>
      <c r="C1334" s="4" t="s">
        <v>920</v>
      </c>
      <c r="D1334" s="5">
        <v>7540000</v>
      </c>
      <c r="E1334" s="4">
        <v>1085300619</v>
      </c>
      <c r="F1334" s="4" t="s">
        <v>921</v>
      </c>
      <c r="G1334" t="s">
        <v>565</v>
      </c>
    </row>
    <row r="1335" spans="1:7" ht="15" customHeight="1" x14ac:dyDescent="0.25">
      <c r="A1335" s="3">
        <v>45645</v>
      </c>
      <c r="B1335" s="4">
        <v>2024003388</v>
      </c>
      <c r="C1335" s="4" t="s">
        <v>927</v>
      </c>
      <c r="D1335" s="5">
        <v>4750000</v>
      </c>
      <c r="E1335" s="4">
        <v>1086332188</v>
      </c>
      <c r="F1335" s="4" t="s">
        <v>928</v>
      </c>
      <c r="G1335" t="s">
        <v>565</v>
      </c>
    </row>
    <row r="1336" spans="1:7" ht="15" customHeight="1" x14ac:dyDescent="0.25">
      <c r="A1336" s="3">
        <v>45645</v>
      </c>
      <c r="B1336" s="4">
        <v>2024003390</v>
      </c>
      <c r="C1336" s="4" t="s">
        <v>609</v>
      </c>
      <c r="D1336" s="5">
        <v>6000000</v>
      </c>
      <c r="E1336" s="4">
        <v>1085275879</v>
      </c>
      <c r="F1336" s="4" t="s">
        <v>117</v>
      </c>
      <c r="G1336" t="s">
        <v>565</v>
      </c>
    </row>
    <row r="1337" spans="1:7" ht="15" customHeight="1" x14ac:dyDescent="0.25">
      <c r="A1337" s="3">
        <v>45645</v>
      </c>
      <c r="B1337" s="4">
        <v>2024003391</v>
      </c>
      <c r="C1337" s="4" t="s">
        <v>852</v>
      </c>
      <c r="D1337" s="5">
        <v>2500000</v>
      </c>
      <c r="E1337" s="4">
        <v>1085337465</v>
      </c>
      <c r="F1337" s="4" t="s">
        <v>315</v>
      </c>
      <c r="G1337" t="s">
        <v>565</v>
      </c>
    </row>
    <row r="1338" spans="1:7" ht="15" customHeight="1" x14ac:dyDescent="0.25">
      <c r="A1338" s="3">
        <v>45645</v>
      </c>
      <c r="B1338" s="4">
        <v>2024003392</v>
      </c>
      <c r="C1338" s="4" t="s">
        <v>739</v>
      </c>
      <c r="D1338" s="5">
        <v>2500000</v>
      </c>
      <c r="E1338" s="4">
        <v>27090145</v>
      </c>
      <c r="F1338" s="4" t="s">
        <v>357</v>
      </c>
      <c r="G1338" t="s">
        <v>565</v>
      </c>
    </row>
    <row r="1339" spans="1:7" ht="15" customHeight="1" x14ac:dyDescent="0.25">
      <c r="A1339" s="3">
        <v>45645</v>
      </c>
      <c r="B1339" s="4">
        <v>2024003393</v>
      </c>
      <c r="C1339" s="4" t="s">
        <v>695</v>
      </c>
      <c r="D1339" s="5">
        <v>3000000</v>
      </c>
      <c r="E1339" s="4">
        <v>59837416</v>
      </c>
      <c r="F1339" s="4" t="s">
        <v>395</v>
      </c>
      <c r="G1339" t="s">
        <v>565</v>
      </c>
    </row>
    <row r="1340" spans="1:7" ht="15" customHeight="1" x14ac:dyDescent="0.25">
      <c r="A1340" s="3">
        <v>45645</v>
      </c>
      <c r="B1340" s="4">
        <v>2024003394</v>
      </c>
      <c r="C1340" s="4" t="s">
        <v>761</v>
      </c>
      <c r="D1340" s="5">
        <v>7540000</v>
      </c>
      <c r="E1340" s="4">
        <v>1006946167</v>
      </c>
      <c r="F1340" s="4" t="s">
        <v>63</v>
      </c>
      <c r="G1340" t="s">
        <v>565</v>
      </c>
    </row>
    <row r="1341" spans="1:7" ht="15" customHeight="1" x14ac:dyDescent="0.25">
      <c r="A1341" s="3">
        <v>45645</v>
      </c>
      <c r="B1341" s="4">
        <v>2024003395</v>
      </c>
      <c r="C1341" s="4" t="s">
        <v>847</v>
      </c>
      <c r="D1341" s="5">
        <v>4825000</v>
      </c>
      <c r="E1341" s="4">
        <v>1085324891</v>
      </c>
      <c r="F1341" s="4" t="s">
        <v>509</v>
      </c>
      <c r="G1341" t="s">
        <v>565</v>
      </c>
    </row>
    <row r="1342" spans="1:7" ht="15" customHeight="1" x14ac:dyDescent="0.25">
      <c r="A1342" s="3">
        <v>45645</v>
      </c>
      <c r="B1342" s="4">
        <v>2024003396</v>
      </c>
      <c r="C1342" s="4" t="s">
        <v>870</v>
      </c>
      <c r="D1342" s="5">
        <v>2500000</v>
      </c>
      <c r="E1342" s="4">
        <v>1081273343</v>
      </c>
      <c r="F1342" s="4" t="s">
        <v>339</v>
      </c>
      <c r="G1342" t="s">
        <v>565</v>
      </c>
    </row>
    <row r="1343" spans="1:7" ht="15" customHeight="1" x14ac:dyDescent="0.25">
      <c r="A1343" s="3">
        <v>45645</v>
      </c>
      <c r="B1343" s="4">
        <v>2024003397</v>
      </c>
      <c r="C1343" s="4" t="s">
        <v>1053</v>
      </c>
      <c r="D1343" s="5">
        <v>600000</v>
      </c>
      <c r="E1343" s="4">
        <v>87030128</v>
      </c>
      <c r="F1343" s="4" t="s">
        <v>1054</v>
      </c>
      <c r="G1343" t="s">
        <v>565</v>
      </c>
    </row>
    <row r="1344" spans="1:7" ht="15" customHeight="1" x14ac:dyDescent="0.25">
      <c r="A1344" s="3">
        <v>45645</v>
      </c>
      <c r="B1344" s="4">
        <v>2024003398</v>
      </c>
      <c r="C1344" s="4" t="s">
        <v>1053</v>
      </c>
      <c r="D1344" s="5">
        <v>3000000</v>
      </c>
      <c r="E1344" s="4">
        <v>87030128</v>
      </c>
      <c r="F1344" s="4" t="s">
        <v>1054</v>
      </c>
      <c r="G1344" t="s">
        <v>565</v>
      </c>
    </row>
    <row r="1345" spans="1:7" ht="15" customHeight="1" x14ac:dyDescent="0.25">
      <c r="A1345" s="3">
        <v>45645</v>
      </c>
      <c r="B1345" s="4">
        <v>2024003399</v>
      </c>
      <c r="C1345" s="4" t="s">
        <v>659</v>
      </c>
      <c r="D1345" s="5">
        <v>3000000</v>
      </c>
      <c r="E1345" s="4">
        <v>59178610</v>
      </c>
      <c r="F1345" s="4" t="s">
        <v>97</v>
      </c>
      <c r="G1345" t="s">
        <v>565</v>
      </c>
    </row>
    <row r="1346" spans="1:7" ht="15" customHeight="1" x14ac:dyDescent="0.25">
      <c r="A1346" s="3">
        <v>45645</v>
      </c>
      <c r="B1346" s="4">
        <v>2024003400</v>
      </c>
      <c r="C1346" s="4" t="s">
        <v>830</v>
      </c>
      <c r="D1346" s="5">
        <v>2500000</v>
      </c>
      <c r="E1346" s="4">
        <v>1085289798</v>
      </c>
      <c r="F1346" s="4" t="s">
        <v>375</v>
      </c>
      <c r="G1346" t="s">
        <v>565</v>
      </c>
    </row>
    <row r="1347" spans="1:7" ht="15" customHeight="1" x14ac:dyDescent="0.25">
      <c r="A1347" s="3">
        <v>45645</v>
      </c>
      <c r="B1347" s="4">
        <v>2024003401</v>
      </c>
      <c r="C1347" s="4" t="s">
        <v>676</v>
      </c>
      <c r="D1347" s="5">
        <v>4750000</v>
      </c>
      <c r="E1347" s="4">
        <v>1085293619</v>
      </c>
      <c r="F1347" s="4" t="s">
        <v>155</v>
      </c>
      <c r="G1347" t="s">
        <v>565</v>
      </c>
    </row>
    <row r="1348" spans="1:7" ht="15" customHeight="1" x14ac:dyDescent="0.25">
      <c r="A1348" s="3">
        <v>45645</v>
      </c>
      <c r="B1348" s="4">
        <v>2024003402</v>
      </c>
      <c r="C1348" s="4" t="s">
        <v>1055</v>
      </c>
      <c r="D1348" s="5">
        <v>1500000</v>
      </c>
      <c r="E1348" s="4">
        <v>1085346528</v>
      </c>
      <c r="F1348" s="4" t="s">
        <v>1056</v>
      </c>
      <c r="G1348" t="s">
        <v>565</v>
      </c>
    </row>
    <row r="1349" spans="1:7" ht="15" customHeight="1" x14ac:dyDescent="0.25">
      <c r="A1349" s="3">
        <v>45645</v>
      </c>
      <c r="B1349" s="4">
        <v>2024003403</v>
      </c>
      <c r="C1349" s="4" t="s">
        <v>1055</v>
      </c>
      <c r="D1349" s="5">
        <v>3000000</v>
      </c>
      <c r="E1349" s="4">
        <v>1085346528</v>
      </c>
      <c r="F1349" s="4" t="s">
        <v>1056</v>
      </c>
      <c r="G1349" t="s">
        <v>565</v>
      </c>
    </row>
    <row r="1350" spans="1:7" ht="15" customHeight="1" x14ac:dyDescent="0.25">
      <c r="A1350" s="3">
        <v>45645</v>
      </c>
      <c r="B1350" s="4">
        <v>2024003404</v>
      </c>
      <c r="C1350" s="4" t="s">
        <v>1057</v>
      </c>
      <c r="D1350" s="5">
        <v>1000000</v>
      </c>
      <c r="E1350" s="4">
        <v>1004437571</v>
      </c>
      <c r="F1350" s="4" t="s">
        <v>580</v>
      </c>
      <c r="G1350" t="s">
        <v>565</v>
      </c>
    </row>
    <row r="1351" spans="1:7" ht="15" customHeight="1" x14ac:dyDescent="0.25">
      <c r="A1351" s="3">
        <v>45645</v>
      </c>
      <c r="B1351" s="4">
        <v>2024003405</v>
      </c>
      <c r="C1351" s="4" t="s">
        <v>959</v>
      </c>
      <c r="D1351" s="5">
        <v>3000000</v>
      </c>
      <c r="E1351" s="4">
        <v>1085286725</v>
      </c>
      <c r="F1351" s="4" t="s">
        <v>111</v>
      </c>
      <c r="G1351" t="s">
        <v>565</v>
      </c>
    </row>
    <row r="1352" spans="1:7" ht="15" customHeight="1" x14ac:dyDescent="0.25">
      <c r="A1352" s="3">
        <v>45645</v>
      </c>
      <c r="B1352" s="4">
        <v>2024003406</v>
      </c>
      <c r="C1352" s="4" t="s">
        <v>1058</v>
      </c>
      <c r="D1352" s="5">
        <v>4750000</v>
      </c>
      <c r="E1352" s="4">
        <v>1085245714</v>
      </c>
      <c r="F1352" s="4" t="s">
        <v>1059</v>
      </c>
      <c r="G1352" t="s">
        <v>565</v>
      </c>
    </row>
    <row r="1353" spans="1:7" ht="15" customHeight="1" x14ac:dyDescent="0.25">
      <c r="A1353" s="3">
        <v>45645</v>
      </c>
      <c r="B1353" s="4">
        <v>2024003408</v>
      </c>
      <c r="C1353" s="4" t="s">
        <v>819</v>
      </c>
      <c r="D1353" s="5">
        <v>4825000</v>
      </c>
      <c r="E1353" s="4">
        <v>1081595485</v>
      </c>
      <c r="F1353" s="4" t="s">
        <v>820</v>
      </c>
      <c r="G1353" t="s">
        <v>565</v>
      </c>
    </row>
    <row r="1354" spans="1:7" ht="15" customHeight="1" x14ac:dyDescent="0.25">
      <c r="A1354" s="3">
        <v>45645</v>
      </c>
      <c r="B1354" s="4">
        <v>2024003410</v>
      </c>
      <c r="C1354" s="4" t="s">
        <v>936</v>
      </c>
      <c r="D1354" s="5">
        <v>7540000</v>
      </c>
      <c r="E1354" s="4">
        <v>79800150</v>
      </c>
      <c r="F1354" s="4" t="s">
        <v>937</v>
      </c>
      <c r="G1354" t="s">
        <v>565</v>
      </c>
    </row>
    <row r="1355" spans="1:7" ht="15" customHeight="1" x14ac:dyDescent="0.25">
      <c r="A1355" s="3">
        <v>45645</v>
      </c>
      <c r="B1355" s="4">
        <v>2024003412</v>
      </c>
      <c r="C1355" s="4" t="s">
        <v>1060</v>
      </c>
      <c r="D1355" s="5">
        <v>600000</v>
      </c>
      <c r="E1355" s="4">
        <v>13069881</v>
      </c>
      <c r="F1355" s="4" t="s">
        <v>546</v>
      </c>
      <c r="G1355" t="s">
        <v>565</v>
      </c>
    </row>
    <row r="1356" spans="1:7" ht="15" customHeight="1" x14ac:dyDescent="0.25">
      <c r="A1356" s="3">
        <v>45645</v>
      </c>
      <c r="B1356" s="4">
        <v>2024003414</v>
      </c>
      <c r="C1356" s="4" t="s">
        <v>815</v>
      </c>
      <c r="D1356" s="5">
        <v>6000000</v>
      </c>
      <c r="E1356" s="4">
        <v>59836926</v>
      </c>
      <c r="F1356" s="4" t="s">
        <v>311</v>
      </c>
      <c r="G1356" t="s">
        <v>565</v>
      </c>
    </row>
    <row r="1357" spans="1:7" ht="15" customHeight="1" x14ac:dyDescent="0.25">
      <c r="A1357" s="3">
        <v>45645</v>
      </c>
      <c r="B1357" s="4">
        <v>2024003416</v>
      </c>
      <c r="C1357" s="4" t="s">
        <v>1018</v>
      </c>
      <c r="D1357" s="5">
        <v>2500000</v>
      </c>
      <c r="E1357" s="4">
        <v>1081052090</v>
      </c>
      <c r="F1357" s="4" t="s">
        <v>319</v>
      </c>
      <c r="G1357" t="s">
        <v>565</v>
      </c>
    </row>
    <row r="1358" spans="1:7" ht="15" customHeight="1" x14ac:dyDescent="0.25">
      <c r="A1358" s="3">
        <v>45645</v>
      </c>
      <c r="B1358" s="4">
        <v>2024003418</v>
      </c>
      <c r="C1358" s="4" t="s">
        <v>1061</v>
      </c>
      <c r="D1358" s="5">
        <v>1200000</v>
      </c>
      <c r="E1358" s="4">
        <v>1084228089</v>
      </c>
      <c r="F1358" s="4" t="s">
        <v>1062</v>
      </c>
      <c r="G1358" t="s">
        <v>565</v>
      </c>
    </row>
    <row r="1359" spans="1:7" ht="15" customHeight="1" x14ac:dyDescent="0.25">
      <c r="A1359" s="3">
        <v>45645</v>
      </c>
      <c r="B1359" s="4">
        <v>2024003419</v>
      </c>
      <c r="C1359" s="4" t="s">
        <v>917</v>
      </c>
      <c r="D1359" s="5">
        <v>7540000</v>
      </c>
      <c r="E1359" s="4">
        <v>87940284</v>
      </c>
      <c r="F1359" s="4" t="s">
        <v>918</v>
      </c>
      <c r="G1359" t="s">
        <v>565</v>
      </c>
    </row>
    <row r="1360" spans="1:7" ht="15" customHeight="1" x14ac:dyDescent="0.25">
      <c r="A1360" s="3">
        <v>45645</v>
      </c>
      <c r="B1360" s="4">
        <v>2024003420</v>
      </c>
      <c r="C1360" s="4" t="s">
        <v>1017</v>
      </c>
      <c r="D1360" s="5">
        <v>7540000</v>
      </c>
      <c r="E1360" s="4">
        <v>1193279435</v>
      </c>
      <c r="F1360" s="4" t="s">
        <v>435</v>
      </c>
      <c r="G1360" t="s">
        <v>565</v>
      </c>
    </row>
    <row r="1361" spans="1:7" ht="15" customHeight="1" x14ac:dyDescent="0.25">
      <c r="A1361" s="3">
        <v>45646</v>
      </c>
      <c r="B1361" s="4">
        <v>2024003433</v>
      </c>
      <c r="C1361" s="4" t="s">
        <v>759</v>
      </c>
      <c r="D1361" s="5">
        <v>6000000</v>
      </c>
      <c r="E1361" s="4">
        <v>1085253062</v>
      </c>
      <c r="F1361" s="4" t="s">
        <v>31</v>
      </c>
      <c r="G1361" t="s">
        <v>565</v>
      </c>
    </row>
    <row r="1362" spans="1:7" ht="15" customHeight="1" x14ac:dyDescent="0.25">
      <c r="A1362" s="3">
        <v>45646</v>
      </c>
      <c r="B1362" s="4">
        <v>2024003435</v>
      </c>
      <c r="C1362" s="4" t="s">
        <v>640</v>
      </c>
      <c r="D1362" s="5">
        <v>3000000</v>
      </c>
      <c r="E1362" s="4">
        <v>1004592366</v>
      </c>
      <c r="F1362" s="4" t="s">
        <v>123</v>
      </c>
      <c r="G1362" t="s">
        <v>565</v>
      </c>
    </row>
    <row r="1363" spans="1:7" ht="15" customHeight="1" x14ac:dyDescent="0.25">
      <c r="A1363" s="3">
        <v>45646</v>
      </c>
      <c r="B1363" s="4">
        <v>2024003439</v>
      </c>
      <c r="C1363" s="4" t="s">
        <v>643</v>
      </c>
      <c r="D1363" s="5">
        <v>3000000</v>
      </c>
      <c r="E1363" s="4">
        <v>1004232508</v>
      </c>
      <c r="F1363" s="4" t="s">
        <v>109</v>
      </c>
      <c r="G1363" t="s">
        <v>565</v>
      </c>
    </row>
    <row r="1364" spans="1:7" ht="15" customHeight="1" x14ac:dyDescent="0.25">
      <c r="A1364" s="3">
        <v>45646</v>
      </c>
      <c r="B1364" s="4">
        <v>2024003443</v>
      </c>
      <c r="C1364" s="4" t="s">
        <v>933</v>
      </c>
      <c r="D1364" s="5">
        <v>3000000</v>
      </c>
      <c r="E1364" s="4">
        <v>1085325718</v>
      </c>
      <c r="F1364" s="4" t="s">
        <v>301</v>
      </c>
      <c r="G1364" t="s">
        <v>565</v>
      </c>
    </row>
    <row r="1365" spans="1:7" ht="15" customHeight="1" x14ac:dyDescent="0.25">
      <c r="A1365" s="3">
        <v>45646</v>
      </c>
      <c r="B1365" s="4">
        <v>2024003446</v>
      </c>
      <c r="C1365" s="4" t="s">
        <v>854</v>
      </c>
      <c r="D1365" s="5">
        <v>3000000</v>
      </c>
      <c r="E1365" s="4">
        <v>1085266584</v>
      </c>
      <c r="F1365" s="4" t="s">
        <v>115</v>
      </c>
      <c r="G1365" t="s">
        <v>565</v>
      </c>
    </row>
    <row r="1366" spans="1:7" ht="15" customHeight="1" x14ac:dyDescent="0.25">
      <c r="A1366" s="3">
        <v>45646</v>
      </c>
      <c r="B1366" s="4">
        <v>2024003449</v>
      </c>
      <c r="C1366" s="4" t="s">
        <v>610</v>
      </c>
      <c r="D1366" s="5">
        <v>6000000</v>
      </c>
      <c r="E1366" s="4">
        <v>1085254626</v>
      </c>
      <c r="F1366" s="4" t="s">
        <v>143</v>
      </c>
      <c r="G1366" t="s">
        <v>565</v>
      </c>
    </row>
    <row r="1367" spans="1:7" ht="15" customHeight="1" x14ac:dyDescent="0.25">
      <c r="A1367" s="3">
        <v>45646</v>
      </c>
      <c r="B1367" s="4">
        <v>2024003453</v>
      </c>
      <c r="C1367" s="4" t="s">
        <v>1010</v>
      </c>
      <c r="D1367" s="5">
        <v>3000000</v>
      </c>
      <c r="E1367" s="4">
        <v>1004131976</v>
      </c>
      <c r="F1367" s="4" t="s">
        <v>1011</v>
      </c>
      <c r="G1367" t="s">
        <v>565</v>
      </c>
    </row>
    <row r="1368" spans="1:7" ht="15" customHeight="1" x14ac:dyDescent="0.25">
      <c r="A1368" s="3">
        <v>45649</v>
      </c>
      <c r="B1368" s="4">
        <v>2024003483</v>
      </c>
      <c r="C1368" s="4" t="s">
        <v>1046</v>
      </c>
      <c r="D1368" s="5">
        <v>4750000</v>
      </c>
      <c r="E1368" s="4">
        <v>1085326561</v>
      </c>
      <c r="F1368" s="4" t="s">
        <v>1047</v>
      </c>
      <c r="G1368" t="s">
        <v>565</v>
      </c>
    </row>
    <row r="1369" spans="1:7" ht="15" customHeight="1" x14ac:dyDescent="0.25">
      <c r="A1369" s="3">
        <v>45649</v>
      </c>
      <c r="B1369" s="4">
        <v>2024003484</v>
      </c>
      <c r="C1369" s="4" t="s">
        <v>746</v>
      </c>
      <c r="D1369" s="5">
        <v>7540000</v>
      </c>
      <c r="E1369" s="4">
        <v>1233191998</v>
      </c>
      <c r="F1369" s="4" t="s">
        <v>747</v>
      </c>
      <c r="G1369" t="s">
        <v>565</v>
      </c>
    </row>
    <row r="1370" spans="1:7" ht="15" customHeight="1" x14ac:dyDescent="0.25">
      <c r="A1370" s="3">
        <v>45649</v>
      </c>
      <c r="B1370" s="4">
        <v>2024003485</v>
      </c>
      <c r="C1370" s="4" t="s">
        <v>916</v>
      </c>
      <c r="D1370" s="5">
        <v>3000000</v>
      </c>
      <c r="E1370" s="4">
        <v>30743783</v>
      </c>
      <c r="F1370" s="4" t="s">
        <v>504</v>
      </c>
      <c r="G1370" t="s">
        <v>565</v>
      </c>
    </row>
    <row r="1371" spans="1:7" ht="15" customHeight="1" x14ac:dyDescent="0.25">
      <c r="A1371" s="3">
        <v>45649</v>
      </c>
      <c r="B1371" s="4">
        <v>2024003486</v>
      </c>
      <c r="C1371" s="4" t="s">
        <v>1040</v>
      </c>
      <c r="D1371" s="5">
        <v>4750000</v>
      </c>
      <c r="E1371" s="4">
        <v>1067940322</v>
      </c>
      <c r="F1371" s="4" t="s">
        <v>1041</v>
      </c>
      <c r="G1371" t="s">
        <v>565</v>
      </c>
    </row>
    <row r="1372" spans="1:7" ht="15" customHeight="1" x14ac:dyDescent="0.25">
      <c r="A1372" s="3">
        <v>45649</v>
      </c>
      <c r="B1372" s="4">
        <v>2024003487</v>
      </c>
      <c r="C1372" s="4" t="s">
        <v>860</v>
      </c>
      <c r="D1372" s="5">
        <v>6000000</v>
      </c>
      <c r="E1372" s="4">
        <v>1085337232</v>
      </c>
      <c r="F1372" s="4" t="s">
        <v>89</v>
      </c>
      <c r="G1372" t="s">
        <v>565</v>
      </c>
    </row>
    <row r="1373" spans="1:7" ht="15" customHeight="1" x14ac:dyDescent="0.25">
      <c r="A1373" s="3">
        <v>45649</v>
      </c>
      <c r="B1373" s="4">
        <v>2024003488</v>
      </c>
      <c r="C1373" s="4" t="s">
        <v>861</v>
      </c>
      <c r="D1373" s="5">
        <v>3000000</v>
      </c>
      <c r="E1373" s="4">
        <v>1193271854</v>
      </c>
      <c r="F1373" s="4" t="s">
        <v>229</v>
      </c>
      <c r="G1373" t="s">
        <v>565</v>
      </c>
    </row>
    <row r="1374" spans="1:7" ht="15" customHeight="1" x14ac:dyDescent="0.25">
      <c r="A1374" s="3">
        <v>45649</v>
      </c>
      <c r="B1374" s="4">
        <v>2024003490</v>
      </c>
      <c r="C1374" s="4" t="s">
        <v>661</v>
      </c>
      <c r="D1374" s="5">
        <v>6000000</v>
      </c>
      <c r="E1374" s="4">
        <v>59837608</v>
      </c>
      <c r="F1374" s="4" t="s">
        <v>145</v>
      </c>
      <c r="G1374" t="s">
        <v>565</v>
      </c>
    </row>
    <row r="1375" spans="1:7" ht="15" customHeight="1" x14ac:dyDescent="0.25">
      <c r="A1375" s="3">
        <v>45649</v>
      </c>
      <c r="B1375" s="4">
        <v>2024003492</v>
      </c>
      <c r="C1375" s="4" t="s">
        <v>923</v>
      </c>
      <c r="D1375" s="5">
        <v>3000000</v>
      </c>
      <c r="E1375" s="4">
        <v>1085310350</v>
      </c>
      <c r="F1375" s="4" t="s">
        <v>924</v>
      </c>
      <c r="G1375" t="s">
        <v>565</v>
      </c>
    </row>
    <row r="1376" spans="1:7" ht="15" customHeight="1" x14ac:dyDescent="0.25">
      <c r="A1376" s="3">
        <v>45649</v>
      </c>
      <c r="B1376" s="4">
        <v>2024003494</v>
      </c>
      <c r="C1376" s="4" t="s">
        <v>960</v>
      </c>
      <c r="D1376" s="5">
        <v>4750000</v>
      </c>
      <c r="E1376" s="4">
        <v>1233188873</v>
      </c>
      <c r="F1376" s="4" t="s">
        <v>961</v>
      </c>
      <c r="G1376" t="s">
        <v>565</v>
      </c>
    </row>
    <row r="1377" spans="1:7" ht="15" customHeight="1" x14ac:dyDescent="0.25">
      <c r="A1377" s="3">
        <v>45649</v>
      </c>
      <c r="B1377" s="4">
        <v>2024003495</v>
      </c>
      <c r="C1377" s="4" t="s">
        <v>688</v>
      </c>
      <c r="D1377" s="5">
        <v>3000000</v>
      </c>
      <c r="E1377" s="4">
        <v>1010082397</v>
      </c>
      <c r="F1377" s="4" t="s">
        <v>209</v>
      </c>
      <c r="G1377" t="s">
        <v>565</v>
      </c>
    </row>
    <row r="1378" spans="1:7" ht="15" customHeight="1" x14ac:dyDescent="0.25">
      <c r="A1378" s="3">
        <v>45649</v>
      </c>
      <c r="B1378" s="4">
        <v>2024003497</v>
      </c>
      <c r="C1378" s="4" t="s">
        <v>600</v>
      </c>
      <c r="D1378" s="5">
        <v>6000000</v>
      </c>
      <c r="E1378" s="4">
        <v>59820414</v>
      </c>
      <c r="F1378" s="4" t="s">
        <v>261</v>
      </c>
      <c r="G1378" t="s">
        <v>565</v>
      </c>
    </row>
    <row r="1379" spans="1:7" ht="15" customHeight="1" x14ac:dyDescent="0.25">
      <c r="A1379" s="3">
        <v>45649</v>
      </c>
      <c r="B1379" s="4">
        <v>2024003498</v>
      </c>
      <c r="C1379" s="4" t="s">
        <v>1033</v>
      </c>
      <c r="D1379" s="5">
        <v>2500000</v>
      </c>
      <c r="E1379" s="4">
        <v>1088729401</v>
      </c>
      <c r="F1379" s="4" t="s">
        <v>543</v>
      </c>
      <c r="G1379" t="s">
        <v>565</v>
      </c>
    </row>
    <row r="1380" spans="1:7" ht="15" customHeight="1" x14ac:dyDescent="0.25">
      <c r="A1380" s="3">
        <v>45649</v>
      </c>
      <c r="B1380" s="4">
        <v>2024003500</v>
      </c>
      <c r="C1380" s="4" t="s">
        <v>764</v>
      </c>
      <c r="D1380" s="5">
        <v>3000000</v>
      </c>
      <c r="E1380" s="4">
        <v>36757213</v>
      </c>
      <c r="F1380" s="4" t="s">
        <v>411</v>
      </c>
      <c r="G1380" t="s">
        <v>565</v>
      </c>
    </row>
    <row r="1381" spans="1:7" ht="15" customHeight="1" x14ac:dyDescent="0.25">
      <c r="A1381" s="3">
        <v>45649</v>
      </c>
      <c r="B1381" s="4">
        <v>2024003501</v>
      </c>
      <c r="C1381" s="4" t="s">
        <v>675</v>
      </c>
      <c r="D1381" s="5">
        <v>3000000</v>
      </c>
      <c r="E1381" s="4">
        <v>59830040</v>
      </c>
      <c r="F1381" s="4" t="s">
        <v>297</v>
      </c>
      <c r="G1381" t="s">
        <v>565</v>
      </c>
    </row>
    <row r="1382" spans="1:7" ht="15" customHeight="1" x14ac:dyDescent="0.25">
      <c r="A1382" s="3">
        <v>45649</v>
      </c>
      <c r="B1382" s="4">
        <v>2024003502</v>
      </c>
      <c r="C1382" s="4" t="s">
        <v>674</v>
      </c>
      <c r="D1382" s="5">
        <v>3000000</v>
      </c>
      <c r="E1382" s="4">
        <v>27285974</v>
      </c>
      <c r="F1382" s="4" t="s">
        <v>349</v>
      </c>
      <c r="G1382" t="s">
        <v>565</v>
      </c>
    </row>
    <row r="1383" spans="1:7" ht="15" customHeight="1" x14ac:dyDescent="0.25">
      <c r="A1383" s="3">
        <v>45649</v>
      </c>
      <c r="B1383" s="4">
        <v>2024003504</v>
      </c>
      <c r="C1383" s="4" t="s">
        <v>842</v>
      </c>
      <c r="D1383" s="5">
        <v>3000000</v>
      </c>
      <c r="E1383" s="4">
        <v>1010085543</v>
      </c>
      <c r="F1383" s="4" t="s">
        <v>265</v>
      </c>
      <c r="G1383" t="s">
        <v>565</v>
      </c>
    </row>
    <row r="1384" spans="1:7" ht="15" customHeight="1" x14ac:dyDescent="0.25">
      <c r="A1384" s="3">
        <v>45649</v>
      </c>
      <c r="B1384" s="4">
        <v>2024003505</v>
      </c>
      <c r="C1384" s="4" t="s">
        <v>686</v>
      </c>
      <c r="D1384" s="5">
        <v>3000000</v>
      </c>
      <c r="E1384" s="4">
        <v>1085288636</v>
      </c>
      <c r="F1384" s="4" t="s">
        <v>405</v>
      </c>
      <c r="G1384" t="s">
        <v>565</v>
      </c>
    </row>
    <row r="1385" spans="1:7" ht="15" customHeight="1" x14ac:dyDescent="0.25">
      <c r="A1385" s="3">
        <v>45649</v>
      </c>
      <c r="B1385" s="4">
        <v>2024003506</v>
      </c>
      <c r="C1385" s="4" t="s">
        <v>777</v>
      </c>
      <c r="D1385" s="5">
        <v>3000000</v>
      </c>
      <c r="E1385" s="4">
        <v>1144206777</v>
      </c>
      <c r="F1385" s="4" t="s">
        <v>153</v>
      </c>
      <c r="G1385" t="s">
        <v>565</v>
      </c>
    </row>
    <row r="1386" spans="1:7" ht="15" customHeight="1" x14ac:dyDescent="0.25">
      <c r="A1386" s="3">
        <v>45649</v>
      </c>
      <c r="B1386" s="4">
        <v>2024003507</v>
      </c>
      <c r="C1386" s="4" t="s">
        <v>972</v>
      </c>
      <c r="D1386" s="5">
        <v>4750000</v>
      </c>
      <c r="E1386" s="4">
        <v>59824800</v>
      </c>
      <c r="F1386" s="4" t="s">
        <v>973</v>
      </c>
      <c r="G1386" t="s">
        <v>565</v>
      </c>
    </row>
    <row r="1387" spans="1:7" ht="15" customHeight="1" x14ac:dyDescent="0.25">
      <c r="A1387" s="3">
        <v>45649</v>
      </c>
      <c r="B1387" s="4">
        <v>2024003509</v>
      </c>
      <c r="C1387" s="4" t="s">
        <v>769</v>
      </c>
      <c r="D1387" s="5">
        <v>3000000</v>
      </c>
      <c r="E1387" s="4">
        <v>1089846829</v>
      </c>
      <c r="F1387" s="4" t="s">
        <v>770</v>
      </c>
      <c r="G1387" t="s">
        <v>565</v>
      </c>
    </row>
    <row r="1388" spans="1:7" ht="15" customHeight="1" x14ac:dyDescent="0.25">
      <c r="A1388" s="3">
        <v>45649</v>
      </c>
      <c r="B1388" s="4">
        <v>2024003510</v>
      </c>
      <c r="C1388" s="4" t="s">
        <v>818</v>
      </c>
      <c r="D1388" s="5">
        <v>3000000</v>
      </c>
      <c r="E1388" s="4">
        <v>27082649</v>
      </c>
      <c r="F1388" s="4" t="s">
        <v>595</v>
      </c>
      <c r="G1388" t="s">
        <v>565</v>
      </c>
    </row>
    <row r="1389" spans="1:7" ht="15" customHeight="1" x14ac:dyDescent="0.25">
      <c r="A1389" s="3">
        <v>45649</v>
      </c>
      <c r="B1389" s="4">
        <v>2024003512</v>
      </c>
      <c r="C1389" s="4" t="s">
        <v>711</v>
      </c>
      <c r="D1389" s="5">
        <v>3000000</v>
      </c>
      <c r="E1389" s="4">
        <v>36758143</v>
      </c>
      <c r="F1389" s="4" t="s">
        <v>107</v>
      </c>
      <c r="G1389" t="s">
        <v>565</v>
      </c>
    </row>
    <row r="1390" spans="1:7" ht="15" customHeight="1" x14ac:dyDescent="0.25">
      <c r="A1390" s="3">
        <v>45649</v>
      </c>
      <c r="B1390" s="4">
        <v>2024003514</v>
      </c>
      <c r="C1390" s="4" t="s">
        <v>867</v>
      </c>
      <c r="D1390" s="5">
        <v>4825000</v>
      </c>
      <c r="E1390" s="4">
        <v>1085291221</v>
      </c>
      <c r="F1390" s="4" t="s">
        <v>93</v>
      </c>
      <c r="G1390" t="s">
        <v>565</v>
      </c>
    </row>
    <row r="1391" spans="1:7" ht="15" customHeight="1" x14ac:dyDescent="0.25">
      <c r="A1391" s="3">
        <v>45649</v>
      </c>
      <c r="B1391" s="4">
        <v>2024003516</v>
      </c>
      <c r="C1391" s="4" t="s">
        <v>638</v>
      </c>
      <c r="D1391" s="5">
        <v>6000000</v>
      </c>
      <c r="E1391" s="4">
        <v>1010010954</v>
      </c>
      <c r="F1391" s="4" t="s">
        <v>337</v>
      </c>
      <c r="G1391" t="s">
        <v>565</v>
      </c>
    </row>
    <row r="1392" spans="1:7" ht="15" customHeight="1" x14ac:dyDescent="0.25">
      <c r="A1392" s="3">
        <v>45649</v>
      </c>
      <c r="B1392" s="4">
        <v>2024003518</v>
      </c>
      <c r="C1392" s="4" t="s">
        <v>804</v>
      </c>
      <c r="D1392" s="5">
        <v>3000000</v>
      </c>
      <c r="E1392" s="4">
        <v>1089243630</v>
      </c>
      <c r="F1392" s="4" t="s">
        <v>197</v>
      </c>
      <c r="G1392" t="s">
        <v>565</v>
      </c>
    </row>
    <row r="1393" spans="1:7" ht="15" customHeight="1" x14ac:dyDescent="0.25">
      <c r="A1393" s="3">
        <v>45649</v>
      </c>
      <c r="B1393" s="4">
        <v>2024003520</v>
      </c>
      <c r="C1393" s="4" t="s">
        <v>673</v>
      </c>
      <c r="D1393" s="5">
        <v>2500000</v>
      </c>
      <c r="E1393" s="4">
        <v>12750863</v>
      </c>
      <c r="F1393" s="4" t="s">
        <v>225</v>
      </c>
      <c r="G1393" t="s">
        <v>565</v>
      </c>
    </row>
    <row r="1394" spans="1:7" ht="15" customHeight="1" x14ac:dyDescent="0.25">
      <c r="A1394" s="3">
        <v>45649</v>
      </c>
      <c r="B1394" s="4">
        <v>2024003521</v>
      </c>
      <c r="C1394" s="4" t="s">
        <v>687</v>
      </c>
      <c r="D1394" s="5">
        <v>3000000</v>
      </c>
      <c r="E1394" s="4">
        <v>1080040858</v>
      </c>
      <c r="F1394" s="4" t="s">
        <v>211</v>
      </c>
      <c r="G1394" t="s">
        <v>565</v>
      </c>
    </row>
    <row r="1395" spans="1:7" ht="15" customHeight="1" x14ac:dyDescent="0.25">
      <c r="A1395" s="3">
        <v>45649</v>
      </c>
      <c r="B1395" s="4">
        <v>2024003522</v>
      </c>
      <c r="C1395" s="4" t="s">
        <v>893</v>
      </c>
      <c r="D1395" s="5">
        <v>6000000</v>
      </c>
      <c r="E1395" s="4">
        <v>97470681</v>
      </c>
      <c r="F1395" s="4" t="s">
        <v>329</v>
      </c>
      <c r="G1395" t="s">
        <v>565</v>
      </c>
    </row>
    <row r="1396" spans="1:7" ht="15" customHeight="1" x14ac:dyDescent="0.25">
      <c r="A1396" s="3">
        <v>45649</v>
      </c>
      <c r="B1396" s="4">
        <v>2024003523</v>
      </c>
      <c r="C1396" s="4" t="s">
        <v>855</v>
      </c>
      <c r="D1396" s="5">
        <v>4750000</v>
      </c>
      <c r="E1396" s="4">
        <v>1193383306</v>
      </c>
      <c r="F1396" s="4" t="s">
        <v>267</v>
      </c>
      <c r="G1396" t="s">
        <v>565</v>
      </c>
    </row>
    <row r="1397" spans="1:7" ht="15" customHeight="1" x14ac:dyDescent="0.25">
      <c r="A1397" s="3">
        <v>45649</v>
      </c>
      <c r="B1397" s="4">
        <v>2024003524</v>
      </c>
      <c r="C1397" s="4" t="s">
        <v>767</v>
      </c>
      <c r="D1397" s="5">
        <v>4750000</v>
      </c>
      <c r="E1397" s="4">
        <v>59651018</v>
      </c>
      <c r="F1397" s="4" t="s">
        <v>493</v>
      </c>
      <c r="G1397" t="s">
        <v>565</v>
      </c>
    </row>
    <row r="1398" spans="1:7" ht="15" customHeight="1" x14ac:dyDescent="0.25">
      <c r="A1398" s="3">
        <v>45649</v>
      </c>
      <c r="B1398" s="4">
        <v>2024003528</v>
      </c>
      <c r="C1398" s="4" t="s">
        <v>913</v>
      </c>
      <c r="D1398" s="5">
        <v>4750000</v>
      </c>
      <c r="E1398" s="4">
        <v>36953206</v>
      </c>
      <c r="F1398" s="4" t="s">
        <v>391</v>
      </c>
      <c r="G1398" t="s">
        <v>565</v>
      </c>
    </row>
    <row r="1399" spans="1:7" ht="15" customHeight="1" x14ac:dyDescent="0.25">
      <c r="A1399" s="3">
        <v>45649</v>
      </c>
      <c r="B1399" s="4">
        <v>2024003531</v>
      </c>
      <c r="C1399" s="4" t="s">
        <v>620</v>
      </c>
      <c r="D1399" s="5">
        <v>4825000</v>
      </c>
      <c r="E1399" s="4">
        <v>1085273986</v>
      </c>
      <c r="F1399" s="4" t="s">
        <v>621</v>
      </c>
      <c r="G1399" t="s">
        <v>565</v>
      </c>
    </row>
    <row r="1400" spans="1:7" ht="15" customHeight="1" x14ac:dyDescent="0.25">
      <c r="A1400" s="3">
        <v>45649</v>
      </c>
      <c r="B1400" s="4">
        <v>2024003533</v>
      </c>
      <c r="C1400" s="4" t="s">
        <v>631</v>
      </c>
      <c r="D1400" s="5">
        <v>6000000</v>
      </c>
      <c r="E1400" s="4">
        <v>1085246134</v>
      </c>
      <c r="F1400" s="4" t="s">
        <v>55</v>
      </c>
      <c r="G1400" t="s">
        <v>565</v>
      </c>
    </row>
    <row r="1401" spans="1:7" ht="15" customHeight="1" x14ac:dyDescent="0.25">
      <c r="A1401" s="3">
        <v>45649</v>
      </c>
      <c r="B1401" s="4">
        <v>2024003534</v>
      </c>
      <c r="C1401" s="4" t="s">
        <v>665</v>
      </c>
      <c r="D1401" s="5">
        <v>3000000</v>
      </c>
      <c r="E1401" s="4">
        <v>1085327701</v>
      </c>
      <c r="F1401" s="4" t="s">
        <v>85</v>
      </c>
      <c r="G1401" t="s">
        <v>565</v>
      </c>
    </row>
    <row r="1402" spans="1:7" ht="15" customHeight="1" x14ac:dyDescent="0.25">
      <c r="A1402" s="3">
        <v>45649</v>
      </c>
      <c r="B1402" s="4">
        <v>2024003535</v>
      </c>
      <c r="C1402" s="4" t="s">
        <v>622</v>
      </c>
      <c r="D1402" s="5">
        <v>4825000</v>
      </c>
      <c r="E1402" s="4">
        <v>1085283723</v>
      </c>
      <c r="F1402" s="4" t="s">
        <v>175</v>
      </c>
      <c r="G1402" t="s">
        <v>565</v>
      </c>
    </row>
    <row r="1403" spans="1:7" ht="15" customHeight="1" x14ac:dyDescent="0.25">
      <c r="A1403" s="3">
        <v>45649</v>
      </c>
      <c r="B1403" s="4">
        <v>2024003536</v>
      </c>
      <c r="C1403" s="4" t="s">
        <v>789</v>
      </c>
      <c r="D1403" s="5">
        <v>3000000</v>
      </c>
      <c r="E1403" s="4">
        <v>1086362994</v>
      </c>
      <c r="F1403" s="4" t="s">
        <v>77</v>
      </c>
      <c r="G1403" t="s">
        <v>565</v>
      </c>
    </row>
    <row r="1404" spans="1:7" ht="15" customHeight="1" x14ac:dyDescent="0.25">
      <c r="A1404" s="3">
        <v>45649</v>
      </c>
      <c r="B1404" s="4">
        <v>2024003537</v>
      </c>
      <c r="C1404" s="4" t="s">
        <v>805</v>
      </c>
      <c r="D1404" s="5">
        <v>3000000</v>
      </c>
      <c r="E1404" s="4">
        <v>59834953</v>
      </c>
      <c r="F1404" s="4" t="s">
        <v>121</v>
      </c>
      <c r="G1404" t="s">
        <v>565</v>
      </c>
    </row>
    <row r="1405" spans="1:7" ht="15" customHeight="1" x14ac:dyDescent="0.25">
      <c r="A1405" s="3">
        <v>45649</v>
      </c>
      <c r="B1405" s="4">
        <v>2024003538</v>
      </c>
      <c r="C1405" s="4" t="s">
        <v>868</v>
      </c>
      <c r="D1405" s="5">
        <v>4825000</v>
      </c>
      <c r="E1405" s="4">
        <v>30733517</v>
      </c>
      <c r="F1405" s="4" t="s">
        <v>53</v>
      </c>
      <c r="G1405" t="s">
        <v>565</v>
      </c>
    </row>
    <row r="1406" spans="1:7" ht="15" customHeight="1" x14ac:dyDescent="0.25">
      <c r="A1406" s="3">
        <v>45649</v>
      </c>
      <c r="B1406" s="4">
        <v>2024003539</v>
      </c>
      <c r="C1406" s="4" t="s">
        <v>776</v>
      </c>
      <c r="D1406" s="5">
        <v>3000000</v>
      </c>
      <c r="E1406" s="4">
        <v>1233189234</v>
      </c>
      <c r="F1406" s="4" t="s">
        <v>87</v>
      </c>
      <c r="G1406" t="s">
        <v>565</v>
      </c>
    </row>
    <row r="1407" spans="1:7" ht="15" customHeight="1" x14ac:dyDescent="0.25">
      <c r="A1407" s="3">
        <v>45649</v>
      </c>
      <c r="B1407" s="4">
        <v>2024003540</v>
      </c>
      <c r="C1407" s="4" t="s">
        <v>970</v>
      </c>
      <c r="D1407" s="5">
        <v>7540000</v>
      </c>
      <c r="E1407" s="4">
        <v>1085317791</v>
      </c>
      <c r="F1407" s="4" t="s">
        <v>971</v>
      </c>
      <c r="G1407" t="s">
        <v>565</v>
      </c>
    </row>
    <row r="1408" spans="1:7" ht="15" customHeight="1" x14ac:dyDescent="0.25">
      <c r="A1408" s="3">
        <v>45649</v>
      </c>
      <c r="B1408" s="4">
        <v>2024003541</v>
      </c>
      <c r="C1408" s="4" t="s">
        <v>775</v>
      </c>
      <c r="D1408" s="5">
        <v>3000000</v>
      </c>
      <c r="E1408" s="4">
        <v>1193385397</v>
      </c>
      <c r="F1408" s="4" t="s">
        <v>39</v>
      </c>
      <c r="G1408" t="s">
        <v>565</v>
      </c>
    </row>
    <row r="1409" spans="1:7" ht="15" customHeight="1" x14ac:dyDescent="0.25">
      <c r="A1409" s="3">
        <v>45649</v>
      </c>
      <c r="B1409" s="4">
        <v>2024003542</v>
      </c>
      <c r="C1409" s="4" t="s">
        <v>710</v>
      </c>
      <c r="D1409" s="5">
        <v>3000000</v>
      </c>
      <c r="E1409" s="4">
        <v>37084285</v>
      </c>
      <c r="F1409" s="4" t="s">
        <v>119</v>
      </c>
      <c r="G1409" t="s">
        <v>565</v>
      </c>
    </row>
    <row r="1410" spans="1:7" ht="15" customHeight="1" x14ac:dyDescent="0.25">
      <c r="A1410" s="3">
        <v>45649</v>
      </c>
      <c r="B1410" s="4">
        <v>2024003543</v>
      </c>
      <c r="C1410" s="4" t="s">
        <v>955</v>
      </c>
      <c r="D1410" s="5">
        <v>2500000</v>
      </c>
      <c r="E1410" s="4">
        <v>36950441</v>
      </c>
      <c r="F1410" s="4" t="s">
        <v>956</v>
      </c>
      <c r="G1410" t="s">
        <v>565</v>
      </c>
    </row>
    <row r="1411" spans="1:7" ht="15" customHeight="1" x14ac:dyDescent="0.25">
      <c r="A1411" s="3">
        <v>45649</v>
      </c>
      <c r="B1411" s="4">
        <v>2024003544</v>
      </c>
      <c r="C1411" s="4" t="s">
        <v>1063</v>
      </c>
      <c r="D1411" s="5">
        <v>6000000</v>
      </c>
      <c r="E1411" s="4">
        <v>27321605</v>
      </c>
      <c r="F1411" s="4" t="s">
        <v>1064</v>
      </c>
      <c r="G1411" t="s">
        <v>565</v>
      </c>
    </row>
    <row r="1412" spans="1:7" ht="15" customHeight="1" x14ac:dyDescent="0.25">
      <c r="A1412" s="3">
        <v>45649</v>
      </c>
      <c r="B1412" s="4">
        <v>2024003545</v>
      </c>
      <c r="C1412" s="4" t="s">
        <v>750</v>
      </c>
      <c r="D1412" s="5">
        <v>7540000</v>
      </c>
      <c r="E1412" s="4">
        <v>7603662</v>
      </c>
      <c r="F1412" s="4" t="s">
        <v>361</v>
      </c>
      <c r="G1412" t="s">
        <v>565</v>
      </c>
    </row>
    <row r="1413" spans="1:7" ht="15" customHeight="1" x14ac:dyDescent="0.25">
      <c r="A1413" s="3">
        <v>45649</v>
      </c>
      <c r="B1413" s="4">
        <v>2024003546</v>
      </c>
      <c r="C1413" s="4" t="s">
        <v>1065</v>
      </c>
      <c r="D1413" s="5">
        <v>499800</v>
      </c>
      <c r="E1413" s="4">
        <v>1085321176</v>
      </c>
      <c r="F1413" s="4" t="s">
        <v>1066</v>
      </c>
      <c r="G1413" t="s">
        <v>565</v>
      </c>
    </row>
    <row r="1414" spans="1:7" ht="15" customHeight="1" x14ac:dyDescent="0.25">
      <c r="A1414" s="3">
        <v>45649</v>
      </c>
      <c r="B1414" s="4">
        <v>2024003547</v>
      </c>
      <c r="C1414" s="4" t="s">
        <v>1065</v>
      </c>
      <c r="D1414" s="5">
        <v>2500000</v>
      </c>
      <c r="E1414" s="4">
        <v>1085321176</v>
      </c>
      <c r="F1414" s="4" t="s">
        <v>1066</v>
      </c>
      <c r="G1414" t="s">
        <v>565</v>
      </c>
    </row>
    <row r="1415" spans="1:7" ht="15" customHeight="1" x14ac:dyDescent="0.25">
      <c r="A1415" s="3">
        <v>45649</v>
      </c>
      <c r="B1415" s="4">
        <v>2024003548</v>
      </c>
      <c r="C1415" s="4" t="s">
        <v>1067</v>
      </c>
      <c r="D1415" s="5">
        <v>3000000</v>
      </c>
      <c r="E1415" s="4">
        <v>1004232315</v>
      </c>
      <c r="F1415" s="4" t="s">
        <v>1068</v>
      </c>
      <c r="G1415" t="s">
        <v>565</v>
      </c>
    </row>
    <row r="1416" spans="1:7" ht="15" customHeight="1" x14ac:dyDescent="0.25">
      <c r="A1416" s="3">
        <v>45649</v>
      </c>
      <c r="B1416" s="4">
        <v>2024003549</v>
      </c>
      <c r="C1416" s="4" t="s">
        <v>671</v>
      </c>
      <c r="D1416" s="5">
        <v>6000000</v>
      </c>
      <c r="E1416" s="4">
        <v>1004213964</v>
      </c>
      <c r="F1416" s="4" t="s">
        <v>113</v>
      </c>
      <c r="G1416" t="s">
        <v>565</v>
      </c>
    </row>
    <row r="1417" spans="1:7" ht="15" customHeight="1" x14ac:dyDescent="0.25">
      <c r="A1417" s="3">
        <v>45649</v>
      </c>
      <c r="B1417" s="4">
        <v>2024003550</v>
      </c>
      <c r="C1417" s="4" t="s">
        <v>677</v>
      </c>
      <c r="D1417" s="5">
        <v>3000000</v>
      </c>
      <c r="E1417" s="4">
        <v>1137624011</v>
      </c>
      <c r="F1417" s="4" t="s">
        <v>243</v>
      </c>
      <c r="G1417" t="s">
        <v>565</v>
      </c>
    </row>
    <row r="1418" spans="1:7" ht="15" customHeight="1" x14ac:dyDescent="0.25">
      <c r="A1418" s="3">
        <v>45649</v>
      </c>
      <c r="B1418" s="4">
        <v>2024003551</v>
      </c>
      <c r="C1418" s="4" t="s">
        <v>810</v>
      </c>
      <c r="D1418" s="5">
        <v>4825000</v>
      </c>
      <c r="E1418" s="4">
        <v>1085337969</v>
      </c>
      <c r="F1418" s="4" t="s">
        <v>99</v>
      </c>
      <c r="G1418" t="s">
        <v>565</v>
      </c>
    </row>
    <row r="1419" spans="1:7" ht="15" customHeight="1" x14ac:dyDescent="0.25">
      <c r="A1419" s="3">
        <v>45649</v>
      </c>
      <c r="B1419" s="4">
        <v>2024003552</v>
      </c>
      <c r="C1419" s="4" t="s">
        <v>772</v>
      </c>
      <c r="D1419" s="5">
        <v>3000000</v>
      </c>
      <c r="E1419" s="4">
        <v>1081592303</v>
      </c>
      <c r="F1419" s="4" t="s">
        <v>353</v>
      </c>
      <c r="G1419" t="s">
        <v>565</v>
      </c>
    </row>
    <row r="1420" spans="1:7" ht="15" customHeight="1" x14ac:dyDescent="0.25">
      <c r="A1420" s="3">
        <v>45649</v>
      </c>
      <c r="B1420" s="4">
        <v>2024003553</v>
      </c>
      <c r="C1420" s="4" t="s">
        <v>982</v>
      </c>
      <c r="D1420" s="5">
        <v>7540000</v>
      </c>
      <c r="E1420" s="4">
        <v>1085262570</v>
      </c>
      <c r="F1420" s="4" t="s">
        <v>983</v>
      </c>
      <c r="G1420" t="s">
        <v>565</v>
      </c>
    </row>
    <row r="1421" spans="1:7" ht="15" customHeight="1" x14ac:dyDescent="0.25">
      <c r="A1421" s="3">
        <v>45649</v>
      </c>
      <c r="B1421" s="4">
        <v>2024003554</v>
      </c>
      <c r="C1421" s="4" t="s">
        <v>1030</v>
      </c>
      <c r="D1421" s="5">
        <v>4825000</v>
      </c>
      <c r="E1421" s="4">
        <v>1085322873</v>
      </c>
      <c r="F1421" s="4" t="s">
        <v>1031</v>
      </c>
      <c r="G1421" t="s">
        <v>565</v>
      </c>
    </row>
    <row r="1422" spans="1:7" ht="15" customHeight="1" x14ac:dyDescent="0.25">
      <c r="A1422" s="3">
        <v>45649</v>
      </c>
      <c r="B1422" s="4">
        <v>2024003555</v>
      </c>
      <c r="C1422" s="4" t="s">
        <v>1069</v>
      </c>
      <c r="D1422" s="5">
        <v>7540000</v>
      </c>
      <c r="E1422" s="4">
        <v>10859376713</v>
      </c>
      <c r="F1422" s="4" t="s">
        <v>1070</v>
      </c>
      <c r="G1422" t="s">
        <v>565</v>
      </c>
    </row>
    <row r="1423" spans="1:7" ht="15" customHeight="1" x14ac:dyDescent="0.25">
      <c r="A1423" s="3">
        <v>45649</v>
      </c>
      <c r="B1423" s="4">
        <v>2024003556</v>
      </c>
      <c r="C1423" s="4" t="s">
        <v>706</v>
      </c>
      <c r="D1423" s="5">
        <v>7500000</v>
      </c>
      <c r="E1423" s="4">
        <v>1088599676</v>
      </c>
      <c r="F1423" s="4" t="s">
        <v>421</v>
      </c>
      <c r="G1423" t="s">
        <v>565</v>
      </c>
    </row>
    <row r="1424" spans="1:7" ht="15" customHeight="1" x14ac:dyDescent="0.25">
      <c r="A1424" s="3">
        <v>45649</v>
      </c>
      <c r="B1424" s="4">
        <v>2024003557</v>
      </c>
      <c r="C1424" s="4" t="s">
        <v>803</v>
      </c>
      <c r="D1424" s="5">
        <v>7540000</v>
      </c>
      <c r="E1424" s="4">
        <v>80765093</v>
      </c>
      <c r="F1424" s="4" t="s">
        <v>69</v>
      </c>
      <c r="G1424" t="s">
        <v>565</v>
      </c>
    </row>
    <row r="1425" spans="1:7" ht="15" customHeight="1" x14ac:dyDescent="0.25">
      <c r="A1425" s="3">
        <v>45649</v>
      </c>
      <c r="B1425" s="4">
        <v>2024003558</v>
      </c>
      <c r="C1425" s="4" t="s">
        <v>1006</v>
      </c>
      <c r="D1425" s="5">
        <v>2500000</v>
      </c>
      <c r="E1425" s="4">
        <v>36754171</v>
      </c>
      <c r="F1425" s="4" t="s">
        <v>1007</v>
      </c>
      <c r="G1425" t="s">
        <v>565</v>
      </c>
    </row>
    <row r="1426" spans="1:7" ht="15" customHeight="1" x14ac:dyDescent="0.25">
      <c r="A1426" s="3">
        <v>45649</v>
      </c>
      <c r="B1426" s="4">
        <v>2024003559</v>
      </c>
      <c r="C1426" s="4" t="s">
        <v>657</v>
      </c>
      <c r="D1426" s="5">
        <v>3000000</v>
      </c>
      <c r="E1426" s="4">
        <v>1081052746</v>
      </c>
      <c r="F1426" s="4" t="s">
        <v>658</v>
      </c>
      <c r="G1426" t="s">
        <v>565</v>
      </c>
    </row>
    <row r="1427" spans="1:7" ht="15" customHeight="1" x14ac:dyDescent="0.25">
      <c r="A1427" s="3">
        <v>45649</v>
      </c>
      <c r="B1427" s="4">
        <v>2024003561</v>
      </c>
      <c r="C1427" s="4" t="s">
        <v>885</v>
      </c>
      <c r="D1427" s="5">
        <v>3000000</v>
      </c>
      <c r="E1427" s="4">
        <v>1084224968</v>
      </c>
      <c r="F1427" s="4" t="s">
        <v>886</v>
      </c>
      <c r="G1427" t="s">
        <v>565</v>
      </c>
    </row>
    <row r="1428" spans="1:7" ht="15" customHeight="1" x14ac:dyDescent="0.25">
      <c r="A1428" s="3">
        <v>45649</v>
      </c>
      <c r="B1428" s="4">
        <v>2024003562</v>
      </c>
      <c r="C1428" s="4" t="s">
        <v>953</v>
      </c>
      <c r="D1428" s="5">
        <v>6000000</v>
      </c>
      <c r="E1428" s="4">
        <v>1087420025</v>
      </c>
      <c r="F1428" s="4" t="s">
        <v>954</v>
      </c>
      <c r="G1428" t="s">
        <v>565</v>
      </c>
    </row>
    <row r="1429" spans="1:7" ht="15" customHeight="1" x14ac:dyDescent="0.25">
      <c r="A1429" s="3">
        <v>45649</v>
      </c>
      <c r="B1429" s="4">
        <v>2024003563</v>
      </c>
      <c r="C1429" s="4" t="s">
        <v>731</v>
      </c>
      <c r="D1429" s="5">
        <v>2500000</v>
      </c>
      <c r="E1429" s="4">
        <v>1131085946</v>
      </c>
      <c r="F1429" s="4" t="s">
        <v>732</v>
      </c>
      <c r="G1429" t="s">
        <v>565</v>
      </c>
    </row>
    <row r="1430" spans="1:7" ht="15" customHeight="1" x14ac:dyDescent="0.25">
      <c r="A1430" s="3">
        <v>45649</v>
      </c>
      <c r="B1430" s="4">
        <v>2024003564</v>
      </c>
      <c r="C1430" s="4" t="s">
        <v>806</v>
      </c>
      <c r="D1430" s="5">
        <v>4750000</v>
      </c>
      <c r="E1430" s="4">
        <v>1085345772</v>
      </c>
      <c r="F1430" s="4" t="s">
        <v>221</v>
      </c>
      <c r="G1430" t="s">
        <v>565</v>
      </c>
    </row>
    <row r="1431" spans="1:7" ht="15" customHeight="1" x14ac:dyDescent="0.25">
      <c r="A1431" s="3">
        <v>45649</v>
      </c>
      <c r="B1431" s="4">
        <v>2024003565</v>
      </c>
      <c r="C1431" s="4" t="s">
        <v>742</v>
      </c>
      <c r="D1431" s="5">
        <v>3000000</v>
      </c>
      <c r="E1431" s="4">
        <v>1004709928</v>
      </c>
      <c r="F1431" s="4" t="s">
        <v>289</v>
      </c>
      <c r="G1431" t="s">
        <v>565</v>
      </c>
    </row>
    <row r="1432" spans="1:7" ht="15" customHeight="1" x14ac:dyDescent="0.25">
      <c r="A1432" s="3">
        <v>45649</v>
      </c>
      <c r="B1432" s="4">
        <v>2024003566</v>
      </c>
      <c r="C1432" s="4" t="s">
        <v>1071</v>
      </c>
      <c r="D1432" s="5">
        <v>2500000</v>
      </c>
      <c r="E1432" s="4">
        <v>1085314334</v>
      </c>
      <c r="F1432" s="4" t="s">
        <v>585</v>
      </c>
      <c r="G1432" t="s">
        <v>565</v>
      </c>
    </row>
    <row r="1433" spans="1:7" ht="15" customHeight="1" x14ac:dyDescent="0.25">
      <c r="A1433" s="3">
        <v>45649</v>
      </c>
      <c r="B1433" s="4">
        <v>2024003567</v>
      </c>
      <c r="C1433" s="4" t="s">
        <v>729</v>
      </c>
      <c r="D1433" s="5">
        <v>2500000</v>
      </c>
      <c r="E1433" s="4">
        <v>1085335069</v>
      </c>
      <c r="F1433" s="4" t="s">
        <v>730</v>
      </c>
      <c r="G1433" t="s">
        <v>565</v>
      </c>
    </row>
    <row r="1434" spans="1:7" ht="15" customHeight="1" x14ac:dyDescent="0.25">
      <c r="A1434" s="3">
        <v>45649</v>
      </c>
      <c r="B1434" s="4">
        <v>2024003568</v>
      </c>
      <c r="C1434" s="4" t="s">
        <v>633</v>
      </c>
      <c r="D1434" s="5">
        <v>7540000</v>
      </c>
      <c r="E1434" s="4">
        <v>36950112</v>
      </c>
      <c r="F1434" s="4" t="s">
        <v>634</v>
      </c>
      <c r="G1434" t="s">
        <v>565</v>
      </c>
    </row>
    <row r="1435" spans="1:7" ht="15" customHeight="1" x14ac:dyDescent="0.25">
      <c r="A1435" s="3">
        <v>45649</v>
      </c>
      <c r="B1435" s="4">
        <v>2024003569</v>
      </c>
      <c r="C1435" s="4" t="s">
        <v>887</v>
      </c>
      <c r="D1435" s="5">
        <v>3000000</v>
      </c>
      <c r="E1435" s="4">
        <v>1004234290</v>
      </c>
      <c r="F1435" s="4" t="s">
        <v>237</v>
      </c>
      <c r="G1435" t="s">
        <v>565</v>
      </c>
    </row>
    <row r="1436" spans="1:7" ht="15" customHeight="1" x14ac:dyDescent="0.25">
      <c r="A1436" s="3">
        <v>45649</v>
      </c>
      <c r="B1436" s="4">
        <v>2024003570</v>
      </c>
      <c r="C1436" s="4" t="s">
        <v>1072</v>
      </c>
      <c r="D1436" s="5">
        <v>6000000</v>
      </c>
      <c r="E1436" s="4">
        <v>1007254154</v>
      </c>
      <c r="F1436" s="4" t="s">
        <v>1073</v>
      </c>
      <c r="G1436" t="s">
        <v>565</v>
      </c>
    </row>
    <row r="1437" spans="1:7" ht="15" customHeight="1" x14ac:dyDescent="0.25">
      <c r="A1437" s="3">
        <v>45649</v>
      </c>
      <c r="B1437" s="4">
        <v>2024003571</v>
      </c>
      <c r="C1437" s="4" t="s">
        <v>678</v>
      </c>
      <c r="D1437" s="5">
        <v>3000000</v>
      </c>
      <c r="E1437" s="4">
        <v>36954407</v>
      </c>
      <c r="F1437" s="4" t="s">
        <v>679</v>
      </c>
      <c r="G1437" t="s">
        <v>565</v>
      </c>
    </row>
    <row r="1438" spans="1:7" ht="15" customHeight="1" x14ac:dyDescent="0.25">
      <c r="A1438" s="3">
        <v>45649</v>
      </c>
      <c r="B1438" s="4">
        <v>2024003572</v>
      </c>
      <c r="C1438" s="4" t="s">
        <v>700</v>
      </c>
      <c r="D1438" s="5">
        <v>3000000</v>
      </c>
      <c r="E1438" s="4">
        <v>1085315209</v>
      </c>
      <c r="F1438" s="4" t="s">
        <v>701</v>
      </c>
      <c r="G1438" t="s">
        <v>565</v>
      </c>
    </row>
    <row r="1439" spans="1:7" ht="15" customHeight="1" x14ac:dyDescent="0.25">
      <c r="A1439" s="3">
        <v>45649</v>
      </c>
      <c r="B1439" s="4">
        <v>2024003573</v>
      </c>
      <c r="C1439" s="4" t="s">
        <v>859</v>
      </c>
      <c r="D1439" s="5">
        <v>3000000</v>
      </c>
      <c r="E1439" s="4">
        <v>1014857280</v>
      </c>
      <c r="F1439" s="4" t="s">
        <v>233</v>
      </c>
      <c r="G1439" t="s">
        <v>565</v>
      </c>
    </row>
    <row r="1440" spans="1:7" ht="15" customHeight="1" x14ac:dyDescent="0.25">
      <c r="A1440" s="3">
        <v>45649</v>
      </c>
      <c r="B1440" s="4">
        <v>2024003574</v>
      </c>
      <c r="C1440" s="4" t="s">
        <v>811</v>
      </c>
      <c r="D1440" s="5">
        <v>3000000</v>
      </c>
      <c r="E1440" s="4">
        <v>1085296353</v>
      </c>
      <c r="F1440" s="4" t="s">
        <v>187</v>
      </c>
      <c r="G1440" t="s">
        <v>565</v>
      </c>
    </row>
    <row r="1441" spans="1:7" ht="15" customHeight="1" x14ac:dyDescent="0.25">
      <c r="A1441" s="3">
        <v>45649</v>
      </c>
      <c r="B1441" s="4">
        <v>2024003575</v>
      </c>
      <c r="C1441" s="4" t="s">
        <v>834</v>
      </c>
      <c r="D1441" s="5">
        <v>7540000</v>
      </c>
      <c r="E1441" s="4">
        <v>1085335767</v>
      </c>
      <c r="F1441" s="4" t="s">
        <v>231</v>
      </c>
      <c r="G1441" t="s">
        <v>565</v>
      </c>
    </row>
    <row r="1442" spans="1:7" ht="15" customHeight="1" x14ac:dyDescent="0.25">
      <c r="A1442" s="3">
        <v>45649</v>
      </c>
      <c r="B1442" s="4">
        <v>2024003576</v>
      </c>
      <c r="C1442" s="4" t="s">
        <v>856</v>
      </c>
      <c r="D1442" s="5">
        <v>2500000</v>
      </c>
      <c r="E1442" s="4">
        <v>1086016308</v>
      </c>
      <c r="F1442" s="4" t="s">
        <v>305</v>
      </c>
      <c r="G1442" t="s">
        <v>565</v>
      </c>
    </row>
    <row r="1443" spans="1:7" ht="15" customHeight="1" x14ac:dyDescent="0.25">
      <c r="A1443" s="3">
        <v>45649</v>
      </c>
      <c r="B1443" s="4">
        <v>2024003577</v>
      </c>
      <c r="C1443" s="4" t="s">
        <v>1074</v>
      </c>
      <c r="D1443" s="5">
        <v>2500000</v>
      </c>
      <c r="E1443" s="4">
        <v>30709681</v>
      </c>
      <c r="F1443" s="4" t="s">
        <v>1075</v>
      </c>
      <c r="G1443" t="s">
        <v>565</v>
      </c>
    </row>
    <row r="1444" spans="1:7" ht="15" customHeight="1" x14ac:dyDescent="0.25">
      <c r="A1444" s="3">
        <v>45649</v>
      </c>
      <c r="B1444" s="4">
        <v>2024003578</v>
      </c>
      <c r="C1444" s="4" t="s">
        <v>974</v>
      </c>
      <c r="D1444" s="5">
        <v>6000000</v>
      </c>
      <c r="E1444" s="4">
        <v>79724257</v>
      </c>
      <c r="F1444" s="4" t="s">
        <v>425</v>
      </c>
      <c r="G1444" t="s">
        <v>565</v>
      </c>
    </row>
    <row r="1445" spans="1:7" ht="15" customHeight="1" x14ac:dyDescent="0.25">
      <c r="A1445" s="3">
        <v>45649</v>
      </c>
      <c r="B1445" s="4">
        <v>2024003579</v>
      </c>
      <c r="C1445" s="4" t="s">
        <v>702</v>
      </c>
      <c r="D1445" s="5">
        <v>4825000</v>
      </c>
      <c r="E1445" s="4">
        <v>1085289739</v>
      </c>
      <c r="F1445" s="4" t="s">
        <v>241</v>
      </c>
      <c r="G1445" t="s">
        <v>565</v>
      </c>
    </row>
    <row r="1446" spans="1:7" ht="15" customHeight="1" x14ac:dyDescent="0.25">
      <c r="A1446" s="3">
        <v>45649</v>
      </c>
      <c r="B1446" s="4">
        <v>2024003580</v>
      </c>
      <c r="C1446" s="4" t="s">
        <v>741</v>
      </c>
      <c r="D1446" s="5">
        <v>3000000</v>
      </c>
      <c r="E1446" s="4">
        <v>1085317833</v>
      </c>
      <c r="F1446" s="4" t="s">
        <v>11</v>
      </c>
      <c r="G1446" t="s">
        <v>565</v>
      </c>
    </row>
    <row r="1447" spans="1:7" ht="15" customHeight="1" x14ac:dyDescent="0.25">
      <c r="A1447" s="3">
        <v>45649</v>
      </c>
      <c r="B1447" s="4">
        <v>2024003581</v>
      </c>
      <c r="C1447" s="4" t="s">
        <v>853</v>
      </c>
      <c r="D1447" s="5">
        <v>4825000</v>
      </c>
      <c r="E1447" s="4">
        <v>1087643211</v>
      </c>
      <c r="F1447" s="4" t="s">
        <v>131</v>
      </c>
      <c r="G1447" t="s">
        <v>565</v>
      </c>
    </row>
    <row r="1448" spans="1:7" ht="15" customHeight="1" x14ac:dyDescent="0.25">
      <c r="A1448" s="3">
        <v>45649</v>
      </c>
      <c r="B1448" s="4">
        <v>2024003582</v>
      </c>
      <c r="C1448" s="4" t="s">
        <v>727</v>
      </c>
      <c r="D1448" s="5">
        <v>2500000</v>
      </c>
      <c r="E1448" s="4">
        <v>1085310465</v>
      </c>
      <c r="F1448" s="4" t="s">
        <v>307</v>
      </c>
      <c r="G1448" t="s">
        <v>565</v>
      </c>
    </row>
    <row r="1449" spans="1:7" ht="15" customHeight="1" x14ac:dyDescent="0.25">
      <c r="A1449" s="3">
        <v>45649</v>
      </c>
      <c r="B1449" s="4">
        <v>2024003583</v>
      </c>
      <c r="C1449" s="4" t="s">
        <v>929</v>
      </c>
      <c r="D1449" s="5">
        <v>7540000</v>
      </c>
      <c r="E1449" s="4">
        <v>87065647</v>
      </c>
      <c r="F1449" s="4" t="s">
        <v>43</v>
      </c>
      <c r="G1449" t="s">
        <v>565</v>
      </c>
    </row>
    <row r="1450" spans="1:7" ht="15" customHeight="1" x14ac:dyDescent="0.25">
      <c r="A1450" s="3">
        <v>45649</v>
      </c>
      <c r="B1450" s="4">
        <v>2024003584</v>
      </c>
      <c r="C1450" s="4" t="s">
        <v>691</v>
      </c>
      <c r="D1450" s="5">
        <v>3000000</v>
      </c>
      <c r="E1450" s="4">
        <v>1030606749</v>
      </c>
      <c r="F1450" s="4" t="s">
        <v>387</v>
      </c>
      <c r="G1450" t="s">
        <v>565</v>
      </c>
    </row>
    <row r="1451" spans="1:7" ht="15" customHeight="1" x14ac:dyDescent="0.25">
      <c r="A1451" s="3">
        <v>45649</v>
      </c>
      <c r="B1451" s="4">
        <v>2024003585</v>
      </c>
      <c r="C1451" s="4" t="s">
        <v>809</v>
      </c>
      <c r="D1451" s="5">
        <v>2500000</v>
      </c>
      <c r="E1451" s="4">
        <v>59830219</v>
      </c>
      <c r="F1451" s="4" t="s">
        <v>281</v>
      </c>
      <c r="G1451" t="s">
        <v>565</v>
      </c>
    </row>
    <row r="1452" spans="1:7" ht="15" customHeight="1" x14ac:dyDescent="0.25">
      <c r="A1452" s="3">
        <v>45649</v>
      </c>
      <c r="B1452" s="4">
        <v>2024003586</v>
      </c>
      <c r="C1452" s="4" t="s">
        <v>720</v>
      </c>
      <c r="D1452" s="5">
        <v>4825000</v>
      </c>
      <c r="E1452" s="4">
        <v>87062845</v>
      </c>
      <c r="F1452" s="4" t="s">
        <v>133</v>
      </c>
      <c r="G1452" t="s">
        <v>565</v>
      </c>
    </row>
    <row r="1453" spans="1:7" ht="15" customHeight="1" x14ac:dyDescent="0.25">
      <c r="A1453" s="3">
        <v>45649</v>
      </c>
      <c r="B1453" s="4">
        <v>2024003587</v>
      </c>
      <c r="C1453" s="4" t="s">
        <v>979</v>
      </c>
      <c r="D1453" s="5">
        <v>4825000</v>
      </c>
      <c r="E1453" s="4">
        <v>1085306723</v>
      </c>
      <c r="F1453" s="4" t="s">
        <v>980</v>
      </c>
      <c r="G1453" t="s">
        <v>565</v>
      </c>
    </row>
    <row r="1454" spans="1:7" ht="15" customHeight="1" x14ac:dyDescent="0.25">
      <c r="A1454" s="3">
        <v>45649</v>
      </c>
      <c r="B1454" s="4">
        <v>2024003588</v>
      </c>
      <c r="C1454" s="4" t="s">
        <v>966</v>
      </c>
      <c r="D1454" s="5">
        <v>7540000</v>
      </c>
      <c r="E1454" s="4">
        <v>1085315800</v>
      </c>
      <c r="F1454" s="4" t="s">
        <v>967</v>
      </c>
      <c r="G1454" t="s">
        <v>565</v>
      </c>
    </row>
    <row r="1455" spans="1:7" ht="15" customHeight="1" x14ac:dyDescent="0.25">
      <c r="A1455" s="3">
        <v>45649</v>
      </c>
      <c r="B1455" s="4">
        <v>2024003589</v>
      </c>
      <c r="C1455" s="4" t="s">
        <v>599</v>
      </c>
      <c r="D1455" s="5">
        <v>7540000</v>
      </c>
      <c r="E1455" s="4">
        <v>1085304670</v>
      </c>
      <c r="F1455" s="4" t="s">
        <v>161</v>
      </c>
      <c r="G1455" t="s">
        <v>565</v>
      </c>
    </row>
    <row r="1456" spans="1:7" ht="15" customHeight="1" x14ac:dyDescent="0.25">
      <c r="A1456" s="3">
        <v>45649</v>
      </c>
      <c r="B1456" s="4">
        <v>2024003590</v>
      </c>
      <c r="C1456" s="4" t="s">
        <v>778</v>
      </c>
      <c r="D1456" s="5">
        <v>3000000</v>
      </c>
      <c r="E1456" s="4">
        <v>1085324685</v>
      </c>
      <c r="F1456" s="4" t="s">
        <v>779</v>
      </c>
      <c r="G1456" t="s">
        <v>565</v>
      </c>
    </row>
    <row r="1457" spans="1:7" ht="15" customHeight="1" x14ac:dyDescent="0.25">
      <c r="A1457" s="3">
        <v>45649</v>
      </c>
      <c r="B1457" s="4">
        <v>2024003591</v>
      </c>
      <c r="C1457" s="4" t="s">
        <v>692</v>
      </c>
      <c r="D1457" s="5">
        <v>3000000</v>
      </c>
      <c r="E1457" s="4">
        <v>1085275473</v>
      </c>
      <c r="F1457" s="4" t="s">
        <v>693</v>
      </c>
      <c r="G1457" t="s">
        <v>565</v>
      </c>
    </row>
    <row r="1458" spans="1:7" ht="15" customHeight="1" x14ac:dyDescent="0.25">
      <c r="A1458" s="3">
        <v>45649</v>
      </c>
      <c r="B1458" s="4">
        <v>2024003592</v>
      </c>
      <c r="C1458" s="4" t="s">
        <v>890</v>
      </c>
      <c r="D1458" s="5">
        <v>3000000</v>
      </c>
      <c r="E1458" s="4">
        <v>1085277516</v>
      </c>
      <c r="F1458" s="4" t="s">
        <v>891</v>
      </c>
      <c r="G1458" t="s">
        <v>565</v>
      </c>
    </row>
    <row r="1459" spans="1:7" ht="15" customHeight="1" x14ac:dyDescent="0.25">
      <c r="A1459" s="3">
        <v>45649</v>
      </c>
      <c r="B1459" s="4">
        <v>2024003593</v>
      </c>
      <c r="C1459" s="4" t="s">
        <v>662</v>
      </c>
      <c r="D1459" s="5">
        <v>2500000</v>
      </c>
      <c r="E1459" s="4">
        <v>1085330079</v>
      </c>
      <c r="F1459" s="4" t="s">
        <v>293</v>
      </c>
      <c r="G1459" t="s">
        <v>565</v>
      </c>
    </row>
    <row r="1460" spans="1:7" ht="15" customHeight="1" x14ac:dyDescent="0.25">
      <c r="A1460" s="3">
        <v>45649</v>
      </c>
      <c r="B1460" s="4">
        <v>2024003594</v>
      </c>
      <c r="C1460" s="4" t="s">
        <v>944</v>
      </c>
      <c r="D1460" s="5">
        <v>2500000</v>
      </c>
      <c r="E1460" s="4">
        <v>36759281</v>
      </c>
      <c r="F1460" s="4" t="s">
        <v>341</v>
      </c>
      <c r="G1460" t="s">
        <v>565</v>
      </c>
    </row>
    <row r="1461" spans="1:7" ht="15" customHeight="1" x14ac:dyDescent="0.25">
      <c r="A1461" s="3">
        <v>45649</v>
      </c>
      <c r="B1461" s="4">
        <v>2024003595</v>
      </c>
      <c r="C1461" s="4" t="s">
        <v>876</v>
      </c>
      <c r="D1461" s="5">
        <v>4825000</v>
      </c>
      <c r="E1461" s="4">
        <v>59314451</v>
      </c>
      <c r="F1461" s="4" t="s">
        <v>141</v>
      </c>
      <c r="G1461" t="s">
        <v>565</v>
      </c>
    </row>
    <row r="1462" spans="1:7" ht="15" customHeight="1" x14ac:dyDescent="0.25">
      <c r="A1462" s="3">
        <v>45649</v>
      </c>
      <c r="B1462" s="4">
        <v>2024003596</v>
      </c>
      <c r="C1462" s="4" t="s">
        <v>822</v>
      </c>
      <c r="D1462" s="5">
        <v>3000000</v>
      </c>
      <c r="E1462" s="4">
        <v>98382500</v>
      </c>
      <c r="F1462" s="4" t="s">
        <v>183</v>
      </c>
      <c r="G1462" t="s">
        <v>565</v>
      </c>
    </row>
    <row r="1463" spans="1:7" ht="15" customHeight="1" x14ac:dyDescent="0.25">
      <c r="A1463" s="3">
        <v>45649</v>
      </c>
      <c r="B1463" s="4">
        <v>2024003597</v>
      </c>
      <c r="C1463" s="4" t="s">
        <v>816</v>
      </c>
      <c r="D1463" s="5">
        <v>4750000</v>
      </c>
      <c r="E1463" s="4">
        <v>87060703</v>
      </c>
      <c r="F1463" s="4" t="s">
        <v>223</v>
      </c>
      <c r="G1463" t="s">
        <v>565</v>
      </c>
    </row>
    <row r="1464" spans="1:7" ht="15" customHeight="1" x14ac:dyDescent="0.25">
      <c r="A1464" s="3">
        <v>45649</v>
      </c>
      <c r="B1464" s="4">
        <v>2024003599</v>
      </c>
      <c r="C1464" s="4" t="s">
        <v>994</v>
      </c>
      <c r="D1464" s="5">
        <v>2500000</v>
      </c>
      <c r="E1464" s="4">
        <v>1085312811</v>
      </c>
      <c r="F1464" s="4" t="s">
        <v>995</v>
      </c>
      <c r="G1464" t="s">
        <v>565</v>
      </c>
    </row>
    <row r="1465" spans="1:7" ht="15" customHeight="1" x14ac:dyDescent="0.25">
      <c r="A1465" s="3">
        <v>45649</v>
      </c>
      <c r="B1465" s="4">
        <v>2024003600</v>
      </c>
      <c r="C1465" s="4" t="s">
        <v>699</v>
      </c>
      <c r="D1465" s="5">
        <v>7540000</v>
      </c>
      <c r="E1465" s="4">
        <v>1085321192</v>
      </c>
      <c r="F1465" s="4" t="s">
        <v>61</v>
      </c>
      <c r="G1465" t="s">
        <v>565</v>
      </c>
    </row>
    <row r="1466" spans="1:7" ht="15" customHeight="1" x14ac:dyDescent="0.25">
      <c r="A1466" s="3">
        <v>45649</v>
      </c>
      <c r="B1466" s="4">
        <v>2024003601</v>
      </c>
      <c r="C1466" s="4" t="s">
        <v>1034</v>
      </c>
      <c r="D1466" s="5">
        <v>3000000</v>
      </c>
      <c r="E1466" s="4">
        <v>1085297914</v>
      </c>
      <c r="F1466" s="4" t="s">
        <v>1035</v>
      </c>
      <c r="G1466" t="s">
        <v>565</v>
      </c>
    </row>
    <row r="1467" spans="1:7" ht="15" customHeight="1" x14ac:dyDescent="0.25">
      <c r="A1467" s="3">
        <v>45649</v>
      </c>
      <c r="B1467" s="4">
        <v>2024003602</v>
      </c>
      <c r="C1467" s="4" t="s">
        <v>788</v>
      </c>
      <c r="D1467" s="5">
        <v>3000000</v>
      </c>
      <c r="E1467" s="4">
        <v>1193265360</v>
      </c>
      <c r="F1467" s="4" t="s">
        <v>67</v>
      </c>
      <c r="G1467" t="s">
        <v>565</v>
      </c>
    </row>
    <row r="1468" spans="1:7" ht="15" customHeight="1" x14ac:dyDescent="0.25">
      <c r="A1468" s="3">
        <v>45649</v>
      </c>
      <c r="B1468" s="4">
        <v>2024003603</v>
      </c>
      <c r="C1468" s="4" t="s">
        <v>1004</v>
      </c>
      <c r="D1468" s="5">
        <v>6000000</v>
      </c>
      <c r="E1468" s="4">
        <v>59825948</v>
      </c>
      <c r="F1468" s="4" t="s">
        <v>1005</v>
      </c>
      <c r="G1468" t="s">
        <v>565</v>
      </c>
    </row>
    <row r="1469" spans="1:7" ht="15" customHeight="1" x14ac:dyDescent="0.25">
      <c r="A1469" s="3">
        <v>45649</v>
      </c>
      <c r="B1469" s="4">
        <v>2024003604</v>
      </c>
      <c r="C1469" s="4" t="s">
        <v>1071</v>
      </c>
      <c r="D1469" s="5">
        <v>2500000</v>
      </c>
      <c r="E1469" s="4">
        <v>1085314334</v>
      </c>
      <c r="F1469" s="4" t="s">
        <v>585</v>
      </c>
      <c r="G1469" t="s">
        <v>565</v>
      </c>
    </row>
    <row r="1470" spans="1:7" ht="15" customHeight="1" x14ac:dyDescent="0.25">
      <c r="A1470" s="3">
        <v>45649</v>
      </c>
      <c r="B1470" s="4">
        <v>2024003605</v>
      </c>
      <c r="C1470" s="4" t="s">
        <v>927</v>
      </c>
      <c r="D1470" s="5">
        <v>4750000</v>
      </c>
      <c r="E1470" s="4">
        <v>1086332188</v>
      </c>
      <c r="F1470" s="4" t="s">
        <v>928</v>
      </c>
      <c r="G1470" t="s">
        <v>565</v>
      </c>
    </row>
    <row r="1471" spans="1:7" ht="15" customHeight="1" x14ac:dyDescent="0.25">
      <c r="A1471" s="3">
        <v>45649</v>
      </c>
      <c r="B1471" s="4">
        <v>2024003606</v>
      </c>
      <c r="C1471" s="4" t="s">
        <v>1002</v>
      </c>
      <c r="D1471" s="5">
        <v>2500000</v>
      </c>
      <c r="E1471" s="4">
        <v>36951530</v>
      </c>
      <c r="F1471" s="4" t="s">
        <v>1003</v>
      </c>
      <c r="G1471" t="s">
        <v>565</v>
      </c>
    </row>
    <row r="1472" spans="1:7" ht="15" customHeight="1" x14ac:dyDescent="0.25">
      <c r="A1472" s="3">
        <v>45649</v>
      </c>
      <c r="B1472" s="4">
        <v>2024003607</v>
      </c>
      <c r="C1472" s="4" t="s">
        <v>1044</v>
      </c>
      <c r="D1472" s="5">
        <v>2499100</v>
      </c>
      <c r="E1472" s="4">
        <v>2491000</v>
      </c>
      <c r="F1472" s="4" t="s">
        <v>1045</v>
      </c>
      <c r="G1472" t="s">
        <v>565</v>
      </c>
    </row>
    <row r="1473" spans="1:7" ht="15" customHeight="1" x14ac:dyDescent="0.25">
      <c r="A1473" s="3">
        <v>45649</v>
      </c>
      <c r="B1473" s="4">
        <v>2024003608</v>
      </c>
      <c r="C1473" s="4" t="s">
        <v>660</v>
      </c>
      <c r="D1473" s="5">
        <v>7540000</v>
      </c>
      <c r="E1473" s="4">
        <v>1085329230</v>
      </c>
      <c r="F1473" s="4" t="s">
        <v>83</v>
      </c>
      <c r="G1473" t="s">
        <v>565</v>
      </c>
    </row>
    <row r="1474" spans="1:7" ht="15" customHeight="1" x14ac:dyDescent="0.25">
      <c r="A1474" s="3">
        <v>45649</v>
      </c>
      <c r="B1474" s="4">
        <v>2024003609</v>
      </c>
      <c r="C1474" s="4" t="s">
        <v>664</v>
      </c>
      <c r="D1474" s="5">
        <v>4750000</v>
      </c>
      <c r="E1474" s="4">
        <v>59821282</v>
      </c>
      <c r="F1474" s="4" t="s">
        <v>135</v>
      </c>
      <c r="G1474" t="s">
        <v>565</v>
      </c>
    </row>
    <row r="1475" spans="1:7" ht="15" customHeight="1" x14ac:dyDescent="0.25">
      <c r="A1475" s="3">
        <v>45649</v>
      </c>
      <c r="B1475" s="4">
        <v>2024003610</v>
      </c>
      <c r="C1475" s="4" t="s">
        <v>962</v>
      </c>
      <c r="D1475" s="5">
        <v>3000000</v>
      </c>
      <c r="E1475" s="4">
        <v>1081272656</v>
      </c>
      <c r="F1475" s="4" t="s">
        <v>963</v>
      </c>
      <c r="G1475" t="s">
        <v>565</v>
      </c>
    </row>
    <row r="1476" spans="1:7" ht="15" customHeight="1" x14ac:dyDescent="0.25">
      <c r="A1476" s="3">
        <v>45649</v>
      </c>
      <c r="B1476" s="4">
        <v>2024003611</v>
      </c>
      <c r="C1476" s="4" t="s">
        <v>851</v>
      </c>
      <c r="D1476" s="5">
        <v>3000000</v>
      </c>
      <c r="E1476" s="4">
        <v>1085344082</v>
      </c>
      <c r="F1476" s="4" t="s">
        <v>291</v>
      </c>
      <c r="G1476" t="s">
        <v>565</v>
      </c>
    </row>
    <row r="1477" spans="1:7" ht="15" customHeight="1" x14ac:dyDescent="0.25">
      <c r="A1477" s="3">
        <v>45649</v>
      </c>
      <c r="B1477" s="4">
        <v>2024003612</v>
      </c>
      <c r="C1477" s="4" t="s">
        <v>681</v>
      </c>
      <c r="D1477" s="5">
        <v>3000000</v>
      </c>
      <c r="E1477" s="4">
        <v>1085325325</v>
      </c>
      <c r="F1477" s="4" t="s">
        <v>682</v>
      </c>
      <c r="G1477" t="s">
        <v>565</v>
      </c>
    </row>
    <row r="1478" spans="1:7" ht="15" customHeight="1" x14ac:dyDescent="0.25">
      <c r="A1478" s="3">
        <v>45649</v>
      </c>
      <c r="B1478" s="4">
        <v>2024003613</v>
      </c>
      <c r="C1478" s="4" t="s">
        <v>874</v>
      </c>
      <c r="D1478" s="5">
        <v>3000000</v>
      </c>
      <c r="E1478" s="4">
        <v>27088197</v>
      </c>
      <c r="F1478" s="4" t="s">
        <v>875</v>
      </c>
      <c r="G1478" t="s">
        <v>565</v>
      </c>
    </row>
    <row r="1479" spans="1:7" ht="15" customHeight="1" x14ac:dyDescent="0.25">
      <c r="A1479" s="3">
        <v>45649</v>
      </c>
      <c r="B1479" s="4">
        <v>2024003614</v>
      </c>
      <c r="C1479" s="4" t="s">
        <v>774</v>
      </c>
      <c r="D1479" s="5">
        <v>3000000</v>
      </c>
      <c r="E1479" s="4">
        <v>1081272025</v>
      </c>
      <c r="F1479" s="4" t="s">
        <v>59</v>
      </c>
      <c r="G1479" t="s">
        <v>565</v>
      </c>
    </row>
    <row r="1480" spans="1:7" ht="15" customHeight="1" x14ac:dyDescent="0.25">
      <c r="A1480" s="3">
        <v>45649</v>
      </c>
      <c r="B1480" s="4">
        <v>2024003615</v>
      </c>
      <c r="C1480" s="4" t="s">
        <v>844</v>
      </c>
      <c r="D1480" s="5">
        <v>6000000</v>
      </c>
      <c r="E1480" s="4">
        <v>1085254153</v>
      </c>
      <c r="F1480" s="4" t="s">
        <v>845</v>
      </c>
      <c r="G1480" t="s">
        <v>565</v>
      </c>
    </row>
    <row r="1481" spans="1:7" ht="15" customHeight="1" x14ac:dyDescent="0.25">
      <c r="A1481" s="3">
        <v>45649</v>
      </c>
      <c r="B1481" s="4">
        <v>2024003616</v>
      </c>
      <c r="C1481" s="4" t="s">
        <v>883</v>
      </c>
      <c r="D1481" s="5">
        <v>3000000</v>
      </c>
      <c r="E1481" s="4">
        <v>37083086</v>
      </c>
      <c r="F1481" s="4" t="s">
        <v>884</v>
      </c>
      <c r="G1481" t="s">
        <v>565</v>
      </c>
    </row>
    <row r="1482" spans="1:7" ht="15" customHeight="1" x14ac:dyDescent="0.25">
      <c r="A1482" s="3">
        <v>45649</v>
      </c>
      <c r="B1482" s="4">
        <v>2024003617</v>
      </c>
      <c r="C1482" s="4" t="s">
        <v>1008</v>
      </c>
      <c r="D1482" s="5">
        <v>3000000</v>
      </c>
      <c r="E1482" s="4">
        <v>1085265947</v>
      </c>
      <c r="F1482" s="4" t="s">
        <v>1009</v>
      </c>
      <c r="G1482" t="s">
        <v>565</v>
      </c>
    </row>
    <row r="1483" spans="1:7" ht="15" customHeight="1" x14ac:dyDescent="0.25">
      <c r="A1483" s="3">
        <v>45649</v>
      </c>
      <c r="B1483" s="4">
        <v>2024003618</v>
      </c>
      <c r="C1483" s="4" t="s">
        <v>612</v>
      </c>
      <c r="D1483" s="5">
        <v>4750000</v>
      </c>
      <c r="E1483" s="4">
        <v>27087475</v>
      </c>
      <c r="F1483" s="4" t="s">
        <v>571</v>
      </c>
      <c r="G1483" t="s">
        <v>565</v>
      </c>
    </row>
    <row r="1484" spans="1:7" ht="15" customHeight="1" x14ac:dyDescent="0.25">
      <c r="A1484" s="3">
        <v>45649</v>
      </c>
      <c r="B1484" s="4">
        <v>2024003619</v>
      </c>
      <c r="C1484" s="4" t="s">
        <v>618</v>
      </c>
      <c r="D1484" s="5">
        <v>6000000</v>
      </c>
      <c r="E1484" s="4">
        <v>1085320275</v>
      </c>
      <c r="F1484" s="4" t="s">
        <v>619</v>
      </c>
      <c r="G1484" t="s">
        <v>565</v>
      </c>
    </row>
    <row r="1485" spans="1:7" ht="15" customHeight="1" x14ac:dyDescent="0.25">
      <c r="A1485" s="3">
        <v>45649</v>
      </c>
      <c r="B1485" s="4">
        <v>2024003620</v>
      </c>
      <c r="C1485" s="4" t="s">
        <v>783</v>
      </c>
      <c r="D1485" s="5">
        <v>2500000</v>
      </c>
      <c r="E1485" s="4">
        <v>1233189896</v>
      </c>
      <c r="F1485" s="4" t="s">
        <v>279</v>
      </c>
      <c r="G1485" t="s">
        <v>565</v>
      </c>
    </row>
    <row r="1486" spans="1:7" ht="15" customHeight="1" x14ac:dyDescent="0.25">
      <c r="A1486" s="3">
        <v>45649</v>
      </c>
      <c r="B1486" s="4">
        <v>2024003621</v>
      </c>
      <c r="C1486" s="4" t="s">
        <v>773</v>
      </c>
      <c r="D1486" s="5">
        <v>4825000</v>
      </c>
      <c r="E1486" s="4">
        <v>1085267184</v>
      </c>
      <c r="F1486" s="4" t="s">
        <v>247</v>
      </c>
      <c r="G1486" t="s">
        <v>565</v>
      </c>
    </row>
    <row r="1487" spans="1:7" ht="15" customHeight="1" x14ac:dyDescent="0.25">
      <c r="A1487" s="3">
        <v>45649</v>
      </c>
      <c r="B1487" s="4">
        <v>2024003622</v>
      </c>
      <c r="C1487" s="4" t="s">
        <v>663</v>
      </c>
      <c r="D1487" s="5">
        <v>4750000</v>
      </c>
      <c r="E1487" s="4">
        <v>1085303067</v>
      </c>
      <c r="F1487" s="4" t="s">
        <v>105</v>
      </c>
      <c r="G1487" t="s">
        <v>565</v>
      </c>
    </row>
    <row r="1488" spans="1:7" ht="15" customHeight="1" x14ac:dyDescent="0.25">
      <c r="A1488" s="3">
        <v>45649</v>
      </c>
      <c r="B1488" s="4">
        <v>2024003623</v>
      </c>
      <c r="C1488" s="4" t="s">
        <v>748</v>
      </c>
      <c r="D1488" s="5">
        <v>7540000</v>
      </c>
      <c r="E1488" s="4">
        <v>1085344794</v>
      </c>
      <c r="F1488" s="4" t="s">
        <v>749</v>
      </c>
      <c r="G1488" t="s">
        <v>565</v>
      </c>
    </row>
    <row r="1489" spans="1:7" ht="15" customHeight="1" x14ac:dyDescent="0.25">
      <c r="A1489" s="3">
        <v>45649</v>
      </c>
      <c r="B1489" s="4">
        <v>2024003624</v>
      </c>
      <c r="C1489" s="4" t="s">
        <v>611</v>
      </c>
      <c r="D1489" s="5">
        <v>3000000</v>
      </c>
      <c r="E1489" s="4">
        <v>1085261053</v>
      </c>
      <c r="F1489" s="4" t="s">
        <v>335</v>
      </c>
      <c r="G1489" t="s">
        <v>565</v>
      </c>
    </row>
    <row r="1490" spans="1:7" ht="15" customHeight="1" x14ac:dyDescent="0.25">
      <c r="A1490" s="3">
        <v>45649</v>
      </c>
      <c r="B1490" s="4">
        <v>2024003625</v>
      </c>
      <c r="C1490" s="4" t="s">
        <v>639</v>
      </c>
      <c r="D1490" s="5">
        <v>3000000</v>
      </c>
      <c r="E1490" s="4">
        <v>36757522</v>
      </c>
      <c r="F1490" s="4" t="s">
        <v>271</v>
      </c>
      <c r="G1490" t="s">
        <v>565</v>
      </c>
    </row>
    <row r="1491" spans="1:7" ht="15" customHeight="1" x14ac:dyDescent="0.25">
      <c r="A1491" s="3">
        <v>45649</v>
      </c>
      <c r="B1491" s="4">
        <v>2024003626</v>
      </c>
      <c r="C1491" s="4" t="s">
        <v>1055</v>
      </c>
      <c r="D1491" s="5">
        <v>3000000</v>
      </c>
      <c r="E1491" s="4">
        <v>1085346528</v>
      </c>
      <c r="F1491" s="4" t="s">
        <v>1056</v>
      </c>
      <c r="G1491" t="s">
        <v>565</v>
      </c>
    </row>
    <row r="1492" spans="1:7" ht="15" customHeight="1" x14ac:dyDescent="0.25">
      <c r="A1492" s="3">
        <v>45649</v>
      </c>
      <c r="B1492" s="4">
        <v>2024003627</v>
      </c>
      <c r="C1492" s="4" t="s">
        <v>794</v>
      </c>
      <c r="D1492" s="5">
        <v>7540000</v>
      </c>
      <c r="E1492" s="4">
        <v>1193202097</v>
      </c>
      <c r="F1492" s="4" t="s">
        <v>163</v>
      </c>
      <c r="G1492" t="s">
        <v>565</v>
      </c>
    </row>
    <row r="1493" spans="1:7" ht="15" customHeight="1" x14ac:dyDescent="0.25">
      <c r="A1493" s="3">
        <v>45649</v>
      </c>
      <c r="B1493" s="4">
        <v>2024003628</v>
      </c>
      <c r="C1493" s="4" t="s">
        <v>708</v>
      </c>
      <c r="D1493" s="5">
        <v>4750000</v>
      </c>
      <c r="E1493" s="4">
        <v>1085330309</v>
      </c>
      <c r="F1493" s="4" t="s">
        <v>249</v>
      </c>
      <c r="G1493" t="s">
        <v>565</v>
      </c>
    </row>
    <row r="1494" spans="1:7" ht="15" customHeight="1" x14ac:dyDescent="0.25">
      <c r="A1494" s="3">
        <v>45649</v>
      </c>
      <c r="B1494" s="4">
        <v>2024003629</v>
      </c>
      <c r="C1494" s="4" t="s">
        <v>721</v>
      </c>
      <c r="D1494" s="5">
        <v>2500000</v>
      </c>
      <c r="E1494" s="4">
        <v>1004535115</v>
      </c>
      <c r="F1494" s="4" t="s">
        <v>347</v>
      </c>
      <c r="G1494" t="s">
        <v>565</v>
      </c>
    </row>
    <row r="1495" spans="1:7" ht="15" customHeight="1" x14ac:dyDescent="0.25">
      <c r="A1495" s="3">
        <v>45649</v>
      </c>
      <c r="B1495" s="4">
        <v>2024003630</v>
      </c>
      <c r="C1495" s="4" t="s">
        <v>765</v>
      </c>
      <c r="D1495" s="5">
        <v>2500000</v>
      </c>
      <c r="E1495" s="4">
        <v>59821968</v>
      </c>
      <c r="F1495" s="4" t="s">
        <v>766</v>
      </c>
      <c r="G1495" t="s">
        <v>565</v>
      </c>
    </row>
    <row r="1496" spans="1:7" ht="15" customHeight="1" x14ac:dyDescent="0.25">
      <c r="A1496" s="3">
        <v>45649</v>
      </c>
      <c r="B1496" s="4">
        <v>2024003631</v>
      </c>
      <c r="C1496" s="4" t="s">
        <v>648</v>
      </c>
      <c r="D1496" s="5">
        <v>4825000</v>
      </c>
      <c r="E1496" s="4">
        <v>30732782</v>
      </c>
      <c r="F1496" s="4" t="s">
        <v>245</v>
      </c>
      <c r="G1496" t="s">
        <v>565</v>
      </c>
    </row>
    <row r="1497" spans="1:7" ht="15" customHeight="1" x14ac:dyDescent="0.25">
      <c r="A1497" s="3">
        <v>45649</v>
      </c>
      <c r="B1497" s="4">
        <v>2024003632</v>
      </c>
      <c r="C1497" s="4" t="s">
        <v>857</v>
      </c>
      <c r="D1497" s="5">
        <v>2500000</v>
      </c>
      <c r="E1497" s="4">
        <v>37082480</v>
      </c>
      <c r="F1497" s="4" t="s">
        <v>858</v>
      </c>
      <c r="G1497" t="s">
        <v>565</v>
      </c>
    </row>
    <row r="1498" spans="1:7" ht="15" customHeight="1" x14ac:dyDescent="0.25">
      <c r="A1498" s="3">
        <v>45649</v>
      </c>
      <c r="B1498" s="4">
        <v>2024003633</v>
      </c>
      <c r="C1498" s="4" t="s">
        <v>786</v>
      </c>
      <c r="D1498" s="5">
        <v>3000000</v>
      </c>
      <c r="E1498" s="4">
        <v>69028150</v>
      </c>
      <c r="F1498" s="4" t="s">
        <v>171</v>
      </c>
      <c r="G1498" t="s">
        <v>565</v>
      </c>
    </row>
    <row r="1499" spans="1:7" ht="15" customHeight="1" x14ac:dyDescent="0.25">
      <c r="A1499" s="3">
        <v>45649</v>
      </c>
      <c r="B1499" s="4">
        <v>2024003634</v>
      </c>
      <c r="C1499" s="4" t="s">
        <v>771</v>
      </c>
      <c r="D1499" s="5">
        <v>2500000</v>
      </c>
      <c r="E1499" s="4">
        <v>1085327836</v>
      </c>
      <c r="F1499" s="4" t="s">
        <v>283</v>
      </c>
      <c r="G1499" t="s">
        <v>565</v>
      </c>
    </row>
    <row r="1500" spans="1:7" ht="15" customHeight="1" x14ac:dyDescent="0.25">
      <c r="A1500" s="3">
        <v>45649</v>
      </c>
      <c r="B1500" s="4">
        <v>2024003635</v>
      </c>
      <c r="C1500" s="4" t="s">
        <v>763</v>
      </c>
      <c r="D1500" s="5">
        <v>3000000</v>
      </c>
      <c r="E1500" s="4">
        <v>36752202</v>
      </c>
      <c r="F1500" s="4" t="s">
        <v>263</v>
      </c>
      <c r="G1500" t="s">
        <v>565</v>
      </c>
    </row>
    <row r="1501" spans="1:7" ht="15" customHeight="1" x14ac:dyDescent="0.25">
      <c r="A1501" s="3">
        <v>45649</v>
      </c>
      <c r="B1501" s="4">
        <v>2024003636</v>
      </c>
      <c r="C1501" s="4" t="s">
        <v>862</v>
      </c>
      <c r="D1501" s="5">
        <v>3000000</v>
      </c>
      <c r="E1501" s="4">
        <v>1085300095</v>
      </c>
      <c r="F1501" s="4" t="s">
        <v>201</v>
      </c>
      <c r="G1501" t="s">
        <v>565</v>
      </c>
    </row>
    <row r="1502" spans="1:7" ht="15" customHeight="1" x14ac:dyDescent="0.25">
      <c r="A1502" s="3">
        <v>45649</v>
      </c>
      <c r="B1502" s="4">
        <v>2024003637</v>
      </c>
      <c r="C1502" s="4" t="s">
        <v>957</v>
      </c>
      <c r="D1502" s="5">
        <v>4825000</v>
      </c>
      <c r="E1502" s="4">
        <v>31324345</v>
      </c>
      <c r="F1502" s="4" t="s">
        <v>958</v>
      </c>
      <c r="G1502" t="s">
        <v>565</v>
      </c>
    </row>
    <row r="1503" spans="1:7" ht="15" customHeight="1" x14ac:dyDescent="0.25">
      <c r="A1503" s="3">
        <v>45649</v>
      </c>
      <c r="B1503" s="4">
        <v>2024003638</v>
      </c>
      <c r="C1503" s="4" t="s">
        <v>919</v>
      </c>
      <c r="D1503" s="5">
        <v>3000000</v>
      </c>
      <c r="E1503" s="4">
        <v>1085260568</v>
      </c>
      <c r="F1503" s="4" t="s">
        <v>419</v>
      </c>
      <c r="G1503" t="s">
        <v>565</v>
      </c>
    </row>
    <row r="1504" spans="1:7" ht="15" customHeight="1" x14ac:dyDescent="0.25">
      <c r="A1504" s="3">
        <v>45649</v>
      </c>
      <c r="B1504" s="4">
        <v>2024003639</v>
      </c>
      <c r="C1504" s="4" t="s">
        <v>1015</v>
      </c>
      <c r="D1504" s="5">
        <v>4825000</v>
      </c>
      <c r="E1504" s="4">
        <v>1080900817</v>
      </c>
      <c r="F1504" s="4" t="s">
        <v>1016</v>
      </c>
      <c r="G1504" t="s">
        <v>565</v>
      </c>
    </row>
    <row r="1505" spans="1:7" ht="15" customHeight="1" x14ac:dyDescent="0.25">
      <c r="A1505" s="3">
        <v>45650</v>
      </c>
      <c r="B1505" s="4">
        <v>2024003640</v>
      </c>
      <c r="C1505" s="4" t="s">
        <v>704</v>
      </c>
      <c r="D1505" s="5">
        <v>4750000</v>
      </c>
      <c r="E1505" s="4">
        <v>36759759</v>
      </c>
      <c r="F1505" s="4" t="s">
        <v>705</v>
      </c>
      <c r="G1505" t="s">
        <v>565</v>
      </c>
    </row>
    <row r="1506" spans="1:7" ht="15" customHeight="1" x14ac:dyDescent="0.25">
      <c r="A1506" s="3">
        <v>45650</v>
      </c>
      <c r="B1506" s="4">
        <v>2024003641</v>
      </c>
      <c r="C1506" s="4" t="s">
        <v>894</v>
      </c>
      <c r="D1506" s="5">
        <v>6000000</v>
      </c>
      <c r="E1506" s="4">
        <v>1085272491</v>
      </c>
      <c r="F1506" s="4" t="s">
        <v>895</v>
      </c>
      <c r="G1506" t="s">
        <v>565</v>
      </c>
    </row>
    <row r="1507" spans="1:7" ht="15" customHeight="1" x14ac:dyDescent="0.25">
      <c r="A1507" s="3">
        <v>45650</v>
      </c>
      <c r="B1507" s="4">
        <v>2024003643</v>
      </c>
      <c r="C1507" s="4" t="s">
        <v>756</v>
      </c>
      <c r="D1507" s="5">
        <v>6000000</v>
      </c>
      <c r="E1507" s="4">
        <v>36757221</v>
      </c>
      <c r="F1507" s="4" t="s">
        <v>453</v>
      </c>
      <c r="G1507" t="s">
        <v>565</v>
      </c>
    </row>
    <row r="1508" spans="1:7" ht="15" customHeight="1" x14ac:dyDescent="0.25">
      <c r="A1508" s="3">
        <v>45650</v>
      </c>
      <c r="B1508" s="4">
        <v>2024003645</v>
      </c>
      <c r="C1508" s="4" t="s">
        <v>737</v>
      </c>
      <c r="D1508" s="5">
        <v>6000000</v>
      </c>
      <c r="E1508" s="4">
        <v>1085248939</v>
      </c>
      <c r="F1508" s="4" t="s">
        <v>437</v>
      </c>
      <c r="G1508" t="s">
        <v>565</v>
      </c>
    </row>
    <row r="1509" spans="1:7" ht="15" customHeight="1" x14ac:dyDescent="0.25">
      <c r="A1509" s="3">
        <v>45650</v>
      </c>
      <c r="B1509" s="4">
        <v>2024003646</v>
      </c>
      <c r="C1509" s="4" t="s">
        <v>709</v>
      </c>
      <c r="D1509" s="5">
        <v>4750000</v>
      </c>
      <c r="E1509" s="4">
        <v>1087414586</v>
      </c>
      <c r="F1509" s="4" t="s">
        <v>47</v>
      </c>
      <c r="G1509" t="s">
        <v>565</v>
      </c>
    </row>
    <row r="1510" spans="1:7" ht="15" customHeight="1" x14ac:dyDescent="0.25">
      <c r="A1510" s="3">
        <v>45650</v>
      </c>
      <c r="B1510" s="4">
        <v>2024003647</v>
      </c>
      <c r="C1510" s="4" t="s">
        <v>684</v>
      </c>
      <c r="D1510" s="5">
        <v>3000000</v>
      </c>
      <c r="E1510" s="4">
        <v>59310524</v>
      </c>
      <c r="F1510" s="4" t="s">
        <v>992</v>
      </c>
      <c r="G1510" t="s">
        <v>565</v>
      </c>
    </row>
    <row r="1511" spans="1:7" ht="15" customHeight="1" x14ac:dyDescent="0.25">
      <c r="A1511" s="3">
        <v>45650</v>
      </c>
      <c r="B1511" s="4">
        <v>2024003648</v>
      </c>
      <c r="C1511" s="4" t="s">
        <v>646</v>
      </c>
      <c r="D1511" s="5">
        <v>7540000</v>
      </c>
      <c r="E1511" s="4">
        <v>1085332934</v>
      </c>
      <c r="F1511" s="4" t="s">
        <v>379</v>
      </c>
      <c r="G1511" t="s">
        <v>565</v>
      </c>
    </row>
    <row r="1512" spans="1:7" ht="15" customHeight="1" x14ac:dyDescent="0.25">
      <c r="A1512" s="3">
        <v>45650</v>
      </c>
      <c r="B1512" s="4">
        <v>2024003649</v>
      </c>
      <c r="C1512" s="4" t="s">
        <v>645</v>
      </c>
      <c r="D1512" s="5">
        <v>7540000</v>
      </c>
      <c r="E1512" s="4">
        <v>1085320661</v>
      </c>
      <c r="F1512" s="4" t="s">
        <v>393</v>
      </c>
      <c r="G1512" t="s">
        <v>565</v>
      </c>
    </row>
    <row r="1513" spans="1:7" ht="15" customHeight="1" x14ac:dyDescent="0.25">
      <c r="A1513" s="3">
        <v>45650</v>
      </c>
      <c r="B1513" s="4">
        <v>2024003651</v>
      </c>
      <c r="C1513" s="4" t="s">
        <v>647</v>
      </c>
      <c r="D1513" s="5">
        <v>4825000</v>
      </c>
      <c r="E1513" s="4">
        <v>12748383</v>
      </c>
      <c r="F1513" s="4" t="s">
        <v>447</v>
      </c>
      <c r="G1513" t="s">
        <v>565</v>
      </c>
    </row>
    <row r="1514" spans="1:7" ht="15" customHeight="1" x14ac:dyDescent="0.25">
      <c r="A1514" s="3">
        <v>45650</v>
      </c>
      <c r="B1514" s="4">
        <v>2024003652</v>
      </c>
      <c r="C1514" s="4" t="s">
        <v>760</v>
      </c>
      <c r="D1514" s="5">
        <v>3000000</v>
      </c>
      <c r="E1514" s="4">
        <v>1004535234</v>
      </c>
      <c r="F1514" s="4" t="s">
        <v>507</v>
      </c>
      <c r="G1514" t="s">
        <v>565</v>
      </c>
    </row>
    <row r="1515" spans="1:7" ht="15" customHeight="1" x14ac:dyDescent="0.25">
      <c r="A1515" s="3">
        <v>45650</v>
      </c>
      <c r="B1515" s="4">
        <v>2024003653</v>
      </c>
      <c r="C1515" s="4" t="s">
        <v>990</v>
      </c>
      <c r="D1515" s="5">
        <v>3000000</v>
      </c>
      <c r="E1515" s="4">
        <v>1085283703</v>
      </c>
      <c r="F1515" s="4" t="s">
        <v>991</v>
      </c>
      <c r="G1515" t="s">
        <v>565</v>
      </c>
    </row>
    <row r="1516" spans="1:7" ht="15" customHeight="1" x14ac:dyDescent="0.25">
      <c r="A1516" s="3">
        <v>45650</v>
      </c>
      <c r="B1516" s="4">
        <v>2024003655</v>
      </c>
      <c r="C1516" s="4" t="s">
        <v>672</v>
      </c>
      <c r="D1516" s="5">
        <v>4750000</v>
      </c>
      <c r="E1516" s="4">
        <v>1087413951</v>
      </c>
      <c r="F1516" s="4" t="s">
        <v>95</v>
      </c>
      <c r="G1516" t="s">
        <v>565</v>
      </c>
    </row>
    <row r="1517" spans="1:7" ht="15" customHeight="1" x14ac:dyDescent="0.25">
      <c r="A1517" s="3">
        <v>45650</v>
      </c>
      <c r="B1517" s="4">
        <v>2024003656</v>
      </c>
      <c r="C1517" s="4" t="s">
        <v>784</v>
      </c>
      <c r="D1517" s="5">
        <v>3000000</v>
      </c>
      <c r="E1517" s="4">
        <v>1085319295</v>
      </c>
      <c r="F1517" s="4" t="s">
        <v>785</v>
      </c>
      <c r="G1517" t="s">
        <v>565</v>
      </c>
    </row>
    <row r="1518" spans="1:7" ht="15" customHeight="1" x14ac:dyDescent="0.25">
      <c r="A1518" s="3">
        <v>45650</v>
      </c>
      <c r="B1518" s="4">
        <v>2024003657</v>
      </c>
      <c r="C1518" s="4" t="s">
        <v>743</v>
      </c>
      <c r="D1518" s="5">
        <v>7540000</v>
      </c>
      <c r="E1518" s="4">
        <v>1085345430</v>
      </c>
      <c r="F1518" s="4" t="s">
        <v>359</v>
      </c>
      <c r="G1518" t="s">
        <v>565</v>
      </c>
    </row>
    <row r="1519" spans="1:7" ht="15" customHeight="1" x14ac:dyDescent="0.25">
      <c r="A1519" s="3">
        <v>45650</v>
      </c>
      <c r="B1519" s="4">
        <v>2024003658</v>
      </c>
      <c r="C1519" s="4" t="s">
        <v>993</v>
      </c>
      <c r="D1519" s="5">
        <v>3000000</v>
      </c>
      <c r="E1519" s="4">
        <v>1004508436</v>
      </c>
      <c r="F1519" s="4" t="s">
        <v>367</v>
      </c>
      <c r="G1519" t="s">
        <v>565</v>
      </c>
    </row>
    <row r="1520" spans="1:7" ht="15" customHeight="1" x14ac:dyDescent="0.25">
      <c r="A1520" s="3">
        <v>45650</v>
      </c>
      <c r="B1520" s="4">
        <v>2024003659</v>
      </c>
      <c r="C1520" s="4" t="s">
        <v>942</v>
      </c>
      <c r="D1520" s="5">
        <v>4825000</v>
      </c>
      <c r="E1520" s="4">
        <v>1086755334</v>
      </c>
      <c r="F1520" s="4" t="s">
        <v>943</v>
      </c>
      <c r="G1520" t="s">
        <v>565</v>
      </c>
    </row>
    <row r="1521" spans="1:7" ht="15" customHeight="1" x14ac:dyDescent="0.25">
      <c r="A1521" s="3">
        <v>45650</v>
      </c>
      <c r="B1521" s="4">
        <v>2024003660</v>
      </c>
      <c r="C1521" s="4" t="s">
        <v>1060</v>
      </c>
      <c r="D1521" s="5">
        <v>3000000</v>
      </c>
      <c r="E1521" s="4">
        <v>13069881</v>
      </c>
      <c r="F1521" s="4" t="s">
        <v>546</v>
      </c>
      <c r="G1521" t="s">
        <v>565</v>
      </c>
    </row>
    <row r="1522" spans="1:7" ht="15" customHeight="1" x14ac:dyDescent="0.25">
      <c r="A1522" s="3">
        <v>45650</v>
      </c>
      <c r="B1522" s="4">
        <v>2024003661</v>
      </c>
      <c r="C1522" s="4" t="s">
        <v>896</v>
      </c>
      <c r="D1522" s="5">
        <v>4825000</v>
      </c>
      <c r="E1522" s="4">
        <v>59310622</v>
      </c>
      <c r="F1522" s="4" t="s">
        <v>897</v>
      </c>
      <c r="G1522" t="s">
        <v>565</v>
      </c>
    </row>
    <row r="1523" spans="1:7" ht="15" customHeight="1" x14ac:dyDescent="0.25">
      <c r="A1523" s="3">
        <v>45650</v>
      </c>
      <c r="B1523" s="4">
        <v>2024003662</v>
      </c>
      <c r="C1523" s="4" t="s">
        <v>932</v>
      </c>
      <c r="D1523" s="5">
        <v>7540000</v>
      </c>
      <c r="E1523" s="4">
        <v>1085296958</v>
      </c>
      <c r="F1523" s="4" t="s">
        <v>401</v>
      </c>
      <c r="G1523" t="s">
        <v>565</v>
      </c>
    </row>
    <row r="1524" spans="1:7" ht="15" customHeight="1" x14ac:dyDescent="0.25">
      <c r="A1524" s="3">
        <v>45650</v>
      </c>
      <c r="B1524" s="4">
        <v>2024003663</v>
      </c>
      <c r="C1524" s="4" t="s">
        <v>744</v>
      </c>
      <c r="D1524" s="5">
        <v>7540000</v>
      </c>
      <c r="E1524" s="4">
        <v>1085293105</v>
      </c>
      <c r="F1524" s="4" t="s">
        <v>745</v>
      </c>
      <c r="G1524" t="s">
        <v>565</v>
      </c>
    </row>
    <row r="1525" spans="1:7" ht="15" customHeight="1" x14ac:dyDescent="0.25">
      <c r="A1525" s="3">
        <v>45650</v>
      </c>
      <c r="B1525" s="4">
        <v>2024003664</v>
      </c>
      <c r="C1525" s="4" t="s">
        <v>738</v>
      </c>
      <c r="D1525" s="5">
        <v>3000000</v>
      </c>
      <c r="E1525" s="4">
        <v>1004726758</v>
      </c>
      <c r="F1525" s="4" t="s">
        <v>365</v>
      </c>
      <c r="G1525" t="s">
        <v>565</v>
      </c>
    </row>
    <row r="1526" spans="1:7" ht="15" customHeight="1" x14ac:dyDescent="0.25">
      <c r="A1526" s="3">
        <v>45650</v>
      </c>
      <c r="B1526" s="4">
        <v>2024003665</v>
      </c>
      <c r="C1526" s="4" t="s">
        <v>1012</v>
      </c>
      <c r="D1526" s="5">
        <v>4825000</v>
      </c>
      <c r="E1526" s="4">
        <v>1085289539</v>
      </c>
      <c r="F1526" s="4" t="s">
        <v>1013</v>
      </c>
      <c r="G1526" t="s">
        <v>565</v>
      </c>
    </row>
    <row r="1527" spans="1:7" ht="15" customHeight="1" x14ac:dyDescent="0.25">
      <c r="A1527" s="3">
        <v>45650</v>
      </c>
      <c r="B1527" s="4">
        <v>2024003666</v>
      </c>
      <c r="C1527" s="4" t="s">
        <v>617</v>
      </c>
      <c r="D1527" s="5">
        <v>6000000</v>
      </c>
      <c r="E1527" s="4">
        <v>1082748420</v>
      </c>
      <c r="F1527" s="4" t="s">
        <v>450</v>
      </c>
      <c r="G1527" t="s">
        <v>565</v>
      </c>
    </row>
    <row r="1528" spans="1:7" ht="15" customHeight="1" x14ac:dyDescent="0.25">
      <c r="A1528" s="3">
        <v>45650</v>
      </c>
      <c r="B1528" s="4">
        <v>2024003667</v>
      </c>
      <c r="C1528" s="4" t="s">
        <v>940</v>
      </c>
      <c r="D1528" s="5">
        <v>3000000</v>
      </c>
      <c r="E1528" s="4">
        <v>59813323</v>
      </c>
      <c r="F1528" s="4" t="s">
        <v>103</v>
      </c>
      <c r="G1528" t="s">
        <v>565</v>
      </c>
    </row>
    <row r="1529" spans="1:7" ht="15" customHeight="1" x14ac:dyDescent="0.25">
      <c r="A1529" s="3">
        <v>45650</v>
      </c>
      <c r="B1529" s="4">
        <v>2024003668</v>
      </c>
      <c r="C1529" s="4" t="s">
        <v>829</v>
      </c>
      <c r="D1529" s="5">
        <v>3000000</v>
      </c>
      <c r="E1529" s="4">
        <v>1085286742</v>
      </c>
      <c r="F1529" s="4" t="s">
        <v>75</v>
      </c>
      <c r="G1529" t="s">
        <v>565</v>
      </c>
    </row>
    <row r="1530" spans="1:7" ht="15" customHeight="1" x14ac:dyDescent="0.25">
      <c r="A1530" s="3">
        <v>45650</v>
      </c>
      <c r="B1530" s="4">
        <v>2024003669</v>
      </c>
      <c r="C1530" s="4" t="s">
        <v>1057</v>
      </c>
      <c r="D1530" s="5">
        <v>3000000</v>
      </c>
      <c r="E1530" s="4">
        <v>1004437571</v>
      </c>
      <c r="F1530" s="4" t="s">
        <v>580</v>
      </c>
      <c r="G1530" t="s">
        <v>565</v>
      </c>
    </row>
    <row r="1531" spans="1:7" ht="15" customHeight="1" x14ac:dyDescent="0.25">
      <c r="A1531" s="3">
        <v>45650</v>
      </c>
      <c r="B1531" s="4">
        <v>2024003670</v>
      </c>
      <c r="C1531" s="4" t="s">
        <v>680</v>
      </c>
      <c r="D1531" s="5">
        <v>3000000</v>
      </c>
      <c r="E1531" s="4">
        <v>1085290651</v>
      </c>
      <c r="F1531" s="4" t="s">
        <v>325</v>
      </c>
      <c r="G1531" t="s">
        <v>565</v>
      </c>
    </row>
    <row r="1532" spans="1:7" ht="15" customHeight="1" x14ac:dyDescent="0.25">
      <c r="A1532" s="3">
        <v>45650</v>
      </c>
      <c r="B1532" s="4">
        <v>2024003671</v>
      </c>
      <c r="C1532" s="4" t="s">
        <v>722</v>
      </c>
      <c r="D1532" s="5">
        <v>3000000</v>
      </c>
      <c r="E1532" s="4">
        <v>1086329609</v>
      </c>
      <c r="F1532" s="4" t="s">
        <v>443</v>
      </c>
      <c r="G1532" t="s">
        <v>565</v>
      </c>
    </row>
    <row r="1533" spans="1:7" ht="15" customHeight="1" x14ac:dyDescent="0.25">
      <c r="A1533" s="3">
        <v>45650</v>
      </c>
      <c r="B1533" s="4">
        <v>2024003672</v>
      </c>
      <c r="C1533" s="4" t="s">
        <v>669</v>
      </c>
      <c r="D1533" s="5">
        <v>6000000</v>
      </c>
      <c r="E1533" s="4">
        <v>1193223736</v>
      </c>
      <c r="F1533" s="4" t="s">
        <v>670</v>
      </c>
      <c r="G1533" t="s">
        <v>565</v>
      </c>
    </row>
    <row r="1534" spans="1:7" ht="15" customHeight="1" x14ac:dyDescent="0.25">
      <c r="A1534" s="3">
        <v>45650</v>
      </c>
      <c r="B1534" s="4">
        <v>2024003673</v>
      </c>
      <c r="C1534" s="4" t="s">
        <v>751</v>
      </c>
      <c r="D1534" s="5">
        <v>4750000</v>
      </c>
      <c r="E1534" s="4">
        <v>1233192618</v>
      </c>
      <c r="F1534" s="4" t="s">
        <v>351</v>
      </c>
      <c r="G1534" t="s">
        <v>565</v>
      </c>
    </row>
    <row r="1535" spans="1:7" ht="15" customHeight="1" x14ac:dyDescent="0.25">
      <c r="A1535" s="3">
        <v>45650</v>
      </c>
      <c r="B1535" s="4">
        <v>2024003674</v>
      </c>
      <c r="C1535" s="4" t="s">
        <v>1039</v>
      </c>
      <c r="D1535" s="5">
        <v>4750000</v>
      </c>
      <c r="E1535" s="4">
        <v>1087422930</v>
      </c>
      <c r="F1535" s="4" t="s">
        <v>253</v>
      </c>
      <c r="G1535" t="s">
        <v>565</v>
      </c>
    </row>
    <row r="1536" spans="1:7" ht="15" customHeight="1" x14ac:dyDescent="0.25">
      <c r="A1536" s="3">
        <v>45650</v>
      </c>
      <c r="B1536" s="4">
        <v>2024003675</v>
      </c>
      <c r="C1536" s="4" t="s">
        <v>1042</v>
      </c>
      <c r="D1536" s="5">
        <v>3000000</v>
      </c>
      <c r="E1536" s="4">
        <v>1088733625</v>
      </c>
      <c r="F1536" s="4" t="s">
        <v>559</v>
      </c>
      <c r="G1536" t="s">
        <v>565</v>
      </c>
    </row>
    <row r="1537" spans="1:7" ht="15" customHeight="1" x14ac:dyDescent="0.25">
      <c r="A1537" s="3">
        <v>45650</v>
      </c>
      <c r="B1537" s="4">
        <v>2024003676</v>
      </c>
      <c r="C1537" s="4" t="s">
        <v>964</v>
      </c>
      <c r="D1537" s="5">
        <v>7540000</v>
      </c>
      <c r="E1537" s="4">
        <v>1085291725</v>
      </c>
      <c r="F1537" s="4" t="s">
        <v>965</v>
      </c>
      <c r="G1537" t="s">
        <v>565</v>
      </c>
    </row>
    <row r="1538" spans="1:7" ht="15" customHeight="1" x14ac:dyDescent="0.25">
      <c r="A1538" s="3">
        <v>45650</v>
      </c>
      <c r="B1538" s="4">
        <v>2024003677</v>
      </c>
      <c r="C1538" s="4" t="s">
        <v>876</v>
      </c>
      <c r="D1538" s="5">
        <v>4825000</v>
      </c>
      <c r="E1538" s="4">
        <v>59314451</v>
      </c>
      <c r="F1538" s="4" t="s">
        <v>141</v>
      </c>
      <c r="G1538" t="s">
        <v>565</v>
      </c>
    </row>
    <row r="1539" spans="1:7" ht="15" customHeight="1" x14ac:dyDescent="0.25">
      <c r="A1539" s="3">
        <v>45650</v>
      </c>
      <c r="B1539" s="4">
        <v>2024003678</v>
      </c>
      <c r="C1539" s="4" t="s">
        <v>714</v>
      </c>
      <c r="D1539" s="5">
        <v>4750000</v>
      </c>
      <c r="E1539" s="4">
        <v>59824313</v>
      </c>
      <c r="F1539" s="4" t="s">
        <v>151</v>
      </c>
      <c r="G1539" t="s">
        <v>565</v>
      </c>
    </row>
    <row r="1540" spans="1:7" ht="15" customHeight="1" x14ac:dyDescent="0.25">
      <c r="A1540" s="3">
        <v>45650</v>
      </c>
      <c r="B1540" s="4">
        <v>2024003679</v>
      </c>
      <c r="C1540" s="4" t="s">
        <v>630</v>
      </c>
      <c r="D1540" s="5">
        <v>3000000</v>
      </c>
      <c r="E1540" s="4">
        <v>1004635031</v>
      </c>
      <c r="F1540" s="4" t="s">
        <v>397</v>
      </c>
      <c r="G1540" t="s">
        <v>565</v>
      </c>
    </row>
    <row r="1541" spans="1:7" ht="15" customHeight="1" x14ac:dyDescent="0.25">
      <c r="A1541" s="3">
        <v>45650</v>
      </c>
      <c r="B1541" s="4">
        <v>2024003680</v>
      </c>
      <c r="C1541" s="4" t="s">
        <v>912</v>
      </c>
      <c r="D1541" s="5">
        <v>2500000</v>
      </c>
      <c r="E1541" s="4">
        <v>1085338135</v>
      </c>
      <c r="F1541" s="4" t="s">
        <v>369</v>
      </c>
      <c r="G1541" t="s">
        <v>565</v>
      </c>
    </row>
    <row r="1542" spans="1:7" ht="15" customHeight="1" x14ac:dyDescent="0.25">
      <c r="A1542" s="3">
        <v>45650</v>
      </c>
      <c r="B1542" s="4">
        <v>2024003681</v>
      </c>
      <c r="C1542" s="4" t="s">
        <v>685</v>
      </c>
      <c r="D1542" s="5">
        <v>6000000</v>
      </c>
      <c r="E1542" s="4">
        <v>1089242085</v>
      </c>
      <c r="F1542" s="4" t="s">
        <v>19</v>
      </c>
      <c r="G1542" t="s">
        <v>565</v>
      </c>
    </row>
    <row r="1543" spans="1:7" ht="15" customHeight="1" x14ac:dyDescent="0.25">
      <c r="A1543" s="3">
        <v>45650</v>
      </c>
      <c r="B1543" s="4">
        <v>2024003682</v>
      </c>
      <c r="C1543" s="4" t="s">
        <v>780</v>
      </c>
      <c r="D1543" s="5">
        <v>4825000</v>
      </c>
      <c r="E1543" s="4">
        <v>1085311814</v>
      </c>
      <c r="F1543" s="4" t="s">
        <v>781</v>
      </c>
      <c r="G1543" t="s">
        <v>565</v>
      </c>
    </row>
    <row r="1544" spans="1:7" ht="15" customHeight="1" x14ac:dyDescent="0.25">
      <c r="A1544" s="3">
        <v>45650</v>
      </c>
      <c r="B1544" s="4">
        <v>2024003683</v>
      </c>
      <c r="C1544" s="4" t="s">
        <v>941</v>
      </c>
      <c r="D1544" s="5">
        <v>4825000</v>
      </c>
      <c r="E1544" s="4">
        <v>1085332406</v>
      </c>
      <c r="F1544" s="4" t="s">
        <v>273</v>
      </c>
      <c r="G1544" t="s">
        <v>565</v>
      </c>
    </row>
    <row r="1545" spans="1:7" ht="15" customHeight="1" x14ac:dyDescent="0.25">
      <c r="A1545" s="3">
        <v>45650</v>
      </c>
      <c r="B1545" s="4">
        <v>2024003684</v>
      </c>
      <c r="C1545" s="4" t="s">
        <v>1076</v>
      </c>
      <c r="D1545" s="5">
        <v>3000000</v>
      </c>
      <c r="E1545" s="4">
        <v>1193273142</v>
      </c>
      <c r="F1545" s="4" t="s">
        <v>1077</v>
      </c>
      <c r="G1545" t="s">
        <v>565</v>
      </c>
    </row>
    <row r="1546" spans="1:7" ht="15" customHeight="1" x14ac:dyDescent="0.25">
      <c r="A1546" s="3">
        <v>45650</v>
      </c>
      <c r="B1546" s="4">
        <v>2024003685</v>
      </c>
      <c r="C1546" s="4" t="s">
        <v>713</v>
      </c>
      <c r="D1546" s="5">
        <v>3000000</v>
      </c>
      <c r="E1546" s="4">
        <v>1086328142</v>
      </c>
      <c r="F1546" s="4" t="s">
        <v>470</v>
      </c>
      <c r="G1546" t="s">
        <v>565</v>
      </c>
    </row>
    <row r="1547" spans="1:7" ht="15" customHeight="1" x14ac:dyDescent="0.25">
      <c r="A1547" s="3">
        <v>45650</v>
      </c>
      <c r="B1547" s="4">
        <v>2024003686</v>
      </c>
      <c r="C1547" s="4" t="s">
        <v>734</v>
      </c>
      <c r="D1547" s="5">
        <v>4750000</v>
      </c>
      <c r="E1547" s="4">
        <v>1085343783</v>
      </c>
      <c r="F1547" s="4" t="s">
        <v>735</v>
      </c>
      <c r="G1547" t="s">
        <v>565</v>
      </c>
    </row>
    <row r="1548" spans="1:7" ht="15" customHeight="1" x14ac:dyDescent="0.25">
      <c r="A1548" s="3">
        <v>45650</v>
      </c>
      <c r="B1548" s="4">
        <v>2024003687</v>
      </c>
      <c r="C1548" s="4" t="s">
        <v>843</v>
      </c>
      <c r="D1548" s="5">
        <v>4825000</v>
      </c>
      <c r="E1548" s="4">
        <v>1085321578</v>
      </c>
      <c r="F1548" s="4" t="s">
        <v>275</v>
      </c>
      <c r="G1548" t="s">
        <v>565</v>
      </c>
    </row>
    <row r="1549" spans="1:7" ht="15" customHeight="1" x14ac:dyDescent="0.25">
      <c r="A1549" s="3">
        <v>45650</v>
      </c>
      <c r="B1549" s="4">
        <v>2024003688</v>
      </c>
      <c r="C1549" s="4" t="s">
        <v>725</v>
      </c>
      <c r="D1549" s="5">
        <v>4825000</v>
      </c>
      <c r="E1549" s="4">
        <v>27088141</v>
      </c>
      <c r="F1549" s="4" t="s">
        <v>515</v>
      </c>
      <c r="G1549" t="s">
        <v>565</v>
      </c>
    </row>
    <row r="1550" spans="1:7" ht="15" customHeight="1" x14ac:dyDescent="0.25">
      <c r="A1550" s="3">
        <v>45650</v>
      </c>
      <c r="B1550" s="4">
        <v>2024003689</v>
      </c>
      <c r="C1550" s="4" t="s">
        <v>733</v>
      </c>
      <c r="D1550" s="5">
        <v>3000000</v>
      </c>
      <c r="E1550" s="4">
        <v>1085327677</v>
      </c>
      <c r="F1550" s="4" t="s">
        <v>215</v>
      </c>
      <c r="G1550" t="s">
        <v>565</v>
      </c>
    </row>
    <row r="1551" spans="1:7" ht="15" customHeight="1" x14ac:dyDescent="0.25">
      <c r="A1551" s="3">
        <v>45650</v>
      </c>
      <c r="B1551" s="4">
        <v>2024003690</v>
      </c>
      <c r="C1551" s="4" t="s">
        <v>598</v>
      </c>
      <c r="D1551" s="5">
        <v>90205000</v>
      </c>
      <c r="E1551" s="4">
        <v>90846333</v>
      </c>
      <c r="F1551" s="4" t="s">
        <v>269</v>
      </c>
      <c r="G1551" t="s">
        <v>565</v>
      </c>
    </row>
    <row r="1552" spans="1:7" ht="15" customHeight="1" x14ac:dyDescent="0.25">
      <c r="A1552" s="3">
        <v>45650</v>
      </c>
      <c r="B1552" s="4">
        <v>2024003691</v>
      </c>
      <c r="C1552" s="4" t="s">
        <v>951</v>
      </c>
      <c r="D1552" s="5">
        <v>7540000</v>
      </c>
      <c r="E1552" s="4">
        <v>1085251158</v>
      </c>
      <c r="F1552" s="4" t="s">
        <v>952</v>
      </c>
      <c r="G1552" t="s">
        <v>565</v>
      </c>
    </row>
    <row r="1553" spans="1:7" ht="15" customHeight="1" x14ac:dyDescent="0.25">
      <c r="A1553" s="3">
        <v>45650</v>
      </c>
      <c r="B1553" s="4">
        <v>2024003692</v>
      </c>
      <c r="C1553" s="4" t="s">
        <v>922</v>
      </c>
      <c r="D1553" s="5">
        <v>3000000</v>
      </c>
      <c r="E1553" s="4">
        <v>1193218691</v>
      </c>
      <c r="F1553" s="4" t="s">
        <v>191</v>
      </c>
      <c r="G1553" t="s">
        <v>565</v>
      </c>
    </row>
    <row r="1554" spans="1:7" ht="15" customHeight="1" x14ac:dyDescent="0.25">
      <c r="A1554" s="3">
        <v>45650</v>
      </c>
      <c r="B1554" s="4">
        <v>2024003693</v>
      </c>
      <c r="C1554" s="4" t="s">
        <v>715</v>
      </c>
      <c r="D1554" s="5">
        <v>3000000</v>
      </c>
      <c r="E1554" s="4">
        <v>1085318688</v>
      </c>
      <c r="F1554" s="4" t="s">
        <v>427</v>
      </c>
      <c r="G1554" t="s">
        <v>565</v>
      </c>
    </row>
    <row r="1555" spans="1:7" ht="15" customHeight="1" x14ac:dyDescent="0.25">
      <c r="A1555" s="3">
        <v>45650</v>
      </c>
      <c r="B1555" s="4">
        <v>2024003694</v>
      </c>
      <c r="C1555" s="4" t="s">
        <v>907</v>
      </c>
      <c r="D1555" s="5">
        <v>6000000</v>
      </c>
      <c r="E1555" s="4">
        <v>1004131723</v>
      </c>
      <c r="F1555" s="4" t="s">
        <v>908</v>
      </c>
      <c r="G1555" t="s">
        <v>565</v>
      </c>
    </row>
    <row r="1556" spans="1:7" ht="15" customHeight="1" x14ac:dyDescent="0.25">
      <c r="A1556" s="3">
        <v>45650</v>
      </c>
      <c r="B1556" s="4">
        <v>2024003695</v>
      </c>
      <c r="C1556" s="4" t="s">
        <v>888</v>
      </c>
      <c r="D1556" s="5">
        <v>7540000</v>
      </c>
      <c r="E1556" s="4">
        <v>1233193882</v>
      </c>
      <c r="F1556" s="4" t="s">
        <v>889</v>
      </c>
      <c r="G1556" t="s">
        <v>565</v>
      </c>
    </row>
    <row r="1557" spans="1:7" ht="15" customHeight="1" x14ac:dyDescent="0.25">
      <c r="A1557" s="3">
        <v>45650</v>
      </c>
      <c r="B1557" s="4">
        <v>2024003696</v>
      </c>
      <c r="C1557" s="4" t="s">
        <v>716</v>
      </c>
      <c r="D1557" s="5">
        <v>3000000</v>
      </c>
      <c r="E1557" s="4">
        <v>1085339190</v>
      </c>
      <c r="F1557" s="4" t="s">
        <v>149</v>
      </c>
      <c r="G1557" t="s">
        <v>565</v>
      </c>
    </row>
    <row r="1558" spans="1:7" ht="15" customHeight="1" x14ac:dyDescent="0.25">
      <c r="A1558" s="3">
        <v>45650</v>
      </c>
      <c r="B1558" s="4">
        <v>2024003697</v>
      </c>
      <c r="C1558" s="4" t="s">
        <v>808</v>
      </c>
      <c r="D1558" s="5">
        <v>3000000</v>
      </c>
      <c r="E1558" s="4">
        <v>1085330237</v>
      </c>
      <c r="F1558" s="4" t="s">
        <v>255</v>
      </c>
      <c r="G1558" t="s">
        <v>565</v>
      </c>
    </row>
    <row r="1559" spans="1:7" ht="15" customHeight="1" x14ac:dyDescent="0.25">
      <c r="A1559" s="3">
        <v>45650</v>
      </c>
      <c r="B1559" s="4">
        <v>2024003699</v>
      </c>
      <c r="C1559" s="4" t="s">
        <v>846</v>
      </c>
      <c r="D1559" s="5">
        <v>4825000</v>
      </c>
      <c r="E1559" s="4">
        <v>1085269530</v>
      </c>
      <c r="F1559" s="4" t="s">
        <v>333</v>
      </c>
      <c r="G1559" t="s">
        <v>565</v>
      </c>
    </row>
    <row r="1560" spans="1:7" ht="15" customHeight="1" x14ac:dyDescent="0.25">
      <c r="A1560" s="3">
        <v>45650</v>
      </c>
      <c r="B1560" s="4">
        <v>2024003701</v>
      </c>
      <c r="C1560" s="4" t="s">
        <v>975</v>
      </c>
      <c r="D1560" s="5">
        <v>2500000</v>
      </c>
      <c r="E1560" s="4">
        <v>1085268450</v>
      </c>
      <c r="F1560" s="4" t="s">
        <v>976</v>
      </c>
      <c r="G1560" t="s">
        <v>565</v>
      </c>
    </row>
    <row r="1561" spans="1:7" ht="15" customHeight="1" x14ac:dyDescent="0.25">
      <c r="A1561" s="3">
        <v>45650</v>
      </c>
      <c r="B1561" s="4">
        <v>2024003702</v>
      </c>
      <c r="C1561" s="4" t="s">
        <v>981</v>
      </c>
      <c r="D1561" s="5">
        <v>6000000</v>
      </c>
      <c r="E1561" s="4">
        <v>1233193716</v>
      </c>
      <c r="F1561" s="4" t="s">
        <v>597</v>
      </c>
      <c r="G1561" t="s">
        <v>565</v>
      </c>
    </row>
    <row r="1562" spans="1:7" ht="15" customHeight="1" x14ac:dyDescent="0.25">
      <c r="A1562" s="3">
        <v>45650</v>
      </c>
      <c r="B1562" s="4">
        <v>2024003703</v>
      </c>
      <c r="C1562" s="4" t="s">
        <v>968</v>
      </c>
      <c r="D1562" s="5">
        <v>7540000</v>
      </c>
      <c r="E1562" s="4">
        <v>1085327344</v>
      </c>
      <c r="F1562" s="4" t="s">
        <v>969</v>
      </c>
      <c r="G1562" t="s">
        <v>565</v>
      </c>
    </row>
    <row r="1563" spans="1:7" ht="15" customHeight="1" x14ac:dyDescent="0.25">
      <c r="A1563" s="3">
        <v>45650</v>
      </c>
      <c r="B1563" s="4">
        <v>2024003704</v>
      </c>
      <c r="C1563" s="4" t="s">
        <v>1078</v>
      </c>
      <c r="D1563" s="5">
        <v>195005000</v>
      </c>
      <c r="E1563" s="4">
        <v>900994364</v>
      </c>
      <c r="F1563" s="4" t="s">
        <v>269</v>
      </c>
      <c r="G1563" t="s">
        <v>565</v>
      </c>
    </row>
    <row r="1564" spans="1:7" ht="15" customHeight="1" x14ac:dyDescent="0.25">
      <c r="A1564" s="3">
        <v>45650</v>
      </c>
      <c r="B1564" s="4">
        <v>2024003705</v>
      </c>
      <c r="C1564" s="4" t="s">
        <v>762</v>
      </c>
      <c r="D1564" s="5">
        <v>2500000</v>
      </c>
      <c r="E1564" s="4">
        <v>36757715</v>
      </c>
      <c r="F1564" s="4" t="s">
        <v>313</v>
      </c>
      <c r="G1564" t="s">
        <v>565</v>
      </c>
    </row>
    <row r="1565" spans="1:7" ht="15" customHeight="1" x14ac:dyDescent="0.25">
      <c r="A1565" s="3">
        <v>45650</v>
      </c>
      <c r="B1565" s="4">
        <v>2024003706</v>
      </c>
      <c r="C1565" s="4" t="s">
        <v>1079</v>
      </c>
      <c r="D1565" s="5">
        <v>2500000</v>
      </c>
      <c r="E1565" s="4">
        <v>37083937</v>
      </c>
      <c r="F1565" s="4" t="s">
        <v>1080</v>
      </c>
      <c r="G1565" t="s">
        <v>565</v>
      </c>
    </row>
    <row r="1566" spans="1:7" ht="15" customHeight="1" x14ac:dyDescent="0.25">
      <c r="A1566" s="3">
        <v>45650</v>
      </c>
      <c r="B1566" s="4">
        <v>2024003707</v>
      </c>
      <c r="C1566" s="4" t="s">
        <v>726</v>
      </c>
      <c r="D1566" s="5">
        <v>2500000</v>
      </c>
      <c r="E1566" s="4">
        <v>1085314075</v>
      </c>
      <c r="F1566" s="4" t="s">
        <v>327</v>
      </c>
      <c r="G1566" t="s">
        <v>565</v>
      </c>
    </row>
    <row r="1567" spans="1:7" ht="15" customHeight="1" x14ac:dyDescent="0.25">
      <c r="A1567" s="3">
        <v>45650</v>
      </c>
      <c r="B1567" s="4">
        <v>2024003708</v>
      </c>
      <c r="C1567" s="4" t="s">
        <v>1058</v>
      </c>
      <c r="D1567" s="5">
        <v>4750000</v>
      </c>
      <c r="E1567" s="4">
        <v>1085245714</v>
      </c>
      <c r="F1567" s="4" t="s">
        <v>1059</v>
      </c>
      <c r="G1567" t="s">
        <v>565</v>
      </c>
    </row>
    <row r="1568" spans="1:7" ht="15" customHeight="1" x14ac:dyDescent="0.25">
      <c r="A1568" s="3">
        <v>45650</v>
      </c>
      <c r="B1568" s="4">
        <v>2024003709</v>
      </c>
      <c r="C1568" s="4" t="s">
        <v>719</v>
      </c>
      <c r="D1568" s="5">
        <v>2500000</v>
      </c>
      <c r="E1568" s="4">
        <v>27094521</v>
      </c>
      <c r="F1568" s="4" t="s">
        <v>285</v>
      </c>
      <c r="G1568" t="s">
        <v>565</v>
      </c>
    </row>
    <row r="1569" spans="1:7" ht="15" customHeight="1" x14ac:dyDescent="0.25">
      <c r="A1569" s="3">
        <v>45650</v>
      </c>
      <c r="B1569" s="4">
        <v>2024003711</v>
      </c>
      <c r="C1569" s="4" t="s">
        <v>796</v>
      </c>
      <c r="D1569" s="5">
        <v>3000000</v>
      </c>
      <c r="E1569" s="4">
        <v>59311295</v>
      </c>
      <c r="F1569" s="4" t="s">
        <v>797</v>
      </c>
      <c r="G1569" t="s">
        <v>565</v>
      </c>
    </row>
    <row r="1570" spans="1:7" ht="15" customHeight="1" x14ac:dyDescent="0.25">
      <c r="A1570" s="3">
        <v>45650</v>
      </c>
      <c r="B1570" s="4">
        <v>2024003712</v>
      </c>
      <c r="C1570" s="4" t="s">
        <v>871</v>
      </c>
      <c r="D1570" s="5">
        <v>7540000</v>
      </c>
      <c r="E1570" s="4">
        <v>12961407</v>
      </c>
      <c r="F1570" s="4" t="s">
        <v>309</v>
      </c>
      <c r="G1570" t="s">
        <v>565</v>
      </c>
    </row>
    <row r="1571" spans="1:7" ht="15" customHeight="1" x14ac:dyDescent="0.25">
      <c r="A1571" s="3">
        <v>45650</v>
      </c>
      <c r="B1571" s="4">
        <v>2024003713</v>
      </c>
      <c r="C1571" s="4" t="s">
        <v>975</v>
      </c>
      <c r="D1571" s="5">
        <v>2500000</v>
      </c>
      <c r="E1571" s="4">
        <v>1085268450</v>
      </c>
      <c r="F1571" s="4" t="s">
        <v>976</v>
      </c>
      <c r="G1571" t="s">
        <v>565</v>
      </c>
    </row>
    <row r="1572" spans="1:7" ht="15" customHeight="1" x14ac:dyDescent="0.25">
      <c r="A1572" s="3">
        <v>45650</v>
      </c>
      <c r="B1572" s="4">
        <v>2024003715</v>
      </c>
      <c r="C1572" s="4" t="s">
        <v>892</v>
      </c>
      <c r="D1572" s="5">
        <v>3000000</v>
      </c>
      <c r="E1572" s="4">
        <v>13070330</v>
      </c>
      <c r="F1572" s="4" t="s">
        <v>101</v>
      </c>
      <c r="G1572" t="s">
        <v>565</v>
      </c>
    </row>
    <row r="1573" spans="1:7" ht="15" customHeight="1" x14ac:dyDescent="0.25">
      <c r="A1573" s="3">
        <v>45650</v>
      </c>
      <c r="B1573" s="4">
        <v>2024003716</v>
      </c>
      <c r="C1573" s="4" t="s">
        <v>723</v>
      </c>
      <c r="D1573" s="5">
        <v>3000000</v>
      </c>
      <c r="E1573" s="4">
        <v>1080046034</v>
      </c>
      <c r="F1573" s="4" t="s">
        <v>724</v>
      </c>
      <c r="G1573" t="s">
        <v>565</v>
      </c>
    </row>
    <row r="1574" spans="1:7" ht="15" customHeight="1" x14ac:dyDescent="0.25">
      <c r="A1574" s="3">
        <v>45650</v>
      </c>
      <c r="B1574" s="4">
        <v>2024003717</v>
      </c>
      <c r="C1574" s="4" t="s">
        <v>801</v>
      </c>
      <c r="D1574" s="5">
        <v>2500000</v>
      </c>
      <c r="E1574" s="4">
        <v>12994466</v>
      </c>
      <c r="F1574" s="4" t="s">
        <v>802</v>
      </c>
      <c r="G1574" t="s">
        <v>565</v>
      </c>
    </row>
    <row r="1575" spans="1:7" ht="15" customHeight="1" x14ac:dyDescent="0.25">
      <c r="A1575" s="3">
        <v>45650</v>
      </c>
      <c r="B1575" s="4">
        <v>2024003718</v>
      </c>
      <c r="C1575" s="4" t="s">
        <v>787</v>
      </c>
      <c r="D1575" s="5">
        <v>4750000</v>
      </c>
      <c r="E1575" s="4">
        <v>1085324546</v>
      </c>
      <c r="F1575" s="4" t="s">
        <v>29</v>
      </c>
      <c r="G1575" t="s">
        <v>565</v>
      </c>
    </row>
    <row r="1576" spans="1:7" ht="15" customHeight="1" x14ac:dyDescent="0.25">
      <c r="A1576" s="3">
        <v>45650</v>
      </c>
      <c r="B1576" s="4">
        <v>2024003719</v>
      </c>
      <c r="C1576" s="4" t="s">
        <v>986</v>
      </c>
      <c r="D1576" s="5">
        <v>3000000</v>
      </c>
      <c r="E1576" s="4">
        <v>1086222977</v>
      </c>
      <c r="F1576" s="4" t="s">
        <v>987</v>
      </c>
      <c r="G1576" t="s">
        <v>565</v>
      </c>
    </row>
    <row r="1577" spans="1:7" ht="15" customHeight="1" x14ac:dyDescent="0.25">
      <c r="A1577" s="3">
        <v>45650</v>
      </c>
      <c r="B1577" s="4">
        <v>2024003720</v>
      </c>
      <c r="C1577" s="4" t="s">
        <v>752</v>
      </c>
      <c r="D1577" s="5">
        <v>7540000</v>
      </c>
      <c r="E1577" s="4">
        <v>1233189066</v>
      </c>
      <c r="F1577" s="4" t="s">
        <v>239</v>
      </c>
      <c r="G1577" t="s">
        <v>565</v>
      </c>
    </row>
    <row r="1578" spans="1:7" ht="15" customHeight="1" x14ac:dyDescent="0.25">
      <c r="A1578" s="3">
        <v>45650</v>
      </c>
      <c r="B1578" s="4">
        <v>2024003721</v>
      </c>
      <c r="C1578" s="4" t="s">
        <v>898</v>
      </c>
      <c r="D1578" s="5">
        <v>4750000</v>
      </c>
      <c r="E1578" s="4">
        <v>1085325342</v>
      </c>
      <c r="F1578" s="4" t="s">
        <v>23</v>
      </c>
      <c r="G1578" t="s">
        <v>565</v>
      </c>
    </row>
    <row r="1579" spans="1:7" ht="15" customHeight="1" x14ac:dyDescent="0.25">
      <c r="A1579" s="3">
        <v>45650</v>
      </c>
      <c r="B1579" s="4">
        <v>2024003723</v>
      </c>
      <c r="C1579" s="4" t="s">
        <v>898</v>
      </c>
      <c r="D1579" s="5">
        <v>4750000</v>
      </c>
      <c r="E1579" s="4">
        <v>1085325342</v>
      </c>
      <c r="F1579" s="4" t="s">
        <v>23</v>
      </c>
      <c r="G1579" t="s">
        <v>565</v>
      </c>
    </row>
    <row r="1580" spans="1:7" ht="15" customHeight="1" x14ac:dyDescent="0.25">
      <c r="A1580" s="3">
        <v>45650</v>
      </c>
      <c r="B1580" s="4">
        <v>2024003724</v>
      </c>
      <c r="C1580" s="4" t="s">
        <v>893</v>
      </c>
      <c r="D1580" s="5">
        <v>6000000</v>
      </c>
      <c r="E1580" s="4">
        <v>97470681</v>
      </c>
      <c r="F1580" s="4" t="s">
        <v>329</v>
      </c>
      <c r="G1580" t="s">
        <v>565</v>
      </c>
    </row>
    <row r="1581" spans="1:7" ht="15" customHeight="1" x14ac:dyDescent="0.25">
      <c r="A1581" s="3">
        <v>45650</v>
      </c>
      <c r="B1581" s="4">
        <v>2024003725</v>
      </c>
      <c r="C1581" s="4" t="s">
        <v>988</v>
      </c>
      <c r="D1581" s="5">
        <v>3000000</v>
      </c>
      <c r="E1581" s="4">
        <v>1085255829</v>
      </c>
      <c r="F1581" s="4" t="s">
        <v>989</v>
      </c>
      <c r="G1581" t="s">
        <v>565</v>
      </c>
    </row>
    <row r="1582" spans="1:7" ht="15" customHeight="1" x14ac:dyDescent="0.25">
      <c r="A1582" s="3">
        <v>45650</v>
      </c>
      <c r="B1582" s="4">
        <v>2024003726</v>
      </c>
      <c r="C1582" s="4" t="s">
        <v>736</v>
      </c>
      <c r="D1582" s="5">
        <v>6000000</v>
      </c>
      <c r="E1582" s="4">
        <v>36954410</v>
      </c>
      <c r="F1582" s="4" t="s">
        <v>343</v>
      </c>
      <c r="G1582" t="s">
        <v>565</v>
      </c>
    </row>
    <row r="1583" spans="1:7" ht="15" customHeight="1" x14ac:dyDescent="0.25">
      <c r="A1583" s="3">
        <v>45650</v>
      </c>
      <c r="B1583" s="4">
        <v>2024003732</v>
      </c>
      <c r="C1583" s="4" t="s">
        <v>698</v>
      </c>
      <c r="D1583" s="5">
        <v>2500000</v>
      </c>
      <c r="E1583" s="4">
        <v>36753698</v>
      </c>
      <c r="F1583" s="4" t="s">
        <v>383</v>
      </c>
      <c r="G1583" t="s">
        <v>565</v>
      </c>
    </row>
    <row r="1584" spans="1:7" ht="15" customHeight="1" x14ac:dyDescent="0.25">
      <c r="A1584" s="3">
        <v>45650</v>
      </c>
      <c r="B1584" s="4">
        <v>2024003733</v>
      </c>
      <c r="C1584" s="4" t="s">
        <v>566</v>
      </c>
      <c r="D1584" s="5">
        <v>3000000</v>
      </c>
      <c r="E1584" s="4">
        <v>1193035720</v>
      </c>
      <c r="F1584" s="4" t="s">
        <v>567</v>
      </c>
      <c r="G1584" t="s">
        <v>565</v>
      </c>
    </row>
    <row r="1585" spans="1:7" ht="15" customHeight="1" x14ac:dyDescent="0.25">
      <c r="A1585" s="3">
        <v>45650</v>
      </c>
      <c r="B1585" s="4">
        <v>2024003735</v>
      </c>
      <c r="C1585" s="4" t="s">
        <v>792</v>
      </c>
      <c r="D1585" s="5">
        <v>6000000</v>
      </c>
      <c r="E1585" s="4">
        <v>59588823</v>
      </c>
      <c r="F1585" s="4" t="s">
        <v>793</v>
      </c>
      <c r="G1585" t="s">
        <v>565</v>
      </c>
    </row>
    <row r="1586" spans="1:7" ht="15" customHeight="1" x14ac:dyDescent="0.25">
      <c r="A1586" s="3">
        <v>45650</v>
      </c>
      <c r="B1586" s="4">
        <v>2024003736</v>
      </c>
      <c r="C1586" s="4" t="s">
        <v>930</v>
      </c>
      <c r="D1586" s="5">
        <v>3000000</v>
      </c>
      <c r="E1586" s="4">
        <v>1085322676</v>
      </c>
      <c r="F1586" s="4" t="s">
        <v>931</v>
      </c>
      <c r="G1586" t="s">
        <v>565</v>
      </c>
    </row>
    <row r="1587" spans="1:7" ht="15" customHeight="1" x14ac:dyDescent="0.25">
      <c r="A1587" s="3">
        <v>45650</v>
      </c>
      <c r="B1587" s="4">
        <v>2024003737</v>
      </c>
      <c r="C1587" s="4" t="s">
        <v>1010</v>
      </c>
      <c r="D1587" s="5">
        <v>3000000</v>
      </c>
      <c r="E1587" s="4">
        <v>1004131976</v>
      </c>
      <c r="F1587" s="4" t="s">
        <v>1011</v>
      </c>
      <c r="G1587" t="s">
        <v>565</v>
      </c>
    </row>
    <row r="1588" spans="1:7" ht="15" customHeight="1" x14ac:dyDescent="0.25">
      <c r="A1588" s="3">
        <v>45650</v>
      </c>
      <c r="B1588" s="4">
        <v>2024003738</v>
      </c>
      <c r="C1588" s="4" t="s">
        <v>707</v>
      </c>
      <c r="D1588" s="5">
        <v>3000000</v>
      </c>
      <c r="E1588" s="4">
        <v>1085269090</v>
      </c>
      <c r="F1588" s="4" t="s">
        <v>371</v>
      </c>
      <c r="G1588" t="s">
        <v>565</v>
      </c>
    </row>
    <row r="1589" spans="1:7" ht="15" customHeight="1" x14ac:dyDescent="0.25">
      <c r="A1589" s="3">
        <v>45650</v>
      </c>
      <c r="B1589" s="4">
        <v>2024003739</v>
      </c>
      <c r="C1589" s="4" t="s">
        <v>909</v>
      </c>
      <c r="D1589" s="5">
        <v>7540000</v>
      </c>
      <c r="E1589" s="4">
        <v>1085312978</v>
      </c>
      <c r="F1589" s="4" t="s">
        <v>910</v>
      </c>
      <c r="G1589" t="s">
        <v>565</v>
      </c>
    </row>
    <row r="1590" spans="1:7" ht="15" customHeight="1" x14ac:dyDescent="0.25">
      <c r="A1590" s="3">
        <v>45650</v>
      </c>
      <c r="B1590" s="4">
        <v>2024003740</v>
      </c>
      <c r="C1590" s="4" t="s">
        <v>782</v>
      </c>
      <c r="D1590" s="5">
        <v>3000000</v>
      </c>
      <c r="E1590" s="4">
        <v>59833899</v>
      </c>
      <c r="F1590" s="4" t="s">
        <v>467</v>
      </c>
      <c r="G1590" t="s">
        <v>565</v>
      </c>
    </row>
    <row r="1591" spans="1:7" ht="15" customHeight="1" x14ac:dyDescent="0.25">
      <c r="A1591" s="3">
        <v>45650</v>
      </c>
      <c r="B1591" s="4">
        <v>2024003741</v>
      </c>
      <c r="C1591" s="4" t="s">
        <v>914</v>
      </c>
      <c r="D1591" s="5">
        <v>4750000</v>
      </c>
      <c r="E1591" s="4">
        <v>1018492767</v>
      </c>
      <c r="F1591" s="4" t="s">
        <v>915</v>
      </c>
      <c r="G1591" t="s">
        <v>565</v>
      </c>
    </row>
    <row r="1592" spans="1:7" ht="15" customHeight="1" x14ac:dyDescent="0.25">
      <c r="A1592" s="3">
        <v>45650</v>
      </c>
      <c r="B1592" s="4">
        <v>2024003742</v>
      </c>
      <c r="C1592" s="4" t="s">
        <v>690</v>
      </c>
      <c r="D1592" s="5">
        <v>2500000</v>
      </c>
      <c r="E1592" s="4">
        <v>1081595853</v>
      </c>
      <c r="F1592" s="4" t="s">
        <v>189</v>
      </c>
      <c r="G1592" t="s">
        <v>565</v>
      </c>
    </row>
    <row r="1593" spans="1:7" ht="15" customHeight="1" x14ac:dyDescent="0.25">
      <c r="A1593" s="3">
        <v>45650</v>
      </c>
      <c r="B1593" s="4">
        <v>2024003743</v>
      </c>
      <c r="C1593" s="4" t="s">
        <v>835</v>
      </c>
      <c r="D1593" s="5">
        <v>3000000</v>
      </c>
      <c r="E1593" s="4">
        <v>1081276146</v>
      </c>
      <c r="F1593" s="4" t="s">
        <v>836</v>
      </c>
      <c r="G1593" t="s">
        <v>565</v>
      </c>
    </row>
    <row r="1594" spans="1:7" ht="15" customHeight="1" x14ac:dyDescent="0.25">
      <c r="A1594" s="3">
        <v>45650</v>
      </c>
      <c r="B1594" s="4">
        <v>2024003744</v>
      </c>
      <c r="C1594" s="4" t="s">
        <v>623</v>
      </c>
      <c r="D1594" s="5">
        <v>4750000</v>
      </c>
      <c r="E1594" s="4">
        <v>1085260497</v>
      </c>
      <c r="F1594" s="4" t="s">
        <v>429</v>
      </c>
      <c r="G1594" t="s">
        <v>565</v>
      </c>
    </row>
    <row r="1595" spans="1:7" ht="15" customHeight="1" x14ac:dyDescent="0.25">
      <c r="A1595" s="3">
        <v>45650</v>
      </c>
      <c r="B1595" s="4">
        <v>2024003745</v>
      </c>
      <c r="C1595" s="4" t="s">
        <v>768</v>
      </c>
      <c r="D1595" s="5">
        <v>3000000</v>
      </c>
      <c r="E1595" s="4">
        <v>59314601</v>
      </c>
      <c r="F1595" s="4" t="s">
        <v>71</v>
      </c>
      <c r="G1595" t="s">
        <v>565</v>
      </c>
    </row>
    <row r="1596" spans="1:7" ht="15" customHeight="1" x14ac:dyDescent="0.25">
      <c r="A1596" s="3">
        <v>45650</v>
      </c>
      <c r="B1596" s="4">
        <v>2024003746</v>
      </c>
      <c r="C1596" s="4" t="s">
        <v>936</v>
      </c>
      <c r="D1596" s="5">
        <v>7540000</v>
      </c>
      <c r="E1596" s="4">
        <v>79800150</v>
      </c>
      <c r="F1596" s="4" t="s">
        <v>937</v>
      </c>
      <c r="G1596" t="s">
        <v>565</v>
      </c>
    </row>
    <row r="1597" spans="1:7" ht="15" customHeight="1" x14ac:dyDescent="0.25">
      <c r="A1597" s="3">
        <v>45650</v>
      </c>
      <c r="B1597" s="4">
        <v>2024003747</v>
      </c>
      <c r="C1597" s="4" t="s">
        <v>1028</v>
      </c>
      <c r="D1597" s="5">
        <v>2500000</v>
      </c>
      <c r="E1597" s="4">
        <v>12996869</v>
      </c>
      <c r="F1597" s="4" t="s">
        <v>1029</v>
      </c>
      <c r="G1597" t="s">
        <v>565</v>
      </c>
    </row>
    <row r="1598" spans="1:7" ht="15" customHeight="1" x14ac:dyDescent="0.25">
      <c r="A1598" s="3">
        <v>45650</v>
      </c>
      <c r="B1598" s="4">
        <v>2024003748</v>
      </c>
      <c r="C1598" s="4" t="s">
        <v>627</v>
      </c>
      <c r="D1598" s="5">
        <v>3000000</v>
      </c>
      <c r="E1598" s="4">
        <v>1085271641</v>
      </c>
      <c r="F1598" s="4" t="s">
        <v>251</v>
      </c>
      <c r="G1598" t="s">
        <v>565</v>
      </c>
    </row>
    <row r="1599" spans="1:7" ht="15" customHeight="1" x14ac:dyDescent="0.25">
      <c r="A1599" s="3">
        <v>45650</v>
      </c>
      <c r="B1599" s="4">
        <v>2024003749</v>
      </c>
      <c r="C1599" s="4" t="s">
        <v>1023</v>
      </c>
      <c r="D1599" s="5">
        <v>2500000</v>
      </c>
      <c r="E1599" s="4">
        <v>36757507</v>
      </c>
      <c r="F1599" s="4" t="s">
        <v>1024</v>
      </c>
      <c r="G1599" t="s">
        <v>565</v>
      </c>
    </row>
    <row r="1600" spans="1:7" ht="15" customHeight="1" x14ac:dyDescent="0.25">
      <c r="A1600" s="3">
        <v>45650</v>
      </c>
      <c r="B1600" s="4">
        <v>2024003750</v>
      </c>
      <c r="C1600" s="4" t="s">
        <v>1081</v>
      </c>
      <c r="D1600" s="5">
        <v>4825000</v>
      </c>
      <c r="E1600" s="4">
        <v>1122783646</v>
      </c>
      <c r="F1600" s="4" t="s">
        <v>1082</v>
      </c>
      <c r="G1600" t="s">
        <v>565</v>
      </c>
    </row>
    <row r="1601" spans="1:7" ht="15" customHeight="1" x14ac:dyDescent="0.25">
      <c r="A1601" s="3">
        <v>45650</v>
      </c>
      <c r="B1601" s="4">
        <v>2024003751</v>
      </c>
      <c r="C1601" s="4" t="s">
        <v>1043</v>
      </c>
      <c r="D1601" s="5">
        <v>4825000</v>
      </c>
      <c r="E1601" s="4">
        <v>12983807</v>
      </c>
      <c r="F1601" s="4" t="s">
        <v>299</v>
      </c>
      <c r="G1601" t="s">
        <v>565</v>
      </c>
    </row>
    <row r="1602" spans="1:7" ht="15" customHeight="1" x14ac:dyDescent="0.25">
      <c r="A1602" s="3">
        <v>45650</v>
      </c>
      <c r="B1602" s="4">
        <v>2024003752</v>
      </c>
      <c r="C1602" s="4" t="s">
        <v>790</v>
      </c>
      <c r="D1602" s="5">
        <v>7540000</v>
      </c>
      <c r="E1602" s="4">
        <v>1085329980</v>
      </c>
      <c r="F1602" s="4" t="s">
        <v>791</v>
      </c>
      <c r="G1602" t="s">
        <v>565</v>
      </c>
    </row>
    <row r="1603" spans="1:7" ht="15" customHeight="1" x14ac:dyDescent="0.25">
      <c r="A1603" s="3">
        <v>45650</v>
      </c>
      <c r="B1603" s="4">
        <v>2024003753</v>
      </c>
      <c r="C1603" s="4" t="s">
        <v>882</v>
      </c>
      <c r="D1603" s="5">
        <v>3000000</v>
      </c>
      <c r="E1603" s="4">
        <v>5930737</v>
      </c>
      <c r="F1603" s="4" t="s">
        <v>213</v>
      </c>
      <c r="G1603" t="s">
        <v>565</v>
      </c>
    </row>
    <row r="1604" spans="1:7" ht="15" customHeight="1" x14ac:dyDescent="0.25">
      <c r="A1604" s="3">
        <v>45650</v>
      </c>
      <c r="B1604" s="4">
        <v>2024003754</v>
      </c>
      <c r="C1604" s="4" t="s">
        <v>1081</v>
      </c>
      <c r="D1604" s="5">
        <v>4825000</v>
      </c>
      <c r="E1604" s="4">
        <v>1122783646</v>
      </c>
      <c r="F1604" s="4" t="s">
        <v>1082</v>
      </c>
      <c r="G1604" t="s">
        <v>565</v>
      </c>
    </row>
    <row r="1605" spans="1:7" ht="15" customHeight="1" x14ac:dyDescent="0.25">
      <c r="A1605" s="3">
        <v>45650</v>
      </c>
      <c r="B1605" s="4">
        <v>2024003755</v>
      </c>
      <c r="C1605" s="4" t="s">
        <v>837</v>
      </c>
      <c r="D1605" s="5">
        <v>2500000</v>
      </c>
      <c r="E1605" s="4">
        <v>27309586</v>
      </c>
      <c r="F1605" s="4" t="s">
        <v>345</v>
      </c>
      <c r="G1605" t="s">
        <v>565</v>
      </c>
    </row>
    <row r="1606" spans="1:7" ht="15" customHeight="1" x14ac:dyDescent="0.25">
      <c r="A1606" s="3">
        <v>45650</v>
      </c>
      <c r="B1606" s="4">
        <v>2024003756</v>
      </c>
      <c r="C1606" s="4" t="s">
        <v>1083</v>
      </c>
      <c r="D1606" s="5">
        <v>6000000</v>
      </c>
      <c r="E1606" s="4">
        <v>1085277976</v>
      </c>
      <c r="F1606" s="4" t="s">
        <v>1084</v>
      </c>
      <c r="G1606" t="s">
        <v>565</v>
      </c>
    </row>
    <row r="1607" spans="1:7" ht="15" customHeight="1" x14ac:dyDescent="0.25">
      <c r="A1607" s="3">
        <v>45650</v>
      </c>
      <c r="B1607" s="4">
        <v>2024003757</v>
      </c>
      <c r="C1607" s="4" t="s">
        <v>902</v>
      </c>
      <c r="D1607" s="5">
        <v>3000000</v>
      </c>
      <c r="E1607" s="4">
        <v>1080043348</v>
      </c>
      <c r="F1607" s="4" t="s">
        <v>903</v>
      </c>
      <c r="G1607" t="s">
        <v>565</v>
      </c>
    </row>
    <row r="1608" spans="1:7" ht="15" customHeight="1" x14ac:dyDescent="0.25">
      <c r="A1608" s="3">
        <v>45650</v>
      </c>
      <c r="B1608" s="4">
        <v>2024003758</v>
      </c>
      <c r="C1608" s="4" t="s">
        <v>832</v>
      </c>
      <c r="D1608" s="5">
        <v>3000000</v>
      </c>
      <c r="E1608" s="4">
        <v>59311233</v>
      </c>
      <c r="F1608" s="4" t="s">
        <v>833</v>
      </c>
      <c r="G1608" t="s">
        <v>565</v>
      </c>
    </row>
    <row r="1609" spans="1:7" ht="15" customHeight="1" x14ac:dyDescent="0.25">
      <c r="A1609" s="3">
        <v>45650</v>
      </c>
      <c r="B1609" s="4">
        <v>2024003759</v>
      </c>
      <c r="C1609" s="4" t="s">
        <v>608</v>
      </c>
      <c r="D1609" s="5">
        <v>3000000</v>
      </c>
      <c r="E1609" s="4">
        <v>1085331508</v>
      </c>
      <c r="F1609" s="4" t="s">
        <v>35</v>
      </c>
      <c r="G1609" t="s">
        <v>565</v>
      </c>
    </row>
    <row r="1610" spans="1:7" ht="15" customHeight="1" x14ac:dyDescent="0.25">
      <c r="A1610" s="3">
        <v>45650</v>
      </c>
      <c r="B1610" s="4">
        <v>2024003760</v>
      </c>
      <c r="C1610" s="4" t="s">
        <v>815</v>
      </c>
      <c r="D1610" s="5">
        <v>6000000</v>
      </c>
      <c r="E1610" s="4">
        <v>59836926</v>
      </c>
      <c r="F1610" s="4" t="s">
        <v>311</v>
      </c>
      <c r="G1610" t="s">
        <v>565</v>
      </c>
    </row>
    <row r="1611" spans="1:7" ht="15" customHeight="1" x14ac:dyDescent="0.25">
      <c r="A1611" s="3">
        <v>45650</v>
      </c>
      <c r="B1611" s="4">
        <v>2024003761</v>
      </c>
      <c r="C1611" s="4" t="s">
        <v>641</v>
      </c>
      <c r="D1611" s="5">
        <v>2500000</v>
      </c>
      <c r="E1611" s="4">
        <v>1085251468</v>
      </c>
      <c r="F1611" s="4" t="s">
        <v>303</v>
      </c>
      <c r="G1611" t="s">
        <v>565</v>
      </c>
    </row>
    <row r="1612" spans="1:7" ht="15" customHeight="1" x14ac:dyDescent="0.25">
      <c r="A1612" s="3">
        <v>45650</v>
      </c>
      <c r="B1612" s="4">
        <v>2024003762</v>
      </c>
      <c r="C1612" s="4" t="s">
        <v>800</v>
      </c>
      <c r="D1612" s="5">
        <v>3000000</v>
      </c>
      <c r="E1612" s="4">
        <v>59833702</v>
      </c>
      <c r="F1612" s="4" t="s">
        <v>173</v>
      </c>
      <c r="G1612" t="s">
        <v>565</v>
      </c>
    </row>
    <row r="1613" spans="1:7" ht="15" customHeight="1" x14ac:dyDescent="0.25">
      <c r="A1613" s="3">
        <v>45650</v>
      </c>
      <c r="B1613" s="4">
        <v>2024003763</v>
      </c>
      <c r="C1613" s="4" t="s">
        <v>642</v>
      </c>
      <c r="D1613" s="5">
        <v>6000000</v>
      </c>
      <c r="E1613" s="4">
        <v>1085292185</v>
      </c>
      <c r="F1613" s="4" t="s">
        <v>27</v>
      </c>
      <c r="G1613" t="s">
        <v>565</v>
      </c>
    </row>
    <row r="1614" spans="1:7" ht="15" customHeight="1" x14ac:dyDescent="0.25">
      <c r="A1614" s="3">
        <v>45650</v>
      </c>
      <c r="B1614" s="4">
        <v>2024003764</v>
      </c>
      <c r="C1614" s="4" t="s">
        <v>905</v>
      </c>
      <c r="D1614" s="5">
        <v>3000000</v>
      </c>
      <c r="E1614" s="4">
        <v>1085302942</v>
      </c>
      <c r="F1614" s="4" t="s">
        <v>417</v>
      </c>
      <c r="G1614" t="s">
        <v>565</v>
      </c>
    </row>
    <row r="1615" spans="1:7" ht="15" customHeight="1" x14ac:dyDescent="0.25">
      <c r="A1615" s="3">
        <v>45650</v>
      </c>
      <c r="B1615" s="4">
        <v>2024003765</v>
      </c>
      <c r="C1615" s="4" t="s">
        <v>863</v>
      </c>
      <c r="D1615" s="5">
        <v>7540000</v>
      </c>
      <c r="E1615" s="4">
        <v>1085255870</v>
      </c>
      <c r="F1615" s="4" t="s">
        <v>864</v>
      </c>
      <c r="G1615" t="s">
        <v>565</v>
      </c>
    </row>
    <row r="1616" spans="1:7" ht="15" customHeight="1" x14ac:dyDescent="0.25">
      <c r="A1616" s="3">
        <v>45650</v>
      </c>
      <c r="B1616" s="4">
        <v>2024003766</v>
      </c>
      <c r="C1616" s="4" t="s">
        <v>1050</v>
      </c>
      <c r="D1616" s="5">
        <v>4750000</v>
      </c>
      <c r="E1616" s="4">
        <v>1085313870</v>
      </c>
      <c r="F1616" s="4" t="s">
        <v>513</v>
      </c>
      <c r="G1616" t="s">
        <v>565</v>
      </c>
    </row>
    <row r="1617" spans="1:7" ht="15" customHeight="1" x14ac:dyDescent="0.25">
      <c r="A1617" s="3">
        <v>45650</v>
      </c>
      <c r="B1617" s="4">
        <v>2024003767</v>
      </c>
      <c r="C1617" s="4" t="s">
        <v>865</v>
      </c>
      <c r="D1617" s="5">
        <v>2500000</v>
      </c>
      <c r="E1617" s="4">
        <v>1085281545</v>
      </c>
      <c r="F1617" s="4" t="s">
        <v>866</v>
      </c>
      <c r="G1617" t="s">
        <v>565</v>
      </c>
    </row>
    <row r="1618" spans="1:7" ht="15" customHeight="1" x14ac:dyDescent="0.25">
      <c r="A1618" s="3">
        <v>45650</v>
      </c>
      <c r="B1618" s="4">
        <v>2024003768</v>
      </c>
      <c r="C1618" s="4" t="s">
        <v>629</v>
      </c>
      <c r="D1618" s="5">
        <v>2500000</v>
      </c>
      <c r="E1618" s="4">
        <v>27211504</v>
      </c>
      <c r="F1618" s="4" t="s">
        <v>203</v>
      </c>
      <c r="G1618" t="s">
        <v>565</v>
      </c>
    </row>
    <row r="1619" spans="1:7" ht="15" customHeight="1" x14ac:dyDescent="0.25">
      <c r="A1619" s="3">
        <v>45650</v>
      </c>
      <c r="B1619" s="4">
        <v>2024003769</v>
      </c>
      <c r="C1619" s="4" t="s">
        <v>1069</v>
      </c>
      <c r="D1619" s="5">
        <v>7540000</v>
      </c>
      <c r="E1619" s="4">
        <v>10859376713</v>
      </c>
      <c r="F1619" s="4" t="s">
        <v>1070</v>
      </c>
      <c r="G1619" t="s">
        <v>565</v>
      </c>
    </row>
    <row r="1620" spans="1:7" ht="15" customHeight="1" x14ac:dyDescent="0.25">
      <c r="A1620" s="3">
        <v>45650</v>
      </c>
      <c r="B1620" s="4">
        <v>2024003770</v>
      </c>
      <c r="C1620" s="4" t="s">
        <v>813</v>
      </c>
      <c r="D1620" s="5">
        <v>6000000</v>
      </c>
      <c r="E1620" s="4">
        <v>1131085780</v>
      </c>
      <c r="F1620" s="4" t="s">
        <v>814</v>
      </c>
      <c r="G1620" t="s">
        <v>565</v>
      </c>
    </row>
    <row r="1621" spans="1:7" ht="15" customHeight="1" x14ac:dyDescent="0.25">
      <c r="A1621" s="3">
        <v>45650</v>
      </c>
      <c r="B1621" s="4">
        <v>2024003771</v>
      </c>
      <c r="C1621" s="4" t="s">
        <v>840</v>
      </c>
      <c r="D1621" s="5">
        <v>3000000</v>
      </c>
      <c r="E1621" s="4">
        <v>1233188273</v>
      </c>
      <c r="F1621" s="4" t="s">
        <v>473</v>
      </c>
      <c r="G1621" t="s">
        <v>565</v>
      </c>
    </row>
    <row r="1622" spans="1:7" ht="15" customHeight="1" x14ac:dyDescent="0.25">
      <c r="A1622" s="3">
        <v>45650</v>
      </c>
      <c r="B1622" s="4">
        <v>2024003772</v>
      </c>
      <c r="C1622" s="4" t="s">
        <v>1037</v>
      </c>
      <c r="D1622" s="5">
        <v>4750000</v>
      </c>
      <c r="E1622" s="4">
        <v>1085325540</v>
      </c>
      <c r="F1622" s="4" t="s">
        <v>1038</v>
      </c>
      <c r="G1622" t="s">
        <v>565</v>
      </c>
    </row>
    <row r="1623" spans="1:7" ht="15" customHeight="1" x14ac:dyDescent="0.25">
      <c r="A1623" s="3">
        <v>45650</v>
      </c>
      <c r="B1623" s="4">
        <v>2024003773</v>
      </c>
      <c r="C1623" s="4" t="s">
        <v>717</v>
      </c>
      <c r="D1623" s="5">
        <v>3000000</v>
      </c>
      <c r="E1623" s="4">
        <v>1007403454</v>
      </c>
      <c r="F1623" s="4" t="s">
        <v>718</v>
      </c>
      <c r="G1623" t="s">
        <v>565</v>
      </c>
    </row>
    <row r="1624" spans="1:7" ht="15" customHeight="1" x14ac:dyDescent="0.25">
      <c r="A1624" s="3">
        <v>45650</v>
      </c>
      <c r="B1624" s="4">
        <v>2024003774</v>
      </c>
      <c r="C1624" s="4" t="s">
        <v>1025</v>
      </c>
      <c r="D1624" s="5">
        <v>3000000</v>
      </c>
      <c r="E1624" s="4">
        <v>37083324</v>
      </c>
      <c r="F1624" s="4" t="s">
        <v>485</v>
      </c>
      <c r="G1624" t="s">
        <v>565</v>
      </c>
    </row>
    <row r="1625" spans="1:7" ht="15" customHeight="1" x14ac:dyDescent="0.25">
      <c r="A1625" s="3">
        <v>45650</v>
      </c>
      <c r="B1625" s="4">
        <v>2024003775</v>
      </c>
      <c r="C1625" s="4" t="s">
        <v>817</v>
      </c>
      <c r="D1625" s="5">
        <v>3000000</v>
      </c>
      <c r="E1625" s="4">
        <v>1085252263</v>
      </c>
      <c r="F1625" s="4" t="s">
        <v>33</v>
      </c>
      <c r="G1625" t="s">
        <v>565</v>
      </c>
    </row>
    <row r="1626" spans="1:7" ht="15" customHeight="1" x14ac:dyDescent="0.25">
      <c r="A1626" s="3">
        <v>45650</v>
      </c>
      <c r="B1626" s="4">
        <v>2024003776</v>
      </c>
      <c r="C1626" s="4" t="s">
        <v>1036</v>
      </c>
      <c r="D1626" s="5">
        <v>3000000</v>
      </c>
      <c r="E1626" s="4">
        <v>27388522</v>
      </c>
      <c r="F1626" s="4" t="s">
        <v>525</v>
      </c>
      <c r="G1626" t="s">
        <v>565</v>
      </c>
    </row>
    <row r="1627" spans="1:7" ht="15" customHeight="1" x14ac:dyDescent="0.25">
      <c r="A1627" s="3">
        <v>45650</v>
      </c>
      <c r="B1627" s="4">
        <v>2024003777</v>
      </c>
      <c r="C1627" s="4" t="s">
        <v>850</v>
      </c>
      <c r="D1627" s="5">
        <v>3000000</v>
      </c>
      <c r="E1627" s="4">
        <v>1004215136</v>
      </c>
      <c r="F1627" s="4" t="s">
        <v>413</v>
      </c>
      <c r="G1627" t="s">
        <v>565</v>
      </c>
    </row>
    <row r="1628" spans="1:7" ht="15" customHeight="1" x14ac:dyDescent="0.25">
      <c r="A1628" s="3">
        <v>45650</v>
      </c>
      <c r="B1628" s="4">
        <v>2024003778</v>
      </c>
      <c r="C1628" s="4" t="s">
        <v>848</v>
      </c>
      <c r="D1628" s="5">
        <v>3000000</v>
      </c>
      <c r="E1628" s="4">
        <v>1004299312</v>
      </c>
      <c r="F1628" s="4" t="s">
        <v>849</v>
      </c>
      <c r="G1628" t="s">
        <v>565</v>
      </c>
    </row>
    <row r="1629" spans="1:7" ht="15" customHeight="1" x14ac:dyDescent="0.25">
      <c r="A1629" s="3">
        <v>45650</v>
      </c>
      <c r="B1629" s="4">
        <v>2024003779</v>
      </c>
      <c r="C1629" s="4" t="s">
        <v>825</v>
      </c>
      <c r="D1629" s="5">
        <v>3000000</v>
      </c>
      <c r="E1629" s="4">
        <v>1085313463</v>
      </c>
      <c r="F1629" s="4" t="s">
        <v>331</v>
      </c>
      <c r="G1629" t="s">
        <v>565</v>
      </c>
    </row>
    <row r="1630" spans="1:7" ht="15" customHeight="1" x14ac:dyDescent="0.25">
      <c r="A1630" s="3">
        <v>45650</v>
      </c>
      <c r="B1630" s="4">
        <v>2024003780</v>
      </c>
      <c r="C1630" s="4" t="s">
        <v>1048</v>
      </c>
      <c r="D1630" s="5">
        <v>2500000</v>
      </c>
      <c r="E1630" s="4">
        <v>1085324252</v>
      </c>
      <c r="F1630" s="4" t="s">
        <v>1049</v>
      </c>
      <c r="G1630" t="s">
        <v>565</v>
      </c>
    </row>
    <row r="1631" spans="1:7" ht="15" customHeight="1" x14ac:dyDescent="0.25">
      <c r="A1631" s="3">
        <v>45650</v>
      </c>
      <c r="B1631" s="4">
        <v>2024003781</v>
      </c>
      <c r="C1631" s="4" t="s">
        <v>807</v>
      </c>
      <c r="D1631" s="5">
        <v>2500000</v>
      </c>
      <c r="E1631" s="4">
        <v>37087268</v>
      </c>
      <c r="F1631" s="4" t="s">
        <v>257</v>
      </c>
      <c r="G1631" t="s">
        <v>565</v>
      </c>
    </row>
    <row r="1632" spans="1:7" ht="15" customHeight="1" x14ac:dyDescent="0.25">
      <c r="A1632" s="3">
        <v>45650</v>
      </c>
      <c r="B1632" s="4">
        <v>2024003782</v>
      </c>
      <c r="C1632" s="4" t="s">
        <v>993</v>
      </c>
      <c r="D1632" s="5">
        <v>3000000</v>
      </c>
      <c r="E1632" s="4">
        <v>1004508436</v>
      </c>
      <c r="F1632" s="4" t="s">
        <v>367</v>
      </c>
      <c r="G1632" t="s">
        <v>565</v>
      </c>
    </row>
    <row r="1633" spans="1:7" ht="15" customHeight="1" x14ac:dyDescent="0.25">
      <c r="A1633" s="3">
        <v>45650</v>
      </c>
      <c r="B1633" s="4">
        <v>2024003783</v>
      </c>
      <c r="C1633" s="4" t="s">
        <v>1032</v>
      </c>
      <c r="D1633" s="5">
        <v>3000000</v>
      </c>
      <c r="E1633" s="4">
        <v>1004598784</v>
      </c>
      <c r="F1633" s="4" t="s">
        <v>552</v>
      </c>
      <c r="G1633" t="s">
        <v>565</v>
      </c>
    </row>
    <row r="1634" spans="1:7" ht="15" customHeight="1" x14ac:dyDescent="0.25">
      <c r="A1634" s="3">
        <v>45650</v>
      </c>
      <c r="B1634" s="4">
        <v>2024003784</v>
      </c>
      <c r="C1634" s="4" t="s">
        <v>628</v>
      </c>
      <c r="D1634" s="5">
        <v>3000000</v>
      </c>
      <c r="E1634" s="4">
        <v>1192717330</v>
      </c>
      <c r="F1634" s="4" t="s">
        <v>277</v>
      </c>
      <c r="G1634" t="s">
        <v>565</v>
      </c>
    </row>
    <row r="1635" spans="1:7" ht="15" customHeight="1" x14ac:dyDescent="0.25">
      <c r="A1635" s="3">
        <v>45650</v>
      </c>
      <c r="B1635" s="4">
        <v>2024003785</v>
      </c>
      <c r="C1635" s="4" t="s">
        <v>901</v>
      </c>
      <c r="D1635" s="5">
        <v>3000000</v>
      </c>
      <c r="E1635" s="4">
        <v>1004235479</v>
      </c>
      <c r="F1635" s="4" t="s">
        <v>477</v>
      </c>
      <c r="G1635" t="s">
        <v>565</v>
      </c>
    </row>
    <row r="1636" spans="1:7" ht="15" customHeight="1" x14ac:dyDescent="0.25">
      <c r="A1636" s="3">
        <v>45650</v>
      </c>
      <c r="B1636" s="4">
        <v>2024003786</v>
      </c>
      <c r="C1636" s="4" t="s">
        <v>838</v>
      </c>
      <c r="D1636" s="5">
        <v>3000000</v>
      </c>
      <c r="E1636" s="4">
        <v>59310433</v>
      </c>
      <c r="F1636" s="4" t="s">
        <v>839</v>
      </c>
      <c r="G1636" t="s">
        <v>565</v>
      </c>
    </row>
    <row r="1637" spans="1:7" ht="15" customHeight="1" x14ac:dyDescent="0.25">
      <c r="A1637" s="3">
        <v>45652</v>
      </c>
      <c r="B1637" s="4">
        <v>2024003787</v>
      </c>
      <c r="C1637" s="4" t="s">
        <v>613</v>
      </c>
      <c r="D1637" s="5">
        <v>6000000</v>
      </c>
      <c r="E1637" s="4">
        <v>1085313872</v>
      </c>
      <c r="F1637" s="4" t="s">
        <v>614</v>
      </c>
      <c r="G1637" t="s">
        <v>565</v>
      </c>
    </row>
    <row r="1638" spans="1:7" ht="15" customHeight="1" x14ac:dyDescent="0.25">
      <c r="A1638" s="3">
        <v>45652</v>
      </c>
      <c r="B1638" s="4">
        <v>2024003788</v>
      </c>
      <c r="C1638" s="4" t="s">
        <v>824</v>
      </c>
      <c r="D1638" s="5">
        <v>4825000</v>
      </c>
      <c r="E1638" s="4">
        <v>1085321943</v>
      </c>
      <c r="F1638" s="4" t="s">
        <v>363</v>
      </c>
      <c r="G1638" t="s">
        <v>565</v>
      </c>
    </row>
    <row r="1639" spans="1:7" ht="15" customHeight="1" x14ac:dyDescent="0.25">
      <c r="A1639" s="3">
        <v>45652</v>
      </c>
      <c r="B1639" s="4">
        <v>2024003789</v>
      </c>
      <c r="C1639" s="4" t="s">
        <v>823</v>
      </c>
      <c r="D1639" s="5">
        <v>4750000</v>
      </c>
      <c r="E1639" s="4">
        <v>59312865</v>
      </c>
      <c r="F1639" s="4" t="s">
        <v>127</v>
      </c>
      <c r="G1639" t="s">
        <v>565</v>
      </c>
    </row>
    <row r="1640" spans="1:7" ht="15" customHeight="1" x14ac:dyDescent="0.25">
      <c r="A1640" s="3">
        <v>45652</v>
      </c>
      <c r="B1640" s="4">
        <v>2024003790</v>
      </c>
      <c r="C1640" s="4" t="s">
        <v>697</v>
      </c>
      <c r="D1640" s="5">
        <v>7540000</v>
      </c>
      <c r="E1640" s="4">
        <v>37087120</v>
      </c>
      <c r="F1640" s="4" t="s">
        <v>159</v>
      </c>
      <c r="G1640" t="s">
        <v>565</v>
      </c>
    </row>
    <row r="1641" spans="1:7" ht="15" customHeight="1" x14ac:dyDescent="0.25">
      <c r="A1641" s="3">
        <v>45652</v>
      </c>
      <c r="B1641" s="4">
        <v>2024003791</v>
      </c>
      <c r="C1641" s="4" t="s">
        <v>728</v>
      </c>
      <c r="D1641" s="5">
        <v>3000000</v>
      </c>
      <c r="E1641" s="4">
        <v>1010113730</v>
      </c>
      <c r="F1641" s="4" t="s">
        <v>219</v>
      </c>
      <c r="G1641" t="s">
        <v>565</v>
      </c>
    </row>
    <row r="1642" spans="1:7" ht="15" customHeight="1" x14ac:dyDescent="0.25">
      <c r="A1642" s="3">
        <v>45652</v>
      </c>
      <c r="B1642" s="4">
        <v>2024003792</v>
      </c>
      <c r="C1642" s="4" t="s">
        <v>880</v>
      </c>
      <c r="D1642" s="5">
        <v>3000000</v>
      </c>
      <c r="E1642" s="4">
        <v>1085323101</v>
      </c>
      <c r="F1642" s="4" t="s">
        <v>73</v>
      </c>
      <c r="G1642" t="s">
        <v>565</v>
      </c>
    </row>
    <row r="1643" spans="1:7" ht="15" customHeight="1" x14ac:dyDescent="0.25">
      <c r="A1643" s="3">
        <v>45652</v>
      </c>
      <c r="B1643" s="4">
        <v>2024003793</v>
      </c>
      <c r="C1643" s="4" t="s">
        <v>603</v>
      </c>
      <c r="D1643" s="5">
        <v>6000000</v>
      </c>
      <c r="E1643" s="4">
        <v>1085286476</v>
      </c>
      <c r="F1643" s="4" t="s">
        <v>385</v>
      </c>
      <c r="G1643" t="s">
        <v>565</v>
      </c>
    </row>
    <row r="1644" spans="1:7" ht="15" customHeight="1" x14ac:dyDescent="0.25">
      <c r="A1644" s="3">
        <v>45652</v>
      </c>
      <c r="B1644" s="4">
        <v>2024003794</v>
      </c>
      <c r="C1644" s="4" t="s">
        <v>798</v>
      </c>
      <c r="D1644" s="5">
        <v>6000000</v>
      </c>
      <c r="E1644" s="4">
        <v>27109314</v>
      </c>
      <c r="F1644" s="4" t="s">
        <v>217</v>
      </c>
      <c r="G1644" t="s">
        <v>565</v>
      </c>
    </row>
    <row r="1645" spans="1:7" ht="15" customHeight="1" x14ac:dyDescent="0.25">
      <c r="A1645" s="3">
        <v>45652</v>
      </c>
      <c r="B1645" s="4">
        <v>2024003795</v>
      </c>
      <c r="C1645" s="4" t="s">
        <v>812</v>
      </c>
      <c r="D1645" s="5">
        <v>4750000</v>
      </c>
      <c r="E1645" s="4">
        <v>59816986</v>
      </c>
      <c r="F1645" s="4" t="s">
        <v>415</v>
      </c>
      <c r="G1645" t="s">
        <v>565</v>
      </c>
    </row>
    <row r="1646" spans="1:7" ht="15" customHeight="1" x14ac:dyDescent="0.25">
      <c r="A1646" s="3">
        <v>45652</v>
      </c>
      <c r="B1646" s="4">
        <v>2024003796</v>
      </c>
      <c r="C1646" s="4" t="s">
        <v>606</v>
      </c>
      <c r="D1646" s="5">
        <v>3000000</v>
      </c>
      <c r="E1646" s="4">
        <v>1088799034</v>
      </c>
      <c r="F1646" s="4" t="s">
        <v>81</v>
      </c>
      <c r="G1646" t="s">
        <v>565</v>
      </c>
    </row>
    <row r="1647" spans="1:7" ht="15" customHeight="1" x14ac:dyDescent="0.25">
      <c r="A1647" s="3">
        <v>45652</v>
      </c>
      <c r="B1647" s="4">
        <v>2024003797</v>
      </c>
      <c r="C1647" s="4" t="s">
        <v>755</v>
      </c>
      <c r="D1647" s="5">
        <v>3000000</v>
      </c>
      <c r="E1647" s="4">
        <v>1085347540</v>
      </c>
      <c r="F1647" s="4" t="s">
        <v>321</v>
      </c>
      <c r="G1647" t="s">
        <v>565</v>
      </c>
    </row>
    <row r="1648" spans="1:7" ht="15" customHeight="1" x14ac:dyDescent="0.25">
      <c r="A1648" s="3">
        <v>45652</v>
      </c>
      <c r="B1648" s="4">
        <v>2024003798</v>
      </c>
      <c r="C1648" s="4" t="s">
        <v>632</v>
      </c>
      <c r="D1648" s="5">
        <v>6000000</v>
      </c>
      <c r="E1648" s="4">
        <v>36951002</v>
      </c>
      <c r="F1648" s="4" t="s">
        <v>125</v>
      </c>
      <c r="G1648" t="s">
        <v>565</v>
      </c>
    </row>
    <row r="1649" spans="1:7" ht="15" customHeight="1" x14ac:dyDescent="0.25">
      <c r="A1649" s="3">
        <v>45652</v>
      </c>
      <c r="B1649" s="4">
        <v>2024003799</v>
      </c>
      <c r="C1649" s="4" t="s">
        <v>607</v>
      </c>
      <c r="D1649" s="5">
        <v>3000000</v>
      </c>
      <c r="E1649" s="4">
        <v>1085295383</v>
      </c>
      <c r="F1649" s="4" t="s">
        <v>139</v>
      </c>
      <c r="G1649" t="s">
        <v>565</v>
      </c>
    </row>
    <row r="1650" spans="1:7" ht="15" customHeight="1" x14ac:dyDescent="0.25">
      <c r="A1650" s="3">
        <v>45652</v>
      </c>
      <c r="B1650" s="4">
        <v>2024003801</v>
      </c>
      <c r="C1650" s="4" t="s">
        <v>604</v>
      </c>
      <c r="D1650" s="5">
        <v>7540000</v>
      </c>
      <c r="E1650" s="4">
        <v>1085336362</v>
      </c>
      <c r="F1650" s="4" t="s">
        <v>41</v>
      </c>
      <c r="G1650" t="s">
        <v>565</v>
      </c>
    </row>
    <row r="1651" spans="1:7" ht="15" customHeight="1" x14ac:dyDescent="0.25">
      <c r="A1651" s="3">
        <v>45652</v>
      </c>
      <c r="B1651" s="4">
        <v>2024003803</v>
      </c>
      <c r="C1651" s="4" t="s">
        <v>626</v>
      </c>
      <c r="D1651" s="5">
        <v>4825000</v>
      </c>
      <c r="E1651" s="4">
        <v>1085338534</v>
      </c>
      <c r="F1651" s="4" t="s">
        <v>15</v>
      </c>
      <c r="G1651" t="s">
        <v>565</v>
      </c>
    </row>
    <row r="1652" spans="1:7" ht="15" customHeight="1" x14ac:dyDescent="0.25">
      <c r="A1652" s="3">
        <v>45652</v>
      </c>
      <c r="B1652" s="4">
        <v>2024003805</v>
      </c>
      <c r="C1652" s="4" t="s">
        <v>602</v>
      </c>
      <c r="D1652" s="5">
        <v>7540000</v>
      </c>
      <c r="E1652" s="4">
        <v>1151934571</v>
      </c>
      <c r="F1652" s="4" t="s">
        <v>137</v>
      </c>
      <c r="G1652" t="s">
        <v>565</v>
      </c>
    </row>
    <row r="1653" spans="1:7" ht="15" customHeight="1" x14ac:dyDescent="0.25">
      <c r="A1653" s="3">
        <v>45652</v>
      </c>
      <c r="B1653" s="4">
        <v>2024003806</v>
      </c>
      <c r="C1653" s="4" t="s">
        <v>831</v>
      </c>
      <c r="D1653" s="5">
        <v>3000000</v>
      </c>
      <c r="E1653" s="4">
        <v>27087122</v>
      </c>
      <c r="F1653" s="4" t="s">
        <v>37</v>
      </c>
      <c r="G1653" t="s">
        <v>565</v>
      </c>
    </row>
    <row r="1654" spans="1:7" ht="15" customHeight="1" x14ac:dyDescent="0.25">
      <c r="A1654" s="3">
        <v>45652</v>
      </c>
      <c r="B1654" s="4">
        <v>2024003807</v>
      </c>
      <c r="C1654" s="4" t="s">
        <v>959</v>
      </c>
      <c r="D1654" s="5">
        <v>3000000</v>
      </c>
      <c r="E1654" s="4">
        <v>1085286725</v>
      </c>
      <c r="F1654" s="4" t="s">
        <v>111</v>
      </c>
      <c r="G1654" t="s">
        <v>565</v>
      </c>
    </row>
    <row r="1655" spans="1:7" ht="15" customHeight="1" x14ac:dyDescent="0.25">
      <c r="A1655" s="3">
        <v>45652</v>
      </c>
      <c r="B1655" s="4">
        <v>2024003808</v>
      </c>
      <c r="C1655" s="4" t="s">
        <v>601</v>
      </c>
      <c r="D1655" s="5">
        <v>6000000</v>
      </c>
      <c r="E1655" s="4">
        <v>27097289</v>
      </c>
      <c r="F1655" s="4" t="s">
        <v>49</v>
      </c>
      <c r="G1655" t="s">
        <v>565</v>
      </c>
    </row>
    <row r="1656" spans="1:7" ht="15" customHeight="1" x14ac:dyDescent="0.25">
      <c r="A1656" s="3">
        <v>45652</v>
      </c>
      <c r="B1656" s="4">
        <v>2024003809</v>
      </c>
      <c r="C1656" s="4" t="s">
        <v>795</v>
      </c>
      <c r="D1656" s="5">
        <v>3000000</v>
      </c>
      <c r="E1656" s="4">
        <v>1007356378</v>
      </c>
      <c r="F1656" s="4" t="s">
        <v>45</v>
      </c>
      <c r="G1656" t="s">
        <v>565</v>
      </c>
    </row>
    <row r="1657" spans="1:7" ht="15" customHeight="1" x14ac:dyDescent="0.25">
      <c r="A1657" s="3">
        <v>45652</v>
      </c>
      <c r="B1657" s="4">
        <v>2024003810</v>
      </c>
      <c r="C1657" s="4" t="s">
        <v>869</v>
      </c>
      <c r="D1657" s="5">
        <v>3000000</v>
      </c>
      <c r="E1657" s="4">
        <v>1004410201</v>
      </c>
      <c r="F1657" s="4" t="s">
        <v>403</v>
      </c>
      <c r="G1657" t="s">
        <v>565</v>
      </c>
    </row>
    <row r="1658" spans="1:7" ht="15" customHeight="1" x14ac:dyDescent="0.25">
      <c r="A1658" s="3">
        <v>45652</v>
      </c>
      <c r="B1658" s="4">
        <v>2024003811</v>
      </c>
      <c r="C1658" s="4" t="s">
        <v>911</v>
      </c>
      <c r="D1658" s="5">
        <v>2500000</v>
      </c>
      <c r="E1658" s="4">
        <v>13072447</v>
      </c>
      <c r="F1658" s="4" t="s">
        <v>205</v>
      </c>
      <c r="G1658" t="s">
        <v>565</v>
      </c>
    </row>
    <row r="1659" spans="1:7" ht="15" customHeight="1" x14ac:dyDescent="0.25">
      <c r="A1659" s="3">
        <v>45652</v>
      </c>
      <c r="B1659" s="4">
        <v>2024003812</v>
      </c>
      <c r="C1659" s="4" t="s">
        <v>1018</v>
      </c>
      <c r="D1659" s="5">
        <v>2500000</v>
      </c>
      <c r="E1659" s="4">
        <v>1081052090</v>
      </c>
      <c r="F1659" s="4" t="s">
        <v>319</v>
      </c>
      <c r="G1659" t="s">
        <v>565</v>
      </c>
    </row>
    <row r="1660" spans="1:7" ht="15" customHeight="1" x14ac:dyDescent="0.25">
      <c r="A1660" s="3">
        <v>45652</v>
      </c>
      <c r="B1660" s="4">
        <v>2024003813</v>
      </c>
      <c r="C1660" s="4" t="s">
        <v>812</v>
      </c>
      <c r="D1660" s="5">
        <v>4750000</v>
      </c>
      <c r="E1660" s="4">
        <v>59816986</v>
      </c>
      <c r="F1660" s="4" t="s">
        <v>415</v>
      </c>
      <c r="G1660" t="s">
        <v>565</v>
      </c>
    </row>
    <row r="1661" spans="1:7" ht="15" customHeight="1" x14ac:dyDescent="0.25">
      <c r="A1661" s="3">
        <v>45652</v>
      </c>
      <c r="B1661" s="4">
        <v>2024003814</v>
      </c>
      <c r="C1661" s="4" t="s">
        <v>1019</v>
      </c>
      <c r="D1661" s="5">
        <v>2499900</v>
      </c>
      <c r="E1661" s="4">
        <v>12990231</v>
      </c>
      <c r="F1661" s="4" t="s">
        <v>1020</v>
      </c>
      <c r="G1661" t="s">
        <v>565</v>
      </c>
    </row>
    <row r="1662" spans="1:7" ht="15" customHeight="1" x14ac:dyDescent="0.25">
      <c r="A1662" s="3">
        <v>45652</v>
      </c>
      <c r="B1662" s="4">
        <v>2024003815</v>
      </c>
      <c r="C1662" s="4" t="s">
        <v>780</v>
      </c>
      <c r="D1662" s="5">
        <v>4825000</v>
      </c>
      <c r="E1662" s="4">
        <v>1085311814</v>
      </c>
      <c r="F1662" s="4" t="s">
        <v>781</v>
      </c>
      <c r="G1662" t="s">
        <v>565</v>
      </c>
    </row>
    <row r="1663" spans="1:7" ht="15" customHeight="1" x14ac:dyDescent="0.25">
      <c r="A1663" s="3">
        <v>45652</v>
      </c>
      <c r="B1663" s="4">
        <v>2024003816</v>
      </c>
      <c r="C1663" s="4" t="s">
        <v>1014</v>
      </c>
      <c r="D1663" s="5">
        <v>2500000</v>
      </c>
      <c r="E1663" s="4">
        <v>30736949</v>
      </c>
      <c r="F1663" s="4" t="s">
        <v>557</v>
      </c>
      <c r="G1663" t="s">
        <v>565</v>
      </c>
    </row>
    <row r="1664" spans="1:7" ht="15" customHeight="1" x14ac:dyDescent="0.25">
      <c r="A1664" s="3">
        <v>45652</v>
      </c>
      <c r="B1664" s="4">
        <v>2024003817</v>
      </c>
      <c r="C1664" s="4" t="s">
        <v>605</v>
      </c>
      <c r="D1664" s="5">
        <v>3000000</v>
      </c>
      <c r="E1664" s="4">
        <v>1085326198</v>
      </c>
      <c r="F1664" s="4" t="s">
        <v>79</v>
      </c>
      <c r="G1664" t="s">
        <v>565</v>
      </c>
    </row>
    <row r="1665" spans="1:7" ht="15" customHeight="1" x14ac:dyDescent="0.25">
      <c r="A1665" s="3">
        <v>45652</v>
      </c>
      <c r="B1665" s="4">
        <v>2024003818</v>
      </c>
      <c r="C1665" s="4" t="s">
        <v>712</v>
      </c>
      <c r="D1665" s="5">
        <v>7540000</v>
      </c>
      <c r="E1665" s="4">
        <v>1233192708</v>
      </c>
      <c r="F1665" s="4" t="s">
        <v>591</v>
      </c>
      <c r="G1665" t="s">
        <v>565</v>
      </c>
    </row>
    <row r="1666" spans="1:7" ht="15" customHeight="1" x14ac:dyDescent="0.25">
      <c r="A1666" s="3">
        <v>45652</v>
      </c>
      <c r="B1666" s="4">
        <v>2024003819</v>
      </c>
      <c r="C1666" s="4" t="s">
        <v>997</v>
      </c>
      <c r="D1666" s="5">
        <v>4750000</v>
      </c>
      <c r="E1666" s="4">
        <v>1085264667</v>
      </c>
      <c r="F1666" s="4" t="s">
        <v>464</v>
      </c>
      <c r="G1666" t="s">
        <v>565</v>
      </c>
    </row>
    <row r="1667" spans="1:7" ht="15" customHeight="1" x14ac:dyDescent="0.25">
      <c r="A1667" s="3">
        <v>45652</v>
      </c>
      <c r="B1667" s="4">
        <v>2024003820</v>
      </c>
      <c r="C1667" s="4" t="s">
        <v>819</v>
      </c>
      <c r="D1667" s="5">
        <v>4825000</v>
      </c>
      <c r="E1667" s="4">
        <v>1081595485</v>
      </c>
      <c r="F1667" s="4" t="s">
        <v>820</v>
      </c>
      <c r="G1667" t="s">
        <v>565</v>
      </c>
    </row>
    <row r="1668" spans="1:7" ht="15" customHeight="1" x14ac:dyDescent="0.25">
      <c r="A1668" s="13">
        <v>45652</v>
      </c>
      <c r="B1668" s="1">
        <v>2024003821</v>
      </c>
      <c r="C1668" s="1" t="s">
        <v>439</v>
      </c>
      <c r="D1668" s="5">
        <v>4825000</v>
      </c>
      <c r="E1668" s="1">
        <v>1088730712</v>
      </c>
      <c r="F1668" s="1" t="s">
        <v>295</v>
      </c>
      <c r="G1668" s="1" t="s">
        <v>9</v>
      </c>
    </row>
    <row r="1669" spans="1:7" ht="15" customHeight="1" x14ac:dyDescent="0.25">
      <c r="A1669" s="3">
        <v>45652</v>
      </c>
      <c r="B1669" s="4">
        <v>2024003822</v>
      </c>
      <c r="C1669" s="4" t="s">
        <v>996</v>
      </c>
      <c r="D1669" s="5">
        <v>3000000</v>
      </c>
      <c r="E1669" s="4">
        <v>98391531</v>
      </c>
      <c r="F1669" s="4" t="s">
        <v>499</v>
      </c>
      <c r="G1669" t="s">
        <v>565</v>
      </c>
    </row>
    <row r="1670" spans="1:7" ht="15" customHeight="1" x14ac:dyDescent="0.25">
      <c r="A1670" s="3">
        <v>45652</v>
      </c>
      <c r="B1670" s="4">
        <v>2024003823</v>
      </c>
      <c r="C1670" s="4" t="s">
        <v>757</v>
      </c>
      <c r="D1670" s="5">
        <v>3000000</v>
      </c>
      <c r="E1670" s="4">
        <v>1085309422</v>
      </c>
      <c r="F1670" s="4" t="s">
        <v>758</v>
      </c>
      <c r="G1670" t="s">
        <v>565</v>
      </c>
    </row>
    <row r="1671" spans="1:7" ht="15" customHeight="1" x14ac:dyDescent="0.25">
      <c r="A1671" s="3">
        <v>45652</v>
      </c>
      <c r="B1671" s="4">
        <v>2024003824</v>
      </c>
      <c r="C1671" s="4" t="s">
        <v>753</v>
      </c>
      <c r="D1671" s="5">
        <v>3000000</v>
      </c>
      <c r="E1671" s="4">
        <v>1085272140</v>
      </c>
      <c r="F1671" s="4" t="s">
        <v>754</v>
      </c>
      <c r="G1671" t="s">
        <v>565</v>
      </c>
    </row>
    <row r="1672" spans="1:7" ht="15" customHeight="1" x14ac:dyDescent="0.25">
      <c r="A1672" s="3">
        <v>45652</v>
      </c>
      <c r="B1672" s="4">
        <v>2024003826</v>
      </c>
      <c r="C1672" s="4" t="s">
        <v>799</v>
      </c>
      <c r="D1672" s="5">
        <v>2500000</v>
      </c>
      <c r="E1672" s="4">
        <v>1085320930</v>
      </c>
      <c r="F1672" s="4" t="s">
        <v>259</v>
      </c>
      <c r="G1672" t="s">
        <v>565</v>
      </c>
    </row>
    <row r="1673" spans="1:7" ht="15" customHeight="1" x14ac:dyDescent="0.25">
      <c r="A1673" s="3">
        <v>45652</v>
      </c>
      <c r="B1673" s="4">
        <v>2024003827</v>
      </c>
      <c r="C1673" s="4" t="s">
        <v>624</v>
      </c>
      <c r="D1673" s="5">
        <v>4825000</v>
      </c>
      <c r="E1673" s="4">
        <v>37082349</v>
      </c>
      <c r="F1673" s="4" t="s">
        <v>377</v>
      </c>
      <c r="G1673" t="s">
        <v>565</v>
      </c>
    </row>
    <row r="1674" spans="1:7" ht="15" customHeight="1" x14ac:dyDescent="0.25">
      <c r="A1674" s="3">
        <v>45652</v>
      </c>
      <c r="B1674" s="4">
        <v>2024003828</v>
      </c>
      <c r="C1674" s="4" t="s">
        <v>1017</v>
      </c>
      <c r="D1674" s="5">
        <v>6283000</v>
      </c>
      <c r="E1674" s="4">
        <v>1193279435</v>
      </c>
      <c r="F1674" s="4" t="s">
        <v>435</v>
      </c>
      <c r="G1674" t="s">
        <v>565</v>
      </c>
    </row>
    <row r="1675" spans="1:7" ht="15" customHeight="1" x14ac:dyDescent="0.25">
      <c r="A1675" s="3">
        <v>45652</v>
      </c>
      <c r="B1675" s="4">
        <v>2024003829</v>
      </c>
      <c r="C1675" s="4" t="s">
        <v>740</v>
      </c>
      <c r="D1675" s="5">
        <v>6000000</v>
      </c>
      <c r="E1675" s="4">
        <v>37013610</v>
      </c>
      <c r="F1675" s="4" t="s">
        <v>25</v>
      </c>
      <c r="G1675" t="s">
        <v>565</v>
      </c>
    </row>
    <row r="1676" spans="1:7" ht="15" customHeight="1" x14ac:dyDescent="0.25">
      <c r="A1676" s="3">
        <v>45652</v>
      </c>
      <c r="B1676" s="4">
        <v>2024003830</v>
      </c>
      <c r="C1676" s="4" t="s">
        <v>1085</v>
      </c>
      <c r="D1676" s="5">
        <v>500000</v>
      </c>
      <c r="E1676" s="4">
        <v>1080690337</v>
      </c>
      <c r="F1676" s="4" t="s">
        <v>1086</v>
      </c>
      <c r="G1676" t="s">
        <v>565</v>
      </c>
    </row>
    <row r="1677" spans="1:7" ht="15" customHeight="1" x14ac:dyDescent="0.25">
      <c r="A1677" s="3">
        <v>45652</v>
      </c>
      <c r="B1677" s="4">
        <v>2024003831</v>
      </c>
      <c r="C1677" s="4" t="s">
        <v>1085</v>
      </c>
      <c r="D1677" s="5">
        <v>3000000</v>
      </c>
      <c r="E1677" s="4">
        <v>1080690337</v>
      </c>
      <c r="F1677" s="4" t="s">
        <v>1086</v>
      </c>
      <c r="G1677" t="s">
        <v>565</v>
      </c>
    </row>
    <row r="1678" spans="1:7" ht="15" customHeight="1" x14ac:dyDescent="0.25">
      <c r="A1678" s="3">
        <v>45652</v>
      </c>
      <c r="B1678" s="4">
        <v>2024003833</v>
      </c>
      <c r="C1678" s="4" t="s">
        <v>872</v>
      </c>
      <c r="D1678" s="5">
        <v>3000000</v>
      </c>
      <c r="E1678" s="4">
        <v>1085250095</v>
      </c>
      <c r="F1678" s="4" t="s">
        <v>179</v>
      </c>
      <c r="G1678" t="s">
        <v>565</v>
      </c>
    </row>
    <row r="1679" spans="1:7" ht="15" customHeight="1" x14ac:dyDescent="0.25">
      <c r="A1679" s="3">
        <v>45652</v>
      </c>
      <c r="B1679" s="4">
        <v>2024003834</v>
      </c>
      <c r="C1679" s="4" t="s">
        <v>917</v>
      </c>
      <c r="D1679" s="5">
        <v>7540000</v>
      </c>
      <c r="E1679" s="4">
        <v>87940284</v>
      </c>
      <c r="F1679" s="4" t="s">
        <v>918</v>
      </c>
      <c r="G1679" t="s">
        <v>565</v>
      </c>
    </row>
    <row r="1680" spans="1:7" ht="15" customHeight="1" x14ac:dyDescent="0.25">
      <c r="A1680" s="3">
        <v>45652</v>
      </c>
      <c r="B1680" s="4">
        <v>2024003836</v>
      </c>
      <c r="C1680" s="4" t="s">
        <v>904</v>
      </c>
      <c r="D1680" s="5">
        <v>3000000</v>
      </c>
      <c r="E1680" s="4">
        <v>1193224810</v>
      </c>
      <c r="F1680" s="4" t="s">
        <v>409</v>
      </c>
      <c r="G1680" t="s">
        <v>565</v>
      </c>
    </row>
    <row r="1681" spans="1:7" ht="15" customHeight="1" x14ac:dyDescent="0.25">
      <c r="A1681" s="3">
        <v>45652</v>
      </c>
      <c r="B1681" s="4">
        <v>2024003837</v>
      </c>
      <c r="C1681" s="4" t="s">
        <v>999</v>
      </c>
      <c r="D1681" s="5">
        <v>3000000</v>
      </c>
      <c r="E1681" s="4">
        <v>59313539</v>
      </c>
      <c r="F1681" s="4" t="s">
        <v>1000</v>
      </c>
      <c r="G1681" t="s">
        <v>565</v>
      </c>
    </row>
    <row r="1682" spans="1:7" ht="15" customHeight="1" x14ac:dyDescent="0.25">
      <c r="A1682" s="3">
        <v>45652</v>
      </c>
      <c r="B1682" s="4">
        <v>2024003838</v>
      </c>
      <c r="C1682" s="4" t="s">
        <v>1026</v>
      </c>
      <c r="D1682" s="5">
        <v>2500000</v>
      </c>
      <c r="E1682" s="4">
        <v>1085254615</v>
      </c>
      <c r="F1682" s="4" t="s">
        <v>1027</v>
      </c>
      <c r="G1682" t="s">
        <v>565</v>
      </c>
    </row>
    <row r="1683" spans="1:7" ht="15" customHeight="1" x14ac:dyDescent="0.25">
      <c r="A1683" s="3">
        <v>45652</v>
      </c>
      <c r="B1683" s="4">
        <v>2024003839</v>
      </c>
      <c r="C1683" s="4" t="s">
        <v>827</v>
      </c>
      <c r="D1683" s="5">
        <v>6000000</v>
      </c>
      <c r="E1683" s="4">
        <v>27097745</v>
      </c>
      <c r="F1683" s="4" t="s">
        <v>828</v>
      </c>
      <c r="G1683" t="s">
        <v>565</v>
      </c>
    </row>
    <row r="1684" spans="1:7" ht="15" customHeight="1" x14ac:dyDescent="0.25">
      <c r="A1684" s="3">
        <v>45652</v>
      </c>
      <c r="B1684" s="4">
        <v>2024003840</v>
      </c>
      <c r="C1684" s="4" t="s">
        <v>878</v>
      </c>
      <c r="D1684" s="5">
        <v>3000000</v>
      </c>
      <c r="E1684" s="4">
        <v>1085338575</v>
      </c>
      <c r="F1684" s="4" t="s">
        <v>227</v>
      </c>
      <c r="G1684" t="s">
        <v>565</v>
      </c>
    </row>
    <row r="1685" spans="1:7" ht="15" customHeight="1" x14ac:dyDescent="0.25">
      <c r="A1685" s="3">
        <v>45652</v>
      </c>
      <c r="B1685" s="4">
        <v>2024003841</v>
      </c>
      <c r="C1685" s="4" t="s">
        <v>899</v>
      </c>
      <c r="D1685" s="5">
        <v>4750000</v>
      </c>
      <c r="E1685" s="4">
        <v>36950073</v>
      </c>
      <c r="F1685" s="4" t="s">
        <v>900</v>
      </c>
      <c r="G1685" t="s">
        <v>565</v>
      </c>
    </row>
    <row r="1686" spans="1:7" ht="15" customHeight="1" x14ac:dyDescent="0.25">
      <c r="A1686" s="3">
        <v>45652</v>
      </c>
      <c r="B1686" s="4">
        <v>2024003843</v>
      </c>
      <c r="C1686" s="4" t="s">
        <v>821</v>
      </c>
      <c r="D1686" s="5">
        <v>3000000</v>
      </c>
      <c r="E1686" s="4">
        <v>1085255972</v>
      </c>
      <c r="F1686" s="4" t="s">
        <v>147</v>
      </c>
      <c r="G1686" t="s">
        <v>565</v>
      </c>
    </row>
    <row r="1687" spans="1:7" ht="15" customHeight="1" x14ac:dyDescent="0.25">
      <c r="A1687" s="3">
        <v>45652</v>
      </c>
      <c r="B1687" s="4">
        <v>2024003844</v>
      </c>
      <c r="C1687" s="4" t="s">
        <v>841</v>
      </c>
      <c r="D1687" s="5">
        <v>4825000</v>
      </c>
      <c r="E1687" s="4">
        <v>1085265622</v>
      </c>
      <c r="F1687" s="4" t="s">
        <v>460</v>
      </c>
      <c r="G1687" t="s">
        <v>565</v>
      </c>
    </row>
    <row r="1688" spans="1:7" ht="15" customHeight="1" x14ac:dyDescent="0.25">
      <c r="A1688" s="3">
        <v>45652</v>
      </c>
      <c r="B1688" s="4">
        <v>2024003845</v>
      </c>
      <c r="C1688" s="4" t="s">
        <v>877</v>
      </c>
      <c r="D1688" s="5">
        <v>3000000</v>
      </c>
      <c r="E1688" s="4">
        <v>87070661</v>
      </c>
      <c r="F1688" s="4" t="s">
        <v>185</v>
      </c>
      <c r="G1688" t="s">
        <v>565</v>
      </c>
    </row>
    <row r="1689" spans="1:7" ht="15" customHeight="1" x14ac:dyDescent="0.25">
      <c r="A1689" s="3">
        <v>45652</v>
      </c>
      <c r="B1689" s="4">
        <v>2024003846</v>
      </c>
      <c r="C1689" s="4" t="s">
        <v>703</v>
      </c>
      <c r="D1689" s="5">
        <v>3000000</v>
      </c>
      <c r="E1689" s="4">
        <v>1233191675</v>
      </c>
      <c r="F1689" s="4" t="s">
        <v>523</v>
      </c>
      <c r="G1689" t="s">
        <v>565</v>
      </c>
    </row>
    <row r="1690" spans="1:7" ht="15" customHeight="1" x14ac:dyDescent="0.25">
      <c r="A1690" s="3">
        <v>45652</v>
      </c>
      <c r="B1690" s="4">
        <v>2024003848</v>
      </c>
      <c r="C1690" s="4" t="s">
        <v>1001</v>
      </c>
      <c r="D1690" s="5">
        <v>3000000</v>
      </c>
      <c r="E1690" s="4">
        <v>1081053820</v>
      </c>
      <c r="F1690" s="4" t="s">
        <v>431</v>
      </c>
      <c r="G1690" t="s">
        <v>565</v>
      </c>
    </row>
    <row r="1691" spans="1:7" ht="15" customHeight="1" x14ac:dyDescent="0.25">
      <c r="A1691" s="3">
        <v>45652</v>
      </c>
      <c r="B1691" s="4">
        <v>2024003849</v>
      </c>
      <c r="C1691" s="4" t="s">
        <v>977</v>
      </c>
      <c r="D1691" s="5">
        <v>4825000</v>
      </c>
      <c r="E1691" s="4">
        <v>59177204</v>
      </c>
      <c r="F1691" s="4" t="s">
        <v>978</v>
      </c>
      <c r="G1691" t="s">
        <v>565</v>
      </c>
    </row>
    <row r="1692" spans="1:7" ht="15" customHeight="1" x14ac:dyDescent="0.25">
      <c r="A1692" s="3">
        <v>45652</v>
      </c>
      <c r="B1692" s="4">
        <v>2024003850</v>
      </c>
      <c r="C1692" s="4" t="s">
        <v>666</v>
      </c>
      <c r="D1692" s="5">
        <v>2500000</v>
      </c>
      <c r="E1692" s="4">
        <v>12974849</v>
      </c>
      <c r="F1692" s="4" t="s">
        <v>51</v>
      </c>
      <c r="G1692" t="s">
        <v>565</v>
      </c>
    </row>
    <row r="1693" spans="1:7" ht="15" customHeight="1" x14ac:dyDescent="0.25">
      <c r="A1693" s="3">
        <v>45652</v>
      </c>
      <c r="B1693" s="4">
        <v>2024003851</v>
      </c>
      <c r="C1693" s="4" t="s">
        <v>625</v>
      </c>
      <c r="D1693" s="5">
        <v>4750000</v>
      </c>
      <c r="E1693" s="4">
        <v>1085263018</v>
      </c>
      <c r="F1693" s="4" t="s">
        <v>91</v>
      </c>
      <c r="G1693" t="s">
        <v>565</v>
      </c>
    </row>
    <row r="1694" spans="1:7" ht="15" customHeight="1" x14ac:dyDescent="0.25">
      <c r="A1694" s="3">
        <v>45652</v>
      </c>
      <c r="B1694" s="4">
        <v>2024003852</v>
      </c>
      <c r="C1694" s="4" t="s">
        <v>935</v>
      </c>
      <c r="D1694" s="5">
        <v>3000000</v>
      </c>
      <c r="E1694" s="4">
        <v>59828916</v>
      </c>
      <c r="F1694" s="4" t="s">
        <v>181</v>
      </c>
      <c r="G1694" t="s">
        <v>565</v>
      </c>
    </row>
    <row r="1695" spans="1:7" ht="15" customHeight="1" x14ac:dyDescent="0.25">
      <c r="A1695" s="3">
        <v>45652</v>
      </c>
      <c r="B1695" s="4">
        <v>2024003854</v>
      </c>
      <c r="C1695" s="4" t="s">
        <v>879</v>
      </c>
      <c r="D1695" s="5">
        <v>2500000</v>
      </c>
      <c r="E1695" s="4">
        <v>30737741</v>
      </c>
      <c r="F1695" s="4" t="s">
        <v>199</v>
      </c>
      <c r="G1695" t="s">
        <v>565</v>
      </c>
    </row>
    <row r="1696" spans="1:7" ht="15" customHeight="1" x14ac:dyDescent="0.25">
      <c r="A1696" s="3">
        <v>45652</v>
      </c>
      <c r="B1696" s="4">
        <v>2024003855</v>
      </c>
      <c r="C1696" s="4" t="s">
        <v>881</v>
      </c>
      <c r="D1696" s="5">
        <v>4750000</v>
      </c>
      <c r="E1696" s="4">
        <v>1085318684</v>
      </c>
      <c r="F1696" s="4" t="s">
        <v>355</v>
      </c>
      <c r="G1696" t="s">
        <v>565</v>
      </c>
    </row>
    <row r="1697" spans="1:7" ht="15" customHeight="1" x14ac:dyDescent="0.25">
      <c r="A1697" s="3">
        <v>45652</v>
      </c>
      <c r="B1697" s="4">
        <v>2024003856</v>
      </c>
      <c r="C1697" s="4" t="s">
        <v>949</v>
      </c>
      <c r="D1697" s="5">
        <v>3000000</v>
      </c>
      <c r="E1697" s="4">
        <v>1081272318</v>
      </c>
      <c r="F1697" s="4" t="s">
        <v>950</v>
      </c>
      <c r="G1697" t="s">
        <v>565</v>
      </c>
    </row>
    <row r="1698" spans="1:7" ht="15" customHeight="1" x14ac:dyDescent="0.25">
      <c r="A1698" s="3">
        <v>45652</v>
      </c>
      <c r="B1698" s="4">
        <v>2024003857</v>
      </c>
      <c r="C1698" s="4" t="s">
        <v>998</v>
      </c>
      <c r="D1698" s="5">
        <v>2500000</v>
      </c>
      <c r="E1698" s="4">
        <v>1085318898</v>
      </c>
      <c r="F1698" s="4" t="s">
        <v>517</v>
      </c>
      <c r="G1698" t="s">
        <v>565</v>
      </c>
    </row>
    <row r="1699" spans="1:7" ht="15" customHeight="1" x14ac:dyDescent="0.25">
      <c r="A1699" s="3">
        <v>45652</v>
      </c>
      <c r="B1699" s="4">
        <v>2024003858</v>
      </c>
      <c r="C1699" s="4" t="s">
        <v>873</v>
      </c>
      <c r="D1699" s="5">
        <v>4750000</v>
      </c>
      <c r="E1699" s="4">
        <v>1085318201</v>
      </c>
      <c r="F1699" s="4" t="s">
        <v>235</v>
      </c>
      <c r="G1699" t="s">
        <v>565</v>
      </c>
    </row>
    <row r="1700" spans="1:7" ht="15" customHeight="1" x14ac:dyDescent="0.25">
      <c r="A1700" s="3">
        <v>45652</v>
      </c>
      <c r="B1700" s="4">
        <v>2024003859</v>
      </c>
      <c r="C1700" s="4" t="s">
        <v>1087</v>
      </c>
      <c r="D1700" s="5">
        <v>2691100</v>
      </c>
      <c r="E1700" s="4">
        <v>59830379</v>
      </c>
      <c r="F1700" s="4" t="s">
        <v>1088</v>
      </c>
      <c r="G1700" t="s">
        <v>565</v>
      </c>
    </row>
    <row r="1701" spans="1:7" ht="15" customHeight="1" x14ac:dyDescent="0.25">
      <c r="A1701" s="3">
        <v>45652</v>
      </c>
      <c r="B1701" s="4">
        <v>2024003860</v>
      </c>
      <c r="C1701" s="4" t="s">
        <v>826</v>
      </c>
      <c r="D1701" s="5">
        <v>2500000</v>
      </c>
      <c r="E1701" s="4">
        <v>59311646</v>
      </c>
      <c r="F1701" s="4" t="s">
        <v>373</v>
      </c>
      <c r="G1701" t="s">
        <v>565</v>
      </c>
    </row>
    <row r="1702" spans="1:7" ht="15" customHeight="1" x14ac:dyDescent="0.25">
      <c r="A1702" s="3">
        <v>45652</v>
      </c>
      <c r="B1702" s="4">
        <v>2024003861</v>
      </c>
      <c r="C1702" s="4" t="s">
        <v>873</v>
      </c>
      <c r="D1702" s="5">
        <v>4750000</v>
      </c>
      <c r="E1702" s="4">
        <v>1085318201</v>
      </c>
      <c r="F1702" s="4" t="s">
        <v>235</v>
      </c>
      <c r="G1702" t="s">
        <v>565</v>
      </c>
    </row>
    <row r="1703" spans="1:7" ht="15" customHeight="1" x14ac:dyDescent="0.25">
      <c r="A1703" s="3">
        <v>45652</v>
      </c>
      <c r="B1703" s="4">
        <v>2024003862</v>
      </c>
      <c r="C1703" s="4" t="s">
        <v>1021</v>
      </c>
      <c r="D1703" s="5">
        <v>4825000</v>
      </c>
      <c r="E1703" s="4">
        <v>1085319572</v>
      </c>
      <c r="F1703" s="4" t="s">
        <v>1022</v>
      </c>
      <c r="G1703" t="s">
        <v>565</v>
      </c>
    </row>
    <row r="1704" spans="1:7" ht="15" customHeight="1" x14ac:dyDescent="0.25">
      <c r="A1704" s="3">
        <v>45652</v>
      </c>
      <c r="B1704" s="4">
        <v>2024003863</v>
      </c>
      <c r="C1704" s="4" t="s">
        <v>1087</v>
      </c>
      <c r="D1704" s="5">
        <v>4750000</v>
      </c>
      <c r="E1704" s="4">
        <v>59830379</v>
      </c>
      <c r="F1704" s="4" t="s">
        <v>1088</v>
      </c>
      <c r="G1704" t="s">
        <v>565</v>
      </c>
    </row>
    <row r="1705" spans="1:7" ht="15" customHeight="1" x14ac:dyDescent="0.25">
      <c r="A1705" s="3">
        <v>45652</v>
      </c>
      <c r="B1705" s="4">
        <v>2024003864</v>
      </c>
      <c r="C1705" s="4" t="s">
        <v>938</v>
      </c>
      <c r="D1705" s="5">
        <v>4825000</v>
      </c>
      <c r="E1705" s="4">
        <v>52048780</v>
      </c>
      <c r="F1705" s="4" t="s">
        <v>939</v>
      </c>
      <c r="G1705" t="s">
        <v>565</v>
      </c>
    </row>
    <row r="1706" spans="1:7" ht="15" customHeight="1" x14ac:dyDescent="0.25">
      <c r="A1706" s="3">
        <v>45652</v>
      </c>
      <c r="B1706" s="4">
        <v>2024003865</v>
      </c>
      <c r="C1706" s="4" t="s">
        <v>925</v>
      </c>
      <c r="D1706" s="5">
        <v>4825000</v>
      </c>
      <c r="E1706" s="4">
        <v>1004508471</v>
      </c>
      <c r="F1706" s="4" t="s">
        <v>926</v>
      </c>
      <c r="G1706" t="s">
        <v>565</v>
      </c>
    </row>
    <row r="1707" spans="1:7" ht="15" customHeight="1" x14ac:dyDescent="0.25">
      <c r="A1707" s="3">
        <v>45653</v>
      </c>
      <c r="B1707" s="4">
        <v>2024003935</v>
      </c>
      <c r="C1707" s="4" t="s">
        <v>1051</v>
      </c>
      <c r="D1707" s="5">
        <v>4750000</v>
      </c>
      <c r="E1707" s="4">
        <v>1085334685</v>
      </c>
      <c r="F1707" s="4" t="s">
        <v>1052</v>
      </c>
      <c r="G1707" t="s">
        <v>565</v>
      </c>
    </row>
    <row r="1708" spans="1:7" ht="15" customHeight="1" x14ac:dyDescent="0.25">
      <c r="A1708" s="3">
        <v>45653</v>
      </c>
      <c r="B1708" s="4">
        <v>2024003936</v>
      </c>
      <c r="C1708" s="4" t="s">
        <v>1061</v>
      </c>
      <c r="D1708" s="5">
        <v>6000000</v>
      </c>
      <c r="E1708" s="4">
        <v>1084228089</v>
      </c>
      <c r="F1708" s="4" t="s">
        <v>1062</v>
      </c>
      <c r="G1708" t="s">
        <v>565</v>
      </c>
    </row>
    <row r="1709" spans="1:7" ht="15" customHeight="1" x14ac:dyDescent="0.25">
      <c r="A1709" s="3">
        <v>45653</v>
      </c>
      <c r="B1709" s="4">
        <v>2024003938</v>
      </c>
      <c r="C1709" s="4" t="s">
        <v>984</v>
      </c>
      <c r="D1709" s="5">
        <v>4825000</v>
      </c>
      <c r="E1709" s="4">
        <v>59835376</v>
      </c>
      <c r="F1709" s="4" t="s">
        <v>985</v>
      </c>
      <c r="G1709" t="s">
        <v>565</v>
      </c>
    </row>
    <row r="1710" spans="1:7" ht="15" customHeight="1" x14ac:dyDescent="0.25">
      <c r="A1710" s="3">
        <v>45653</v>
      </c>
      <c r="B1710" s="4">
        <v>2024003939</v>
      </c>
      <c r="C1710" s="4" t="s">
        <v>906</v>
      </c>
      <c r="D1710" s="5">
        <v>3000000</v>
      </c>
      <c r="E1710" s="4">
        <v>1004216993</v>
      </c>
      <c r="F1710" s="4" t="s">
        <v>511</v>
      </c>
      <c r="G1710" t="s">
        <v>565</v>
      </c>
    </row>
    <row r="1711" spans="1:7" ht="15" customHeight="1" x14ac:dyDescent="0.25">
      <c r="A1711" s="3">
        <v>45653</v>
      </c>
      <c r="B1711" s="4">
        <v>2024003942</v>
      </c>
      <c r="C1711" s="4" t="s">
        <v>1089</v>
      </c>
      <c r="D1711" s="5">
        <v>20049120</v>
      </c>
      <c r="E1711" s="4">
        <v>900441119</v>
      </c>
      <c r="F1711" s="4" t="s">
        <v>652</v>
      </c>
      <c r="G1711" t="s">
        <v>565</v>
      </c>
    </row>
    <row r="1712" spans="1:7" ht="15" customHeight="1" x14ac:dyDescent="0.25">
      <c r="A1712" s="3">
        <v>45653</v>
      </c>
      <c r="B1712" s="4">
        <v>2024003943</v>
      </c>
      <c r="C1712" s="4" t="s">
        <v>1090</v>
      </c>
      <c r="D1712" s="5">
        <v>33001556</v>
      </c>
      <c r="E1712" s="4">
        <v>12746875</v>
      </c>
      <c r="F1712" s="4" t="s">
        <v>1091</v>
      </c>
      <c r="G1712" t="s">
        <v>565</v>
      </c>
    </row>
    <row r="1713" spans="1:7" ht="15" customHeight="1" x14ac:dyDescent="0.25">
      <c r="A1713" s="3">
        <v>45653</v>
      </c>
      <c r="B1713" s="4">
        <v>2024003944</v>
      </c>
      <c r="C1713" s="4" t="s">
        <v>1092</v>
      </c>
      <c r="D1713" s="5">
        <v>25704000</v>
      </c>
      <c r="E1713" s="4">
        <v>830004892</v>
      </c>
      <c r="F1713" s="4" t="s">
        <v>616</v>
      </c>
      <c r="G1713" t="s">
        <v>565</v>
      </c>
    </row>
    <row r="1714" spans="1:7" ht="15" customHeight="1" x14ac:dyDescent="0.25">
      <c r="A1714" s="3">
        <v>45656</v>
      </c>
      <c r="B1714" s="4">
        <v>2024003959</v>
      </c>
      <c r="C1714" s="4" t="s">
        <v>637</v>
      </c>
      <c r="D1714" s="5">
        <v>122800000</v>
      </c>
      <c r="E1714" s="4">
        <v>900633448</v>
      </c>
      <c r="F1714" s="4" t="s">
        <v>165</v>
      </c>
      <c r="G1714" t="s">
        <v>565</v>
      </c>
    </row>
    <row r="1715" spans="1:7" ht="15" customHeight="1" x14ac:dyDescent="0.25">
      <c r="A1715" s="3">
        <v>45656</v>
      </c>
      <c r="B1715" s="4">
        <v>2024003960</v>
      </c>
      <c r="C1715" s="4" t="s">
        <v>644</v>
      </c>
      <c r="D1715" s="5">
        <v>61371100</v>
      </c>
      <c r="E1715" s="4">
        <v>900633448</v>
      </c>
      <c r="F1715" s="4" t="s">
        <v>165</v>
      </c>
      <c r="G1715" t="s">
        <v>565</v>
      </c>
    </row>
    <row r="1716" spans="1:7" ht="15" customHeight="1" x14ac:dyDescent="0.25">
      <c r="A1716" s="3">
        <v>45656</v>
      </c>
      <c r="B1716" s="4">
        <v>2024003961</v>
      </c>
      <c r="C1716" s="4" t="s">
        <v>636</v>
      </c>
      <c r="D1716" s="5">
        <v>43950000</v>
      </c>
      <c r="E1716" s="4">
        <v>900633448</v>
      </c>
      <c r="F1716" s="4" t="s">
        <v>165</v>
      </c>
      <c r="G1716" t="s">
        <v>565</v>
      </c>
    </row>
    <row r="1717" spans="1:7" ht="15" customHeight="1" x14ac:dyDescent="0.25">
      <c r="A1717" s="3">
        <v>45656</v>
      </c>
      <c r="B1717" s="4">
        <v>2024003962</v>
      </c>
      <c r="C1717" s="4" t="s">
        <v>635</v>
      </c>
      <c r="D1717" s="5">
        <v>50900000</v>
      </c>
      <c r="E1717" s="4">
        <v>900633448</v>
      </c>
      <c r="F1717" s="4" t="s">
        <v>165</v>
      </c>
      <c r="G1717" t="s">
        <v>565</v>
      </c>
    </row>
    <row r="1718" spans="1:7" ht="15" customHeight="1" x14ac:dyDescent="0.25">
      <c r="A1718" s="2">
        <v>45735</v>
      </c>
      <c r="B1718">
        <v>2025000317</v>
      </c>
      <c r="C1718" t="s">
        <v>564</v>
      </c>
      <c r="D1718" s="11">
        <v>2000000</v>
      </c>
      <c r="E1718">
        <v>1085324107</v>
      </c>
      <c r="F1718" t="s">
        <v>381</v>
      </c>
      <c r="G1718" t="s">
        <v>565</v>
      </c>
    </row>
    <row r="1719" spans="1:7" ht="15" customHeight="1" x14ac:dyDescent="0.25">
      <c r="A1719" s="2">
        <v>45736</v>
      </c>
      <c r="B1719">
        <v>2025000374</v>
      </c>
      <c r="C1719" t="s">
        <v>566</v>
      </c>
      <c r="D1719" s="11">
        <v>3000000</v>
      </c>
      <c r="E1719">
        <v>1193035720</v>
      </c>
      <c r="F1719" t="s">
        <v>567</v>
      </c>
      <c r="G1719" t="s">
        <v>565</v>
      </c>
    </row>
    <row r="1720" spans="1:7" ht="15" customHeight="1" x14ac:dyDescent="0.25">
      <c r="A1720" s="2">
        <v>45736</v>
      </c>
      <c r="B1720">
        <v>2025000388</v>
      </c>
      <c r="C1720" t="s">
        <v>568</v>
      </c>
      <c r="D1720" s="11">
        <v>5000000</v>
      </c>
      <c r="E1720">
        <v>1193265831</v>
      </c>
      <c r="F1720" t="s">
        <v>317</v>
      </c>
      <c r="G1720" t="s">
        <v>565</v>
      </c>
    </row>
    <row r="1721" spans="1:7" ht="15" customHeight="1" x14ac:dyDescent="0.25">
      <c r="A1721" s="13">
        <v>45786</v>
      </c>
      <c r="B1721" s="1">
        <v>2025000649</v>
      </c>
      <c r="C1721" s="1" t="s">
        <v>440</v>
      </c>
      <c r="D1721" s="5">
        <v>2600000</v>
      </c>
      <c r="E1721" s="1">
        <v>1004233343</v>
      </c>
      <c r="F1721" s="1" t="s">
        <v>441</v>
      </c>
      <c r="G1721" s="1" t="s">
        <v>9</v>
      </c>
    </row>
    <row r="1722" spans="1:7" ht="15" customHeight="1" x14ac:dyDescent="0.25">
      <c r="A1722" s="13">
        <v>45786</v>
      </c>
      <c r="B1722" s="1">
        <v>2025000651</v>
      </c>
      <c r="C1722" s="1" t="s">
        <v>442</v>
      </c>
      <c r="D1722" s="5">
        <v>3000000</v>
      </c>
      <c r="E1722" s="1">
        <v>1086329609</v>
      </c>
      <c r="F1722" s="1" t="s">
        <v>443</v>
      </c>
      <c r="G1722" s="1" t="s">
        <v>9</v>
      </c>
    </row>
    <row r="1723" spans="1:7" ht="15" customHeight="1" x14ac:dyDescent="0.25">
      <c r="A1723" s="13">
        <v>45786</v>
      </c>
      <c r="B1723" s="1">
        <v>2025000652</v>
      </c>
      <c r="C1723" s="1" t="s">
        <v>444</v>
      </c>
      <c r="D1723" s="5">
        <v>3000000</v>
      </c>
      <c r="E1723" s="1">
        <v>1004234290</v>
      </c>
      <c r="F1723" s="1" t="s">
        <v>237</v>
      </c>
      <c r="G1723" s="1" t="s">
        <v>9</v>
      </c>
    </row>
    <row r="1724" spans="1:7" ht="15" customHeight="1" x14ac:dyDescent="0.25">
      <c r="A1724" s="13">
        <v>45790</v>
      </c>
      <c r="B1724" s="1">
        <v>2025000668</v>
      </c>
      <c r="C1724" s="1" t="s">
        <v>445</v>
      </c>
      <c r="D1724" s="5">
        <v>4750000</v>
      </c>
      <c r="E1724" s="1">
        <v>59824313</v>
      </c>
      <c r="F1724" s="1" t="s">
        <v>151</v>
      </c>
      <c r="G1724" s="1" t="s">
        <v>9</v>
      </c>
    </row>
    <row r="1725" spans="1:7" ht="15" customHeight="1" x14ac:dyDescent="0.25">
      <c r="A1725" s="13">
        <v>45790</v>
      </c>
      <c r="B1725" s="1">
        <v>2025000669</v>
      </c>
      <c r="C1725" s="1" t="s">
        <v>446</v>
      </c>
      <c r="D1725" s="5">
        <v>4825000</v>
      </c>
      <c r="E1725" s="1">
        <v>12748383</v>
      </c>
      <c r="F1725" s="1" t="s">
        <v>447</v>
      </c>
      <c r="G1725" s="1" t="s">
        <v>9</v>
      </c>
    </row>
    <row r="1726" spans="1:7" ht="15" customHeight="1" x14ac:dyDescent="0.25">
      <c r="A1726" s="13">
        <v>45790</v>
      </c>
      <c r="B1726" s="1">
        <v>2025000683</v>
      </c>
      <c r="C1726" s="1" t="s">
        <v>448</v>
      </c>
      <c r="D1726" s="5">
        <v>3000000</v>
      </c>
      <c r="E1726" s="1">
        <v>1137624011</v>
      </c>
      <c r="F1726" s="1" t="s">
        <v>243</v>
      </c>
      <c r="G1726" s="1" t="s">
        <v>9</v>
      </c>
    </row>
    <row r="1727" spans="1:7" ht="15" customHeight="1" x14ac:dyDescent="0.25">
      <c r="A1727" s="13">
        <v>45791</v>
      </c>
      <c r="B1727" s="1">
        <v>2025000685</v>
      </c>
      <c r="C1727" s="1" t="s">
        <v>449</v>
      </c>
      <c r="D1727" s="5">
        <v>6000000</v>
      </c>
      <c r="E1727" s="1">
        <v>1082748420</v>
      </c>
      <c r="F1727" s="1" t="s">
        <v>450</v>
      </c>
      <c r="G1727" s="1" t="s">
        <v>9</v>
      </c>
    </row>
    <row r="1728" spans="1:7" ht="15" customHeight="1" x14ac:dyDescent="0.25">
      <c r="A1728" s="2">
        <v>45791</v>
      </c>
      <c r="B1728">
        <v>2025000686</v>
      </c>
      <c r="C1728" t="s">
        <v>569</v>
      </c>
      <c r="D1728" s="11">
        <v>6000000</v>
      </c>
      <c r="E1728">
        <v>1085292185</v>
      </c>
      <c r="F1728" t="s">
        <v>27</v>
      </c>
      <c r="G1728" t="s">
        <v>565</v>
      </c>
    </row>
    <row r="1729" spans="1:7" ht="15" customHeight="1" x14ac:dyDescent="0.25">
      <c r="A1729" s="13">
        <v>45791</v>
      </c>
      <c r="B1729" s="1">
        <v>2025000687</v>
      </c>
      <c r="C1729" s="1" t="s">
        <v>451</v>
      </c>
      <c r="D1729" s="5">
        <v>3000000</v>
      </c>
      <c r="E1729" s="1">
        <v>37084285</v>
      </c>
      <c r="F1729" s="1" t="s">
        <v>119</v>
      </c>
      <c r="G1729" s="1" t="s">
        <v>9</v>
      </c>
    </row>
    <row r="1730" spans="1:7" ht="15" customHeight="1" x14ac:dyDescent="0.25">
      <c r="A1730" s="13">
        <v>45791</v>
      </c>
      <c r="B1730" s="1">
        <v>2025000688</v>
      </c>
      <c r="C1730" s="1" t="s">
        <v>452</v>
      </c>
      <c r="D1730" s="5">
        <v>6000000</v>
      </c>
      <c r="E1730" s="1">
        <v>36757221</v>
      </c>
      <c r="F1730" s="1" t="s">
        <v>453</v>
      </c>
      <c r="G1730" s="1" t="s">
        <v>9</v>
      </c>
    </row>
    <row r="1731" spans="1:7" ht="15" customHeight="1" x14ac:dyDescent="0.25">
      <c r="A1731" s="13">
        <v>45791</v>
      </c>
      <c r="B1731" s="1">
        <v>2025000689</v>
      </c>
      <c r="C1731" s="1" t="s">
        <v>454</v>
      </c>
      <c r="D1731" s="5">
        <v>3000000</v>
      </c>
      <c r="E1731" s="1">
        <v>1086223299</v>
      </c>
      <c r="F1731" s="1" t="s">
        <v>455</v>
      </c>
      <c r="G1731" s="1" t="s">
        <v>9</v>
      </c>
    </row>
    <row r="1732" spans="1:7" ht="15" customHeight="1" x14ac:dyDescent="0.25">
      <c r="A1732" s="2">
        <v>45791</v>
      </c>
      <c r="B1732">
        <v>2025000690</v>
      </c>
      <c r="C1732" t="s">
        <v>570</v>
      </c>
      <c r="D1732" s="11">
        <v>4750000</v>
      </c>
      <c r="E1732">
        <v>27087475</v>
      </c>
      <c r="F1732" t="s">
        <v>571</v>
      </c>
      <c r="G1732" t="s">
        <v>565</v>
      </c>
    </row>
    <row r="1733" spans="1:7" ht="15" customHeight="1" x14ac:dyDescent="0.25">
      <c r="A1733" s="13">
        <v>45791</v>
      </c>
      <c r="B1733" s="1">
        <v>2025000691</v>
      </c>
      <c r="C1733" s="1" t="s">
        <v>456</v>
      </c>
      <c r="D1733" s="5">
        <v>6000000</v>
      </c>
      <c r="E1733" s="1">
        <v>59820414</v>
      </c>
      <c r="F1733" s="1" t="s">
        <v>457</v>
      </c>
      <c r="G1733" s="1" t="s">
        <v>9</v>
      </c>
    </row>
    <row r="1734" spans="1:7" ht="15" customHeight="1" x14ac:dyDescent="0.25">
      <c r="A1734" s="13">
        <v>45791</v>
      </c>
      <c r="B1734" s="1">
        <v>2025000692</v>
      </c>
      <c r="C1734" s="1" t="s">
        <v>458</v>
      </c>
      <c r="D1734" s="5">
        <v>3000000</v>
      </c>
      <c r="E1734" s="1">
        <v>1010082397</v>
      </c>
      <c r="F1734" s="1" t="s">
        <v>209</v>
      </c>
      <c r="G1734" s="1" t="s">
        <v>9</v>
      </c>
    </row>
    <row r="1735" spans="1:7" ht="15" customHeight="1" x14ac:dyDescent="0.25">
      <c r="A1735" s="13">
        <v>45791</v>
      </c>
      <c r="B1735" s="1">
        <v>2025000693</v>
      </c>
      <c r="C1735" s="1" t="s">
        <v>459</v>
      </c>
      <c r="D1735" s="5">
        <v>4825000</v>
      </c>
      <c r="E1735" s="1">
        <v>1085265622</v>
      </c>
      <c r="F1735" s="1" t="s">
        <v>460</v>
      </c>
      <c r="G1735" s="1" t="s">
        <v>9</v>
      </c>
    </row>
    <row r="1736" spans="1:7" ht="15" customHeight="1" x14ac:dyDescent="0.25">
      <c r="A1736" s="13">
        <v>45792</v>
      </c>
      <c r="B1736" s="1">
        <v>2025000694</v>
      </c>
      <c r="C1736" s="1" t="s">
        <v>461</v>
      </c>
      <c r="D1736" s="5">
        <v>3000000</v>
      </c>
      <c r="E1736" s="1">
        <v>1004232508</v>
      </c>
      <c r="F1736" s="1" t="s">
        <v>109</v>
      </c>
      <c r="G1736" s="1" t="s">
        <v>9</v>
      </c>
    </row>
    <row r="1737" spans="1:7" ht="15" customHeight="1" x14ac:dyDescent="0.25">
      <c r="A1737" s="13">
        <v>45792</v>
      </c>
      <c r="B1737" s="1">
        <v>2025000695</v>
      </c>
      <c r="C1737" s="1" t="s">
        <v>462</v>
      </c>
      <c r="D1737" s="5">
        <v>4750000</v>
      </c>
      <c r="E1737" s="1">
        <v>59816986</v>
      </c>
      <c r="F1737" s="1" t="s">
        <v>415</v>
      </c>
      <c r="G1737" s="1" t="s">
        <v>9</v>
      </c>
    </row>
    <row r="1738" spans="1:7" ht="15" customHeight="1" x14ac:dyDescent="0.25">
      <c r="A1738" s="13">
        <v>45792</v>
      </c>
      <c r="B1738" s="1">
        <v>2025000696</v>
      </c>
      <c r="C1738" s="1" t="s">
        <v>463</v>
      </c>
      <c r="D1738" s="5">
        <v>4750000</v>
      </c>
      <c r="E1738" s="1">
        <v>1085264667</v>
      </c>
      <c r="F1738" s="1" t="s">
        <v>464</v>
      </c>
      <c r="G1738" s="1" t="s">
        <v>9</v>
      </c>
    </row>
    <row r="1739" spans="1:7" ht="15" customHeight="1" x14ac:dyDescent="0.25">
      <c r="A1739" s="13">
        <v>45792</v>
      </c>
      <c r="B1739" s="1">
        <v>2025000697</v>
      </c>
      <c r="C1739" s="1" t="s">
        <v>465</v>
      </c>
      <c r="D1739" s="5">
        <v>3000000</v>
      </c>
      <c r="E1739" s="1">
        <v>1030606749</v>
      </c>
      <c r="F1739" s="1" t="s">
        <v>387</v>
      </c>
      <c r="G1739" s="1" t="s">
        <v>9</v>
      </c>
    </row>
    <row r="1740" spans="1:7" ht="15" customHeight="1" x14ac:dyDescent="0.25">
      <c r="A1740" s="13">
        <v>45792</v>
      </c>
      <c r="B1740" s="1">
        <v>2025000699</v>
      </c>
      <c r="C1740" s="1" t="s">
        <v>466</v>
      </c>
      <c r="D1740" s="5">
        <v>3000000</v>
      </c>
      <c r="E1740" s="1">
        <v>59833899</v>
      </c>
      <c r="F1740" s="1" t="s">
        <v>467</v>
      </c>
      <c r="G1740" s="1" t="s">
        <v>9</v>
      </c>
    </row>
    <row r="1741" spans="1:7" ht="15" customHeight="1" x14ac:dyDescent="0.25">
      <c r="A1741" s="13">
        <v>45792</v>
      </c>
      <c r="B1741" s="1">
        <v>2025000700</v>
      </c>
      <c r="C1741" s="1" t="s">
        <v>468</v>
      </c>
      <c r="D1741" s="5">
        <v>6000000</v>
      </c>
      <c r="E1741" s="1">
        <v>59837608</v>
      </c>
      <c r="F1741" s="1" t="s">
        <v>145</v>
      </c>
      <c r="G1741" s="1" t="s">
        <v>9</v>
      </c>
    </row>
    <row r="1742" spans="1:7" ht="15" customHeight="1" x14ac:dyDescent="0.25">
      <c r="A1742" s="13">
        <v>45792</v>
      </c>
      <c r="B1742" s="1">
        <v>2025000701</v>
      </c>
      <c r="C1742" s="1" t="s">
        <v>469</v>
      </c>
      <c r="D1742" s="5">
        <v>3000000</v>
      </c>
      <c r="E1742" s="1">
        <v>1086328142</v>
      </c>
      <c r="F1742" s="1" t="s">
        <v>470</v>
      </c>
      <c r="G1742" s="1" t="s">
        <v>9</v>
      </c>
    </row>
    <row r="1743" spans="1:7" ht="15" customHeight="1" x14ac:dyDescent="0.25">
      <c r="A1743" s="13">
        <v>45792</v>
      </c>
      <c r="B1743" s="1">
        <v>2025000702</v>
      </c>
      <c r="C1743" s="1" t="s">
        <v>471</v>
      </c>
      <c r="D1743" s="5">
        <v>3000000</v>
      </c>
      <c r="E1743" s="1">
        <v>1085318688</v>
      </c>
      <c r="F1743" s="1" t="s">
        <v>427</v>
      </c>
      <c r="G1743" s="1" t="s">
        <v>9</v>
      </c>
    </row>
    <row r="1744" spans="1:7" ht="15" customHeight="1" x14ac:dyDescent="0.25">
      <c r="A1744" s="13">
        <v>45793</v>
      </c>
      <c r="B1744" s="1">
        <v>2025000708</v>
      </c>
      <c r="C1744" s="1" t="s">
        <v>472</v>
      </c>
      <c r="D1744" s="5">
        <v>3000000</v>
      </c>
      <c r="E1744" s="1">
        <v>1233188273</v>
      </c>
      <c r="F1744" s="1" t="s">
        <v>473</v>
      </c>
      <c r="G1744" s="1" t="s">
        <v>9</v>
      </c>
    </row>
    <row r="1745" spans="1:7" ht="15" customHeight="1" x14ac:dyDescent="0.25">
      <c r="A1745" s="13">
        <v>45793</v>
      </c>
      <c r="B1745" s="1">
        <v>2025000709</v>
      </c>
      <c r="C1745" s="1" t="s">
        <v>474</v>
      </c>
      <c r="D1745" s="5">
        <v>4825000</v>
      </c>
      <c r="E1745" s="1">
        <v>27087851</v>
      </c>
      <c r="F1745" s="1" t="s">
        <v>177</v>
      </c>
      <c r="G1745" s="1" t="s">
        <v>9</v>
      </c>
    </row>
    <row r="1746" spans="1:7" ht="15" customHeight="1" x14ac:dyDescent="0.25">
      <c r="A1746" s="13">
        <v>45793</v>
      </c>
      <c r="B1746" s="1">
        <v>2025000710</v>
      </c>
      <c r="C1746" s="1" t="s">
        <v>475</v>
      </c>
      <c r="D1746" s="5">
        <v>3000000</v>
      </c>
      <c r="E1746" s="1">
        <v>98382500</v>
      </c>
      <c r="F1746" s="1" t="s">
        <v>183</v>
      </c>
      <c r="G1746" s="1" t="s">
        <v>9</v>
      </c>
    </row>
    <row r="1747" spans="1:7" ht="15" customHeight="1" x14ac:dyDescent="0.25">
      <c r="A1747" s="13">
        <v>45793</v>
      </c>
      <c r="B1747" s="1">
        <v>2025000711</v>
      </c>
      <c r="C1747" s="1" t="s">
        <v>438</v>
      </c>
      <c r="D1747" s="5">
        <v>4825000</v>
      </c>
      <c r="E1747" s="1">
        <v>1085267184</v>
      </c>
      <c r="F1747" s="1" t="s">
        <v>247</v>
      </c>
      <c r="G1747" s="1" t="s">
        <v>9</v>
      </c>
    </row>
    <row r="1748" spans="1:7" ht="15" customHeight="1" x14ac:dyDescent="0.25">
      <c r="A1748" s="13">
        <v>45793</v>
      </c>
      <c r="B1748" s="1">
        <v>2025000712</v>
      </c>
      <c r="C1748" s="1" t="s">
        <v>476</v>
      </c>
      <c r="D1748" s="5">
        <v>3000000</v>
      </c>
      <c r="E1748" s="1">
        <v>1004235479</v>
      </c>
      <c r="F1748" s="1" t="s">
        <v>477</v>
      </c>
      <c r="G1748" s="1" t="s">
        <v>9</v>
      </c>
    </row>
    <row r="1749" spans="1:7" ht="15" customHeight="1" x14ac:dyDescent="0.25">
      <c r="A1749" s="13">
        <v>45793</v>
      </c>
      <c r="B1749" s="1">
        <v>2025000713</v>
      </c>
      <c r="C1749" s="1" t="s">
        <v>478</v>
      </c>
      <c r="D1749" s="5">
        <v>3000000</v>
      </c>
      <c r="E1749" s="1">
        <v>1085326791</v>
      </c>
      <c r="F1749" s="1" t="s">
        <v>479</v>
      </c>
      <c r="G1749" s="1" t="s">
        <v>9</v>
      </c>
    </row>
    <row r="1750" spans="1:7" ht="15" customHeight="1" x14ac:dyDescent="0.25">
      <c r="A1750" s="13">
        <v>45793</v>
      </c>
      <c r="B1750" s="1">
        <v>2025000714</v>
      </c>
      <c r="C1750" s="1" t="s">
        <v>480</v>
      </c>
      <c r="D1750" s="5">
        <v>4750000</v>
      </c>
      <c r="E1750" s="1">
        <v>1085331141</v>
      </c>
      <c r="F1750" s="1" t="s">
        <v>481</v>
      </c>
      <c r="G1750" s="1" t="s">
        <v>9</v>
      </c>
    </row>
    <row r="1751" spans="1:7" ht="15" customHeight="1" x14ac:dyDescent="0.25">
      <c r="A1751" s="13">
        <v>45793</v>
      </c>
      <c r="B1751" s="1">
        <v>2025000715</v>
      </c>
      <c r="C1751" s="1" t="s">
        <v>482</v>
      </c>
      <c r="D1751" s="5">
        <v>2500000</v>
      </c>
      <c r="E1751" s="1">
        <v>59310145</v>
      </c>
      <c r="F1751" s="1" t="s">
        <v>129</v>
      </c>
      <c r="G1751" s="1" t="s">
        <v>9</v>
      </c>
    </row>
    <row r="1752" spans="1:7" ht="15" customHeight="1" x14ac:dyDescent="0.25">
      <c r="A1752" s="13">
        <v>45793</v>
      </c>
      <c r="B1752" s="1">
        <v>2025000716</v>
      </c>
      <c r="C1752" s="1" t="s">
        <v>483</v>
      </c>
      <c r="D1752" s="5">
        <v>4750000</v>
      </c>
      <c r="E1752" s="1">
        <v>1193383306</v>
      </c>
      <c r="F1752" s="1" t="s">
        <v>267</v>
      </c>
      <c r="G1752" s="1" t="s">
        <v>9</v>
      </c>
    </row>
    <row r="1753" spans="1:7" ht="15" customHeight="1" x14ac:dyDescent="0.25">
      <c r="A1753" s="13">
        <v>45793</v>
      </c>
      <c r="B1753" s="1">
        <v>2025000718</v>
      </c>
      <c r="C1753" s="1" t="s">
        <v>484</v>
      </c>
      <c r="D1753" s="5">
        <v>3000000</v>
      </c>
      <c r="E1753" s="1">
        <v>37083324</v>
      </c>
      <c r="F1753" s="1" t="s">
        <v>485</v>
      </c>
      <c r="G1753" s="1" t="s">
        <v>9</v>
      </c>
    </row>
    <row r="1754" spans="1:7" ht="15" customHeight="1" x14ac:dyDescent="0.25">
      <c r="A1754" s="13">
        <v>45793</v>
      </c>
      <c r="B1754" s="1">
        <v>2025000723</v>
      </c>
      <c r="C1754" s="1" t="s">
        <v>486</v>
      </c>
      <c r="D1754" s="5">
        <v>2500000</v>
      </c>
      <c r="E1754" s="1">
        <v>1085347173</v>
      </c>
      <c r="F1754" s="1" t="s">
        <v>487</v>
      </c>
      <c r="G1754" s="1" t="s">
        <v>9</v>
      </c>
    </row>
    <row r="1755" spans="1:7" ht="15" customHeight="1" x14ac:dyDescent="0.25">
      <c r="A1755" s="13">
        <v>45793</v>
      </c>
      <c r="B1755" s="1">
        <v>2025000724</v>
      </c>
      <c r="C1755" s="1" t="s">
        <v>488</v>
      </c>
      <c r="D1755" s="5">
        <v>3000000</v>
      </c>
      <c r="E1755" s="1">
        <v>1085288636</v>
      </c>
      <c r="F1755" s="1" t="s">
        <v>405</v>
      </c>
      <c r="G1755" s="1" t="s">
        <v>9</v>
      </c>
    </row>
    <row r="1756" spans="1:7" ht="15" customHeight="1" x14ac:dyDescent="0.25">
      <c r="A1756" s="13">
        <v>45793</v>
      </c>
      <c r="B1756" s="1">
        <v>2025000725</v>
      </c>
      <c r="C1756" s="1" t="s">
        <v>489</v>
      </c>
      <c r="D1756" s="5">
        <v>3000000</v>
      </c>
      <c r="E1756" s="1">
        <v>59834953</v>
      </c>
      <c r="F1756" s="1" t="s">
        <v>121</v>
      </c>
      <c r="G1756" s="1" t="s">
        <v>9</v>
      </c>
    </row>
    <row r="1757" spans="1:7" ht="15" customHeight="1" x14ac:dyDescent="0.25">
      <c r="A1757" s="13">
        <v>45793</v>
      </c>
      <c r="B1757" s="1">
        <v>2025000726</v>
      </c>
      <c r="C1757" s="1" t="s">
        <v>490</v>
      </c>
      <c r="D1757" s="5">
        <v>4750000</v>
      </c>
      <c r="E1757" s="1">
        <v>1085318684</v>
      </c>
      <c r="F1757" s="1" t="s">
        <v>355</v>
      </c>
      <c r="G1757" s="1" t="s">
        <v>9</v>
      </c>
    </row>
    <row r="1758" spans="1:7" ht="15" customHeight="1" x14ac:dyDescent="0.25">
      <c r="A1758" s="13">
        <v>45793</v>
      </c>
      <c r="B1758" s="1">
        <v>2025000727</v>
      </c>
      <c r="C1758" s="1" t="s">
        <v>491</v>
      </c>
      <c r="D1758" s="5">
        <v>3000000</v>
      </c>
      <c r="E1758" s="1">
        <v>13070330</v>
      </c>
      <c r="F1758" s="1" t="s">
        <v>101</v>
      </c>
      <c r="G1758" s="1" t="s">
        <v>9</v>
      </c>
    </row>
    <row r="1759" spans="1:7" ht="15" customHeight="1" x14ac:dyDescent="0.25">
      <c r="A1759" s="13">
        <v>45793</v>
      </c>
      <c r="B1759" s="1">
        <v>2025000728</v>
      </c>
      <c r="C1759" s="1" t="s">
        <v>492</v>
      </c>
      <c r="D1759" s="5">
        <v>4750000</v>
      </c>
      <c r="E1759" s="1">
        <v>59651018</v>
      </c>
      <c r="F1759" s="1" t="s">
        <v>493</v>
      </c>
      <c r="G1759" s="1" t="s">
        <v>9</v>
      </c>
    </row>
    <row r="1760" spans="1:7" ht="15" customHeight="1" x14ac:dyDescent="0.25">
      <c r="A1760" s="13">
        <v>45796</v>
      </c>
      <c r="B1760" s="1">
        <v>2025000729</v>
      </c>
      <c r="C1760" s="1" t="s">
        <v>494</v>
      </c>
      <c r="D1760" s="5">
        <v>3000000</v>
      </c>
      <c r="E1760" s="1">
        <v>1085317833</v>
      </c>
      <c r="F1760" s="1" t="s">
        <v>11</v>
      </c>
      <c r="G1760" s="1" t="s">
        <v>9</v>
      </c>
    </row>
    <row r="1761" spans="1:7" ht="15" customHeight="1" x14ac:dyDescent="0.25">
      <c r="A1761" s="13">
        <v>45796</v>
      </c>
      <c r="B1761" s="1">
        <v>2025000730</v>
      </c>
      <c r="C1761" s="1" t="s">
        <v>495</v>
      </c>
      <c r="D1761" s="5">
        <v>3000000</v>
      </c>
      <c r="E1761" s="1">
        <v>27436186</v>
      </c>
      <c r="F1761" s="1" t="s">
        <v>496</v>
      </c>
      <c r="G1761" s="1" t="s">
        <v>9</v>
      </c>
    </row>
    <row r="1762" spans="1:7" ht="15" customHeight="1" x14ac:dyDescent="0.25">
      <c r="A1762" s="13">
        <v>45796</v>
      </c>
      <c r="B1762" s="1">
        <v>2025000731</v>
      </c>
      <c r="C1762" s="1" t="s">
        <v>497</v>
      </c>
      <c r="D1762" s="5">
        <v>4750000</v>
      </c>
      <c r="E1762" s="1">
        <v>59312865</v>
      </c>
      <c r="F1762" s="1" t="s">
        <v>127</v>
      </c>
      <c r="G1762" s="1" t="s">
        <v>9</v>
      </c>
    </row>
    <row r="1763" spans="1:7" ht="15" customHeight="1" x14ac:dyDescent="0.25">
      <c r="A1763" s="13">
        <v>45796</v>
      </c>
      <c r="B1763" s="1">
        <v>2025000732</v>
      </c>
      <c r="C1763" s="1" t="s">
        <v>498</v>
      </c>
      <c r="D1763" s="5">
        <v>3000000</v>
      </c>
      <c r="E1763" s="1">
        <v>98391531</v>
      </c>
      <c r="F1763" s="1" t="s">
        <v>499</v>
      </c>
      <c r="G1763" s="1" t="s">
        <v>9</v>
      </c>
    </row>
    <row r="1764" spans="1:7" ht="15" customHeight="1" x14ac:dyDescent="0.25">
      <c r="A1764" s="13">
        <v>45796</v>
      </c>
      <c r="B1764" s="1">
        <v>2025000733</v>
      </c>
      <c r="C1764" s="1" t="s">
        <v>500</v>
      </c>
      <c r="D1764" s="5">
        <v>4750000</v>
      </c>
      <c r="E1764" s="1">
        <v>1085303067</v>
      </c>
      <c r="F1764" s="1" t="s">
        <v>105</v>
      </c>
      <c r="G1764" s="1" t="s">
        <v>9</v>
      </c>
    </row>
    <row r="1765" spans="1:7" ht="15" customHeight="1" x14ac:dyDescent="0.25">
      <c r="A1765" s="13">
        <v>45796</v>
      </c>
      <c r="B1765" s="1">
        <v>2025000734</v>
      </c>
      <c r="C1765" s="1" t="s">
        <v>501</v>
      </c>
      <c r="D1765" s="5">
        <v>7500000</v>
      </c>
      <c r="E1765" s="1">
        <v>1006946167</v>
      </c>
      <c r="F1765" s="1" t="s">
        <v>63</v>
      </c>
      <c r="G1765" s="1" t="s">
        <v>9</v>
      </c>
    </row>
    <row r="1766" spans="1:7" ht="15" customHeight="1" x14ac:dyDescent="0.25">
      <c r="A1766" s="13">
        <v>45796</v>
      </c>
      <c r="B1766" s="1">
        <v>2025000735</v>
      </c>
      <c r="C1766" s="1" t="s">
        <v>502</v>
      </c>
      <c r="D1766" s="5">
        <v>6000000</v>
      </c>
      <c r="E1766" s="1">
        <v>1085248939</v>
      </c>
      <c r="F1766" s="1" t="s">
        <v>437</v>
      </c>
      <c r="G1766" s="1" t="s">
        <v>9</v>
      </c>
    </row>
    <row r="1767" spans="1:7" ht="15" customHeight="1" x14ac:dyDescent="0.25">
      <c r="A1767" s="13">
        <v>45796</v>
      </c>
      <c r="B1767" s="1">
        <v>2025000736</v>
      </c>
      <c r="C1767" s="1" t="s">
        <v>503</v>
      </c>
      <c r="D1767" s="5">
        <v>3000000</v>
      </c>
      <c r="E1767" s="1">
        <v>30743783</v>
      </c>
      <c r="F1767" s="1" t="s">
        <v>504</v>
      </c>
      <c r="G1767" s="1" t="s">
        <v>9</v>
      </c>
    </row>
    <row r="1768" spans="1:7" ht="15" customHeight="1" x14ac:dyDescent="0.25">
      <c r="A1768" s="13">
        <v>45796</v>
      </c>
      <c r="B1768" s="1">
        <v>2025000737</v>
      </c>
      <c r="C1768" s="1" t="s">
        <v>505</v>
      </c>
      <c r="D1768" s="5">
        <v>3000000</v>
      </c>
      <c r="E1768" s="1">
        <v>1085286742</v>
      </c>
      <c r="F1768" s="1" t="s">
        <v>75</v>
      </c>
      <c r="G1768" s="1" t="s">
        <v>9</v>
      </c>
    </row>
    <row r="1769" spans="1:7" ht="15" customHeight="1" x14ac:dyDescent="0.25">
      <c r="A1769" s="13">
        <v>45796</v>
      </c>
      <c r="B1769" s="1">
        <v>2025000738</v>
      </c>
      <c r="C1769" s="1" t="s">
        <v>506</v>
      </c>
      <c r="D1769" s="5">
        <v>3000000</v>
      </c>
      <c r="E1769" s="1">
        <v>1004535234</v>
      </c>
      <c r="F1769" s="1" t="s">
        <v>507</v>
      </c>
      <c r="G1769" s="1" t="s">
        <v>9</v>
      </c>
    </row>
    <row r="1770" spans="1:7" ht="15" customHeight="1" x14ac:dyDescent="0.25">
      <c r="A1770" s="13">
        <v>45796</v>
      </c>
      <c r="B1770" s="1">
        <v>2025000739</v>
      </c>
      <c r="C1770" s="1" t="s">
        <v>508</v>
      </c>
      <c r="D1770" s="5">
        <v>4825000</v>
      </c>
      <c r="E1770" s="1">
        <v>1085324891</v>
      </c>
      <c r="F1770" s="1" t="s">
        <v>509</v>
      </c>
      <c r="G1770" s="1" t="s">
        <v>9</v>
      </c>
    </row>
    <row r="1771" spans="1:7" ht="15" customHeight="1" x14ac:dyDescent="0.25">
      <c r="A1771" s="13">
        <v>45796</v>
      </c>
      <c r="B1771" s="1">
        <v>2025000740</v>
      </c>
      <c r="C1771" s="1" t="s">
        <v>510</v>
      </c>
      <c r="D1771" s="5">
        <v>3000000</v>
      </c>
      <c r="E1771" s="1">
        <v>1004216993</v>
      </c>
      <c r="F1771" s="1" t="s">
        <v>511</v>
      </c>
      <c r="G1771" s="1" t="s">
        <v>9</v>
      </c>
    </row>
    <row r="1772" spans="1:7" ht="15" customHeight="1" x14ac:dyDescent="0.25">
      <c r="A1772" s="13">
        <v>45796</v>
      </c>
      <c r="B1772" s="1">
        <v>2025000741</v>
      </c>
      <c r="C1772" s="1" t="s">
        <v>512</v>
      </c>
      <c r="D1772" s="5">
        <v>4750000</v>
      </c>
      <c r="E1772" s="1">
        <v>1085313870</v>
      </c>
      <c r="F1772" s="1" t="s">
        <v>513</v>
      </c>
      <c r="G1772" s="1" t="s">
        <v>9</v>
      </c>
    </row>
    <row r="1773" spans="1:7" ht="15" customHeight="1" x14ac:dyDescent="0.25">
      <c r="A1773" s="13">
        <v>45796</v>
      </c>
      <c r="B1773" s="1">
        <v>2025000742</v>
      </c>
      <c r="C1773" s="1" t="s">
        <v>514</v>
      </c>
      <c r="D1773" s="5">
        <v>4825000</v>
      </c>
      <c r="E1773" s="1">
        <v>27088141</v>
      </c>
      <c r="F1773" s="1" t="s">
        <v>515</v>
      </c>
      <c r="G1773" s="1" t="s">
        <v>9</v>
      </c>
    </row>
    <row r="1774" spans="1:7" ht="15" customHeight="1" x14ac:dyDescent="0.25">
      <c r="A1774" s="13">
        <v>45797</v>
      </c>
      <c r="B1774" s="1">
        <v>2025000744</v>
      </c>
      <c r="C1774" s="1" t="s">
        <v>516</v>
      </c>
      <c r="D1774" s="5">
        <v>2500000</v>
      </c>
      <c r="E1774" s="1">
        <v>1085318898</v>
      </c>
      <c r="F1774" s="1" t="s">
        <v>517</v>
      </c>
      <c r="G1774" s="1" t="s">
        <v>9</v>
      </c>
    </row>
    <row r="1775" spans="1:7" ht="15" customHeight="1" x14ac:dyDescent="0.25">
      <c r="A1775" s="13">
        <v>45797</v>
      </c>
      <c r="B1775" s="1">
        <v>2025000745</v>
      </c>
      <c r="C1775" s="1" t="s">
        <v>518</v>
      </c>
      <c r="D1775" s="5">
        <v>3000000</v>
      </c>
      <c r="E1775" s="1">
        <v>27097289</v>
      </c>
      <c r="F1775" s="1" t="s">
        <v>49</v>
      </c>
      <c r="G1775" s="1" t="s">
        <v>9</v>
      </c>
    </row>
    <row r="1776" spans="1:7" ht="15" customHeight="1" x14ac:dyDescent="0.25">
      <c r="A1776" s="13">
        <v>45797</v>
      </c>
      <c r="B1776" s="1">
        <v>2025000746</v>
      </c>
      <c r="C1776" s="1" t="s">
        <v>519</v>
      </c>
      <c r="D1776" s="5">
        <v>2500000</v>
      </c>
      <c r="E1776" s="1">
        <v>37087268</v>
      </c>
      <c r="F1776" s="1" t="s">
        <v>257</v>
      </c>
      <c r="G1776" s="1" t="s">
        <v>9</v>
      </c>
    </row>
    <row r="1777" spans="1:7" ht="15" customHeight="1" x14ac:dyDescent="0.25">
      <c r="A1777" s="13">
        <v>45797</v>
      </c>
      <c r="B1777" s="1">
        <v>2025000747</v>
      </c>
      <c r="C1777" s="1" t="s">
        <v>520</v>
      </c>
      <c r="D1777" s="5">
        <v>7500000</v>
      </c>
      <c r="E1777" s="1">
        <v>87067123</v>
      </c>
      <c r="F1777" s="1" t="s">
        <v>521</v>
      </c>
      <c r="G1777" s="1" t="s">
        <v>9</v>
      </c>
    </row>
    <row r="1778" spans="1:7" ht="15" customHeight="1" x14ac:dyDescent="0.25">
      <c r="A1778" s="13">
        <v>45797</v>
      </c>
      <c r="B1778" s="1">
        <v>2025000748</v>
      </c>
      <c r="C1778" s="1" t="s">
        <v>522</v>
      </c>
      <c r="D1778" s="5">
        <v>3000000</v>
      </c>
      <c r="E1778" s="1">
        <v>1233191675</v>
      </c>
      <c r="F1778" s="1" t="s">
        <v>523</v>
      </c>
      <c r="G1778" s="1" t="s">
        <v>9</v>
      </c>
    </row>
    <row r="1779" spans="1:7" ht="15" customHeight="1" x14ac:dyDescent="0.25">
      <c r="A1779" s="13">
        <v>45797</v>
      </c>
      <c r="B1779" s="1">
        <v>2025000749</v>
      </c>
      <c r="C1779" s="1" t="s">
        <v>524</v>
      </c>
      <c r="D1779" s="5">
        <v>3000000</v>
      </c>
      <c r="E1779" s="1">
        <v>27388522</v>
      </c>
      <c r="F1779" s="1" t="s">
        <v>525</v>
      </c>
      <c r="G1779" s="1" t="s">
        <v>9</v>
      </c>
    </row>
    <row r="1780" spans="1:7" ht="15" customHeight="1" x14ac:dyDescent="0.25">
      <c r="A1780" s="13">
        <v>45797</v>
      </c>
      <c r="B1780" s="1">
        <v>2025000750</v>
      </c>
      <c r="C1780" s="1" t="s">
        <v>526</v>
      </c>
      <c r="D1780" s="5">
        <v>6000000</v>
      </c>
      <c r="E1780" s="1">
        <v>1085275879</v>
      </c>
      <c r="F1780" s="1" t="s">
        <v>117</v>
      </c>
      <c r="G1780" s="1" t="s">
        <v>9</v>
      </c>
    </row>
    <row r="1781" spans="1:7" ht="15" customHeight="1" x14ac:dyDescent="0.25">
      <c r="A1781" s="13">
        <v>45797</v>
      </c>
      <c r="B1781" s="1">
        <v>2025000751</v>
      </c>
      <c r="C1781" s="1" t="s">
        <v>527</v>
      </c>
      <c r="D1781" s="5">
        <v>2500000</v>
      </c>
      <c r="E1781" s="1">
        <v>59821094</v>
      </c>
      <c r="F1781" s="1" t="s">
        <v>528</v>
      </c>
      <c r="G1781" s="1" t="s">
        <v>9</v>
      </c>
    </row>
    <row r="1782" spans="1:7" ht="15" customHeight="1" x14ac:dyDescent="0.25">
      <c r="A1782" s="13">
        <v>45797</v>
      </c>
      <c r="B1782" s="1">
        <v>2025000752</v>
      </c>
      <c r="C1782" s="1" t="s">
        <v>529</v>
      </c>
      <c r="D1782" s="5">
        <v>4750000</v>
      </c>
      <c r="E1782" s="1">
        <v>27190772</v>
      </c>
      <c r="F1782" s="1" t="s">
        <v>530</v>
      </c>
      <c r="G1782" s="1" t="s">
        <v>9</v>
      </c>
    </row>
    <row r="1783" spans="1:7" ht="15" customHeight="1" x14ac:dyDescent="0.25">
      <c r="A1783" s="13">
        <v>45797</v>
      </c>
      <c r="B1783" s="1">
        <v>2025000753</v>
      </c>
      <c r="C1783" s="1" t="s">
        <v>531</v>
      </c>
      <c r="D1783" s="5">
        <v>4750000</v>
      </c>
      <c r="E1783" s="1">
        <v>13069636</v>
      </c>
      <c r="F1783" s="1" t="s">
        <v>532</v>
      </c>
      <c r="G1783" s="1" t="s">
        <v>9</v>
      </c>
    </row>
    <row r="1784" spans="1:7" ht="15" customHeight="1" x14ac:dyDescent="0.25">
      <c r="A1784" s="13">
        <v>45797</v>
      </c>
      <c r="B1784" s="1">
        <v>2025000754</v>
      </c>
      <c r="C1784" s="1" t="s">
        <v>533</v>
      </c>
      <c r="D1784" s="5">
        <v>2500000</v>
      </c>
      <c r="E1784" s="1">
        <v>12974849</v>
      </c>
      <c r="F1784" s="1" t="s">
        <v>51</v>
      </c>
      <c r="G1784" s="1" t="s">
        <v>9</v>
      </c>
    </row>
    <row r="1785" spans="1:7" ht="15" customHeight="1" x14ac:dyDescent="0.25">
      <c r="A1785" s="2">
        <v>45797</v>
      </c>
      <c r="B1785">
        <v>2025000755</v>
      </c>
      <c r="C1785" t="s">
        <v>572</v>
      </c>
      <c r="D1785" s="11">
        <v>80825000</v>
      </c>
      <c r="E1785">
        <v>900633448</v>
      </c>
      <c r="F1785" t="s">
        <v>165</v>
      </c>
      <c r="G1785" t="s">
        <v>565</v>
      </c>
    </row>
    <row r="1786" spans="1:7" ht="15" customHeight="1" x14ac:dyDescent="0.25">
      <c r="A1786" s="13">
        <v>45797</v>
      </c>
      <c r="B1786" s="1">
        <v>2025000756</v>
      </c>
      <c r="C1786" s="1" t="s">
        <v>534</v>
      </c>
      <c r="D1786" s="5">
        <v>3000000</v>
      </c>
      <c r="E1786" s="1">
        <v>1081592303</v>
      </c>
      <c r="F1786" s="1" t="s">
        <v>353</v>
      </c>
      <c r="G1786" s="1" t="s">
        <v>9</v>
      </c>
    </row>
    <row r="1787" spans="1:7" ht="15" customHeight="1" x14ac:dyDescent="0.25">
      <c r="A1787" s="13">
        <v>45797</v>
      </c>
      <c r="B1787" s="1">
        <v>2025000757</v>
      </c>
      <c r="C1787" s="1" t="s">
        <v>535</v>
      </c>
      <c r="D1787" s="5">
        <v>4750000</v>
      </c>
      <c r="E1787" s="1">
        <v>1085260497</v>
      </c>
      <c r="F1787" s="1" t="s">
        <v>429</v>
      </c>
      <c r="G1787" s="1" t="s">
        <v>9</v>
      </c>
    </row>
    <row r="1788" spans="1:7" ht="15" customHeight="1" x14ac:dyDescent="0.25">
      <c r="A1788" s="13">
        <v>45798</v>
      </c>
      <c r="B1788" s="1">
        <v>2025000761</v>
      </c>
      <c r="C1788" s="1" t="s">
        <v>536</v>
      </c>
      <c r="D1788" s="5">
        <v>6000000</v>
      </c>
      <c r="E1788" s="1">
        <v>97470681</v>
      </c>
      <c r="F1788" s="1" t="s">
        <v>329</v>
      </c>
      <c r="G1788" s="1" t="s">
        <v>9</v>
      </c>
    </row>
    <row r="1789" spans="1:7" ht="15" customHeight="1" x14ac:dyDescent="0.25">
      <c r="A1789" s="2">
        <v>45798</v>
      </c>
      <c r="B1789">
        <v>2025000762</v>
      </c>
      <c r="C1789" t="s">
        <v>573</v>
      </c>
      <c r="D1789" s="11">
        <v>3000000</v>
      </c>
      <c r="E1789">
        <v>1085286725</v>
      </c>
      <c r="F1789" t="s">
        <v>111</v>
      </c>
      <c r="G1789" t="s">
        <v>565</v>
      </c>
    </row>
    <row r="1790" spans="1:7" ht="15" customHeight="1" x14ac:dyDescent="0.25">
      <c r="A1790" s="13">
        <v>45798</v>
      </c>
      <c r="B1790" s="1">
        <v>2025000763</v>
      </c>
      <c r="C1790" s="1" t="s">
        <v>537</v>
      </c>
      <c r="D1790" s="5">
        <v>3000000</v>
      </c>
      <c r="E1790" s="1">
        <v>1085252263</v>
      </c>
      <c r="F1790" s="1" t="s">
        <v>33</v>
      </c>
      <c r="G1790" s="1" t="s">
        <v>9</v>
      </c>
    </row>
    <row r="1791" spans="1:7" ht="15" customHeight="1" x14ac:dyDescent="0.25">
      <c r="A1791" s="13">
        <v>45798</v>
      </c>
      <c r="B1791" s="1">
        <v>2025000764</v>
      </c>
      <c r="C1791" s="1" t="s">
        <v>538</v>
      </c>
      <c r="D1791" s="5">
        <v>2500000</v>
      </c>
      <c r="E1791" s="1">
        <v>27087720</v>
      </c>
      <c r="F1791" s="1" t="s">
        <v>539</v>
      </c>
      <c r="G1791" s="1" t="s">
        <v>9</v>
      </c>
    </row>
    <row r="1792" spans="1:7" ht="15" customHeight="1" x14ac:dyDescent="0.25">
      <c r="A1792" s="13">
        <v>45799</v>
      </c>
      <c r="B1792" s="1">
        <v>2025000767</v>
      </c>
      <c r="C1792" s="1" t="s">
        <v>540</v>
      </c>
      <c r="D1792" s="5">
        <v>3000000</v>
      </c>
      <c r="E1792" s="1">
        <v>1089243630</v>
      </c>
      <c r="F1792" s="1" t="s">
        <v>197</v>
      </c>
      <c r="G1792" s="1" t="s">
        <v>9</v>
      </c>
    </row>
    <row r="1793" spans="1:7" ht="15" customHeight="1" x14ac:dyDescent="0.25">
      <c r="A1793" s="13">
        <v>45799</v>
      </c>
      <c r="B1793" s="1">
        <v>2025000768</v>
      </c>
      <c r="C1793" s="1" t="s">
        <v>541</v>
      </c>
      <c r="D1793" s="5">
        <v>2500000</v>
      </c>
      <c r="E1793" s="1">
        <v>1085320930</v>
      </c>
      <c r="F1793" s="1" t="s">
        <v>259</v>
      </c>
      <c r="G1793" s="1" t="s">
        <v>9</v>
      </c>
    </row>
    <row r="1794" spans="1:7" ht="15" customHeight="1" x14ac:dyDescent="0.25">
      <c r="A1794" s="13">
        <v>45799</v>
      </c>
      <c r="B1794" s="1">
        <v>2025000769</v>
      </c>
      <c r="C1794" s="1" t="s">
        <v>542</v>
      </c>
      <c r="D1794" s="5">
        <v>2500000</v>
      </c>
      <c r="E1794" s="1">
        <v>1088729401</v>
      </c>
      <c r="F1794" s="1" t="s">
        <v>543</v>
      </c>
      <c r="G1794" s="1" t="s">
        <v>9</v>
      </c>
    </row>
    <row r="1795" spans="1:7" ht="15" customHeight="1" x14ac:dyDescent="0.25">
      <c r="A1795" s="13">
        <v>45800</v>
      </c>
      <c r="B1795" s="1">
        <v>2025000770</v>
      </c>
      <c r="C1795" s="1" t="s">
        <v>544</v>
      </c>
      <c r="D1795" s="5">
        <v>4750000</v>
      </c>
      <c r="E1795" s="1">
        <v>1085345772</v>
      </c>
      <c r="F1795" s="1" t="s">
        <v>221</v>
      </c>
      <c r="G1795" s="1" t="s">
        <v>9</v>
      </c>
    </row>
    <row r="1796" spans="1:7" ht="15" customHeight="1" x14ac:dyDescent="0.25">
      <c r="A1796" s="13">
        <v>45800</v>
      </c>
      <c r="B1796" s="1">
        <v>2025000771</v>
      </c>
      <c r="C1796" s="1" t="s">
        <v>545</v>
      </c>
      <c r="D1796" s="5">
        <v>3000000</v>
      </c>
      <c r="E1796" s="1">
        <v>13069881</v>
      </c>
      <c r="F1796" s="1" t="s">
        <v>546</v>
      </c>
      <c r="G1796" s="1" t="s">
        <v>9</v>
      </c>
    </row>
    <row r="1797" spans="1:7" ht="15" customHeight="1" x14ac:dyDescent="0.25">
      <c r="A1797" s="13">
        <v>45800</v>
      </c>
      <c r="B1797" s="1">
        <v>2025000772</v>
      </c>
      <c r="C1797" s="1" t="s">
        <v>547</v>
      </c>
      <c r="D1797" s="5">
        <v>3000000</v>
      </c>
      <c r="E1797" s="1">
        <v>1082747438</v>
      </c>
      <c r="F1797" s="1" t="s">
        <v>548</v>
      </c>
      <c r="G1797" s="1" t="s">
        <v>9</v>
      </c>
    </row>
    <row r="1798" spans="1:7" ht="15" customHeight="1" x14ac:dyDescent="0.25">
      <c r="A1798" s="13">
        <v>45800</v>
      </c>
      <c r="B1798" s="1">
        <v>2025000773</v>
      </c>
      <c r="C1798" s="1" t="s">
        <v>549</v>
      </c>
      <c r="D1798" s="5">
        <v>2500000</v>
      </c>
      <c r="E1798" s="1">
        <v>1233189896</v>
      </c>
      <c r="F1798" s="1" t="s">
        <v>279</v>
      </c>
      <c r="G1798" s="1" t="s">
        <v>9</v>
      </c>
    </row>
    <row r="1799" spans="1:7" ht="15" customHeight="1" x14ac:dyDescent="0.25">
      <c r="A1799" s="13">
        <v>45803</v>
      </c>
      <c r="B1799" s="1">
        <v>2025000784</v>
      </c>
      <c r="C1799" s="1" t="s">
        <v>550</v>
      </c>
      <c r="D1799" s="5">
        <v>700000</v>
      </c>
      <c r="E1799" s="1">
        <v>69028150</v>
      </c>
      <c r="F1799" s="1" t="s">
        <v>171</v>
      </c>
      <c r="G1799" s="1" t="s">
        <v>9</v>
      </c>
    </row>
    <row r="1800" spans="1:7" ht="15" customHeight="1" x14ac:dyDescent="0.25">
      <c r="A1800" s="13">
        <v>45803</v>
      </c>
      <c r="B1800" s="1">
        <v>2025000785</v>
      </c>
      <c r="C1800" s="1" t="s">
        <v>551</v>
      </c>
      <c r="D1800" s="5">
        <v>3000000</v>
      </c>
      <c r="E1800" s="1">
        <v>1004598784</v>
      </c>
      <c r="F1800" s="1" t="s">
        <v>552</v>
      </c>
      <c r="G1800" s="1" t="s">
        <v>9</v>
      </c>
    </row>
    <row r="1801" spans="1:7" ht="15" customHeight="1" x14ac:dyDescent="0.25">
      <c r="A1801" s="13">
        <v>45803</v>
      </c>
      <c r="B1801" s="1">
        <v>2025000786</v>
      </c>
      <c r="C1801" s="1" t="s">
        <v>553</v>
      </c>
      <c r="D1801" s="5">
        <v>3000000</v>
      </c>
      <c r="E1801" s="1">
        <v>1085339190</v>
      </c>
      <c r="F1801" s="1" t="s">
        <v>149</v>
      </c>
      <c r="G1801" s="1" t="s">
        <v>9</v>
      </c>
    </row>
    <row r="1802" spans="1:7" ht="15" customHeight="1" x14ac:dyDescent="0.25">
      <c r="A1802" s="13">
        <v>45803</v>
      </c>
      <c r="B1802" s="1">
        <v>2025000787</v>
      </c>
      <c r="C1802" s="1" t="s">
        <v>554</v>
      </c>
      <c r="D1802" s="5">
        <v>3000000</v>
      </c>
      <c r="E1802" s="1">
        <v>1081572043</v>
      </c>
      <c r="F1802" s="1" t="s">
        <v>555</v>
      </c>
      <c r="G1802" s="1" t="s">
        <v>9</v>
      </c>
    </row>
    <row r="1803" spans="1:7" ht="15" customHeight="1" x14ac:dyDescent="0.25">
      <c r="A1803" s="2">
        <v>45805</v>
      </c>
      <c r="B1803">
        <v>2025000792</v>
      </c>
      <c r="C1803" t="s">
        <v>574</v>
      </c>
      <c r="D1803" s="11">
        <v>73000000</v>
      </c>
      <c r="E1803">
        <v>900994364</v>
      </c>
      <c r="F1803" t="s">
        <v>269</v>
      </c>
      <c r="G1803" t="s">
        <v>565</v>
      </c>
    </row>
    <row r="1804" spans="1:7" ht="15" customHeight="1" x14ac:dyDescent="0.25">
      <c r="A1804" s="2">
        <v>45805</v>
      </c>
      <c r="B1804">
        <v>2025000793</v>
      </c>
      <c r="C1804" t="s">
        <v>575</v>
      </c>
      <c r="D1804" s="11">
        <v>53823767</v>
      </c>
      <c r="E1804">
        <v>900994364</v>
      </c>
      <c r="F1804" t="s">
        <v>269</v>
      </c>
      <c r="G1804" t="s">
        <v>565</v>
      </c>
    </row>
    <row r="1805" spans="1:7" ht="15" customHeight="1" x14ac:dyDescent="0.25">
      <c r="A1805" s="2">
        <v>45806</v>
      </c>
      <c r="B1805">
        <v>2025000795</v>
      </c>
      <c r="C1805" t="s">
        <v>576</v>
      </c>
      <c r="D1805" s="11">
        <v>600000</v>
      </c>
      <c r="E1805">
        <v>59813323</v>
      </c>
      <c r="F1805" t="s">
        <v>103</v>
      </c>
      <c r="G1805" t="s">
        <v>565</v>
      </c>
    </row>
    <row r="1806" spans="1:7" ht="15" customHeight="1" x14ac:dyDescent="0.25">
      <c r="A1806" s="13">
        <v>45807</v>
      </c>
      <c r="B1806" s="1">
        <v>2025000797</v>
      </c>
      <c r="C1806" s="1" t="s">
        <v>556</v>
      </c>
      <c r="D1806" s="5">
        <v>2500000</v>
      </c>
      <c r="E1806" s="1">
        <v>30736949</v>
      </c>
      <c r="F1806" s="1" t="s">
        <v>557</v>
      </c>
      <c r="G1806" s="1" t="s">
        <v>9</v>
      </c>
    </row>
    <row r="1807" spans="1:7" ht="15" customHeight="1" x14ac:dyDescent="0.25">
      <c r="A1807" s="2">
        <v>45812</v>
      </c>
      <c r="B1807">
        <v>2025000814</v>
      </c>
      <c r="C1807" t="s">
        <v>577</v>
      </c>
      <c r="D1807" s="11">
        <v>2500000</v>
      </c>
      <c r="E1807">
        <v>1233188479</v>
      </c>
      <c r="F1807" t="s">
        <v>578</v>
      </c>
      <c r="G1807" t="s">
        <v>565</v>
      </c>
    </row>
    <row r="1808" spans="1:7" ht="15" customHeight="1" x14ac:dyDescent="0.25">
      <c r="A1808" s="2">
        <v>45813</v>
      </c>
      <c r="B1808">
        <v>2025000833</v>
      </c>
      <c r="C1808" t="s">
        <v>579</v>
      </c>
      <c r="D1808" s="11">
        <v>600000</v>
      </c>
      <c r="E1808">
        <v>1004437571</v>
      </c>
      <c r="F1808" t="s">
        <v>580</v>
      </c>
      <c r="G1808" t="s">
        <v>565</v>
      </c>
    </row>
    <row r="1809" spans="1:7" ht="15" customHeight="1" x14ac:dyDescent="0.25">
      <c r="A1809" s="2">
        <v>45824</v>
      </c>
      <c r="B1809">
        <v>2025000948</v>
      </c>
      <c r="C1809" t="s">
        <v>581</v>
      </c>
      <c r="D1809" s="11">
        <v>2500000</v>
      </c>
      <c r="E1809">
        <v>1081052090</v>
      </c>
      <c r="F1809" t="s">
        <v>319</v>
      </c>
      <c r="G1809" t="s">
        <v>565</v>
      </c>
    </row>
    <row r="1810" spans="1:7" ht="15" customHeight="1" x14ac:dyDescent="0.25">
      <c r="A1810" s="13">
        <v>45826</v>
      </c>
      <c r="B1810" s="1">
        <v>2025000957</v>
      </c>
      <c r="C1810" s="1" t="s">
        <v>471</v>
      </c>
      <c r="D1810" s="5">
        <v>3000000</v>
      </c>
      <c r="E1810" s="1">
        <v>1085318688</v>
      </c>
      <c r="F1810" s="1" t="s">
        <v>427</v>
      </c>
      <c r="G1810" s="1" t="s">
        <v>9</v>
      </c>
    </row>
    <row r="1811" spans="1:7" ht="15" customHeight="1" x14ac:dyDescent="0.25">
      <c r="A1811" s="13">
        <v>45826</v>
      </c>
      <c r="B1811" s="1">
        <v>2025000958</v>
      </c>
      <c r="C1811" s="1" t="s">
        <v>465</v>
      </c>
      <c r="D1811" s="5">
        <v>3000000</v>
      </c>
      <c r="E1811" s="1">
        <v>1030606749</v>
      </c>
      <c r="F1811" s="1" t="s">
        <v>387</v>
      </c>
      <c r="G1811" s="1" t="s">
        <v>9</v>
      </c>
    </row>
    <row r="1812" spans="1:7" ht="15" customHeight="1" x14ac:dyDescent="0.25">
      <c r="A1812" s="13">
        <v>45826</v>
      </c>
      <c r="B1812" s="1">
        <v>2025000959</v>
      </c>
      <c r="C1812" s="1" t="s">
        <v>469</v>
      </c>
      <c r="D1812" s="5">
        <v>3000000</v>
      </c>
      <c r="E1812" s="1">
        <v>1086328142</v>
      </c>
      <c r="F1812" s="1" t="s">
        <v>470</v>
      </c>
      <c r="G1812" s="1" t="s">
        <v>9</v>
      </c>
    </row>
    <row r="1813" spans="1:7" ht="15" customHeight="1" x14ac:dyDescent="0.25">
      <c r="A1813" s="13">
        <v>45826</v>
      </c>
      <c r="B1813" s="1">
        <v>2025000960</v>
      </c>
      <c r="C1813" s="1" t="s">
        <v>466</v>
      </c>
      <c r="D1813" s="5">
        <v>3000000</v>
      </c>
      <c r="E1813" s="1">
        <v>59833899</v>
      </c>
      <c r="F1813" s="1" t="s">
        <v>467</v>
      </c>
      <c r="G1813" s="1" t="s">
        <v>9</v>
      </c>
    </row>
    <row r="1814" spans="1:7" ht="15" customHeight="1" x14ac:dyDescent="0.25">
      <c r="A1814" s="2">
        <v>45826</v>
      </c>
      <c r="B1814">
        <v>2025000972</v>
      </c>
      <c r="C1814" t="s">
        <v>575</v>
      </c>
      <c r="D1814" s="11">
        <v>53181733</v>
      </c>
      <c r="E1814">
        <v>900994364</v>
      </c>
      <c r="F1814" t="s">
        <v>269</v>
      </c>
      <c r="G1814" t="s">
        <v>565</v>
      </c>
    </row>
    <row r="1815" spans="1:7" ht="15" customHeight="1" x14ac:dyDescent="0.25">
      <c r="A1815" s="2">
        <v>45828</v>
      </c>
      <c r="B1815">
        <v>2025001006</v>
      </c>
      <c r="C1815" t="s">
        <v>574</v>
      </c>
      <c r="D1815" s="11">
        <v>73000000</v>
      </c>
      <c r="E1815">
        <v>900994364</v>
      </c>
      <c r="F1815" t="s">
        <v>269</v>
      </c>
      <c r="G1815" t="s">
        <v>565</v>
      </c>
    </row>
    <row r="1816" spans="1:7" ht="15" customHeight="1" x14ac:dyDescent="0.25">
      <c r="A1816" s="13">
        <v>45828</v>
      </c>
      <c r="B1816" s="1">
        <v>2025001007</v>
      </c>
      <c r="C1816" s="1" t="s">
        <v>518</v>
      </c>
      <c r="D1816" s="5">
        <v>6000000</v>
      </c>
      <c r="E1816" s="1">
        <v>27097289</v>
      </c>
      <c r="F1816" s="1" t="s">
        <v>49</v>
      </c>
      <c r="G1816" s="1" t="s">
        <v>9</v>
      </c>
    </row>
    <row r="1817" spans="1:7" ht="15" customHeight="1" x14ac:dyDescent="0.25">
      <c r="A1817" s="13">
        <v>45828</v>
      </c>
      <c r="B1817" s="1">
        <v>2025001008</v>
      </c>
      <c r="C1817" s="1" t="s">
        <v>516</v>
      </c>
      <c r="D1817" s="5">
        <v>2500000</v>
      </c>
      <c r="E1817" s="1">
        <v>1085318898</v>
      </c>
      <c r="F1817" s="1" t="s">
        <v>517</v>
      </c>
      <c r="G1817" s="1" t="s">
        <v>9</v>
      </c>
    </row>
    <row r="1818" spans="1:7" ht="15" customHeight="1" x14ac:dyDescent="0.25">
      <c r="A1818" s="13">
        <v>45828</v>
      </c>
      <c r="B1818" s="1">
        <v>2025001009</v>
      </c>
      <c r="C1818" s="1" t="s">
        <v>483</v>
      </c>
      <c r="D1818" s="5">
        <v>4750000</v>
      </c>
      <c r="E1818" s="1">
        <v>1193383306</v>
      </c>
      <c r="F1818" s="1" t="s">
        <v>267</v>
      </c>
      <c r="G1818" s="1" t="s">
        <v>9</v>
      </c>
    </row>
    <row r="1819" spans="1:7" ht="15" customHeight="1" x14ac:dyDescent="0.25">
      <c r="A1819" s="13">
        <v>45828</v>
      </c>
      <c r="B1819" s="1">
        <v>2025001010</v>
      </c>
      <c r="C1819" s="1" t="s">
        <v>448</v>
      </c>
      <c r="D1819" s="5">
        <v>3000000</v>
      </c>
      <c r="E1819" s="1">
        <v>1137624011</v>
      </c>
      <c r="F1819" s="1" t="s">
        <v>243</v>
      </c>
      <c r="G1819" s="1" t="s">
        <v>9</v>
      </c>
    </row>
    <row r="1820" spans="1:7" ht="15" customHeight="1" x14ac:dyDescent="0.25">
      <c r="A1820" s="13">
        <v>45828</v>
      </c>
      <c r="B1820" s="1">
        <v>2025001011</v>
      </c>
      <c r="C1820" s="1" t="s">
        <v>537</v>
      </c>
      <c r="D1820" s="5">
        <v>3000000</v>
      </c>
      <c r="E1820" s="1">
        <v>1085252263</v>
      </c>
      <c r="F1820" s="1" t="s">
        <v>33</v>
      </c>
      <c r="G1820" s="1" t="s">
        <v>9</v>
      </c>
    </row>
    <row r="1821" spans="1:7" ht="15" customHeight="1" x14ac:dyDescent="0.25">
      <c r="A1821" s="13">
        <v>45828</v>
      </c>
      <c r="B1821" s="1">
        <v>2025001012</v>
      </c>
      <c r="C1821" s="1" t="s">
        <v>459</v>
      </c>
      <c r="D1821" s="5">
        <v>4825000</v>
      </c>
      <c r="E1821" s="1">
        <v>1085265622</v>
      </c>
      <c r="F1821" s="1" t="s">
        <v>460</v>
      </c>
      <c r="G1821" s="1" t="s">
        <v>9</v>
      </c>
    </row>
    <row r="1822" spans="1:7" ht="15" customHeight="1" x14ac:dyDescent="0.25">
      <c r="A1822" s="13">
        <v>45828</v>
      </c>
      <c r="B1822" s="1">
        <v>2025001013</v>
      </c>
      <c r="C1822" s="1" t="s">
        <v>520</v>
      </c>
      <c r="D1822" s="5">
        <v>7500000</v>
      </c>
      <c r="E1822" s="1">
        <v>87067123</v>
      </c>
      <c r="F1822" s="1" t="s">
        <v>521</v>
      </c>
      <c r="G1822" s="1" t="s">
        <v>9</v>
      </c>
    </row>
    <row r="1823" spans="1:7" ht="15" customHeight="1" x14ac:dyDescent="0.25">
      <c r="A1823" s="13">
        <v>45828</v>
      </c>
      <c r="B1823" s="1">
        <v>2025001014</v>
      </c>
      <c r="C1823" s="1" t="s">
        <v>463</v>
      </c>
      <c r="D1823" s="5">
        <v>4750000</v>
      </c>
      <c r="E1823" s="1">
        <v>1085264667</v>
      </c>
      <c r="F1823" s="1" t="s">
        <v>464</v>
      </c>
      <c r="G1823" s="1" t="s">
        <v>9</v>
      </c>
    </row>
    <row r="1824" spans="1:7" ht="15" customHeight="1" x14ac:dyDescent="0.25">
      <c r="A1824" s="13">
        <v>45832</v>
      </c>
      <c r="B1824" s="1">
        <v>2025001017</v>
      </c>
      <c r="C1824" s="1" t="s">
        <v>438</v>
      </c>
      <c r="D1824" s="5">
        <v>4825000</v>
      </c>
      <c r="E1824" s="1">
        <v>1085267184</v>
      </c>
      <c r="F1824" s="1" t="s">
        <v>247</v>
      </c>
      <c r="G1824" s="1" t="s">
        <v>9</v>
      </c>
    </row>
    <row r="1825" spans="1:7" ht="15" customHeight="1" x14ac:dyDescent="0.25">
      <c r="A1825" s="13">
        <v>45832</v>
      </c>
      <c r="B1825" s="1">
        <v>2025001018</v>
      </c>
      <c r="C1825" s="1" t="s">
        <v>482</v>
      </c>
      <c r="D1825" s="5">
        <v>2500000</v>
      </c>
      <c r="E1825" s="1">
        <v>59310145</v>
      </c>
      <c r="F1825" s="1" t="s">
        <v>129</v>
      </c>
      <c r="G1825" s="1" t="s">
        <v>9</v>
      </c>
    </row>
    <row r="1826" spans="1:7" ht="15" customHeight="1" x14ac:dyDescent="0.25">
      <c r="A1826" s="13">
        <v>45832</v>
      </c>
      <c r="B1826" s="1">
        <v>2025001019</v>
      </c>
      <c r="C1826" s="1" t="s">
        <v>498</v>
      </c>
      <c r="D1826" s="5">
        <v>3000000</v>
      </c>
      <c r="E1826" s="1">
        <v>98391531</v>
      </c>
      <c r="F1826" s="1" t="s">
        <v>499</v>
      </c>
      <c r="G1826" s="1" t="s">
        <v>9</v>
      </c>
    </row>
    <row r="1827" spans="1:7" ht="15" customHeight="1" x14ac:dyDescent="0.25">
      <c r="A1827" s="13">
        <v>45832</v>
      </c>
      <c r="B1827" s="1">
        <v>2025001020</v>
      </c>
      <c r="C1827" s="1" t="s">
        <v>500</v>
      </c>
      <c r="D1827" s="5">
        <v>4750000</v>
      </c>
      <c r="E1827" s="1">
        <v>1085303067</v>
      </c>
      <c r="F1827" s="1" t="s">
        <v>105</v>
      </c>
      <c r="G1827" s="1" t="s">
        <v>9</v>
      </c>
    </row>
    <row r="1828" spans="1:7" ht="15" customHeight="1" x14ac:dyDescent="0.25">
      <c r="A1828" s="13">
        <v>45832</v>
      </c>
      <c r="B1828" s="1">
        <v>2025001021</v>
      </c>
      <c r="C1828" s="1" t="s">
        <v>474</v>
      </c>
      <c r="D1828" s="5">
        <v>4825000</v>
      </c>
      <c r="E1828" s="1">
        <v>27087851</v>
      </c>
      <c r="F1828" s="1" t="s">
        <v>177</v>
      </c>
      <c r="G1828" s="1" t="s">
        <v>9</v>
      </c>
    </row>
    <row r="1829" spans="1:7" ht="15" customHeight="1" x14ac:dyDescent="0.25">
      <c r="A1829" s="13">
        <v>45832</v>
      </c>
      <c r="B1829" s="1">
        <v>2025001022</v>
      </c>
      <c r="C1829" s="1" t="s">
        <v>527</v>
      </c>
      <c r="D1829" s="5">
        <v>2500000</v>
      </c>
      <c r="E1829" s="1">
        <v>59821094</v>
      </c>
      <c r="F1829" s="1" t="s">
        <v>528</v>
      </c>
      <c r="G1829" s="1" t="s">
        <v>9</v>
      </c>
    </row>
    <row r="1830" spans="1:7" ht="15" customHeight="1" x14ac:dyDescent="0.25">
      <c r="A1830" s="13">
        <v>45832</v>
      </c>
      <c r="B1830" s="1">
        <v>2025001023</v>
      </c>
      <c r="C1830" s="1" t="s">
        <v>489</v>
      </c>
      <c r="D1830" s="5">
        <v>3000000</v>
      </c>
      <c r="E1830" s="1">
        <v>59834953</v>
      </c>
      <c r="F1830" s="1" t="s">
        <v>121</v>
      </c>
      <c r="G1830" s="1" t="s">
        <v>9</v>
      </c>
    </row>
    <row r="1831" spans="1:7" ht="15" customHeight="1" x14ac:dyDescent="0.25">
      <c r="A1831" s="13">
        <v>45832</v>
      </c>
      <c r="B1831" s="1">
        <v>2025001024</v>
      </c>
      <c r="C1831" s="1" t="s">
        <v>492</v>
      </c>
      <c r="D1831" s="5">
        <v>4750000</v>
      </c>
      <c r="E1831" s="1">
        <v>59651018</v>
      </c>
      <c r="F1831" s="1" t="s">
        <v>493</v>
      </c>
      <c r="G1831" s="1" t="s">
        <v>9</v>
      </c>
    </row>
    <row r="1832" spans="1:7" ht="15" customHeight="1" x14ac:dyDescent="0.25">
      <c r="A1832" s="13">
        <v>45832</v>
      </c>
      <c r="B1832" s="1">
        <v>2025001025</v>
      </c>
      <c r="C1832" s="1" t="s">
        <v>494</v>
      </c>
      <c r="D1832" s="5">
        <v>3000000</v>
      </c>
      <c r="E1832" s="1">
        <v>1085317833</v>
      </c>
      <c r="F1832" s="1" t="s">
        <v>11</v>
      </c>
      <c r="G1832" s="1" t="s">
        <v>9</v>
      </c>
    </row>
    <row r="1833" spans="1:7" ht="15" customHeight="1" x14ac:dyDescent="0.25">
      <c r="A1833" s="2">
        <v>45832</v>
      </c>
      <c r="B1833">
        <v>2025001026</v>
      </c>
      <c r="C1833" t="s">
        <v>584</v>
      </c>
      <c r="D1833" s="11">
        <v>2500000</v>
      </c>
      <c r="E1833">
        <v>1085314334</v>
      </c>
      <c r="F1833" t="s">
        <v>585</v>
      </c>
      <c r="G1833" t="s">
        <v>565</v>
      </c>
    </row>
    <row r="1834" spans="1:7" ht="15" customHeight="1" x14ac:dyDescent="0.25">
      <c r="A1834" s="13">
        <v>45832</v>
      </c>
      <c r="B1834" s="1">
        <v>2025001027</v>
      </c>
      <c r="C1834" s="1" t="s">
        <v>536</v>
      </c>
      <c r="D1834" s="5">
        <v>6000000</v>
      </c>
      <c r="E1834" s="1">
        <v>97470681</v>
      </c>
      <c r="F1834" s="1" t="s">
        <v>329</v>
      </c>
      <c r="G1834" s="1" t="s">
        <v>9</v>
      </c>
    </row>
    <row r="1835" spans="1:7" ht="15" customHeight="1" x14ac:dyDescent="0.25">
      <c r="A1835" s="13">
        <v>45832</v>
      </c>
      <c r="B1835" s="1">
        <v>2025001028</v>
      </c>
      <c r="C1835" s="1" t="s">
        <v>501</v>
      </c>
      <c r="D1835" s="5">
        <v>7500000</v>
      </c>
      <c r="E1835" s="1">
        <v>1006946167</v>
      </c>
      <c r="F1835" s="1" t="s">
        <v>63</v>
      </c>
      <c r="G1835" s="1" t="s">
        <v>9</v>
      </c>
    </row>
    <row r="1836" spans="1:7" ht="15" customHeight="1" x14ac:dyDescent="0.25">
      <c r="A1836" s="13">
        <v>45832</v>
      </c>
      <c r="B1836" s="1">
        <v>2025001029</v>
      </c>
      <c r="C1836" s="1" t="s">
        <v>475</v>
      </c>
      <c r="D1836" s="5">
        <v>3000000</v>
      </c>
      <c r="E1836" s="1">
        <v>98382500</v>
      </c>
      <c r="F1836" s="1" t="s">
        <v>183</v>
      </c>
      <c r="G1836" s="1" t="s">
        <v>9</v>
      </c>
    </row>
    <row r="1837" spans="1:7" ht="15" customHeight="1" x14ac:dyDescent="0.25">
      <c r="A1837" s="13">
        <v>45832</v>
      </c>
      <c r="B1837" s="1">
        <v>2025001030</v>
      </c>
      <c r="C1837" s="1" t="s">
        <v>468</v>
      </c>
      <c r="D1837" s="5">
        <v>6000000</v>
      </c>
      <c r="E1837" s="1">
        <v>59837608</v>
      </c>
      <c r="F1837" s="1" t="s">
        <v>145</v>
      </c>
      <c r="G1837" s="1" t="s">
        <v>9</v>
      </c>
    </row>
    <row r="1838" spans="1:7" ht="15" customHeight="1" x14ac:dyDescent="0.25">
      <c r="A1838" s="13">
        <v>45832</v>
      </c>
      <c r="B1838" s="1">
        <v>2025001031</v>
      </c>
      <c r="C1838" s="1" t="s">
        <v>558</v>
      </c>
      <c r="D1838" s="5">
        <v>3000000</v>
      </c>
      <c r="E1838" s="1">
        <v>1088733625</v>
      </c>
      <c r="F1838" s="1" t="s">
        <v>559</v>
      </c>
      <c r="G1838" s="1" t="s">
        <v>9</v>
      </c>
    </row>
    <row r="1839" spans="1:7" ht="15" customHeight="1" x14ac:dyDescent="0.25">
      <c r="A1839" s="2">
        <v>45833</v>
      </c>
      <c r="B1839">
        <v>2025001036</v>
      </c>
      <c r="C1839" t="s">
        <v>582</v>
      </c>
      <c r="D1839" s="11">
        <v>1400000</v>
      </c>
      <c r="E1839">
        <v>1014212900</v>
      </c>
      <c r="F1839" t="s">
        <v>583</v>
      </c>
      <c r="G1839" t="s">
        <v>565</v>
      </c>
    </row>
    <row r="1840" spans="1:7" ht="15" customHeight="1" x14ac:dyDescent="0.25">
      <c r="A1840" s="13">
        <v>45834</v>
      </c>
      <c r="B1840" s="1">
        <v>2025001037</v>
      </c>
      <c r="C1840" s="1" t="s">
        <v>545</v>
      </c>
      <c r="D1840" s="5">
        <v>3000000</v>
      </c>
      <c r="E1840" s="1">
        <v>13069881</v>
      </c>
      <c r="F1840" s="1" t="s">
        <v>546</v>
      </c>
      <c r="G1840" s="1" t="s">
        <v>9</v>
      </c>
    </row>
    <row r="1841" spans="1:7" ht="15" customHeight="1" x14ac:dyDescent="0.25">
      <c r="A1841" s="13">
        <v>45834</v>
      </c>
      <c r="B1841" s="1">
        <v>2025001038</v>
      </c>
      <c r="C1841" s="1" t="s">
        <v>445</v>
      </c>
      <c r="D1841" s="5">
        <v>4750000</v>
      </c>
      <c r="E1841" s="1">
        <v>59824313</v>
      </c>
      <c r="F1841" s="1" t="s">
        <v>151</v>
      </c>
      <c r="G1841" s="1" t="s">
        <v>9</v>
      </c>
    </row>
    <row r="1842" spans="1:7" ht="15" customHeight="1" x14ac:dyDescent="0.25">
      <c r="A1842" s="13">
        <v>45834</v>
      </c>
      <c r="B1842" s="1">
        <v>2025001040</v>
      </c>
      <c r="C1842" s="1" t="s">
        <v>461</v>
      </c>
      <c r="D1842" s="5">
        <v>3000000</v>
      </c>
      <c r="E1842" s="1">
        <v>1004232508</v>
      </c>
      <c r="F1842" s="1" t="s">
        <v>109</v>
      </c>
      <c r="G1842" s="1" t="s">
        <v>9</v>
      </c>
    </row>
    <row r="1843" spans="1:7" ht="15" customHeight="1" x14ac:dyDescent="0.25">
      <c r="A1843" s="13">
        <v>45834</v>
      </c>
      <c r="B1843" s="1">
        <v>2025001041</v>
      </c>
      <c r="C1843" s="1" t="s">
        <v>462</v>
      </c>
      <c r="D1843" s="5">
        <v>4750000</v>
      </c>
      <c r="E1843" s="1">
        <v>59816986</v>
      </c>
      <c r="F1843" s="1" t="s">
        <v>415</v>
      </c>
      <c r="G1843" s="1" t="s">
        <v>9</v>
      </c>
    </row>
    <row r="1844" spans="1:7" ht="15" customHeight="1" x14ac:dyDescent="0.25">
      <c r="A1844" s="2">
        <v>45834</v>
      </c>
      <c r="B1844">
        <v>2025001042</v>
      </c>
      <c r="C1844" t="s">
        <v>586</v>
      </c>
      <c r="D1844" s="11">
        <v>6000000</v>
      </c>
      <c r="E1844">
        <v>1085245375</v>
      </c>
      <c r="F1844" t="s">
        <v>587</v>
      </c>
      <c r="G1844" t="s">
        <v>565</v>
      </c>
    </row>
    <row r="1845" spans="1:7" ht="15" customHeight="1" x14ac:dyDescent="0.25">
      <c r="A1845" s="13">
        <v>45834</v>
      </c>
      <c r="B1845" s="1">
        <v>2025001043</v>
      </c>
      <c r="C1845" s="1" t="s">
        <v>558</v>
      </c>
      <c r="D1845" s="5">
        <v>3000000</v>
      </c>
      <c r="E1845" s="1">
        <v>1088733625</v>
      </c>
      <c r="F1845" s="1" t="s">
        <v>559</v>
      </c>
      <c r="G1845" s="1" t="s">
        <v>9</v>
      </c>
    </row>
    <row r="1846" spans="1:7" ht="15" customHeight="1" x14ac:dyDescent="0.25">
      <c r="A1846" s="13">
        <v>45834</v>
      </c>
      <c r="B1846" s="1">
        <v>2025001044</v>
      </c>
      <c r="C1846" s="1" t="s">
        <v>472</v>
      </c>
      <c r="D1846" s="5">
        <v>3000000</v>
      </c>
      <c r="E1846" s="1">
        <v>1233188273</v>
      </c>
      <c r="F1846" s="1" t="s">
        <v>473</v>
      </c>
      <c r="G1846" s="1" t="s">
        <v>9</v>
      </c>
    </row>
    <row r="1847" spans="1:7" ht="15" customHeight="1" x14ac:dyDescent="0.25">
      <c r="A1847" s="13">
        <v>45834</v>
      </c>
      <c r="B1847" s="1">
        <v>2025001045</v>
      </c>
      <c r="C1847" s="1" t="s">
        <v>549</v>
      </c>
      <c r="D1847" s="5">
        <v>2500000</v>
      </c>
      <c r="E1847" s="1">
        <v>1233189896</v>
      </c>
      <c r="F1847" s="1" t="s">
        <v>279</v>
      </c>
      <c r="G1847" s="1" t="s">
        <v>9</v>
      </c>
    </row>
    <row r="1848" spans="1:7" ht="15" customHeight="1" x14ac:dyDescent="0.25">
      <c r="A1848" s="13">
        <v>45834</v>
      </c>
      <c r="B1848" s="1">
        <v>2025001047</v>
      </c>
      <c r="C1848" s="1" t="s">
        <v>480</v>
      </c>
      <c r="D1848" s="5">
        <v>4750000</v>
      </c>
      <c r="E1848" s="1">
        <v>1085331141</v>
      </c>
      <c r="F1848" s="1" t="s">
        <v>481</v>
      </c>
      <c r="G1848" s="1" t="s">
        <v>9</v>
      </c>
    </row>
    <row r="1849" spans="1:7" ht="15" customHeight="1" x14ac:dyDescent="0.25">
      <c r="A1849" s="13">
        <v>45834</v>
      </c>
      <c r="B1849" s="1">
        <v>2025001048</v>
      </c>
      <c r="C1849" s="1" t="s">
        <v>484</v>
      </c>
      <c r="D1849" s="5">
        <v>3000000</v>
      </c>
      <c r="E1849" s="1">
        <v>37083324</v>
      </c>
      <c r="F1849" s="1" t="s">
        <v>485</v>
      </c>
      <c r="G1849" s="1" t="s">
        <v>9</v>
      </c>
    </row>
    <row r="1850" spans="1:7" ht="15" customHeight="1" x14ac:dyDescent="0.25">
      <c r="A1850" s="13">
        <v>45834</v>
      </c>
      <c r="B1850" s="1">
        <v>2025001049</v>
      </c>
      <c r="C1850" s="1" t="s">
        <v>444</v>
      </c>
      <c r="D1850" s="5">
        <v>3000000</v>
      </c>
      <c r="E1850" s="1">
        <v>1004234290</v>
      </c>
      <c r="F1850" s="1" t="s">
        <v>237</v>
      </c>
      <c r="G1850" s="1" t="s">
        <v>9</v>
      </c>
    </row>
    <row r="1851" spans="1:7" ht="15" customHeight="1" x14ac:dyDescent="0.25">
      <c r="A1851" s="13">
        <v>45834</v>
      </c>
      <c r="B1851" s="1">
        <v>2025001050</v>
      </c>
      <c r="C1851" s="1" t="s">
        <v>554</v>
      </c>
      <c r="D1851" s="5">
        <v>3000000</v>
      </c>
      <c r="E1851" s="1">
        <v>1081572043</v>
      </c>
      <c r="F1851" s="1" t="s">
        <v>555</v>
      </c>
      <c r="G1851" s="1" t="s">
        <v>9</v>
      </c>
    </row>
    <row r="1852" spans="1:7" ht="15" customHeight="1" x14ac:dyDescent="0.25">
      <c r="A1852" s="2">
        <v>45834</v>
      </c>
      <c r="B1852">
        <v>2025001052</v>
      </c>
      <c r="C1852" t="s">
        <v>570</v>
      </c>
      <c r="D1852" s="11">
        <v>4750000</v>
      </c>
      <c r="E1852">
        <v>27087475</v>
      </c>
      <c r="F1852" t="s">
        <v>571</v>
      </c>
      <c r="G1852" t="s">
        <v>565</v>
      </c>
    </row>
    <row r="1853" spans="1:7" ht="15" customHeight="1" x14ac:dyDescent="0.25">
      <c r="A1853" s="13">
        <v>45834</v>
      </c>
      <c r="B1853" s="1">
        <v>2025001053</v>
      </c>
      <c r="C1853" s="1" t="s">
        <v>560</v>
      </c>
      <c r="D1853" s="5">
        <v>460000</v>
      </c>
      <c r="E1853" s="1">
        <v>1085324685</v>
      </c>
      <c r="F1853" s="1" t="s">
        <v>561</v>
      </c>
      <c r="G1853" s="1" t="s">
        <v>9</v>
      </c>
    </row>
    <row r="1854" spans="1:7" ht="15" customHeight="1" x14ac:dyDescent="0.25">
      <c r="A1854" s="13">
        <v>45834</v>
      </c>
      <c r="B1854" s="1">
        <v>2025001054</v>
      </c>
      <c r="C1854" s="1" t="s">
        <v>519</v>
      </c>
      <c r="D1854" s="5">
        <v>2500000</v>
      </c>
      <c r="E1854" s="1">
        <v>37087268</v>
      </c>
      <c r="F1854" s="1" t="s">
        <v>257</v>
      </c>
      <c r="G1854" s="1" t="s">
        <v>9</v>
      </c>
    </row>
    <row r="1855" spans="1:7" ht="15" customHeight="1" x14ac:dyDescent="0.25">
      <c r="A1855" s="13">
        <v>45834</v>
      </c>
      <c r="B1855" s="1">
        <v>2025001055</v>
      </c>
      <c r="C1855" s="1" t="s">
        <v>538</v>
      </c>
      <c r="D1855" s="5">
        <v>2500000</v>
      </c>
      <c r="E1855" s="1">
        <v>27087720</v>
      </c>
      <c r="F1855" s="1" t="s">
        <v>539</v>
      </c>
      <c r="G1855" s="1" t="s">
        <v>9</v>
      </c>
    </row>
    <row r="1856" spans="1:7" ht="15" customHeight="1" x14ac:dyDescent="0.25">
      <c r="A1856" s="13">
        <v>45834</v>
      </c>
      <c r="B1856" s="1">
        <v>2025001056</v>
      </c>
      <c r="C1856" s="1" t="s">
        <v>458</v>
      </c>
      <c r="D1856" s="5">
        <v>3000000</v>
      </c>
      <c r="E1856" s="1">
        <v>1010082397</v>
      </c>
      <c r="F1856" s="1" t="s">
        <v>209</v>
      </c>
      <c r="G1856" s="1" t="s">
        <v>9</v>
      </c>
    </row>
    <row r="1857" spans="1:7" ht="15" customHeight="1" x14ac:dyDescent="0.25">
      <c r="A1857" s="13">
        <v>45834</v>
      </c>
      <c r="B1857" s="1">
        <v>2025001057</v>
      </c>
      <c r="C1857" s="1" t="s">
        <v>452</v>
      </c>
      <c r="D1857" s="5">
        <v>6000000</v>
      </c>
      <c r="E1857" s="1">
        <v>36757221</v>
      </c>
      <c r="F1857" s="1" t="s">
        <v>453</v>
      </c>
      <c r="G1857" s="1" t="s">
        <v>9</v>
      </c>
    </row>
    <row r="1858" spans="1:7" ht="15" customHeight="1" x14ac:dyDescent="0.25">
      <c r="A1858" s="13">
        <v>45834</v>
      </c>
      <c r="B1858" s="1">
        <v>2025001063</v>
      </c>
      <c r="C1858" s="1" t="s">
        <v>550</v>
      </c>
      <c r="D1858" s="5">
        <v>3000000</v>
      </c>
      <c r="E1858" s="1">
        <v>69028150</v>
      </c>
      <c r="F1858" s="1" t="s">
        <v>171</v>
      </c>
      <c r="G1858" s="1" t="s">
        <v>9</v>
      </c>
    </row>
    <row r="1859" spans="1:7" ht="15" customHeight="1" x14ac:dyDescent="0.25">
      <c r="A1859" s="13">
        <v>45834</v>
      </c>
      <c r="B1859" s="1">
        <v>2025001064</v>
      </c>
      <c r="C1859" s="1" t="s">
        <v>512</v>
      </c>
      <c r="D1859" s="5">
        <v>4750000</v>
      </c>
      <c r="E1859" s="1">
        <v>1085313870</v>
      </c>
      <c r="F1859" s="1" t="s">
        <v>513</v>
      </c>
      <c r="G1859" s="1" t="s">
        <v>9</v>
      </c>
    </row>
    <row r="1860" spans="1:7" ht="15" customHeight="1" x14ac:dyDescent="0.25">
      <c r="A1860" s="13">
        <v>45834</v>
      </c>
      <c r="B1860" s="1">
        <v>2025001065</v>
      </c>
      <c r="C1860" s="1" t="s">
        <v>508</v>
      </c>
      <c r="D1860" s="5">
        <v>4825000</v>
      </c>
      <c r="E1860" s="1">
        <v>1085324891</v>
      </c>
      <c r="F1860" s="1" t="s">
        <v>509</v>
      </c>
      <c r="G1860" s="1" t="s">
        <v>9</v>
      </c>
    </row>
    <row r="1861" spans="1:7" ht="15" customHeight="1" x14ac:dyDescent="0.25">
      <c r="A1861" s="13">
        <v>45834</v>
      </c>
      <c r="B1861" s="1">
        <v>2025001067</v>
      </c>
      <c r="C1861" s="1" t="s">
        <v>533</v>
      </c>
      <c r="D1861" s="5">
        <v>2500000</v>
      </c>
      <c r="E1861" s="1">
        <v>12974849</v>
      </c>
      <c r="F1861" s="1" t="s">
        <v>51</v>
      </c>
      <c r="G1861" s="1" t="s">
        <v>9</v>
      </c>
    </row>
    <row r="1862" spans="1:7" ht="15" customHeight="1" x14ac:dyDescent="0.25">
      <c r="A1862" s="2">
        <v>45834</v>
      </c>
      <c r="B1862">
        <v>2025001068</v>
      </c>
      <c r="C1862" t="s">
        <v>577</v>
      </c>
      <c r="D1862" s="11">
        <v>2500000</v>
      </c>
      <c r="E1862">
        <v>1233188479</v>
      </c>
      <c r="F1862" t="s">
        <v>578</v>
      </c>
      <c r="G1862" t="s">
        <v>565</v>
      </c>
    </row>
    <row r="1863" spans="1:7" ht="15" customHeight="1" x14ac:dyDescent="0.25">
      <c r="A1863" s="13">
        <v>45834</v>
      </c>
      <c r="B1863" s="1">
        <v>2025001069</v>
      </c>
      <c r="C1863" s="1" t="s">
        <v>497</v>
      </c>
      <c r="D1863" s="5">
        <v>4750000</v>
      </c>
      <c r="E1863" s="1">
        <v>59312865</v>
      </c>
      <c r="F1863" s="1" t="s">
        <v>127</v>
      </c>
      <c r="G1863" s="1" t="s">
        <v>9</v>
      </c>
    </row>
    <row r="1864" spans="1:7" ht="15" customHeight="1" x14ac:dyDescent="0.25">
      <c r="A1864" s="13">
        <v>45834</v>
      </c>
      <c r="B1864" s="1">
        <v>2025001070</v>
      </c>
      <c r="C1864" s="1" t="s">
        <v>526</v>
      </c>
      <c r="D1864" s="5">
        <v>6000000</v>
      </c>
      <c r="E1864" s="1">
        <v>1085275879</v>
      </c>
      <c r="F1864" s="1" t="s">
        <v>117</v>
      </c>
      <c r="G1864" s="1" t="s">
        <v>9</v>
      </c>
    </row>
    <row r="1865" spans="1:7" ht="15" customHeight="1" x14ac:dyDescent="0.25">
      <c r="A1865" s="13">
        <v>45834</v>
      </c>
      <c r="B1865" s="1">
        <v>2025001071</v>
      </c>
      <c r="C1865" s="1" t="s">
        <v>541</v>
      </c>
      <c r="D1865" s="5">
        <v>2500000</v>
      </c>
      <c r="E1865" s="1">
        <v>1085320930</v>
      </c>
      <c r="F1865" s="1" t="s">
        <v>259</v>
      </c>
      <c r="G1865" s="1" t="s">
        <v>9</v>
      </c>
    </row>
    <row r="1866" spans="1:7" ht="15" customHeight="1" x14ac:dyDescent="0.25">
      <c r="A1866" s="13">
        <v>45841</v>
      </c>
      <c r="B1866" s="1">
        <v>2025001101</v>
      </c>
      <c r="C1866" s="1" t="s">
        <v>446</v>
      </c>
      <c r="D1866" s="5">
        <v>4825000</v>
      </c>
      <c r="E1866" s="1">
        <v>12748383</v>
      </c>
      <c r="F1866" s="1" t="s">
        <v>447</v>
      </c>
      <c r="G1866" s="1" t="s">
        <v>9</v>
      </c>
    </row>
    <row r="1867" spans="1:7" ht="15" customHeight="1" x14ac:dyDescent="0.25">
      <c r="A1867" s="13">
        <v>45841</v>
      </c>
      <c r="B1867" s="1">
        <v>2025001102</v>
      </c>
      <c r="C1867" s="1" t="s">
        <v>454</v>
      </c>
      <c r="D1867" s="5">
        <v>3000000</v>
      </c>
      <c r="E1867" s="1">
        <v>1086223299</v>
      </c>
      <c r="F1867" s="1" t="s">
        <v>455</v>
      </c>
      <c r="G1867" s="1" t="s">
        <v>9</v>
      </c>
    </row>
    <row r="1868" spans="1:7" ht="15" customHeight="1" x14ac:dyDescent="0.25">
      <c r="A1868" s="13">
        <v>45842</v>
      </c>
      <c r="B1868" s="1">
        <v>2025001103</v>
      </c>
      <c r="C1868" s="1" t="s">
        <v>456</v>
      </c>
      <c r="D1868" s="5">
        <v>6000000</v>
      </c>
      <c r="E1868" s="1">
        <v>59820414</v>
      </c>
      <c r="F1868" s="1" t="s">
        <v>457</v>
      </c>
      <c r="G1868" s="1" t="s">
        <v>9</v>
      </c>
    </row>
    <row r="1869" spans="1:7" ht="15" customHeight="1" x14ac:dyDescent="0.25">
      <c r="A1869" s="13">
        <v>45842</v>
      </c>
      <c r="B1869" s="1">
        <v>2025001104</v>
      </c>
      <c r="C1869" s="1" t="s">
        <v>451</v>
      </c>
      <c r="D1869" s="5">
        <v>3000000</v>
      </c>
      <c r="E1869" s="1">
        <v>37084285</v>
      </c>
      <c r="F1869" s="1" t="s">
        <v>119</v>
      </c>
      <c r="G1869" s="1" t="s">
        <v>9</v>
      </c>
    </row>
    <row r="1870" spans="1:7" ht="15" customHeight="1" x14ac:dyDescent="0.25">
      <c r="A1870" s="2">
        <v>45842</v>
      </c>
      <c r="B1870">
        <v>2025001105</v>
      </c>
      <c r="C1870" t="s">
        <v>588</v>
      </c>
      <c r="D1870" s="11">
        <v>3000000</v>
      </c>
      <c r="E1870">
        <v>1085314138</v>
      </c>
      <c r="F1870" t="s">
        <v>589</v>
      </c>
      <c r="G1870" t="s">
        <v>565</v>
      </c>
    </row>
    <row r="1871" spans="1:7" ht="15" customHeight="1" x14ac:dyDescent="0.25">
      <c r="A1871" s="13">
        <v>45842</v>
      </c>
      <c r="B1871" s="1">
        <v>2025001107</v>
      </c>
      <c r="C1871" s="1" t="s">
        <v>478</v>
      </c>
      <c r="D1871" s="5">
        <v>3000000</v>
      </c>
      <c r="E1871" s="1">
        <v>1085326791</v>
      </c>
      <c r="F1871" s="1" t="s">
        <v>479</v>
      </c>
      <c r="G1871" s="1" t="s">
        <v>9</v>
      </c>
    </row>
    <row r="1872" spans="1:7" ht="15" customHeight="1" x14ac:dyDescent="0.25">
      <c r="A1872" s="13">
        <v>45842</v>
      </c>
      <c r="B1872" s="1">
        <v>2025001108</v>
      </c>
      <c r="C1872" s="1" t="s">
        <v>495</v>
      </c>
      <c r="D1872" s="5">
        <v>3000000</v>
      </c>
      <c r="E1872" s="1">
        <v>27436186</v>
      </c>
      <c r="F1872" s="1" t="s">
        <v>496</v>
      </c>
      <c r="G1872" s="1" t="s">
        <v>9</v>
      </c>
    </row>
    <row r="1873" spans="1:7" ht="15" customHeight="1" x14ac:dyDescent="0.25">
      <c r="A1873" s="13">
        <v>45842</v>
      </c>
      <c r="B1873" s="1">
        <v>2025001109</v>
      </c>
      <c r="C1873" s="1" t="s">
        <v>529</v>
      </c>
      <c r="D1873" s="5">
        <v>4750000</v>
      </c>
      <c r="E1873" s="1">
        <v>27190772</v>
      </c>
      <c r="F1873" s="1" t="s">
        <v>530</v>
      </c>
      <c r="G1873" s="1" t="s">
        <v>9</v>
      </c>
    </row>
    <row r="1874" spans="1:7" ht="15" customHeight="1" x14ac:dyDescent="0.25">
      <c r="A1874" s="13">
        <v>45842</v>
      </c>
      <c r="B1874" s="1">
        <v>2025001110</v>
      </c>
      <c r="C1874" s="1" t="s">
        <v>553</v>
      </c>
      <c r="D1874" s="5">
        <v>3000000</v>
      </c>
      <c r="E1874" s="1">
        <v>1085339190</v>
      </c>
      <c r="F1874" s="1" t="s">
        <v>149</v>
      </c>
      <c r="G1874" s="1" t="s">
        <v>9</v>
      </c>
    </row>
    <row r="1875" spans="1:7" ht="15" customHeight="1" x14ac:dyDescent="0.25">
      <c r="A1875" s="13">
        <v>45842</v>
      </c>
      <c r="B1875" s="1">
        <v>2025001111</v>
      </c>
      <c r="C1875" s="1" t="s">
        <v>547</v>
      </c>
      <c r="D1875" s="5">
        <v>3000000</v>
      </c>
      <c r="E1875" s="1">
        <v>1082747438</v>
      </c>
      <c r="F1875" s="1" t="s">
        <v>548</v>
      </c>
      <c r="G1875" s="1" t="s">
        <v>9</v>
      </c>
    </row>
    <row r="1876" spans="1:7" ht="15" customHeight="1" x14ac:dyDescent="0.25">
      <c r="A1876" s="2">
        <v>45842</v>
      </c>
      <c r="B1876">
        <v>2025001112</v>
      </c>
      <c r="C1876" t="s">
        <v>590</v>
      </c>
      <c r="D1876" s="11">
        <v>7500000</v>
      </c>
      <c r="E1876">
        <v>1233192708</v>
      </c>
      <c r="F1876" t="s">
        <v>591</v>
      </c>
      <c r="G1876" t="s">
        <v>565</v>
      </c>
    </row>
    <row r="1877" spans="1:7" ht="15" customHeight="1" x14ac:dyDescent="0.25">
      <c r="A1877" s="13">
        <v>45842</v>
      </c>
      <c r="B1877" s="1">
        <v>2025001113</v>
      </c>
      <c r="C1877" s="1" t="s">
        <v>449</v>
      </c>
      <c r="D1877" s="5">
        <v>6000000</v>
      </c>
      <c r="E1877" s="1">
        <v>1082748420</v>
      </c>
      <c r="F1877" s="1" t="s">
        <v>450</v>
      </c>
      <c r="G1877" s="1" t="s">
        <v>9</v>
      </c>
    </row>
    <row r="1878" spans="1:7" ht="15" customHeight="1" x14ac:dyDescent="0.25">
      <c r="A1878" s="2">
        <v>45842</v>
      </c>
      <c r="B1878">
        <v>2025001121</v>
      </c>
      <c r="C1878" t="s">
        <v>573</v>
      </c>
      <c r="D1878" s="11">
        <v>3000000</v>
      </c>
      <c r="E1878">
        <v>1085286725</v>
      </c>
      <c r="F1878" t="s">
        <v>111</v>
      </c>
      <c r="G1878" t="s">
        <v>565</v>
      </c>
    </row>
    <row r="1879" spans="1:7" ht="15" customHeight="1" x14ac:dyDescent="0.25">
      <c r="A1879" s="2">
        <v>45842</v>
      </c>
      <c r="B1879">
        <v>2025001122</v>
      </c>
      <c r="C1879" t="s">
        <v>576</v>
      </c>
      <c r="D1879" s="11">
        <v>3000000</v>
      </c>
      <c r="E1879">
        <v>59813323</v>
      </c>
      <c r="F1879" t="s">
        <v>103</v>
      </c>
      <c r="G1879" t="s">
        <v>565</v>
      </c>
    </row>
    <row r="1880" spans="1:7" ht="15" customHeight="1" x14ac:dyDescent="0.25">
      <c r="A1880" s="13">
        <v>45842</v>
      </c>
      <c r="B1880" s="1">
        <v>2025001123</v>
      </c>
      <c r="C1880" s="1" t="s">
        <v>514</v>
      </c>
      <c r="D1880" s="5">
        <v>4825000</v>
      </c>
      <c r="E1880" s="1">
        <v>27088141</v>
      </c>
      <c r="F1880" s="1" t="s">
        <v>515</v>
      </c>
      <c r="G1880" s="1" t="s">
        <v>9</v>
      </c>
    </row>
    <row r="1881" spans="1:7" ht="15" customHeight="1" x14ac:dyDescent="0.25">
      <c r="A1881" s="13">
        <v>45842</v>
      </c>
      <c r="B1881" s="1">
        <v>2025001126</v>
      </c>
      <c r="C1881" s="1" t="s">
        <v>531</v>
      </c>
      <c r="D1881" s="5">
        <v>4750000</v>
      </c>
      <c r="E1881" s="1">
        <v>13069636</v>
      </c>
      <c r="F1881" s="1" t="s">
        <v>532</v>
      </c>
      <c r="G1881" s="1" t="s">
        <v>9</v>
      </c>
    </row>
    <row r="1882" spans="1:7" ht="15" customHeight="1" x14ac:dyDescent="0.25">
      <c r="A1882" s="13">
        <v>45842</v>
      </c>
      <c r="B1882" s="1">
        <v>2025001127</v>
      </c>
      <c r="C1882" s="1" t="s">
        <v>522</v>
      </c>
      <c r="D1882" s="5">
        <v>3000000</v>
      </c>
      <c r="E1882" s="1">
        <v>1233191675</v>
      </c>
      <c r="F1882" s="1" t="s">
        <v>523</v>
      </c>
      <c r="G1882" s="1" t="s">
        <v>9</v>
      </c>
    </row>
    <row r="1883" spans="1:7" ht="15" customHeight="1" x14ac:dyDescent="0.25">
      <c r="A1883" s="13">
        <v>45842</v>
      </c>
      <c r="B1883" s="1">
        <v>2025001128</v>
      </c>
      <c r="C1883" s="1" t="s">
        <v>551</v>
      </c>
      <c r="D1883" s="5">
        <v>3000000</v>
      </c>
      <c r="E1883" s="1">
        <v>1004598784</v>
      </c>
      <c r="F1883" s="1" t="s">
        <v>552</v>
      </c>
      <c r="G1883" s="1" t="s">
        <v>9</v>
      </c>
    </row>
    <row r="1884" spans="1:7" ht="15" customHeight="1" x14ac:dyDescent="0.25">
      <c r="A1884" s="13">
        <v>45842</v>
      </c>
      <c r="B1884" s="1">
        <v>2025001129</v>
      </c>
      <c r="C1884" s="1" t="s">
        <v>503</v>
      </c>
      <c r="D1884" s="5">
        <v>3000000</v>
      </c>
      <c r="E1884" s="1">
        <v>30743783</v>
      </c>
      <c r="F1884" s="1" t="s">
        <v>504</v>
      </c>
      <c r="G1884" s="1" t="s">
        <v>9</v>
      </c>
    </row>
    <row r="1885" spans="1:7" ht="15" customHeight="1" x14ac:dyDescent="0.25">
      <c r="A1885" s="13">
        <v>45842</v>
      </c>
      <c r="B1885" s="1">
        <v>2025001130</v>
      </c>
      <c r="C1885" s="1" t="s">
        <v>506</v>
      </c>
      <c r="D1885" s="5">
        <v>3000000</v>
      </c>
      <c r="E1885" s="1">
        <v>1004535234</v>
      </c>
      <c r="F1885" s="1" t="s">
        <v>507</v>
      </c>
      <c r="G1885" s="1" t="s">
        <v>9</v>
      </c>
    </row>
    <row r="1886" spans="1:7" ht="15" customHeight="1" x14ac:dyDescent="0.25">
      <c r="A1886" s="13">
        <v>45846</v>
      </c>
      <c r="B1886" s="1">
        <v>2025001185</v>
      </c>
      <c r="C1886" s="1" t="s">
        <v>542</v>
      </c>
      <c r="D1886" s="5">
        <v>2500000</v>
      </c>
      <c r="E1886" s="1">
        <v>1088729401</v>
      </c>
      <c r="F1886" s="1" t="s">
        <v>543</v>
      </c>
      <c r="G1886" s="1" t="s">
        <v>9</v>
      </c>
    </row>
    <row r="1887" spans="1:7" ht="15" customHeight="1" x14ac:dyDescent="0.25">
      <c r="A1887" s="2">
        <v>45846</v>
      </c>
      <c r="B1887">
        <v>2025001186</v>
      </c>
      <c r="C1887" t="s">
        <v>582</v>
      </c>
      <c r="D1887" s="11">
        <v>6000000</v>
      </c>
      <c r="E1887">
        <v>1014212900</v>
      </c>
      <c r="F1887" t="s">
        <v>583</v>
      </c>
      <c r="G1887" t="s">
        <v>565</v>
      </c>
    </row>
    <row r="1888" spans="1:7" ht="15" customHeight="1" x14ac:dyDescent="0.25">
      <c r="A1888" s="2">
        <v>45846</v>
      </c>
      <c r="B1888">
        <v>2025001187</v>
      </c>
      <c r="C1888" t="s">
        <v>579</v>
      </c>
      <c r="D1888" s="11">
        <v>3000000</v>
      </c>
      <c r="E1888">
        <v>1004437571</v>
      </c>
      <c r="F1888" t="s">
        <v>580</v>
      </c>
      <c r="G1888" t="s">
        <v>565</v>
      </c>
    </row>
    <row r="1889" spans="1:7" ht="15" customHeight="1" x14ac:dyDescent="0.25">
      <c r="A1889" s="2">
        <v>45846</v>
      </c>
      <c r="B1889">
        <v>2025001188</v>
      </c>
      <c r="C1889" t="s">
        <v>590</v>
      </c>
      <c r="D1889" s="11">
        <v>7500000</v>
      </c>
      <c r="E1889">
        <v>1233192708</v>
      </c>
      <c r="F1889" t="s">
        <v>591</v>
      </c>
      <c r="G1889" t="s">
        <v>565</v>
      </c>
    </row>
    <row r="1890" spans="1:7" ht="15" customHeight="1" x14ac:dyDescent="0.25">
      <c r="A1890" s="13">
        <v>45846</v>
      </c>
      <c r="B1890" s="1">
        <v>2025001190</v>
      </c>
      <c r="C1890" s="1" t="s">
        <v>486</v>
      </c>
      <c r="D1890" s="5">
        <v>2500000</v>
      </c>
      <c r="E1890" s="1">
        <v>1085347173</v>
      </c>
      <c r="F1890" s="1" t="s">
        <v>487</v>
      </c>
      <c r="G1890" s="1" t="s">
        <v>9</v>
      </c>
    </row>
    <row r="1891" spans="1:7" ht="15" customHeight="1" x14ac:dyDescent="0.25">
      <c r="A1891" s="13">
        <v>45847</v>
      </c>
      <c r="B1891" s="1">
        <v>2025001195</v>
      </c>
      <c r="C1891" s="1" t="s">
        <v>556</v>
      </c>
      <c r="D1891" s="5">
        <v>2500000</v>
      </c>
      <c r="E1891" s="1">
        <v>30736949</v>
      </c>
      <c r="F1891" s="1" t="s">
        <v>557</v>
      </c>
      <c r="G1891" s="1" t="s">
        <v>9</v>
      </c>
    </row>
    <row r="1892" spans="1:7" ht="15" customHeight="1" x14ac:dyDescent="0.25">
      <c r="A1892" s="2">
        <v>45847</v>
      </c>
      <c r="B1892">
        <v>2025001196</v>
      </c>
      <c r="C1892" t="s">
        <v>592</v>
      </c>
      <c r="D1892" s="11">
        <v>6000000</v>
      </c>
      <c r="E1892">
        <v>36954410</v>
      </c>
      <c r="F1892" t="s">
        <v>343</v>
      </c>
      <c r="G1892" t="s">
        <v>565</v>
      </c>
    </row>
    <row r="1893" spans="1:7" ht="15" customHeight="1" x14ac:dyDescent="0.25">
      <c r="A1893" s="2">
        <v>45847</v>
      </c>
      <c r="B1893">
        <v>2025001197</v>
      </c>
      <c r="C1893" t="s">
        <v>593</v>
      </c>
      <c r="D1893" s="11">
        <v>6000000</v>
      </c>
      <c r="E1893">
        <v>1085253062</v>
      </c>
      <c r="F1893" t="s">
        <v>31</v>
      </c>
      <c r="G1893" t="s">
        <v>565</v>
      </c>
    </row>
    <row r="1894" spans="1:7" ht="15" customHeight="1" x14ac:dyDescent="0.25">
      <c r="A1894" s="2">
        <v>45847</v>
      </c>
      <c r="B1894">
        <v>2025001198</v>
      </c>
      <c r="C1894" t="s">
        <v>572</v>
      </c>
      <c r="D1894" s="11">
        <v>82375000</v>
      </c>
      <c r="E1894">
        <v>900633448</v>
      </c>
      <c r="F1894" t="s">
        <v>165</v>
      </c>
      <c r="G1894" t="s">
        <v>565</v>
      </c>
    </row>
    <row r="1895" spans="1:7" ht="15" customHeight="1" x14ac:dyDescent="0.25">
      <c r="A1895" s="13">
        <v>45847</v>
      </c>
      <c r="B1895" s="1">
        <v>2025001199</v>
      </c>
      <c r="C1895" s="1" t="s">
        <v>505</v>
      </c>
      <c r="D1895" s="5">
        <v>3000000</v>
      </c>
      <c r="E1895" s="1">
        <v>1085286742</v>
      </c>
      <c r="F1895" s="1" t="s">
        <v>75</v>
      </c>
      <c r="G1895" s="1" t="s">
        <v>9</v>
      </c>
    </row>
    <row r="1896" spans="1:7" ht="15" customHeight="1" x14ac:dyDescent="0.25">
      <c r="A1896" s="13">
        <v>45847</v>
      </c>
      <c r="B1896" s="1">
        <v>2025001201</v>
      </c>
      <c r="C1896" s="1" t="s">
        <v>534</v>
      </c>
      <c r="D1896" s="5">
        <v>3000000</v>
      </c>
      <c r="E1896" s="1">
        <v>1081592303</v>
      </c>
      <c r="F1896" s="1" t="s">
        <v>562</v>
      </c>
      <c r="G1896" s="1" t="s">
        <v>9</v>
      </c>
    </row>
    <row r="1897" spans="1:7" ht="15" customHeight="1" x14ac:dyDescent="0.25">
      <c r="A1897" s="13">
        <v>45847</v>
      </c>
      <c r="B1897" s="1">
        <v>2025001205</v>
      </c>
      <c r="C1897" s="1" t="s">
        <v>491</v>
      </c>
      <c r="D1897" s="5">
        <v>3000000</v>
      </c>
      <c r="E1897" s="1">
        <v>13070330</v>
      </c>
      <c r="F1897" s="1" t="s">
        <v>101</v>
      </c>
      <c r="G1897" s="1" t="s">
        <v>9</v>
      </c>
    </row>
    <row r="1898" spans="1:7" ht="15" customHeight="1" x14ac:dyDescent="0.25">
      <c r="A1898" s="13">
        <v>45847</v>
      </c>
      <c r="B1898" s="1">
        <v>2025001207</v>
      </c>
      <c r="C1898" s="1" t="s">
        <v>524</v>
      </c>
      <c r="D1898" s="5">
        <v>3000000</v>
      </c>
      <c r="E1898" s="1">
        <v>27388522</v>
      </c>
      <c r="F1898" s="1" t="s">
        <v>525</v>
      </c>
      <c r="G1898" s="1" t="s">
        <v>9</v>
      </c>
    </row>
    <row r="1899" spans="1:7" ht="15" customHeight="1" x14ac:dyDescent="0.25">
      <c r="A1899" s="13">
        <v>45847</v>
      </c>
      <c r="B1899" s="1">
        <v>2025001208</v>
      </c>
      <c r="C1899" s="1" t="s">
        <v>544</v>
      </c>
      <c r="D1899" s="5">
        <v>4750000</v>
      </c>
      <c r="E1899" s="1">
        <v>1085345772</v>
      </c>
      <c r="F1899" s="1" t="s">
        <v>221</v>
      </c>
      <c r="G1899" s="1" t="s">
        <v>9</v>
      </c>
    </row>
    <row r="1900" spans="1:7" ht="15" customHeight="1" x14ac:dyDescent="0.25">
      <c r="A1900" s="13">
        <v>45847</v>
      </c>
      <c r="B1900" s="1">
        <v>2025001209</v>
      </c>
      <c r="C1900" s="1" t="s">
        <v>535</v>
      </c>
      <c r="D1900" s="5">
        <v>4750000</v>
      </c>
      <c r="E1900" s="1">
        <v>1085260497</v>
      </c>
      <c r="F1900" s="1" t="s">
        <v>429</v>
      </c>
      <c r="G1900" s="1" t="s">
        <v>9</v>
      </c>
    </row>
    <row r="1901" spans="1:7" ht="15" customHeight="1" x14ac:dyDescent="0.25">
      <c r="A1901" s="13">
        <v>45847</v>
      </c>
      <c r="B1901" s="1">
        <v>2025001210</v>
      </c>
      <c r="C1901" s="1" t="s">
        <v>510</v>
      </c>
      <c r="D1901" s="5">
        <v>3000000</v>
      </c>
      <c r="E1901" s="1">
        <v>1004216993</v>
      </c>
      <c r="F1901" s="1" t="s">
        <v>511</v>
      </c>
      <c r="G1901" s="1" t="s">
        <v>9</v>
      </c>
    </row>
    <row r="1902" spans="1:7" ht="15" customHeight="1" x14ac:dyDescent="0.25">
      <c r="A1902" s="2">
        <v>45847</v>
      </c>
      <c r="B1902">
        <v>2025001211</v>
      </c>
      <c r="C1902" t="s">
        <v>594</v>
      </c>
      <c r="D1902" s="11">
        <v>3000000</v>
      </c>
      <c r="E1902">
        <v>27082649</v>
      </c>
      <c r="F1902" t="s">
        <v>595</v>
      </c>
      <c r="G1902" t="s">
        <v>565</v>
      </c>
    </row>
    <row r="1903" spans="1:7" ht="15" customHeight="1" x14ac:dyDescent="0.25">
      <c r="A1903" s="13">
        <v>45847</v>
      </c>
      <c r="B1903" s="1">
        <v>2025001212</v>
      </c>
      <c r="C1903" s="1" t="s">
        <v>490</v>
      </c>
      <c r="D1903" s="5">
        <v>4750000</v>
      </c>
      <c r="E1903" s="1">
        <v>1085318684</v>
      </c>
      <c r="F1903" s="1" t="s">
        <v>355</v>
      </c>
      <c r="G1903" s="1" t="s">
        <v>9</v>
      </c>
    </row>
    <row r="1904" spans="1:7" ht="15" customHeight="1" x14ac:dyDescent="0.25">
      <c r="A1904" s="13">
        <v>45847</v>
      </c>
      <c r="B1904" s="1">
        <v>2025001213</v>
      </c>
      <c r="C1904" s="1" t="s">
        <v>476</v>
      </c>
      <c r="D1904" s="5">
        <v>3000000</v>
      </c>
      <c r="E1904" s="1">
        <v>1004235479</v>
      </c>
      <c r="F1904" s="1" t="s">
        <v>477</v>
      </c>
      <c r="G1904" s="1" t="s">
        <v>9</v>
      </c>
    </row>
    <row r="1905" spans="1:7" ht="15" customHeight="1" x14ac:dyDescent="0.25">
      <c r="A1905" s="13">
        <v>45847</v>
      </c>
      <c r="B1905" s="1">
        <v>2025001215</v>
      </c>
      <c r="C1905" s="1" t="s">
        <v>488</v>
      </c>
      <c r="D1905" s="5">
        <v>3000000</v>
      </c>
      <c r="E1905" s="1">
        <v>1085288636</v>
      </c>
      <c r="F1905" s="1" t="s">
        <v>405</v>
      </c>
      <c r="G1905" s="1" t="s">
        <v>9</v>
      </c>
    </row>
    <row r="1906" spans="1:7" ht="15" customHeight="1" x14ac:dyDescent="0.25">
      <c r="A1906" s="13">
        <v>45848</v>
      </c>
      <c r="B1906" s="1">
        <v>2025001227</v>
      </c>
      <c r="C1906" s="1" t="s">
        <v>442</v>
      </c>
      <c r="D1906" s="5">
        <v>3000000</v>
      </c>
      <c r="E1906" s="1">
        <v>1086329609</v>
      </c>
      <c r="F1906" s="1" t="s">
        <v>443</v>
      </c>
      <c r="G1906" s="1" t="s">
        <v>9</v>
      </c>
    </row>
    <row r="1907" spans="1:7" ht="15" customHeight="1" x14ac:dyDescent="0.25">
      <c r="A1907" s="2">
        <v>45849</v>
      </c>
      <c r="B1907">
        <v>2025001238</v>
      </c>
      <c r="C1907" t="s">
        <v>596</v>
      </c>
      <c r="D1907" s="11">
        <v>6000000</v>
      </c>
      <c r="E1907">
        <v>1233193716</v>
      </c>
      <c r="F1907" t="s">
        <v>597</v>
      </c>
      <c r="G1907" t="s">
        <v>565</v>
      </c>
    </row>
    <row r="1908" spans="1:7" ht="15" customHeight="1" x14ac:dyDescent="0.25">
      <c r="A1908" s="2">
        <v>45862</v>
      </c>
      <c r="B1908">
        <v>2025001445</v>
      </c>
      <c r="C1908" t="s">
        <v>581</v>
      </c>
      <c r="D1908" s="11">
        <v>2500000</v>
      </c>
      <c r="E1908">
        <v>1081052090</v>
      </c>
      <c r="F1908" t="s">
        <v>319</v>
      </c>
      <c r="G1908" t="s">
        <v>565</v>
      </c>
    </row>
    <row r="1909" spans="1:7" ht="15" customHeight="1" x14ac:dyDescent="0.25">
      <c r="A1909" s="2">
        <v>45867</v>
      </c>
      <c r="B1909">
        <v>2025001462</v>
      </c>
      <c r="C1909" t="s">
        <v>1270</v>
      </c>
      <c r="D1909" s="11">
        <v>4825000</v>
      </c>
      <c r="E1909">
        <v>36751052</v>
      </c>
      <c r="F1909" t="s">
        <v>1271</v>
      </c>
      <c r="G1909" t="s">
        <v>1094</v>
      </c>
    </row>
    <row r="1910" spans="1:7" ht="15" customHeight="1" x14ac:dyDescent="0.25">
      <c r="A1910" s="13">
        <v>45873</v>
      </c>
      <c r="B1910" s="1">
        <v>2025001499</v>
      </c>
      <c r="C1910" s="1" t="s">
        <v>540</v>
      </c>
      <c r="D1910" s="5">
        <v>1500000</v>
      </c>
      <c r="E1910" s="1">
        <v>1089243630</v>
      </c>
      <c r="F1910" s="1" t="s">
        <v>197</v>
      </c>
      <c r="G1910" s="1" t="s">
        <v>9</v>
      </c>
    </row>
    <row r="1911" spans="1:7" ht="15" customHeight="1" x14ac:dyDescent="0.25">
      <c r="A1911" s="13">
        <v>45881</v>
      </c>
      <c r="B1911" s="1">
        <v>2025001566</v>
      </c>
      <c r="C1911" s="1" t="s">
        <v>563</v>
      </c>
      <c r="D1911" s="5">
        <v>3000000</v>
      </c>
      <c r="E1911" s="1">
        <v>36757213</v>
      </c>
      <c r="F1911" s="1" t="s">
        <v>411</v>
      </c>
      <c r="G1911" s="1" t="s">
        <v>9</v>
      </c>
    </row>
    <row r="1912" spans="1:7" ht="15" customHeight="1" x14ac:dyDescent="0.25">
      <c r="A1912" s="13">
        <v>45908</v>
      </c>
      <c r="B1912" s="1">
        <v>2025001840</v>
      </c>
      <c r="C1912" s="1" t="s">
        <v>502</v>
      </c>
      <c r="D1912" s="5">
        <v>6000000</v>
      </c>
      <c r="E1912" s="1">
        <v>1085248939</v>
      </c>
      <c r="F1912" s="1" t="s">
        <v>437</v>
      </c>
      <c r="G1912" s="1" t="s">
        <v>9</v>
      </c>
    </row>
    <row r="1913" spans="1:7" ht="15" customHeight="1" x14ac:dyDescent="0.25">
      <c r="A1913" s="2">
        <v>45944</v>
      </c>
      <c r="B1913">
        <v>2025002229</v>
      </c>
      <c r="C1913" t="s">
        <v>1754</v>
      </c>
      <c r="D1913" s="11">
        <v>3150000</v>
      </c>
      <c r="E1913">
        <v>30743783</v>
      </c>
      <c r="F1913" t="s">
        <v>504</v>
      </c>
      <c r="G1913" t="s">
        <v>1755</v>
      </c>
    </row>
    <row r="1914" spans="1:7" ht="15" customHeight="1" x14ac:dyDescent="0.25">
      <c r="A1914" s="2">
        <v>45944</v>
      </c>
      <c r="B1914">
        <v>2025002236</v>
      </c>
      <c r="C1914" t="s">
        <v>1756</v>
      </c>
      <c r="D1914" s="11">
        <v>3150000</v>
      </c>
      <c r="E1914">
        <v>1081053045</v>
      </c>
      <c r="F1914" t="s">
        <v>1757</v>
      </c>
      <c r="G1914" t="s">
        <v>1755</v>
      </c>
    </row>
    <row r="1915" spans="1:7" ht="15" customHeight="1" x14ac:dyDescent="0.25">
      <c r="A1915" s="2">
        <v>45944</v>
      </c>
      <c r="B1915">
        <v>2025002237</v>
      </c>
      <c r="C1915" t="s">
        <v>1758</v>
      </c>
      <c r="D1915" s="11">
        <v>1575000</v>
      </c>
      <c r="E1915">
        <v>1085317226</v>
      </c>
      <c r="F1915" t="s">
        <v>1759</v>
      </c>
      <c r="G1915" t="s">
        <v>1755</v>
      </c>
    </row>
    <row r="1916" spans="1:7" ht="15" customHeight="1" x14ac:dyDescent="0.25">
      <c r="A1916" s="2">
        <v>45944</v>
      </c>
      <c r="B1916">
        <v>2025002242</v>
      </c>
      <c r="C1916" t="s">
        <v>1760</v>
      </c>
      <c r="D1916" s="11">
        <v>3150000</v>
      </c>
      <c r="E1916">
        <v>1085269090</v>
      </c>
      <c r="F1916" t="s">
        <v>371</v>
      </c>
      <c r="G1916" t="s">
        <v>1755</v>
      </c>
    </row>
    <row r="1917" spans="1:7" ht="15" customHeight="1" x14ac:dyDescent="0.25">
      <c r="A1917" s="2">
        <v>45944</v>
      </c>
      <c r="B1917">
        <v>2025002243</v>
      </c>
      <c r="C1917" t="s">
        <v>1761</v>
      </c>
      <c r="D1917" s="11">
        <v>3150000</v>
      </c>
      <c r="E1917">
        <v>1086329609</v>
      </c>
      <c r="F1917" t="s">
        <v>443</v>
      </c>
      <c r="G1917" t="s">
        <v>1755</v>
      </c>
    </row>
    <row r="1918" spans="1:7" ht="15" customHeight="1" x14ac:dyDescent="0.25">
      <c r="A1918" s="2">
        <v>45944</v>
      </c>
      <c r="B1918">
        <v>2025002244</v>
      </c>
      <c r="C1918" t="s">
        <v>1762</v>
      </c>
      <c r="D1918" s="11">
        <v>3150000</v>
      </c>
      <c r="E1918">
        <v>59837608</v>
      </c>
      <c r="F1918" t="s">
        <v>145</v>
      </c>
      <c r="G1918" t="s">
        <v>1755</v>
      </c>
    </row>
    <row r="1919" spans="1:7" ht="15" customHeight="1" x14ac:dyDescent="0.25">
      <c r="A1919" s="2">
        <v>45944</v>
      </c>
      <c r="B1919">
        <v>2025002247</v>
      </c>
      <c r="C1919" t="s">
        <v>1763</v>
      </c>
      <c r="D1919" s="11">
        <v>4730000</v>
      </c>
      <c r="E1919">
        <v>1193383306</v>
      </c>
      <c r="F1919" t="s">
        <v>267</v>
      </c>
      <c r="G1919" t="s">
        <v>1755</v>
      </c>
    </row>
    <row r="1920" spans="1:7" ht="15" customHeight="1" x14ac:dyDescent="0.25">
      <c r="A1920" s="2">
        <v>45945</v>
      </c>
      <c r="B1920">
        <v>2025002254</v>
      </c>
      <c r="C1920" t="s">
        <v>1764</v>
      </c>
      <c r="D1920" s="11">
        <v>151250000</v>
      </c>
      <c r="E1920">
        <v>900994364</v>
      </c>
      <c r="F1920" t="s">
        <v>269</v>
      </c>
      <c r="G1920" t="s">
        <v>1755</v>
      </c>
    </row>
    <row r="1921" spans="1:7" ht="15" customHeight="1" x14ac:dyDescent="0.25">
      <c r="A1921" s="2">
        <v>45945</v>
      </c>
      <c r="B1921">
        <v>2025002255</v>
      </c>
      <c r="C1921" t="s">
        <v>1765</v>
      </c>
      <c r="D1921" s="11">
        <v>6300000</v>
      </c>
      <c r="E1921">
        <v>1085347312</v>
      </c>
      <c r="F1921" t="s">
        <v>1766</v>
      </c>
      <c r="G1921" t="s">
        <v>1755</v>
      </c>
    </row>
    <row r="1922" spans="1:7" ht="15" customHeight="1" x14ac:dyDescent="0.25">
      <c r="A1922" s="2">
        <v>45945</v>
      </c>
      <c r="B1922">
        <v>2025002256</v>
      </c>
      <c r="C1922" t="s">
        <v>1767</v>
      </c>
      <c r="D1922" s="11">
        <v>3150000</v>
      </c>
      <c r="E1922">
        <v>37084285</v>
      </c>
      <c r="F1922" t="s">
        <v>119</v>
      </c>
      <c r="G1922" t="s">
        <v>1755</v>
      </c>
    </row>
    <row r="1923" spans="1:7" ht="15" customHeight="1" x14ac:dyDescent="0.25">
      <c r="A1923" s="2">
        <v>45945</v>
      </c>
      <c r="B1923">
        <v>2025002257</v>
      </c>
      <c r="C1923" t="s">
        <v>1768</v>
      </c>
      <c r="D1923" s="11">
        <v>3150000</v>
      </c>
      <c r="E1923">
        <v>59122805</v>
      </c>
      <c r="F1923" t="s">
        <v>1769</v>
      </c>
      <c r="G1923" t="s">
        <v>1755</v>
      </c>
    </row>
    <row r="1924" spans="1:7" ht="15" customHeight="1" x14ac:dyDescent="0.25">
      <c r="A1924" s="2">
        <v>45945</v>
      </c>
      <c r="B1924">
        <v>2025002258</v>
      </c>
      <c r="C1924" t="s">
        <v>1770</v>
      </c>
      <c r="D1924" s="11">
        <v>6300000</v>
      </c>
      <c r="E1924">
        <v>97470681</v>
      </c>
      <c r="F1924" t="s">
        <v>329</v>
      </c>
      <c r="G1924" t="s">
        <v>1755</v>
      </c>
    </row>
    <row r="1925" spans="1:7" ht="15" customHeight="1" x14ac:dyDescent="0.25">
      <c r="A1925" s="2">
        <v>45945</v>
      </c>
      <c r="B1925">
        <v>2025002259</v>
      </c>
      <c r="C1925" t="s">
        <v>1771</v>
      </c>
      <c r="D1925" s="11">
        <v>3150000</v>
      </c>
      <c r="E1925">
        <v>36953590</v>
      </c>
      <c r="F1925" t="s">
        <v>1772</v>
      </c>
      <c r="G1925" t="s">
        <v>1755</v>
      </c>
    </row>
    <row r="1926" spans="1:7" ht="15" customHeight="1" x14ac:dyDescent="0.25">
      <c r="A1926" s="2">
        <v>45945</v>
      </c>
      <c r="B1926">
        <v>2025002260</v>
      </c>
      <c r="C1926" t="s">
        <v>1773</v>
      </c>
      <c r="D1926" s="11">
        <v>6300000</v>
      </c>
      <c r="E1926">
        <v>1053793750</v>
      </c>
      <c r="F1926" t="s">
        <v>1774</v>
      </c>
      <c r="G1926" t="s">
        <v>1755</v>
      </c>
    </row>
    <row r="1927" spans="1:7" ht="15" customHeight="1" x14ac:dyDescent="0.25">
      <c r="A1927" s="2">
        <v>45945</v>
      </c>
      <c r="B1927">
        <v>2025002261</v>
      </c>
      <c r="C1927" t="s">
        <v>1775</v>
      </c>
      <c r="D1927" s="11">
        <v>3150000</v>
      </c>
      <c r="E1927">
        <v>1193224810</v>
      </c>
      <c r="F1927" t="s">
        <v>409</v>
      </c>
      <c r="G1927" t="s">
        <v>1755</v>
      </c>
    </row>
    <row r="1928" spans="1:7" ht="15" customHeight="1" x14ac:dyDescent="0.25">
      <c r="A1928" s="2">
        <v>45945</v>
      </c>
      <c r="B1928">
        <v>2025002262</v>
      </c>
      <c r="C1928" t="s">
        <v>1776</v>
      </c>
      <c r="D1928" s="11">
        <v>1575000</v>
      </c>
      <c r="E1928">
        <v>1082749295</v>
      </c>
      <c r="F1928" t="s">
        <v>1777</v>
      </c>
      <c r="G1928" t="s">
        <v>1755</v>
      </c>
    </row>
    <row r="1929" spans="1:7" ht="15" customHeight="1" x14ac:dyDescent="0.25">
      <c r="A1929" s="2">
        <v>45946</v>
      </c>
      <c r="B1929">
        <v>2025002278</v>
      </c>
      <c r="C1929" t="s">
        <v>1778</v>
      </c>
      <c r="D1929" s="11">
        <v>3150000</v>
      </c>
      <c r="E1929">
        <v>1085343154</v>
      </c>
      <c r="F1929" t="s">
        <v>1779</v>
      </c>
      <c r="G1929" t="s">
        <v>1755</v>
      </c>
    </row>
    <row r="1930" spans="1:7" ht="15" customHeight="1" x14ac:dyDescent="0.25">
      <c r="A1930" s="2">
        <v>45946</v>
      </c>
      <c r="B1930">
        <v>2025002279</v>
      </c>
      <c r="C1930" t="s">
        <v>1780</v>
      </c>
      <c r="D1930" s="11">
        <v>3150000</v>
      </c>
      <c r="E1930">
        <v>98382500</v>
      </c>
      <c r="F1930" t="s">
        <v>183</v>
      </c>
      <c r="G1930" t="s">
        <v>1755</v>
      </c>
    </row>
    <row r="1931" spans="1:7" ht="15" customHeight="1" x14ac:dyDescent="0.25">
      <c r="A1931" s="2">
        <v>45946</v>
      </c>
      <c r="B1931">
        <v>2025002280</v>
      </c>
      <c r="C1931" t="s">
        <v>1781</v>
      </c>
      <c r="D1931" s="11">
        <v>3150000</v>
      </c>
      <c r="E1931">
        <v>59311295</v>
      </c>
      <c r="F1931" t="s">
        <v>797</v>
      </c>
      <c r="G1931" t="s">
        <v>1755</v>
      </c>
    </row>
    <row r="1932" spans="1:7" ht="15" customHeight="1" x14ac:dyDescent="0.25">
      <c r="A1932" s="2">
        <v>45946</v>
      </c>
      <c r="B1932">
        <v>2025002281</v>
      </c>
      <c r="C1932" t="s">
        <v>1782</v>
      </c>
      <c r="D1932" s="11">
        <v>7800000</v>
      </c>
      <c r="E1932">
        <v>1233192708</v>
      </c>
      <c r="F1932" t="s">
        <v>591</v>
      </c>
      <c r="G1932" t="s">
        <v>1755</v>
      </c>
    </row>
    <row r="1933" spans="1:7" ht="15" customHeight="1" x14ac:dyDescent="0.25">
      <c r="A1933" s="2">
        <v>45946</v>
      </c>
      <c r="B1933">
        <v>2025002282</v>
      </c>
      <c r="C1933" t="s">
        <v>1783</v>
      </c>
      <c r="D1933" s="11">
        <v>6300000</v>
      </c>
      <c r="E1933">
        <v>59836480</v>
      </c>
      <c r="F1933" t="s">
        <v>1195</v>
      </c>
      <c r="G1933" t="s">
        <v>1755</v>
      </c>
    </row>
    <row r="1934" spans="1:7" ht="15" customHeight="1" x14ac:dyDescent="0.25">
      <c r="A1934" s="2">
        <v>45946</v>
      </c>
      <c r="B1934">
        <v>2025002283</v>
      </c>
      <c r="C1934" t="s">
        <v>1784</v>
      </c>
      <c r="D1934" s="11">
        <v>3150000</v>
      </c>
      <c r="E1934">
        <v>1192717330</v>
      </c>
      <c r="F1934" t="s">
        <v>277</v>
      </c>
      <c r="G1934" t="s">
        <v>1755</v>
      </c>
    </row>
    <row r="1935" spans="1:7" ht="15" customHeight="1" x14ac:dyDescent="0.25">
      <c r="A1935" s="2">
        <v>45946</v>
      </c>
      <c r="B1935">
        <v>2025002284</v>
      </c>
      <c r="C1935" t="s">
        <v>1785</v>
      </c>
      <c r="D1935" s="11">
        <v>3150000</v>
      </c>
      <c r="E1935">
        <v>27082649</v>
      </c>
      <c r="F1935" t="s">
        <v>595</v>
      </c>
      <c r="G1935" t="s">
        <v>1755</v>
      </c>
    </row>
    <row r="1936" spans="1:7" ht="15" customHeight="1" x14ac:dyDescent="0.25">
      <c r="A1936" s="2">
        <v>45946</v>
      </c>
      <c r="B1936">
        <v>2025002298</v>
      </c>
      <c r="C1936" t="s">
        <v>1786</v>
      </c>
      <c r="D1936" s="11">
        <v>3150000</v>
      </c>
      <c r="E1936">
        <v>1085252263</v>
      </c>
      <c r="F1936" t="s">
        <v>33</v>
      </c>
      <c r="G1936" t="s">
        <v>1755</v>
      </c>
    </row>
    <row r="1937" spans="1:8" ht="15" customHeight="1" x14ac:dyDescent="0.25">
      <c r="A1937" s="2">
        <v>45946</v>
      </c>
      <c r="B1937">
        <v>2025002301</v>
      </c>
      <c r="C1937" t="s">
        <v>1789</v>
      </c>
      <c r="D1937" s="11">
        <v>6300000</v>
      </c>
      <c r="E1937">
        <v>59825948</v>
      </c>
      <c r="F1937" t="s">
        <v>1192</v>
      </c>
      <c r="G1937" t="s">
        <v>1755</v>
      </c>
    </row>
    <row r="1938" spans="1:8" ht="15" customHeight="1" x14ac:dyDescent="0.25">
      <c r="A1938" s="2">
        <v>45946</v>
      </c>
      <c r="B1938">
        <v>2025002304</v>
      </c>
      <c r="C1938" s="4" t="s">
        <v>1787</v>
      </c>
      <c r="D1938" s="11">
        <v>1575000</v>
      </c>
      <c r="E1938">
        <v>27087122</v>
      </c>
      <c r="F1938" s="4" t="s">
        <v>1788</v>
      </c>
      <c r="G1938" t="s">
        <v>1755</v>
      </c>
    </row>
    <row r="1939" spans="1:8" ht="15" customHeight="1" x14ac:dyDescent="0.25">
      <c r="A1939" s="2">
        <v>45946</v>
      </c>
      <c r="B1939">
        <v>2025002306</v>
      </c>
      <c r="C1939" t="s">
        <v>1790</v>
      </c>
      <c r="D1939" s="11">
        <v>6300000</v>
      </c>
      <c r="E1939">
        <v>1010010954</v>
      </c>
      <c r="F1939" t="s">
        <v>337</v>
      </c>
      <c r="G1939" t="s">
        <v>1755</v>
      </c>
    </row>
    <row r="1940" spans="1:8" ht="15" customHeight="1" x14ac:dyDescent="0.25">
      <c r="A1940" s="2">
        <v>45946.729861111111</v>
      </c>
      <c r="B1940">
        <v>2025001938</v>
      </c>
      <c r="C1940" t="s">
        <v>1272</v>
      </c>
      <c r="D1940" s="11">
        <v>3000000</v>
      </c>
      <c r="E1940" s="19"/>
      <c r="H1940" t="s">
        <v>2586</v>
      </c>
    </row>
    <row r="1941" spans="1:8" ht="15" customHeight="1" x14ac:dyDescent="0.25">
      <c r="A1941" s="2">
        <v>45947</v>
      </c>
      <c r="B1941">
        <v>2025002314</v>
      </c>
      <c r="C1941" t="s">
        <v>1791</v>
      </c>
      <c r="D1941" s="11">
        <v>4730000</v>
      </c>
      <c r="E1941">
        <v>1085343783</v>
      </c>
      <c r="F1941" t="s">
        <v>735</v>
      </c>
      <c r="G1941" t="s">
        <v>1755</v>
      </c>
    </row>
    <row r="1942" spans="1:8" ht="15" customHeight="1" x14ac:dyDescent="0.25">
      <c r="A1942" s="2">
        <v>45947</v>
      </c>
      <c r="B1942">
        <v>2025002315</v>
      </c>
      <c r="C1942" t="s">
        <v>1792</v>
      </c>
      <c r="D1942" s="11">
        <v>3150000</v>
      </c>
      <c r="E1942">
        <v>1085300095</v>
      </c>
      <c r="F1942" t="s">
        <v>201</v>
      </c>
      <c r="G1942" t="s">
        <v>1755</v>
      </c>
    </row>
    <row r="1943" spans="1:8" ht="15" customHeight="1" x14ac:dyDescent="0.25">
      <c r="A1943" s="2">
        <v>45947</v>
      </c>
      <c r="B1943">
        <v>2025002316</v>
      </c>
      <c r="C1943" t="s">
        <v>1793</v>
      </c>
      <c r="D1943" s="11">
        <v>3150000</v>
      </c>
      <c r="E1943">
        <v>1081272656</v>
      </c>
      <c r="F1943" t="s">
        <v>963</v>
      </c>
      <c r="G1943" t="s">
        <v>1755</v>
      </c>
    </row>
    <row r="1944" spans="1:8" ht="15" customHeight="1" x14ac:dyDescent="0.25">
      <c r="A1944" s="2">
        <v>45947</v>
      </c>
      <c r="B1944">
        <v>2025002317</v>
      </c>
      <c r="C1944" t="s">
        <v>1794</v>
      </c>
      <c r="D1944" s="11">
        <v>3150000</v>
      </c>
      <c r="E1944">
        <v>27088197</v>
      </c>
      <c r="F1944" t="s">
        <v>1235</v>
      </c>
      <c r="G1944" t="s">
        <v>1755</v>
      </c>
    </row>
    <row r="1945" spans="1:8" ht="15" customHeight="1" x14ac:dyDescent="0.25">
      <c r="A1945" s="2">
        <v>45947</v>
      </c>
      <c r="B1945">
        <v>2025002318</v>
      </c>
      <c r="C1945" t="s">
        <v>1795</v>
      </c>
      <c r="D1945" s="11">
        <v>6300000</v>
      </c>
      <c r="E1945">
        <v>1085286476</v>
      </c>
      <c r="F1945" t="s">
        <v>385</v>
      </c>
      <c r="G1945" t="s">
        <v>1755</v>
      </c>
    </row>
    <row r="1946" spans="1:8" ht="15" customHeight="1" x14ac:dyDescent="0.25">
      <c r="A1946" s="2">
        <v>45947</v>
      </c>
      <c r="B1946">
        <v>2025002319</v>
      </c>
      <c r="C1946" t="s">
        <v>1796</v>
      </c>
      <c r="D1946" s="11">
        <v>3150000</v>
      </c>
      <c r="E1946">
        <v>36952916</v>
      </c>
      <c r="F1946" t="s">
        <v>1797</v>
      </c>
      <c r="G1946" t="s">
        <v>1755</v>
      </c>
    </row>
    <row r="1947" spans="1:8" ht="15" customHeight="1" x14ac:dyDescent="0.25">
      <c r="A1947" s="2">
        <v>45947</v>
      </c>
      <c r="B1947">
        <v>2025002320</v>
      </c>
      <c r="C1947" t="s">
        <v>1798</v>
      </c>
      <c r="D1947" s="11">
        <v>3150000</v>
      </c>
      <c r="E1947">
        <v>1081272025</v>
      </c>
      <c r="F1947" t="s">
        <v>59</v>
      </c>
      <c r="G1947" t="s">
        <v>1755</v>
      </c>
    </row>
    <row r="1948" spans="1:8" ht="15" customHeight="1" x14ac:dyDescent="0.25">
      <c r="A1948" s="2">
        <v>45947</v>
      </c>
      <c r="B1948">
        <v>2025002321</v>
      </c>
      <c r="C1948" t="s">
        <v>1799</v>
      </c>
      <c r="D1948" s="11">
        <v>3150000</v>
      </c>
      <c r="E1948">
        <v>1080690337</v>
      </c>
      <c r="F1948" t="s">
        <v>1086</v>
      </c>
      <c r="G1948" t="s">
        <v>1755</v>
      </c>
    </row>
    <row r="1949" spans="1:8" ht="15" customHeight="1" x14ac:dyDescent="0.25">
      <c r="A1949" s="2">
        <v>45947</v>
      </c>
      <c r="B1949">
        <v>2025002322</v>
      </c>
      <c r="C1949" t="s">
        <v>1800</v>
      </c>
      <c r="D1949" s="11">
        <v>3150000</v>
      </c>
      <c r="E1949">
        <v>1081572043</v>
      </c>
      <c r="F1949" t="s">
        <v>555</v>
      </c>
      <c r="G1949" t="s">
        <v>1755</v>
      </c>
    </row>
    <row r="1950" spans="1:8" ht="15" customHeight="1" x14ac:dyDescent="0.25">
      <c r="A1950" s="2">
        <v>45947</v>
      </c>
      <c r="B1950">
        <v>2025002323</v>
      </c>
      <c r="C1950" t="s">
        <v>1801</v>
      </c>
      <c r="D1950" s="11">
        <v>3150000</v>
      </c>
      <c r="E1950">
        <v>1085265947</v>
      </c>
      <c r="F1950" t="s">
        <v>1802</v>
      </c>
      <c r="G1950" t="s">
        <v>1755</v>
      </c>
    </row>
    <row r="1951" spans="1:8" ht="15" customHeight="1" x14ac:dyDescent="0.25">
      <c r="A1951" s="2">
        <v>45950</v>
      </c>
      <c r="B1951">
        <v>2025002328</v>
      </c>
      <c r="C1951" t="s">
        <v>1803</v>
      </c>
      <c r="D1951" s="11">
        <v>3150000</v>
      </c>
      <c r="E1951">
        <v>1085339190</v>
      </c>
      <c r="F1951" t="s">
        <v>149</v>
      </c>
      <c r="G1951" t="s">
        <v>1755</v>
      </c>
    </row>
    <row r="1952" spans="1:8" ht="15" customHeight="1" x14ac:dyDescent="0.25">
      <c r="A1952" s="2">
        <v>45950</v>
      </c>
      <c r="B1952">
        <v>2025002329</v>
      </c>
      <c r="C1952" t="s">
        <v>1804</v>
      </c>
      <c r="D1952" s="11">
        <v>3150000</v>
      </c>
      <c r="E1952">
        <v>59314458</v>
      </c>
      <c r="F1952" t="s">
        <v>1233</v>
      </c>
      <c r="G1952" t="s">
        <v>1755</v>
      </c>
    </row>
    <row r="1953" spans="1:7" ht="15" customHeight="1" x14ac:dyDescent="0.25">
      <c r="A1953" s="2">
        <v>45950</v>
      </c>
      <c r="B1953">
        <v>2025002330</v>
      </c>
      <c r="C1953" t="s">
        <v>1805</v>
      </c>
      <c r="D1953" s="11">
        <v>3150000</v>
      </c>
      <c r="E1953">
        <v>1085315013</v>
      </c>
      <c r="F1953" t="s">
        <v>1158</v>
      </c>
      <c r="G1953" t="s">
        <v>1755</v>
      </c>
    </row>
    <row r="1954" spans="1:7" ht="15" customHeight="1" x14ac:dyDescent="0.25">
      <c r="A1954" s="2">
        <v>45950</v>
      </c>
      <c r="B1954">
        <v>2025002331</v>
      </c>
      <c r="C1954" t="s">
        <v>1806</v>
      </c>
      <c r="D1954" s="11">
        <v>3900000</v>
      </c>
      <c r="E1954">
        <v>1233193769</v>
      </c>
      <c r="F1954" t="s">
        <v>1807</v>
      </c>
      <c r="G1954" t="s">
        <v>1755</v>
      </c>
    </row>
    <row r="1955" spans="1:7" ht="15" customHeight="1" x14ac:dyDescent="0.25">
      <c r="A1955" s="2">
        <v>45950</v>
      </c>
      <c r="B1955">
        <v>2025002332</v>
      </c>
      <c r="C1955" t="s">
        <v>1808</v>
      </c>
      <c r="D1955" s="11">
        <v>3900000</v>
      </c>
      <c r="E1955">
        <v>1085274300</v>
      </c>
      <c r="F1955" t="s">
        <v>1809</v>
      </c>
      <c r="G1955" t="s">
        <v>1755</v>
      </c>
    </row>
    <row r="1956" spans="1:7" ht="15" customHeight="1" x14ac:dyDescent="0.25">
      <c r="A1956" s="2">
        <v>45950</v>
      </c>
      <c r="B1956">
        <v>2025002339</v>
      </c>
      <c r="C1956" t="s">
        <v>1810</v>
      </c>
      <c r="D1956" s="11">
        <v>3900000</v>
      </c>
      <c r="E1956">
        <v>1233188295</v>
      </c>
      <c r="F1956" t="s">
        <v>1811</v>
      </c>
      <c r="G1956" t="s">
        <v>1755</v>
      </c>
    </row>
    <row r="1957" spans="1:7" ht="15" customHeight="1" x14ac:dyDescent="0.25">
      <c r="A1957" s="2">
        <v>45950</v>
      </c>
      <c r="B1957">
        <v>2025002340</v>
      </c>
      <c r="C1957" t="s">
        <v>1812</v>
      </c>
      <c r="D1957" s="11">
        <v>3900000</v>
      </c>
      <c r="E1957">
        <v>1089846684</v>
      </c>
      <c r="F1957" t="s">
        <v>1813</v>
      </c>
      <c r="G1957" t="s">
        <v>1755</v>
      </c>
    </row>
    <row r="1958" spans="1:7" ht="15" customHeight="1" x14ac:dyDescent="0.25">
      <c r="A1958" s="2">
        <v>45950</v>
      </c>
      <c r="B1958">
        <v>2025002342</v>
      </c>
      <c r="C1958" t="s">
        <v>1814</v>
      </c>
      <c r="D1958" s="11">
        <v>3150000</v>
      </c>
      <c r="E1958">
        <v>1193383314</v>
      </c>
      <c r="F1958" t="s">
        <v>1815</v>
      </c>
      <c r="G1958" t="s">
        <v>1755</v>
      </c>
    </row>
    <row r="1959" spans="1:7" ht="15" customHeight="1" x14ac:dyDescent="0.25">
      <c r="A1959" s="2">
        <v>45950</v>
      </c>
      <c r="B1959">
        <v>2025002343</v>
      </c>
      <c r="C1959" t="s">
        <v>1816</v>
      </c>
      <c r="D1959" s="11">
        <v>1575000</v>
      </c>
      <c r="E1959">
        <v>37082272</v>
      </c>
      <c r="F1959" t="s">
        <v>1817</v>
      </c>
      <c r="G1959" t="s">
        <v>1755</v>
      </c>
    </row>
    <row r="1960" spans="1:7" ht="15" customHeight="1" x14ac:dyDescent="0.25">
      <c r="A1960" s="2">
        <v>45950</v>
      </c>
      <c r="B1960">
        <v>2025002344</v>
      </c>
      <c r="C1960" t="s">
        <v>1818</v>
      </c>
      <c r="D1960" s="11">
        <v>1575000</v>
      </c>
      <c r="E1960">
        <v>1085323163</v>
      </c>
      <c r="F1960" t="s">
        <v>1819</v>
      </c>
      <c r="G1960" t="s">
        <v>1755</v>
      </c>
    </row>
    <row r="1961" spans="1:7" ht="15" customHeight="1" x14ac:dyDescent="0.25">
      <c r="A1961" s="2">
        <v>45950</v>
      </c>
      <c r="B1961">
        <v>2025002345</v>
      </c>
      <c r="C1961" t="s">
        <v>1820</v>
      </c>
      <c r="D1961" s="11">
        <v>3150000</v>
      </c>
      <c r="E1961">
        <v>1085288636</v>
      </c>
      <c r="F1961" t="s">
        <v>405</v>
      </c>
      <c r="G1961" t="s">
        <v>1755</v>
      </c>
    </row>
    <row r="1962" spans="1:7" ht="15" customHeight="1" x14ac:dyDescent="0.25">
      <c r="A1962" s="2">
        <v>45950</v>
      </c>
      <c r="B1962">
        <v>2025002349</v>
      </c>
      <c r="C1962" t="s">
        <v>1821</v>
      </c>
      <c r="D1962" s="11">
        <v>3150000</v>
      </c>
      <c r="E1962">
        <v>1085255829</v>
      </c>
      <c r="F1962" t="s">
        <v>989</v>
      </c>
      <c r="G1962" t="s">
        <v>1755</v>
      </c>
    </row>
    <row r="1963" spans="1:7" ht="15" customHeight="1" x14ac:dyDescent="0.25">
      <c r="A1963" s="2">
        <v>45950</v>
      </c>
      <c r="B1963">
        <v>2025002351</v>
      </c>
      <c r="C1963" t="s">
        <v>1822</v>
      </c>
      <c r="D1963" s="11">
        <v>3150000</v>
      </c>
      <c r="E1963">
        <v>1004131976</v>
      </c>
      <c r="F1963" t="s">
        <v>1011</v>
      </c>
      <c r="G1963" t="s">
        <v>1755</v>
      </c>
    </row>
    <row r="1964" spans="1:7" ht="15" customHeight="1" x14ac:dyDescent="0.25">
      <c r="A1964" s="2">
        <v>45950</v>
      </c>
      <c r="B1964">
        <v>2025002353</v>
      </c>
      <c r="C1964" t="s">
        <v>1823</v>
      </c>
      <c r="D1964" s="11">
        <v>3150000</v>
      </c>
      <c r="E1964">
        <v>1085275473</v>
      </c>
      <c r="F1964" t="s">
        <v>693</v>
      </c>
      <c r="G1964" t="s">
        <v>1755</v>
      </c>
    </row>
    <row r="1965" spans="1:7" ht="15" customHeight="1" x14ac:dyDescent="0.25">
      <c r="A1965" s="2">
        <v>45951</v>
      </c>
      <c r="B1965">
        <v>2025002357</v>
      </c>
      <c r="C1965" t="s">
        <v>1824</v>
      </c>
      <c r="D1965" s="11">
        <v>4730000</v>
      </c>
      <c r="E1965">
        <v>36756149</v>
      </c>
      <c r="F1965" t="s">
        <v>1825</v>
      </c>
      <c r="G1965" t="s">
        <v>1755</v>
      </c>
    </row>
    <row r="1966" spans="1:7" ht="15" customHeight="1" x14ac:dyDescent="0.25">
      <c r="A1966" s="2">
        <v>45951</v>
      </c>
      <c r="B1966">
        <v>2025002361</v>
      </c>
      <c r="C1966" t="s">
        <v>1826</v>
      </c>
      <c r="D1966" s="11">
        <v>7800000</v>
      </c>
      <c r="E1966">
        <v>1233189066</v>
      </c>
      <c r="F1966" t="s">
        <v>239</v>
      </c>
      <c r="G1966" t="s">
        <v>1755</v>
      </c>
    </row>
    <row r="1967" spans="1:7" ht="15" customHeight="1" x14ac:dyDescent="0.25">
      <c r="A1967" s="2">
        <v>45951</v>
      </c>
      <c r="B1967">
        <v>2025002363</v>
      </c>
      <c r="C1967" t="s">
        <v>1827</v>
      </c>
      <c r="D1967" s="11">
        <v>3150000</v>
      </c>
      <c r="E1967">
        <v>1137624011</v>
      </c>
      <c r="F1967" t="s">
        <v>243</v>
      </c>
      <c r="G1967" t="s">
        <v>1755</v>
      </c>
    </row>
    <row r="1968" spans="1:7" ht="15" customHeight="1" x14ac:dyDescent="0.25">
      <c r="A1968" s="2">
        <v>45951</v>
      </c>
      <c r="B1968">
        <v>2025002365</v>
      </c>
      <c r="C1968" t="s">
        <v>1828</v>
      </c>
      <c r="D1968" s="11">
        <v>1575000</v>
      </c>
      <c r="E1968">
        <v>1086330124</v>
      </c>
      <c r="F1968" t="s">
        <v>1829</v>
      </c>
      <c r="G1968" t="s">
        <v>1755</v>
      </c>
    </row>
    <row r="1969" spans="1:7" ht="15" customHeight="1" x14ac:dyDescent="0.25">
      <c r="A1969" s="2">
        <v>45951</v>
      </c>
      <c r="B1969">
        <v>2025002366</v>
      </c>
      <c r="C1969" t="s">
        <v>1830</v>
      </c>
      <c r="D1969" s="11">
        <v>7800000</v>
      </c>
      <c r="E1969">
        <v>1084552063</v>
      </c>
      <c r="F1969" t="s">
        <v>1831</v>
      </c>
      <c r="G1969" t="s">
        <v>1755</v>
      </c>
    </row>
    <row r="1970" spans="1:7" ht="15" customHeight="1" x14ac:dyDescent="0.25">
      <c r="A1970" s="2">
        <v>45951</v>
      </c>
      <c r="B1970">
        <v>2025002367</v>
      </c>
      <c r="C1970" t="s">
        <v>1832</v>
      </c>
      <c r="D1970" s="11">
        <v>3150000</v>
      </c>
      <c r="E1970">
        <v>1004235479</v>
      </c>
      <c r="F1970" t="s">
        <v>477</v>
      </c>
      <c r="G1970" t="s">
        <v>1755</v>
      </c>
    </row>
    <row r="1971" spans="1:7" ht="15" customHeight="1" x14ac:dyDescent="0.25">
      <c r="A1971" s="2">
        <v>45951</v>
      </c>
      <c r="B1971">
        <v>2025002369</v>
      </c>
      <c r="C1971" t="s">
        <v>1833</v>
      </c>
      <c r="D1971" s="11">
        <v>6300000</v>
      </c>
      <c r="E1971">
        <v>59310291</v>
      </c>
      <c r="F1971" t="s">
        <v>1834</v>
      </c>
      <c r="G1971" t="s">
        <v>1755</v>
      </c>
    </row>
    <row r="1972" spans="1:7" ht="15" customHeight="1" x14ac:dyDescent="0.25">
      <c r="A1972" s="2">
        <v>45951</v>
      </c>
      <c r="B1972">
        <v>2025002370</v>
      </c>
      <c r="C1972" t="s">
        <v>1835</v>
      </c>
      <c r="D1972" s="11">
        <v>3150000</v>
      </c>
      <c r="E1972">
        <v>1085286725</v>
      </c>
      <c r="F1972" t="s">
        <v>111</v>
      </c>
      <c r="G1972" t="s">
        <v>1755</v>
      </c>
    </row>
    <row r="1973" spans="1:7" ht="15" customHeight="1" x14ac:dyDescent="0.25">
      <c r="A1973" s="2">
        <v>45951</v>
      </c>
      <c r="B1973">
        <v>2025002372</v>
      </c>
      <c r="C1973" t="s">
        <v>1836</v>
      </c>
      <c r="D1973" s="11">
        <v>4730000</v>
      </c>
      <c r="E1973">
        <v>36757491</v>
      </c>
      <c r="F1973" t="s">
        <v>1837</v>
      </c>
      <c r="G1973" t="s">
        <v>1755</v>
      </c>
    </row>
    <row r="1974" spans="1:7" ht="15" customHeight="1" x14ac:dyDescent="0.25">
      <c r="A1974" s="2">
        <v>45951</v>
      </c>
      <c r="B1974">
        <v>2025002373</v>
      </c>
      <c r="C1974" t="s">
        <v>1838</v>
      </c>
      <c r="D1974" s="11">
        <v>6300000</v>
      </c>
      <c r="E1974">
        <v>1084228089</v>
      </c>
      <c r="F1974" t="s">
        <v>1062</v>
      </c>
      <c r="G1974" t="s">
        <v>1755</v>
      </c>
    </row>
    <row r="1975" spans="1:7" ht="15" customHeight="1" x14ac:dyDescent="0.25">
      <c r="A1975" s="2">
        <v>45951</v>
      </c>
      <c r="B1975">
        <v>2025002374</v>
      </c>
      <c r="C1975" t="s">
        <v>1839</v>
      </c>
      <c r="D1975" s="11">
        <v>4730000</v>
      </c>
      <c r="E1975">
        <v>1085340885</v>
      </c>
      <c r="F1975" t="s">
        <v>1142</v>
      </c>
      <c r="G1975" t="s">
        <v>1755</v>
      </c>
    </row>
    <row r="1976" spans="1:7" ht="15" customHeight="1" x14ac:dyDescent="0.25">
      <c r="A1976" s="2">
        <v>45951</v>
      </c>
      <c r="B1976">
        <v>2025002375</v>
      </c>
      <c r="C1976" t="s">
        <v>1840</v>
      </c>
      <c r="D1976" s="11">
        <v>7800000</v>
      </c>
      <c r="E1976">
        <v>1085334279</v>
      </c>
      <c r="F1976" t="s">
        <v>1841</v>
      </c>
      <c r="G1976" t="s">
        <v>1755</v>
      </c>
    </row>
    <row r="1977" spans="1:7" ht="15" customHeight="1" x14ac:dyDescent="0.25">
      <c r="A1977" s="2">
        <v>45951</v>
      </c>
      <c r="B1977">
        <v>2025002376</v>
      </c>
      <c r="C1977" t="s">
        <v>1842</v>
      </c>
      <c r="D1977" s="11">
        <v>3150000</v>
      </c>
      <c r="E1977">
        <v>1089458776</v>
      </c>
      <c r="F1977" t="s">
        <v>1843</v>
      </c>
      <c r="G1977" t="s">
        <v>1755</v>
      </c>
    </row>
    <row r="1978" spans="1:7" ht="15" customHeight="1" x14ac:dyDescent="0.25">
      <c r="A1978" s="2">
        <v>45951</v>
      </c>
      <c r="B1978">
        <v>2025002377</v>
      </c>
      <c r="C1978" t="s">
        <v>1844</v>
      </c>
      <c r="D1978" s="11">
        <v>7800000</v>
      </c>
      <c r="E1978">
        <v>37087120</v>
      </c>
      <c r="F1978" t="s">
        <v>159</v>
      </c>
      <c r="G1978" t="s">
        <v>1755</v>
      </c>
    </row>
    <row r="1979" spans="1:7" ht="15" customHeight="1" x14ac:dyDescent="0.25">
      <c r="A1979" s="2">
        <v>45951</v>
      </c>
      <c r="B1979">
        <v>2025002378</v>
      </c>
      <c r="C1979" t="s">
        <v>1845</v>
      </c>
      <c r="D1979" s="11">
        <v>6300000</v>
      </c>
      <c r="E1979">
        <v>1084551863</v>
      </c>
      <c r="F1979" t="s">
        <v>1846</v>
      </c>
      <c r="G1979" t="s">
        <v>1755</v>
      </c>
    </row>
    <row r="1980" spans="1:7" ht="15" customHeight="1" x14ac:dyDescent="0.25">
      <c r="A1980" s="2">
        <v>45951</v>
      </c>
      <c r="B1980">
        <v>2025002379</v>
      </c>
      <c r="C1980" t="s">
        <v>1847</v>
      </c>
      <c r="D1980" s="11">
        <v>6300000</v>
      </c>
      <c r="E1980">
        <v>27090399</v>
      </c>
      <c r="F1980" t="s">
        <v>1848</v>
      </c>
      <c r="G1980" t="s">
        <v>1755</v>
      </c>
    </row>
    <row r="1981" spans="1:7" ht="15" customHeight="1" x14ac:dyDescent="0.25">
      <c r="A1981" s="2">
        <v>45951</v>
      </c>
      <c r="B1981">
        <v>2025002380</v>
      </c>
      <c r="C1981" t="s">
        <v>1849</v>
      </c>
      <c r="D1981" s="11">
        <v>7800000</v>
      </c>
      <c r="E1981">
        <v>1085336362</v>
      </c>
      <c r="F1981" t="s">
        <v>41</v>
      </c>
      <c r="G1981" t="s">
        <v>1755</v>
      </c>
    </row>
    <row r="1982" spans="1:7" ht="15" customHeight="1" x14ac:dyDescent="0.25">
      <c r="A1982" s="2">
        <v>45951</v>
      </c>
      <c r="B1982">
        <v>2025002381</v>
      </c>
      <c r="C1982" t="s">
        <v>1850</v>
      </c>
      <c r="D1982" s="11">
        <v>4730000</v>
      </c>
      <c r="E1982">
        <v>1085260497</v>
      </c>
      <c r="F1982" t="s">
        <v>429</v>
      </c>
      <c r="G1982" t="s">
        <v>1755</v>
      </c>
    </row>
    <row r="1983" spans="1:7" ht="15" customHeight="1" x14ac:dyDescent="0.25">
      <c r="A1983" s="2">
        <v>45951</v>
      </c>
      <c r="B1983">
        <v>2025002382</v>
      </c>
      <c r="C1983" t="s">
        <v>1851</v>
      </c>
      <c r="D1983" s="11">
        <v>7800000</v>
      </c>
      <c r="E1983">
        <v>1193292339</v>
      </c>
      <c r="F1983" t="s">
        <v>1852</v>
      </c>
      <c r="G1983" t="s">
        <v>1755</v>
      </c>
    </row>
    <row r="1984" spans="1:7" ht="15" customHeight="1" x14ac:dyDescent="0.25">
      <c r="A1984" s="2">
        <v>45951</v>
      </c>
      <c r="B1984">
        <v>2025002384</v>
      </c>
      <c r="C1984" t="s">
        <v>1853</v>
      </c>
      <c r="D1984" s="11">
        <v>4730000</v>
      </c>
      <c r="E1984">
        <v>1085318684</v>
      </c>
      <c r="F1984" t="s">
        <v>355</v>
      </c>
      <c r="G1984" t="s">
        <v>1755</v>
      </c>
    </row>
    <row r="1985" spans="1:7" ht="15" customHeight="1" x14ac:dyDescent="0.25">
      <c r="A1985" s="2">
        <v>45951</v>
      </c>
      <c r="B1985">
        <v>2025002385</v>
      </c>
      <c r="C1985" t="s">
        <v>1854</v>
      </c>
      <c r="D1985" s="11">
        <v>6300000</v>
      </c>
      <c r="E1985">
        <v>37086513</v>
      </c>
      <c r="F1985" t="s">
        <v>1855</v>
      </c>
      <c r="G1985" t="s">
        <v>1755</v>
      </c>
    </row>
    <row r="1986" spans="1:7" ht="15" customHeight="1" x14ac:dyDescent="0.25">
      <c r="A1986" s="2">
        <v>45951</v>
      </c>
      <c r="B1986">
        <v>2025002386</v>
      </c>
      <c r="C1986" t="s">
        <v>1856</v>
      </c>
      <c r="D1986" s="11">
        <v>3150000</v>
      </c>
      <c r="E1986">
        <v>1087006717</v>
      </c>
      <c r="F1986" t="s">
        <v>1163</v>
      </c>
      <c r="G1986" t="s">
        <v>1755</v>
      </c>
    </row>
    <row r="1987" spans="1:7" ht="15" customHeight="1" x14ac:dyDescent="0.25">
      <c r="A1987" s="2">
        <v>45951</v>
      </c>
      <c r="B1987">
        <v>2025002388</v>
      </c>
      <c r="C1987" t="s">
        <v>1857</v>
      </c>
      <c r="D1987" s="11">
        <v>3150000</v>
      </c>
      <c r="E1987">
        <v>1233189234</v>
      </c>
      <c r="F1987" t="s">
        <v>87</v>
      </c>
      <c r="G1987" t="s">
        <v>1755</v>
      </c>
    </row>
    <row r="1988" spans="1:7" ht="15" customHeight="1" x14ac:dyDescent="0.25">
      <c r="A1988" s="2">
        <v>45952</v>
      </c>
      <c r="B1988">
        <v>2025002389</v>
      </c>
      <c r="C1988" t="s">
        <v>1858</v>
      </c>
      <c r="D1988" s="11">
        <v>4730000</v>
      </c>
      <c r="E1988">
        <v>1087960287</v>
      </c>
      <c r="F1988" t="s">
        <v>1859</v>
      </c>
      <c r="G1988" t="s">
        <v>1755</v>
      </c>
    </row>
    <row r="1989" spans="1:7" ht="15" customHeight="1" x14ac:dyDescent="0.25">
      <c r="A1989" s="2">
        <v>45952</v>
      </c>
      <c r="B1989">
        <v>2025002390</v>
      </c>
      <c r="C1989" t="s">
        <v>1860</v>
      </c>
      <c r="D1989" s="11">
        <v>7800000</v>
      </c>
      <c r="E1989">
        <v>80765093</v>
      </c>
      <c r="F1989" t="s">
        <v>69</v>
      </c>
      <c r="G1989" t="s">
        <v>1755</v>
      </c>
    </row>
    <row r="1990" spans="1:7" ht="15" customHeight="1" x14ac:dyDescent="0.25">
      <c r="A1990" s="2">
        <v>45952</v>
      </c>
      <c r="B1990">
        <v>2025002393</v>
      </c>
      <c r="C1990" t="s">
        <v>1861</v>
      </c>
      <c r="D1990" s="11">
        <v>7800000</v>
      </c>
      <c r="E1990">
        <v>1006946167</v>
      </c>
      <c r="F1990" t="s">
        <v>63</v>
      </c>
      <c r="G1990" t="s">
        <v>1755</v>
      </c>
    </row>
    <row r="1991" spans="1:7" ht="15" customHeight="1" x14ac:dyDescent="0.25">
      <c r="A1991" s="2">
        <v>45952</v>
      </c>
      <c r="B1991">
        <v>2025002394</v>
      </c>
      <c r="C1991" t="s">
        <v>1862</v>
      </c>
      <c r="D1991" s="11">
        <v>6300000</v>
      </c>
      <c r="E1991">
        <v>1085284997</v>
      </c>
      <c r="F1991" t="s">
        <v>1863</v>
      </c>
      <c r="G1991" t="s">
        <v>1755</v>
      </c>
    </row>
    <row r="1992" spans="1:7" ht="15" customHeight="1" x14ac:dyDescent="0.25">
      <c r="A1992" s="2">
        <v>45952</v>
      </c>
      <c r="B1992">
        <v>2025002395</v>
      </c>
      <c r="C1992" t="s">
        <v>1864</v>
      </c>
      <c r="D1992" s="11">
        <v>3150000</v>
      </c>
      <c r="E1992">
        <v>1089458048</v>
      </c>
      <c r="F1992" t="s">
        <v>1865</v>
      </c>
      <c r="G1992" t="s">
        <v>1755</v>
      </c>
    </row>
    <row r="1993" spans="1:7" ht="15" customHeight="1" x14ac:dyDescent="0.25">
      <c r="A1993" s="2">
        <v>45952</v>
      </c>
      <c r="B1993">
        <v>2025002396</v>
      </c>
      <c r="C1993" t="s">
        <v>1866</v>
      </c>
      <c r="D1993" s="11">
        <v>3150000</v>
      </c>
      <c r="E1993">
        <v>1086358836</v>
      </c>
      <c r="F1993" t="s">
        <v>1867</v>
      </c>
      <c r="G1993" t="s">
        <v>1755</v>
      </c>
    </row>
    <row r="1994" spans="1:7" ht="15" customHeight="1" x14ac:dyDescent="0.25">
      <c r="A1994" s="2">
        <v>45952</v>
      </c>
      <c r="B1994">
        <v>2025002397</v>
      </c>
      <c r="C1994" t="s">
        <v>1868</v>
      </c>
      <c r="D1994" s="11">
        <v>3150000</v>
      </c>
      <c r="E1994">
        <v>36752202</v>
      </c>
      <c r="F1994" t="s">
        <v>263</v>
      </c>
      <c r="G1994" t="s">
        <v>1755</v>
      </c>
    </row>
    <row r="1995" spans="1:7" ht="15" customHeight="1" x14ac:dyDescent="0.25">
      <c r="A1995" s="2">
        <v>45952</v>
      </c>
      <c r="B1995">
        <v>2025002399</v>
      </c>
      <c r="C1995" t="s">
        <v>1869</v>
      </c>
      <c r="D1995" s="11">
        <v>7800000</v>
      </c>
      <c r="E1995">
        <v>1085329980</v>
      </c>
      <c r="F1995" t="s">
        <v>791</v>
      </c>
      <c r="G1995" t="s">
        <v>1755</v>
      </c>
    </row>
    <row r="1996" spans="1:7" ht="15" customHeight="1" x14ac:dyDescent="0.25">
      <c r="A1996" s="2">
        <v>45952</v>
      </c>
      <c r="B1996">
        <v>2025002400</v>
      </c>
      <c r="C1996" t="s">
        <v>1870</v>
      </c>
      <c r="D1996" s="11">
        <v>4730000</v>
      </c>
      <c r="E1996">
        <v>1087413951</v>
      </c>
      <c r="F1996" t="s">
        <v>95</v>
      </c>
      <c r="G1996" t="s">
        <v>1755</v>
      </c>
    </row>
    <row r="1997" spans="1:7" ht="15" customHeight="1" x14ac:dyDescent="0.25">
      <c r="A1997" s="2">
        <v>45952</v>
      </c>
      <c r="B1997">
        <v>2025002401</v>
      </c>
      <c r="C1997" t="s">
        <v>1871</v>
      </c>
      <c r="D1997" s="11">
        <v>7800000</v>
      </c>
      <c r="E1997">
        <v>1083814276</v>
      </c>
      <c r="F1997" t="s">
        <v>1872</v>
      </c>
      <c r="G1997" t="s">
        <v>1755</v>
      </c>
    </row>
    <row r="1998" spans="1:7" ht="15" customHeight="1" x14ac:dyDescent="0.25">
      <c r="A1998" s="2">
        <v>45952</v>
      </c>
      <c r="B1998">
        <v>2025002402</v>
      </c>
      <c r="C1998" t="s">
        <v>1873</v>
      </c>
      <c r="D1998" s="11">
        <v>3150000</v>
      </c>
      <c r="E1998">
        <v>1087644986</v>
      </c>
      <c r="F1998" t="s">
        <v>1874</v>
      </c>
      <c r="G1998" t="s">
        <v>1755</v>
      </c>
    </row>
    <row r="1999" spans="1:7" ht="15" customHeight="1" x14ac:dyDescent="0.25">
      <c r="A1999" s="2">
        <v>45952</v>
      </c>
      <c r="B1999">
        <v>2025002403</v>
      </c>
      <c r="C1999" t="s">
        <v>1875</v>
      </c>
      <c r="D1999" s="11">
        <v>7800000</v>
      </c>
      <c r="E1999">
        <v>1087006619</v>
      </c>
      <c r="F1999" t="s">
        <v>1218</v>
      </c>
      <c r="G1999" t="s">
        <v>1755</v>
      </c>
    </row>
    <row r="2000" spans="1:7" ht="15" customHeight="1" x14ac:dyDescent="0.25">
      <c r="A2000" s="2">
        <v>45952</v>
      </c>
      <c r="B2000">
        <v>2025002404</v>
      </c>
      <c r="C2000" t="s">
        <v>1876</v>
      </c>
      <c r="D2000" s="11">
        <v>3150000</v>
      </c>
      <c r="E2000">
        <v>1081052746</v>
      </c>
      <c r="F2000" t="s">
        <v>658</v>
      </c>
      <c r="G2000" t="s">
        <v>1755</v>
      </c>
    </row>
    <row r="2001" spans="1:7" ht="15" customHeight="1" x14ac:dyDescent="0.25">
      <c r="A2001" s="2">
        <v>45952</v>
      </c>
      <c r="B2001">
        <v>2025002405</v>
      </c>
      <c r="C2001" t="s">
        <v>1877</v>
      </c>
      <c r="D2001" s="11">
        <v>1575000</v>
      </c>
      <c r="E2001">
        <v>1084552048</v>
      </c>
      <c r="F2001" t="s">
        <v>1230</v>
      </c>
      <c r="G2001" t="s">
        <v>1755</v>
      </c>
    </row>
    <row r="2002" spans="1:7" ht="15" customHeight="1" x14ac:dyDescent="0.25">
      <c r="A2002" s="2">
        <v>45952</v>
      </c>
      <c r="B2002">
        <v>2025002406</v>
      </c>
      <c r="C2002" t="s">
        <v>1878</v>
      </c>
      <c r="D2002" s="11">
        <v>3150000</v>
      </c>
      <c r="E2002">
        <v>1085302942</v>
      </c>
      <c r="F2002" t="s">
        <v>417</v>
      </c>
      <c r="G2002" t="s">
        <v>1755</v>
      </c>
    </row>
    <row r="2003" spans="1:7" ht="15" customHeight="1" x14ac:dyDescent="0.25">
      <c r="A2003" s="2">
        <v>45952</v>
      </c>
      <c r="B2003">
        <v>2025002407</v>
      </c>
      <c r="C2003" t="s">
        <v>1879</v>
      </c>
      <c r="D2003" s="11">
        <v>3150000</v>
      </c>
      <c r="E2003">
        <v>1085335033</v>
      </c>
      <c r="F2003" t="s">
        <v>1880</v>
      </c>
      <c r="G2003" t="s">
        <v>1755</v>
      </c>
    </row>
    <row r="2004" spans="1:7" ht="15" customHeight="1" x14ac:dyDescent="0.25">
      <c r="A2004" s="2">
        <v>45952</v>
      </c>
      <c r="B2004">
        <v>2025002408</v>
      </c>
      <c r="C2004" t="s">
        <v>1881</v>
      </c>
      <c r="D2004" s="11">
        <v>3150000</v>
      </c>
      <c r="E2004">
        <v>1085267332</v>
      </c>
      <c r="F2004" t="s">
        <v>1882</v>
      </c>
      <c r="G2004" t="s">
        <v>1755</v>
      </c>
    </row>
    <row r="2005" spans="1:7" ht="15" customHeight="1" x14ac:dyDescent="0.25">
      <c r="A2005" s="2">
        <v>45952</v>
      </c>
      <c r="B2005">
        <v>2025002409</v>
      </c>
      <c r="C2005" t="s">
        <v>1883</v>
      </c>
      <c r="D2005" s="11">
        <v>6300000</v>
      </c>
      <c r="E2005">
        <v>1085296068</v>
      </c>
      <c r="F2005" t="s">
        <v>1884</v>
      </c>
      <c r="G2005" t="s">
        <v>1755</v>
      </c>
    </row>
    <row r="2006" spans="1:7" ht="15" customHeight="1" x14ac:dyDescent="0.25">
      <c r="A2006" s="2">
        <v>45952</v>
      </c>
      <c r="B2006">
        <v>2025002410</v>
      </c>
      <c r="C2006" t="s">
        <v>1885</v>
      </c>
      <c r="D2006" s="11">
        <v>3150000</v>
      </c>
      <c r="E2006">
        <v>27549931</v>
      </c>
      <c r="F2006" t="s">
        <v>1886</v>
      </c>
      <c r="G2006" t="s">
        <v>1755</v>
      </c>
    </row>
    <row r="2007" spans="1:7" ht="15" customHeight="1" x14ac:dyDescent="0.25">
      <c r="A2007" s="2">
        <v>45952</v>
      </c>
      <c r="B2007">
        <v>2025002412</v>
      </c>
      <c r="C2007" t="s">
        <v>1887</v>
      </c>
      <c r="D2007" s="11">
        <v>4730000</v>
      </c>
      <c r="E2007">
        <v>1084227101</v>
      </c>
      <c r="F2007" t="s">
        <v>1888</v>
      </c>
      <c r="G2007" t="s">
        <v>1755</v>
      </c>
    </row>
    <row r="2008" spans="1:7" ht="15" customHeight="1" x14ac:dyDescent="0.25">
      <c r="A2008" s="2">
        <v>45952</v>
      </c>
      <c r="B2008">
        <v>2025002413</v>
      </c>
      <c r="C2008" t="s">
        <v>1889</v>
      </c>
      <c r="D2008" s="11">
        <v>3150000</v>
      </c>
      <c r="E2008">
        <v>1082747438</v>
      </c>
      <c r="F2008" t="s">
        <v>548</v>
      </c>
      <c r="G2008" t="s">
        <v>1755</v>
      </c>
    </row>
    <row r="2009" spans="1:7" ht="15" customHeight="1" x14ac:dyDescent="0.25">
      <c r="A2009" s="2">
        <v>45952</v>
      </c>
      <c r="B2009">
        <v>2025002414</v>
      </c>
      <c r="C2009" t="s">
        <v>1890</v>
      </c>
      <c r="D2009" s="11">
        <v>4730000</v>
      </c>
      <c r="E2009">
        <v>1082749648</v>
      </c>
      <c r="F2009" t="s">
        <v>1891</v>
      </c>
      <c r="G2009" t="s">
        <v>1755</v>
      </c>
    </row>
    <row r="2010" spans="1:7" ht="15" customHeight="1" x14ac:dyDescent="0.25">
      <c r="A2010" s="2">
        <v>45952</v>
      </c>
      <c r="B2010">
        <v>2025002415</v>
      </c>
      <c r="C2010" t="s">
        <v>1892</v>
      </c>
      <c r="D2010" s="11">
        <v>3150000</v>
      </c>
      <c r="E2010">
        <v>37087117</v>
      </c>
      <c r="F2010" t="s">
        <v>1893</v>
      </c>
      <c r="G2010" t="s">
        <v>1755</v>
      </c>
    </row>
    <row r="2011" spans="1:7" ht="15" customHeight="1" x14ac:dyDescent="0.25">
      <c r="A2011" s="2">
        <v>45952</v>
      </c>
      <c r="B2011">
        <v>2025002416</v>
      </c>
      <c r="C2011" t="s">
        <v>1894</v>
      </c>
      <c r="D2011" s="11">
        <v>3150000</v>
      </c>
      <c r="E2011">
        <v>27276869</v>
      </c>
      <c r="F2011" t="s">
        <v>1895</v>
      </c>
      <c r="G2011" t="s">
        <v>1755</v>
      </c>
    </row>
    <row r="2012" spans="1:7" ht="15" customHeight="1" x14ac:dyDescent="0.25">
      <c r="A2012" s="2">
        <v>45952</v>
      </c>
      <c r="B2012">
        <v>2025002417</v>
      </c>
      <c r="C2012" t="s">
        <v>1896</v>
      </c>
      <c r="D2012" s="11">
        <v>1575000</v>
      </c>
      <c r="E2012">
        <v>1086224204</v>
      </c>
      <c r="F2012" t="s">
        <v>1897</v>
      </c>
      <c r="G2012" t="s">
        <v>1755</v>
      </c>
    </row>
    <row r="2013" spans="1:7" ht="15" customHeight="1" x14ac:dyDescent="0.25">
      <c r="A2013" s="2">
        <v>45952</v>
      </c>
      <c r="B2013">
        <v>2025002418</v>
      </c>
      <c r="C2013" t="s">
        <v>1898</v>
      </c>
      <c r="D2013" s="11">
        <v>3150000</v>
      </c>
      <c r="E2013">
        <v>59310056</v>
      </c>
      <c r="F2013" t="s">
        <v>1899</v>
      </c>
      <c r="G2013" t="s">
        <v>1755</v>
      </c>
    </row>
    <row r="2014" spans="1:7" ht="15" customHeight="1" x14ac:dyDescent="0.25">
      <c r="A2014" s="2">
        <v>45952</v>
      </c>
      <c r="B2014">
        <v>2025002419</v>
      </c>
      <c r="C2014" t="s">
        <v>1900</v>
      </c>
      <c r="D2014" s="11">
        <v>6300000</v>
      </c>
      <c r="E2014">
        <v>1082748420</v>
      </c>
      <c r="F2014" t="s">
        <v>450</v>
      </c>
      <c r="G2014" t="s">
        <v>1755</v>
      </c>
    </row>
    <row r="2015" spans="1:7" ht="15" customHeight="1" x14ac:dyDescent="0.25">
      <c r="A2015" s="2">
        <v>45952</v>
      </c>
      <c r="B2015">
        <v>2025002426</v>
      </c>
      <c r="C2015" t="s">
        <v>1901</v>
      </c>
      <c r="D2015" s="11">
        <v>4730000</v>
      </c>
      <c r="E2015">
        <v>1005829176</v>
      </c>
      <c r="F2015" t="s">
        <v>1902</v>
      </c>
      <c r="G2015" t="s">
        <v>1755</v>
      </c>
    </row>
    <row r="2016" spans="1:7" ht="15" customHeight="1" x14ac:dyDescent="0.25">
      <c r="A2016" s="2">
        <v>45952</v>
      </c>
      <c r="B2016">
        <v>2025002427</v>
      </c>
      <c r="C2016" t="s">
        <v>1903</v>
      </c>
      <c r="D2016" s="11">
        <v>6300000</v>
      </c>
      <c r="E2016">
        <v>1014212900</v>
      </c>
      <c r="F2016" t="s">
        <v>583</v>
      </c>
      <c r="G2016" t="s">
        <v>1755</v>
      </c>
    </row>
    <row r="2017" spans="1:7" ht="15" customHeight="1" x14ac:dyDescent="0.25">
      <c r="A2017" s="2">
        <v>45953</v>
      </c>
      <c r="B2017">
        <v>2025002429</v>
      </c>
      <c r="C2017" t="s">
        <v>1904</v>
      </c>
      <c r="D2017" s="11">
        <v>6300000</v>
      </c>
      <c r="E2017">
        <v>1085277976</v>
      </c>
      <c r="F2017" t="s">
        <v>1084</v>
      </c>
      <c r="G2017" t="s">
        <v>1755</v>
      </c>
    </row>
    <row r="2018" spans="1:7" ht="15" customHeight="1" x14ac:dyDescent="0.25">
      <c r="A2018" s="2">
        <v>45953</v>
      </c>
      <c r="B2018">
        <v>2025002430</v>
      </c>
      <c r="C2018" t="s">
        <v>1905</v>
      </c>
      <c r="D2018" s="11">
        <v>7800000</v>
      </c>
      <c r="E2018">
        <v>1085293105</v>
      </c>
      <c r="F2018" t="s">
        <v>745</v>
      </c>
      <c r="G2018" t="s">
        <v>1755</v>
      </c>
    </row>
    <row r="2019" spans="1:7" ht="15" customHeight="1" x14ac:dyDescent="0.25">
      <c r="A2019" s="2">
        <v>45953</v>
      </c>
      <c r="B2019">
        <v>2025002431</v>
      </c>
      <c r="C2019" t="s">
        <v>1906</v>
      </c>
      <c r="D2019" s="11">
        <v>3150000</v>
      </c>
      <c r="E2019">
        <v>36758143</v>
      </c>
      <c r="F2019" t="s">
        <v>107</v>
      </c>
      <c r="G2019" t="s">
        <v>1755</v>
      </c>
    </row>
    <row r="2020" spans="1:7" ht="15" customHeight="1" x14ac:dyDescent="0.25">
      <c r="A2020" s="2">
        <v>45953</v>
      </c>
      <c r="B2020">
        <v>2025002434</v>
      </c>
      <c r="C2020" t="s">
        <v>1907</v>
      </c>
      <c r="D2020" s="11">
        <v>4730000</v>
      </c>
      <c r="E2020">
        <v>36953206</v>
      </c>
      <c r="F2020" t="s">
        <v>391</v>
      </c>
      <c r="G2020" t="s">
        <v>1755</v>
      </c>
    </row>
    <row r="2021" spans="1:7" ht="15" customHeight="1" x14ac:dyDescent="0.25">
      <c r="A2021" s="2">
        <v>45953</v>
      </c>
      <c r="B2021">
        <v>2025002435</v>
      </c>
      <c r="C2021" t="s">
        <v>1908</v>
      </c>
      <c r="D2021" s="11">
        <v>7800000</v>
      </c>
      <c r="E2021">
        <v>1193202097</v>
      </c>
      <c r="F2021" t="s">
        <v>163</v>
      </c>
      <c r="G2021" t="s">
        <v>1755</v>
      </c>
    </row>
    <row r="2022" spans="1:7" ht="15" customHeight="1" x14ac:dyDescent="0.25">
      <c r="A2022" s="2">
        <v>45953</v>
      </c>
      <c r="B2022">
        <v>2025002436</v>
      </c>
      <c r="C2022" t="s">
        <v>1909</v>
      </c>
      <c r="D2022" s="11">
        <v>6300000</v>
      </c>
      <c r="E2022">
        <v>59820414</v>
      </c>
      <c r="F2022" t="s">
        <v>457</v>
      </c>
      <c r="G2022" t="s">
        <v>1755</v>
      </c>
    </row>
    <row r="2023" spans="1:7" ht="15" customHeight="1" x14ac:dyDescent="0.25">
      <c r="A2023" s="2">
        <v>45953</v>
      </c>
      <c r="B2023">
        <v>2025002437</v>
      </c>
      <c r="C2023" t="s">
        <v>1910</v>
      </c>
      <c r="D2023" s="11">
        <v>4730000</v>
      </c>
      <c r="E2023">
        <v>59651018</v>
      </c>
      <c r="F2023" t="s">
        <v>493</v>
      </c>
      <c r="G2023" t="s">
        <v>1755</v>
      </c>
    </row>
    <row r="2024" spans="1:7" ht="15" customHeight="1" x14ac:dyDescent="0.25">
      <c r="A2024" s="2">
        <v>45953</v>
      </c>
      <c r="B2024">
        <v>2025002438</v>
      </c>
      <c r="C2024" t="s">
        <v>1911</v>
      </c>
      <c r="D2024" s="11">
        <v>3150000</v>
      </c>
      <c r="E2024">
        <v>1085271641</v>
      </c>
      <c r="F2024" t="s">
        <v>251</v>
      </c>
      <c r="G2024" t="s">
        <v>1755</v>
      </c>
    </row>
    <row r="2025" spans="1:7" ht="15" customHeight="1" x14ac:dyDescent="0.25">
      <c r="A2025" s="2">
        <v>45954</v>
      </c>
      <c r="B2025">
        <v>2025002439</v>
      </c>
      <c r="C2025" t="s">
        <v>1912</v>
      </c>
      <c r="D2025" s="11">
        <v>3150000</v>
      </c>
      <c r="E2025">
        <v>59310853</v>
      </c>
      <c r="F2025" t="s">
        <v>1202</v>
      </c>
      <c r="G2025" t="s">
        <v>1755</v>
      </c>
    </row>
    <row r="2026" spans="1:7" ht="15" customHeight="1" x14ac:dyDescent="0.25">
      <c r="A2026" s="2">
        <v>45954</v>
      </c>
      <c r="B2026">
        <v>2025002442</v>
      </c>
      <c r="C2026" t="s">
        <v>1913</v>
      </c>
      <c r="D2026" s="11">
        <v>7800000</v>
      </c>
      <c r="E2026">
        <v>1089483067</v>
      </c>
      <c r="F2026" t="s">
        <v>1266</v>
      </c>
      <c r="G2026" t="s">
        <v>1755</v>
      </c>
    </row>
    <row r="2027" spans="1:7" ht="15" customHeight="1" x14ac:dyDescent="0.25">
      <c r="A2027" s="2">
        <v>45954</v>
      </c>
      <c r="B2027">
        <v>2025002443</v>
      </c>
      <c r="C2027" t="s">
        <v>1914</v>
      </c>
      <c r="D2027" s="11">
        <v>6300000</v>
      </c>
      <c r="E2027">
        <v>1085299577</v>
      </c>
      <c r="F2027" t="s">
        <v>1182</v>
      </c>
      <c r="G2027" t="s">
        <v>1755</v>
      </c>
    </row>
    <row r="2028" spans="1:7" ht="15" customHeight="1" x14ac:dyDescent="0.25">
      <c r="A2028" s="2">
        <v>45954</v>
      </c>
      <c r="B2028">
        <v>2025002444</v>
      </c>
      <c r="C2028" t="s">
        <v>1915</v>
      </c>
      <c r="D2028" s="11">
        <v>3150000</v>
      </c>
      <c r="E2028">
        <v>59310524</v>
      </c>
      <c r="F2028" t="s">
        <v>992</v>
      </c>
      <c r="G2028" t="s">
        <v>1755</v>
      </c>
    </row>
    <row r="2029" spans="1:7" ht="15" customHeight="1" x14ac:dyDescent="0.25">
      <c r="A2029" s="2">
        <v>45954</v>
      </c>
      <c r="B2029">
        <v>2025002445</v>
      </c>
      <c r="C2029" t="s">
        <v>1916</v>
      </c>
      <c r="D2029" s="11">
        <v>3150000</v>
      </c>
      <c r="E2029">
        <v>1085275879</v>
      </c>
      <c r="F2029" t="s">
        <v>117</v>
      </c>
      <c r="G2029" t="s">
        <v>1755</v>
      </c>
    </row>
    <row r="2030" spans="1:7" ht="15" customHeight="1" x14ac:dyDescent="0.25">
      <c r="A2030" s="2">
        <v>45954</v>
      </c>
      <c r="B2030">
        <v>2025002446</v>
      </c>
      <c r="C2030" t="s">
        <v>1917</v>
      </c>
      <c r="D2030" s="11">
        <v>3900000</v>
      </c>
      <c r="E2030">
        <v>1087645723</v>
      </c>
      <c r="F2030" t="s">
        <v>1918</v>
      </c>
      <c r="G2030" t="s">
        <v>1755</v>
      </c>
    </row>
    <row r="2031" spans="1:7" ht="15" customHeight="1" x14ac:dyDescent="0.25">
      <c r="A2031" s="2">
        <v>45954</v>
      </c>
      <c r="B2031">
        <v>2025002447</v>
      </c>
      <c r="C2031" t="s">
        <v>1919</v>
      </c>
      <c r="D2031" s="11">
        <v>4730000</v>
      </c>
      <c r="E2031">
        <v>36950073</v>
      </c>
      <c r="F2031" t="s">
        <v>900</v>
      </c>
      <c r="G2031" t="s">
        <v>1755</v>
      </c>
    </row>
    <row r="2032" spans="1:7" ht="15" customHeight="1" x14ac:dyDescent="0.25">
      <c r="A2032" s="2">
        <v>45954</v>
      </c>
      <c r="B2032">
        <v>2025002448</v>
      </c>
      <c r="C2032" t="s">
        <v>1920</v>
      </c>
      <c r="D2032" s="11">
        <v>4730000</v>
      </c>
      <c r="E2032">
        <v>1086137686</v>
      </c>
      <c r="F2032" t="s">
        <v>1921</v>
      </c>
      <c r="G2032" t="s">
        <v>1755</v>
      </c>
    </row>
    <row r="2033" spans="1:7" ht="15" customHeight="1" x14ac:dyDescent="0.25">
      <c r="A2033" s="2">
        <v>45954</v>
      </c>
      <c r="B2033">
        <v>2025002449</v>
      </c>
      <c r="C2033" t="s">
        <v>1922</v>
      </c>
      <c r="D2033" s="11">
        <v>7800000</v>
      </c>
      <c r="E2033">
        <v>1086361969</v>
      </c>
      <c r="F2033" t="s">
        <v>1923</v>
      </c>
      <c r="G2033" t="s">
        <v>1755</v>
      </c>
    </row>
    <row r="2034" spans="1:7" ht="15" customHeight="1" x14ac:dyDescent="0.25">
      <c r="A2034" s="2">
        <v>45954</v>
      </c>
      <c r="B2034">
        <v>2025002450</v>
      </c>
      <c r="C2034" t="s">
        <v>1924</v>
      </c>
      <c r="D2034" s="11">
        <v>6300000</v>
      </c>
      <c r="E2034">
        <v>27146489</v>
      </c>
      <c r="F2034" t="s">
        <v>1102</v>
      </c>
      <c r="G2034" t="s">
        <v>1755</v>
      </c>
    </row>
    <row r="2035" spans="1:7" ht="15" customHeight="1" x14ac:dyDescent="0.25">
      <c r="A2035" s="2">
        <v>45954</v>
      </c>
      <c r="B2035">
        <v>2025002451</v>
      </c>
      <c r="C2035" t="s">
        <v>1925</v>
      </c>
      <c r="D2035" s="11">
        <v>4730000</v>
      </c>
      <c r="E2035">
        <v>1086360022</v>
      </c>
      <c r="F2035" t="s">
        <v>1926</v>
      </c>
      <c r="G2035" t="s">
        <v>1755</v>
      </c>
    </row>
    <row r="2036" spans="1:7" ht="15" customHeight="1" x14ac:dyDescent="0.25">
      <c r="A2036" s="2">
        <v>45954</v>
      </c>
      <c r="B2036">
        <v>2025002452</v>
      </c>
      <c r="C2036" t="s">
        <v>1927</v>
      </c>
      <c r="D2036" s="11">
        <v>1575000</v>
      </c>
      <c r="E2036">
        <v>1085295583</v>
      </c>
      <c r="F2036" t="s">
        <v>1928</v>
      </c>
      <c r="G2036" t="s">
        <v>1755</v>
      </c>
    </row>
    <row r="2037" spans="1:7" ht="15" customHeight="1" x14ac:dyDescent="0.25">
      <c r="A2037" s="2">
        <v>45954</v>
      </c>
      <c r="B2037">
        <v>2025002453</v>
      </c>
      <c r="C2037" t="s">
        <v>1929</v>
      </c>
      <c r="D2037" s="11">
        <v>6300000</v>
      </c>
      <c r="E2037">
        <v>1085272491</v>
      </c>
      <c r="F2037" t="s">
        <v>895</v>
      </c>
      <c r="G2037" t="s">
        <v>1755</v>
      </c>
    </row>
    <row r="2038" spans="1:7" ht="15" customHeight="1" x14ac:dyDescent="0.25">
      <c r="A2038" s="2">
        <v>45954</v>
      </c>
      <c r="B2038">
        <v>2025002455</v>
      </c>
      <c r="C2038" t="s">
        <v>1930</v>
      </c>
      <c r="D2038" s="11">
        <v>1575000</v>
      </c>
      <c r="E2038">
        <v>1086328063</v>
      </c>
      <c r="F2038" t="s">
        <v>1931</v>
      </c>
      <c r="G2038" t="s">
        <v>1755</v>
      </c>
    </row>
    <row r="2039" spans="1:7" ht="15" customHeight="1" x14ac:dyDescent="0.25">
      <c r="A2039" s="2">
        <v>45954</v>
      </c>
      <c r="B2039">
        <v>2025002457</v>
      </c>
      <c r="C2039" t="s">
        <v>1932</v>
      </c>
      <c r="D2039" s="11">
        <v>7800000</v>
      </c>
      <c r="E2039">
        <v>1233193882</v>
      </c>
      <c r="F2039" t="s">
        <v>889</v>
      </c>
      <c r="G2039" t="s">
        <v>1755</v>
      </c>
    </row>
    <row r="2040" spans="1:7" ht="15" customHeight="1" x14ac:dyDescent="0.25">
      <c r="A2040" s="7">
        <v>45954</v>
      </c>
      <c r="B2040" s="1">
        <v>2025002458</v>
      </c>
      <c r="C2040" s="1" t="s">
        <v>560</v>
      </c>
      <c r="D2040" s="5">
        <v>3600000</v>
      </c>
      <c r="E2040" s="1">
        <v>1085324685</v>
      </c>
      <c r="F2040" s="1" t="s">
        <v>561</v>
      </c>
      <c r="G2040" s="1" t="s">
        <v>9</v>
      </c>
    </row>
    <row r="2041" spans="1:7" ht="15" customHeight="1" x14ac:dyDescent="0.25">
      <c r="A2041" s="2">
        <v>45954</v>
      </c>
      <c r="B2041">
        <v>2025002459</v>
      </c>
      <c r="C2041" t="s">
        <v>1933</v>
      </c>
      <c r="D2041" s="11">
        <v>4730000</v>
      </c>
      <c r="E2041">
        <v>36759759</v>
      </c>
      <c r="F2041" t="s">
        <v>705</v>
      </c>
      <c r="G2041" t="s">
        <v>1755</v>
      </c>
    </row>
    <row r="2042" spans="1:7" ht="15" customHeight="1" x14ac:dyDescent="0.25">
      <c r="A2042" s="2">
        <v>45954</v>
      </c>
      <c r="B2042">
        <v>2025002460</v>
      </c>
      <c r="C2042" t="s">
        <v>1934</v>
      </c>
      <c r="D2042" s="11">
        <v>4730000</v>
      </c>
      <c r="E2042">
        <v>1085264667</v>
      </c>
      <c r="F2042" t="s">
        <v>464</v>
      </c>
      <c r="G2042" t="s">
        <v>1755</v>
      </c>
    </row>
    <row r="2043" spans="1:7" ht="15" customHeight="1" x14ac:dyDescent="0.25">
      <c r="A2043" s="2">
        <v>45954</v>
      </c>
      <c r="B2043">
        <v>2025002461</v>
      </c>
      <c r="C2043" t="s">
        <v>1935</v>
      </c>
      <c r="D2043" s="11">
        <v>1575000</v>
      </c>
      <c r="E2043">
        <v>27444591</v>
      </c>
      <c r="F2043" t="s">
        <v>1936</v>
      </c>
      <c r="G2043" t="s">
        <v>1755</v>
      </c>
    </row>
    <row r="2044" spans="1:7" ht="15" customHeight="1" x14ac:dyDescent="0.25">
      <c r="A2044" s="2">
        <v>45954</v>
      </c>
      <c r="B2044">
        <v>2025002462</v>
      </c>
      <c r="C2044" t="s">
        <v>1937</v>
      </c>
      <c r="D2044" s="11">
        <v>4730000</v>
      </c>
      <c r="E2044">
        <v>59824313</v>
      </c>
      <c r="F2044" t="s">
        <v>151</v>
      </c>
      <c r="G2044" t="s">
        <v>1755</v>
      </c>
    </row>
    <row r="2045" spans="1:7" ht="15" customHeight="1" x14ac:dyDescent="0.25">
      <c r="A2045" s="2">
        <v>45954</v>
      </c>
      <c r="B2045">
        <v>2025002463</v>
      </c>
      <c r="C2045" t="s">
        <v>1938</v>
      </c>
      <c r="D2045" s="11">
        <v>3150000</v>
      </c>
      <c r="E2045">
        <v>1004564013</v>
      </c>
      <c r="F2045" t="s">
        <v>1939</v>
      </c>
      <c r="G2045" t="s">
        <v>1755</v>
      </c>
    </row>
    <row r="2046" spans="1:7" ht="15" customHeight="1" x14ac:dyDescent="0.25">
      <c r="A2046" s="2">
        <v>45954</v>
      </c>
      <c r="B2046">
        <v>2025002464</v>
      </c>
      <c r="C2046" t="s">
        <v>1940</v>
      </c>
      <c r="D2046" s="11">
        <v>3150000</v>
      </c>
      <c r="E2046">
        <v>1010082397</v>
      </c>
      <c r="F2046" t="s">
        <v>209</v>
      </c>
      <c r="G2046" t="s">
        <v>1755</v>
      </c>
    </row>
    <row r="2047" spans="1:7" ht="15" customHeight="1" x14ac:dyDescent="0.25">
      <c r="A2047" s="2">
        <v>45954</v>
      </c>
      <c r="B2047">
        <v>2025002465</v>
      </c>
      <c r="C2047" t="s">
        <v>1941</v>
      </c>
      <c r="D2047" s="11">
        <v>3150000</v>
      </c>
      <c r="E2047">
        <v>27456421</v>
      </c>
      <c r="F2047" t="s">
        <v>1942</v>
      </c>
      <c r="G2047" t="s">
        <v>1755</v>
      </c>
    </row>
    <row r="2048" spans="1:7" ht="15" customHeight="1" x14ac:dyDescent="0.25">
      <c r="A2048" s="2">
        <v>45957</v>
      </c>
      <c r="B2048">
        <v>2025002466</v>
      </c>
      <c r="C2048" t="s">
        <v>1943</v>
      </c>
      <c r="D2048" s="11">
        <v>3150000</v>
      </c>
      <c r="E2048">
        <v>69028150</v>
      </c>
      <c r="F2048" t="s">
        <v>171</v>
      </c>
      <c r="G2048" t="s">
        <v>1755</v>
      </c>
    </row>
    <row r="2049" spans="1:7" ht="15" customHeight="1" x14ac:dyDescent="0.25">
      <c r="A2049" s="2">
        <v>45957</v>
      </c>
      <c r="B2049">
        <v>2025002467</v>
      </c>
      <c r="C2049" t="s">
        <v>1944</v>
      </c>
      <c r="D2049" s="11">
        <v>3150000</v>
      </c>
      <c r="E2049">
        <v>1086016304</v>
      </c>
      <c r="F2049" t="s">
        <v>1945</v>
      </c>
      <c r="G2049" t="s">
        <v>1755</v>
      </c>
    </row>
    <row r="2050" spans="1:7" ht="15" customHeight="1" x14ac:dyDescent="0.25">
      <c r="A2050" s="2">
        <v>45957</v>
      </c>
      <c r="B2050">
        <v>2025002468</v>
      </c>
      <c r="C2050" t="s">
        <v>1946</v>
      </c>
      <c r="D2050" s="11">
        <v>3150000</v>
      </c>
      <c r="E2050">
        <v>1004236159</v>
      </c>
      <c r="F2050" t="s">
        <v>1947</v>
      </c>
      <c r="G2050" t="s">
        <v>1755</v>
      </c>
    </row>
    <row r="2051" spans="1:7" ht="15" customHeight="1" x14ac:dyDescent="0.25">
      <c r="A2051" s="2">
        <v>45957</v>
      </c>
      <c r="B2051">
        <v>2025002470</v>
      </c>
      <c r="C2051" t="s">
        <v>1948</v>
      </c>
      <c r="D2051" s="11">
        <v>4730000</v>
      </c>
      <c r="E2051">
        <v>1193424771</v>
      </c>
      <c r="F2051" t="s">
        <v>1949</v>
      </c>
      <c r="G2051" t="s">
        <v>1755</v>
      </c>
    </row>
    <row r="2052" spans="1:7" ht="15" customHeight="1" x14ac:dyDescent="0.25">
      <c r="A2052" s="2">
        <v>45957</v>
      </c>
      <c r="B2052">
        <v>2025002471</v>
      </c>
      <c r="C2052" t="s">
        <v>1950</v>
      </c>
      <c r="D2052" s="11">
        <v>3150000</v>
      </c>
      <c r="E2052">
        <v>1233193191</v>
      </c>
      <c r="F2052" t="s">
        <v>1951</v>
      </c>
      <c r="G2052" t="s">
        <v>1755</v>
      </c>
    </row>
    <row r="2053" spans="1:7" ht="15" customHeight="1" x14ac:dyDescent="0.25">
      <c r="A2053" s="2">
        <v>45957</v>
      </c>
      <c r="B2053">
        <v>2025002472</v>
      </c>
      <c r="C2053" t="s">
        <v>1952</v>
      </c>
      <c r="D2053" s="11">
        <v>3150000</v>
      </c>
      <c r="E2053">
        <v>1085247449</v>
      </c>
      <c r="F2053" t="s">
        <v>1953</v>
      </c>
      <c r="G2053" t="s">
        <v>1755</v>
      </c>
    </row>
    <row r="2054" spans="1:7" ht="15" customHeight="1" x14ac:dyDescent="0.25">
      <c r="A2054" s="2">
        <v>45957</v>
      </c>
      <c r="B2054">
        <v>2025002473</v>
      </c>
      <c r="C2054" t="s">
        <v>1954</v>
      </c>
      <c r="D2054" s="11">
        <v>3150000</v>
      </c>
      <c r="E2054">
        <v>1004547484</v>
      </c>
      <c r="F2054" t="s">
        <v>1955</v>
      </c>
      <c r="G2054" t="s">
        <v>1755</v>
      </c>
    </row>
    <row r="2055" spans="1:7" ht="15" customHeight="1" x14ac:dyDescent="0.25">
      <c r="A2055" s="2">
        <v>45957</v>
      </c>
      <c r="B2055">
        <v>2025002474</v>
      </c>
      <c r="C2055" t="s">
        <v>1956</v>
      </c>
      <c r="D2055" s="11">
        <v>3150000</v>
      </c>
      <c r="E2055">
        <v>59313711</v>
      </c>
      <c r="F2055" t="s">
        <v>1957</v>
      </c>
      <c r="G2055" t="s">
        <v>1755</v>
      </c>
    </row>
    <row r="2056" spans="1:7" ht="15" customHeight="1" x14ac:dyDescent="0.25">
      <c r="A2056" s="2">
        <v>45957</v>
      </c>
      <c r="B2056">
        <v>2025002476</v>
      </c>
      <c r="C2056" t="s">
        <v>1958</v>
      </c>
      <c r="D2056" s="11">
        <v>7800000</v>
      </c>
      <c r="E2056">
        <v>1085246871</v>
      </c>
      <c r="F2056" t="s">
        <v>1959</v>
      </c>
      <c r="G2056" t="s">
        <v>1755</v>
      </c>
    </row>
    <row r="2057" spans="1:7" ht="15" customHeight="1" x14ac:dyDescent="0.25">
      <c r="A2057" s="2">
        <v>45957</v>
      </c>
      <c r="B2057">
        <v>2025002477</v>
      </c>
      <c r="C2057" t="s">
        <v>1960</v>
      </c>
      <c r="D2057" s="11">
        <v>3150000</v>
      </c>
      <c r="E2057">
        <v>1087645341</v>
      </c>
      <c r="F2057" t="s">
        <v>1961</v>
      </c>
      <c r="G2057" t="s">
        <v>1755</v>
      </c>
    </row>
    <row r="2058" spans="1:7" ht="15" customHeight="1" x14ac:dyDescent="0.25">
      <c r="A2058" s="2">
        <v>45957</v>
      </c>
      <c r="B2058">
        <v>2025002478</v>
      </c>
      <c r="C2058" t="s">
        <v>1962</v>
      </c>
      <c r="D2058" s="11">
        <v>4730000</v>
      </c>
      <c r="E2058">
        <v>1085263018</v>
      </c>
      <c r="F2058" t="s">
        <v>91</v>
      </c>
      <c r="G2058" t="s">
        <v>1755</v>
      </c>
    </row>
    <row r="2059" spans="1:7" ht="15" customHeight="1" x14ac:dyDescent="0.25">
      <c r="A2059" s="2">
        <v>45957</v>
      </c>
      <c r="B2059">
        <v>2025002479</v>
      </c>
      <c r="C2059" t="s">
        <v>1963</v>
      </c>
      <c r="D2059" s="11">
        <v>7800000</v>
      </c>
      <c r="E2059">
        <v>1022426162</v>
      </c>
      <c r="F2059" t="s">
        <v>1964</v>
      </c>
      <c r="G2059" t="s">
        <v>1755</v>
      </c>
    </row>
    <row r="2060" spans="1:7" ht="15" customHeight="1" x14ac:dyDescent="0.25">
      <c r="A2060" s="2">
        <v>45957</v>
      </c>
      <c r="B2060">
        <v>2025002480</v>
      </c>
      <c r="C2060" t="s">
        <v>1965</v>
      </c>
      <c r="D2060" s="11">
        <v>6300000</v>
      </c>
      <c r="E2060">
        <v>1084224761</v>
      </c>
      <c r="F2060" t="s">
        <v>1966</v>
      </c>
      <c r="G2060" t="s">
        <v>1755</v>
      </c>
    </row>
    <row r="2061" spans="1:7" ht="15" customHeight="1" x14ac:dyDescent="0.25">
      <c r="A2061" s="2">
        <v>45957</v>
      </c>
      <c r="B2061">
        <v>2025002481</v>
      </c>
      <c r="C2061" t="s">
        <v>1967</v>
      </c>
      <c r="D2061" s="11">
        <v>3150000</v>
      </c>
      <c r="E2061">
        <v>1089291166</v>
      </c>
      <c r="F2061" t="s">
        <v>1968</v>
      </c>
      <c r="G2061" t="s">
        <v>1755</v>
      </c>
    </row>
    <row r="2062" spans="1:7" ht="15" customHeight="1" x14ac:dyDescent="0.25">
      <c r="A2062" s="17">
        <v>45958</v>
      </c>
      <c r="B2062" s="1">
        <v>2025002425</v>
      </c>
      <c r="C2062" s="18" t="s">
        <v>540</v>
      </c>
      <c r="D2062" s="5">
        <v>1500000</v>
      </c>
      <c r="E2062" s="18">
        <v>1089243630</v>
      </c>
      <c r="F2062" s="1" t="s">
        <v>197</v>
      </c>
      <c r="G2062" s="1" t="s">
        <v>9</v>
      </c>
    </row>
    <row r="2063" spans="1:7" ht="15" customHeight="1" x14ac:dyDescent="0.25">
      <c r="A2063" s="2">
        <v>45959</v>
      </c>
      <c r="B2063">
        <v>2025002500</v>
      </c>
      <c r="C2063" t="s">
        <v>1969</v>
      </c>
      <c r="D2063" s="11">
        <v>3900000</v>
      </c>
      <c r="E2063">
        <v>1144172704</v>
      </c>
      <c r="F2063" t="s">
        <v>1970</v>
      </c>
      <c r="G2063" t="s">
        <v>1755</v>
      </c>
    </row>
    <row r="2064" spans="1:7" ht="15" customHeight="1" x14ac:dyDescent="0.25">
      <c r="A2064" s="2">
        <v>45959</v>
      </c>
      <c r="B2064">
        <v>2025002501</v>
      </c>
      <c r="C2064" t="s">
        <v>1971</v>
      </c>
      <c r="D2064" s="11">
        <v>1575000</v>
      </c>
      <c r="E2064">
        <v>1085315209</v>
      </c>
      <c r="F2064" t="s">
        <v>701</v>
      </c>
      <c r="G2064" t="s">
        <v>1755</v>
      </c>
    </row>
    <row r="2065" spans="1:7" ht="15" customHeight="1" x14ac:dyDescent="0.25">
      <c r="A2065" s="2">
        <v>45959</v>
      </c>
      <c r="B2065">
        <v>2025002502</v>
      </c>
      <c r="C2065" t="s">
        <v>1972</v>
      </c>
      <c r="D2065" s="11">
        <v>1575000</v>
      </c>
      <c r="E2065">
        <v>1004134014</v>
      </c>
      <c r="F2065" t="s">
        <v>1973</v>
      </c>
      <c r="G2065" t="s">
        <v>1755</v>
      </c>
    </row>
    <row r="2066" spans="1:7" ht="15" customHeight="1" x14ac:dyDescent="0.25">
      <c r="A2066" s="2">
        <v>45959</v>
      </c>
      <c r="B2066">
        <v>2025002503</v>
      </c>
      <c r="C2066" t="s">
        <v>1974</v>
      </c>
      <c r="D2066" s="11">
        <v>1575000</v>
      </c>
      <c r="E2066">
        <v>1004508406</v>
      </c>
      <c r="F2066" t="s">
        <v>1975</v>
      </c>
      <c r="G2066" t="s">
        <v>1755</v>
      </c>
    </row>
    <row r="2067" spans="1:7" ht="15" customHeight="1" x14ac:dyDescent="0.25">
      <c r="A2067" s="2">
        <v>45959</v>
      </c>
      <c r="B2067">
        <v>2025002504</v>
      </c>
      <c r="C2067" t="s">
        <v>1976</v>
      </c>
      <c r="D2067" s="11">
        <v>1575000</v>
      </c>
      <c r="E2067">
        <v>1081594639</v>
      </c>
      <c r="F2067" t="s">
        <v>1110</v>
      </c>
      <c r="G2067" t="s">
        <v>1755</v>
      </c>
    </row>
    <row r="2068" spans="1:7" ht="15" customHeight="1" x14ac:dyDescent="0.25">
      <c r="A2068" s="2">
        <v>45959</v>
      </c>
      <c r="B2068">
        <v>2025002505</v>
      </c>
      <c r="C2068" t="s">
        <v>1977</v>
      </c>
      <c r="D2068" s="11">
        <v>1575000</v>
      </c>
      <c r="E2068">
        <v>1081592303</v>
      </c>
      <c r="F2068" t="s">
        <v>562</v>
      </c>
      <c r="G2068" t="s">
        <v>1755</v>
      </c>
    </row>
    <row r="2069" spans="1:7" ht="15" customHeight="1" x14ac:dyDescent="0.25">
      <c r="A2069" s="2">
        <v>45959</v>
      </c>
      <c r="B2069">
        <v>2025002506</v>
      </c>
      <c r="C2069" t="s">
        <v>1978</v>
      </c>
      <c r="D2069" s="11">
        <v>6300000</v>
      </c>
      <c r="E2069">
        <v>36757221</v>
      </c>
      <c r="F2069" t="s">
        <v>453</v>
      </c>
      <c r="G2069" t="s">
        <v>1755</v>
      </c>
    </row>
    <row r="2070" spans="1:7" ht="15" customHeight="1" x14ac:dyDescent="0.25">
      <c r="A2070" s="2">
        <v>45959</v>
      </c>
      <c r="B2070">
        <v>2025002507</v>
      </c>
      <c r="C2070" t="s">
        <v>1979</v>
      </c>
      <c r="D2070" s="11">
        <v>4730000</v>
      </c>
      <c r="E2070">
        <v>27087475</v>
      </c>
      <c r="F2070" t="s">
        <v>571</v>
      </c>
      <c r="G2070" t="s">
        <v>1755</v>
      </c>
    </row>
    <row r="2071" spans="1:7" ht="15" customHeight="1" x14ac:dyDescent="0.25">
      <c r="A2071" s="2">
        <v>45959</v>
      </c>
      <c r="B2071">
        <v>2025002508</v>
      </c>
      <c r="C2071" t="s">
        <v>1980</v>
      </c>
      <c r="D2071" s="11">
        <v>4730000</v>
      </c>
      <c r="E2071">
        <v>1085330309</v>
      </c>
      <c r="F2071" t="s">
        <v>249</v>
      </c>
      <c r="G2071" t="s">
        <v>1755</v>
      </c>
    </row>
    <row r="2072" spans="1:7" ht="15" customHeight="1" x14ac:dyDescent="0.25">
      <c r="A2072" s="2">
        <v>45959</v>
      </c>
      <c r="B2072">
        <v>2025002509</v>
      </c>
      <c r="C2072" t="s">
        <v>1981</v>
      </c>
      <c r="D2072" s="11">
        <v>6300000</v>
      </c>
      <c r="E2072">
        <v>1085283868</v>
      </c>
      <c r="F2072" t="s">
        <v>1131</v>
      </c>
      <c r="G2072" t="s">
        <v>1755</v>
      </c>
    </row>
    <row r="2073" spans="1:7" ht="15" customHeight="1" x14ac:dyDescent="0.25">
      <c r="A2073" s="2">
        <v>45960</v>
      </c>
      <c r="B2073">
        <v>2025002517</v>
      </c>
      <c r="C2073" t="s">
        <v>1982</v>
      </c>
      <c r="D2073" s="11">
        <v>3900000</v>
      </c>
      <c r="E2073">
        <v>1085244624</v>
      </c>
      <c r="F2073" t="s">
        <v>1983</v>
      </c>
      <c r="G2073" t="s">
        <v>1755</v>
      </c>
    </row>
    <row r="2074" spans="1:7" ht="15" customHeight="1" x14ac:dyDescent="0.25">
      <c r="A2074" s="2">
        <v>45960</v>
      </c>
      <c r="B2074">
        <v>2025002518</v>
      </c>
      <c r="C2074" t="s">
        <v>1984</v>
      </c>
      <c r="D2074" s="11">
        <v>1575000</v>
      </c>
      <c r="E2074">
        <v>37083086</v>
      </c>
      <c r="F2074" t="s">
        <v>884</v>
      </c>
      <c r="G2074" t="s">
        <v>1755</v>
      </c>
    </row>
    <row r="2075" spans="1:7" ht="15" customHeight="1" x14ac:dyDescent="0.25">
      <c r="A2075" s="2">
        <v>45960</v>
      </c>
      <c r="B2075">
        <v>2025002519</v>
      </c>
      <c r="C2075" t="s">
        <v>1985</v>
      </c>
      <c r="D2075" s="11">
        <v>7800000</v>
      </c>
      <c r="E2075">
        <v>1088734182</v>
      </c>
      <c r="F2075" t="s">
        <v>1986</v>
      </c>
      <c r="G2075" t="s">
        <v>1755</v>
      </c>
    </row>
    <row r="2076" spans="1:7" ht="15" customHeight="1" x14ac:dyDescent="0.25">
      <c r="A2076" s="2">
        <v>45960</v>
      </c>
      <c r="B2076">
        <v>2025002521</v>
      </c>
      <c r="C2076" t="s">
        <v>1987</v>
      </c>
      <c r="D2076" s="11">
        <v>3150000</v>
      </c>
      <c r="E2076">
        <v>1087960258</v>
      </c>
      <c r="F2076" t="s">
        <v>1988</v>
      </c>
      <c r="G2076" t="s">
        <v>1755</v>
      </c>
    </row>
    <row r="2077" spans="1:7" ht="15" customHeight="1" x14ac:dyDescent="0.25">
      <c r="A2077" s="2">
        <v>45960</v>
      </c>
      <c r="B2077">
        <v>2025002522</v>
      </c>
      <c r="C2077" t="s">
        <v>1989</v>
      </c>
      <c r="D2077" s="11">
        <v>1575000</v>
      </c>
      <c r="E2077">
        <v>1004709928</v>
      </c>
      <c r="F2077" t="s">
        <v>289</v>
      </c>
      <c r="G2077" t="s">
        <v>1755</v>
      </c>
    </row>
    <row r="2078" spans="1:7" ht="15" customHeight="1" x14ac:dyDescent="0.25">
      <c r="A2078" s="2">
        <v>45960</v>
      </c>
      <c r="B2078">
        <v>2025002524</v>
      </c>
      <c r="C2078" t="s">
        <v>1990</v>
      </c>
      <c r="D2078" s="11">
        <v>3150000</v>
      </c>
      <c r="E2078">
        <v>1004543161</v>
      </c>
      <c r="F2078" t="s">
        <v>1991</v>
      </c>
      <c r="G2078" t="s">
        <v>1755</v>
      </c>
    </row>
    <row r="2079" spans="1:7" ht="15" customHeight="1" x14ac:dyDescent="0.25">
      <c r="A2079" s="2">
        <v>45960</v>
      </c>
      <c r="B2079">
        <v>2025002526</v>
      </c>
      <c r="C2079" t="s">
        <v>1992</v>
      </c>
      <c r="D2079" s="11">
        <v>1575000</v>
      </c>
      <c r="E2079">
        <v>1004437571</v>
      </c>
      <c r="F2079" t="s">
        <v>580</v>
      </c>
      <c r="G2079" t="s">
        <v>1755</v>
      </c>
    </row>
    <row r="2080" spans="1:7" ht="15" customHeight="1" x14ac:dyDescent="0.25">
      <c r="A2080" s="2">
        <v>45960</v>
      </c>
      <c r="B2080">
        <v>2025002527</v>
      </c>
      <c r="C2080" t="s">
        <v>1993</v>
      </c>
      <c r="D2080" s="11">
        <v>1575000</v>
      </c>
      <c r="E2080">
        <v>1005977438</v>
      </c>
      <c r="F2080" t="s">
        <v>1994</v>
      </c>
      <c r="G2080" t="s">
        <v>1755</v>
      </c>
    </row>
    <row r="2081" spans="1:7" ht="15" customHeight="1" x14ac:dyDescent="0.25">
      <c r="A2081" s="2">
        <v>45960</v>
      </c>
      <c r="B2081">
        <v>2025002528</v>
      </c>
      <c r="C2081" t="s">
        <v>1995</v>
      </c>
      <c r="D2081" s="11">
        <v>4730000</v>
      </c>
      <c r="E2081">
        <v>1085318201</v>
      </c>
      <c r="F2081" t="s">
        <v>235</v>
      </c>
      <c r="G2081" t="s">
        <v>1755</v>
      </c>
    </row>
    <row r="2082" spans="1:7" ht="15" customHeight="1" x14ac:dyDescent="0.25">
      <c r="A2082" s="2">
        <v>45960</v>
      </c>
      <c r="B2082">
        <v>2025002529</v>
      </c>
      <c r="C2082" t="s">
        <v>1996</v>
      </c>
      <c r="D2082" s="11">
        <v>1575000</v>
      </c>
      <c r="E2082">
        <v>1004726621</v>
      </c>
      <c r="F2082" t="s">
        <v>1997</v>
      </c>
      <c r="G2082" t="s">
        <v>1755</v>
      </c>
    </row>
    <row r="2083" spans="1:7" ht="15" customHeight="1" x14ac:dyDescent="0.25">
      <c r="A2083" s="2">
        <v>45960</v>
      </c>
      <c r="B2083">
        <v>2025002530</v>
      </c>
      <c r="C2083" t="s">
        <v>1998</v>
      </c>
      <c r="D2083" s="11">
        <v>3900000</v>
      </c>
      <c r="E2083">
        <v>1110594073</v>
      </c>
      <c r="F2083" t="s">
        <v>1999</v>
      </c>
      <c r="G2083" t="s">
        <v>1755</v>
      </c>
    </row>
    <row r="2084" spans="1:7" ht="15" customHeight="1" x14ac:dyDescent="0.25">
      <c r="A2084" s="2">
        <v>45961</v>
      </c>
      <c r="B2084">
        <v>2025002535</v>
      </c>
      <c r="C2084" t="s">
        <v>2000</v>
      </c>
      <c r="D2084" s="11">
        <v>72218841.359999999</v>
      </c>
      <c r="E2084">
        <v>901329717</v>
      </c>
      <c r="F2084" t="s">
        <v>8</v>
      </c>
      <c r="G2084" t="s">
        <v>1755</v>
      </c>
    </row>
    <row r="2085" spans="1:7" ht="15" customHeight="1" x14ac:dyDescent="0.25">
      <c r="A2085" s="2">
        <v>45965</v>
      </c>
      <c r="B2085">
        <v>2025002552</v>
      </c>
      <c r="C2085" t="s">
        <v>1252</v>
      </c>
      <c r="D2085" s="11">
        <v>3000000</v>
      </c>
      <c r="E2085" s="12"/>
      <c r="F2085" s="12"/>
      <c r="G2085" t="s">
        <v>1094</v>
      </c>
    </row>
    <row r="2086" spans="1:7" ht="15" customHeight="1" x14ac:dyDescent="0.25">
      <c r="A2086" s="2">
        <v>45965</v>
      </c>
      <c r="B2086">
        <v>2025002553</v>
      </c>
      <c r="C2086" t="s">
        <v>1250</v>
      </c>
      <c r="D2086" s="11">
        <v>3000000</v>
      </c>
      <c r="E2086" s="12"/>
      <c r="F2086" s="12"/>
      <c r="G2086" t="s">
        <v>1094</v>
      </c>
    </row>
    <row r="2087" spans="1:7" ht="15" customHeight="1" x14ac:dyDescent="0.25">
      <c r="A2087" s="2">
        <v>45965</v>
      </c>
      <c r="B2087">
        <v>2025002554</v>
      </c>
      <c r="C2087" t="s">
        <v>1256</v>
      </c>
      <c r="D2087" s="11">
        <v>3000000</v>
      </c>
      <c r="E2087" s="12"/>
      <c r="F2087" s="12"/>
      <c r="G2087" t="s">
        <v>1094</v>
      </c>
    </row>
    <row r="2088" spans="1:7" ht="15" customHeight="1" x14ac:dyDescent="0.25">
      <c r="A2088" s="2">
        <v>45965.400694444397</v>
      </c>
      <c r="B2088">
        <v>2025002555</v>
      </c>
      <c r="C2088" t="s">
        <v>2001</v>
      </c>
      <c r="D2088" s="11">
        <v>4730000</v>
      </c>
      <c r="E2088" s="19" t="s">
        <v>2002</v>
      </c>
      <c r="F2088" t="s">
        <v>47</v>
      </c>
      <c r="G2088" t="s">
        <v>1755</v>
      </c>
    </row>
    <row r="2089" spans="1:7" ht="15" customHeight="1" x14ac:dyDescent="0.25">
      <c r="A2089" s="2">
        <v>45966</v>
      </c>
      <c r="B2089">
        <v>2025002569</v>
      </c>
      <c r="C2089" t="s">
        <v>1258</v>
      </c>
      <c r="D2089" s="11">
        <v>3000000</v>
      </c>
      <c r="E2089" s="12"/>
      <c r="F2089" s="12"/>
      <c r="G2089" t="s">
        <v>1094</v>
      </c>
    </row>
    <row r="2090" spans="1:7" ht="15" customHeight="1" x14ac:dyDescent="0.25">
      <c r="A2090" s="2">
        <v>45967.729861111096</v>
      </c>
      <c r="B2090">
        <v>2025002631</v>
      </c>
      <c r="C2090" t="s">
        <v>2003</v>
      </c>
      <c r="D2090" s="11">
        <v>3153000</v>
      </c>
      <c r="E2090" s="19" t="s">
        <v>2004</v>
      </c>
      <c r="F2090" t="s">
        <v>127</v>
      </c>
      <c r="G2090" t="s">
        <v>1755</v>
      </c>
    </row>
    <row r="2091" spans="1:7" ht="15" customHeight="1" x14ac:dyDescent="0.25">
      <c r="A2091" s="2">
        <v>45972.429166666698</v>
      </c>
      <c r="B2091">
        <v>2025002677</v>
      </c>
      <c r="C2091" t="s">
        <v>1764</v>
      </c>
      <c r="D2091" s="11">
        <v>152157500</v>
      </c>
      <c r="E2091" s="19" t="s">
        <v>1598</v>
      </c>
      <c r="F2091" t="s">
        <v>269</v>
      </c>
      <c r="G2091" t="s">
        <v>1755</v>
      </c>
    </row>
    <row r="2092" spans="1:7" ht="15" customHeight="1" x14ac:dyDescent="0.25">
      <c r="A2092" s="2">
        <v>45973.394444444399</v>
      </c>
      <c r="B2092">
        <v>2025002687</v>
      </c>
      <c r="C2092" t="s">
        <v>1795</v>
      </c>
      <c r="D2092" s="11">
        <v>6300000</v>
      </c>
      <c r="E2092" s="19" t="s">
        <v>1600</v>
      </c>
      <c r="F2092" t="s">
        <v>385</v>
      </c>
      <c r="G2092" t="s">
        <v>1755</v>
      </c>
    </row>
    <row r="2093" spans="1:7" ht="15" customHeight="1" x14ac:dyDescent="0.25">
      <c r="A2093" s="2">
        <v>45973.397916666698</v>
      </c>
      <c r="B2093">
        <v>2025002688</v>
      </c>
      <c r="C2093" t="s">
        <v>1901</v>
      </c>
      <c r="D2093" s="11">
        <v>4730000</v>
      </c>
      <c r="E2093" s="19" t="s">
        <v>2005</v>
      </c>
      <c r="F2093" t="s">
        <v>1902</v>
      </c>
      <c r="G2093" t="s">
        <v>1755</v>
      </c>
    </row>
    <row r="2094" spans="1:7" ht="15" customHeight="1" x14ac:dyDescent="0.25">
      <c r="A2094" s="2">
        <v>45973.4</v>
      </c>
      <c r="B2094">
        <v>2025002689</v>
      </c>
      <c r="C2094" t="s">
        <v>1857</v>
      </c>
      <c r="D2094" s="11">
        <v>3150000</v>
      </c>
      <c r="E2094" s="19" t="s">
        <v>1616</v>
      </c>
      <c r="F2094" t="s">
        <v>87</v>
      </c>
      <c r="G2094" t="s">
        <v>1755</v>
      </c>
    </row>
    <row r="2095" spans="1:7" ht="15" customHeight="1" x14ac:dyDescent="0.25">
      <c r="A2095" s="2">
        <v>45973.402777777803</v>
      </c>
      <c r="B2095">
        <v>2025002690</v>
      </c>
      <c r="C2095" t="s">
        <v>1856</v>
      </c>
      <c r="D2095" s="11">
        <v>3150000</v>
      </c>
      <c r="E2095" s="19" t="s">
        <v>1660</v>
      </c>
      <c r="F2095" t="s">
        <v>1163</v>
      </c>
      <c r="G2095" t="s">
        <v>1755</v>
      </c>
    </row>
    <row r="2096" spans="1:7" ht="15" customHeight="1" x14ac:dyDescent="0.25">
      <c r="A2096" s="2">
        <v>45973.404861111099</v>
      </c>
      <c r="B2096">
        <v>2025002691</v>
      </c>
      <c r="C2096" t="s">
        <v>1943</v>
      </c>
      <c r="D2096" s="11">
        <v>3150000</v>
      </c>
      <c r="E2096" s="19" t="s">
        <v>1601</v>
      </c>
      <c r="F2096" t="s">
        <v>171</v>
      </c>
      <c r="G2096" t="s">
        <v>1755</v>
      </c>
    </row>
    <row r="2097" spans="1:9" ht="15" customHeight="1" x14ac:dyDescent="0.25">
      <c r="A2097" s="2">
        <v>45973.406944444403</v>
      </c>
      <c r="B2097">
        <v>2025002692</v>
      </c>
      <c r="C2097" t="s">
        <v>1868</v>
      </c>
      <c r="D2097" s="11">
        <v>3150000</v>
      </c>
      <c r="E2097" s="19" t="s">
        <v>1605</v>
      </c>
      <c r="F2097" t="s">
        <v>263</v>
      </c>
      <c r="G2097" t="s">
        <v>1755</v>
      </c>
    </row>
    <row r="2098" spans="1:9" ht="15" customHeight="1" x14ac:dyDescent="0.25">
      <c r="A2098" s="2">
        <v>45974</v>
      </c>
      <c r="B2098">
        <v>2025002788</v>
      </c>
      <c r="C2098" t="s">
        <v>1241</v>
      </c>
      <c r="D2098" s="11">
        <v>3000000</v>
      </c>
      <c r="E2098" s="12"/>
      <c r="F2098" s="12"/>
      <c r="G2098" t="s">
        <v>1094</v>
      </c>
      <c r="I2098" s="11"/>
    </row>
    <row r="2099" spans="1:9" ht="15" customHeight="1" x14ac:dyDescent="0.25">
      <c r="A2099" s="2">
        <v>45974.409722222197</v>
      </c>
      <c r="B2099">
        <v>2025002699</v>
      </c>
      <c r="C2099" t="s">
        <v>1798</v>
      </c>
      <c r="D2099" s="11">
        <v>3150000</v>
      </c>
      <c r="E2099" s="19" t="s">
        <v>1657</v>
      </c>
      <c r="F2099" t="s">
        <v>59</v>
      </c>
      <c r="G2099" t="s">
        <v>1755</v>
      </c>
    </row>
    <row r="2100" spans="1:9" ht="15" customHeight="1" x14ac:dyDescent="0.25">
      <c r="A2100" s="2">
        <v>45974.418055555601</v>
      </c>
      <c r="B2100">
        <v>2025002700</v>
      </c>
      <c r="C2100" t="s">
        <v>1778</v>
      </c>
      <c r="D2100" s="11">
        <v>3150000</v>
      </c>
      <c r="E2100" s="19" t="s">
        <v>2006</v>
      </c>
      <c r="F2100" t="s">
        <v>1779</v>
      </c>
      <c r="G2100" t="s">
        <v>1755</v>
      </c>
    </row>
    <row r="2101" spans="1:9" ht="15" customHeight="1" x14ac:dyDescent="0.25">
      <c r="A2101" s="2">
        <v>45974.420833333301</v>
      </c>
      <c r="B2101">
        <v>2025002703</v>
      </c>
      <c r="C2101" t="s">
        <v>1954</v>
      </c>
      <c r="D2101" s="11">
        <v>3150000</v>
      </c>
      <c r="E2101" s="19" t="s">
        <v>2007</v>
      </c>
      <c r="F2101" t="s">
        <v>1955</v>
      </c>
      <c r="G2101" t="s">
        <v>1755</v>
      </c>
    </row>
    <row r="2102" spans="1:9" ht="15" customHeight="1" x14ac:dyDescent="0.25">
      <c r="A2102" s="2">
        <v>45974.422916666699</v>
      </c>
      <c r="B2102">
        <v>2025002704</v>
      </c>
      <c r="C2102" t="s">
        <v>1948</v>
      </c>
      <c r="D2102" s="11">
        <v>4730000</v>
      </c>
      <c r="E2102" s="19" t="s">
        <v>2008</v>
      </c>
      <c r="F2102" t="s">
        <v>1949</v>
      </c>
      <c r="G2102" t="s">
        <v>1755</v>
      </c>
    </row>
    <row r="2103" spans="1:9" ht="15" customHeight="1" x14ac:dyDescent="0.25">
      <c r="A2103" s="2">
        <v>45974.427083333299</v>
      </c>
      <c r="B2103">
        <v>2025002706</v>
      </c>
      <c r="C2103" t="s">
        <v>1765</v>
      </c>
      <c r="D2103" s="11">
        <v>6300000</v>
      </c>
      <c r="E2103" s="19" t="s">
        <v>2009</v>
      </c>
      <c r="F2103" t="s">
        <v>1766</v>
      </c>
      <c r="G2103" t="s">
        <v>1755</v>
      </c>
    </row>
    <row r="2104" spans="1:9" ht="15" customHeight="1" x14ac:dyDescent="0.25">
      <c r="A2104" s="2">
        <v>45974.431250000001</v>
      </c>
      <c r="B2104">
        <v>2025002707</v>
      </c>
      <c r="C2104" t="s">
        <v>1830</v>
      </c>
      <c r="D2104" s="11">
        <v>7800000</v>
      </c>
      <c r="E2104" s="19" t="s">
        <v>2010</v>
      </c>
      <c r="F2104" t="s">
        <v>1831</v>
      </c>
      <c r="G2104" t="s">
        <v>1755</v>
      </c>
    </row>
    <row r="2105" spans="1:9" ht="15" customHeight="1" x14ac:dyDescent="0.25">
      <c r="A2105" s="2">
        <v>45974.433333333298</v>
      </c>
      <c r="B2105">
        <v>2025002708</v>
      </c>
      <c r="C2105" t="s">
        <v>1762</v>
      </c>
      <c r="D2105" s="11">
        <v>6300000</v>
      </c>
      <c r="E2105" s="19" t="s">
        <v>1635</v>
      </c>
      <c r="F2105" t="s">
        <v>145</v>
      </c>
      <c r="G2105" t="s">
        <v>1755</v>
      </c>
    </row>
    <row r="2106" spans="1:9" ht="15" customHeight="1" x14ac:dyDescent="0.25">
      <c r="A2106" s="2">
        <v>45974.435416666704</v>
      </c>
      <c r="B2106">
        <v>2025002709</v>
      </c>
      <c r="C2106" t="s">
        <v>1984</v>
      </c>
      <c r="D2106" s="11">
        <v>3150000</v>
      </c>
      <c r="E2106" s="19" t="s">
        <v>2011</v>
      </c>
      <c r="F2106" t="s">
        <v>884</v>
      </c>
      <c r="G2106" t="s">
        <v>1755</v>
      </c>
    </row>
    <row r="2107" spans="1:9" ht="15" customHeight="1" x14ac:dyDescent="0.25">
      <c r="A2107" s="2">
        <v>45974.4375</v>
      </c>
      <c r="B2107">
        <v>2025002710</v>
      </c>
      <c r="C2107" t="s">
        <v>1873</v>
      </c>
      <c r="D2107" s="11">
        <v>3150000</v>
      </c>
      <c r="E2107" s="19" t="s">
        <v>2012</v>
      </c>
      <c r="F2107" t="s">
        <v>1874</v>
      </c>
      <c r="G2107" t="s">
        <v>1755</v>
      </c>
    </row>
    <row r="2108" spans="1:9" ht="15" customHeight="1" x14ac:dyDescent="0.25">
      <c r="A2108" s="2">
        <v>45974.443055555603</v>
      </c>
      <c r="B2108">
        <v>2025002711</v>
      </c>
      <c r="C2108" t="s">
        <v>1836</v>
      </c>
      <c r="D2108" s="11">
        <v>4730000</v>
      </c>
      <c r="E2108" s="19" t="s">
        <v>2013</v>
      </c>
      <c r="F2108" t="s">
        <v>1837</v>
      </c>
      <c r="G2108" t="s">
        <v>1755</v>
      </c>
    </row>
    <row r="2109" spans="1:9" ht="15" customHeight="1" x14ac:dyDescent="0.25">
      <c r="A2109" s="2">
        <v>45974.447222222203</v>
      </c>
      <c r="B2109">
        <v>2025002712</v>
      </c>
      <c r="C2109" t="s">
        <v>1776</v>
      </c>
      <c r="D2109" s="11">
        <v>3150000</v>
      </c>
      <c r="E2109" s="19" t="s">
        <v>2014</v>
      </c>
      <c r="F2109" t="s">
        <v>1777</v>
      </c>
      <c r="G2109" t="s">
        <v>1755</v>
      </c>
    </row>
    <row r="2110" spans="1:9" ht="15" customHeight="1" x14ac:dyDescent="0.25">
      <c r="A2110" s="2">
        <v>45974.451388888898</v>
      </c>
      <c r="B2110">
        <v>2025002714</v>
      </c>
      <c r="C2110" t="s">
        <v>1758</v>
      </c>
      <c r="D2110" s="11">
        <v>3150000</v>
      </c>
      <c r="E2110" s="19" t="s">
        <v>2015</v>
      </c>
      <c r="F2110" t="s">
        <v>1759</v>
      </c>
      <c r="G2110" t="s">
        <v>1755</v>
      </c>
    </row>
    <row r="2111" spans="1:9" ht="15" customHeight="1" x14ac:dyDescent="0.25">
      <c r="A2111" s="2">
        <v>45974.457638888904</v>
      </c>
      <c r="B2111">
        <v>2025002715</v>
      </c>
      <c r="C2111" t="s">
        <v>1851</v>
      </c>
      <c r="D2111" s="11">
        <v>7800000</v>
      </c>
      <c r="E2111" s="19" t="s">
        <v>2016</v>
      </c>
      <c r="F2111" t="s">
        <v>1852</v>
      </c>
      <c r="G2111" t="s">
        <v>1755</v>
      </c>
    </row>
    <row r="2112" spans="1:9" ht="15" customHeight="1" x14ac:dyDescent="0.25">
      <c r="A2112" s="2">
        <v>45979.377083333296</v>
      </c>
      <c r="B2112">
        <v>2025002728</v>
      </c>
      <c r="C2112" t="s">
        <v>2017</v>
      </c>
      <c r="D2112" s="11">
        <v>4572333</v>
      </c>
      <c r="E2112" s="19" t="s">
        <v>2018</v>
      </c>
      <c r="F2112" t="s">
        <v>2019</v>
      </c>
      <c r="G2112" t="s">
        <v>1755</v>
      </c>
    </row>
    <row r="2113" spans="1:7" ht="15" customHeight="1" x14ac:dyDescent="0.25">
      <c r="A2113" s="2">
        <v>45979.381249999999</v>
      </c>
      <c r="B2113">
        <v>2025002729</v>
      </c>
      <c r="C2113" t="s">
        <v>1792</v>
      </c>
      <c r="D2113" s="11">
        <v>3150000</v>
      </c>
      <c r="E2113" s="19" t="s">
        <v>1690</v>
      </c>
      <c r="F2113" t="s">
        <v>201</v>
      </c>
      <c r="G2113" t="s">
        <v>1755</v>
      </c>
    </row>
    <row r="2114" spans="1:7" ht="15" customHeight="1" x14ac:dyDescent="0.25">
      <c r="A2114" s="2">
        <v>45979.386111111096</v>
      </c>
      <c r="B2114">
        <v>2025002731</v>
      </c>
      <c r="C2114" t="s">
        <v>1890</v>
      </c>
      <c r="D2114" s="11">
        <v>4730000</v>
      </c>
      <c r="E2114" s="19" t="s">
        <v>2020</v>
      </c>
      <c r="F2114" t="s">
        <v>1891</v>
      </c>
      <c r="G2114" t="s">
        <v>1755</v>
      </c>
    </row>
    <row r="2115" spans="1:7" ht="15" customHeight="1" x14ac:dyDescent="0.25">
      <c r="A2115" s="2">
        <v>45979.390277777798</v>
      </c>
      <c r="B2115">
        <v>2025002732</v>
      </c>
      <c r="C2115" t="s">
        <v>1761</v>
      </c>
      <c r="D2115" s="11">
        <v>3150000</v>
      </c>
      <c r="E2115" s="19" t="s">
        <v>1671</v>
      </c>
      <c r="F2115" t="s">
        <v>443</v>
      </c>
      <c r="G2115" t="s">
        <v>1755</v>
      </c>
    </row>
    <row r="2116" spans="1:7" ht="15" customHeight="1" x14ac:dyDescent="0.25">
      <c r="A2116" s="2">
        <v>45979.392361111102</v>
      </c>
      <c r="B2116">
        <v>2025002733</v>
      </c>
      <c r="C2116" t="s">
        <v>1864</v>
      </c>
      <c r="D2116" s="11">
        <v>3150000</v>
      </c>
      <c r="E2116" s="19" t="s">
        <v>2021</v>
      </c>
      <c r="F2116" t="s">
        <v>1865</v>
      </c>
      <c r="G2116" t="s">
        <v>1755</v>
      </c>
    </row>
    <row r="2117" spans="1:7" ht="15" customHeight="1" x14ac:dyDescent="0.25">
      <c r="A2117" s="2">
        <v>45979.395833333299</v>
      </c>
      <c r="B2117">
        <v>2025002734</v>
      </c>
      <c r="C2117" t="s">
        <v>1775</v>
      </c>
      <c r="D2117" s="11">
        <v>3150000</v>
      </c>
      <c r="E2117" s="19" t="s">
        <v>1639</v>
      </c>
      <c r="F2117" t="s">
        <v>409</v>
      </c>
      <c r="G2117" t="s">
        <v>1755</v>
      </c>
    </row>
    <row r="2118" spans="1:7" ht="15" customHeight="1" x14ac:dyDescent="0.25">
      <c r="A2118" s="2">
        <v>45979.397916666698</v>
      </c>
      <c r="B2118">
        <v>2025002735</v>
      </c>
      <c r="C2118" t="s">
        <v>1839</v>
      </c>
      <c r="D2118" s="11">
        <v>4730000</v>
      </c>
      <c r="E2118" s="19" t="s">
        <v>1641</v>
      </c>
      <c r="F2118" t="s">
        <v>1142</v>
      </c>
      <c r="G2118" t="s">
        <v>1755</v>
      </c>
    </row>
    <row r="2119" spans="1:7" ht="15" customHeight="1" x14ac:dyDescent="0.25">
      <c r="A2119" s="2">
        <v>45979.401388888902</v>
      </c>
      <c r="B2119">
        <v>2025002736</v>
      </c>
      <c r="C2119" t="s">
        <v>1877</v>
      </c>
      <c r="D2119" s="11">
        <v>3150000</v>
      </c>
      <c r="E2119" s="19" t="s">
        <v>1719</v>
      </c>
      <c r="F2119" t="s">
        <v>1230</v>
      </c>
      <c r="G2119" t="s">
        <v>1755</v>
      </c>
    </row>
    <row r="2120" spans="1:7" ht="15" customHeight="1" x14ac:dyDescent="0.25">
      <c r="A2120" s="2">
        <v>45979.403472222199</v>
      </c>
      <c r="B2120">
        <v>2025002737</v>
      </c>
      <c r="C2120" t="s">
        <v>1900</v>
      </c>
      <c r="D2120" s="11">
        <v>6300000</v>
      </c>
      <c r="E2120" s="19" t="s">
        <v>1705</v>
      </c>
      <c r="F2120" t="s">
        <v>450</v>
      </c>
      <c r="G2120" t="s">
        <v>1755</v>
      </c>
    </row>
    <row r="2121" spans="1:7" ht="15" customHeight="1" x14ac:dyDescent="0.25">
      <c r="A2121" s="2">
        <v>45979.405555555597</v>
      </c>
      <c r="B2121">
        <v>2025002738</v>
      </c>
      <c r="C2121" t="s">
        <v>2022</v>
      </c>
      <c r="D2121" s="11">
        <v>36863960</v>
      </c>
      <c r="E2121" s="19" t="s">
        <v>1710</v>
      </c>
      <c r="F2121" t="s">
        <v>1220</v>
      </c>
      <c r="G2121" t="s">
        <v>1755</v>
      </c>
    </row>
    <row r="2122" spans="1:7" ht="15" customHeight="1" x14ac:dyDescent="0.25">
      <c r="A2122" s="2">
        <v>45980.470833333296</v>
      </c>
      <c r="B2122">
        <v>2025002742</v>
      </c>
      <c r="C2122" t="s">
        <v>1963</v>
      </c>
      <c r="D2122" s="11">
        <v>7800000</v>
      </c>
      <c r="E2122" s="19" t="s">
        <v>2023</v>
      </c>
      <c r="F2122" t="s">
        <v>1964</v>
      </c>
      <c r="G2122" t="s">
        <v>1755</v>
      </c>
    </row>
    <row r="2123" spans="1:7" ht="15" customHeight="1" x14ac:dyDescent="0.25">
      <c r="A2123" s="2">
        <v>45980.474999999999</v>
      </c>
      <c r="B2123">
        <v>2025002743</v>
      </c>
      <c r="C2123" t="s">
        <v>1887</v>
      </c>
      <c r="D2123" s="11">
        <v>4730000</v>
      </c>
      <c r="E2123" s="19" t="s">
        <v>2024</v>
      </c>
      <c r="F2123" t="s">
        <v>1888</v>
      </c>
      <c r="G2123" t="s">
        <v>1755</v>
      </c>
    </row>
    <row r="2124" spans="1:7" ht="15" customHeight="1" x14ac:dyDescent="0.25">
      <c r="A2124" s="2">
        <v>45980.476388888899</v>
      </c>
      <c r="B2124">
        <v>2025002744</v>
      </c>
      <c r="C2124" t="s">
        <v>1987</v>
      </c>
      <c r="D2124" s="11">
        <v>3150000</v>
      </c>
      <c r="E2124" s="19" t="s">
        <v>2025</v>
      </c>
      <c r="F2124" t="s">
        <v>1988</v>
      </c>
      <c r="G2124" t="s">
        <v>1755</v>
      </c>
    </row>
    <row r="2125" spans="1:7" ht="15" customHeight="1" x14ac:dyDescent="0.25">
      <c r="A2125" s="2">
        <v>45980.479166666701</v>
      </c>
      <c r="B2125">
        <v>2025002745</v>
      </c>
      <c r="C2125" t="s">
        <v>2026</v>
      </c>
      <c r="D2125" s="11">
        <v>2000000</v>
      </c>
      <c r="E2125" s="19" t="s">
        <v>2027</v>
      </c>
      <c r="F2125" t="s">
        <v>2028</v>
      </c>
      <c r="G2125" t="s">
        <v>1755</v>
      </c>
    </row>
    <row r="2126" spans="1:7" ht="15" customHeight="1" x14ac:dyDescent="0.25">
      <c r="A2126" s="2">
        <v>45980.4819444444</v>
      </c>
      <c r="B2126">
        <v>2025002746</v>
      </c>
      <c r="C2126" t="s">
        <v>2029</v>
      </c>
      <c r="D2126" s="11">
        <v>3150000</v>
      </c>
      <c r="E2126" s="19" t="s">
        <v>1712</v>
      </c>
      <c r="F2126" t="s">
        <v>1222</v>
      </c>
      <c r="G2126" t="s">
        <v>1755</v>
      </c>
    </row>
    <row r="2127" spans="1:7" ht="15" customHeight="1" x14ac:dyDescent="0.25">
      <c r="A2127" s="2">
        <v>45980.484722222202</v>
      </c>
      <c r="B2127">
        <v>2025002747</v>
      </c>
      <c r="C2127" t="s">
        <v>1875</v>
      </c>
      <c r="D2127" s="11">
        <v>7800000</v>
      </c>
      <c r="E2127" s="19" t="s">
        <v>1708</v>
      </c>
      <c r="F2127" t="s">
        <v>1218</v>
      </c>
      <c r="G2127" t="s">
        <v>1755</v>
      </c>
    </row>
    <row r="2128" spans="1:7" ht="15" customHeight="1" x14ac:dyDescent="0.25">
      <c r="A2128" s="2">
        <v>45980.487500000003</v>
      </c>
      <c r="B2128">
        <v>2025002748</v>
      </c>
      <c r="C2128" t="s">
        <v>1960</v>
      </c>
      <c r="D2128" s="11">
        <v>1575000</v>
      </c>
      <c r="E2128" s="19" t="s">
        <v>2030</v>
      </c>
      <c r="F2128" t="s">
        <v>1961</v>
      </c>
      <c r="G2128" t="s">
        <v>1755</v>
      </c>
    </row>
    <row r="2129" spans="1:7" ht="15" customHeight="1" x14ac:dyDescent="0.25">
      <c r="A2129" s="2">
        <v>45980.490277777797</v>
      </c>
      <c r="B2129">
        <v>2025002749</v>
      </c>
      <c r="C2129" t="s">
        <v>1870</v>
      </c>
      <c r="D2129" s="11">
        <v>4730000</v>
      </c>
      <c r="E2129" s="19" t="s">
        <v>2031</v>
      </c>
      <c r="F2129" t="s">
        <v>95</v>
      </c>
      <c r="G2129" t="s">
        <v>1755</v>
      </c>
    </row>
    <row r="2130" spans="1:7" ht="15" customHeight="1" x14ac:dyDescent="0.25">
      <c r="A2130" s="2">
        <v>45980.492361111101</v>
      </c>
      <c r="B2130">
        <v>2025002750</v>
      </c>
      <c r="C2130" t="s">
        <v>1883</v>
      </c>
      <c r="D2130" s="11">
        <v>6300000</v>
      </c>
      <c r="E2130" s="19" t="s">
        <v>2032</v>
      </c>
      <c r="F2130" t="s">
        <v>1884</v>
      </c>
      <c r="G2130" t="s">
        <v>1755</v>
      </c>
    </row>
    <row r="2131" spans="1:7" ht="15" customHeight="1" x14ac:dyDescent="0.25">
      <c r="A2131" s="2">
        <v>45980.586111111101</v>
      </c>
      <c r="B2131">
        <v>2025002751</v>
      </c>
      <c r="C2131" t="s">
        <v>1853</v>
      </c>
      <c r="D2131" s="11">
        <v>4730000</v>
      </c>
      <c r="E2131" s="19" t="s">
        <v>2033</v>
      </c>
      <c r="F2131" t="s">
        <v>355</v>
      </c>
      <c r="G2131" t="s">
        <v>1755</v>
      </c>
    </row>
    <row r="2132" spans="1:7" ht="15" customHeight="1" x14ac:dyDescent="0.25">
      <c r="A2132" s="2">
        <v>45980.668055555601</v>
      </c>
      <c r="B2132">
        <v>2025002768</v>
      </c>
      <c r="C2132" t="s">
        <v>1844</v>
      </c>
      <c r="D2132" s="11">
        <v>7800000</v>
      </c>
      <c r="E2132" s="19" t="s">
        <v>1682</v>
      </c>
      <c r="F2132" t="s">
        <v>159</v>
      </c>
      <c r="G2132" t="s">
        <v>1755</v>
      </c>
    </row>
    <row r="2133" spans="1:7" ht="15" customHeight="1" x14ac:dyDescent="0.25">
      <c r="A2133" s="2">
        <v>45980.673611111102</v>
      </c>
      <c r="B2133">
        <v>2025002773</v>
      </c>
      <c r="C2133" t="s">
        <v>1879</v>
      </c>
      <c r="D2133" s="11">
        <v>3150000</v>
      </c>
      <c r="E2133" s="19" t="s">
        <v>2034</v>
      </c>
      <c r="F2133" t="s">
        <v>1880</v>
      </c>
      <c r="G2133" t="s">
        <v>1755</v>
      </c>
    </row>
    <row r="2134" spans="1:7" ht="15" customHeight="1" x14ac:dyDescent="0.25">
      <c r="A2134" s="2">
        <v>45980.676388888904</v>
      </c>
      <c r="B2134">
        <v>2025002774</v>
      </c>
      <c r="C2134" t="s">
        <v>1956</v>
      </c>
      <c r="D2134" s="11">
        <v>3150000</v>
      </c>
      <c r="E2134" s="19" t="s">
        <v>2035</v>
      </c>
      <c r="F2134" t="s">
        <v>1957</v>
      </c>
      <c r="G2134" t="s">
        <v>1755</v>
      </c>
    </row>
    <row r="2135" spans="1:7" ht="15" customHeight="1" x14ac:dyDescent="0.25">
      <c r="A2135" s="2">
        <v>45980.681250000001</v>
      </c>
      <c r="B2135">
        <v>2025002778</v>
      </c>
      <c r="C2135" t="s">
        <v>1849</v>
      </c>
      <c r="D2135" s="11">
        <v>7800000</v>
      </c>
      <c r="E2135" s="19" t="s">
        <v>1620</v>
      </c>
      <c r="F2135" t="s">
        <v>41</v>
      </c>
      <c r="G2135" t="s">
        <v>1755</v>
      </c>
    </row>
    <row r="2136" spans="1:7" ht="15" customHeight="1" x14ac:dyDescent="0.25">
      <c r="A2136" s="2">
        <v>45980.684722222199</v>
      </c>
      <c r="B2136">
        <v>2025002779</v>
      </c>
      <c r="C2136" t="s">
        <v>1760</v>
      </c>
      <c r="D2136" s="11">
        <v>3150000</v>
      </c>
      <c r="E2136" s="19" t="s">
        <v>1652</v>
      </c>
      <c r="F2136" t="s">
        <v>371</v>
      </c>
      <c r="G2136" t="s">
        <v>1755</v>
      </c>
    </row>
    <row r="2137" spans="1:7" ht="15" customHeight="1" x14ac:dyDescent="0.25">
      <c r="A2137" s="2">
        <v>45980.686805555597</v>
      </c>
      <c r="B2137">
        <v>2025002780</v>
      </c>
      <c r="C2137" t="s">
        <v>1773</v>
      </c>
      <c r="D2137" s="11">
        <v>6300000</v>
      </c>
      <c r="E2137" s="19" t="s">
        <v>2036</v>
      </c>
      <c r="F2137" t="s">
        <v>1774</v>
      </c>
      <c r="G2137" t="s">
        <v>1755</v>
      </c>
    </row>
    <row r="2138" spans="1:7" ht="15" customHeight="1" x14ac:dyDescent="0.25">
      <c r="A2138" s="2">
        <v>45980.688888888901</v>
      </c>
      <c r="B2138">
        <v>2025002781</v>
      </c>
      <c r="C2138" t="s">
        <v>1835</v>
      </c>
      <c r="D2138" s="11">
        <v>3150000</v>
      </c>
      <c r="E2138" s="19" t="s">
        <v>1679</v>
      </c>
      <c r="F2138" t="s">
        <v>111</v>
      </c>
      <c r="G2138" t="s">
        <v>1755</v>
      </c>
    </row>
    <row r="2139" spans="1:7" ht="15" customHeight="1" x14ac:dyDescent="0.25">
      <c r="A2139" s="2">
        <v>45980.691666666702</v>
      </c>
      <c r="B2139">
        <v>2025002782</v>
      </c>
      <c r="C2139" t="s">
        <v>1878</v>
      </c>
      <c r="D2139" s="11">
        <v>3150000</v>
      </c>
      <c r="E2139" s="19" t="s">
        <v>2037</v>
      </c>
      <c r="F2139" t="s">
        <v>417</v>
      </c>
      <c r="G2139" t="s">
        <v>1755</v>
      </c>
    </row>
    <row r="2140" spans="1:7" ht="15" customHeight="1" x14ac:dyDescent="0.25">
      <c r="A2140" s="2">
        <v>45980.7409722222</v>
      </c>
      <c r="B2140">
        <v>2025002783</v>
      </c>
      <c r="C2140" t="s">
        <v>1940</v>
      </c>
      <c r="D2140" s="11">
        <v>3150000</v>
      </c>
      <c r="E2140" s="19" t="s">
        <v>1634</v>
      </c>
      <c r="F2140" t="s">
        <v>209</v>
      </c>
      <c r="G2140" t="s">
        <v>1755</v>
      </c>
    </row>
    <row r="2141" spans="1:7" ht="15" customHeight="1" x14ac:dyDescent="0.25">
      <c r="A2141" s="2">
        <v>45981</v>
      </c>
      <c r="B2141">
        <v>2025002796</v>
      </c>
      <c r="C2141" t="s">
        <v>1245</v>
      </c>
      <c r="D2141" s="11">
        <v>3000000</v>
      </c>
      <c r="E2141" s="12"/>
      <c r="F2141" s="12"/>
      <c r="G2141" t="s">
        <v>1094</v>
      </c>
    </row>
    <row r="2142" spans="1:7" ht="15" customHeight="1" x14ac:dyDescent="0.25">
      <c r="A2142" s="2">
        <v>45981.306944444397</v>
      </c>
      <c r="B2142">
        <v>2025002784</v>
      </c>
      <c r="C2142" t="s">
        <v>1932</v>
      </c>
      <c r="D2142" s="11">
        <v>7800000</v>
      </c>
      <c r="E2142" s="19" t="s">
        <v>2038</v>
      </c>
      <c r="F2142" t="s">
        <v>889</v>
      </c>
      <c r="G2142" t="s">
        <v>1755</v>
      </c>
    </row>
    <row r="2143" spans="1:7" ht="15" customHeight="1" x14ac:dyDescent="0.25">
      <c r="A2143" s="2">
        <v>45981.311111111099</v>
      </c>
      <c r="B2143">
        <v>2025002785</v>
      </c>
      <c r="C2143" t="s">
        <v>1934</v>
      </c>
      <c r="D2143" s="11">
        <v>4730000</v>
      </c>
      <c r="E2143" s="19" t="s">
        <v>2039</v>
      </c>
      <c r="F2143" t="s">
        <v>464</v>
      </c>
      <c r="G2143" t="s">
        <v>1755</v>
      </c>
    </row>
    <row r="2144" spans="1:7" ht="15" customHeight="1" x14ac:dyDescent="0.25">
      <c r="A2144" s="2">
        <v>45981.313194444403</v>
      </c>
      <c r="B2144">
        <v>2025002786</v>
      </c>
      <c r="C2144" t="s">
        <v>1805</v>
      </c>
      <c r="D2144" s="11">
        <v>3150000</v>
      </c>
      <c r="E2144" s="19" t="s">
        <v>1658</v>
      </c>
      <c r="F2144" t="s">
        <v>1158</v>
      </c>
      <c r="G2144" t="s">
        <v>1755</v>
      </c>
    </row>
    <row r="2145" spans="1:7" ht="15" customHeight="1" x14ac:dyDescent="0.25">
      <c r="A2145" s="2">
        <v>45981.320138888899</v>
      </c>
      <c r="B2145">
        <v>2025002787</v>
      </c>
      <c r="C2145" t="s">
        <v>1914</v>
      </c>
      <c r="D2145" s="11">
        <v>6300000</v>
      </c>
      <c r="E2145" s="19" t="s">
        <v>1673</v>
      </c>
      <c r="F2145" t="s">
        <v>1182</v>
      </c>
      <c r="G2145" t="s">
        <v>1755</v>
      </c>
    </row>
    <row r="2146" spans="1:7" ht="15" customHeight="1" x14ac:dyDescent="0.25">
      <c r="A2146" s="2">
        <v>45981.329166666699</v>
      </c>
      <c r="B2146">
        <v>2025002789</v>
      </c>
      <c r="C2146" t="s">
        <v>1806</v>
      </c>
      <c r="D2146" s="11">
        <v>7800000</v>
      </c>
      <c r="E2146" s="19" t="s">
        <v>2040</v>
      </c>
      <c r="F2146" t="s">
        <v>1807</v>
      </c>
      <c r="G2146" t="s">
        <v>1755</v>
      </c>
    </row>
    <row r="2147" spans="1:7" ht="15" customHeight="1" x14ac:dyDescent="0.25">
      <c r="A2147" s="2">
        <v>45981.331944444399</v>
      </c>
      <c r="B2147">
        <v>2025002790</v>
      </c>
      <c r="C2147" t="s">
        <v>1922</v>
      </c>
      <c r="D2147" s="11">
        <v>7800000</v>
      </c>
      <c r="E2147" s="19" t="s">
        <v>2041</v>
      </c>
      <c r="F2147" t="s">
        <v>1923</v>
      </c>
      <c r="G2147" t="s">
        <v>1755</v>
      </c>
    </row>
    <row r="2148" spans="1:7" ht="15" customHeight="1" x14ac:dyDescent="0.25">
      <c r="A2148" s="2">
        <v>45981.335416666698</v>
      </c>
      <c r="B2148">
        <v>2025002791</v>
      </c>
      <c r="C2148" t="s">
        <v>1823</v>
      </c>
      <c r="D2148" s="11">
        <v>3150000</v>
      </c>
      <c r="E2148" s="19" t="s">
        <v>2042</v>
      </c>
      <c r="F2148" t="s">
        <v>693</v>
      </c>
      <c r="G2148" t="s">
        <v>1755</v>
      </c>
    </row>
    <row r="2149" spans="1:7" ht="15" customHeight="1" x14ac:dyDescent="0.25">
      <c r="A2149" s="2">
        <v>45981.337500000001</v>
      </c>
      <c r="B2149">
        <v>2025002792</v>
      </c>
      <c r="C2149" t="s">
        <v>1803</v>
      </c>
      <c r="D2149" s="11">
        <v>3150000</v>
      </c>
      <c r="E2149" s="19" t="s">
        <v>1662</v>
      </c>
      <c r="F2149" t="s">
        <v>149</v>
      </c>
      <c r="G2149" t="s">
        <v>1755</v>
      </c>
    </row>
    <row r="2150" spans="1:7" ht="15" customHeight="1" x14ac:dyDescent="0.25">
      <c r="A2150" s="2">
        <v>45981.342361111099</v>
      </c>
      <c r="B2150">
        <v>2025002793</v>
      </c>
      <c r="C2150" t="s">
        <v>1924</v>
      </c>
      <c r="D2150" s="11">
        <v>6300000</v>
      </c>
      <c r="E2150" s="19" t="s">
        <v>1594</v>
      </c>
      <c r="F2150" t="s">
        <v>1102</v>
      </c>
      <c r="G2150" t="s">
        <v>1755</v>
      </c>
    </row>
    <row r="2151" spans="1:7" ht="15" customHeight="1" x14ac:dyDescent="0.25">
      <c r="A2151" s="2">
        <v>45981.345138888901</v>
      </c>
      <c r="B2151">
        <v>2025002794</v>
      </c>
      <c r="C2151" t="s">
        <v>1861</v>
      </c>
      <c r="D2151" s="11">
        <v>7800000</v>
      </c>
      <c r="E2151" s="19" t="s">
        <v>1622</v>
      </c>
      <c r="F2151" t="s">
        <v>63</v>
      </c>
      <c r="G2151" t="s">
        <v>1755</v>
      </c>
    </row>
    <row r="2152" spans="1:7" ht="15" customHeight="1" x14ac:dyDescent="0.25">
      <c r="A2152" s="2">
        <v>45981.347222222197</v>
      </c>
      <c r="B2152">
        <v>2025002795</v>
      </c>
      <c r="C2152" t="s">
        <v>1820</v>
      </c>
      <c r="D2152" s="11">
        <v>3150000</v>
      </c>
      <c r="E2152" s="19" t="s">
        <v>2043</v>
      </c>
      <c r="F2152" t="s">
        <v>405</v>
      </c>
      <c r="G2152" t="s">
        <v>1755</v>
      </c>
    </row>
    <row r="2153" spans="1:7" ht="15" customHeight="1" x14ac:dyDescent="0.25">
      <c r="A2153" s="2">
        <v>45981.359027777798</v>
      </c>
      <c r="B2153">
        <v>2025002799</v>
      </c>
      <c r="C2153" t="s">
        <v>1827</v>
      </c>
      <c r="D2153" s="11">
        <v>3150000</v>
      </c>
      <c r="E2153" s="19" t="s">
        <v>1626</v>
      </c>
      <c r="F2153" t="s">
        <v>243</v>
      </c>
      <c r="G2153" t="s">
        <v>1755</v>
      </c>
    </row>
    <row r="2154" spans="1:7" ht="15" customHeight="1" x14ac:dyDescent="0.25">
      <c r="A2154" s="2">
        <v>45981.376388888901</v>
      </c>
      <c r="B2154">
        <v>2025002800</v>
      </c>
      <c r="C2154" t="s">
        <v>1866</v>
      </c>
      <c r="D2154" s="11">
        <v>3150000</v>
      </c>
      <c r="E2154" s="19" t="s">
        <v>2044</v>
      </c>
      <c r="F2154" t="s">
        <v>1867</v>
      </c>
      <c r="G2154" t="s">
        <v>1755</v>
      </c>
    </row>
    <row r="2155" spans="1:7" ht="15" customHeight="1" x14ac:dyDescent="0.25">
      <c r="A2155" s="2">
        <v>45981.388888888898</v>
      </c>
      <c r="B2155">
        <v>2025002803</v>
      </c>
      <c r="C2155" t="s">
        <v>1889</v>
      </c>
      <c r="D2155" s="11">
        <v>3150000</v>
      </c>
      <c r="E2155" s="19" t="s">
        <v>1731</v>
      </c>
      <c r="F2155" t="s">
        <v>548</v>
      </c>
      <c r="G2155" t="s">
        <v>1755</v>
      </c>
    </row>
    <row r="2156" spans="1:7" ht="15" customHeight="1" x14ac:dyDescent="0.25">
      <c r="A2156" s="2">
        <v>45981.390972222202</v>
      </c>
      <c r="B2156">
        <v>2025002804</v>
      </c>
      <c r="C2156" t="s">
        <v>1881</v>
      </c>
      <c r="D2156" s="11">
        <v>3150000</v>
      </c>
      <c r="E2156" s="19" t="s">
        <v>2046</v>
      </c>
      <c r="F2156" t="s">
        <v>1882</v>
      </c>
      <c r="G2156" t="s">
        <v>1755</v>
      </c>
    </row>
    <row r="2157" spans="1:7" ht="15" customHeight="1" x14ac:dyDescent="0.25">
      <c r="A2157" s="2">
        <v>45981.3930555556</v>
      </c>
      <c r="B2157">
        <v>2025002805</v>
      </c>
      <c r="C2157" t="s">
        <v>1965</v>
      </c>
      <c r="D2157" s="11">
        <v>6300000</v>
      </c>
      <c r="E2157" s="19" t="s">
        <v>2047</v>
      </c>
      <c r="F2157" t="s">
        <v>1966</v>
      </c>
      <c r="G2157" t="s">
        <v>1755</v>
      </c>
    </row>
    <row r="2158" spans="1:7" ht="15" customHeight="1" x14ac:dyDescent="0.25">
      <c r="A2158" s="2">
        <v>45981.395138888904</v>
      </c>
      <c r="B2158">
        <v>2025002806</v>
      </c>
      <c r="C2158" t="s">
        <v>1946</v>
      </c>
      <c r="D2158" s="11">
        <v>3150000</v>
      </c>
      <c r="E2158" s="19" t="s">
        <v>2048</v>
      </c>
      <c r="F2158" t="s">
        <v>1947</v>
      </c>
      <c r="G2158" t="s">
        <v>1755</v>
      </c>
    </row>
    <row r="2159" spans="1:7" ht="15" customHeight="1" x14ac:dyDescent="0.25">
      <c r="A2159" s="2">
        <v>45981.396527777797</v>
      </c>
      <c r="B2159">
        <v>2025002807</v>
      </c>
      <c r="C2159" t="s">
        <v>1952</v>
      </c>
      <c r="D2159" s="11">
        <v>3150000</v>
      </c>
      <c r="E2159" s="19" t="s">
        <v>2049</v>
      </c>
      <c r="F2159" t="s">
        <v>1953</v>
      </c>
      <c r="G2159" t="s">
        <v>1755</v>
      </c>
    </row>
    <row r="2160" spans="1:7" ht="15" customHeight="1" x14ac:dyDescent="0.25">
      <c r="A2160" s="2">
        <v>45981.398611111101</v>
      </c>
      <c r="B2160">
        <v>2025002808</v>
      </c>
      <c r="C2160" t="s">
        <v>1838</v>
      </c>
      <c r="D2160" s="11">
        <v>6300000</v>
      </c>
      <c r="E2160" s="19" t="s">
        <v>2050</v>
      </c>
      <c r="F2160" t="s">
        <v>1062</v>
      </c>
      <c r="G2160" t="s">
        <v>1755</v>
      </c>
    </row>
    <row r="2161" spans="1:7" ht="15" customHeight="1" x14ac:dyDescent="0.25">
      <c r="A2161" s="2">
        <v>45981.399305555598</v>
      </c>
      <c r="B2161">
        <v>2025002802</v>
      </c>
      <c r="C2161" t="s">
        <v>1950</v>
      </c>
      <c r="D2161" s="11">
        <v>3150000</v>
      </c>
      <c r="E2161" s="19" t="s">
        <v>2045</v>
      </c>
      <c r="F2161" t="s">
        <v>1951</v>
      </c>
      <c r="G2161" t="s">
        <v>1755</v>
      </c>
    </row>
    <row r="2162" spans="1:7" ht="15" customHeight="1" x14ac:dyDescent="0.25">
      <c r="A2162" s="2">
        <v>45981.402777777803</v>
      </c>
      <c r="B2162">
        <v>2025002809</v>
      </c>
      <c r="C2162" t="s">
        <v>1840</v>
      </c>
      <c r="D2162" s="11">
        <v>7800000</v>
      </c>
      <c r="E2162" s="19" t="s">
        <v>2051</v>
      </c>
      <c r="F2162" t="s">
        <v>1841</v>
      </c>
      <c r="G2162" t="s">
        <v>1755</v>
      </c>
    </row>
    <row r="2163" spans="1:7" ht="15" customHeight="1" x14ac:dyDescent="0.25">
      <c r="A2163" s="2">
        <v>45981.405555555597</v>
      </c>
      <c r="B2163">
        <v>2025002810</v>
      </c>
      <c r="C2163" t="s">
        <v>1756</v>
      </c>
      <c r="D2163" s="11">
        <v>3150000</v>
      </c>
      <c r="E2163" s="19" t="s">
        <v>2052</v>
      </c>
      <c r="F2163" t="s">
        <v>1757</v>
      </c>
      <c r="G2163" t="s">
        <v>1755</v>
      </c>
    </row>
    <row r="2164" spans="1:7" ht="15" customHeight="1" x14ac:dyDescent="0.25">
      <c r="A2164" s="2">
        <v>45981.407638888901</v>
      </c>
      <c r="B2164">
        <v>2025002811</v>
      </c>
      <c r="C2164" t="s">
        <v>1967</v>
      </c>
      <c r="D2164" s="11">
        <v>3150000</v>
      </c>
      <c r="E2164" s="19" t="s">
        <v>2053</v>
      </c>
      <c r="F2164" t="s">
        <v>1968</v>
      </c>
      <c r="G2164" t="s">
        <v>1755</v>
      </c>
    </row>
    <row r="2165" spans="1:7" ht="15" customHeight="1" x14ac:dyDescent="0.25">
      <c r="A2165" s="2">
        <v>45981.411111111098</v>
      </c>
      <c r="B2165">
        <v>2025002812</v>
      </c>
      <c r="C2165" t="s">
        <v>1871</v>
      </c>
      <c r="D2165" s="11">
        <v>7800000</v>
      </c>
      <c r="E2165" s="19" t="s">
        <v>2054</v>
      </c>
      <c r="F2165" t="s">
        <v>1872</v>
      </c>
      <c r="G2165" t="s">
        <v>1755</v>
      </c>
    </row>
    <row r="2166" spans="1:7" ht="15" customHeight="1" x14ac:dyDescent="0.25">
      <c r="A2166" s="2">
        <v>45981.413194444402</v>
      </c>
      <c r="B2166">
        <v>2025002813</v>
      </c>
      <c r="C2166" t="s">
        <v>1770</v>
      </c>
      <c r="D2166" s="11">
        <v>6300000</v>
      </c>
      <c r="E2166" s="19" t="s">
        <v>1664</v>
      </c>
      <c r="F2166" t="s">
        <v>329</v>
      </c>
      <c r="G2166" t="s">
        <v>1755</v>
      </c>
    </row>
    <row r="2167" spans="1:7" ht="15" customHeight="1" x14ac:dyDescent="0.25">
      <c r="A2167" s="2">
        <v>45981.4152777778</v>
      </c>
      <c r="B2167">
        <v>2025002814</v>
      </c>
      <c r="C2167" t="s">
        <v>1847</v>
      </c>
      <c r="D2167" s="11">
        <v>6300000</v>
      </c>
      <c r="E2167" s="19" t="s">
        <v>2055</v>
      </c>
      <c r="F2167" t="s">
        <v>1848</v>
      </c>
      <c r="G2167" t="s">
        <v>1755</v>
      </c>
    </row>
    <row r="2168" spans="1:7" ht="15" customHeight="1" x14ac:dyDescent="0.25">
      <c r="A2168" s="2">
        <v>45981.418749999997</v>
      </c>
      <c r="B2168">
        <v>2025002815</v>
      </c>
      <c r="C2168" t="s">
        <v>1810</v>
      </c>
      <c r="D2168" s="11">
        <v>7800000</v>
      </c>
      <c r="E2168" s="19" t="s">
        <v>2056</v>
      </c>
      <c r="F2168" t="s">
        <v>1811</v>
      </c>
      <c r="G2168" t="s">
        <v>1755</v>
      </c>
    </row>
    <row r="2169" spans="1:7" ht="15" customHeight="1" x14ac:dyDescent="0.25">
      <c r="A2169" s="2">
        <v>45981.422222222202</v>
      </c>
      <c r="B2169">
        <v>2025002816</v>
      </c>
      <c r="C2169" t="s">
        <v>1812</v>
      </c>
      <c r="D2169" s="11">
        <v>7800000</v>
      </c>
      <c r="E2169" s="19" t="s">
        <v>2057</v>
      </c>
      <c r="F2169" t="s">
        <v>1813</v>
      </c>
      <c r="G2169" t="s">
        <v>1755</v>
      </c>
    </row>
    <row r="2170" spans="1:7" ht="15" customHeight="1" x14ac:dyDescent="0.25">
      <c r="A2170" s="2">
        <v>45981.425694444399</v>
      </c>
      <c r="B2170">
        <v>2025002817</v>
      </c>
      <c r="C2170" t="s">
        <v>1808</v>
      </c>
      <c r="D2170" s="11">
        <v>7800000</v>
      </c>
      <c r="E2170" s="19" t="s">
        <v>2058</v>
      </c>
      <c r="F2170" t="s">
        <v>1809</v>
      </c>
      <c r="G2170" t="s">
        <v>1755</v>
      </c>
    </row>
    <row r="2171" spans="1:7" ht="15" customHeight="1" x14ac:dyDescent="0.25">
      <c r="A2171" s="2">
        <v>45981.435416666704</v>
      </c>
      <c r="B2171">
        <v>2025002818</v>
      </c>
      <c r="C2171" t="s">
        <v>1998</v>
      </c>
      <c r="D2171" s="11">
        <v>7800000</v>
      </c>
      <c r="E2171" s="19" t="s">
        <v>2059</v>
      </c>
      <c r="F2171" t="s">
        <v>1999</v>
      </c>
      <c r="G2171" t="s">
        <v>1755</v>
      </c>
    </row>
    <row r="2172" spans="1:7" ht="15" customHeight="1" x14ac:dyDescent="0.25">
      <c r="A2172" s="2">
        <v>45981.463194444397</v>
      </c>
      <c r="B2172">
        <v>2025002820</v>
      </c>
      <c r="C2172" t="s">
        <v>1935</v>
      </c>
      <c r="D2172" s="11">
        <v>3150000</v>
      </c>
      <c r="E2172" s="19" t="s">
        <v>2061</v>
      </c>
      <c r="F2172" t="s">
        <v>1936</v>
      </c>
      <c r="G2172" t="s">
        <v>1755</v>
      </c>
    </row>
    <row r="2173" spans="1:7" ht="15" customHeight="1" x14ac:dyDescent="0.25">
      <c r="A2173" s="2">
        <v>45981.465277777803</v>
      </c>
      <c r="B2173">
        <v>2025002821</v>
      </c>
      <c r="C2173" t="s">
        <v>1916</v>
      </c>
      <c r="D2173" s="11">
        <v>6300000</v>
      </c>
      <c r="E2173" s="19" t="s">
        <v>1651</v>
      </c>
      <c r="F2173" t="s">
        <v>117</v>
      </c>
      <c r="G2173" t="s">
        <v>1755</v>
      </c>
    </row>
    <row r="2174" spans="1:7" ht="15" customHeight="1" x14ac:dyDescent="0.25">
      <c r="A2174" s="2">
        <v>45981.670138888898</v>
      </c>
      <c r="B2174">
        <v>2025002823</v>
      </c>
      <c r="C2174" t="s">
        <v>1791</v>
      </c>
      <c r="D2174" s="11">
        <v>4730000</v>
      </c>
      <c r="E2174" s="19" t="s">
        <v>1614</v>
      </c>
      <c r="F2174" t="s">
        <v>735</v>
      </c>
      <c r="G2174" t="s">
        <v>1755</v>
      </c>
    </row>
    <row r="2175" spans="1:7" ht="15" customHeight="1" x14ac:dyDescent="0.25">
      <c r="A2175" s="2">
        <v>45981.672222222202</v>
      </c>
      <c r="B2175">
        <v>2025002824</v>
      </c>
      <c r="C2175" t="s">
        <v>1767</v>
      </c>
      <c r="D2175" s="11">
        <v>3150000</v>
      </c>
      <c r="E2175" s="19" t="s">
        <v>1647</v>
      </c>
      <c r="F2175" t="s">
        <v>119</v>
      </c>
      <c r="G2175" t="s">
        <v>1755</v>
      </c>
    </row>
    <row r="2176" spans="1:7" ht="15" customHeight="1" x14ac:dyDescent="0.25">
      <c r="A2176" s="2">
        <v>45981.6743055556</v>
      </c>
      <c r="B2176">
        <v>2025002825</v>
      </c>
      <c r="C2176" t="s">
        <v>1842</v>
      </c>
      <c r="D2176" s="11">
        <v>3150000</v>
      </c>
      <c r="E2176" s="19" t="s">
        <v>2062</v>
      </c>
      <c r="F2176" t="s">
        <v>1843</v>
      </c>
      <c r="G2176" t="s">
        <v>1755</v>
      </c>
    </row>
    <row r="2177" spans="1:9" ht="15" customHeight="1" x14ac:dyDescent="0.25">
      <c r="A2177" s="2">
        <v>45981.677083333299</v>
      </c>
      <c r="B2177">
        <v>2025002826</v>
      </c>
      <c r="C2177" t="s">
        <v>1896</v>
      </c>
      <c r="D2177" s="11">
        <v>3150000</v>
      </c>
      <c r="E2177" s="19" t="s">
        <v>2063</v>
      </c>
      <c r="F2177" t="s">
        <v>1897</v>
      </c>
      <c r="G2177" t="s">
        <v>1755</v>
      </c>
    </row>
    <row r="2178" spans="1:9" ht="15" customHeight="1" x14ac:dyDescent="0.25">
      <c r="A2178" s="2">
        <v>45982</v>
      </c>
      <c r="B2178">
        <v>2025002797</v>
      </c>
      <c r="C2178" t="s">
        <v>1268</v>
      </c>
      <c r="D2178" s="11">
        <v>3000000</v>
      </c>
      <c r="E2178" s="12"/>
      <c r="F2178" s="12"/>
      <c r="G2178" t="s">
        <v>1094</v>
      </c>
      <c r="I2178" s="11"/>
    </row>
    <row r="2179" spans="1:9" ht="15" customHeight="1" x14ac:dyDescent="0.25">
      <c r="A2179" s="2">
        <v>45982</v>
      </c>
      <c r="B2179">
        <v>2025002798</v>
      </c>
      <c r="C2179" t="s">
        <v>1236</v>
      </c>
      <c r="D2179" s="11">
        <v>4825000</v>
      </c>
      <c r="E2179" s="12"/>
      <c r="F2179" s="12"/>
      <c r="G2179" t="s">
        <v>1094</v>
      </c>
      <c r="I2179" s="11"/>
    </row>
    <row r="2180" spans="1:9" ht="15" customHeight="1" x14ac:dyDescent="0.25">
      <c r="A2180" s="2">
        <v>45982.411111111098</v>
      </c>
      <c r="B2180">
        <v>2025002828</v>
      </c>
      <c r="C2180" t="s">
        <v>1763</v>
      </c>
      <c r="D2180" s="11">
        <v>4730000</v>
      </c>
      <c r="E2180" s="19" t="s">
        <v>2064</v>
      </c>
      <c r="F2180" t="s">
        <v>267</v>
      </c>
      <c r="G2180" t="s">
        <v>1755</v>
      </c>
    </row>
    <row r="2181" spans="1:9" ht="15" customHeight="1" x14ac:dyDescent="0.25">
      <c r="A2181" s="2">
        <v>45982.413194444402</v>
      </c>
      <c r="B2181">
        <v>2025002830</v>
      </c>
      <c r="C2181" t="s">
        <v>2065</v>
      </c>
      <c r="D2181" s="11">
        <v>2000000</v>
      </c>
      <c r="E2181" s="19" t="s">
        <v>2066</v>
      </c>
      <c r="F2181" t="s">
        <v>2067</v>
      </c>
      <c r="G2181" t="s">
        <v>1755</v>
      </c>
    </row>
    <row r="2182" spans="1:9" ht="15" customHeight="1" x14ac:dyDescent="0.25">
      <c r="A2182" s="2">
        <v>45982.416666666701</v>
      </c>
      <c r="B2182">
        <v>2025002833</v>
      </c>
      <c r="C2182" t="s">
        <v>2068</v>
      </c>
      <c r="D2182" s="11">
        <v>2000000</v>
      </c>
      <c r="E2182" s="19" t="s">
        <v>2069</v>
      </c>
      <c r="F2182" t="s">
        <v>2070</v>
      </c>
      <c r="G2182" t="s">
        <v>1755</v>
      </c>
    </row>
    <row r="2183" spans="1:9" ht="15" customHeight="1" x14ac:dyDescent="0.25">
      <c r="A2183" s="2">
        <v>45982.418749999997</v>
      </c>
      <c r="B2183">
        <v>2025002835</v>
      </c>
      <c r="C2183" t="s">
        <v>2071</v>
      </c>
      <c r="D2183" s="11">
        <v>2000000</v>
      </c>
      <c r="E2183" s="19" t="s">
        <v>2072</v>
      </c>
      <c r="F2183" t="s">
        <v>2073</v>
      </c>
      <c r="G2183" t="s">
        <v>1755</v>
      </c>
    </row>
    <row r="2184" spans="1:9" ht="15" customHeight="1" x14ac:dyDescent="0.25">
      <c r="A2184" s="2">
        <v>45982.421527777798</v>
      </c>
      <c r="B2184">
        <v>2025002837</v>
      </c>
      <c r="C2184" t="s">
        <v>1828</v>
      </c>
      <c r="D2184" s="11">
        <v>3150000</v>
      </c>
      <c r="E2184" s="19" t="s">
        <v>2074</v>
      </c>
      <c r="F2184" t="s">
        <v>1829</v>
      </c>
      <c r="G2184" t="s">
        <v>1755</v>
      </c>
    </row>
    <row r="2185" spans="1:9" ht="15" customHeight="1" x14ac:dyDescent="0.25">
      <c r="A2185" s="2">
        <v>45982.425000000003</v>
      </c>
      <c r="B2185">
        <v>2025002840</v>
      </c>
      <c r="C2185" t="s">
        <v>1869</v>
      </c>
      <c r="D2185" s="11">
        <v>7800000</v>
      </c>
      <c r="E2185" s="19" t="s">
        <v>1591</v>
      </c>
      <c r="F2185" t="s">
        <v>791</v>
      </c>
      <c r="G2185" t="s">
        <v>1755</v>
      </c>
    </row>
    <row r="2186" spans="1:9" ht="15" customHeight="1" x14ac:dyDescent="0.25">
      <c r="A2186" s="2">
        <v>45982.427777777797</v>
      </c>
      <c r="B2186">
        <v>2025002842</v>
      </c>
      <c r="C2186" t="s">
        <v>1862</v>
      </c>
      <c r="D2186" s="11">
        <v>6300000</v>
      </c>
      <c r="E2186" s="19" t="s">
        <v>2075</v>
      </c>
      <c r="F2186" t="s">
        <v>1863</v>
      </c>
      <c r="G2186" t="s">
        <v>1755</v>
      </c>
    </row>
    <row r="2187" spans="1:9" ht="15" customHeight="1" x14ac:dyDescent="0.25">
      <c r="A2187" s="2">
        <v>45982.429861111101</v>
      </c>
      <c r="B2187">
        <v>2025002844</v>
      </c>
      <c r="C2187" t="s">
        <v>1850</v>
      </c>
      <c r="D2187" s="11">
        <v>4730000</v>
      </c>
      <c r="E2187" s="19" t="s">
        <v>2076</v>
      </c>
      <c r="F2187" t="s">
        <v>429</v>
      </c>
      <c r="G2187" t="s">
        <v>1755</v>
      </c>
    </row>
    <row r="2188" spans="1:9" ht="15" customHeight="1" x14ac:dyDescent="0.25">
      <c r="A2188" s="2">
        <v>45982.432638888902</v>
      </c>
      <c r="B2188">
        <v>2025002846</v>
      </c>
      <c r="C2188" t="s">
        <v>1858</v>
      </c>
      <c r="D2188" s="11">
        <v>4730000</v>
      </c>
      <c r="E2188" s="19" t="s">
        <v>2077</v>
      </c>
      <c r="F2188" t="s">
        <v>1859</v>
      </c>
      <c r="G2188" t="s">
        <v>1755</v>
      </c>
    </row>
    <row r="2189" spans="1:9" ht="15" customHeight="1" x14ac:dyDescent="0.25">
      <c r="A2189" s="2">
        <v>45982.435416666704</v>
      </c>
      <c r="B2189">
        <v>2025002849</v>
      </c>
      <c r="C2189" t="s">
        <v>2078</v>
      </c>
      <c r="D2189" s="11">
        <v>2000000</v>
      </c>
      <c r="E2189" s="19" t="s">
        <v>1699</v>
      </c>
      <c r="F2189" t="s">
        <v>1020</v>
      </c>
      <c r="G2189" t="s">
        <v>1755</v>
      </c>
    </row>
    <row r="2190" spans="1:9" ht="15" customHeight="1" x14ac:dyDescent="0.25">
      <c r="A2190" s="2">
        <v>45982.438194444403</v>
      </c>
      <c r="B2190">
        <v>2025002851</v>
      </c>
      <c r="C2190" t="s">
        <v>1793</v>
      </c>
      <c r="D2190" s="11">
        <v>3150000</v>
      </c>
      <c r="E2190" s="19" t="s">
        <v>2079</v>
      </c>
      <c r="F2190" t="s">
        <v>963</v>
      </c>
      <c r="G2190" t="s">
        <v>1755</v>
      </c>
    </row>
    <row r="2191" spans="1:9" ht="15" customHeight="1" x14ac:dyDescent="0.25">
      <c r="A2191" s="2">
        <v>45982.440277777801</v>
      </c>
      <c r="B2191">
        <v>2025002852</v>
      </c>
      <c r="C2191" t="s">
        <v>2080</v>
      </c>
      <c r="D2191" s="11">
        <v>3150000</v>
      </c>
      <c r="E2191" s="19" t="s">
        <v>2081</v>
      </c>
      <c r="F2191" t="s">
        <v>2082</v>
      </c>
      <c r="G2191" t="s">
        <v>1755</v>
      </c>
    </row>
    <row r="2192" spans="1:9" ht="15" customHeight="1" x14ac:dyDescent="0.25">
      <c r="A2192" s="2">
        <v>45982.442361111098</v>
      </c>
      <c r="B2192">
        <v>2025002853</v>
      </c>
      <c r="C2192" t="s">
        <v>1801</v>
      </c>
      <c r="D2192" s="11">
        <v>3150000</v>
      </c>
      <c r="E2192" s="19" t="s">
        <v>2083</v>
      </c>
      <c r="F2192" t="s">
        <v>1802</v>
      </c>
      <c r="G2192" t="s">
        <v>1755</v>
      </c>
    </row>
    <row r="2193" spans="1:9" ht="15" customHeight="1" x14ac:dyDescent="0.25">
      <c r="A2193" s="2">
        <v>45982.444444444402</v>
      </c>
      <c r="B2193">
        <v>2025002854</v>
      </c>
      <c r="C2193" t="s">
        <v>1794</v>
      </c>
      <c r="D2193" s="11">
        <v>3150000</v>
      </c>
      <c r="E2193" s="19" t="s">
        <v>1724</v>
      </c>
      <c r="F2193" t="s">
        <v>1235</v>
      </c>
      <c r="G2193" t="s">
        <v>1755</v>
      </c>
    </row>
    <row r="2194" spans="1:9" ht="15" customHeight="1" x14ac:dyDescent="0.25">
      <c r="A2194" s="2">
        <v>45982.476388888899</v>
      </c>
      <c r="B2194">
        <v>2025002855</v>
      </c>
      <c r="C2194" t="s">
        <v>1800</v>
      </c>
      <c r="D2194" s="11">
        <v>3150000</v>
      </c>
      <c r="E2194" s="19" t="s">
        <v>1667</v>
      </c>
      <c r="F2194" t="s">
        <v>555</v>
      </c>
      <c r="G2194" t="s">
        <v>1755</v>
      </c>
    </row>
    <row r="2195" spans="1:9" ht="15" customHeight="1" x14ac:dyDescent="0.25">
      <c r="A2195" s="2">
        <v>45982.479861111096</v>
      </c>
      <c r="B2195">
        <v>2025002856</v>
      </c>
      <c r="C2195" t="s">
        <v>2084</v>
      </c>
      <c r="D2195" s="11">
        <v>2000000</v>
      </c>
      <c r="E2195" s="19" t="s">
        <v>2085</v>
      </c>
      <c r="F2195" t="s">
        <v>2086</v>
      </c>
      <c r="G2195" t="s">
        <v>1755</v>
      </c>
    </row>
    <row r="2196" spans="1:9" ht="15" customHeight="1" x14ac:dyDescent="0.25">
      <c r="A2196" s="2">
        <v>45982.483333333301</v>
      </c>
      <c r="B2196">
        <v>2025002857</v>
      </c>
      <c r="C2196" t="s">
        <v>2087</v>
      </c>
      <c r="D2196" s="11">
        <v>1575000</v>
      </c>
      <c r="E2196" s="19" t="s">
        <v>2088</v>
      </c>
      <c r="F2196" t="s">
        <v>2089</v>
      </c>
      <c r="G2196" t="s">
        <v>1755</v>
      </c>
    </row>
    <row r="2197" spans="1:9" ht="15" customHeight="1" x14ac:dyDescent="0.25">
      <c r="A2197" s="2">
        <v>45982.586805555598</v>
      </c>
      <c r="B2197">
        <v>2025002858</v>
      </c>
      <c r="C2197" t="s">
        <v>1754</v>
      </c>
      <c r="D2197" s="11">
        <v>3150000</v>
      </c>
      <c r="E2197" s="19" t="s">
        <v>2090</v>
      </c>
      <c r="F2197" t="s">
        <v>504</v>
      </c>
      <c r="G2197" t="s">
        <v>1755</v>
      </c>
    </row>
    <row r="2198" spans="1:9" ht="15" customHeight="1" x14ac:dyDescent="0.25">
      <c r="A2198" s="2">
        <v>45982.609722222202</v>
      </c>
      <c r="B2198">
        <v>2025002859</v>
      </c>
      <c r="C2198" t="s">
        <v>1860</v>
      </c>
      <c r="D2198" s="11">
        <v>7800000</v>
      </c>
      <c r="E2198" s="19" t="s">
        <v>1602</v>
      </c>
      <c r="F2198" t="s">
        <v>69</v>
      </c>
      <c r="G2198" t="s">
        <v>1755</v>
      </c>
    </row>
    <row r="2199" spans="1:9" ht="15" customHeight="1" x14ac:dyDescent="0.25">
      <c r="A2199" s="2">
        <v>45985.488194444399</v>
      </c>
      <c r="B2199">
        <v>2025002860</v>
      </c>
      <c r="C2199" t="s">
        <v>2091</v>
      </c>
      <c r="D2199" s="11">
        <v>1575000</v>
      </c>
      <c r="E2199" s="19" t="s">
        <v>2092</v>
      </c>
      <c r="F2199" t="s">
        <v>2093</v>
      </c>
      <c r="G2199" t="s">
        <v>1755</v>
      </c>
    </row>
    <row r="2200" spans="1:9" ht="15" customHeight="1" x14ac:dyDescent="0.25">
      <c r="A2200" s="2">
        <v>45986</v>
      </c>
      <c r="B2200">
        <v>2025002887</v>
      </c>
      <c r="C2200" t="s">
        <v>1260</v>
      </c>
      <c r="D2200" s="11">
        <v>3000000</v>
      </c>
      <c r="E2200" s="12"/>
      <c r="F2200" s="12"/>
      <c r="G2200" t="s">
        <v>1094</v>
      </c>
      <c r="I2200" s="11"/>
    </row>
    <row r="2201" spans="1:9" ht="15" customHeight="1" x14ac:dyDescent="0.25">
      <c r="A2201" s="2">
        <v>45986</v>
      </c>
      <c r="B2201">
        <v>2025002897</v>
      </c>
      <c r="C2201" t="s">
        <v>1251</v>
      </c>
      <c r="D2201" s="11">
        <v>6000000</v>
      </c>
      <c r="E2201" s="12"/>
      <c r="F2201" s="12"/>
      <c r="G2201" t="s">
        <v>1094</v>
      </c>
      <c r="I2201" s="11"/>
    </row>
    <row r="2202" spans="1:9" ht="15" customHeight="1" x14ac:dyDescent="0.25">
      <c r="A2202" s="2">
        <v>45986.337500000001</v>
      </c>
      <c r="B2202">
        <v>2025002882</v>
      </c>
      <c r="C2202" t="s">
        <v>1818</v>
      </c>
      <c r="D2202" s="11">
        <v>3150000</v>
      </c>
      <c r="E2202" s="19" t="s">
        <v>2094</v>
      </c>
      <c r="F2202" t="s">
        <v>1819</v>
      </c>
      <c r="G2202" t="s">
        <v>1755</v>
      </c>
    </row>
    <row r="2203" spans="1:9" ht="15" customHeight="1" x14ac:dyDescent="0.25">
      <c r="A2203" s="2">
        <v>45986.356249999997</v>
      </c>
      <c r="B2203">
        <v>2025002883</v>
      </c>
      <c r="C2203" t="s">
        <v>1903</v>
      </c>
      <c r="D2203" s="11">
        <v>6300000</v>
      </c>
      <c r="E2203" s="19" t="s">
        <v>1653</v>
      </c>
      <c r="F2203" t="s">
        <v>583</v>
      </c>
      <c r="G2203" t="s">
        <v>1755</v>
      </c>
    </row>
    <row r="2204" spans="1:9" ht="15" customHeight="1" x14ac:dyDescent="0.25">
      <c r="A2204" s="2">
        <v>45986.360416666699</v>
      </c>
      <c r="B2204">
        <v>2025002885</v>
      </c>
      <c r="C2204" t="s">
        <v>1915</v>
      </c>
      <c r="D2204" s="11">
        <v>3150000</v>
      </c>
      <c r="E2204" s="19" t="s">
        <v>1617</v>
      </c>
      <c r="F2204" t="s">
        <v>992</v>
      </c>
      <c r="G2204" t="s">
        <v>1755</v>
      </c>
    </row>
    <row r="2205" spans="1:9" ht="15" customHeight="1" x14ac:dyDescent="0.25">
      <c r="A2205" s="2">
        <v>45986.372916666704</v>
      </c>
      <c r="B2205">
        <v>2025002886</v>
      </c>
      <c r="C2205" t="s">
        <v>1824</v>
      </c>
      <c r="D2205" s="11">
        <v>4730000</v>
      </c>
      <c r="E2205" s="19" t="s">
        <v>2095</v>
      </c>
      <c r="F2205" t="s">
        <v>1825</v>
      </c>
      <c r="G2205" t="s">
        <v>1755</v>
      </c>
    </row>
    <row r="2206" spans="1:9" ht="15" customHeight="1" x14ac:dyDescent="0.25">
      <c r="A2206" s="2">
        <v>45986.378472222197</v>
      </c>
      <c r="B2206">
        <v>2025002888</v>
      </c>
      <c r="C2206" t="s">
        <v>2096</v>
      </c>
      <c r="D2206" s="11">
        <v>1575000</v>
      </c>
      <c r="E2206" s="19" t="s">
        <v>2097</v>
      </c>
      <c r="F2206" t="s">
        <v>2098</v>
      </c>
      <c r="G2206" t="s">
        <v>1755</v>
      </c>
    </row>
    <row r="2207" spans="1:9" ht="15" customHeight="1" x14ac:dyDescent="0.25">
      <c r="A2207" s="2">
        <v>45986.381249999999</v>
      </c>
      <c r="B2207">
        <v>2025002889</v>
      </c>
      <c r="C2207" t="s">
        <v>1822</v>
      </c>
      <c r="D2207" s="11">
        <v>3150000</v>
      </c>
      <c r="E2207" s="19" t="s">
        <v>2099</v>
      </c>
      <c r="F2207" t="s">
        <v>1011</v>
      </c>
      <c r="G2207" t="s">
        <v>1755</v>
      </c>
    </row>
    <row r="2208" spans="1:9" ht="15" customHeight="1" x14ac:dyDescent="0.25">
      <c r="A2208" s="2">
        <v>45986.384722222203</v>
      </c>
      <c r="B2208">
        <v>2025002890</v>
      </c>
      <c r="C2208" t="s">
        <v>1930</v>
      </c>
      <c r="D2208" s="11">
        <v>3150000</v>
      </c>
      <c r="E2208" s="19" t="s">
        <v>2100</v>
      </c>
      <c r="F2208" t="s">
        <v>1931</v>
      </c>
      <c r="G2208" t="s">
        <v>1755</v>
      </c>
    </row>
    <row r="2209" spans="1:7" ht="15" customHeight="1" x14ac:dyDescent="0.25">
      <c r="A2209" s="2">
        <v>45986.387499999997</v>
      </c>
      <c r="B2209">
        <v>2025002891</v>
      </c>
      <c r="C2209" t="s">
        <v>1816</v>
      </c>
      <c r="D2209" s="11">
        <v>3150000</v>
      </c>
      <c r="E2209" s="19" t="s">
        <v>2101</v>
      </c>
      <c r="F2209" t="s">
        <v>1817</v>
      </c>
      <c r="G2209" t="s">
        <v>1755</v>
      </c>
    </row>
    <row r="2210" spans="1:7" ht="15" customHeight="1" x14ac:dyDescent="0.25">
      <c r="A2210" s="2">
        <v>45986.389583333301</v>
      </c>
      <c r="B2210">
        <v>2025002892</v>
      </c>
      <c r="C2210" t="s">
        <v>1920</v>
      </c>
      <c r="D2210" s="11">
        <v>4730000</v>
      </c>
      <c r="E2210" s="19" t="s">
        <v>2102</v>
      </c>
      <c r="F2210" t="s">
        <v>1921</v>
      </c>
      <c r="G2210" t="s">
        <v>1755</v>
      </c>
    </row>
    <row r="2211" spans="1:7" ht="15" customHeight="1" x14ac:dyDescent="0.25">
      <c r="A2211" s="2">
        <v>45986.399305555598</v>
      </c>
      <c r="B2211">
        <v>2025002893</v>
      </c>
      <c r="C2211" t="s">
        <v>2103</v>
      </c>
      <c r="D2211" s="11">
        <v>6300000</v>
      </c>
      <c r="E2211" s="19" t="s">
        <v>1748</v>
      </c>
      <c r="F2211" t="s">
        <v>437</v>
      </c>
      <c r="G2211" t="s">
        <v>1755</v>
      </c>
    </row>
    <row r="2212" spans="1:7" ht="15" customHeight="1" x14ac:dyDescent="0.25">
      <c r="A2212" s="2">
        <v>45986.402083333298</v>
      </c>
      <c r="B2212">
        <v>2025002894</v>
      </c>
      <c r="C2212" t="s">
        <v>2104</v>
      </c>
      <c r="D2212" s="11">
        <v>2000000</v>
      </c>
      <c r="E2212" s="19" t="s">
        <v>2105</v>
      </c>
      <c r="F2212" t="s">
        <v>2106</v>
      </c>
      <c r="G2212" t="s">
        <v>1755</v>
      </c>
    </row>
    <row r="2213" spans="1:7" ht="15" customHeight="1" x14ac:dyDescent="0.25">
      <c r="A2213" s="2">
        <v>45986.407638888901</v>
      </c>
      <c r="B2213">
        <v>2025002895</v>
      </c>
      <c r="C2213" t="s">
        <v>2107</v>
      </c>
      <c r="D2213" s="11">
        <v>2000000</v>
      </c>
      <c r="E2213" s="19" t="s">
        <v>2108</v>
      </c>
      <c r="F2213" t="s">
        <v>2109</v>
      </c>
      <c r="G2213" t="s">
        <v>1755</v>
      </c>
    </row>
    <row r="2214" spans="1:7" ht="15" customHeight="1" x14ac:dyDescent="0.25">
      <c r="A2214" s="2">
        <v>45986.410416666702</v>
      </c>
      <c r="B2214">
        <v>2025002896</v>
      </c>
      <c r="C2214" t="s">
        <v>1989</v>
      </c>
      <c r="D2214" s="11">
        <v>3150000</v>
      </c>
      <c r="E2214" s="19" t="s">
        <v>2110</v>
      </c>
      <c r="F2214" t="s">
        <v>289</v>
      </c>
      <c r="G2214" t="s">
        <v>1755</v>
      </c>
    </row>
    <row r="2215" spans="1:7" ht="15" customHeight="1" x14ac:dyDescent="0.25">
      <c r="A2215" s="2">
        <v>45986.427083333299</v>
      </c>
      <c r="B2215">
        <v>2025002899</v>
      </c>
      <c r="C2215" t="s">
        <v>1962</v>
      </c>
      <c r="D2215" s="11">
        <v>4730000</v>
      </c>
      <c r="E2215" s="19" t="s">
        <v>2111</v>
      </c>
      <c r="F2215" t="s">
        <v>91</v>
      </c>
      <c r="G2215" t="s">
        <v>1755</v>
      </c>
    </row>
    <row r="2216" spans="1:7" ht="15" customHeight="1" x14ac:dyDescent="0.25">
      <c r="A2216" s="2">
        <v>45986.452083333301</v>
      </c>
      <c r="B2216">
        <v>2025002900</v>
      </c>
      <c r="C2216" t="s">
        <v>1985</v>
      </c>
      <c r="D2216" s="11">
        <v>7800000</v>
      </c>
      <c r="E2216" s="19" t="s">
        <v>2112</v>
      </c>
      <c r="F2216" t="s">
        <v>1986</v>
      </c>
      <c r="G2216" t="s">
        <v>1755</v>
      </c>
    </row>
    <row r="2217" spans="1:7" ht="15" customHeight="1" x14ac:dyDescent="0.25">
      <c r="A2217" s="2">
        <v>45986.454861111102</v>
      </c>
      <c r="B2217">
        <v>2025002901</v>
      </c>
      <c r="C2217" t="s">
        <v>1876</v>
      </c>
      <c r="D2217" s="11">
        <v>3150000</v>
      </c>
      <c r="E2217" s="19" t="s">
        <v>2113</v>
      </c>
      <c r="F2217" t="s">
        <v>658</v>
      </c>
      <c r="G2217" t="s">
        <v>1755</v>
      </c>
    </row>
    <row r="2218" spans="1:7" ht="15" customHeight="1" x14ac:dyDescent="0.25">
      <c r="A2218" s="2">
        <v>45986.457638888904</v>
      </c>
      <c r="B2218">
        <v>2025002902</v>
      </c>
      <c r="C2218" t="s">
        <v>1771</v>
      </c>
      <c r="D2218" s="11">
        <v>1050000</v>
      </c>
      <c r="E2218" s="19" t="s">
        <v>2114</v>
      </c>
      <c r="F2218" t="s">
        <v>1772</v>
      </c>
      <c r="G2218" t="s">
        <v>1755</v>
      </c>
    </row>
    <row r="2219" spans="1:7" ht="15" customHeight="1" x14ac:dyDescent="0.25">
      <c r="A2219" s="2">
        <v>45986.461111111101</v>
      </c>
      <c r="B2219">
        <v>2025002903</v>
      </c>
      <c r="C2219" t="s">
        <v>1898</v>
      </c>
      <c r="D2219" s="11">
        <v>3150000</v>
      </c>
      <c r="E2219" s="19" t="s">
        <v>2115</v>
      </c>
      <c r="F2219" t="s">
        <v>1899</v>
      </c>
      <c r="G2219" t="s">
        <v>1755</v>
      </c>
    </row>
    <row r="2220" spans="1:7" ht="15" customHeight="1" x14ac:dyDescent="0.25">
      <c r="A2220" s="2">
        <v>45986.46875</v>
      </c>
      <c r="B2220">
        <v>2025002904</v>
      </c>
      <c r="C2220" t="s">
        <v>1894</v>
      </c>
      <c r="D2220" s="11">
        <v>3150000</v>
      </c>
      <c r="E2220" s="19" t="s">
        <v>2116</v>
      </c>
      <c r="F2220" t="s">
        <v>1895</v>
      </c>
      <c r="G2220" t="s">
        <v>1755</v>
      </c>
    </row>
    <row r="2221" spans="1:7" ht="15" customHeight="1" x14ac:dyDescent="0.25">
      <c r="A2221" s="2">
        <v>45986.613888888904</v>
      </c>
      <c r="B2221">
        <v>2025002905</v>
      </c>
      <c r="C2221" t="s">
        <v>2117</v>
      </c>
      <c r="D2221" s="11">
        <v>3150000</v>
      </c>
      <c r="E2221" s="19" t="s">
        <v>2118</v>
      </c>
      <c r="F2221" t="s">
        <v>2119</v>
      </c>
      <c r="G2221" t="s">
        <v>1755</v>
      </c>
    </row>
    <row r="2222" spans="1:7" ht="15" customHeight="1" x14ac:dyDescent="0.25">
      <c r="A2222" s="2">
        <v>45986.617361111101</v>
      </c>
      <c r="B2222">
        <v>2025002906</v>
      </c>
      <c r="C2222" t="s">
        <v>1892</v>
      </c>
      <c r="D2222" s="11">
        <v>3150000</v>
      </c>
      <c r="E2222" s="19" t="s">
        <v>2120</v>
      </c>
      <c r="F2222" t="s">
        <v>1893</v>
      </c>
      <c r="G2222" t="s">
        <v>1755</v>
      </c>
    </row>
    <row r="2223" spans="1:7" ht="15" customHeight="1" x14ac:dyDescent="0.25">
      <c r="A2223" s="2">
        <v>45986.618750000001</v>
      </c>
      <c r="B2223">
        <v>2025002907</v>
      </c>
      <c r="C2223" t="s">
        <v>1990</v>
      </c>
      <c r="D2223" s="11">
        <v>3150000</v>
      </c>
      <c r="E2223" s="19" t="s">
        <v>2121</v>
      </c>
      <c r="F2223" t="s">
        <v>1991</v>
      </c>
      <c r="G2223" t="s">
        <v>1755</v>
      </c>
    </row>
    <row r="2224" spans="1:7" ht="15" customHeight="1" x14ac:dyDescent="0.25">
      <c r="A2224" s="2">
        <v>45986.686111111099</v>
      </c>
      <c r="B2224">
        <v>2025002909</v>
      </c>
      <c r="C2224" t="s">
        <v>1783</v>
      </c>
      <c r="D2224" s="11">
        <v>6300000</v>
      </c>
      <c r="E2224" s="19" t="s">
        <v>1685</v>
      </c>
      <c r="F2224" t="s">
        <v>1195</v>
      </c>
      <c r="G2224" t="s">
        <v>1755</v>
      </c>
    </row>
    <row r="2225" spans="1:7" ht="15" customHeight="1" x14ac:dyDescent="0.25">
      <c r="A2225" s="2">
        <v>45986.688888888901</v>
      </c>
      <c r="B2225">
        <v>2025002910</v>
      </c>
      <c r="C2225" t="s">
        <v>2122</v>
      </c>
      <c r="D2225" s="11">
        <v>2000000</v>
      </c>
      <c r="E2225" s="19" t="s">
        <v>1642</v>
      </c>
      <c r="F2225" t="s">
        <v>51</v>
      </c>
      <c r="G2225" t="s">
        <v>1755</v>
      </c>
    </row>
    <row r="2226" spans="1:7" ht="15" customHeight="1" x14ac:dyDescent="0.25">
      <c r="A2226" s="2">
        <v>45986.690972222197</v>
      </c>
      <c r="B2226">
        <v>2025002911</v>
      </c>
      <c r="C2226" t="s">
        <v>1905</v>
      </c>
      <c r="D2226" s="11">
        <v>7800000</v>
      </c>
      <c r="E2226" s="19" t="s">
        <v>1619</v>
      </c>
      <c r="F2226" t="s">
        <v>745</v>
      </c>
      <c r="G2226" t="s">
        <v>1755</v>
      </c>
    </row>
    <row r="2227" spans="1:7" ht="15" customHeight="1" x14ac:dyDescent="0.25">
      <c r="A2227" s="2">
        <v>45986.697916666701</v>
      </c>
      <c r="B2227">
        <v>2025002912</v>
      </c>
      <c r="C2227" t="s">
        <v>1913</v>
      </c>
      <c r="D2227" s="11">
        <v>7800000</v>
      </c>
      <c r="E2227" s="19" t="s">
        <v>1750</v>
      </c>
      <c r="F2227" t="s">
        <v>1266</v>
      </c>
      <c r="G2227" t="s">
        <v>1755</v>
      </c>
    </row>
    <row r="2228" spans="1:7" ht="15" customHeight="1" x14ac:dyDescent="0.25">
      <c r="A2228" s="2">
        <v>45986.702777777798</v>
      </c>
      <c r="B2228">
        <v>2025002913</v>
      </c>
      <c r="C2228" t="s">
        <v>2123</v>
      </c>
      <c r="D2228" s="11">
        <v>7800000</v>
      </c>
      <c r="E2228" s="19" t="s">
        <v>2124</v>
      </c>
      <c r="F2228" t="s">
        <v>2125</v>
      </c>
      <c r="G2228" t="s">
        <v>1755</v>
      </c>
    </row>
    <row r="2229" spans="1:7" ht="15" customHeight="1" x14ac:dyDescent="0.25">
      <c r="A2229" s="2">
        <v>45986.7097222222</v>
      </c>
      <c r="B2229">
        <v>2025002914</v>
      </c>
      <c r="C2229" t="s">
        <v>1908</v>
      </c>
      <c r="D2229" s="11">
        <v>7800000</v>
      </c>
      <c r="E2229" s="19" t="s">
        <v>1675</v>
      </c>
      <c r="F2229" t="s">
        <v>163</v>
      </c>
      <c r="G2229" t="s">
        <v>1755</v>
      </c>
    </row>
    <row r="2230" spans="1:7" ht="15" customHeight="1" x14ac:dyDescent="0.25">
      <c r="A2230" s="2">
        <v>45986.714583333298</v>
      </c>
      <c r="B2230">
        <v>2025002915</v>
      </c>
      <c r="C2230" t="s">
        <v>2126</v>
      </c>
      <c r="D2230" s="11">
        <v>2000000</v>
      </c>
      <c r="E2230" s="19" t="s">
        <v>2127</v>
      </c>
      <c r="F2230" t="s">
        <v>2128</v>
      </c>
      <c r="G2230" t="s">
        <v>1755</v>
      </c>
    </row>
    <row r="2231" spans="1:7" ht="15" customHeight="1" x14ac:dyDescent="0.25">
      <c r="A2231" s="2">
        <v>45986.716666666704</v>
      </c>
      <c r="B2231">
        <v>2025002916</v>
      </c>
      <c r="C2231" t="s">
        <v>2129</v>
      </c>
      <c r="D2231" s="11">
        <v>3150000</v>
      </c>
      <c r="E2231" s="19" t="s">
        <v>2130</v>
      </c>
      <c r="F2231" t="s">
        <v>1056</v>
      </c>
      <c r="G2231" t="s">
        <v>1755</v>
      </c>
    </row>
    <row r="2232" spans="1:7" ht="15" customHeight="1" x14ac:dyDescent="0.25">
      <c r="A2232" s="2">
        <v>45986.719444444403</v>
      </c>
      <c r="B2232">
        <v>2025002917</v>
      </c>
      <c r="C2232" t="s">
        <v>1785</v>
      </c>
      <c r="D2232" s="11">
        <v>3150000</v>
      </c>
      <c r="E2232" s="19" t="s">
        <v>2131</v>
      </c>
      <c r="F2232" t="s">
        <v>595</v>
      </c>
      <c r="G2232" t="s">
        <v>1755</v>
      </c>
    </row>
    <row r="2233" spans="1:7" ht="15" customHeight="1" x14ac:dyDescent="0.25">
      <c r="A2233" s="2">
        <v>45986.721527777801</v>
      </c>
      <c r="B2233">
        <v>2025002918</v>
      </c>
      <c r="C2233" t="s">
        <v>1781</v>
      </c>
      <c r="D2233" s="11">
        <v>3150000</v>
      </c>
      <c r="E2233" s="19" t="s">
        <v>2132</v>
      </c>
      <c r="F2233" t="s">
        <v>797</v>
      </c>
      <c r="G2233" t="s">
        <v>1755</v>
      </c>
    </row>
    <row r="2234" spans="1:7" ht="15" customHeight="1" x14ac:dyDescent="0.25">
      <c r="A2234" s="2">
        <v>45986.725694444402</v>
      </c>
      <c r="B2234">
        <v>2025002919</v>
      </c>
      <c r="C2234" t="s">
        <v>1974</v>
      </c>
      <c r="D2234" s="11">
        <v>3150000</v>
      </c>
      <c r="E2234" s="19" t="s">
        <v>2133</v>
      </c>
      <c r="F2234" t="s">
        <v>1975</v>
      </c>
      <c r="G2234" t="s">
        <v>1755</v>
      </c>
    </row>
    <row r="2235" spans="1:7" ht="15" customHeight="1" x14ac:dyDescent="0.25">
      <c r="A2235" s="2">
        <v>45986.727083333302</v>
      </c>
      <c r="B2235">
        <v>2025002920</v>
      </c>
      <c r="C2235" t="s">
        <v>1906</v>
      </c>
      <c r="D2235" s="11">
        <v>3150000</v>
      </c>
      <c r="E2235" s="19" t="s">
        <v>2134</v>
      </c>
      <c r="F2235" t="s">
        <v>107</v>
      </c>
      <c r="G2235" t="s">
        <v>1755</v>
      </c>
    </row>
    <row r="2236" spans="1:7" ht="15" customHeight="1" x14ac:dyDescent="0.25">
      <c r="A2236" s="2">
        <v>45986.731249999997</v>
      </c>
      <c r="B2236">
        <v>2025002921</v>
      </c>
      <c r="C2236" t="s">
        <v>2135</v>
      </c>
      <c r="D2236" s="11">
        <v>2000000</v>
      </c>
      <c r="E2236" s="19" t="s">
        <v>2136</v>
      </c>
      <c r="F2236" t="s">
        <v>2137</v>
      </c>
      <c r="G2236" t="s">
        <v>1755</v>
      </c>
    </row>
    <row r="2237" spans="1:7" ht="15" customHeight="1" x14ac:dyDescent="0.25">
      <c r="A2237" s="2">
        <v>45986.733333333301</v>
      </c>
      <c r="B2237">
        <v>2025002922</v>
      </c>
      <c r="C2237" t="s">
        <v>1977</v>
      </c>
      <c r="D2237" s="11">
        <v>3150000</v>
      </c>
      <c r="E2237" s="19" t="s">
        <v>1612</v>
      </c>
      <c r="F2237" t="s">
        <v>562</v>
      </c>
      <c r="G2237" t="s">
        <v>1755</v>
      </c>
    </row>
    <row r="2238" spans="1:7" ht="15" customHeight="1" x14ac:dyDescent="0.25">
      <c r="A2238" s="2">
        <v>45986.734722222202</v>
      </c>
      <c r="B2238">
        <v>2025002923</v>
      </c>
      <c r="C2238" t="s">
        <v>1904</v>
      </c>
      <c r="D2238" s="11">
        <v>6300000</v>
      </c>
      <c r="E2238" s="19" t="s">
        <v>2138</v>
      </c>
      <c r="F2238" t="s">
        <v>1084</v>
      </c>
      <c r="G2238" t="s">
        <v>1755</v>
      </c>
    </row>
    <row r="2239" spans="1:7" ht="15" customHeight="1" x14ac:dyDescent="0.25">
      <c r="A2239" s="2">
        <v>45986.736111111102</v>
      </c>
      <c r="B2239">
        <v>2025002924</v>
      </c>
      <c r="C2239" t="s">
        <v>1909</v>
      </c>
      <c r="D2239" s="11">
        <v>6300000</v>
      </c>
      <c r="E2239" s="19" t="s">
        <v>1669</v>
      </c>
      <c r="F2239" t="s">
        <v>457</v>
      </c>
      <c r="G2239" t="s">
        <v>1755</v>
      </c>
    </row>
    <row r="2240" spans="1:7" ht="15" customHeight="1" x14ac:dyDescent="0.25">
      <c r="A2240" s="2">
        <v>45987.337500000001</v>
      </c>
      <c r="B2240">
        <v>2025002898</v>
      </c>
      <c r="C2240" t="s">
        <v>1832</v>
      </c>
      <c r="D2240" s="11">
        <v>3150000</v>
      </c>
      <c r="E2240" s="19" t="s">
        <v>1695</v>
      </c>
      <c r="F2240" t="s">
        <v>477</v>
      </c>
      <c r="G2240" t="s">
        <v>1755</v>
      </c>
    </row>
    <row r="2241" spans="1:7" ht="15" customHeight="1" x14ac:dyDescent="0.25">
      <c r="A2241" s="2">
        <v>45987.356249999997</v>
      </c>
      <c r="B2241">
        <v>2025002926</v>
      </c>
      <c r="C2241" t="s">
        <v>2139</v>
      </c>
      <c r="D2241" s="11">
        <v>6300000</v>
      </c>
      <c r="E2241" s="19" t="s">
        <v>1703</v>
      </c>
      <c r="F2241" t="s">
        <v>113</v>
      </c>
      <c r="G2241" t="s">
        <v>1755</v>
      </c>
    </row>
    <row r="2242" spans="1:7" ht="15" customHeight="1" x14ac:dyDescent="0.25">
      <c r="A2242" s="2">
        <v>45987.365277777797</v>
      </c>
      <c r="B2242">
        <v>2025002927</v>
      </c>
      <c r="C2242" t="s">
        <v>2140</v>
      </c>
      <c r="D2242" s="11">
        <v>2000000</v>
      </c>
      <c r="E2242" s="19" t="s">
        <v>2141</v>
      </c>
      <c r="F2242" t="s">
        <v>2142</v>
      </c>
      <c r="G2242" t="s">
        <v>1755</v>
      </c>
    </row>
    <row r="2243" spans="1:7" ht="15" customHeight="1" x14ac:dyDescent="0.25">
      <c r="A2243" s="2">
        <v>45987.368055555598</v>
      </c>
      <c r="B2243">
        <v>2025002928</v>
      </c>
      <c r="C2243" t="s">
        <v>2143</v>
      </c>
      <c r="D2243" s="11">
        <v>1575000</v>
      </c>
      <c r="E2243" s="19" t="s">
        <v>2144</v>
      </c>
      <c r="F2243" t="s">
        <v>2145</v>
      </c>
      <c r="G2243" t="s">
        <v>1755</v>
      </c>
    </row>
    <row r="2244" spans="1:7" ht="15" customHeight="1" x14ac:dyDescent="0.25">
      <c r="A2244" s="2">
        <v>45987.372222222199</v>
      </c>
      <c r="B2244">
        <v>2025002929</v>
      </c>
      <c r="C2244" t="s">
        <v>2146</v>
      </c>
      <c r="D2244" s="11">
        <v>4730000</v>
      </c>
      <c r="E2244" s="19" t="s">
        <v>2147</v>
      </c>
      <c r="F2244" t="s">
        <v>2148</v>
      </c>
      <c r="G2244" t="s">
        <v>1755</v>
      </c>
    </row>
    <row r="2245" spans="1:7" ht="15" customHeight="1" x14ac:dyDescent="0.25">
      <c r="A2245" s="2">
        <v>45987.375694444403</v>
      </c>
      <c r="B2245">
        <v>2025002930</v>
      </c>
      <c r="C2245" t="s">
        <v>2149</v>
      </c>
      <c r="D2245" s="11">
        <v>3150000</v>
      </c>
      <c r="E2245" s="19" t="s">
        <v>2150</v>
      </c>
      <c r="F2245" t="s">
        <v>2151</v>
      </c>
      <c r="G2245" t="s">
        <v>1755</v>
      </c>
    </row>
    <row r="2246" spans="1:7" ht="15" customHeight="1" x14ac:dyDescent="0.25">
      <c r="A2246" s="2">
        <v>45987.377777777801</v>
      </c>
      <c r="B2246">
        <v>2025002931</v>
      </c>
      <c r="C2246" t="s">
        <v>2152</v>
      </c>
      <c r="D2246" s="11">
        <v>3900000</v>
      </c>
      <c r="E2246" s="19" t="s">
        <v>2153</v>
      </c>
      <c r="F2246" t="s">
        <v>2154</v>
      </c>
      <c r="G2246" t="s">
        <v>1755</v>
      </c>
    </row>
    <row r="2247" spans="1:7" ht="15" customHeight="1" x14ac:dyDescent="0.25">
      <c r="A2247" s="2">
        <v>45987.385416666701</v>
      </c>
      <c r="B2247">
        <v>2025002932</v>
      </c>
      <c r="C2247" t="s">
        <v>2155</v>
      </c>
      <c r="D2247" s="11">
        <v>3900000</v>
      </c>
      <c r="E2247" s="19" t="s">
        <v>2156</v>
      </c>
      <c r="F2247" t="s">
        <v>2157</v>
      </c>
      <c r="G2247" t="s">
        <v>1755</v>
      </c>
    </row>
    <row r="2248" spans="1:7" ht="15" customHeight="1" x14ac:dyDescent="0.25">
      <c r="A2248" s="2">
        <v>45987.3881944444</v>
      </c>
      <c r="B2248">
        <v>2025002933</v>
      </c>
      <c r="C2248" t="s">
        <v>2158</v>
      </c>
      <c r="D2248" s="11">
        <v>1575000</v>
      </c>
      <c r="E2248" s="19" t="s">
        <v>2159</v>
      </c>
      <c r="F2248" t="s">
        <v>2160</v>
      </c>
      <c r="G2248" t="s">
        <v>1755</v>
      </c>
    </row>
    <row r="2249" spans="1:7" ht="15" customHeight="1" x14ac:dyDescent="0.25">
      <c r="A2249" s="2">
        <v>45987.392361111102</v>
      </c>
      <c r="B2249">
        <v>2025002934</v>
      </c>
      <c r="C2249" t="s">
        <v>2161</v>
      </c>
      <c r="D2249" s="11">
        <v>1575000</v>
      </c>
      <c r="E2249" s="19" t="s">
        <v>2162</v>
      </c>
      <c r="F2249" t="s">
        <v>2163</v>
      </c>
      <c r="G2249" t="s">
        <v>1755</v>
      </c>
    </row>
    <row r="2250" spans="1:7" ht="15" customHeight="1" x14ac:dyDescent="0.25">
      <c r="A2250" s="2">
        <v>45987.397916666698</v>
      </c>
      <c r="B2250">
        <v>2025002936</v>
      </c>
      <c r="C2250" t="s">
        <v>1972</v>
      </c>
      <c r="D2250" s="11">
        <v>3150000</v>
      </c>
      <c r="E2250" s="19" t="s">
        <v>2164</v>
      </c>
      <c r="F2250" t="s">
        <v>1973</v>
      </c>
      <c r="G2250" t="s">
        <v>1755</v>
      </c>
    </row>
    <row r="2251" spans="1:7" ht="15" customHeight="1" x14ac:dyDescent="0.25">
      <c r="A2251" s="2">
        <v>45987.397916666698</v>
      </c>
      <c r="B2251">
        <v>2025002937</v>
      </c>
      <c r="C2251" s="4" t="s">
        <v>2165</v>
      </c>
      <c r="D2251" s="11">
        <v>3150000</v>
      </c>
      <c r="E2251" s="19" t="s">
        <v>2166</v>
      </c>
      <c r="F2251" t="s">
        <v>567</v>
      </c>
      <c r="G2251" t="s">
        <v>1755</v>
      </c>
    </row>
    <row r="2252" spans="1:7" ht="15" customHeight="1" x14ac:dyDescent="0.25">
      <c r="A2252" s="2">
        <v>45987.402083333298</v>
      </c>
      <c r="B2252">
        <v>2025002938</v>
      </c>
      <c r="C2252" t="s">
        <v>1971</v>
      </c>
      <c r="D2252" s="11">
        <v>3150000</v>
      </c>
      <c r="E2252" s="19" t="s">
        <v>2167</v>
      </c>
      <c r="F2252" t="s">
        <v>701</v>
      </c>
      <c r="G2252" t="s">
        <v>1755</v>
      </c>
    </row>
    <row r="2253" spans="1:7" ht="15" customHeight="1" x14ac:dyDescent="0.25">
      <c r="A2253" s="2">
        <v>45987.406944444403</v>
      </c>
      <c r="B2253">
        <v>2025002939</v>
      </c>
      <c r="C2253" t="s">
        <v>2168</v>
      </c>
      <c r="D2253" s="11">
        <v>3150000</v>
      </c>
      <c r="E2253" s="19" t="s">
        <v>2169</v>
      </c>
      <c r="F2253" t="s">
        <v>950</v>
      </c>
      <c r="G2253" t="s">
        <v>1755</v>
      </c>
    </row>
    <row r="2254" spans="1:7" ht="15" customHeight="1" x14ac:dyDescent="0.25">
      <c r="A2254" s="2">
        <v>45987.409722222197</v>
      </c>
      <c r="B2254">
        <v>2025002940</v>
      </c>
      <c r="C2254" t="s">
        <v>1786</v>
      </c>
      <c r="D2254" s="11">
        <v>3150000</v>
      </c>
      <c r="E2254" s="19" t="s">
        <v>1688</v>
      </c>
      <c r="F2254" t="s">
        <v>33</v>
      </c>
      <c r="G2254" t="s">
        <v>1755</v>
      </c>
    </row>
    <row r="2255" spans="1:7" ht="15" customHeight="1" x14ac:dyDescent="0.25">
      <c r="A2255" s="2">
        <v>45987.413194444402</v>
      </c>
      <c r="B2255">
        <v>2025002941</v>
      </c>
      <c r="C2255" t="s">
        <v>2170</v>
      </c>
      <c r="D2255" s="11">
        <v>3150000</v>
      </c>
      <c r="E2255" s="19" t="s">
        <v>2171</v>
      </c>
      <c r="F2255" t="s">
        <v>2172</v>
      </c>
      <c r="G2255" t="s">
        <v>1755</v>
      </c>
    </row>
    <row r="2256" spans="1:7" ht="15" customHeight="1" x14ac:dyDescent="0.25">
      <c r="A2256" s="2">
        <v>45987.415972222203</v>
      </c>
      <c r="B2256">
        <v>2025002942</v>
      </c>
      <c r="C2256" t="s">
        <v>2173</v>
      </c>
      <c r="D2256" s="11">
        <v>4730000</v>
      </c>
      <c r="E2256" s="19" t="s">
        <v>2174</v>
      </c>
      <c r="F2256" t="s">
        <v>2175</v>
      </c>
      <c r="G2256" t="s">
        <v>1755</v>
      </c>
    </row>
    <row r="2257" spans="1:7" ht="15" customHeight="1" x14ac:dyDescent="0.25">
      <c r="A2257" s="2">
        <v>45987.420138888898</v>
      </c>
      <c r="B2257">
        <v>2025002943</v>
      </c>
      <c r="C2257" t="s">
        <v>2176</v>
      </c>
      <c r="D2257" s="11">
        <v>4730000</v>
      </c>
      <c r="E2257" s="19" t="s">
        <v>2177</v>
      </c>
      <c r="F2257" t="s">
        <v>155</v>
      </c>
      <c r="G2257" t="s">
        <v>1755</v>
      </c>
    </row>
    <row r="2258" spans="1:7" ht="15" customHeight="1" x14ac:dyDescent="0.25">
      <c r="A2258" s="2">
        <v>45987.431250000001</v>
      </c>
      <c r="B2258">
        <v>2025002944</v>
      </c>
      <c r="C2258" t="s">
        <v>1910</v>
      </c>
      <c r="D2258" s="11">
        <v>4730000</v>
      </c>
      <c r="E2258" s="19" t="s">
        <v>1610</v>
      </c>
      <c r="F2258" t="s">
        <v>493</v>
      </c>
      <c r="G2258" t="s">
        <v>1755</v>
      </c>
    </row>
    <row r="2259" spans="1:7" ht="15" customHeight="1" x14ac:dyDescent="0.25">
      <c r="A2259" s="2">
        <v>45987.434722222199</v>
      </c>
      <c r="B2259">
        <v>2025002945</v>
      </c>
      <c r="C2259" t="s">
        <v>1979</v>
      </c>
      <c r="D2259" s="11">
        <v>4730000</v>
      </c>
      <c r="E2259" s="19" t="s">
        <v>1644</v>
      </c>
      <c r="F2259" t="s">
        <v>571</v>
      </c>
      <c r="G2259" t="s">
        <v>1755</v>
      </c>
    </row>
    <row r="2260" spans="1:7" ht="15" customHeight="1" x14ac:dyDescent="0.25">
      <c r="A2260" s="2">
        <v>45987.438194444403</v>
      </c>
      <c r="B2260">
        <v>2025002946</v>
      </c>
      <c r="C2260" t="s">
        <v>2178</v>
      </c>
      <c r="D2260" s="11">
        <v>4730000</v>
      </c>
      <c r="E2260" s="19" t="s">
        <v>2179</v>
      </c>
      <c r="F2260" t="s">
        <v>513</v>
      </c>
      <c r="G2260" t="s">
        <v>1755</v>
      </c>
    </row>
    <row r="2261" spans="1:7" ht="15" customHeight="1" x14ac:dyDescent="0.25">
      <c r="A2261" s="2">
        <v>45987.441666666702</v>
      </c>
      <c r="B2261">
        <v>2025002947</v>
      </c>
      <c r="C2261" t="s">
        <v>2003</v>
      </c>
      <c r="D2261" s="11">
        <v>3626333</v>
      </c>
      <c r="E2261" s="19" t="s">
        <v>2004</v>
      </c>
      <c r="F2261" t="s">
        <v>127</v>
      </c>
      <c r="G2261" t="s">
        <v>1755</v>
      </c>
    </row>
    <row r="2262" spans="1:7" ht="15" customHeight="1" x14ac:dyDescent="0.25">
      <c r="A2262" s="2">
        <v>45987.444444444402</v>
      </c>
      <c r="B2262">
        <v>2025002948</v>
      </c>
      <c r="C2262" t="s">
        <v>1789</v>
      </c>
      <c r="D2262" s="11">
        <v>6300000</v>
      </c>
      <c r="E2262" s="19" t="s">
        <v>1683</v>
      </c>
      <c r="F2262" t="s">
        <v>1192</v>
      </c>
      <c r="G2262" t="s">
        <v>1755</v>
      </c>
    </row>
    <row r="2263" spans="1:7" ht="15" customHeight="1" x14ac:dyDescent="0.25">
      <c r="A2263" s="2">
        <v>45987.447222222203</v>
      </c>
      <c r="B2263">
        <v>2025002949</v>
      </c>
      <c r="C2263" t="s">
        <v>1912</v>
      </c>
      <c r="D2263" s="11">
        <v>3150000</v>
      </c>
      <c r="E2263" s="19" t="s">
        <v>1691</v>
      </c>
      <c r="F2263" t="s">
        <v>1202</v>
      </c>
      <c r="G2263" t="s">
        <v>1755</v>
      </c>
    </row>
    <row r="2264" spans="1:7" ht="15" customHeight="1" x14ac:dyDescent="0.25">
      <c r="A2264" s="2">
        <v>45987.449305555601</v>
      </c>
      <c r="B2264">
        <v>2025002950</v>
      </c>
      <c r="C2264" t="s">
        <v>1782</v>
      </c>
      <c r="D2264" s="11">
        <v>7800000</v>
      </c>
      <c r="E2264" s="19" t="s">
        <v>2180</v>
      </c>
      <c r="F2264" t="s">
        <v>591</v>
      </c>
      <c r="G2264" t="s">
        <v>1755</v>
      </c>
    </row>
    <row r="2265" spans="1:7" ht="15" customHeight="1" x14ac:dyDescent="0.25">
      <c r="A2265" s="2">
        <v>45987.452777777798</v>
      </c>
      <c r="B2265">
        <v>2025002951</v>
      </c>
      <c r="C2265" t="s">
        <v>1981</v>
      </c>
      <c r="D2265" s="11">
        <v>6300000</v>
      </c>
      <c r="E2265" s="19" t="s">
        <v>1629</v>
      </c>
      <c r="F2265" t="s">
        <v>1131</v>
      </c>
      <c r="G2265" t="s">
        <v>1755</v>
      </c>
    </row>
    <row r="2266" spans="1:7" ht="15" customHeight="1" x14ac:dyDescent="0.25">
      <c r="A2266" s="2">
        <v>45987.454861111102</v>
      </c>
      <c r="B2266">
        <v>2025002952</v>
      </c>
      <c r="C2266" t="s">
        <v>1780</v>
      </c>
      <c r="D2266" s="11">
        <v>3150000</v>
      </c>
      <c r="E2266" s="19" t="s">
        <v>1631</v>
      </c>
      <c r="F2266" t="s">
        <v>183</v>
      </c>
      <c r="G2266" t="s">
        <v>1755</v>
      </c>
    </row>
    <row r="2267" spans="1:7" ht="15" customHeight="1" x14ac:dyDescent="0.25">
      <c r="A2267" s="2">
        <v>45987.458333333299</v>
      </c>
      <c r="B2267">
        <v>2025002953</v>
      </c>
      <c r="C2267" t="s">
        <v>2181</v>
      </c>
      <c r="D2267" s="11">
        <v>4730000</v>
      </c>
      <c r="E2267" s="19" t="s">
        <v>2182</v>
      </c>
      <c r="F2267" t="s">
        <v>2183</v>
      </c>
      <c r="G2267" t="s">
        <v>1755</v>
      </c>
    </row>
    <row r="2268" spans="1:7" ht="15" customHeight="1" x14ac:dyDescent="0.25">
      <c r="A2268" s="2">
        <v>45988.3527777778</v>
      </c>
      <c r="B2268">
        <v>2025002958</v>
      </c>
      <c r="C2268" t="s">
        <v>2184</v>
      </c>
      <c r="D2268" s="11">
        <v>6300000</v>
      </c>
      <c r="E2268" s="19" t="s">
        <v>2185</v>
      </c>
      <c r="F2268" t="s">
        <v>2186</v>
      </c>
      <c r="G2268" t="s">
        <v>1755</v>
      </c>
    </row>
    <row r="2269" spans="1:7" ht="15" customHeight="1" x14ac:dyDescent="0.25">
      <c r="A2269" s="2">
        <v>45988.356249999997</v>
      </c>
      <c r="B2269">
        <v>2025002959</v>
      </c>
      <c r="C2269" t="s">
        <v>1927</v>
      </c>
      <c r="D2269" s="11">
        <v>3150000</v>
      </c>
      <c r="E2269" s="19" t="s">
        <v>2187</v>
      </c>
      <c r="F2269" t="s">
        <v>1928</v>
      </c>
      <c r="G2269" t="s">
        <v>1755</v>
      </c>
    </row>
    <row r="2270" spans="1:7" ht="15" customHeight="1" x14ac:dyDescent="0.25">
      <c r="A2270" s="2">
        <v>45988.359722222202</v>
      </c>
      <c r="B2270">
        <v>2025002960</v>
      </c>
      <c r="C2270" t="s">
        <v>1814</v>
      </c>
      <c r="D2270" s="11">
        <v>6300000</v>
      </c>
      <c r="E2270" s="19" t="s">
        <v>2188</v>
      </c>
      <c r="F2270" t="s">
        <v>1815</v>
      </c>
      <c r="G2270" t="s">
        <v>1755</v>
      </c>
    </row>
    <row r="2271" spans="1:7" ht="15" customHeight="1" x14ac:dyDescent="0.25">
      <c r="A2271" s="2">
        <v>45988.363888888904</v>
      </c>
      <c r="B2271">
        <v>2025002961</v>
      </c>
      <c r="C2271" t="s">
        <v>1917</v>
      </c>
      <c r="D2271" s="11">
        <v>7800000</v>
      </c>
      <c r="E2271" s="19" t="s">
        <v>2189</v>
      </c>
      <c r="F2271" t="s">
        <v>1918</v>
      </c>
      <c r="G2271" t="s">
        <v>1755</v>
      </c>
    </row>
    <row r="2272" spans="1:7" ht="15" customHeight="1" x14ac:dyDescent="0.25">
      <c r="A2272" s="2">
        <v>45988.377083333296</v>
      </c>
      <c r="B2272">
        <v>2025002962</v>
      </c>
      <c r="C2272" t="s">
        <v>1804</v>
      </c>
      <c r="D2272" s="11">
        <v>6300000</v>
      </c>
      <c r="E2272" s="19" t="s">
        <v>1723</v>
      </c>
      <c r="F2272" t="s">
        <v>1233</v>
      </c>
      <c r="G2272" t="s">
        <v>1755</v>
      </c>
    </row>
    <row r="2273" spans="1:7" ht="15" customHeight="1" x14ac:dyDescent="0.25">
      <c r="A2273" s="2">
        <v>45988.3840277778</v>
      </c>
      <c r="B2273">
        <v>2025002963</v>
      </c>
      <c r="C2273" t="s">
        <v>1941</v>
      </c>
      <c r="D2273" s="11">
        <v>6300000</v>
      </c>
      <c r="E2273" s="19" t="s">
        <v>2190</v>
      </c>
      <c r="F2273" t="s">
        <v>1942</v>
      </c>
      <c r="G2273" t="s">
        <v>1755</v>
      </c>
    </row>
    <row r="2274" spans="1:7" ht="15" customHeight="1" x14ac:dyDescent="0.25">
      <c r="A2274" s="2">
        <v>45988.387499999997</v>
      </c>
      <c r="B2274">
        <v>2025002964</v>
      </c>
      <c r="C2274" t="s">
        <v>1826</v>
      </c>
      <c r="D2274" s="11">
        <v>7800000</v>
      </c>
      <c r="E2274" s="19" t="s">
        <v>2191</v>
      </c>
      <c r="F2274" t="s">
        <v>239</v>
      </c>
      <c r="G2274" t="s">
        <v>1755</v>
      </c>
    </row>
    <row r="2275" spans="1:7" ht="15" customHeight="1" x14ac:dyDescent="0.25">
      <c r="A2275" s="2">
        <v>45988.390277777798</v>
      </c>
      <c r="B2275">
        <v>2025002965</v>
      </c>
      <c r="C2275" t="s">
        <v>1996</v>
      </c>
      <c r="D2275" s="11">
        <v>3150000</v>
      </c>
      <c r="E2275" s="19" t="s">
        <v>2192</v>
      </c>
      <c r="F2275" t="s">
        <v>1997</v>
      </c>
      <c r="G2275" t="s">
        <v>1755</v>
      </c>
    </row>
    <row r="2276" spans="1:7" ht="15" customHeight="1" x14ac:dyDescent="0.25">
      <c r="A2276" s="2">
        <v>45988.391666666699</v>
      </c>
      <c r="B2276">
        <v>2025002966</v>
      </c>
      <c r="C2276" t="s">
        <v>1821</v>
      </c>
      <c r="D2276" s="11">
        <v>3150000</v>
      </c>
      <c r="E2276" s="19" t="s">
        <v>1637</v>
      </c>
      <c r="F2276" t="s">
        <v>989</v>
      </c>
      <c r="G2276" t="s">
        <v>1755</v>
      </c>
    </row>
    <row r="2277" spans="1:7" ht="15" customHeight="1" x14ac:dyDescent="0.25">
      <c r="A2277" s="2">
        <v>45988.3972222222</v>
      </c>
      <c r="B2277">
        <v>2025002967</v>
      </c>
      <c r="C2277" t="s">
        <v>1933</v>
      </c>
      <c r="D2277" s="11">
        <v>4730000</v>
      </c>
      <c r="E2277" s="19" t="s">
        <v>1628</v>
      </c>
      <c r="F2277" t="s">
        <v>705</v>
      </c>
      <c r="G2277" t="s">
        <v>1755</v>
      </c>
    </row>
    <row r="2278" spans="1:7" ht="15" customHeight="1" x14ac:dyDescent="0.25">
      <c r="A2278" s="2">
        <v>45988.399305555598</v>
      </c>
      <c r="B2278">
        <v>2025002968</v>
      </c>
      <c r="C2278" t="s">
        <v>1993</v>
      </c>
      <c r="D2278" s="11">
        <v>3150000</v>
      </c>
      <c r="E2278" s="19" t="s">
        <v>2193</v>
      </c>
      <c r="F2278" t="s">
        <v>1994</v>
      </c>
      <c r="G2278" t="s">
        <v>1755</v>
      </c>
    </row>
    <row r="2279" spans="1:7" ht="15" customHeight="1" x14ac:dyDescent="0.25">
      <c r="A2279" s="2">
        <v>45988.670833333301</v>
      </c>
      <c r="B2279">
        <v>2025002973</v>
      </c>
      <c r="C2279" t="s">
        <v>2194</v>
      </c>
      <c r="D2279" s="11">
        <v>53230000</v>
      </c>
      <c r="E2279" s="19" t="s">
        <v>1710</v>
      </c>
      <c r="F2279" t="s">
        <v>1220</v>
      </c>
      <c r="G2279" t="s">
        <v>1755</v>
      </c>
    </row>
    <row r="2280" spans="1:7" ht="15" customHeight="1" x14ac:dyDescent="0.25">
      <c r="A2280" s="2">
        <v>45988.6743055556</v>
      </c>
      <c r="B2280">
        <v>2025002974</v>
      </c>
      <c r="C2280" t="s">
        <v>2022</v>
      </c>
      <c r="D2280" s="11">
        <v>233136040</v>
      </c>
      <c r="E2280" s="19" t="s">
        <v>1710</v>
      </c>
      <c r="F2280" t="s">
        <v>1220</v>
      </c>
      <c r="G2280" t="s">
        <v>1755</v>
      </c>
    </row>
    <row r="2281" spans="1:7" ht="15" customHeight="1" x14ac:dyDescent="0.25">
      <c r="A2281" s="2">
        <v>45988.708333333299</v>
      </c>
      <c r="B2281">
        <v>2025002977</v>
      </c>
      <c r="C2281" t="s">
        <v>2195</v>
      </c>
      <c r="D2281" s="11">
        <v>1575000</v>
      </c>
      <c r="E2281" s="19" t="s">
        <v>2196</v>
      </c>
      <c r="F2281" t="s">
        <v>349</v>
      </c>
      <c r="G2281" t="s">
        <v>1755</v>
      </c>
    </row>
    <row r="2282" spans="1:7" ht="15" customHeight="1" x14ac:dyDescent="0.25">
      <c r="A2282" s="2">
        <v>45988.711111111101</v>
      </c>
      <c r="B2282">
        <v>2025002979</v>
      </c>
      <c r="C2282" t="s">
        <v>2197</v>
      </c>
      <c r="D2282" s="11">
        <v>4730000</v>
      </c>
      <c r="E2282" s="19" t="s">
        <v>2198</v>
      </c>
      <c r="F2282" t="s">
        <v>2199</v>
      </c>
      <c r="G2282" t="s">
        <v>1755</v>
      </c>
    </row>
    <row r="2283" spans="1:7" ht="15" customHeight="1" x14ac:dyDescent="0.25">
      <c r="A2283" s="2">
        <v>45988.713194444397</v>
      </c>
      <c r="B2283">
        <v>2025002980</v>
      </c>
      <c r="C2283" t="s">
        <v>2200</v>
      </c>
      <c r="D2283" s="11">
        <v>2000000</v>
      </c>
      <c r="E2283" s="19" t="s">
        <v>2201</v>
      </c>
      <c r="F2283" t="s">
        <v>2202</v>
      </c>
      <c r="G2283" t="s">
        <v>1755</v>
      </c>
    </row>
    <row r="2284" spans="1:7" ht="15" customHeight="1" x14ac:dyDescent="0.25">
      <c r="A2284" s="2">
        <v>45988.713194444397</v>
      </c>
      <c r="B2284">
        <v>2025002981</v>
      </c>
      <c r="C2284" t="s">
        <v>2203</v>
      </c>
      <c r="D2284" s="11">
        <v>1575000</v>
      </c>
      <c r="E2284" s="19" t="s">
        <v>2204</v>
      </c>
      <c r="F2284" t="s">
        <v>215</v>
      </c>
      <c r="G2284" t="s">
        <v>1755</v>
      </c>
    </row>
    <row r="2285" spans="1:7" ht="15" customHeight="1" x14ac:dyDescent="0.25">
      <c r="A2285" s="2">
        <v>45988.714583333298</v>
      </c>
      <c r="B2285">
        <v>2025002982</v>
      </c>
      <c r="C2285" t="s">
        <v>1784</v>
      </c>
      <c r="D2285" s="11">
        <v>3150000</v>
      </c>
      <c r="E2285" s="19" t="s">
        <v>1650</v>
      </c>
      <c r="F2285" t="s">
        <v>277</v>
      </c>
      <c r="G2285" t="s">
        <v>1755</v>
      </c>
    </row>
    <row r="2286" spans="1:7" ht="15" customHeight="1" x14ac:dyDescent="0.25">
      <c r="A2286" s="2">
        <v>45988.715277777803</v>
      </c>
      <c r="B2286">
        <v>2025002983</v>
      </c>
      <c r="C2286" t="s">
        <v>2205</v>
      </c>
      <c r="D2286" s="11">
        <v>3150000</v>
      </c>
      <c r="E2286" s="19" t="s">
        <v>2206</v>
      </c>
      <c r="F2286" t="s">
        <v>2207</v>
      </c>
      <c r="G2286" t="s">
        <v>1755</v>
      </c>
    </row>
    <row r="2287" spans="1:7" ht="15" customHeight="1" x14ac:dyDescent="0.25">
      <c r="A2287" s="2">
        <v>45988.722916666702</v>
      </c>
      <c r="B2287">
        <v>2025002984</v>
      </c>
      <c r="C2287" t="s">
        <v>2208</v>
      </c>
      <c r="D2287" s="11">
        <v>3900000</v>
      </c>
      <c r="E2287" s="19" t="s">
        <v>2209</v>
      </c>
      <c r="F2287" t="s">
        <v>43</v>
      </c>
      <c r="G2287" t="s">
        <v>1755</v>
      </c>
    </row>
    <row r="2288" spans="1:7" ht="15" customHeight="1" x14ac:dyDescent="0.25">
      <c r="A2288" s="2">
        <v>45988.726388888899</v>
      </c>
      <c r="B2288">
        <v>2025002985</v>
      </c>
      <c r="C2288" t="s">
        <v>1790</v>
      </c>
      <c r="D2288" s="11">
        <v>6300000</v>
      </c>
      <c r="E2288" s="19" t="s">
        <v>2210</v>
      </c>
      <c r="F2288" t="s">
        <v>337</v>
      </c>
      <c r="G2288" t="s">
        <v>1755</v>
      </c>
    </row>
    <row r="2289" spans="1:7" ht="15" customHeight="1" x14ac:dyDescent="0.25">
      <c r="A2289" s="2">
        <v>45988.729166666701</v>
      </c>
      <c r="B2289">
        <v>2025002819</v>
      </c>
      <c r="C2289" t="s">
        <v>1938</v>
      </c>
      <c r="D2289" s="11">
        <v>6300000</v>
      </c>
      <c r="E2289" s="19" t="s">
        <v>2060</v>
      </c>
      <c r="F2289" t="s">
        <v>1939</v>
      </c>
      <c r="G2289" t="s">
        <v>1755</v>
      </c>
    </row>
    <row r="2290" spans="1:7" ht="15" customHeight="1" x14ac:dyDescent="0.25">
      <c r="A2290" s="2">
        <v>45988.735416666699</v>
      </c>
      <c r="B2290">
        <v>2025002986</v>
      </c>
      <c r="C2290" t="s">
        <v>1978</v>
      </c>
      <c r="D2290" s="11">
        <v>6300000</v>
      </c>
      <c r="E2290" s="19" t="s">
        <v>1665</v>
      </c>
      <c r="F2290" t="s">
        <v>453</v>
      </c>
      <c r="G2290" t="s">
        <v>1755</v>
      </c>
    </row>
    <row r="2291" spans="1:7" ht="15" customHeight="1" x14ac:dyDescent="0.25">
      <c r="A2291" s="2">
        <v>45989</v>
      </c>
      <c r="B2291">
        <v>2025002997</v>
      </c>
      <c r="C2291" t="s">
        <v>1253</v>
      </c>
      <c r="D2291" s="11">
        <v>2500000</v>
      </c>
      <c r="E2291" s="12"/>
      <c r="F2291" s="12"/>
      <c r="G2291" t="s">
        <v>1094</v>
      </c>
    </row>
    <row r="2292" spans="1:7" ht="15" customHeight="1" x14ac:dyDescent="0.25">
      <c r="A2292" s="2">
        <v>45989</v>
      </c>
      <c r="B2292">
        <v>2025003001</v>
      </c>
      <c r="C2292" t="s">
        <v>1249</v>
      </c>
      <c r="D2292" s="11">
        <v>2500000</v>
      </c>
      <c r="E2292" s="12"/>
      <c r="F2292" s="12"/>
      <c r="G2292" t="s">
        <v>1094</v>
      </c>
    </row>
    <row r="2293" spans="1:7" ht="15" customHeight="1" x14ac:dyDescent="0.25">
      <c r="A2293" s="2">
        <v>45989.4284722222</v>
      </c>
      <c r="B2293">
        <v>2025002994</v>
      </c>
      <c r="C2293" t="s">
        <v>2213</v>
      </c>
      <c r="D2293" s="11">
        <v>3150000</v>
      </c>
      <c r="E2293" s="19" t="s">
        <v>1701</v>
      </c>
      <c r="F2293" t="s">
        <v>335</v>
      </c>
      <c r="G2293" t="s">
        <v>1755</v>
      </c>
    </row>
    <row r="2294" spans="1:7" ht="15" customHeight="1" x14ac:dyDescent="0.25">
      <c r="A2294" s="2">
        <v>45989.431250000001</v>
      </c>
      <c r="B2294">
        <v>2025002995</v>
      </c>
      <c r="C2294" t="s">
        <v>1768</v>
      </c>
      <c r="D2294" s="11">
        <v>3150000</v>
      </c>
      <c r="E2294" s="19" t="s">
        <v>2214</v>
      </c>
      <c r="F2294" t="s">
        <v>1769</v>
      </c>
      <c r="G2294" t="s">
        <v>1755</v>
      </c>
    </row>
    <row r="2295" spans="1:7" ht="15" customHeight="1" x14ac:dyDescent="0.25">
      <c r="A2295" s="2">
        <v>45989.440277777801</v>
      </c>
      <c r="B2295">
        <v>2025002999</v>
      </c>
      <c r="C2295" t="s">
        <v>1845</v>
      </c>
      <c r="D2295" s="11">
        <v>6300000</v>
      </c>
      <c r="E2295" s="19" t="s">
        <v>2215</v>
      </c>
      <c r="F2295" t="s">
        <v>1846</v>
      </c>
      <c r="G2295" t="s">
        <v>1755</v>
      </c>
    </row>
    <row r="2296" spans="1:7" ht="15" customHeight="1" x14ac:dyDescent="0.25">
      <c r="A2296" s="2">
        <v>45989.443749999999</v>
      </c>
      <c r="B2296">
        <v>2025003000</v>
      </c>
      <c r="C2296" t="s">
        <v>2216</v>
      </c>
      <c r="D2296" s="11">
        <v>3150000</v>
      </c>
      <c r="E2296" s="19" t="s">
        <v>2217</v>
      </c>
      <c r="F2296" t="s">
        <v>2218</v>
      </c>
      <c r="G2296" t="s">
        <v>1755</v>
      </c>
    </row>
    <row r="2297" spans="1:7" ht="15" customHeight="1" x14ac:dyDescent="0.25">
      <c r="A2297" s="2">
        <v>45989.451388888898</v>
      </c>
      <c r="B2297">
        <v>2025003002</v>
      </c>
      <c r="C2297" s="4" t="s">
        <v>2219</v>
      </c>
      <c r="D2297" s="11">
        <v>3150000</v>
      </c>
      <c r="E2297" s="19" t="s">
        <v>2220</v>
      </c>
      <c r="F2297" t="s">
        <v>2221</v>
      </c>
      <c r="G2297" t="s">
        <v>1755</v>
      </c>
    </row>
    <row r="2298" spans="1:7" ht="15" customHeight="1" x14ac:dyDescent="0.25">
      <c r="A2298" s="2">
        <v>45989.4555555556</v>
      </c>
      <c r="B2298">
        <v>2025003004</v>
      </c>
      <c r="C2298" s="4" t="s">
        <v>1787</v>
      </c>
      <c r="D2298" s="11">
        <v>3150000</v>
      </c>
      <c r="E2298" s="19" t="s">
        <v>1730</v>
      </c>
      <c r="F2298" t="s">
        <v>37</v>
      </c>
      <c r="G2298" t="s">
        <v>1755</v>
      </c>
    </row>
    <row r="2299" spans="1:7" ht="15" customHeight="1" x14ac:dyDescent="0.25">
      <c r="A2299" s="2">
        <v>45989.4597222222</v>
      </c>
      <c r="B2299">
        <v>2025003006</v>
      </c>
      <c r="C2299" t="s">
        <v>1969</v>
      </c>
      <c r="D2299" s="11">
        <v>7800000</v>
      </c>
      <c r="E2299" s="19" t="s">
        <v>2222</v>
      </c>
      <c r="F2299" t="s">
        <v>1970</v>
      </c>
      <c r="G2299" t="s">
        <v>1755</v>
      </c>
    </row>
    <row r="2300" spans="1:7" ht="15" customHeight="1" x14ac:dyDescent="0.25">
      <c r="A2300" s="2">
        <v>45989.463888888902</v>
      </c>
      <c r="B2300">
        <v>2025003007</v>
      </c>
      <c r="C2300" t="s">
        <v>1976</v>
      </c>
      <c r="D2300" s="11">
        <v>3150000</v>
      </c>
      <c r="E2300" s="19" t="s">
        <v>1604</v>
      </c>
      <c r="F2300" t="s">
        <v>1110</v>
      </c>
      <c r="G2300" t="s">
        <v>1755</v>
      </c>
    </row>
    <row r="2301" spans="1:7" ht="15" customHeight="1" x14ac:dyDescent="0.25">
      <c r="A2301" s="2">
        <v>45989.466666666704</v>
      </c>
      <c r="B2301">
        <v>2025003008</v>
      </c>
      <c r="C2301" t="s">
        <v>1980</v>
      </c>
      <c r="D2301" s="11">
        <v>4730000</v>
      </c>
      <c r="E2301" s="19" t="s">
        <v>1589</v>
      </c>
      <c r="F2301" t="s">
        <v>249</v>
      </c>
      <c r="G2301" t="s">
        <v>1755</v>
      </c>
    </row>
    <row r="2302" spans="1:7" ht="15" customHeight="1" x14ac:dyDescent="0.25">
      <c r="A2302" s="2">
        <v>45989.470138888901</v>
      </c>
      <c r="B2302">
        <v>2025003010</v>
      </c>
      <c r="C2302" t="s">
        <v>2001</v>
      </c>
      <c r="D2302" s="11">
        <v>4730000</v>
      </c>
      <c r="E2302" s="19" t="s">
        <v>2002</v>
      </c>
      <c r="F2302" t="s">
        <v>47</v>
      </c>
      <c r="G2302" t="s">
        <v>1755</v>
      </c>
    </row>
    <row r="2303" spans="1:7" ht="15" customHeight="1" x14ac:dyDescent="0.25">
      <c r="A2303" s="2">
        <v>45989.472222222197</v>
      </c>
      <c r="B2303">
        <v>2025003011</v>
      </c>
      <c r="C2303" t="s">
        <v>2223</v>
      </c>
      <c r="D2303" s="11">
        <v>2000000</v>
      </c>
      <c r="E2303" s="19" t="s">
        <v>2224</v>
      </c>
      <c r="F2303" t="s">
        <v>2225</v>
      </c>
      <c r="G2303" t="s">
        <v>1755</v>
      </c>
    </row>
    <row r="2304" spans="1:7" ht="15" customHeight="1" x14ac:dyDescent="0.25">
      <c r="A2304" s="2">
        <v>45989.627777777801</v>
      </c>
      <c r="B2304">
        <v>2025003013</v>
      </c>
      <c r="C2304" t="s">
        <v>1833</v>
      </c>
      <c r="D2304" s="11">
        <v>6300000</v>
      </c>
      <c r="E2304" s="19" t="s">
        <v>2226</v>
      </c>
      <c r="F2304" t="s">
        <v>1834</v>
      </c>
      <c r="G2304" t="s">
        <v>1755</v>
      </c>
    </row>
    <row r="2305" spans="1:7" ht="15" customHeight="1" x14ac:dyDescent="0.25">
      <c r="A2305" s="2">
        <v>45989.6340277778</v>
      </c>
      <c r="B2305">
        <v>2025003014</v>
      </c>
      <c r="C2305" t="s">
        <v>2227</v>
      </c>
      <c r="D2305" s="11">
        <v>3150000</v>
      </c>
      <c r="E2305" s="19" t="s">
        <v>2228</v>
      </c>
      <c r="F2305" t="s">
        <v>431</v>
      </c>
      <c r="G2305" t="s">
        <v>1755</v>
      </c>
    </row>
    <row r="2306" spans="1:7" ht="15" customHeight="1" x14ac:dyDescent="0.25">
      <c r="A2306" s="2">
        <v>45992.3034722222</v>
      </c>
      <c r="B2306">
        <v>2025002987</v>
      </c>
      <c r="C2306" t="s">
        <v>2211</v>
      </c>
      <c r="D2306" s="11">
        <v>2000000</v>
      </c>
      <c r="E2306" s="19" t="s">
        <v>2212</v>
      </c>
      <c r="F2306" t="s">
        <v>319</v>
      </c>
      <c r="G2306" t="s">
        <v>1755</v>
      </c>
    </row>
    <row r="2307" spans="1:7" ht="15" customHeight="1" x14ac:dyDescent="0.25">
      <c r="A2307" s="2">
        <v>45993.440972222197</v>
      </c>
      <c r="B2307">
        <v>2025003061</v>
      </c>
      <c r="C2307" t="s">
        <v>2229</v>
      </c>
      <c r="D2307" s="11">
        <v>2000000</v>
      </c>
      <c r="E2307" t="s">
        <v>2230</v>
      </c>
      <c r="F2307" t="s">
        <v>2231</v>
      </c>
      <c r="G2307" t="s">
        <v>1755</v>
      </c>
    </row>
    <row r="2308" spans="1:7" ht="15" customHeight="1" x14ac:dyDescent="0.25">
      <c r="A2308" s="2">
        <v>45993.447916666701</v>
      </c>
      <c r="B2308">
        <v>2025003062</v>
      </c>
      <c r="C2308" t="s">
        <v>2232</v>
      </c>
      <c r="D2308" s="11">
        <v>2000000</v>
      </c>
      <c r="E2308" t="s">
        <v>2233</v>
      </c>
      <c r="F2308" t="s">
        <v>2234</v>
      </c>
      <c r="G2308" t="s">
        <v>1755</v>
      </c>
    </row>
    <row r="2309" spans="1:7" ht="15" customHeight="1" x14ac:dyDescent="0.25">
      <c r="A2309" s="2">
        <v>45993.4506944444</v>
      </c>
      <c r="B2309">
        <v>2025003063</v>
      </c>
      <c r="C2309" t="s">
        <v>1911</v>
      </c>
      <c r="D2309" s="11">
        <v>3150000</v>
      </c>
      <c r="E2309" t="s">
        <v>1648</v>
      </c>
      <c r="F2309" t="s">
        <v>251</v>
      </c>
      <c r="G2309" t="s">
        <v>1755</v>
      </c>
    </row>
    <row r="2310" spans="1:7" ht="15" customHeight="1" x14ac:dyDescent="0.25">
      <c r="A2310" s="2">
        <v>45993.473611111098</v>
      </c>
      <c r="B2310">
        <v>2025003067</v>
      </c>
      <c r="C2310" t="s">
        <v>2241</v>
      </c>
      <c r="D2310" s="11">
        <v>1575000</v>
      </c>
      <c r="E2310" t="s">
        <v>2242</v>
      </c>
      <c r="F2310" t="s">
        <v>2243</v>
      </c>
      <c r="G2310" t="s">
        <v>1755</v>
      </c>
    </row>
    <row r="2311" spans="1:7" ht="15" customHeight="1" x14ac:dyDescent="0.25">
      <c r="A2311" s="2">
        <v>45993.477083333302</v>
      </c>
      <c r="B2311">
        <v>2025003068</v>
      </c>
      <c r="C2311" t="s">
        <v>2244</v>
      </c>
      <c r="D2311" s="11">
        <v>2000000</v>
      </c>
      <c r="E2311" t="s">
        <v>2245</v>
      </c>
      <c r="F2311" t="s">
        <v>2246</v>
      </c>
      <c r="G2311" t="s">
        <v>1755</v>
      </c>
    </row>
    <row r="2312" spans="1:7" ht="15" customHeight="1" x14ac:dyDescent="0.25">
      <c r="A2312" s="2">
        <v>45993.481249999997</v>
      </c>
      <c r="B2312">
        <v>2025003069</v>
      </c>
      <c r="C2312" t="s">
        <v>1799</v>
      </c>
      <c r="D2312" s="11">
        <v>3150000</v>
      </c>
      <c r="E2312" t="s">
        <v>2247</v>
      </c>
      <c r="F2312" t="s">
        <v>1086</v>
      </c>
      <c r="G2312" t="s">
        <v>1755</v>
      </c>
    </row>
    <row r="2313" spans="1:7" ht="15" customHeight="1" x14ac:dyDescent="0.25">
      <c r="A2313" s="2">
        <v>45993.723611111098</v>
      </c>
      <c r="B2313">
        <v>2025003089</v>
      </c>
      <c r="C2313" t="s">
        <v>1885</v>
      </c>
      <c r="D2313" s="11">
        <v>1575000</v>
      </c>
      <c r="E2313" t="s">
        <v>2248</v>
      </c>
      <c r="F2313" t="s">
        <v>1886</v>
      </c>
      <c r="G2313" t="s">
        <v>1755</v>
      </c>
    </row>
    <row r="2314" spans="1:7" ht="15" customHeight="1" x14ac:dyDescent="0.25">
      <c r="A2314" s="2">
        <v>45995.6743055556</v>
      </c>
      <c r="B2314">
        <v>2025003066</v>
      </c>
      <c r="C2314" t="s">
        <v>2238</v>
      </c>
      <c r="D2314" s="11">
        <v>6300000</v>
      </c>
      <c r="E2314" t="s">
        <v>2239</v>
      </c>
      <c r="F2314" t="s">
        <v>2240</v>
      </c>
      <c r="G2314" t="s">
        <v>1755</v>
      </c>
    </row>
    <row r="2315" spans="1:7" ht="15" customHeight="1" x14ac:dyDescent="0.25">
      <c r="A2315" s="2">
        <v>45995.675694444399</v>
      </c>
      <c r="B2315">
        <v>2025003064</v>
      </c>
      <c r="C2315" t="s">
        <v>2235</v>
      </c>
      <c r="D2315" s="11">
        <v>2000000</v>
      </c>
      <c r="E2315" t="s">
        <v>2236</v>
      </c>
      <c r="F2315" t="s">
        <v>2237</v>
      </c>
      <c r="G2315" t="s">
        <v>1755</v>
      </c>
    </row>
    <row r="2316" spans="1:7" ht="15" customHeight="1" x14ac:dyDescent="0.25">
      <c r="A2316" s="2">
        <v>46000.629861111098</v>
      </c>
      <c r="B2316">
        <v>2025003144</v>
      </c>
      <c r="C2316" t="s">
        <v>2000</v>
      </c>
      <c r="D2316" s="11">
        <v>144437682.74000001</v>
      </c>
      <c r="E2316" t="s">
        <v>2249</v>
      </c>
      <c r="F2316" t="s">
        <v>8</v>
      </c>
      <c r="G2316" t="s">
        <v>1755</v>
      </c>
    </row>
    <row r="2317" spans="1:7" ht="15" customHeight="1" x14ac:dyDescent="0.25">
      <c r="A2317" s="2">
        <v>46001</v>
      </c>
      <c r="B2317">
        <v>2025003207</v>
      </c>
      <c r="C2317" t="s">
        <v>1225</v>
      </c>
      <c r="D2317" s="11">
        <v>2500000</v>
      </c>
      <c r="E2317" s="12"/>
      <c r="F2317" s="12"/>
      <c r="G2317" t="s">
        <v>1094</v>
      </c>
    </row>
    <row r="2318" spans="1:7" ht="15" customHeight="1" x14ac:dyDescent="0.25">
      <c r="A2318" s="2">
        <v>46001.6743055556</v>
      </c>
      <c r="B2318">
        <v>2025003169</v>
      </c>
      <c r="C2318" t="s">
        <v>2250</v>
      </c>
      <c r="D2318" s="11">
        <v>3150000</v>
      </c>
      <c r="E2318" t="s">
        <v>2251</v>
      </c>
      <c r="F2318" t="s">
        <v>2252</v>
      </c>
      <c r="G2318" t="s">
        <v>1755</v>
      </c>
    </row>
    <row r="2319" spans="1:7" ht="15" customHeight="1" x14ac:dyDescent="0.25">
      <c r="A2319" s="2">
        <v>46001.677777777797</v>
      </c>
      <c r="B2319">
        <v>2025003171</v>
      </c>
      <c r="C2319" t="s">
        <v>2253</v>
      </c>
      <c r="D2319" s="11">
        <v>4730000</v>
      </c>
      <c r="E2319" t="s">
        <v>2254</v>
      </c>
      <c r="F2319" t="s">
        <v>415</v>
      </c>
      <c r="G2319" t="s">
        <v>1755</v>
      </c>
    </row>
    <row r="2320" spans="1:7" ht="15" customHeight="1" x14ac:dyDescent="0.25">
      <c r="A2320" s="2">
        <v>46001.680555555598</v>
      </c>
      <c r="B2320">
        <v>2025003173</v>
      </c>
      <c r="C2320" t="s">
        <v>1992</v>
      </c>
      <c r="D2320" s="11">
        <v>3150000</v>
      </c>
      <c r="E2320" t="s">
        <v>2255</v>
      </c>
      <c r="F2320" t="s">
        <v>580</v>
      </c>
      <c r="G2320" t="s">
        <v>1755</v>
      </c>
    </row>
    <row r="2321" spans="1:7" ht="15" customHeight="1" x14ac:dyDescent="0.25">
      <c r="A2321" s="2">
        <v>46001.681944444397</v>
      </c>
      <c r="B2321">
        <v>2025003174</v>
      </c>
      <c r="C2321" t="s">
        <v>1937</v>
      </c>
      <c r="D2321" s="11">
        <v>4730000</v>
      </c>
      <c r="E2321" t="s">
        <v>2256</v>
      </c>
      <c r="F2321" t="s">
        <v>151</v>
      </c>
      <c r="G2321" t="s">
        <v>1755</v>
      </c>
    </row>
    <row r="2322" spans="1:7" ht="15" customHeight="1" x14ac:dyDescent="0.25">
      <c r="A2322" s="2">
        <v>46001.684027777803</v>
      </c>
      <c r="B2322">
        <v>2025003176</v>
      </c>
      <c r="C2322" t="s">
        <v>2257</v>
      </c>
      <c r="D2322" s="11">
        <v>1575000</v>
      </c>
      <c r="E2322" t="s">
        <v>1680</v>
      </c>
      <c r="F2322" t="s">
        <v>525</v>
      </c>
      <c r="G2322" t="s">
        <v>1755</v>
      </c>
    </row>
    <row r="2323" spans="1:7" ht="15" customHeight="1" x14ac:dyDescent="0.25">
      <c r="A2323" s="2">
        <v>46001.6875</v>
      </c>
      <c r="B2323">
        <v>2025003178</v>
      </c>
      <c r="C2323" t="s">
        <v>2258</v>
      </c>
      <c r="D2323" s="11">
        <v>1575000</v>
      </c>
      <c r="E2323" t="s">
        <v>2259</v>
      </c>
      <c r="F2323" t="s">
        <v>1054</v>
      </c>
      <c r="G2323" t="s">
        <v>1755</v>
      </c>
    </row>
    <row r="2324" spans="1:7" ht="15" customHeight="1" x14ac:dyDescent="0.25">
      <c r="A2324" s="2">
        <v>46001.690972222197</v>
      </c>
      <c r="B2324">
        <v>2025003179</v>
      </c>
      <c r="C2324" t="s">
        <v>2260</v>
      </c>
      <c r="D2324" s="11">
        <v>1575000</v>
      </c>
      <c r="E2324" t="s">
        <v>1632</v>
      </c>
      <c r="F2324" t="s">
        <v>121</v>
      </c>
      <c r="G2324" t="s">
        <v>1755</v>
      </c>
    </row>
    <row r="2325" spans="1:7" ht="15" customHeight="1" x14ac:dyDescent="0.25">
      <c r="A2325" s="2">
        <v>46001.693055555603</v>
      </c>
      <c r="B2325">
        <v>2025003181</v>
      </c>
      <c r="C2325" t="s">
        <v>2261</v>
      </c>
      <c r="D2325" s="11">
        <v>2000000</v>
      </c>
      <c r="E2325" t="s">
        <v>2262</v>
      </c>
      <c r="F2325" t="s">
        <v>2263</v>
      </c>
      <c r="G2325" t="s">
        <v>1755</v>
      </c>
    </row>
    <row r="2326" spans="1:7" ht="15" customHeight="1" x14ac:dyDescent="0.25">
      <c r="A2326" s="2">
        <v>46001.695138888899</v>
      </c>
      <c r="B2326">
        <v>2025003183</v>
      </c>
      <c r="C2326" t="s">
        <v>2264</v>
      </c>
      <c r="D2326" s="11">
        <v>2000000</v>
      </c>
      <c r="E2326" t="s">
        <v>2265</v>
      </c>
      <c r="F2326" t="s">
        <v>2266</v>
      </c>
      <c r="G2326" t="s">
        <v>1755</v>
      </c>
    </row>
    <row r="2327" spans="1:7" ht="15" customHeight="1" x14ac:dyDescent="0.25">
      <c r="A2327" s="2">
        <v>46001.704166666699</v>
      </c>
      <c r="B2327">
        <v>2025003184</v>
      </c>
      <c r="C2327" t="s">
        <v>2267</v>
      </c>
      <c r="D2327" s="11">
        <v>3150000</v>
      </c>
      <c r="E2327" t="s">
        <v>1696</v>
      </c>
      <c r="F2327" t="s">
        <v>123</v>
      </c>
      <c r="G2327" t="s">
        <v>1755</v>
      </c>
    </row>
    <row r="2328" spans="1:7" ht="15" customHeight="1" x14ac:dyDescent="0.25">
      <c r="A2328" s="2">
        <v>46001.706944444399</v>
      </c>
      <c r="B2328">
        <v>2025003185</v>
      </c>
      <c r="C2328" t="s">
        <v>2268</v>
      </c>
      <c r="D2328" s="11">
        <v>3150000</v>
      </c>
      <c r="E2328" t="s">
        <v>1713</v>
      </c>
      <c r="F2328" t="s">
        <v>1224</v>
      </c>
      <c r="G2328" t="s">
        <v>1755</v>
      </c>
    </row>
    <row r="2329" spans="1:7" ht="15" customHeight="1" x14ac:dyDescent="0.25">
      <c r="A2329" s="2">
        <v>46001.710416666698</v>
      </c>
      <c r="B2329">
        <v>2025003188</v>
      </c>
      <c r="C2329" t="s">
        <v>2269</v>
      </c>
      <c r="D2329" s="11">
        <v>3150000</v>
      </c>
      <c r="E2329" t="s">
        <v>1646</v>
      </c>
      <c r="F2329" t="s">
        <v>523</v>
      </c>
      <c r="G2329" t="s">
        <v>1755</v>
      </c>
    </row>
    <row r="2330" spans="1:7" ht="15" customHeight="1" x14ac:dyDescent="0.25">
      <c r="A2330" s="2">
        <v>46001.718055555597</v>
      </c>
      <c r="B2330">
        <v>2025003189</v>
      </c>
      <c r="C2330" t="s">
        <v>2270</v>
      </c>
      <c r="D2330" s="11">
        <v>4725000</v>
      </c>
      <c r="E2330" t="s">
        <v>2271</v>
      </c>
      <c r="F2330" t="s">
        <v>213</v>
      </c>
      <c r="G2330" t="s">
        <v>1755</v>
      </c>
    </row>
    <row r="2331" spans="1:7" ht="15" customHeight="1" x14ac:dyDescent="0.25">
      <c r="A2331" s="2">
        <v>46001.720138888901</v>
      </c>
      <c r="B2331">
        <v>2025003191</v>
      </c>
      <c r="C2331" t="s">
        <v>2272</v>
      </c>
      <c r="D2331" s="11">
        <v>3150000</v>
      </c>
      <c r="E2331" t="s">
        <v>1743</v>
      </c>
      <c r="F2331" t="s">
        <v>1211</v>
      </c>
      <c r="G2331" t="s">
        <v>1755</v>
      </c>
    </row>
    <row r="2332" spans="1:7" ht="15" customHeight="1" x14ac:dyDescent="0.25">
      <c r="A2332" s="2">
        <v>46001.724305555603</v>
      </c>
      <c r="B2332">
        <v>2025003193</v>
      </c>
      <c r="C2332" t="s">
        <v>2273</v>
      </c>
      <c r="D2332" s="11">
        <v>2365000</v>
      </c>
      <c r="E2332" t="s">
        <v>2274</v>
      </c>
      <c r="F2332" t="s">
        <v>730</v>
      </c>
      <c r="G2332" t="s">
        <v>1755</v>
      </c>
    </row>
    <row r="2333" spans="1:7" ht="15" customHeight="1" x14ac:dyDescent="0.25">
      <c r="A2333" s="2">
        <v>46001.727083333302</v>
      </c>
      <c r="B2333">
        <v>2025003195</v>
      </c>
      <c r="C2333" t="s">
        <v>2275</v>
      </c>
      <c r="D2333" s="11">
        <v>4730000</v>
      </c>
      <c r="E2333" t="s">
        <v>2276</v>
      </c>
      <c r="F2333" t="s">
        <v>2277</v>
      </c>
      <c r="G2333" t="s">
        <v>1755</v>
      </c>
    </row>
    <row r="2334" spans="1:7" ht="15" customHeight="1" x14ac:dyDescent="0.25">
      <c r="A2334" s="2">
        <v>46001.729166666701</v>
      </c>
      <c r="B2334">
        <v>2025003197</v>
      </c>
      <c r="C2334" t="s">
        <v>2278</v>
      </c>
      <c r="D2334" s="11">
        <v>6300000</v>
      </c>
      <c r="E2334" t="s">
        <v>1721</v>
      </c>
      <c r="F2334" t="s">
        <v>31</v>
      </c>
      <c r="G2334" t="s">
        <v>1755</v>
      </c>
    </row>
    <row r="2335" spans="1:7" ht="15" customHeight="1" x14ac:dyDescent="0.25">
      <c r="A2335" s="2">
        <v>46001.731249999997</v>
      </c>
      <c r="B2335">
        <v>2025003199</v>
      </c>
      <c r="C2335" t="s">
        <v>2279</v>
      </c>
      <c r="D2335" s="11">
        <v>2000000</v>
      </c>
      <c r="E2335" t="s">
        <v>1693</v>
      </c>
      <c r="F2335" t="s">
        <v>307</v>
      </c>
      <c r="G2335" t="s">
        <v>1755</v>
      </c>
    </row>
    <row r="2336" spans="1:7" ht="15" customHeight="1" x14ac:dyDescent="0.25">
      <c r="A2336" s="2">
        <v>46001.733333333301</v>
      </c>
      <c r="B2336">
        <v>2025003201</v>
      </c>
      <c r="C2336" t="s">
        <v>2280</v>
      </c>
      <c r="D2336" s="11">
        <v>3150000</v>
      </c>
      <c r="E2336" t="s">
        <v>2281</v>
      </c>
      <c r="F2336" t="s">
        <v>2282</v>
      </c>
      <c r="G2336" t="s">
        <v>1755</v>
      </c>
    </row>
    <row r="2337" spans="1:7" ht="15" customHeight="1" x14ac:dyDescent="0.25">
      <c r="A2337" s="2">
        <v>46001.735416666699</v>
      </c>
      <c r="B2337">
        <v>2025003204</v>
      </c>
      <c r="C2337" t="s">
        <v>2283</v>
      </c>
      <c r="D2337" s="11">
        <v>3150000</v>
      </c>
      <c r="E2337" t="s">
        <v>1677</v>
      </c>
      <c r="F2337" t="s">
        <v>387</v>
      </c>
      <c r="G2337" t="s">
        <v>1755</v>
      </c>
    </row>
    <row r="2338" spans="1:7" ht="15" customHeight="1" x14ac:dyDescent="0.25">
      <c r="A2338" s="2">
        <v>46001.737500000003</v>
      </c>
      <c r="B2338">
        <v>2025003206</v>
      </c>
      <c r="C2338" t="s">
        <v>2284</v>
      </c>
      <c r="D2338" s="11">
        <v>1575000</v>
      </c>
      <c r="E2338" t="s">
        <v>2285</v>
      </c>
      <c r="F2338" t="s">
        <v>2286</v>
      </c>
      <c r="G2338" t="s">
        <v>1755</v>
      </c>
    </row>
    <row r="2339" spans="1:7" ht="15" customHeight="1" x14ac:dyDescent="0.25">
      <c r="A2339" s="2">
        <v>46002.604861111096</v>
      </c>
      <c r="B2339">
        <v>2025003246</v>
      </c>
      <c r="C2339" t="s">
        <v>1995</v>
      </c>
      <c r="D2339" s="11">
        <v>4730000</v>
      </c>
      <c r="E2339" t="s">
        <v>2287</v>
      </c>
      <c r="F2339" t="s">
        <v>235</v>
      </c>
      <c r="G2339" t="s">
        <v>1755</v>
      </c>
    </row>
    <row r="2340" spans="1:7" ht="15" customHeight="1" x14ac:dyDescent="0.25">
      <c r="A2340" s="2">
        <v>46002.6069444444</v>
      </c>
      <c r="B2340">
        <v>2025003247</v>
      </c>
      <c r="C2340" t="s">
        <v>1925</v>
      </c>
      <c r="D2340" s="11">
        <v>4730000</v>
      </c>
      <c r="E2340" t="s">
        <v>2288</v>
      </c>
      <c r="F2340" t="s">
        <v>1926</v>
      </c>
      <c r="G2340" t="s">
        <v>1755</v>
      </c>
    </row>
    <row r="2341" spans="1:7" ht="15" customHeight="1" x14ac:dyDescent="0.25">
      <c r="A2341" s="2">
        <v>46002.608333333301</v>
      </c>
      <c r="B2341">
        <v>2025003249</v>
      </c>
      <c r="C2341" t="s">
        <v>1919</v>
      </c>
      <c r="D2341" s="11">
        <v>4730000</v>
      </c>
      <c r="E2341" t="s">
        <v>2289</v>
      </c>
      <c r="F2341" t="s">
        <v>900</v>
      </c>
      <c r="G2341" t="s">
        <v>1755</v>
      </c>
    </row>
    <row r="2342" spans="1:7" ht="15" customHeight="1" x14ac:dyDescent="0.25">
      <c r="A2342" s="2">
        <v>46002.610416666699</v>
      </c>
      <c r="B2342">
        <v>2025003252</v>
      </c>
      <c r="C2342" t="s">
        <v>1987</v>
      </c>
      <c r="D2342" s="11">
        <v>3150000</v>
      </c>
      <c r="E2342" t="s">
        <v>2025</v>
      </c>
      <c r="F2342" t="s">
        <v>1988</v>
      </c>
      <c r="G2342" t="s">
        <v>1755</v>
      </c>
    </row>
    <row r="2343" spans="1:7" ht="15" customHeight="1" x14ac:dyDescent="0.25">
      <c r="A2343" s="2">
        <v>46002.614583333299</v>
      </c>
      <c r="B2343">
        <v>2025003254</v>
      </c>
      <c r="C2343" t="s">
        <v>1836</v>
      </c>
      <c r="D2343" s="11">
        <v>4730000</v>
      </c>
      <c r="E2343" t="s">
        <v>2013</v>
      </c>
      <c r="F2343" t="s">
        <v>1837</v>
      </c>
      <c r="G2343" t="s">
        <v>1755</v>
      </c>
    </row>
    <row r="2344" spans="1:7" ht="15" customHeight="1" x14ac:dyDescent="0.25">
      <c r="A2344" s="2">
        <v>46002.616666666698</v>
      </c>
      <c r="B2344">
        <v>2025003255</v>
      </c>
      <c r="C2344" t="s">
        <v>1870</v>
      </c>
      <c r="D2344" s="11">
        <v>4730000</v>
      </c>
      <c r="E2344" t="s">
        <v>2031</v>
      </c>
      <c r="F2344" t="s">
        <v>95</v>
      </c>
      <c r="G2344" t="s">
        <v>1755</v>
      </c>
    </row>
    <row r="2345" spans="1:7" ht="15" customHeight="1" x14ac:dyDescent="0.25">
      <c r="A2345" s="2">
        <v>46002.623611111099</v>
      </c>
      <c r="B2345">
        <v>2025003256</v>
      </c>
      <c r="C2345" t="s">
        <v>1853</v>
      </c>
      <c r="D2345" s="11">
        <v>4730000</v>
      </c>
      <c r="E2345" t="s">
        <v>2033</v>
      </c>
      <c r="F2345" t="s">
        <v>355</v>
      </c>
      <c r="G2345" t="s">
        <v>1755</v>
      </c>
    </row>
    <row r="2346" spans="1:7" ht="15" customHeight="1" x14ac:dyDescent="0.25">
      <c r="A2346" s="2">
        <v>46002.626388888901</v>
      </c>
      <c r="B2346">
        <v>2025003257</v>
      </c>
      <c r="C2346" t="s">
        <v>1962</v>
      </c>
      <c r="D2346" s="11">
        <v>4730000</v>
      </c>
      <c r="E2346" t="s">
        <v>2111</v>
      </c>
      <c r="F2346" t="s">
        <v>91</v>
      </c>
      <c r="G2346" t="s">
        <v>1755</v>
      </c>
    </row>
    <row r="2347" spans="1:7" ht="15" customHeight="1" x14ac:dyDescent="0.25">
      <c r="A2347" s="2">
        <v>46002.629166666702</v>
      </c>
      <c r="B2347">
        <v>2025003258</v>
      </c>
      <c r="C2347" t="s">
        <v>1839</v>
      </c>
      <c r="D2347" s="11">
        <v>4730000</v>
      </c>
      <c r="E2347" t="s">
        <v>1641</v>
      </c>
      <c r="F2347" t="s">
        <v>1142</v>
      </c>
      <c r="G2347" t="s">
        <v>1755</v>
      </c>
    </row>
    <row r="2348" spans="1:7" ht="15" customHeight="1" x14ac:dyDescent="0.25">
      <c r="A2348" s="2">
        <v>46002.638888888898</v>
      </c>
      <c r="B2348">
        <v>2025003261</v>
      </c>
      <c r="C2348" t="s">
        <v>1875</v>
      </c>
      <c r="D2348" s="11">
        <v>7800000</v>
      </c>
      <c r="E2348" t="s">
        <v>1708</v>
      </c>
      <c r="F2348" t="s">
        <v>1218</v>
      </c>
      <c r="G2348" t="s">
        <v>1755</v>
      </c>
    </row>
    <row r="2349" spans="1:7" ht="15" customHeight="1" x14ac:dyDescent="0.25">
      <c r="A2349" s="2">
        <v>46002.643750000003</v>
      </c>
      <c r="B2349">
        <v>2025003262</v>
      </c>
      <c r="C2349" t="s">
        <v>1871</v>
      </c>
      <c r="D2349" s="11">
        <v>7800000</v>
      </c>
      <c r="E2349" t="s">
        <v>2054</v>
      </c>
      <c r="F2349" t="s">
        <v>1872</v>
      </c>
      <c r="G2349" t="s">
        <v>1755</v>
      </c>
    </row>
    <row r="2350" spans="1:7" ht="15" customHeight="1" x14ac:dyDescent="0.25">
      <c r="A2350" s="2">
        <v>46002.6472222222</v>
      </c>
      <c r="B2350">
        <v>2025003263</v>
      </c>
      <c r="C2350" t="s">
        <v>1851</v>
      </c>
      <c r="D2350" s="11">
        <v>7800000</v>
      </c>
      <c r="E2350" t="s">
        <v>2016</v>
      </c>
      <c r="F2350" t="s">
        <v>1852</v>
      </c>
      <c r="G2350" t="s">
        <v>1755</v>
      </c>
    </row>
    <row r="2351" spans="1:7" ht="15" customHeight="1" x14ac:dyDescent="0.25">
      <c r="A2351" s="2">
        <v>46002.648611111101</v>
      </c>
      <c r="B2351">
        <v>2025003264</v>
      </c>
      <c r="C2351" t="s">
        <v>1862</v>
      </c>
      <c r="D2351" s="11">
        <v>6300000</v>
      </c>
      <c r="E2351" t="s">
        <v>2075</v>
      </c>
      <c r="F2351" t="s">
        <v>1863</v>
      </c>
      <c r="G2351" t="s">
        <v>1755</v>
      </c>
    </row>
    <row r="2352" spans="1:7" ht="15" customHeight="1" x14ac:dyDescent="0.25">
      <c r="A2352" s="2">
        <v>46002.652083333298</v>
      </c>
      <c r="B2352">
        <v>2025003265</v>
      </c>
      <c r="C2352" t="s">
        <v>1830</v>
      </c>
      <c r="D2352" s="11">
        <v>7800000</v>
      </c>
      <c r="E2352" t="s">
        <v>2010</v>
      </c>
      <c r="F2352" t="s">
        <v>1831</v>
      </c>
      <c r="G2352" t="s">
        <v>1755</v>
      </c>
    </row>
    <row r="2353" spans="1:7" ht="15" customHeight="1" x14ac:dyDescent="0.25">
      <c r="A2353" s="2">
        <v>46002.655555555597</v>
      </c>
      <c r="B2353">
        <v>2025003266</v>
      </c>
      <c r="C2353" t="s">
        <v>1849</v>
      </c>
      <c r="D2353" s="11">
        <v>7800000</v>
      </c>
      <c r="E2353" t="s">
        <v>1620</v>
      </c>
      <c r="F2353" t="s">
        <v>41</v>
      </c>
      <c r="G2353" t="s">
        <v>1755</v>
      </c>
    </row>
    <row r="2354" spans="1:7" ht="15" customHeight="1" x14ac:dyDescent="0.25">
      <c r="A2354" s="2">
        <v>46002.663888888899</v>
      </c>
      <c r="B2354">
        <v>2025003267</v>
      </c>
      <c r="C2354" t="s">
        <v>1985</v>
      </c>
      <c r="D2354" s="11">
        <v>7800000</v>
      </c>
      <c r="E2354" t="s">
        <v>2112</v>
      </c>
      <c r="F2354" t="s">
        <v>1986</v>
      </c>
      <c r="G2354" t="s">
        <v>1755</v>
      </c>
    </row>
    <row r="2355" spans="1:7" ht="15" customHeight="1" x14ac:dyDescent="0.25">
      <c r="A2355" s="2">
        <v>46002.666666666701</v>
      </c>
      <c r="B2355">
        <v>2025003268</v>
      </c>
      <c r="C2355" t="s">
        <v>1770</v>
      </c>
      <c r="D2355" s="11">
        <v>6300000</v>
      </c>
      <c r="E2355" t="s">
        <v>1664</v>
      </c>
      <c r="F2355" t="s">
        <v>329</v>
      </c>
      <c r="G2355" t="s">
        <v>1755</v>
      </c>
    </row>
    <row r="2356" spans="1:7" ht="15" customHeight="1" x14ac:dyDescent="0.25">
      <c r="A2356" s="2">
        <v>46002.6694444444</v>
      </c>
      <c r="B2356">
        <v>2025003269</v>
      </c>
      <c r="C2356" t="s">
        <v>1762</v>
      </c>
      <c r="D2356" s="11">
        <v>6300000</v>
      </c>
      <c r="E2356" t="s">
        <v>1635</v>
      </c>
      <c r="F2356" t="s">
        <v>145</v>
      </c>
      <c r="G2356" t="s">
        <v>1755</v>
      </c>
    </row>
    <row r="2357" spans="1:7" ht="15" customHeight="1" x14ac:dyDescent="0.25">
      <c r="A2357" s="2">
        <v>46002.670833333301</v>
      </c>
      <c r="B2357">
        <v>2025003270</v>
      </c>
      <c r="C2357" t="s">
        <v>1838</v>
      </c>
      <c r="D2357" s="11">
        <v>6300000</v>
      </c>
      <c r="E2357" t="s">
        <v>2050</v>
      </c>
      <c r="F2357" t="s">
        <v>1062</v>
      </c>
      <c r="G2357" t="s">
        <v>1755</v>
      </c>
    </row>
    <row r="2358" spans="1:7" ht="15" customHeight="1" x14ac:dyDescent="0.25">
      <c r="A2358" s="2">
        <v>46002.673611111102</v>
      </c>
      <c r="B2358">
        <v>2025003272</v>
      </c>
      <c r="C2358" t="s">
        <v>1773</v>
      </c>
      <c r="D2358" s="11">
        <v>6300000</v>
      </c>
      <c r="E2358" t="s">
        <v>2036</v>
      </c>
      <c r="F2358" t="s">
        <v>1774</v>
      </c>
      <c r="G2358" t="s">
        <v>1755</v>
      </c>
    </row>
    <row r="2359" spans="1:7" ht="15" customHeight="1" x14ac:dyDescent="0.25">
      <c r="A2359" s="2">
        <v>46002.675000000003</v>
      </c>
      <c r="B2359">
        <v>2025003273</v>
      </c>
      <c r="C2359" t="s">
        <v>1883</v>
      </c>
      <c r="D2359" s="11">
        <v>6300000</v>
      </c>
      <c r="E2359" t="s">
        <v>2032</v>
      </c>
      <c r="F2359" t="s">
        <v>1884</v>
      </c>
      <c r="G2359" t="s">
        <v>1755</v>
      </c>
    </row>
    <row r="2360" spans="1:7" ht="15" customHeight="1" x14ac:dyDescent="0.25">
      <c r="A2360" s="2">
        <v>46002.679861111101</v>
      </c>
      <c r="B2360">
        <v>2025003275</v>
      </c>
      <c r="C2360" t="s">
        <v>1840</v>
      </c>
      <c r="D2360" s="11">
        <v>7800000</v>
      </c>
      <c r="E2360" t="s">
        <v>2051</v>
      </c>
      <c r="F2360" t="s">
        <v>1841</v>
      </c>
      <c r="G2360" t="s">
        <v>1755</v>
      </c>
    </row>
    <row r="2361" spans="1:7" ht="15" customHeight="1" x14ac:dyDescent="0.25">
      <c r="A2361" s="2">
        <v>46002.686111111099</v>
      </c>
      <c r="B2361">
        <v>2025003276</v>
      </c>
      <c r="C2361" t="s">
        <v>1832</v>
      </c>
      <c r="D2361" s="11">
        <v>3150000</v>
      </c>
      <c r="E2361" t="s">
        <v>1695</v>
      </c>
      <c r="F2361" t="s">
        <v>477</v>
      </c>
      <c r="G2361" t="s">
        <v>1755</v>
      </c>
    </row>
    <row r="2362" spans="1:7" ht="15" customHeight="1" x14ac:dyDescent="0.25">
      <c r="A2362" s="2">
        <v>46002.690972222197</v>
      </c>
      <c r="B2362">
        <v>2025003278</v>
      </c>
      <c r="C2362" t="s">
        <v>1761</v>
      </c>
      <c r="D2362" s="11">
        <v>3150000</v>
      </c>
      <c r="E2362" t="s">
        <v>1671</v>
      </c>
      <c r="F2362" t="s">
        <v>443</v>
      </c>
      <c r="G2362" t="s">
        <v>1755</v>
      </c>
    </row>
    <row r="2363" spans="1:7" ht="15" customHeight="1" x14ac:dyDescent="0.25">
      <c r="A2363" s="2">
        <v>46002.695138888899</v>
      </c>
      <c r="B2363">
        <v>2025003280</v>
      </c>
      <c r="C2363" t="s">
        <v>1878</v>
      </c>
      <c r="D2363" s="11">
        <v>3150000</v>
      </c>
      <c r="E2363" t="s">
        <v>2037</v>
      </c>
      <c r="F2363" t="s">
        <v>417</v>
      </c>
      <c r="G2363" t="s">
        <v>1755</v>
      </c>
    </row>
    <row r="2364" spans="1:7" ht="15" customHeight="1" x14ac:dyDescent="0.25">
      <c r="A2364" s="2">
        <v>46002.697916666701</v>
      </c>
      <c r="B2364">
        <v>2025003282</v>
      </c>
      <c r="C2364" t="s">
        <v>1869</v>
      </c>
      <c r="D2364" s="11">
        <v>7800000</v>
      </c>
      <c r="E2364" t="s">
        <v>1591</v>
      </c>
      <c r="F2364" t="s">
        <v>791</v>
      </c>
      <c r="G2364" t="s">
        <v>1755</v>
      </c>
    </row>
    <row r="2365" spans="1:7" ht="15" customHeight="1" x14ac:dyDescent="0.25">
      <c r="A2365" s="2">
        <v>46002.699305555601</v>
      </c>
      <c r="B2365">
        <v>2025003283</v>
      </c>
      <c r="C2365" t="s">
        <v>1776</v>
      </c>
      <c r="D2365" s="11">
        <v>3150000</v>
      </c>
      <c r="E2365" t="s">
        <v>2014</v>
      </c>
      <c r="F2365" t="s">
        <v>1777</v>
      </c>
      <c r="G2365" t="s">
        <v>1755</v>
      </c>
    </row>
    <row r="2366" spans="1:7" ht="15" customHeight="1" x14ac:dyDescent="0.25">
      <c r="A2366" s="2">
        <v>46002.7006944444</v>
      </c>
      <c r="B2366">
        <v>2025003279</v>
      </c>
      <c r="C2366" t="s">
        <v>1876</v>
      </c>
      <c r="D2366" s="11">
        <v>3150000</v>
      </c>
      <c r="E2366" t="s">
        <v>2113</v>
      </c>
      <c r="F2366" t="s">
        <v>658</v>
      </c>
      <c r="G2366" t="s">
        <v>1755</v>
      </c>
    </row>
    <row r="2367" spans="1:7" ht="15" customHeight="1" x14ac:dyDescent="0.25">
      <c r="A2367" s="2">
        <v>46002.702083333301</v>
      </c>
      <c r="B2367">
        <v>2025003284</v>
      </c>
      <c r="C2367" t="s">
        <v>1758</v>
      </c>
      <c r="D2367" s="11">
        <v>3150000</v>
      </c>
      <c r="E2367" t="s">
        <v>2015</v>
      </c>
      <c r="F2367" t="s">
        <v>1759</v>
      </c>
      <c r="G2367" t="s">
        <v>1755</v>
      </c>
    </row>
    <row r="2368" spans="1:7" ht="15" customHeight="1" x14ac:dyDescent="0.25">
      <c r="A2368" s="2">
        <v>46002.704861111102</v>
      </c>
      <c r="B2368">
        <v>2025003285</v>
      </c>
      <c r="C2368" t="s">
        <v>2290</v>
      </c>
      <c r="D2368" s="11">
        <v>4730000</v>
      </c>
      <c r="E2368" t="s">
        <v>2291</v>
      </c>
      <c r="F2368" t="s">
        <v>2292</v>
      </c>
      <c r="G2368" t="s">
        <v>1755</v>
      </c>
    </row>
    <row r="2369" spans="1:7" ht="15" customHeight="1" x14ac:dyDescent="0.25">
      <c r="A2369" s="2">
        <v>46002.706944444399</v>
      </c>
      <c r="B2369">
        <v>2025003286</v>
      </c>
      <c r="C2369" t="s">
        <v>2293</v>
      </c>
      <c r="D2369" s="11">
        <v>4730000</v>
      </c>
      <c r="E2369" t="s">
        <v>2294</v>
      </c>
      <c r="F2369" t="s">
        <v>2295</v>
      </c>
      <c r="G2369" t="s">
        <v>1755</v>
      </c>
    </row>
    <row r="2370" spans="1:7" ht="15" customHeight="1" x14ac:dyDescent="0.25">
      <c r="A2370" s="2">
        <v>46003.385416666701</v>
      </c>
      <c r="B2370">
        <v>2025003290</v>
      </c>
      <c r="C2370" t="s">
        <v>2296</v>
      </c>
      <c r="D2370" s="11">
        <v>6300000</v>
      </c>
      <c r="E2370" t="s">
        <v>2297</v>
      </c>
      <c r="F2370" t="s">
        <v>2298</v>
      </c>
      <c r="G2370" t="s">
        <v>1755</v>
      </c>
    </row>
    <row r="2371" spans="1:7" ht="15" customHeight="1" x14ac:dyDescent="0.25">
      <c r="A2371" s="2">
        <v>46003.390972222202</v>
      </c>
      <c r="B2371">
        <v>2025003291</v>
      </c>
      <c r="C2371" t="s">
        <v>2299</v>
      </c>
      <c r="D2371" s="11">
        <v>3150000</v>
      </c>
      <c r="E2371" t="s">
        <v>2300</v>
      </c>
      <c r="F2371" t="s">
        <v>2301</v>
      </c>
      <c r="G2371" t="s">
        <v>1755</v>
      </c>
    </row>
    <row r="2372" spans="1:7" ht="15" customHeight="1" x14ac:dyDescent="0.25">
      <c r="A2372" s="2">
        <v>46003.396527777797</v>
      </c>
      <c r="B2372">
        <v>2025003292</v>
      </c>
      <c r="C2372" t="s">
        <v>2302</v>
      </c>
      <c r="D2372" s="11">
        <v>7800000</v>
      </c>
      <c r="E2372" t="s">
        <v>2303</v>
      </c>
      <c r="F2372" t="s">
        <v>2304</v>
      </c>
      <c r="G2372" t="s">
        <v>1755</v>
      </c>
    </row>
    <row r="2373" spans="1:7" ht="15" customHeight="1" x14ac:dyDescent="0.25">
      <c r="A2373" s="2">
        <v>46003.400694444397</v>
      </c>
      <c r="B2373">
        <v>2025003293</v>
      </c>
      <c r="C2373" t="s">
        <v>2305</v>
      </c>
      <c r="D2373" s="11">
        <v>4730000</v>
      </c>
      <c r="E2373" t="s">
        <v>2306</v>
      </c>
      <c r="F2373" t="s">
        <v>2307</v>
      </c>
      <c r="G2373" t="s">
        <v>1755</v>
      </c>
    </row>
    <row r="2374" spans="1:7" ht="15" customHeight="1" x14ac:dyDescent="0.25">
      <c r="A2374" s="2">
        <v>46003.402083333298</v>
      </c>
      <c r="B2374">
        <v>2025003294</v>
      </c>
      <c r="C2374" t="s">
        <v>1798</v>
      </c>
      <c r="D2374" s="11">
        <v>3150000</v>
      </c>
      <c r="E2374" t="s">
        <v>1657</v>
      </c>
      <c r="F2374" t="s">
        <v>59</v>
      </c>
      <c r="G2374" t="s">
        <v>1755</v>
      </c>
    </row>
    <row r="2375" spans="1:7" ht="15" customHeight="1" x14ac:dyDescent="0.25">
      <c r="A2375" s="2">
        <v>46003.40625</v>
      </c>
      <c r="B2375">
        <v>2025003295</v>
      </c>
      <c r="C2375" t="s">
        <v>1861</v>
      </c>
      <c r="D2375" s="11">
        <v>7800000</v>
      </c>
      <c r="E2375" t="s">
        <v>1622</v>
      </c>
      <c r="F2375" t="s">
        <v>63</v>
      </c>
      <c r="G2375" t="s">
        <v>1755</v>
      </c>
    </row>
    <row r="2376" spans="1:7" ht="15" customHeight="1" x14ac:dyDescent="0.25">
      <c r="A2376" s="2">
        <v>46003.409027777801</v>
      </c>
      <c r="B2376">
        <v>2025003296</v>
      </c>
      <c r="C2376" t="s">
        <v>1791</v>
      </c>
      <c r="D2376" s="11">
        <v>4730000</v>
      </c>
      <c r="E2376" t="s">
        <v>1614</v>
      </c>
      <c r="F2376" t="s">
        <v>735</v>
      </c>
      <c r="G2376" t="s">
        <v>1755</v>
      </c>
    </row>
    <row r="2377" spans="1:7" ht="15" customHeight="1" x14ac:dyDescent="0.25">
      <c r="A2377" s="2">
        <v>46003.409722222197</v>
      </c>
      <c r="B2377">
        <v>2025003297</v>
      </c>
      <c r="C2377" t="s">
        <v>1929</v>
      </c>
      <c r="D2377" s="11">
        <v>6300000</v>
      </c>
      <c r="E2377" t="s">
        <v>2308</v>
      </c>
      <c r="F2377" t="s">
        <v>895</v>
      </c>
      <c r="G2377" t="s">
        <v>1755</v>
      </c>
    </row>
    <row r="2378" spans="1:7" ht="15" customHeight="1" x14ac:dyDescent="0.25">
      <c r="A2378" s="2">
        <v>46003.412499999999</v>
      </c>
      <c r="B2378">
        <v>2025003299</v>
      </c>
      <c r="C2378" t="s">
        <v>2312</v>
      </c>
      <c r="D2378" s="11">
        <v>7800000</v>
      </c>
      <c r="E2378" t="s">
        <v>2313</v>
      </c>
      <c r="F2378" t="s">
        <v>2314</v>
      </c>
      <c r="G2378" t="s">
        <v>1755</v>
      </c>
    </row>
    <row r="2379" spans="1:7" ht="15" customHeight="1" x14ac:dyDescent="0.25">
      <c r="A2379" s="2">
        <v>46003.431250000001</v>
      </c>
      <c r="B2379">
        <v>2025003298</v>
      </c>
      <c r="C2379" t="s">
        <v>2309</v>
      </c>
      <c r="D2379" s="11">
        <v>3150000</v>
      </c>
      <c r="E2379" t="s">
        <v>2310</v>
      </c>
      <c r="F2379" t="s">
        <v>2311</v>
      </c>
      <c r="G2379" t="s">
        <v>1755</v>
      </c>
    </row>
    <row r="2380" spans="1:7" ht="15" customHeight="1" x14ac:dyDescent="0.25">
      <c r="A2380" s="2">
        <v>46003.432638888902</v>
      </c>
      <c r="B2380">
        <v>2025003300</v>
      </c>
      <c r="C2380" t="s">
        <v>2309</v>
      </c>
      <c r="D2380" s="11">
        <v>3150000</v>
      </c>
      <c r="E2380" t="s">
        <v>2310</v>
      </c>
      <c r="F2380" t="s">
        <v>2311</v>
      </c>
      <c r="G2380" t="s">
        <v>1755</v>
      </c>
    </row>
    <row r="2381" spans="1:7" ht="15" customHeight="1" x14ac:dyDescent="0.25">
      <c r="A2381" s="2">
        <v>46003.436111111099</v>
      </c>
      <c r="B2381">
        <v>2025003301</v>
      </c>
      <c r="C2381" t="s">
        <v>2091</v>
      </c>
      <c r="D2381" s="11">
        <v>3150000</v>
      </c>
      <c r="E2381" t="s">
        <v>2092</v>
      </c>
      <c r="F2381" t="s">
        <v>2093</v>
      </c>
      <c r="G2381" t="s">
        <v>1755</v>
      </c>
    </row>
    <row r="2382" spans="1:7" ht="15" customHeight="1" x14ac:dyDescent="0.25">
      <c r="A2382" s="2">
        <v>46003.438194444403</v>
      </c>
      <c r="B2382">
        <v>2025003302</v>
      </c>
      <c r="C2382" t="s">
        <v>1763</v>
      </c>
      <c r="D2382" s="11">
        <v>4730000</v>
      </c>
      <c r="E2382" t="s">
        <v>2064</v>
      </c>
      <c r="F2382" t="s">
        <v>267</v>
      </c>
      <c r="G2382" t="s">
        <v>1755</v>
      </c>
    </row>
    <row r="2383" spans="1:7" ht="15" customHeight="1" x14ac:dyDescent="0.25">
      <c r="A2383" s="2">
        <v>46003.438194444403</v>
      </c>
      <c r="B2383">
        <v>2025003303</v>
      </c>
      <c r="C2383" t="s">
        <v>1270</v>
      </c>
      <c r="D2383" s="11">
        <v>4825000</v>
      </c>
      <c r="E2383">
        <v>36751052</v>
      </c>
      <c r="F2383" t="s">
        <v>1271</v>
      </c>
      <c r="G2383" t="s">
        <v>1755</v>
      </c>
    </row>
    <row r="2384" spans="1:7" ht="15" customHeight="1" x14ac:dyDescent="0.25">
      <c r="A2384" s="2">
        <v>46003.596527777801</v>
      </c>
      <c r="B2384">
        <v>2025003304</v>
      </c>
      <c r="C2384" t="s">
        <v>1764</v>
      </c>
      <c r="D2384" s="11">
        <v>150342500</v>
      </c>
      <c r="E2384" t="s">
        <v>1598</v>
      </c>
      <c r="F2384" t="s">
        <v>269</v>
      </c>
      <c r="G2384" t="s">
        <v>1755</v>
      </c>
    </row>
    <row r="2385" spans="1:7" ht="15" customHeight="1" x14ac:dyDescent="0.25">
      <c r="A2385" s="2">
        <v>46003.597916666702</v>
      </c>
      <c r="B2385">
        <v>2025003305</v>
      </c>
      <c r="C2385" t="s">
        <v>2200</v>
      </c>
      <c r="D2385" s="11">
        <v>2000000</v>
      </c>
      <c r="E2385" t="s">
        <v>2201</v>
      </c>
      <c r="F2385" t="s">
        <v>2202</v>
      </c>
      <c r="G2385" t="s">
        <v>1755</v>
      </c>
    </row>
    <row r="2386" spans="1:7" ht="15" customHeight="1" x14ac:dyDescent="0.25">
      <c r="A2386" s="2">
        <v>46003.6</v>
      </c>
      <c r="B2386">
        <v>2025003306</v>
      </c>
      <c r="C2386" t="s">
        <v>2161</v>
      </c>
      <c r="D2386" s="11">
        <v>3150000</v>
      </c>
      <c r="E2386" t="s">
        <v>2162</v>
      </c>
      <c r="F2386" t="s">
        <v>2163</v>
      </c>
      <c r="G2386" t="s">
        <v>1755</v>
      </c>
    </row>
    <row r="2387" spans="1:7" ht="15" customHeight="1" x14ac:dyDescent="0.25">
      <c r="A2387" s="2">
        <v>46003.6027777778</v>
      </c>
      <c r="B2387">
        <v>2025003308</v>
      </c>
      <c r="C2387" t="s">
        <v>1795</v>
      </c>
      <c r="D2387" s="11">
        <v>6300000</v>
      </c>
      <c r="E2387" t="s">
        <v>1600</v>
      </c>
      <c r="F2387" t="s">
        <v>385</v>
      </c>
      <c r="G2387" t="s">
        <v>1755</v>
      </c>
    </row>
    <row r="2388" spans="1:7" ht="15" customHeight="1" x14ac:dyDescent="0.25">
      <c r="A2388" s="2">
        <v>46003.613194444399</v>
      </c>
      <c r="B2388">
        <v>2025003309</v>
      </c>
      <c r="C2388" t="s">
        <v>1754</v>
      </c>
      <c r="D2388" s="11">
        <v>3150000</v>
      </c>
      <c r="E2388" t="s">
        <v>2090</v>
      </c>
      <c r="F2388" t="s">
        <v>504</v>
      </c>
      <c r="G2388" t="s">
        <v>1755</v>
      </c>
    </row>
    <row r="2389" spans="1:7" ht="15" customHeight="1" x14ac:dyDescent="0.25">
      <c r="A2389" s="2">
        <v>46003.615277777797</v>
      </c>
      <c r="B2389">
        <v>2025003310</v>
      </c>
      <c r="C2389" t="s">
        <v>2315</v>
      </c>
      <c r="D2389" s="11">
        <v>2000000</v>
      </c>
      <c r="E2389" t="s">
        <v>2316</v>
      </c>
      <c r="F2389" t="s">
        <v>2317</v>
      </c>
      <c r="G2389" t="s">
        <v>1755</v>
      </c>
    </row>
    <row r="2390" spans="1:7" ht="15" customHeight="1" x14ac:dyDescent="0.25">
      <c r="A2390" s="2">
        <v>46003.618750000001</v>
      </c>
      <c r="B2390">
        <v>2025003311</v>
      </c>
      <c r="C2390" t="s">
        <v>2318</v>
      </c>
      <c r="D2390" s="11">
        <v>3150000</v>
      </c>
      <c r="E2390" t="s">
        <v>1624</v>
      </c>
      <c r="F2390" t="s">
        <v>11</v>
      </c>
      <c r="G2390" t="s">
        <v>1755</v>
      </c>
    </row>
    <row r="2391" spans="1:7" ht="15" customHeight="1" x14ac:dyDescent="0.25">
      <c r="A2391" s="2">
        <v>46003.622222222199</v>
      </c>
      <c r="B2391">
        <v>2025003312</v>
      </c>
      <c r="C2391" t="s">
        <v>1943</v>
      </c>
      <c r="D2391" s="11">
        <v>3150000</v>
      </c>
      <c r="E2391" t="s">
        <v>1601</v>
      </c>
      <c r="F2391" t="s">
        <v>171</v>
      </c>
      <c r="G2391" t="s">
        <v>1755</v>
      </c>
    </row>
    <row r="2392" spans="1:7" ht="15" customHeight="1" x14ac:dyDescent="0.25">
      <c r="A2392" s="2">
        <v>46003.625694444403</v>
      </c>
      <c r="B2392">
        <v>2025003314</v>
      </c>
      <c r="C2392" t="s">
        <v>1792</v>
      </c>
      <c r="D2392" s="11">
        <v>3150000</v>
      </c>
      <c r="E2392" t="s">
        <v>1690</v>
      </c>
      <c r="F2392" t="s">
        <v>201</v>
      </c>
      <c r="G2392" t="s">
        <v>1755</v>
      </c>
    </row>
    <row r="2393" spans="1:7" ht="15" customHeight="1" x14ac:dyDescent="0.25">
      <c r="A2393" s="2">
        <v>46003.629166666702</v>
      </c>
      <c r="B2393">
        <v>2025003316</v>
      </c>
      <c r="C2393" t="s">
        <v>2155</v>
      </c>
      <c r="D2393" s="11">
        <v>7800000</v>
      </c>
      <c r="E2393" t="s">
        <v>2156</v>
      </c>
      <c r="F2393" t="s">
        <v>2157</v>
      </c>
      <c r="G2393" t="s">
        <v>1755</v>
      </c>
    </row>
    <row r="2394" spans="1:7" ht="15" customHeight="1" x14ac:dyDescent="0.25">
      <c r="A2394" s="2">
        <v>46003.630555555603</v>
      </c>
      <c r="B2394">
        <v>2025003318</v>
      </c>
      <c r="C2394" t="s">
        <v>1868</v>
      </c>
      <c r="D2394" s="11">
        <v>3150000</v>
      </c>
      <c r="E2394" t="s">
        <v>1605</v>
      </c>
      <c r="F2394" t="s">
        <v>263</v>
      </c>
      <c r="G2394" t="s">
        <v>1755</v>
      </c>
    </row>
    <row r="2395" spans="1:7" ht="15" customHeight="1" x14ac:dyDescent="0.25">
      <c r="A2395" s="2">
        <v>46003.632638888899</v>
      </c>
      <c r="B2395">
        <v>2025003320</v>
      </c>
      <c r="C2395" t="s">
        <v>1857</v>
      </c>
      <c r="D2395" s="11">
        <v>3150000</v>
      </c>
      <c r="E2395" t="s">
        <v>1616</v>
      </c>
      <c r="F2395" t="s">
        <v>87</v>
      </c>
      <c r="G2395" t="s">
        <v>1755</v>
      </c>
    </row>
    <row r="2396" spans="1:7" ht="15" customHeight="1" x14ac:dyDescent="0.25">
      <c r="A2396" s="2">
        <v>46003.648611111101</v>
      </c>
      <c r="B2396">
        <v>2025003322</v>
      </c>
      <c r="C2396" t="s">
        <v>2319</v>
      </c>
      <c r="D2396" s="11">
        <v>1575000</v>
      </c>
      <c r="E2396" t="s">
        <v>1732</v>
      </c>
      <c r="F2396" t="s">
        <v>103</v>
      </c>
      <c r="G2396" t="s">
        <v>1755</v>
      </c>
    </row>
    <row r="2397" spans="1:7" ht="15" customHeight="1" x14ac:dyDescent="0.25">
      <c r="A2397" s="2">
        <v>46003.652083333298</v>
      </c>
      <c r="B2397">
        <v>2025003323</v>
      </c>
      <c r="C2397" t="s">
        <v>2078</v>
      </c>
      <c r="D2397" s="11">
        <v>2000000</v>
      </c>
      <c r="E2397" t="s">
        <v>1699</v>
      </c>
      <c r="F2397" t="s">
        <v>1020</v>
      </c>
      <c r="G2397" t="s">
        <v>1755</v>
      </c>
    </row>
    <row r="2398" spans="1:7" ht="15" customHeight="1" x14ac:dyDescent="0.25">
      <c r="A2398" s="2">
        <v>46003.654861111099</v>
      </c>
      <c r="B2398">
        <v>2025003324</v>
      </c>
      <c r="C2398" t="s">
        <v>2320</v>
      </c>
      <c r="D2398" s="11">
        <v>2000000</v>
      </c>
      <c r="E2398" t="s">
        <v>2321</v>
      </c>
      <c r="F2398" t="s">
        <v>2322</v>
      </c>
      <c r="G2398" t="s">
        <v>1755</v>
      </c>
    </row>
    <row r="2399" spans="1:7" ht="15" customHeight="1" x14ac:dyDescent="0.25">
      <c r="A2399" s="2">
        <v>46003.65625</v>
      </c>
      <c r="B2399">
        <v>2025003325</v>
      </c>
      <c r="C2399" t="s">
        <v>1856</v>
      </c>
      <c r="D2399" s="11">
        <v>3150000</v>
      </c>
      <c r="E2399" t="s">
        <v>1660</v>
      </c>
      <c r="F2399" t="s">
        <v>1163</v>
      </c>
      <c r="G2399" t="s">
        <v>1755</v>
      </c>
    </row>
    <row r="2400" spans="1:7" ht="15" customHeight="1" x14ac:dyDescent="0.25">
      <c r="A2400" s="2">
        <v>46003.659027777801</v>
      </c>
      <c r="B2400">
        <v>2025003326</v>
      </c>
      <c r="C2400" t="s">
        <v>2323</v>
      </c>
      <c r="D2400" s="11">
        <v>2000000</v>
      </c>
      <c r="E2400" t="s">
        <v>2324</v>
      </c>
      <c r="F2400" t="s">
        <v>2325</v>
      </c>
      <c r="G2400" t="s">
        <v>1755</v>
      </c>
    </row>
    <row r="2401" spans="1:7" ht="15" customHeight="1" x14ac:dyDescent="0.25">
      <c r="A2401" s="2">
        <v>46006</v>
      </c>
      <c r="B2401">
        <v>2025003339</v>
      </c>
      <c r="C2401" t="s">
        <v>2197</v>
      </c>
      <c r="D2401" s="11">
        <v>4730000</v>
      </c>
      <c r="E2401" t="s">
        <v>2198</v>
      </c>
      <c r="F2401" t="s">
        <v>2199</v>
      </c>
      <c r="G2401" t="s">
        <v>1755</v>
      </c>
    </row>
    <row r="2402" spans="1:7" ht="15" customHeight="1" x14ac:dyDescent="0.25">
      <c r="A2402" s="2">
        <v>46006</v>
      </c>
      <c r="B2402">
        <v>2025003340</v>
      </c>
      <c r="C2402" t="s">
        <v>1801</v>
      </c>
      <c r="D2402" s="11">
        <v>3150000</v>
      </c>
      <c r="E2402" t="s">
        <v>2083</v>
      </c>
      <c r="F2402" t="s">
        <v>1802</v>
      </c>
      <c r="G2402" t="s">
        <v>1755</v>
      </c>
    </row>
    <row r="2403" spans="1:7" ht="15" customHeight="1" x14ac:dyDescent="0.25">
      <c r="A2403" s="2">
        <v>46006</v>
      </c>
      <c r="B2403">
        <v>2025003341</v>
      </c>
      <c r="C2403" t="s">
        <v>2205</v>
      </c>
      <c r="D2403" s="11">
        <v>3150000</v>
      </c>
      <c r="E2403" t="s">
        <v>2206</v>
      </c>
      <c r="F2403" t="s">
        <v>2207</v>
      </c>
      <c r="G2403" t="s">
        <v>1755</v>
      </c>
    </row>
    <row r="2404" spans="1:7" ht="15" customHeight="1" x14ac:dyDescent="0.25">
      <c r="A2404" s="2">
        <v>46006</v>
      </c>
      <c r="B2404">
        <v>2025003342</v>
      </c>
      <c r="C2404" t="s">
        <v>2244</v>
      </c>
      <c r="D2404" s="11">
        <v>2000000</v>
      </c>
      <c r="E2404" t="s">
        <v>2245</v>
      </c>
      <c r="F2404" t="s">
        <v>2246</v>
      </c>
      <c r="G2404" t="s">
        <v>1755</v>
      </c>
    </row>
    <row r="2405" spans="1:7" ht="15" customHeight="1" x14ac:dyDescent="0.25">
      <c r="A2405" s="2">
        <v>46006</v>
      </c>
      <c r="B2405">
        <v>2025003343</v>
      </c>
      <c r="C2405" t="s">
        <v>2326</v>
      </c>
      <c r="D2405" s="11">
        <v>3150000</v>
      </c>
      <c r="E2405" t="s">
        <v>2327</v>
      </c>
      <c r="F2405" t="s">
        <v>35</v>
      </c>
      <c r="G2405" t="s">
        <v>1755</v>
      </c>
    </row>
    <row r="2406" spans="1:7" ht="15" customHeight="1" x14ac:dyDescent="0.25">
      <c r="A2406" s="2">
        <v>46006</v>
      </c>
      <c r="B2406">
        <v>2025003344</v>
      </c>
      <c r="C2406" t="s">
        <v>1794</v>
      </c>
      <c r="D2406" s="11">
        <v>3150000</v>
      </c>
      <c r="E2406" t="s">
        <v>1724</v>
      </c>
      <c r="F2406" t="s">
        <v>1235</v>
      </c>
      <c r="G2406" t="s">
        <v>1755</v>
      </c>
    </row>
    <row r="2407" spans="1:7" ht="15" customHeight="1" x14ac:dyDescent="0.25">
      <c r="A2407" s="2">
        <v>46006</v>
      </c>
      <c r="B2407">
        <v>2025003345</v>
      </c>
      <c r="C2407" t="s">
        <v>2238</v>
      </c>
      <c r="D2407" s="11">
        <v>6300000</v>
      </c>
      <c r="E2407" t="s">
        <v>2239</v>
      </c>
      <c r="F2407" t="s">
        <v>2240</v>
      </c>
      <c r="G2407" t="s">
        <v>1755</v>
      </c>
    </row>
    <row r="2408" spans="1:7" ht="15" customHeight="1" x14ac:dyDescent="0.25">
      <c r="A2408" s="2">
        <v>46006</v>
      </c>
      <c r="B2408">
        <v>2025003346</v>
      </c>
      <c r="C2408" t="s">
        <v>2328</v>
      </c>
      <c r="D2408" s="11">
        <v>6300000</v>
      </c>
      <c r="E2408" t="s">
        <v>2329</v>
      </c>
      <c r="F2408" t="s">
        <v>845</v>
      </c>
      <c r="G2408" t="s">
        <v>1755</v>
      </c>
    </row>
    <row r="2409" spans="1:7" ht="15" customHeight="1" x14ac:dyDescent="0.25">
      <c r="A2409" s="2">
        <v>46006</v>
      </c>
      <c r="B2409">
        <v>2025003347</v>
      </c>
      <c r="C2409" t="s">
        <v>2330</v>
      </c>
      <c r="D2409" s="11">
        <v>3150000</v>
      </c>
      <c r="E2409" t="s">
        <v>2331</v>
      </c>
      <c r="F2409" t="s">
        <v>2332</v>
      </c>
      <c r="G2409" t="s">
        <v>1755</v>
      </c>
    </row>
    <row r="2410" spans="1:7" ht="15" customHeight="1" x14ac:dyDescent="0.25">
      <c r="A2410" s="2">
        <v>46006</v>
      </c>
      <c r="B2410">
        <v>2025003348</v>
      </c>
      <c r="C2410" t="s">
        <v>2333</v>
      </c>
      <c r="D2410" s="11">
        <v>7800000</v>
      </c>
      <c r="E2410" t="s">
        <v>2334</v>
      </c>
      <c r="F2410" t="s">
        <v>2335</v>
      </c>
      <c r="G2410" t="s">
        <v>1755</v>
      </c>
    </row>
    <row r="2411" spans="1:7" ht="15" customHeight="1" x14ac:dyDescent="0.25">
      <c r="A2411" s="2">
        <v>46006</v>
      </c>
      <c r="B2411">
        <v>2025003349</v>
      </c>
      <c r="C2411" t="s">
        <v>1901</v>
      </c>
      <c r="D2411" s="11">
        <v>4730000</v>
      </c>
      <c r="E2411" t="s">
        <v>2005</v>
      </c>
      <c r="F2411" t="s">
        <v>1902</v>
      </c>
      <c r="G2411" t="s">
        <v>1755</v>
      </c>
    </row>
    <row r="2412" spans="1:7" ht="15" customHeight="1" x14ac:dyDescent="0.25">
      <c r="A2412" s="2">
        <v>46006</v>
      </c>
      <c r="B2412">
        <v>2025003350</v>
      </c>
      <c r="C2412" t="s">
        <v>2208</v>
      </c>
      <c r="D2412" s="11">
        <v>7800000</v>
      </c>
      <c r="E2412" t="s">
        <v>2209</v>
      </c>
      <c r="F2412" t="s">
        <v>43</v>
      </c>
      <c r="G2412" t="s">
        <v>1755</v>
      </c>
    </row>
    <row r="2413" spans="1:7" ht="15" customHeight="1" x14ac:dyDescent="0.25">
      <c r="A2413" s="2">
        <v>46006</v>
      </c>
      <c r="B2413">
        <v>2025003352</v>
      </c>
      <c r="C2413" t="s">
        <v>2195</v>
      </c>
      <c r="D2413" s="11">
        <v>3150000</v>
      </c>
      <c r="E2413" t="s">
        <v>2196</v>
      </c>
      <c r="F2413" t="s">
        <v>349</v>
      </c>
      <c r="G2413" t="s">
        <v>1755</v>
      </c>
    </row>
    <row r="2414" spans="1:7" ht="15" customHeight="1" x14ac:dyDescent="0.25">
      <c r="A2414" s="2">
        <v>46006</v>
      </c>
      <c r="B2414">
        <v>2025003353</v>
      </c>
      <c r="C2414" t="s">
        <v>2140</v>
      </c>
      <c r="D2414" s="11">
        <v>2000000</v>
      </c>
      <c r="E2414" t="s">
        <v>2141</v>
      </c>
      <c r="F2414" t="s">
        <v>2142</v>
      </c>
      <c r="G2414" t="s">
        <v>1755</v>
      </c>
    </row>
    <row r="2415" spans="1:7" ht="15" customHeight="1" x14ac:dyDescent="0.25">
      <c r="A2415" s="2">
        <v>46006</v>
      </c>
      <c r="B2415">
        <v>2025003355</v>
      </c>
      <c r="C2415" t="s">
        <v>2241</v>
      </c>
      <c r="D2415" s="11">
        <v>3150000</v>
      </c>
      <c r="E2415" t="s">
        <v>2242</v>
      </c>
      <c r="F2415" t="s">
        <v>2243</v>
      </c>
      <c r="G2415" t="s">
        <v>1755</v>
      </c>
    </row>
    <row r="2416" spans="1:7" ht="15" customHeight="1" x14ac:dyDescent="0.25">
      <c r="A2416" s="2">
        <v>46006</v>
      </c>
      <c r="B2416">
        <v>2025003356</v>
      </c>
      <c r="C2416" t="s">
        <v>2158</v>
      </c>
      <c r="D2416" s="11">
        <v>3150000</v>
      </c>
      <c r="E2416" t="s">
        <v>2159</v>
      </c>
      <c r="F2416" t="s">
        <v>2160</v>
      </c>
      <c r="G2416" t="s">
        <v>1755</v>
      </c>
    </row>
    <row r="2417" spans="1:10" ht="15" customHeight="1" x14ac:dyDescent="0.25">
      <c r="A2417" s="2">
        <v>46006</v>
      </c>
      <c r="B2417">
        <v>2025003357</v>
      </c>
      <c r="C2417" t="s">
        <v>2084</v>
      </c>
      <c r="D2417" s="11">
        <v>2000000</v>
      </c>
      <c r="E2417" t="s">
        <v>2085</v>
      </c>
      <c r="F2417" t="s">
        <v>2086</v>
      </c>
      <c r="G2417" t="s">
        <v>1755</v>
      </c>
    </row>
    <row r="2418" spans="1:10" ht="15" customHeight="1" x14ac:dyDescent="0.25">
      <c r="A2418" s="2">
        <v>46006</v>
      </c>
      <c r="B2418">
        <v>2025003358</v>
      </c>
      <c r="C2418" t="s">
        <v>2149</v>
      </c>
      <c r="D2418" s="11">
        <v>6300000</v>
      </c>
      <c r="E2418" t="s">
        <v>2150</v>
      </c>
      <c r="F2418" t="s">
        <v>2151</v>
      </c>
      <c r="G2418" t="s">
        <v>1755</v>
      </c>
    </row>
    <row r="2419" spans="1:10" ht="15" customHeight="1" x14ac:dyDescent="0.25">
      <c r="A2419" s="2">
        <v>46006</v>
      </c>
      <c r="B2419">
        <v>2025003359</v>
      </c>
      <c r="C2419" t="s">
        <v>1858</v>
      </c>
      <c r="D2419" s="11">
        <v>4730000</v>
      </c>
      <c r="E2419" t="s">
        <v>2077</v>
      </c>
      <c r="F2419" t="s">
        <v>1859</v>
      </c>
      <c r="G2419" t="s">
        <v>1755</v>
      </c>
    </row>
    <row r="2420" spans="1:10" ht="15" customHeight="1" x14ac:dyDescent="0.25">
      <c r="A2420" s="2">
        <v>46006</v>
      </c>
      <c r="B2420">
        <v>2025003361</v>
      </c>
      <c r="C2420" t="s">
        <v>1793</v>
      </c>
      <c r="D2420" s="11">
        <v>3150000</v>
      </c>
      <c r="E2420" t="s">
        <v>2079</v>
      </c>
      <c r="F2420" t="s">
        <v>963</v>
      </c>
      <c r="G2420" t="s">
        <v>1755</v>
      </c>
    </row>
    <row r="2421" spans="1:10" ht="15" customHeight="1" x14ac:dyDescent="0.25">
      <c r="A2421" s="2">
        <v>46007</v>
      </c>
      <c r="B2421">
        <v>2025003724</v>
      </c>
      <c r="C2421" t="s">
        <v>1268</v>
      </c>
      <c r="D2421" s="11">
        <v>3000000</v>
      </c>
      <c r="E2421" s="12"/>
      <c r="F2421" s="12"/>
      <c r="G2421" t="s">
        <v>1094</v>
      </c>
      <c r="H2421">
        <v>2025004086</v>
      </c>
    </row>
    <row r="2422" spans="1:10" ht="15" customHeight="1" x14ac:dyDescent="0.25">
      <c r="A2422" s="2">
        <v>46007</v>
      </c>
      <c r="B2422">
        <v>2025003825</v>
      </c>
      <c r="C2422" t="s">
        <v>1262</v>
      </c>
      <c r="D2422" s="11">
        <v>3000000</v>
      </c>
      <c r="E2422" s="12">
        <v>1086222977</v>
      </c>
      <c r="F2422" s="12" t="s">
        <v>987</v>
      </c>
      <c r="G2422" t="s">
        <v>1094</v>
      </c>
      <c r="H2422">
        <v>2025004175</v>
      </c>
      <c r="I2422" s="25">
        <v>46015</v>
      </c>
    </row>
    <row r="2423" spans="1:10" ht="15" customHeight="1" x14ac:dyDescent="0.25">
      <c r="A2423" s="2">
        <v>46007</v>
      </c>
      <c r="B2423">
        <v>2025003838</v>
      </c>
      <c r="C2423" t="s">
        <v>1270</v>
      </c>
      <c r="D2423" s="11">
        <v>0</v>
      </c>
      <c r="E2423">
        <v>36751052</v>
      </c>
      <c r="F2423" t="s">
        <v>1271</v>
      </c>
      <c r="G2423" t="s">
        <v>1094</v>
      </c>
      <c r="H2423" t="s">
        <v>2585</v>
      </c>
    </row>
    <row r="2424" spans="1:10" ht="15" customHeight="1" x14ac:dyDescent="0.25">
      <c r="A2424" s="2">
        <v>46007</v>
      </c>
      <c r="B2424">
        <v>2025003850</v>
      </c>
      <c r="C2424" t="s">
        <v>1272</v>
      </c>
      <c r="D2424" s="11">
        <v>3000000</v>
      </c>
      <c r="E2424" s="12"/>
      <c r="F2424" s="12"/>
      <c r="G2424" t="s">
        <v>1094</v>
      </c>
      <c r="H2424">
        <v>2025003783</v>
      </c>
      <c r="I2424" s="2">
        <v>46011</v>
      </c>
    </row>
    <row r="2425" spans="1:10" ht="15" customHeight="1" x14ac:dyDescent="0.25">
      <c r="A2425" s="25">
        <v>46007</v>
      </c>
      <c r="B2425">
        <v>2025003855</v>
      </c>
      <c r="C2425" t="s">
        <v>1278</v>
      </c>
      <c r="D2425" s="11">
        <v>9500000</v>
      </c>
      <c r="E2425" s="12"/>
      <c r="F2425" s="12"/>
      <c r="G2425" t="s">
        <v>1094</v>
      </c>
      <c r="I2425" s="25">
        <v>46011</v>
      </c>
      <c r="J2425" s="26">
        <v>4750000</v>
      </c>
    </row>
    <row r="2426" spans="1:10" ht="15" customHeight="1" x14ac:dyDescent="0.25">
      <c r="A2426" s="2">
        <v>46007</v>
      </c>
      <c r="B2426">
        <v>2025003860</v>
      </c>
      <c r="C2426" t="s">
        <v>1274</v>
      </c>
      <c r="D2426" s="11">
        <v>12000000</v>
      </c>
      <c r="E2426" s="12"/>
      <c r="F2426" s="12"/>
      <c r="G2426" t="s">
        <v>1094</v>
      </c>
      <c r="H2426">
        <v>2025003560</v>
      </c>
      <c r="I2426" s="25">
        <v>46009</v>
      </c>
    </row>
    <row r="2427" spans="1:10" ht="15" customHeight="1" x14ac:dyDescent="0.25">
      <c r="A2427" s="2">
        <v>46007</v>
      </c>
      <c r="B2427">
        <v>2025003861</v>
      </c>
      <c r="C2427" t="s">
        <v>1277</v>
      </c>
      <c r="D2427" s="11">
        <v>9500000</v>
      </c>
      <c r="E2427" s="12"/>
      <c r="F2427" s="12"/>
      <c r="G2427" t="s">
        <v>1094</v>
      </c>
      <c r="H2427">
        <v>2025003779</v>
      </c>
      <c r="J2427" s="26">
        <v>4750000</v>
      </c>
    </row>
    <row r="2428" spans="1:10" ht="15" customHeight="1" x14ac:dyDescent="0.25">
      <c r="A2428" s="2">
        <v>46007</v>
      </c>
      <c r="B2428">
        <v>2025003869</v>
      </c>
      <c r="C2428" t="s">
        <v>1275</v>
      </c>
      <c r="D2428" s="11">
        <v>2500000</v>
      </c>
      <c r="E2428" s="12"/>
      <c r="F2428" s="12"/>
      <c r="G2428" t="s">
        <v>1094</v>
      </c>
      <c r="H2428">
        <v>2025003382</v>
      </c>
    </row>
    <row r="2429" spans="1:10" ht="15" customHeight="1" x14ac:dyDescent="0.25">
      <c r="A2429" s="2">
        <v>46007</v>
      </c>
      <c r="B2429">
        <v>2025003871</v>
      </c>
      <c r="C2429" s="4" t="s">
        <v>1273</v>
      </c>
      <c r="D2429" s="11">
        <v>6000000</v>
      </c>
      <c r="E2429" s="12"/>
      <c r="F2429" s="12"/>
      <c r="G2429" t="s">
        <v>1094</v>
      </c>
      <c r="H2429">
        <v>2025003795</v>
      </c>
      <c r="J2429" s="26">
        <v>3000000</v>
      </c>
    </row>
    <row r="2430" spans="1:10" ht="15" customHeight="1" x14ac:dyDescent="0.25">
      <c r="A2430" s="2">
        <v>46007</v>
      </c>
      <c r="B2430">
        <v>2025003387</v>
      </c>
      <c r="C2430" t="s">
        <v>1906</v>
      </c>
      <c r="D2430" s="11">
        <v>3150000</v>
      </c>
      <c r="E2430" t="s">
        <v>2134</v>
      </c>
      <c r="F2430" t="s">
        <v>107</v>
      </c>
      <c r="G2430" t="s">
        <v>1755</v>
      </c>
    </row>
    <row r="2431" spans="1:10" ht="15" customHeight="1" x14ac:dyDescent="0.25">
      <c r="A2431" s="2">
        <v>46007</v>
      </c>
      <c r="B2431">
        <v>2025003388</v>
      </c>
      <c r="C2431" t="s">
        <v>1912</v>
      </c>
      <c r="D2431" s="11">
        <v>3150000</v>
      </c>
      <c r="E2431" t="s">
        <v>1691</v>
      </c>
      <c r="F2431" t="s">
        <v>1202</v>
      </c>
      <c r="G2431" t="s">
        <v>1755</v>
      </c>
    </row>
    <row r="2432" spans="1:10" ht="15" customHeight="1" x14ac:dyDescent="0.25">
      <c r="A2432" s="2">
        <v>46007</v>
      </c>
      <c r="B2432">
        <v>2025003389</v>
      </c>
      <c r="C2432" t="s">
        <v>1981</v>
      </c>
      <c r="D2432" s="11">
        <v>6300000</v>
      </c>
      <c r="E2432" t="s">
        <v>1629</v>
      </c>
      <c r="F2432" t="s">
        <v>1131</v>
      </c>
      <c r="G2432" t="s">
        <v>1755</v>
      </c>
    </row>
    <row r="2433" spans="1:7" ht="15" customHeight="1" x14ac:dyDescent="0.25">
      <c r="A2433" s="2">
        <v>46007</v>
      </c>
      <c r="B2433">
        <v>2025003390</v>
      </c>
      <c r="C2433" t="s">
        <v>1969</v>
      </c>
      <c r="D2433" s="11">
        <v>7800000</v>
      </c>
      <c r="E2433" t="s">
        <v>2222</v>
      </c>
      <c r="F2433" t="s">
        <v>1970</v>
      </c>
      <c r="G2433" t="s">
        <v>1755</v>
      </c>
    </row>
    <row r="2434" spans="1:7" ht="15" customHeight="1" x14ac:dyDescent="0.25">
      <c r="A2434" s="2">
        <v>46007</v>
      </c>
      <c r="B2434">
        <v>2025003391</v>
      </c>
      <c r="C2434" t="s">
        <v>1905</v>
      </c>
      <c r="D2434" s="11">
        <v>7800000</v>
      </c>
      <c r="E2434" t="s">
        <v>1619</v>
      </c>
      <c r="F2434" t="s">
        <v>745</v>
      </c>
      <c r="G2434" t="s">
        <v>1755</v>
      </c>
    </row>
    <row r="2435" spans="1:7" ht="15" customHeight="1" x14ac:dyDescent="0.25">
      <c r="A2435" s="2">
        <v>46007</v>
      </c>
      <c r="B2435">
        <v>2025003392</v>
      </c>
      <c r="C2435" t="s">
        <v>2178</v>
      </c>
      <c r="D2435" s="11">
        <v>4730000</v>
      </c>
      <c r="E2435" t="s">
        <v>2179</v>
      </c>
      <c r="F2435" t="s">
        <v>513</v>
      </c>
      <c r="G2435" t="s">
        <v>1755</v>
      </c>
    </row>
    <row r="2436" spans="1:7" ht="15" customHeight="1" x14ac:dyDescent="0.25">
      <c r="A2436" s="2">
        <v>46007</v>
      </c>
      <c r="B2436">
        <v>2025003393</v>
      </c>
      <c r="C2436" t="s">
        <v>2126</v>
      </c>
      <c r="D2436" s="11">
        <v>2000000</v>
      </c>
      <c r="E2436" t="s">
        <v>2127</v>
      </c>
      <c r="F2436" t="s">
        <v>2128</v>
      </c>
      <c r="G2436" t="s">
        <v>1755</v>
      </c>
    </row>
    <row r="2437" spans="1:7" ht="15" customHeight="1" x14ac:dyDescent="0.25">
      <c r="A2437" s="2">
        <v>46007</v>
      </c>
      <c r="B2437">
        <v>2025003394</v>
      </c>
      <c r="C2437" t="s">
        <v>2135</v>
      </c>
      <c r="D2437" s="11">
        <v>2000000</v>
      </c>
      <c r="E2437" t="s">
        <v>2136</v>
      </c>
      <c r="F2437" t="s">
        <v>2137</v>
      </c>
      <c r="G2437" t="s">
        <v>1755</v>
      </c>
    </row>
    <row r="2438" spans="1:7" ht="15" customHeight="1" x14ac:dyDescent="0.25">
      <c r="A2438" s="2">
        <v>46007</v>
      </c>
      <c r="B2438">
        <v>2025003395</v>
      </c>
      <c r="C2438" t="s">
        <v>1911</v>
      </c>
      <c r="D2438" s="11">
        <v>3150000</v>
      </c>
      <c r="E2438" t="s">
        <v>1648</v>
      </c>
      <c r="F2438" t="s">
        <v>251</v>
      </c>
      <c r="G2438" t="s">
        <v>1755</v>
      </c>
    </row>
    <row r="2439" spans="1:7" ht="15" customHeight="1" x14ac:dyDescent="0.25">
      <c r="A2439" s="2">
        <v>46007</v>
      </c>
      <c r="B2439">
        <v>2025003396</v>
      </c>
      <c r="C2439" t="s">
        <v>2001</v>
      </c>
      <c r="D2439" s="11">
        <v>4730000</v>
      </c>
      <c r="E2439" t="s">
        <v>2002</v>
      </c>
      <c r="F2439" t="s">
        <v>47</v>
      </c>
      <c r="G2439" t="s">
        <v>1755</v>
      </c>
    </row>
    <row r="2440" spans="1:7" ht="15" customHeight="1" x14ac:dyDescent="0.25">
      <c r="A2440" s="2">
        <v>46007</v>
      </c>
      <c r="B2440">
        <v>2025003397</v>
      </c>
      <c r="C2440" t="s">
        <v>2181</v>
      </c>
      <c r="D2440" s="11">
        <v>4730000</v>
      </c>
      <c r="E2440" t="s">
        <v>2182</v>
      </c>
      <c r="F2440" t="s">
        <v>2183</v>
      </c>
      <c r="G2440" t="s">
        <v>1755</v>
      </c>
    </row>
    <row r="2441" spans="1:7" ht="15" customHeight="1" x14ac:dyDescent="0.25">
      <c r="A2441" s="2">
        <v>46007</v>
      </c>
      <c r="B2441">
        <v>2025003398</v>
      </c>
      <c r="C2441" t="s">
        <v>2123</v>
      </c>
      <c r="D2441" s="11">
        <v>7800000</v>
      </c>
      <c r="E2441" t="s">
        <v>2124</v>
      </c>
      <c r="F2441" t="s">
        <v>2125</v>
      </c>
      <c r="G2441" t="s">
        <v>1755</v>
      </c>
    </row>
    <row r="2442" spans="1:7" ht="15" customHeight="1" x14ac:dyDescent="0.25">
      <c r="A2442" s="2">
        <v>46007</v>
      </c>
      <c r="B2442">
        <v>2025003399</v>
      </c>
      <c r="C2442" t="s">
        <v>2170</v>
      </c>
      <c r="D2442" s="11">
        <v>3150000</v>
      </c>
      <c r="E2442" t="s">
        <v>2171</v>
      </c>
      <c r="F2442" t="s">
        <v>2172</v>
      </c>
      <c r="G2442" t="s">
        <v>1755</v>
      </c>
    </row>
    <row r="2443" spans="1:7" ht="15" customHeight="1" x14ac:dyDescent="0.25">
      <c r="A2443" s="2">
        <v>46007</v>
      </c>
      <c r="B2443">
        <v>2025003400</v>
      </c>
      <c r="C2443" t="s">
        <v>2336</v>
      </c>
      <c r="D2443" s="11">
        <v>7800000</v>
      </c>
      <c r="E2443" t="s">
        <v>2337</v>
      </c>
      <c r="F2443" t="s">
        <v>2338</v>
      </c>
      <c r="G2443" t="s">
        <v>1755</v>
      </c>
    </row>
    <row r="2444" spans="1:7" ht="15" customHeight="1" x14ac:dyDescent="0.25">
      <c r="A2444" s="2">
        <v>46007</v>
      </c>
      <c r="B2444">
        <v>2025003401</v>
      </c>
      <c r="C2444" t="s">
        <v>2129</v>
      </c>
      <c r="D2444" s="11">
        <v>3150000</v>
      </c>
      <c r="E2444" t="s">
        <v>2130</v>
      </c>
      <c r="F2444" t="s">
        <v>1056</v>
      </c>
      <c r="G2444" t="s">
        <v>1755</v>
      </c>
    </row>
    <row r="2445" spans="1:7" ht="15" customHeight="1" x14ac:dyDescent="0.25">
      <c r="A2445" s="2">
        <v>46007</v>
      </c>
      <c r="B2445">
        <v>2025003402</v>
      </c>
      <c r="C2445" t="s">
        <v>2339</v>
      </c>
      <c r="D2445" s="11">
        <v>3150000</v>
      </c>
      <c r="E2445" t="s">
        <v>1726</v>
      </c>
      <c r="F2445" t="s">
        <v>1242</v>
      </c>
      <c r="G2445" t="s">
        <v>1755</v>
      </c>
    </row>
    <row r="2446" spans="1:7" ht="15" customHeight="1" x14ac:dyDescent="0.25">
      <c r="A2446" s="2">
        <v>46007</v>
      </c>
      <c r="B2446">
        <v>2025003403</v>
      </c>
      <c r="C2446" t="s">
        <v>1979</v>
      </c>
      <c r="D2446" s="11">
        <v>4730000</v>
      </c>
      <c r="E2446" t="s">
        <v>1644</v>
      </c>
      <c r="F2446" t="s">
        <v>571</v>
      </c>
      <c r="G2446" t="s">
        <v>1755</v>
      </c>
    </row>
    <row r="2447" spans="1:7" ht="15" customHeight="1" x14ac:dyDescent="0.25">
      <c r="A2447" s="2">
        <v>46007</v>
      </c>
      <c r="B2447">
        <v>2025003404</v>
      </c>
      <c r="C2447" t="s">
        <v>1789</v>
      </c>
      <c r="D2447" s="11">
        <v>6300000</v>
      </c>
      <c r="E2447" t="s">
        <v>1683</v>
      </c>
      <c r="F2447" t="s">
        <v>1192</v>
      </c>
      <c r="G2447" t="s">
        <v>1755</v>
      </c>
    </row>
    <row r="2448" spans="1:7" ht="15" customHeight="1" x14ac:dyDescent="0.25">
      <c r="A2448" s="2">
        <v>46007</v>
      </c>
      <c r="B2448">
        <v>2025003405</v>
      </c>
      <c r="C2448" t="s">
        <v>1790</v>
      </c>
      <c r="D2448" s="11">
        <v>6300000</v>
      </c>
      <c r="E2448" t="s">
        <v>2210</v>
      </c>
      <c r="F2448" t="s">
        <v>337</v>
      </c>
      <c r="G2448" t="s">
        <v>1755</v>
      </c>
    </row>
    <row r="2449" spans="1:7" ht="15" customHeight="1" x14ac:dyDescent="0.25">
      <c r="A2449" s="2">
        <v>46007</v>
      </c>
      <c r="B2449">
        <v>2025003406</v>
      </c>
      <c r="C2449" t="s">
        <v>2340</v>
      </c>
      <c r="D2449" s="11">
        <v>3150000</v>
      </c>
      <c r="E2449" t="s">
        <v>1736</v>
      </c>
      <c r="F2449" t="s">
        <v>467</v>
      </c>
      <c r="G2449" t="s">
        <v>1755</v>
      </c>
    </row>
    <row r="2450" spans="1:7" ht="15" customHeight="1" x14ac:dyDescent="0.25">
      <c r="A2450" s="2">
        <v>46007</v>
      </c>
      <c r="B2450">
        <v>2025003407</v>
      </c>
      <c r="C2450" t="s">
        <v>2235</v>
      </c>
      <c r="D2450" s="11">
        <v>2000000</v>
      </c>
      <c r="E2450" t="s">
        <v>2236</v>
      </c>
      <c r="F2450" t="s">
        <v>2237</v>
      </c>
      <c r="G2450" t="s">
        <v>1755</v>
      </c>
    </row>
    <row r="2451" spans="1:7" ht="15" customHeight="1" x14ac:dyDescent="0.25">
      <c r="A2451" s="2">
        <v>46007</v>
      </c>
      <c r="B2451">
        <v>2025003408</v>
      </c>
      <c r="C2451" s="4" t="s">
        <v>1787</v>
      </c>
      <c r="D2451" s="11">
        <v>3150000</v>
      </c>
      <c r="E2451" t="s">
        <v>1730</v>
      </c>
      <c r="F2451" t="s">
        <v>37</v>
      </c>
      <c r="G2451" t="s">
        <v>1755</v>
      </c>
    </row>
    <row r="2452" spans="1:7" ht="15" customHeight="1" x14ac:dyDescent="0.25">
      <c r="A2452" s="2">
        <v>46007</v>
      </c>
      <c r="B2452">
        <v>2025003409</v>
      </c>
      <c r="C2452" t="s">
        <v>2122</v>
      </c>
      <c r="D2452" s="11">
        <v>2000000</v>
      </c>
      <c r="E2452" t="s">
        <v>1642</v>
      </c>
      <c r="F2452" t="s">
        <v>51</v>
      </c>
      <c r="G2452" t="s">
        <v>1755</v>
      </c>
    </row>
    <row r="2453" spans="1:7" ht="15" customHeight="1" x14ac:dyDescent="0.25">
      <c r="A2453" s="2">
        <v>46007</v>
      </c>
      <c r="B2453">
        <v>2025003410</v>
      </c>
      <c r="C2453" t="s">
        <v>1971</v>
      </c>
      <c r="D2453" s="11">
        <v>3150000</v>
      </c>
      <c r="E2453" t="s">
        <v>2167</v>
      </c>
      <c r="F2453" t="s">
        <v>701</v>
      </c>
      <c r="G2453" t="s">
        <v>1755</v>
      </c>
    </row>
    <row r="2454" spans="1:7" ht="15" customHeight="1" x14ac:dyDescent="0.25">
      <c r="A2454" s="2">
        <v>46007</v>
      </c>
      <c r="B2454">
        <v>2025003411</v>
      </c>
      <c r="C2454" t="s">
        <v>2173</v>
      </c>
      <c r="D2454" s="11">
        <v>4730000</v>
      </c>
      <c r="E2454" t="s">
        <v>2174</v>
      </c>
      <c r="F2454" t="s">
        <v>2175</v>
      </c>
      <c r="G2454" t="s">
        <v>1755</v>
      </c>
    </row>
    <row r="2455" spans="1:7" ht="15" customHeight="1" x14ac:dyDescent="0.25">
      <c r="A2455" s="2">
        <v>46007</v>
      </c>
      <c r="B2455">
        <v>2025003412</v>
      </c>
      <c r="C2455" t="s">
        <v>2203</v>
      </c>
      <c r="D2455" s="11">
        <v>3150000</v>
      </c>
      <c r="E2455" t="s">
        <v>2204</v>
      </c>
      <c r="F2455" t="s">
        <v>215</v>
      </c>
      <c r="G2455" t="s">
        <v>1755</v>
      </c>
    </row>
    <row r="2456" spans="1:7" ht="15" customHeight="1" x14ac:dyDescent="0.25">
      <c r="A2456" s="2">
        <v>46007</v>
      </c>
      <c r="B2456">
        <v>2025003413</v>
      </c>
      <c r="C2456" t="s">
        <v>2341</v>
      </c>
      <c r="D2456" s="11">
        <v>3150000</v>
      </c>
      <c r="E2456" t="s">
        <v>2342</v>
      </c>
      <c r="F2456" t="s">
        <v>499</v>
      </c>
      <c r="G2456" t="s">
        <v>1755</v>
      </c>
    </row>
    <row r="2457" spans="1:7" ht="15" customHeight="1" x14ac:dyDescent="0.25">
      <c r="A2457" s="2">
        <v>46007</v>
      </c>
      <c r="B2457">
        <v>2025003414</v>
      </c>
      <c r="C2457" t="s">
        <v>1976</v>
      </c>
      <c r="D2457" s="11">
        <v>3150000</v>
      </c>
      <c r="E2457" t="s">
        <v>1604</v>
      </c>
      <c r="F2457" t="s">
        <v>1110</v>
      </c>
      <c r="G2457" t="s">
        <v>1755</v>
      </c>
    </row>
    <row r="2458" spans="1:7" ht="15" customHeight="1" x14ac:dyDescent="0.25">
      <c r="A2458" s="2">
        <v>46007</v>
      </c>
      <c r="B2458">
        <v>2025003415</v>
      </c>
      <c r="C2458" t="s">
        <v>2343</v>
      </c>
      <c r="D2458" s="11">
        <v>1575000</v>
      </c>
      <c r="E2458" t="s">
        <v>2344</v>
      </c>
      <c r="F2458" t="s">
        <v>197</v>
      </c>
      <c r="G2458" t="s">
        <v>1755</v>
      </c>
    </row>
    <row r="2459" spans="1:7" ht="15" customHeight="1" x14ac:dyDescent="0.25">
      <c r="A2459" s="2">
        <v>46007</v>
      </c>
      <c r="B2459">
        <v>2025003416</v>
      </c>
      <c r="C2459" t="s">
        <v>1908</v>
      </c>
      <c r="D2459" s="11">
        <v>7800000</v>
      </c>
      <c r="E2459" t="s">
        <v>1675</v>
      </c>
      <c r="F2459" t="s">
        <v>163</v>
      </c>
      <c r="G2459" t="s">
        <v>1755</v>
      </c>
    </row>
    <row r="2460" spans="1:7" ht="15" customHeight="1" x14ac:dyDescent="0.25">
      <c r="A2460" s="2">
        <v>46007</v>
      </c>
      <c r="B2460">
        <v>2025003417</v>
      </c>
      <c r="C2460" t="s">
        <v>2345</v>
      </c>
      <c r="D2460" s="11">
        <v>3150000</v>
      </c>
      <c r="E2460" t="s">
        <v>2346</v>
      </c>
      <c r="F2460" t="s">
        <v>2347</v>
      </c>
      <c r="G2460" t="s">
        <v>1755</v>
      </c>
    </row>
    <row r="2461" spans="1:7" ht="15" customHeight="1" x14ac:dyDescent="0.25">
      <c r="A2461" s="2">
        <v>46007</v>
      </c>
      <c r="B2461">
        <v>2025003418</v>
      </c>
      <c r="C2461" t="s">
        <v>2223</v>
      </c>
      <c r="D2461" s="11">
        <v>2000000</v>
      </c>
      <c r="E2461" t="s">
        <v>2224</v>
      </c>
      <c r="F2461" t="s">
        <v>2225</v>
      </c>
      <c r="G2461" t="s">
        <v>1755</v>
      </c>
    </row>
    <row r="2462" spans="1:7" ht="15" customHeight="1" x14ac:dyDescent="0.25">
      <c r="A2462" s="2">
        <v>46007</v>
      </c>
      <c r="B2462">
        <v>2025003419</v>
      </c>
      <c r="C2462" t="s">
        <v>2348</v>
      </c>
      <c r="D2462" s="11">
        <v>3150000</v>
      </c>
      <c r="E2462" t="s">
        <v>2349</v>
      </c>
      <c r="F2462" t="s">
        <v>2350</v>
      </c>
      <c r="G2462" t="s">
        <v>1755</v>
      </c>
    </row>
    <row r="2463" spans="1:7" ht="15" customHeight="1" x14ac:dyDescent="0.25">
      <c r="A2463" s="2">
        <v>46007</v>
      </c>
      <c r="B2463">
        <v>2025003420</v>
      </c>
      <c r="C2463" t="s">
        <v>1783</v>
      </c>
      <c r="D2463" s="11">
        <v>6300000</v>
      </c>
      <c r="E2463" t="s">
        <v>1685</v>
      </c>
      <c r="F2463" t="s">
        <v>2351</v>
      </c>
      <c r="G2463" t="s">
        <v>1755</v>
      </c>
    </row>
    <row r="2464" spans="1:7" ht="15" customHeight="1" x14ac:dyDescent="0.25">
      <c r="A2464" s="2">
        <v>46007</v>
      </c>
      <c r="B2464">
        <v>2025003421</v>
      </c>
      <c r="C2464" t="s">
        <v>1974</v>
      </c>
      <c r="D2464" s="11">
        <v>3150000</v>
      </c>
      <c r="E2464" t="s">
        <v>2133</v>
      </c>
      <c r="F2464" t="s">
        <v>1975</v>
      </c>
      <c r="G2464" t="s">
        <v>1755</v>
      </c>
    </row>
    <row r="2465" spans="1:7" ht="15" customHeight="1" x14ac:dyDescent="0.25">
      <c r="A2465" s="2">
        <v>46007</v>
      </c>
      <c r="B2465">
        <v>2025003422</v>
      </c>
      <c r="C2465" t="s">
        <v>1978</v>
      </c>
      <c r="D2465" s="11">
        <v>2240000</v>
      </c>
      <c r="E2465" t="s">
        <v>1665</v>
      </c>
      <c r="F2465" t="s">
        <v>453</v>
      </c>
      <c r="G2465" t="s">
        <v>1755</v>
      </c>
    </row>
    <row r="2466" spans="1:7" ht="15" customHeight="1" x14ac:dyDescent="0.25">
      <c r="A2466" s="2">
        <v>46007</v>
      </c>
      <c r="B2466">
        <v>2025003423</v>
      </c>
      <c r="C2466" t="s">
        <v>1780</v>
      </c>
      <c r="D2466" s="11">
        <v>3150000</v>
      </c>
      <c r="E2466" t="s">
        <v>1631</v>
      </c>
      <c r="F2466" t="s">
        <v>183</v>
      </c>
      <c r="G2466" t="s">
        <v>1755</v>
      </c>
    </row>
    <row r="2467" spans="1:7" ht="15" customHeight="1" x14ac:dyDescent="0.25">
      <c r="A2467" s="2">
        <v>46007</v>
      </c>
      <c r="B2467">
        <v>2025003425</v>
      </c>
      <c r="C2467" t="s">
        <v>2352</v>
      </c>
      <c r="D2467" s="11">
        <v>3150000</v>
      </c>
      <c r="E2467" t="s">
        <v>1744</v>
      </c>
      <c r="F2467" t="s">
        <v>297</v>
      </c>
      <c r="G2467" t="s">
        <v>1755</v>
      </c>
    </row>
    <row r="2468" spans="1:7" ht="15" customHeight="1" x14ac:dyDescent="0.25">
      <c r="A2468" s="2">
        <v>46007</v>
      </c>
      <c r="B2468">
        <v>2025003437</v>
      </c>
      <c r="C2468" t="s">
        <v>2353</v>
      </c>
      <c r="D2468" s="11">
        <v>3150000</v>
      </c>
      <c r="E2468" t="s">
        <v>1698</v>
      </c>
      <c r="F2468" t="s">
        <v>115</v>
      </c>
      <c r="G2468" t="s">
        <v>1755</v>
      </c>
    </row>
    <row r="2469" spans="1:7" ht="15" customHeight="1" x14ac:dyDescent="0.25">
      <c r="A2469" s="2">
        <v>46007</v>
      </c>
      <c r="B2469">
        <v>2025003442</v>
      </c>
      <c r="C2469" t="s">
        <v>1800</v>
      </c>
      <c r="D2469" s="11">
        <v>3150000</v>
      </c>
      <c r="E2469" t="s">
        <v>1667</v>
      </c>
      <c r="F2469" t="s">
        <v>555</v>
      </c>
      <c r="G2469" t="s">
        <v>1755</v>
      </c>
    </row>
    <row r="2470" spans="1:7" ht="15" customHeight="1" x14ac:dyDescent="0.25">
      <c r="A2470" s="2">
        <v>46007</v>
      </c>
      <c r="B2470">
        <v>2025003830</v>
      </c>
      <c r="C2470" t="s">
        <v>1267</v>
      </c>
      <c r="D2470" s="11">
        <v>3000000</v>
      </c>
      <c r="E2470" s="12"/>
      <c r="F2470" s="12"/>
      <c r="G2470" t="s">
        <v>1094</v>
      </c>
    </row>
    <row r="2471" spans="1:7" ht="15" customHeight="1" x14ac:dyDescent="0.25">
      <c r="A2471" s="2">
        <v>46008</v>
      </c>
      <c r="B2471">
        <v>2025003446</v>
      </c>
      <c r="C2471" t="s">
        <v>1977</v>
      </c>
      <c r="D2471" s="11">
        <v>3150000</v>
      </c>
      <c r="E2471" t="s">
        <v>1612</v>
      </c>
      <c r="F2471" t="s">
        <v>562</v>
      </c>
      <c r="G2471" t="s">
        <v>1755</v>
      </c>
    </row>
    <row r="2472" spans="1:7" ht="15" customHeight="1" x14ac:dyDescent="0.25">
      <c r="A2472" s="2">
        <v>46008</v>
      </c>
      <c r="B2472">
        <v>2025003447</v>
      </c>
      <c r="C2472" t="s">
        <v>2354</v>
      </c>
      <c r="D2472" s="11">
        <v>7800000</v>
      </c>
      <c r="E2472" t="s">
        <v>2355</v>
      </c>
      <c r="F2472" t="s">
        <v>2356</v>
      </c>
      <c r="G2472" t="s">
        <v>1755</v>
      </c>
    </row>
    <row r="2473" spans="1:7" ht="15" customHeight="1" x14ac:dyDescent="0.25">
      <c r="A2473" s="2">
        <v>46008</v>
      </c>
      <c r="B2473">
        <v>2025003449</v>
      </c>
      <c r="C2473" t="s">
        <v>2357</v>
      </c>
      <c r="D2473" s="11">
        <v>3150000</v>
      </c>
      <c r="E2473" t="s">
        <v>2358</v>
      </c>
      <c r="F2473" t="s">
        <v>2359</v>
      </c>
      <c r="G2473" t="s">
        <v>1755</v>
      </c>
    </row>
    <row r="2474" spans="1:7" ht="15" customHeight="1" x14ac:dyDescent="0.25">
      <c r="A2474" s="2">
        <v>46008</v>
      </c>
      <c r="B2474">
        <v>2025003450</v>
      </c>
      <c r="C2474" t="s">
        <v>1938</v>
      </c>
      <c r="D2474" s="11">
        <v>6300000</v>
      </c>
      <c r="E2474" t="s">
        <v>2060</v>
      </c>
      <c r="F2474" t="s">
        <v>1939</v>
      </c>
      <c r="G2474" t="s">
        <v>1755</v>
      </c>
    </row>
    <row r="2475" spans="1:7" ht="15" customHeight="1" x14ac:dyDescent="0.25">
      <c r="A2475" s="2">
        <v>46008</v>
      </c>
      <c r="B2475">
        <v>2025003451</v>
      </c>
      <c r="C2475" t="s">
        <v>1904</v>
      </c>
      <c r="D2475" s="11">
        <v>6300000</v>
      </c>
      <c r="E2475" t="s">
        <v>2138</v>
      </c>
      <c r="F2475" t="s">
        <v>1084</v>
      </c>
      <c r="G2475" t="s">
        <v>1755</v>
      </c>
    </row>
    <row r="2476" spans="1:7" ht="15" customHeight="1" x14ac:dyDescent="0.25">
      <c r="A2476" s="2">
        <v>46008</v>
      </c>
      <c r="B2476">
        <v>2025003452</v>
      </c>
      <c r="C2476" t="s">
        <v>2360</v>
      </c>
      <c r="D2476" s="11">
        <v>7800000</v>
      </c>
      <c r="E2476" t="s">
        <v>2361</v>
      </c>
      <c r="F2476" t="s">
        <v>2362</v>
      </c>
      <c r="G2476" t="s">
        <v>1755</v>
      </c>
    </row>
    <row r="2477" spans="1:7" ht="15" customHeight="1" x14ac:dyDescent="0.25">
      <c r="A2477" s="2">
        <v>46008</v>
      </c>
      <c r="B2477">
        <v>2025003453</v>
      </c>
      <c r="C2477" t="s">
        <v>2363</v>
      </c>
      <c r="D2477" s="11">
        <v>2000000</v>
      </c>
      <c r="E2477" t="s">
        <v>1734</v>
      </c>
      <c r="F2477" t="s">
        <v>283</v>
      </c>
      <c r="G2477" t="s">
        <v>1755</v>
      </c>
    </row>
    <row r="2478" spans="1:7" ht="15" customHeight="1" x14ac:dyDescent="0.25">
      <c r="A2478" s="2">
        <v>46008</v>
      </c>
      <c r="B2478">
        <v>2025003454</v>
      </c>
      <c r="C2478" t="s">
        <v>2229</v>
      </c>
      <c r="D2478" s="11">
        <v>2000000</v>
      </c>
      <c r="E2478" t="s">
        <v>2230</v>
      </c>
      <c r="F2478" t="s">
        <v>2231</v>
      </c>
      <c r="G2478" t="s">
        <v>1755</v>
      </c>
    </row>
    <row r="2479" spans="1:7" ht="15" customHeight="1" x14ac:dyDescent="0.25">
      <c r="A2479" s="2">
        <v>46008</v>
      </c>
      <c r="B2479">
        <v>2025003455</v>
      </c>
      <c r="C2479" t="s">
        <v>2364</v>
      </c>
      <c r="D2479" s="11">
        <v>1050000</v>
      </c>
      <c r="E2479" t="s">
        <v>2365</v>
      </c>
      <c r="F2479" t="s">
        <v>496</v>
      </c>
      <c r="G2479" t="s">
        <v>1755</v>
      </c>
    </row>
    <row r="2480" spans="1:7" ht="15" customHeight="1" x14ac:dyDescent="0.25">
      <c r="A2480" s="2">
        <v>46008</v>
      </c>
      <c r="B2480">
        <v>2025003456</v>
      </c>
      <c r="C2480" t="s">
        <v>1785</v>
      </c>
      <c r="D2480" s="11">
        <v>3150000</v>
      </c>
      <c r="E2480" t="s">
        <v>2131</v>
      </c>
      <c r="F2480" t="s">
        <v>595</v>
      </c>
      <c r="G2480" t="s">
        <v>1755</v>
      </c>
    </row>
    <row r="2481" spans="1:7" ht="15" customHeight="1" x14ac:dyDescent="0.25">
      <c r="A2481" s="2">
        <v>46008</v>
      </c>
      <c r="B2481">
        <v>2025003457</v>
      </c>
      <c r="C2481" t="s">
        <v>1781</v>
      </c>
      <c r="D2481" s="11">
        <v>3150000</v>
      </c>
      <c r="E2481" t="s">
        <v>2132</v>
      </c>
      <c r="F2481" t="s">
        <v>797</v>
      </c>
      <c r="G2481" t="s">
        <v>1755</v>
      </c>
    </row>
    <row r="2482" spans="1:7" ht="15" customHeight="1" x14ac:dyDescent="0.25">
      <c r="A2482" s="2">
        <v>46008</v>
      </c>
      <c r="B2482">
        <v>2025003458</v>
      </c>
      <c r="C2482" t="s">
        <v>2366</v>
      </c>
      <c r="D2482" s="11">
        <v>3150000</v>
      </c>
      <c r="E2482" t="s">
        <v>2367</v>
      </c>
      <c r="F2482" t="s">
        <v>2368</v>
      </c>
      <c r="G2482" t="s">
        <v>1755</v>
      </c>
    </row>
    <row r="2483" spans="1:7" ht="15" customHeight="1" x14ac:dyDescent="0.25">
      <c r="A2483" s="2">
        <v>46008</v>
      </c>
      <c r="B2483">
        <v>2025003459</v>
      </c>
      <c r="C2483" t="s">
        <v>2369</v>
      </c>
      <c r="D2483" s="11">
        <v>2000000</v>
      </c>
      <c r="E2483" t="s">
        <v>2370</v>
      </c>
      <c r="F2483" t="s">
        <v>976</v>
      </c>
      <c r="G2483" t="s">
        <v>1755</v>
      </c>
    </row>
    <row r="2484" spans="1:7" ht="15" customHeight="1" x14ac:dyDescent="0.25">
      <c r="A2484" s="2">
        <v>46008</v>
      </c>
      <c r="B2484">
        <v>2025003460</v>
      </c>
      <c r="C2484" t="s">
        <v>2371</v>
      </c>
      <c r="D2484" s="11">
        <v>3150000</v>
      </c>
      <c r="E2484" t="s">
        <v>2372</v>
      </c>
      <c r="F2484" t="s">
        <v>779</v>
      </c>
      <c r="G2484" t="s">
        <v>1755</v>
      </c>
    </row>
    <row r="2485" spans="1:7" ht="15" customHeight="1" x14ac:dyDescent="0.25">
      <c r="A2485" s="2">
        <v>46008</v>
      </c>
      <c r="B2485">
        <v>2025003461</v>
      </c>
      <c r="C2485" t="s">
        <v>2373</v>
      </c>
      <c r="D2485" s="11">
        <v>1050000</v>
      </c>
      <c r="E2485" t="s">
        <v>2374</v>
      </c>
      <c r="F2485" t="s">
        <v>2375</v>
      </c>
      <c r="G2485" t="s">
        <v>1755</v>
      </c>
    </row>
    <row r="2486" spans="1:7" ht="15" customHeight="1" x14ac:dyDescent="0.25">
      <c r="A2486" s="2">
        <v>46008</v>
      </c>
      <c r="B2486">
        <v>2025003462</v>
      </c>
      <c r="C2486" t="s">
        <v>2176</v>
      </c>
      <c r="D2486" s="11">
        <v>4730000</v>
      </c>
      <c r="E2486" t="s">
        <v>2177</v>
      </c>
      <c r="F2486" t="s">
        <v>155</v>
      </c>
      <c r="G2486" t="s">
        <v>1755</v>
      </c>
    </row>
    <row r="2487" spans="1:7" ht="15" customHeight="1" x14ac:dyDescent="0.25">
      <c r="A2487" s="2">
        <v>46008</v>
      </c>
      <c r="B2487">
        <v>2025003463</v>
      </c>
      <c r="C2487" t="s">
        <v>2376</v>
      </c>
      <c r="D2487" s="11">
        <v>3150000</v>
      </c>
      <c r="E2487" t="s">
        <v>2377</v>
      </c>
      <c r="F2487" t="s">
        <v>1269</v>
      </c>
      <c r="G2487" t="s">
        <v>1755</v>
      </c>
    </row>
    <row r="2488" spans="1:7" ht="15" customHeight="1" x14ac:dyDescent="0.25">
      <c r="A2488" s="2">
        <v>46008</v>
      </c>
      <c r="B2488">
        <v>2025003464</v>
      </c>
      <c r="C2488" t="s">
        <v>2232</v>
      </c>
      <c r="D2488" s="11">
        <v>2000000</v>
      </c>
      <c r="E2488" t="s">
        <v>2233</v>
      </c>
      <c r="F2488" t="s">
        <v>2234</v>
      </c>
      <c r="G2488" t="s">
        <v>1755</v>
      </c>
    </row>
    <row r="2489" spans="1:7" ht="15" customHeight="1" x14ac:dyDescent="0.25">
      <c r="A2489" s="2">
        <v>46008</v>
      </c>
      <c r="B2489">
        <v>2025003465</v>
      </c>
      <c r="C2489" t="s">
        <v>1910</v>
      </c>
      <c r="D2489" s="11">
        <v>4730000</v>
      </c>
      <c r="E2489" t="s">
        <v>1610</v>
      </c>
      <c r="F2489" t="s">
        <v>493</v>
      </c>
      <c r="G2489" t="s">
        <v>1755</v>
      </c>
    </row>
    <row r="2490" spans="1:7" ht="15" customHeight="1" x14ac:dyDescent="0.25">
      <c r="A2490" s="2">
        <v>46008</v>
      </c>
      <c r="B2490">
        <v>2025003466</v>
      </c>
      <c r="C2490" t="s">
        <v>1980</v>
      </c>
      <c r="D2490" s="11">
        <v>4730000</v>
      </c>
      <c r="E2490" t="s">
        <v>1589</v>
      </c>
      <c r="F2490" t="s">
        <v>249</v>
      </c>
      <c r="G2490" t="s">
        <v>1755</v>
      </c>
    </row>
    <row r="2491" spans="1:7" ht="15" customHeight="1" x14ac:dyDescent="0.25">
      <c r="A2491" s="2">
        <v>46008</v>
      </c>
      <c r="B2491">
        <v>2025003467</v>
      </c>
      <c r="C2491" t="s">
        <v>2165</v>
      </c>
      <c r="D2491" s="11">
        <v>3150000</v>
      </c>
      <c r="E2491" t="s">
        <v>2166</v>
      </c>
      <c r="F2491" t="s">
        <v>567</v>
      </c>
      <c r="G2491" t="s">
        <v>1755</v>
      </c>
    </row>
    <row r="2492" spans="1:7" ht="15" customHeight="1" x14ac:dyDescent="0.25">
      <c r="A2492" s="2">
        <v>46008</v>
      </c>
      <c r="B2492">
        <v>2025003468</v>
      </c>
      <c r="C2492" t="s">
        <v>1972</v>
      </c>
      <c r="D2492" s="11">
        <v>3150000</v>
      </c>
      <c r="E2492" t="s">
        <v>2164</v>
      </c>
      <c r="F2492" t="s">
        <v>1973</v>
      </c>
      <c r="G2492" t="s">
        <v>1755</v>
      </c>
    </row>
    <row r="2493" spans="1:7" ht="15" customHeight="1" x14ac:dyDescent="0.25">
      <c r="A2493" s="2">
        <v>46008</v>
      </c>
      <c r="B2493">
        <v>2025003469</v>
      </c>
      <c r="C2493" t="s">
        <v>1782</v>
      </c>
      <c r="D2493" s="11">
        <v>7800000</v>
      </c>
      <c r="E2493" t="s">
        <v>2180</v>
      </c>
      <c r="F2493" t="s">
        <v>591</v>
      </c>
      <c r="G2493" t="s">
        <v>1755</v>
      </c>
    </row>
    <row r="2494" spans="1:7" ht="15" customHeight="1" x14ac:dyDescent="0.25">
      <c r="A2494" s="2">
        <v>46008</v>
      </c>
      <c r="B2494">
        <v>2025003470</v>
      </c>
      <c r="C2494" t="s">
        <v>1913</v>
      </c>
      <c r="D2494" s="11">
        <v>7800000</v>
      </c>
      <c r="E2494" t="s">
        <v>1750</v>
      </c>
      <c r="F2494" t="s">
        <v>1266</v>
      </c>
      <c r="G2494" t="s">
        <v>1755</v>
      </c>
    </row>
    <row r="2495" spans="1:7" ht="15" customHeight="1" x14ac:dyDescent="0.25">
      <c r="A2495" s="2">
        <v>46008</v>
      </c>
      <c r="B2495">
        <v>2025003471</v>
      </c>
      <c r="C2495" t="s">
        <v>1784</v>
      </c>
      <c r="D2495" s="11">
        <v>3150000</v>
      </c>
      <c r="E2495" t="s">
        <v>1650</v>
      </c>
      <c r="F2495" t="s">
        <v>277</v>
      </c>
      <c r="G2495" t="s">
        <v>1755</v>
      </c>
    </row>
    <row r="2496" spans="1:7" ht="15" customHeight="1" x14ac:dyDescent="0.25">
      <c r="A2496" s="2">
        <v>46008</v>
      </c>
      <c r="B2496">
        <v>2025003472</v>
      </c>
      <c r="C2496" t="s">
        <v>2378</v>
      </c>
      <c r="D2496" s="11">
        <v>3150000</v>
      </c>
      <c r="E2496" t="s">
        <v>2379</v>
      </c>
      <c r="F2496" t="s">
        <v>2380</v>
      </c>
      <c r="G2496" t="s">
        <v>1755</v>
      </c>
    </row>
    <row r="2497" spans="1:7" ht="15" customHeight="1" x14ac:dyDescent="0.25">
      <c r="A2497" s="2">
        <v>46008</v>
      </c>
      <c r="B2497">
        <v>2025003473</v>
      </c>
      <c r="C2497" t="s">
        <v>2381</v>
      </c>
      <c r="D2497" s="11">
        <v>2000000</v>
      </c>
      <c r="E2497" t="s">
        <v>2382</v>
      </c>
      <c r="F2497" t="s">
        <v>2383</v>
      </c>
      <c r="G2497" t="s">
        <v>1755</v>
      </c>
    </row>
    <row r="2498" spans="1:7" ht="15" customHeight="1" x14ac:dyDescent="0.25">
      <c r="A2498" s="2">
        <v>46008</v>
      </c>
      <c r="B2498">
        <v>2025003474</v>
      </c>
      <c r="C2498" t="s">
        <v>1909</v>
      </c>
      <c r="D2498" s="11">
        <v>6300000</v>
      </c>
      <c r="E2498" t="s">
        <v>1669</v>
      </c>
      <c r="F2498" t="s">
        <v>457</v>
      </c>
      <c r="G2498" t="s">
        <v>1755</v>
      </c>
    </row>
    <row r="2499" spans="1:7" ht="15" customHeight="1" x14ac:dyDescent="0.25">
      <c r="A2499" s="2">
        <v>46008</v>
      </c>
      <c r="B2499">
        <v>2025003475</v>
      </c>
      <c r="C2499" t="s">
        <v>2384</v>
      </c>
      <c r="D2499" s="11">
        <v>2000000</v>
      </c>
      <c r="E2499" t="s">
        <v>2385</v>
      </c>
      <c r="F2499" t="s">
        <v>2386</v>
      </c>
      <c r="G2499" t="s">
        <v>1755</v>
      </c>
    </row>
    <row r="2500" spans="1:7" ht="15" customHeight="1" x14ac:dyDescent="0.25">
      <c r="A2500" s="2">
        <v>46008</v>
      </c>
      <c r="B2500">
        <v>2025003476</v>
      </c>
      <c r="C2500" t="s">
        <v>1786</v>
      </c>
      <c r="D2500" s="11">
        <v>3150000</v>
      </c>
      <c r="E2500" t="s">
        <v>1688</v>
      </c>
      <c r="F2500" t="s">
        <v>33</v>
      </c>
      <c r="G2500" t="s">
        <v>1755</v>
      </c>
    </row>
    <row r="2501" spans="1:7" ht="15" customHeight="1" x14ac:dyDescent="0.25">
      <c r="A2501" s="2">
        <v>46008</v>
      </c>
      <c r="B2501">
        <v>2025003477</v>
      </c>
      <c r="C2501" t="s">
        <v>2003</v>
      </c>
      <c r="D2501" s="11">
        <v>4730000</v>
      </c>
      <c r="E2501" t="s">
        <v>2004</v>
      </c>
      <c r="F2501" t="s">
        <v>127</v>
      </c>
      <c r="G2501" t="s">
        <v>1755</v>
      </c>
    </row>
    <row r="2502" spans="1:7" ht="15" customHeight="1" x14ac:dyDescent="0.25">
      <c r="A2502" s="2">
        <v>46008</v>
      </c>
      <c r="B2502">
        <v>2025003479</v>
      </c>
      <c r="C2502" t="s">
        <v>2387</v>
      </c>
      <c r="D2502" s="11">
        <v>1575000</v>
      </c>
      <c r="E2502" t="s">
        <v>2388</v>
      </c>
      <c r="F2502" t="s">
        <v>2389</v>
      </c>
      <c r="G2502" t="s">
        <v>1755</v>
      </c>
    </row>
    <row r="2503" spans="1:7" ht="15" customHeight="1" x14ac:dyDescent="0.25">
      <c r="A2503" s="2">
        <v>46008</v>
      </c>
      <c r="B2503">
        <v>2025003483</v>
      </c>
      <c r="C2503" s="4" t="s">
        <v>2390</v>
      </c>
      <c r="D2503" s="11">
        <v>265680000</v>
      </c>
      <c r="E2503" t="s">
        <v>2391</v>
      </c>
      <c r="F2503" t="s">
        <v>2392</v>
      </c>
      <c r="G2503" t="s">
        <v>1755</v>
      </c>
    </row>
    <row r="2504" spans="1:7" ht="15" customHeight="1" x14ac:dyDescent="0.25">
      <c r="A2504" s="2">
        <v>46008</v>
      </c>
      <c r="B2504">
        <v>2025003484</v>
      </c>
      <c r="C2504" t="s">
        <v>2393</v>
      </c>
      <c r="D2504" s="11">
        <v>144210000</v>
      </c>
      <c r="E2504" t="s">
        <v>2391</v>
      </c>
      <c r="F2504" t="s">
        <v>2392</v>
      </c>
      <c r="G2504" t="s">
        <v>1755</v>
      </c>
    </row>
    <row r="2505" spans="1:7" ht="15" customHeight="1" x14ac:dyDescent="0.25">
      <c r="A2505" s="2">
        <v>46008</v>
      </c>
      <c r="B2505">
        <v>2025003485</v>
      </c>
      <c r="C2505" t="s">
        <v>2296</v>
      </c>
      <c r="D2505" s="11">
        <v>6300000</v>
      </c>
      <c r="E2505" t="s">
        <v>2297</v>
      </c>
      <c r="F2505" t="s">
        <v>2298</v>
      </c>
      <c r="G2505" t="s">
        <v>1755</v>
      </c>
    </row>
    <row r="2506" spans="1:7" ht="15" customHeight="1" x14ac:dyDescent="0.25">
      <c r="A2506" s="2">
        <v>46008</v>
      </c>
      <c r="B2506">
        <v>2025003486</v>
      </c>
      <c r="C2506" t="s">
        <v>2299</v>
      </c>
      <c r="D2506" s="11">
        <v>3150000</v>
      </c>
      <c r="E2506" t="s">
        <v>2300</v>
      </c>
      <c r="F2506" t="s">
        <v>2301</v>
      </c>
      <c r="G2506" t="s">
        <v>1755</v>
      </c>
    </row>
    <row r="2507" spans="1:7" ht="15" customHeight="1" x14ac:dyDescent="0.25">
      <c r="A2507" s="2">
        <v>46008</v>
      </c>
      <c r="B2507">
        <v>2025003487</v>
      </c>
      <c r="C2507" t="s">
        <v>2261</v>
      </c>
      <c r="D2507" s="11">
        <v>2000000</v>
      </c>
      <c r="E2507" t="s">
        <v>2262</v>
      </c>
      <c r="F2507" t="s">
        <v>2263</v>
      </c>
      <c r="G2507" t="s">
        <v>1755</v>
      </c>
    </row>
    <row r="2508" spans="1:7" ht="15" customHeight="1" x14ac:dyDescent="0.25">
      <c r="A2508" s="2">
        <v>46008</v>
      </c>
      <c r="B2508">
        <v>2025003490</v>
      </c>
      <c r="C2508" t="s">
        <v>2279</v>
      </c>
      <c r="D2508" s="11">
        <v>2000000</v>
      </c>
      <c r="E2508" t="s">
        <v>1693</v>
      </c>
      <c r="F2508" t="s">
        <v>307</v>
      </c>
      <c r="G2508" t="s">
        <v>1755</v>
      </c>
    </row>
    <row r="2509" spans="1:7" ht="15" customHeight="1" x14ac:dyDescent="0.25">
      <c r="A2509" s="2">
        <v>46008</v>
      </c>
      <c r="B2509">
        <v>2025003491</v>
      </c>
      <c r="C2509" t="s">
        <v>2278</v>
      </c>
      <c r="D2509" s="11">
        <v>6300000</v>
      </c>
      <c r="E2509" t="s">
        <v>1721</v>
      </c>
      <c r="F2509" t="s">
        <v>31</v>
      </c>
      <c r="G2509" t="s">
        <v>1755</v>
      </c>
    </row>
    <row r="2510" spans="1:7" ht="15" customHeight="1" x14ac:dyDescent="0.25">
      <c r="A2510" s="2">
        <v>46008</v>
      </c>
      <c r="B2510">
        <v>2025003492</v>
      </c>
      <c r="C2510" t="s">
        <v>2275</v>
      </c>
      <c r="D2510" s="11">
        <v>4730000</v>
      </c>
      <c r="E2510" t="s">
        <v>2276</v>
      </c>
      <c r="F2510" t="s">
        <v>2277</v>
      </c>
      <c r="G2510" t="s">
        <v>1755</v>
      </c>
    </row>
    <row r="2511" spans="1:7" ht="15" customHeight="1" x14ac:dyDescent="0.25">
      <c r="A2511" s="2">
        <v>46008</v>
      </c>
      <c r="B2511">
        <v>2025003493</v>
      </c>
      <c r="C2511" t="s">
        <v>2394</v>
      </c>
      <c r="D2511" s="11">
        <v>3150000</v>
      </c>
      <c r="E2511" t="s">
        <v>2395</v>
      </c>
      <c r="F2511" t="s">
        <v>2396</v>
      </c>
      <c r="G2511" t="s">
        <v>1755</v>
      </c>
    </row>
    <row r="2512" spans="1:7" ht="15" customHeight="1" x14ac:dyDescent="0.25">
      <c r="A2512" s="2">
        <v>46008</v>
      </c>
      <c r="B2512">
        <v>2025003494</v>
      </c>
      <c r="C2512" t="s">
        <v>2397</v>
      </c>
      <c r="D2512" s="11">
        <v>3150000</v>
      </c>
      <c r="E2512" t="s">
        <v>1717</v>
      </c>
      <c r="F2512" t="s">
        <v>886</v>
      </c>
      <c r="G2512" t="s">
        <v>1755</v>
      </c>
    </row>
    <row r="2513" spans="1:7" ht="15" customHeight="1" x14ac:dyDescent="0.25">
      <c r="A2513" s="2">
        <v>46008</v>
      </c>
      <c r="B2513">
        <v>2025003495</v>
      </c>
      <c r="C2513" t="s">
        <v>2398</v>
      </c>
      <c r="D2513" s="11">
        <v>3150000</v>
      </c>
      <c r="E2513" t="s">
        <v>2399</v>
      </c>
      <c r="F2513" t="s">
        <v>2400</v>
      </c>
      <c r="G2513" t="s">
        <v>1755</v>
      </c>
    </row>
    <row r="2514" spans="1:7" ht="15" customHeight="1" x14ac:dyDescent="0.25">
      <c r="A2514" s="2">
        <v>46008</v>
      </c>
      <c r="B2514">
        <v>2025003496</v>
      </c>
      <c r="C2514" t="s">
        <v>2401</v>
      </c>
      <c r="D2514" s="11">
        <v>3150000</v>
      </c>
      <c r="E2514" t="s">
        <v>1728</v>
      </c>
      <c r="F2514" t="s">
        <v>2402</v>
      </c>
      <c r="G2514" t="s">
        <v>1755</v>
      </c>
    </row>
    <row r="2515" spans="1:7" ht="15" customHeight="1" x14ac:dyDescent="0.25">
      <c r="A2515" s="2">
        <v>46008</v>
      </c>
      <c r="B2515">
        <v>2025003497</v>
      </c>
      <c r="C2515" t="s">
        <v>2403</v>
      </c>
      <c r="D2515" s="11">
        <v>3150000</v>
      </c>
      <c r="E2515" t="s">
        <v>2404</v>
      </c>
      <c r="F2515" t="s">
        <v>2405</v>
      </c>
      <c r="G2515" t="s">
        <v>1755</v>
      </c>
    </row>
    <row r="2516" spans="1:7" ht="15" customHeight="1" x14ac:dyDescent="0.25">
      <c r="A2516" s="2">
        <v>46008</v>
      </c>
      <c r="B2516">
        <v>2025003498</v>
      </c>
      <c r="C2516" t="s">
        <v>2080</v>
      </c>
      <c r="D2516" s="11">
        <v>6300000</v>
      </c>
      <c r="E2516" t="s">
        <v>2081</v>
      </c>
      <c r="F2516" t="s">
        <v>2082</v>
      </c>
      <c r="G2516" t="s">
        <v>1755</v>
      </c>
    </row>
    <row r="2517" spans="1:7" ht="15" customHeight="1" x14ac:dyDescent="0.25">
      <c r="A2517" s="2">
        <v>46008</v>
      </c>
      <c r="B2517">
        <v>2025003500</v>
      </c>
      <c r="C2517" t="s">
        <v>1860</v>
      </c>
      <c r="D2517" s="11">
        <v>7800000</v>
      </c>
      <c r="E2517" t="s">
        <v>1602</v>
      </c>
      <c r="F2517" t="s">
        <v>69</v>
      </c>
      <c r="G2517" t="s">
        <v>1755</v>
      </c>
    </row>
    <row r="2518" spans="1:7" ht="15" customHeight="1" x14ac:dyDescent="0.25">
      <c r="A2518" s="2">
        <v>46008</v>
      </c>
      <c r="B2518">
        <v>2025003501</v>
      </c>
      <c r="C2518" t="s">
        <v>2139</v>
      </c>
      <c r="D2518" s="11">
        <v>6300000</v>
      </c>
      <c r="E2518" t="s">
        <v>1703</v>
      </c>
      <c r="F2518" t="s">
        <v>113</v>
      </c>
      <c r="G2518" t="s">
        <v>1755</v>
      </c>
    </row>
    <row r="2519" spans="1:7" ht="15" customHeight="1" x14ac:dyDescent="0.25">
      <c r="A2519" s="2">
        <v>46008</v>
      </c>
      <c r="B2519">
        <v>2025003502</v>
      </c>
      <c r="C2519" t="s">
        <v>2152</v>
      </c>
      <c r="D2519" s="11">
        <v>7800000</v>
      </c>
      <c r="E2519" t="s">
        <v>2153</v>
      </c>
      <c r="F2519" t="s">
        <v>2154</v>
      </c>
      <c r="G2519" t="s">
        <v>1755</v>
      </c>
    </row>
    <row r="2520" spans="1:7" ht="15" customHeight="1" x14ac:dyDescent="0.25">
      <c r="A2520" s="2">
        <v>46008</v>
      </c>
      <c r="B2520">
        <v>2025003503</v>
      </c>
      <c r="C2520" t="s">
        <v>2406</v>
      </c>
      <c r="D2520" s="11">
        <v>3150000</v>
      </c>
      <c r="E2520" t="s">
        <v>1608</v>
      </c>
      <c r="F2520" t="s">
        <v>1114</v>
      </c>
      <c r="G2520" t="s">
        <v>1755</v>
      </c>
    </row>
    <row r="2521" spans="1:7" ht="15" customHeight="1" x14ac:dyDescent="0.25">
      <c r="A2521" s="2">
        <v>46008</v>
      </c>
      <c r="B2521">
        <v>2025003504</v>
      </c>
      <c r="C2521" t="s">
        <v>2143</v>
      </c>
      <c r="D2521" s="11">
        <v>3150000</v>
      </c>
      <c r="E2521" t="s">
        <v>2144</v>
      </c>
      <c r="F2521" t="s">
        <v>2145</v>
      </c>
      <c r="G2521" t="s">
        <v>1755</v>
      </c>
    </row>
    <row r="2522" spans="1:7" ht="15" customHeight="1" x14ac:dyDescent="0.25">
      <c r="A2522" s="2">
        <v>46008</v>
      </c>
      <c r="B2522">
        <v>2025003505</v>
      </c>
      <c r="C2522" t="s">
        <v>2407</v>
      </c>
      <c r="D2522" s="11">
        <v>3150000</v>
      </c>
      <c r="E2522" t="s">
        <v>2408</v>
      </c>
      <c r="F2522" t="s">
        <v>2409</v>
      </c>
      <c r="G2522" t="s">
        <v>1755</v>
      </c>
    </row>
    <row r="2523" spans="1:7" ht="15" customHeight="1" x14ac:dyDescent="0.25">
      <c r="A2523" s="2">
        <v>46008</v>
      </c>
      <c r="B2523">
        <v>2025003507</v>
      </c>
      <c r="C2523" t="s">
        <v>1796</v>
      </c>
      <c r="D2523" s="11">
        <v>4200000</v>
      </c>
      <c r="E2523" t="s">
        <v>2410</v>
      </c>
      <c r="F2523" t="s">
        <v>1797</v>
      </c>
      <c r="G2523" t="s">
        <v>1755</v>
      </c>
    </row>
    <row r="2524" spans="1:7" ht="15" customHeight="1" x14ac:dyDescent="0.25">
      <c r="A2524" s="2">
        <v>46008</v>
      </c>
      <c r="B2524">
        <v>2025003508</v>
      </c>
      <c r="C2524" t="s">
        <v>2087</v>
      </c>
      <c r="D2524" s="11">
        <v>3150000</v>
      </c>
      <c r="E2524" t="s">
        <v>2088</v>
      </c>
      <c r="F2524" t="s">
        <v>2089</v>
      </c>
      <c r="G2524" t="s">
        <v>1755</v>
      </c>
    </row>
    <row r="2525" spans="1:7" ht="15" customHeight="1" x14ac:dyDescent="0.25">
      <c r="A2525" s="2">
        <v>46008</v>
      </c>
      <c r="B2525">
        <v>2025003509</v>
      </c>
      <c r="C2525" t="s">
        <v>2319</v>
      </c>
      <c r="D2525" s="11">
        <v>3150000</v>
      </c>
      <c r="E2525" t="s">
        <v>1732</v>
      </c>
      <c r="F2525" t="s">
        <v>103</v>
      </c>
      <c r="G2525" t="s">
        <v>1755</v>
      </c>
    </row>
    <row r="2526" spans="1:7" ht="15" customHeight="1" x14ac:dyDescent="0.25">
      <c r="A2526" s="2">
        <v>46008</v>
      </c>
      <c r="B2526">
        <v>2025003511</v>
      </c>
      <c r="C2526" t="s">
        <v>2411</v>
      </c>
      <c r="D2526" s="11">
        <v>15600000</v>
      </c>
      <c r="E2526" t="s">
        <v>2412</v>
      </c>
      <c r="F2526" t="s">
        <v>309</v>
      </c>
      <c r="G2526" t="s">
        <v>1755</v>
      </c>
    </row>
    <row r="2527" spans="1:7" ht="15" customHeight="1" x14ac:dyDescent="0.25">
      <c r="A2527" s="2">
        <v>46008</v>
      </c>
      <c r="B2527">
        <v>2025003514</v>
      </c>
      <c r="C2527" t="s">
        <v>1844</v>
      </c>
      <c r="D2527" s="11">
        <v>7800000</v>
      </c>
      <c r="E2527" t="s">
        <v>1682</v>
      </c>
      <c r="F2527" t="s">
        <v>159</v>
      </c>
      <c r="G2527" t="s">
        <v>1755</v>
      </c>
    </row>
    <row r="2528" spans="1:7" ht="15" customHeight="1" x14ac:dyDescent="0.25">
      <c r="A2528" s="2">
        <v>46008</v>
      </c>
      <c r="B2528">
        <v>2025003516</v>
      </c>
      <c r="C2528" t="s">
        <v>1877</v>
      </c>
      <c r="D2528" s="11">
        <v>3150000</v>
      </c>
      <c r="E2528" t="s">
        <v>1719</v>
      </c>
      <c r="F2528" t="s">
        <v>1230</v>
      </c>
      <c r="G2528" t="s">
        <v>1755</v>
      </c>
    </row>
    <row r="2529" spans="1:7" ht="15" customHeight="1" x14ac:dyDescent="0.25">
      <c r="A2529" s="2">
        <v>46008</v>
      </c>
      <c r="B2529">
        <v>2025003519</v>
      </c>
      <c r="C2529" t="s">
        <v>1889</v>
      </c>
      <c r="D2529" s="11">
        <v>3150000</v>
      </c>
      <c r="E2529" t="s">
        <v>1731</v>
      </c>
      <c r="F2529" t="s">
        <v>548</v>
      </c>
      <c r="G2529" t="s">
        <v>1755</v>
      </c>
    </row>
    <row r="2530" spans="1:7" ht="15" customHeight="1" x14ac:dyDescent="0.25">
      <c r="A2530" s="2">
        <v>46008</v>
      </c>
      <c r="B2530">
        <v>2025003521</v>
      </c>
      <c r="C2530" t="s">
        <v>1767</v>
      </c>
      <c r="D2530" s="11">
        <v>3150000</v>
      </c>
      <c r="E2530" t="s">
        <v>1647</v>
      </c>
      <c r="F2530" t="s">
        <v>119</v>
      </c>
      <c r="G2530" t="s">
        <v>1755</v>
      </c>
    </row>
    <row r="2531" spans="1:7" ht="15" customHeight="1" x14ac:dyDescent="0.25">
      <c r="A2531" s="2">
        <v>46008</v>
      </c>
      <c r="B2531">
        <v>2025003523</v>
      </c>
      <c r="C2531" t="s">
        <v>1879</v>
      </c>
      <c r="D2531" s="11">
        <v>3150000</v>
      </c>
      <c r="E2531" t="s">
        <v>2034</v>
      </c>
      <c r="F2531" t="s">
        <v>1880</v>
      </c>
      <c r="G2531" t="s">
        <v>1755</v>
      </c>
    </row>
    <row r="2532" spans="1:7" ht="15" customHeight="1" x14ac:dyDescent="0.25">
      <c r="A2532" s="2">
        <v>46008</v>
      </c>
      <c r="B2532">
        <v>2025003525</v>
      </c>
      <c r="C2532" t="s">
        <v>1828</v>
      </c>
      <c r="D2532" s="11">
        <v>3150000</v>
      </c>
      <c r="E2532" t="s">
        <v>2074</v>
      </c>
      <c r="F2532" t="s">
        <v>1829</v>
      </c>
      <c r="G2532" t="s">
        <v>1755</v>
      </c>
    </row>
    <row r="2533" spans="1:7" ht="15" customHeight="1" x14ac:dyDescent="0.25">
      <c r="A2533" s="2">
        <v>46008</v>
      </c>
      <c r="B2533">
        <v>2025003528</v>
      </c>
      <c r="C2533" t="s">
        <v>1835</v>
      </c>
      <c r="D2533" s="11">
        <v>3150000</v>
      </c>
      <c r="E2533" t="s">
        <v>1679</v>
      </c>
      <c r="F2533" t="s">
        <v>111</v>
      </c>
      <c r="G2533" t="s">
        <v>1755</v>
      </c>
    </row>
    <row r="2534" spans="1:7" ht="15" customHeight="1" x14ac:dyDescent="0.25">
      <c r="A2534" s="2">
        <v>46008</v>
      </c>
      <c r="B2534">
        <v>2025003529</v>
      </c>
      <c r="C2534" t="s">
        <v>1833</v>
      </c>
      <c r="D2534" s="11">
        <v>6300000</v>
      </c>
      <c r="E2534" t="s">
        <v>2226</v>
      </c>
      <c r="F2534" t="s">
        <v>1834</v>
      </c>
      <c r="G2534" t="s">
        <v>1755</v>
      </c>
    </row>
    <row r="2535" spans="1:7" ht="15" customHeight="1" x14ac:dyDescent="0.25">
      <c r="A2535" s="2">
        <v>46008</v>
      </c>
      <c r="B2535">
        <v>2025003530</v>
      </c>
      <c r="C2535" t="s">
        <v>2026</v>
      </c>
      <c r="D2535" s="11">
        <v>2000000</v>
      </c>
      <c r="E2535" t="s">
        <v>2027</v>
      </c>
      <c r="F2535" t="s">
        <v>2028</v>
      </c>
      <c r="G2535" t="s">
        <v>1755</v>
      </c>
    </row>
    <row r="2536" spans="1:7" ht="15" customHeight="1" x14ac:dyDescent="0.25">
      <c r="A2536" s="2">
        <v>46008</v>
      </c>
      <c r="B2536">
        <v>2025003531</v>
      </c>
      <c r="C2536" t="s">
        <v>2413</v>
      </c>
      <c r="D2536" s="11">
        <v>2000000</v>
      </c>
      <c r="E2536" t="s">
        <v>2414</v>
      </c>
      <c r="F2536" t="s">
        <v>2415</v>
      </c>
      <c r="G2536" t="s">
        <v>1755</v>
      </c>
    </row>
    <row r="2537" spans="1:7" ht="15" customHeight="1" x14ac:dyDescent="0.25">
      <c r="A2537" s="2">
        <v>46008</v>
      </c>
      <c r="B2537">
        <v>2025003532</v>
      </c>
      <c r="C2537" t="s">
        <v>1873</v>
      </c>
      <c r="D2537" s="11">
        <v>3150000</v>
      </c>
      <c r="E2537" t="s">
        <v>2012</v>
      </c>
      <c r="F2537" t="s">
        <v>1874</v>
      </c>
      <c r="G2537" t="s">
        <v>1755</v>
      </c>
    </row>
    <row r="2538" spans="1:7" ht="15" customHeight="1" x14ac:dyDescent="0.25">
      <c r="A2538" s="2">
        <v>46008</v>
      </c>
      <c r="B2538">
        <v>2025003533</v>
      </c>
      <c r="C2538" t="s">
        <v>1756</v>
      </c>
      <c r="D2538" s="11">
        <v>3150000</v>
      </c>
      <c r="E2538" t="s">
        <v>2052</v>
      </c>
      <c r="F2538" t="s">
        <v>1757</v>
      </c>
      <c r="G2538" t="s">
        <v>1755</v>
      </c>
    </row>
    <row r="2539" spans="1:7" ht="15" customHeight="1" x14ac:dyDescent="0.25">
      <c r="A2539" s="2">
        <v>46008</v>
      </c>
      <c r="B2539">
        <v>2025003534</v>
      </c>
      <c r="C2539" t="s">
        <v>1778</v>
      </c>
      <c r="D2539" s="11">
        <v>3150000</v>
      </c>
      <c r="E2539" t="s">
        <v>2006</v>
      </c>
      <c r="F2539" t="s">
        <v>1779</v>
      </c>
      <c r="G2539" t="s">
        <v>1755</v>
      </c>
    </row>
    <row r="2540" spans="1:7" ht="15" customHeight="1" x14ac:dyDescent="0.25">
      <c r="A2540" s="2">
        <v>46008</v>
      </c>
      <c r="B2540">
        <v>2025003535</v>
      </c>
      <c r="C2540" t="s">
        <v>1954</v>
      </c>
      <c r="D2540" s="11">
        <v>3150000</v>
      </c>
      <c r="E2540" t="s">
        <v>2007</v>
      </c>
      <c r="F2540" t="s">
        <v>1955</v>
      </c>
      <c r="G2540" t="s">
        <v>1755</v>
      </c>
    </row>
    <row r="2541" spans="1:7" ht="15" customHeight="1" x14ac:dyDescent="0.25">
      <c r="A2541" s="2">
        <v>46008</v>
      </c>
      <c r="B2541">
        <v>2025003536</v>
      </c>
      <c r="C2541" t="s">
        <v>2416</v>
      </c>
      <c r="D2541" s="11">
        <v>7800000</v>
      </c>
      <c r="E2541" t="s">
        <v>2417</v>
      </c>
      <c r="F2541" t="s">
        <v>2418</v>
      </c>
      <c r="G2541" t="s">
        <v>1755</v>
      </c>
    </row>
    <row r="2542" spans="1:7" ht="15" customHeight="1" x14ac:dyDescent="0.25">
      <c r="A2542" s="2">
        <v>46008</v>
      </c>
      <c r="B2542">
        <v>2025003537</v>
      </c>
      <c r="C2542" t="s">
        <v>1866</v>
      </c>
      <c r="D2542" s="11">
        <v>3150000</v>
      </c>
      <c r="E2542" t="s">
        <v>2044</v>
      </c>
      <c r="F2542" t="s">
        <v>1867</v>
      </c>
      <c r="G2542" t="s">
        <v>1755</v>
      </c>
    </row>
    <row r="2543" spans="1:7" ht="15" customHeight="1" x14ac:dyDescent="0.25">
      <c r="A2543" s="2">
        <v>46008</v>
      </c>
      <c r="B2543">
        <v>2025003539</v>
      </c>
      <c r="C2543" t="s">
        <v>1984</v>
      </c>
      <c r="D2543" s="11">
        <v>3150000</v>
      </c>
      <c r="E2543" t="s">
        <v>2011</v>
      </c>
      <c r="F2543" t="s">
        <v>884</v>
      </c>
      <c r="G2543" t="s">
        <v>1755</v>
      </c>
    </row>
    <row r="2544" spans="1:7" ht="15" customHeight="1" x14ac:dyDescent="0.25">
      <c r="A2544" s="2">
        <v>46008</v>
      </c>
      <c r="B2544">
        <v>2025003540</v>
      </c>
      <c r="C2544" t="s">
        <v>1864</v>
      </c>
      <c r="D2544" s="11">
        <v>3150000</v>
      </c>
      <c r="E2544" t="s">
        <v>2021</v>
      </c>
      <c r="F2544" t="s">
        <v>1865</v>
      </c>
      <c r="G2544" t="s">
        <v>1755</v>
      </c>
    </row>
    <row r="2545" spans="1:7" ht="15" customHeight="1" x14ac:dyDescent="0.25">
      <c r="A2545" s="2">
        <v>46009</v>
      </c>
      <c r="B2545">
        <v>2025003541</v>
      </c>
      <c r="C2545" t="s">
        <v>1775</v>
      </c>
      <c r="D2545" s="11">
        <v>3150000</v>
      </c>
      <c r="E2545" t="s">
        <v>1639</v>
      </c>
      <c r="F2545" t="s">
        <v>409</v>
      </c>
      <c r="G2545" t="s">
        <v>1755</v>
      </c>
    </row>
    <row r="2546" spans="1:7" ht="15" customHeight="1" x14ac:dyDescent="0.25">
      <c r="A2546" s="2">
        <v>46009</v>
      </c>
      <c r="B2546">
        <v>2025003542</v>
      </c>
      <c r="C2546" t="s">
        <v>1894</v>
      </c>
      <c r="D2546" s="11">
        <v>3150000</v>
      </c>
      <c r="E2546" t="s">
        <v>2116</v>
      </c>
      <c r="F2546" t="s">
        <v>1895</v>
      </c>
      <c r="G2546" t="s">
        <v>1755</v>
      </c>
    </row>
    <row r="2547" spans="1:7" ht="15" customHeight="1" x14ac:dyDescent="0.25">
      <c r="A2547" s="2">
        <v>46009</v>
      </c>
      <c r="B2547">
        <v>2025003543</v>
      </c>
      <c r="C2547" t="s">
        <v>2419</v>
      </c>
      <c r="D2547" s="11">
        <v>2000000</v>
      </c>
      <c r="E2547" t="s">
        <v>2420</v>
      </c>
      <c r="F2547" t="s">
        <v>219</v>
      </c>
      <c r="G2547" t="s">
        <v>1755</v>
      </c>
    </row>
    <row r="2548" spans="1:7" ht="15" customHeight="1" x14ac:dyDescent="0.25">
      <c r="A2548" s="2">
        <v>46009</v>
      </c>
      <c r="B2548">
        <v>2025003544</v>
      </c>
      <c r="C2548" t="s">
        <v>1842</v>
      </c>
      <c r="D2548" s="11">
        <v>3150000</v>
      </c>
      <c r="E2548" t="s">
        <v>2062</v>
      </c>
      <c r="F2548" t="s">
        <v>1843</v>
      </c>
      <c r="G2548" t="s">
        <v>1755</v>
      </c>
    </row>
    <row r="2549" spans="1:7" ht="15" customHeight="1" x14ac:dyDescent="0.25">
      <c r="A2549" s="2">
        <v>46009</v>
      </c>
      <c r="B2549">
        <v>2025003545</v>
      </c>
      <c r="C2549" t="s">
        <v>1950</v>
      </c>
      <c r="D2549" s="11">
        <v>3150000</v>
      </c>
      <c r="E2549" t="s">
        <v>2045</v>
      </c>
      <c r="F2549" t="s">
        <v>1951</v>
      </c>
      <c r="G2549" t="s">
        <v>1755</v>
      </c>
    </row>
    <row r="2550" spans="1:7" ht="15" customHeight="1" x14ac:dyDescent="0.25">
      <c r="A2550" s="2">
        <v>46009</v>
      </c>
      <c r="B2550">
        <v>2025003546</v>
      </c>
      <c r="C2550" t="s">
        <v>2216</v>
      </c>
      <c r="D2550" s="11">
        <v>3150000</v>
      </c>
      <c r="E2550" t="s">
        <v>2217</v>
      </c>
      <c r="F2550" t="s">
        <v>2218</v>
      </c>
      <c r="G2550" t="s">
        <v>1755</v>
      </c>
    </row>
    <row r="2551" spans="1:7" ht="15" customHeight="1" x14ac:dyDescent="0.25">
      <c r="A2551" s="2">
        <v>46009</v>
      </c>
      <c r="B2551">
        <v>2025003547</v>
      </c>
      <c r="C2551" t="s">
        <v>1881</v>
      </c>
      <c r="D2551" s="11">
        <v>3150000</v>
      </c>
      <c r="E2551" t="s">
        <v>2046</v>
      </c>
      <c r="F2551" t="s">
        <v>1882</v>
      </c>
      <c r="G2551" t="s">
        <v>1755</v>
      </c>
    </row>
    <row r="2552" spans="1:7" ht="15" customHeight="1" x14ac:dyDescent="0.25">
      <c r="A2552" s="2">
        <v>46009</v>
      </c>
      <c r="B2552">
        <v>2025003548</v>
      </c>
      <c r="C2552" t="s">
        <v>1948</v>
      </c>
      <c r="D2552" s="11">
        <v>4730000</v>
      </c>
      <c r="E2552" t="s">
        <v>2008</v>
      </c>
      <c r="F2552" t="s">
        <v>1949</v>
      </c>
      <c r="G2552" t="s">
        <v>1755</v>
      </c>
    </row>
    <row r="2553" spans="1:7" ht="15" customHeight="1" x14ac:dyDescent="0.25">
      <c r="A2553" s="2">
        <v>46009</v>
      </c>
      <c r="B2553">
        <v>2025003549</v>
      </c>
      <c r="C2553" t="s">
        <v>1995</v>
      </c>
      <c r="D2553" s="11">
        <v>4730000</v>
      </c>
      <c r="E2553" t="s">
        <v>2287</v>
      </c>
      <c r="F2553" t="s">
        <v>235</v>
      </c>
      <c r="G2553" t="s">
        <v>1755</v>
      </c>
    </row>
    <row r="2554" spans="1:7" ht="15" customHeight="1" x14ac:dyDescent="0.25">
      <c r="A2554" s="2">
        <v>46009</v>
      </c>
      <c r="B2554">
        <v>2025003551</v>
      </c>
      <c r="C2554" t="s">
        <v>1990</v>
      </c>
      <c r="D2554" s="11">
        <v>3150000</v>
      </c>
      <c r="E2554" t="s">
        <v>2121</v>
      </c>
      <c r="F2554" t="s">
        <v>1991</v>
      </c>
      <c r="G2554" t="s">
        <v>1755</v>
      </c>
    </row>
    <row r="2555" spans="1:7" ht="15" customHeight="1" x14ac:dyDescent="0.25">
      <c r="A2555" s="2">
        <v>46009</v>
      </c>
      <c r="B2555">
        <v>2025003552</v>
      </c>
      <c r="C2555" t="s">
        <v>2065</v>
      </c>
      <c r="D2555" s="11">
        <v>2000000</v>
      </c>
      <c r="E2555" t="s">
        <v>2066</v>
      </c>
      <c r="F2555" t="s">
        <v>2067</v>
      </c>
      <c r="G2555" t="s">
        <v>1755</v>
      </c>
    </row>
    <row r="2556" spans="1:7" ht="15" customHeight="1" x14ac:dyDescent="0.25">
      <c r="A2556" s="2">
        <v>46009</v>
      </c>
      <c r="B2556">
        <v>2025003553</v>
      </c>
      <c r="C2556" t="s">
        <v>2071</v>
      </c>
      <c r="D2556" s="11">
        <v>2000000</v>
      </c>
      <c r="E2556" t="s">
        <v>2072</v>
      </c>
      <c r="F2556" t="s">
        <v>2073</v>
      </c>
      <c r="G2556" t="s">
        <v>1755</v>
      </c>
    </row>
    <row r="2557" spans="1:7" ht="15" customHeight="1" x14ac:dyDescent="0.25">
      <c r="A2557" s="2">
        <v>46009</v>
      </c>
      <c r="B2557">
        <v>2025003556</v>
      </c>
      <c r="C2557" t="s">
        <v>2269</v>
      </c>
      <c r="D2557" s="11">
        <v>3150000</v>
      </c>
      <c r="E2557" t="s">
        <v>1646</v>
      </c>
      <c r="F2557" t="s">
        <v>523</v>
      </c>
      <c r="G2557" t="s">
        <v>1755</v>
      </c>
    </row>
    <row r="2558" spans="1:7" ht="15" customHeight="1" x14ac:dyDescent="0.25">
      <c r="A2558" s="2">
        <v>46009</v>
      </c>
      <c r="B2558">
        <v>2025003557</v>
      </c>
      <c r="C2558" t="s">
        <v>2284</v>
      </c>
      <c r="D2558" s="11">
        <v>3150000</v>
      </c>
      <c r="E2558" t="s">
        <v>2285</v>
      </c>
      <c r="F2558" t="s">
        <v>2286</v>
      </c>
      <c r="G2558" t="s">
        <v>1755</v>
      </c>
    </row>
    <row r="2559" spans="1:7" ht="15" customHeight="1" x14ac:dyDescent="0.25">
      <c r="A2559" s="2">
        <v>46009</v>
      </c>
      <c r="B2559">
        <v>2025003558</v>
      </c>
      <c r="C2559" t="s">
        <v>1915</v>
      </c>
      <c r="D2559" s="11">
        <v>3150000</v>
      </c>
      <c r="E2559" t="s">
        <v>1617</v>
      </c>
      <c r="F2559" t="s">
        <v>992</v>
      </c>
      <c r="G2559" t="s">
        <v>1755</v>
      </c>
    </row>
    <row r="2560" spans="1:7" ht="15" customHeight="1" x14ac:dyDescent="0.25">
      <c r="A2560" s="2">
        <v>46009</v>
      </c>
      <c r="B2560">
        <v>2025003559</v>
      </c>
      <c r="C2560" t="s">
        <v>1941</v>
      </c>
      <c r="D2560" s="11">
        <v>6300000</v>
      </c>
      <c r="E2560" t="s">
        <v>2190</v>
      </c>
      <c r="F2560" t="s">
        <v>1942</v>
      </c>
      <c r="G2560" t="s">
        <v>1755</v>
      </c>
    </row>
    <row r="2561" spans="1:7" ht="15" customHeight="1" x14ac:dyDescent="0.25">
      <c r="A2561" s="2">
        <v>46009</v>
      </c>
      <c r="B2561">
        <v>2025003561</v>
      </c>
      <c r="C2561" t="s">
        <v>2268</v>
      </c>
      <c r="D2561" s="11">
        <v>6300000</v>
      </c>
      <c r="E2561" t="s">
        <v>1713</v>
      </c>
      <c r="F2561" t="s">
        <v>1224</v>
      </c>
      <c r="G2561" t="s">
        <v>1755</v>
      </c>
    </row>
    <row r="2562" spans="1:7" ht="15" customHeight="1" x14ac:dyDescent="0.25">
      <c r="A2562" s="2">
        <v>46009</v>
      </c>
      <c r="B2562">
        <v>2025003562</v>
      </c>
      <c r="C2562" t="s">
        <v>1996</v>
      </c>
      <c r="D2562" s="11">
        <v>3150000</v>
      </c>
      <c r="E2562" t="s">
        <v>2192</v>
      </c>
      <c r="F2562" t="s">
        <v>1997</v>
      </c>
      <c r="G2562" t="s">
        <v>1755</v>
      </c>
    </row>
    <row r="2563" spans="1:7" ht="15" customHeight="1" x14ac:dyDescent="0.25">
      <c r="A2563" s="2">
        <v>46009</v>
      </c>
      <c r="B2563">
        <v>2025003563</v>
      </c>
      <c r="C2563" t="s">
        <v>2421</v>
      </c>
      <c r="D2563" s="11">
        <v>2000000</v>
      </c>
      <c r="E2563" t="s">
        <v>2422</v>
      </c>
      <c r="F2563" t="s">
        <v>313</v>
      </c>
      <c r="G2563" t="s">
        <v>1755</v>
      </c>
    </row>
    <row r="2564" spans="1:7" ht="15" customHeight="1" x14ac:dyDescent="0.25">
      <c r="A2564" s="2">
        <v>46009</v>
      </c>
      <c r="B2564">
        <v>2025003564</v>
      </c>
      <c r="C2564" t="s">
        <v>2096</v>
      </c>
      <c r="D2564" s="11">
        <v>3150000</v>
      </c>
      <c r="E2564" t="s">
        <v>2097</v>
      </c>
      <c r="F2564" t="s">
        <v>2098</v>
      </c>
      <c r="G2564" t="s">
        <v>1755</v>
      </c>
    </row>
    <row r="2565" spans="1:7" ht="15" customHeight="1" x14ac:dyDescent="0.25">
      <c r="A2565" s="2">
        <v>46009</v>
      </c>
      <c r="B2565">
        <v>2025003565</v>
      </c>
      <c r="C2565" t="s">
        <v>1803</v>
      </c>
      <c r="D2565" s="11">
        <v>3150000</v>
      </c>
      <c r="E2565" t="s">
        <v>1662</v>
      </c>
      <c r="F2565" t="s">
        <v>149</v>
      </c>
      <c r="G2565" t="s">
        <v>1755</v>
      </c>
    </row>
    <row r="2566" spans="1:7" ht="15" customHeight="1" x14ac:dyDescent="0.25">
      <c r="A2566" s="2">
        <v>46009</v>
      </c>
      <c r="B2566">
        <v>2025003566</v>
      </c>
      <c r="C2566" t="s">
        <v>1925</v>
      </c>
      <c r="D2566" s="11">
        <v>4730000</v>
      </c>
      <c r="E2566" t="s">
        <v>2288</v>
      </c>
      <c r="F2566" t="s">
        <v>1926</v>
      </c>
      <c r="G2566" t="s">
        <v>1755</v>
      </c>
    </row>
    <row r="2567" spans="1:7" ht="15" customHeight="1" x14ac:dyDescent="0.25">
      <c r="A2567" s="2">
        <v>46009</v>
      </c>
      <c r="B2567">
        <v>2025003567</v>
      </c>
      <c r="C2567" t="s">
        <v>1765</v>
      </c>
      <c r="D2567" s="11">
        <v>6300000</v>
      </c>
      <c r="E2567" t="s">
        <v>2009</v>
      </c>
      <c r="F2567" t="s">
        <v>1766</v>
      </c>
      <c r="G2567" t="s">
        <v>1755</v>
      </c>
    </row>
    <row r="2568" spans="1:7" ht="15" customHeight="1" x14ac:dyDescent="0.25">
      <c r="A2568" s="2">
        <v>46009</v>
      </c>
      <c r="B2568">
        <v>2025003568</v>
      </c>
      <c r="C2568" t="s">
        <v>1900</v>
      </c>
      <c r="D2568" s="11">
        <v>6300000</v>
      </c>
      <c r="E2568" t="s">
        <v>1705</v>
      </c>
      <c r="F2568" t="s">
        <v>450</v>
      </c>
      <c r="G2568" t="s">
        <v>1755</v>
      </c>
    </row>
    <row r="2569" spans="1:7" ht="15" customHeight="1" x14ac:dyDescent="0.25">
      <c r="A2569" s="2">
        <v>46009</v>
      </c>
      <c r="B2569">
        <v>2025003569</v>
      </c>
      <c r="C2569" t="s">
        <v>1956</v>
      </c>
      <c r="D2569" s="11">
        <v>3150000</v>
      </c>
      <c r="E2569" t="s">
        <v>2035</v>
      </c>
      <c r="F2569" t="s">
        <v>1957</v>
      </c>
      <c r="G2569" t="s">
        <v>1755</v>
      </c>
    </row>
    <row r="2570" spans="1:7" ht="15" customHeight="1" x14ac:dyDescent="0.25">
      <c r="A2570" s="2">
        <v>46009</v>
      </c>
      <c r="B2570">
        <v>2025003570</v>
      </c>
      <c r="C2570" t="s">
        <v>1890</v>
      </c>
      <c r="D2570" s="11">
        <v>4730000</v>
      </c>
      <c r="E2570" t="s">
        <v>2020</v>
      </c>
      <c r="F2570" t="s">
        <v>1891</v>
      </c>
      <c r="G2570" t="s">
        <v>1755</v>
      </c>
    </row>
    <row r="2571" spans="1:7" ht="15" customHeight="1" x14ac:dyDescent="0.25">
      <c r="A2571" s="2">
        <v>46009</v>
      </c>
      <c r="B2571">
        <v>2025003571</v>
      </c>
      <c r="C2571" t="s">
        <v>1845</v>
      </c>
      <c r="D2571" s="11">
        <v>6300000</v>
      </c>
      <c r="E2571" t="s">
        <v>2215</v>
      </c>
      <c r="F2571" t="s">
        <v>1846</v>
      </c>
      <c r="G2571" t="s">
        <v>1755</v>
      </c>
    </row>
    <row r="2572" spans="1:7" ht="15" customHeight="1" x14ac:dyDescent="0.25">
      <c r="A2572" s="2">
        <v>46009</v>
      </c>
      <c r="B2572">
        <v>2025003572</v>
      </c>
      <c r="C2572" t="s">
        <v>1892</v>
      </c>
      <c r="D2572" s="11">
        <v>3150000</v>
      </c>
      <c r="E2572" t="s">
        <v>2120</v>
      </c>
      <c r="F2572" t="s">
        <v>1893</v>
      </c>
      <c r="G2572" t="s">
        <v>1755</v>
      </c>
    </row>
    <row r="2573" spans="1:7" ht="15" customHeight="1" x14ac:dyDescent="0.25">
      <c r="A2573" s="2">
        <v>46009</v>
      </c>
      <c r="B2573">
        <v>2025003573</v>
      </c>
      <c r="C2573" t="s">
        <v>2068</v>
      </c>
      <c r="D2573" s="11">
        <v>2000000</v>
      </c>
      <c r="E2573" t="s">
        <v>2069</v>
      </c>
      <c r="F2573" t="s">
        <v>2070</v>
      </c>
      <c r="G2573" t="s">
        <v>1755</v>
      </c>
    </row>
    <row r="2574" spans="1:7" ht="15" customHeight="1" x14ac:dyDescent="0.25">
      <c r="A2574" s="2">
        <v>46009</v>
      </c>
      <c r="B2574">
        <v>2025003574</v>
      </c>
      <c r="C2574" t="s">
        <v>1952</v>
      </c>
      <c r="D2574" s="11">
        <v>3150000</v>
      </c>
      <c r="E2574" t="s">
        <v>2049</v>
      </c>
      <c r="F2574" t="s">
        <v>1953</v>
      </c>
      <c r="G2574" t="s">
        <v>1755</v>
      </c>
    </row>
    <row r="2575" spans="1:7" ht="15" customHeight="1" x14ac:dyDescent="0.25">
      <c r="A2575" s="2">
        <v>46009</v>
      </c>
      <c r="B2575">
        <v>2025003575</v>
      </c>
      <c r="C2575" t="s">
        <v>2213</v>
      </c>
      <c r="D2575" s="11">
        <v>3150000</v>
      </c>
      <c r="E2575" t="s">
        <v>1701</v>
      </c>
      <c r="F2575" t="s">
        <v>335</v>
      </c>
      <c r="G2575" t="s">
        <v>1755</v>
      </c>
    </row>
    <row r="2576" spans="1:7" ht="15" customHeight="1" x14ac:dyDescent="0.25">
      <c r="A2576" s="2">
        <v>46009</v>
      </c>
      <c r="B2576">
        <v>2025003576</v>
      </c>
      <c r="C2576" t="s">
        <v>1940</v>
      </c>
      <c r="D2576" s="11">
        <v>3150000</v>
      </c>
      <c r="E2576" t="s">
        <v>1634</v>
      </c>
      <c r="F2576" t="s">
        <v>209</v>
      </c>
      <c r="G2576" t="s">
        <v>1755</v>
      </c>
    </row>
    <row r="2577" spans="1:7" ht="15" customHeight="1" x14ac:dyDescent="0.25">
      <c r="A2577" s="2">
        <v>46009</v>
      </c>
      <c r="B2577">
        <v>2025003577</v>
      </c>
      <c r="C2577" t="s">
        <v>2423</v>
      </c>
      <c r="D2577" s="11">
        <v>263910000</v>
      </c>
      <c r="E2577" t="s">
        <v>2391</v>
      </c>
      <c r="F2577" t="s">
        <v>2392</v>
      </c>
      <c r="G2577" t="s">
        <v>1755</v>
      </c>
    </row>
    <row r="2578" spans="1:7" ht="15" customHeight="1" x14ac:dyDescent="0.25">
      <c r="A2578" s="2">
        <v>46009</v>
      </c>
      <c r="B2578">
        <v>2025003578</v>
      </c>
      <c r="C2578" t="s">
        <v>1932</v>
      </c>
      <c r="D2578" s="11">
        <v>7800000</v>
      </c>
      <c r="E2578" t="s">
        <v>2038</v>
      </c>
      <c r="F2578" t="s">
        <v>889</v>
      </c>
      <c r="G2578" t="s">
        <v>1755</v>
      </c>
    </row>
    <row r="2579" spans="1:7" ht="15" customHeight="1" x14ac:dyDescent="0.25">
      <c r="A2579" s="2">
        <v>46009</v>
      </c>
      <c r="B2579">
        <v>2025003580</v>
      </c>
      <c r="C2579" t="s">
        <v>1914</v>
      </c>
      <c r="D2579" s="11">
        <v>6300000</v>
      </c>
      <c r="E2579" t="s">
        <v>1673</v>
      </c>
      <c r="F2579" t="s">
        <v>1182</v>
      </c>
      <c r="G2579" t="s">
        <v>1755</v>
      </c>
    </row>
    <row r="2580" spans="1:7" ht="15" customHeight="1" x14ac:dyDescent="0.25">
      <c r="A2580" s="2">
        <v>46009</v>
      </c>
      <c r="B2580">
        <v>2025003581</v>
      </c>
      <c r="C2580" t="s">
        <v>1805</v>
      </c>
      <c r="D2580" s="11">
        <v>3150000</v>
      </c>
      <c r="E2580" t="s">
        <v>1658</v>
      </c>
      <c r="F2580" t="s">
        <v>1158</v>
      </c>
      <c r="G2580" t="s">
        <v>1755</v>
      </c>
    </row>
    <row r="2581" spans="1:7" ht="15" customHeight="1" x14ac:dyDescent="0.25">
      <c r="A2581" s="2">
        <v>46009</v>
      </c>
      <c r="B2581">
        <v>2025003582</v>
      </c>
      <c r="C2581" t="s">
        <v>1821</v>
      </c>
      <c r="D2581" s="11">
        <v>3150000</v>
      </c>
      <c r="E2581" t="s">
        <v>1637</v>
      </c>
      <c r="F2581" t="s">
        <v>989</v>
      </c>
      <c r="G2581" t="s">
        <v>1755</v>
      </c>
    </row>
    <row r="2582" spans="1:7" ht="15" customHeight="1" x14ac:dyDescent="0.25">
      <c r="A2582" s="2">
        <v>46009</v>
      </c>
      <c r="B2582">
        <v>2025003583</v>
      </c>
      <c r="C2582" t="s">
        <v>1820</v>
      </c>
      <c r="D2582" s="11">
        <v>3150000</v>
      </c>
      <c r="E2582" t="s">
        <v>2043</v>
      </c>
      <c r="F2582" t="s">
        <v>405</v>
      </c>
      <c r="G2582" t="s">
        <v>1755</v>
      </c>
    </row>
    <row r="2583" spans="1:7" ht="15" customHeight="1" x14ac:dyDescent="0.25">
      <c r="A2583" s="2">
        <v>46009</v>
      </c>
      <c r="B2583">
        <v>2025003585</v>
      </c>
      <c r="C2583" t="s">
        <v>1827</v>
      </c>
      <c r="D2583" s="11">
        <v>3150000</v>
      </c>
      <c r="E2583" t="s">
        <v>1626</v>
      </c>
      <c r="F2583" t="s">
        <v>243</v>
      </c>
      <c r="G2583" t="s">
        <v>1755</v>
      </c>
    </row>
    <row r="2584" spans="1:7" ht="15" customHeight="1" x14ac:dyDescent="0.25">
      <c r="A2584" s="2">
        <v>46009</v>
      </c>
      <c r="B2584">
        <v>2025003587</v>
      </c>
      <c r="C2584" t="s">
        <v>1824</v>
      </c>
      <c r="D2584" s="11">
        <v>4730000</v>
      </c>
      <c r="E2584" t="s">
        <v>2095</v>
      </c>
      <c r="F2584" t="s">
        <v>1825</v>
      </c>
      <c r="G2584" t="s">
        <v>1755</v>
      </c>
    </row>
    <row r="2585" spans="1:7" ht="15" customHeight="1" x14ac:dyDescent="0.25">
      <c r="A2585" s="2">
        <v>46009</v>
      </c>
      <c r="B2585">
        <v>2025003588</v>
      </c>
      <c r="C2585" t="s">
        <v>1929</v>
      </c>
      <c r="D2585" s="11">
        <v>6300000</v>
      </c>
      <c r="E2585" t="s">
        <v>2308</v>
      </c>
      <c r="F2585" t="s">
        <v>895</v>
      </c>
      <c r="G2585" t="s">
        <v>1755</v>
      </c>
    </row>
    <row r="2586" spans="1:7" ht="15" customHeight="1" x14ac:dyDescent="0.25">
      <c r="A2586" s="2">
        <v>46009</v>
      </c>
      <c r="B2586">
        <v>2025003589</v>
      </c>
      <c r="C2586" t="s">
        <v>1920</v>
      </c>
      <c r="D2586" s="11">
        <v>4730000</v>
      </c>
      <c r="E2586" t="s">
        <v>2102</v>
      </c>
      <c r="F2586" t="s">
        <v>1921</v>
      </c>
      <c r="G2586" t="s">
        <v>1755</v>
      </c>
    </row>
    <row r="2587" spans="1:7" ht="15" customHeight="1" x14ac:dyDescent="0.25">
      <c r="A2587" s="2">
        <v>46009</v>
      </c>
      <c r="B2587">
        <v>2025003590</v>
      </c>
      <c r="C2587" t="s">
        <v>1791</v>
      </c>
      <c r="D2587" s="11">
        <v>4730000</v>
      </c>
      <c r="E2587" t="s">
        <v>1614</v>
      </c>
      <c r="F2587" t="s">
        <v>735</v>
      </c>
      <c r="G2587" t="s">
        <v>1755</v>
      </c>
    </row>
    <row r="2588" spans="1:7" ht="15" customHeight="1" x14ac:dyDescent="0.25">
      <c r="A2588" s="2">
        <v>46009</v>
      </c>
      <c r="B2588">
        <v>2025003591</v>
      </c>
      <c r="C2588" t="s">
        <v>1868</v>
      </c>
      <c r="D2588" s="11">
        <v>3150000</v>
      </c>
      <c r="E2588" t="s">
        <v>1605</v>
      </c>
      <c r="F2588" t="s">
        <v>263</v>
      </c>
      <c r="G2588" t="s">
        <v>1755</v>
      </c>
    </row>
    <row r="2589" spans="1:7" ht="15" customHeight="1" x14ac:dyDescent="0.25">
      <c r="A2589" s="2">
        <v>46009</v>
      </c>
      <c r="B2589">
        <v>2025003592</v>
      </c>
      <c r="C2589" t="s">
        <v>1922</v>
      </c>
      <c r="D2589" s="11">
        <v>7800000</v>
      </c>
      <c r="E2589" t="s">
        <v>2041</v>
      </c>
      <c r="F2589" t="s">
        <v>1923</v>
      </c>
      <c r="G2589" t="s">
        <v>1755</v>
      </c>
    </row>
    <row r="2590" spans="1:7" ht="15" customHeight="1" x14ac:dyDescent="0.25">
      <c r="A2590" s="2">
        <v>46009</v>
      </c>
      <c r="B2590">
        <v>2025003593</v>
      </c>
      <c r="C2590" t="s">
        <v>2238</v>
      </c>
      <c r="D2590" s="11">
        <v>6300000</v>
      </c>
      <c r="E2590" t="s">
        <v>2239</v>
      </c>
      <c r="F2590" t="s">
        <v>2240</v>
      </c>
      <c r="G2590" t="s">
        <v>1755</v>
      </c>
    </row>
    <row r="2591" spans="1:7" ht="15" customHeight="1" x14ac:dyDescent="0.25">
      <c r="A2591" s="2">
        <v>46009</v>
      </c>
      <c r="B2591">
        <v>2025003594</v>
      </c>
      <c r="C2591" t="s">
        <v>1857</v>
      </c>
      <c r="D2591" s="11">
        <v>3150000</v>
      </c>
      <c r="E2591" t="s">
        <v>1616</v>
      </c>
      <c r="F2591" t="s">
        <v>87</v>
      </c>
      <c r="G2591" t="s">
        <v>1755</v>
      </c>
    </row>
    <row r="2592" spans="1:7" ht="15" customHeight="1" x14ac:dyDescent="0.25">
      <c r="A2592" s="2">
        <v>46009</v>
      </c>
      <c r="B2592">
        <v>2025003595</v>
      </c>
      <c r="C2592" t="s">
        <v>1916</v>
      </c>
      <c r="D2592" s="11">
        <v>6300000</v>
      </c>
      <c r="E2592" t="s">
        <v>1651</v>
      </c>
      <c r="F2592" t="s">
        <v>117</v>
      </c>
      <c r="G2592" t="s">
        <v>1755</v>
      </c>
    </row>
    <row r="2593" spans="1:7" ht="15" customHeight="1" x14ac:dyDescent="0.25">
      <c r="A2593" s="2">
        <v>46009</v>
      </c>
      <c r="B2593">
        <v>2025003596</v>
      </c>
      <c r="C2593" t="s">
        <v>1858</v>
      </c>
      <c r="D2593" s="11">
        <v>4730000</v>
      </c>
      <c r="E2593" t="s">
        <v>2077</v>
      </c>
      <c r="F2593" t="s">
        <v>1859</v>
      </c>
      <c r="G2593" t="s">
        <v>1755</v>
      </c>
    </row>
    <row r="2594" spans="1:7" ht="15" customHeight="1" x14ac:dyDescent="0.25">
      <c r="A2594" s="2">
        <v>46009</v>
      </c>
      <c r="B2594">
        <v>2025003597</v>
      </c>
      <c r="C2594" t="s">
        <v>1993</v>
      </c>
      <c r="D2594" s="11">
        <v>3150000</v>
      </c>
      <c r="E2594" t="s">
        <v>2193</v>
      </c>
      <c r="F2594" t="s">
        <v>1994</v>
      </c>
      <c r="G2594" t="s">
        <v>1755</v>
      </c>
    </row>
    <row r="2595" spans="1:7" ht="15" customHeight="1" x14ac:dyDescent="0.25">
      <c r="A2595" s="2">
        <v>46009</v>
      </c>
      <c r="B2595">
        <v>2025003598</v>
      </c>
      <c r="C2595" t="s">
        <v>1816</v>
      </c>
      <c r="D2595" s="11">
        <v>3150000</v>
      </c>
      <c r="E2595" t="s">
        <v>2101</v>
      </c>
      <c r="F2595" t="s">
        <v>1817</v>
      </c>
      <c r="G2595" t="s">
        <v>1755</v>
      </c>
    </row>
    <row r="2596" spans="1:7" ht="15" customHeight="1" x14ac:dyDescent="0.25">
      <c r="A2596" s="2">
        <v>46009</v>
      </c>
      <c r="B2596">
        <v>2025003599</v>
      </c>
      <c r="C2596" t="s">
        <v>1818</v>
      </c>
      <c r="D2596" s="11">
        <v>3150000</v>
      </c>
      <c r="E2596" t="s">
        <v>2094</v>
      </c>
      <c r="F2596" t="s">
        <v>1819</v>
      </c>
      <c r="G2596" t="s">
        <v>1755</v>
      </c>
    </row>
    <row r="2597" spans="1:7" ht="15" customHeight="1" x14ac:dyDescent="0.25">
      <c r="A2597" s="2">
        <v>46009</v>
      </c>
      <c r="B2597">
        <v>2025003600</v>
      </c>
      <c r="C2597" t="s">
        <v>2353</v>
      </c>
      <c r="D2597" s="11">
        <v>3150000</v>
      </c>
      <c r="E2597" t="s">
        <v>1698</v>
      </c>
      <c r="F2597" t="s">
        <v>115</v>
      </c>
      <c r="G2597" t="s">
        <v>1755</v>
      </c>
    </row>
    <row r="2598" spans="1:7" ht="15" customHeight="1" x14ac:dyDescent="0.25">
      <c r="A2598" s="2">
        <v>46009</v>
      </c>
      <c r="B2598">
        <v>2025003601</v>
      </c>
      <c r="C2598" s="4" t="s">
        <v>1808</v>
      </c>
      <c r="D2598" s="11">
        <v>7800000</v>
      </c>
      <c r="E2598" t="s">
        <v>2058</v>
      </c>
      <c r="F2598" t="s">
        <v>1809</v>
      </c>
      <c r="G2598" t="s">
        <v>1755</v>
      </c>
    </row>
    <row r="2599" spans="1:7" ht="15" customHeight="1" x14ac:dyDescent="0.25">
      <c r="A2599" s="2">
        <v>46009</v>
      </c>
      <c r="B2599">
        <v>2025003602</v>
      </c>
      <c r="C2599" t="s">
        <v>2195</v>
      </c>
      <c r="D2599" s="11">
        <v>3150000</v>
      </c>
      <c r="E2599" t="s">
        <v>2196</v>
      </c>
      <c r="F2599" t="s">
        <v>349</v>
      </c>
      <c r="G2599" t="s">
        <v>1755</v>
      </c>
    </row>
    <row r="2600" spans="1:7" ht="15" customHeight="1" x14ac:dyDescent="0.25">
      <c r="A2600" s="2">
        <v>46009</v>
      </c>
      <c r="B2600">
        <v>2025003603</v>
      </c>
      <c r="C2600" t="s">
        <v>1810</v>
      </c>
      <c r="D2600" s="11">
        <v>7800000</v>
      </c>
      <c r="E2600" t="s">
        <v>2056</v>
      </c>
      <c r="F2600" t="s">
        <v>1811</v>
      </c>
      <c r="G2600" t="s">
        <v>1755</v>
      </c>
    </row>
    <row r="2601" spans="1:7" ht="15" customHeight="1" x14ac:dyDescent="0.25">
      <c r="A2601" s="2">
        <v>46009</v>
      </c>
      <c r="B2601">
        <v>2025003604</v>
      </c>
      <c r="C2601" t="s">
        <v>2200</v>
      </c>
      <c r="D2601" s="11">
        <v>2000000</v>
      </c>
      <c r="E2601" t="s">
        <v>2201</v>
      </c>
      <c r="F2601" t="s">
        <v>2202</v>
      </c>
      <c r="G2601" t="s">
        <v>1755</v>
      </c>
    </row>
    <row r="2602" spans="1:7" ht="15" customHeight="1" x14ac:dyDescent="0.25">
      <c r="A2602" s="2">
        <v>46009</v>
      </c>
      <c r="B2602">
        <v>2025003605</v>
      </c>
      <c r="C2602" t="s">
        <v>2244</v>
      </c>
      <c r="D2602" s="11">
        <v>2000000</v>
      </c>
      <c r="E2602" t="s">
        <v>2245</v>
      </c>
      <c r="F2602" t="s">
        <v>2246</v>
      </c>
      <c r="G2602" t="s">
        <v>1755</v>
      </c>
    </row>
    <row r="2603" spans="1:7" ht="15" customHeight="1" x14ac:dyDescent="0.25">
      <c r="A2603" s="2">
        <v>46009</v>
      </c>
      <c r="B2603">
        <v>2025003606</v>
      </c>
      <c r="C2603" t="s">
        <v>1794</v>
      </c>
      <c r="D2603" s="11">
        <v>3150000</v>
      </c>
      <c r="E2603" t="s">
        <v>1724</v>
      </c>
      <c r="F2603" t="s">
        <v>1235</v>
      </c>
      <c r="G2603" t="s">
        <v>1755</v>
      </c>
    </row>
    <row r="2604" spans="1:7" ht="15" customHeight="1" x14ac:dyDescent="0.25">
      <c r="A2604" s="2">
        <v>46009</v>
      </c>
      <c r="B2604">
        <v>2025003607</v>
      </c>
      <c r="C2604" t="s">
        <v>1756</v>
      </c>
      <c r="D2604" s="11">
        <v>3150000</v>
      </c>
      <c r="E2604" t="s">
        <v>2052</v>
      </c>
      <c r="F2604" t="s">
        <v>1757</v>
      </c>
      <c r="G2604" t="s">
        <v>1755</v>
      </c>
    </row>
    <row r="2605" spans="1:7" ht="15" customHeight="1" x14ac:dyDescent="0.25">
      <c r="A2605" s="2">
        <v>46009</v>
      </c>
      <c r="B2605">
        <v>2025003608</v>
      </c>
      <c r="C2605" t="s">
        <v>1762</v>
      </c>
      <c r="D2605" s="11">
        <v>6300000</v>
      </c>
      <c r="E2605" t="s">
        <v>1635</v>
      </c>
      <c r="F2605" t="s">
        <v>145</v>
      </c>
      <c r="G2605" t="s">
        <v>1755</v>
      </c>
    </row>
    <row r="2606" spans="1:7" ht="15" customHeight="1" x14ac:dyDescent="0.25">
      <c r="A2606" s="2">
        <v>46009</v>
      </c>
      <c r="B2606">
        <v>2025003609</v>
      </c>
      <c r="C2606" t="s">
        <v>1767</v>
      </c>
      <c r="D2606" s="11">
        <v>3150000</v>
      </c>
      <c r="E2606" t="s">
        <v>1647</v>
      </c>
      <c r="F2606" t="s">
        <v>119</v>
      </c>
      <c r="G2606" t="s">
        <v>1755</v>
      </c>
    </row>
    <row r="2607" spans="1:7" ht="15" customHeight="1" x14ac:dyDescent="0.25">
      <c r="A2607" s="2">
        <v>46009</v>
      </c>
      <c r="B2607">
        <v>2025003610</v>
      </c>
      <c r="C2607" t="s">
        <v>1853</v>
      </c>
      <c r="D2607" s="11">
        <v>4730000</v>
      </c>
      <c r="E2607" t="s">
        <v>2033</v>
      </c>
      <c r="F2607" t="s">
        <v>355</v>
      </c>
      <c r="G2607" t="s">
        <v>1755</v>
      </c>
    </row>
    <row r="2608" spans="1:7" ht="15" customHeight="1" x14ac:dyDescent="0.25">
      <c r="A2608" s="2">
        <v>46009</v>
      </c>
      <c r="B2608">
        <v>2025003611</v>
      </c>
      <c r="C2608" t="s">
        <v>1990</v>
      </c>
      <c r="D2608" s="11">
        <v>3150000</v>
      </c>
      <c r="E2608" t="s">
        <v>2121</v>
      </c>
      <c r="F2608" t="s">
        <v>1991</v>
      </c>
      <c r="G2608" t="s">
        <v>1755</v>
      </c>
    </row>
    <row r="2609" spans="1:7" ht="15" customHeight="1" x14ac:dyDescent="0.25">
      <c r="A2609" s="2">
        <v>46009</v>
      </c>
      <c r="B2609">
        <v>2025003612</v>
      </c>
      <c r="C2609" t="s">
        <v>1866</v>
      </c>
      <c r="D2609" s="11">
        <v>3150000</v>
      </c>
      <c r="E2609" t="s">
        <v>2044</v>
      </c>
      <c r="F2609" t="s">
        <v>1867</v>
      </c>
      <c r="G2609" t="s">
        <v>1755</v>
      </c>
    </row>
    <row r="2610" spans="1:7" ht="15" customHeight="1" x14ac:dyDescent="0.25">
      <c r="A2610" s="2">
        <v>46009</v>
      </c>
      <c r="B2610">
        <v>2025003614</v>
      </c>
      <c r="C2610" t="s">
        <v>1883</v>
      </c>
      <c r="D2610" s="11">
        <v>6300000</v>
      </c>
      <c r="E2610" t="s">
        <v>2032</v>
      </c>
      <c r="F2610" t="s">
        <v>1884</v>
      </c>
      <c r="G2610" t="s">
        <v>1755</v>
      </c>
    </row>
    <row r="2611" spans="1:7" ht="15" customHeight="1" x14ac:dyDescent="0.25">
      <c r="A2611" s="2">
        <v>46009</v>
      </c>
      <c r="B2611">
        <v>2025003616</v>
      </c>
      <c r="C2611" t="s">
        <v>1758</v>
      </c>
      <c r="D2611" s="11">
        <v>3150000</v>
      </c>
      <c r="E2611" t="s">
        <v>2015</v>
      </c>
      <c r="F2611" t="s">
        <v>1759</v>
      </c>
      <c r="G2611" t="s">
        <v>1755</v>
      </c>
    </row>
    <row r="2612" spans="1:7" ht="15" customHeight="1" x14ac:dyDescent="0.25">
      <c r="A2612" s="2">
        <v>46009</v>
      </c>
      <c r="B2612">
        <v>2025003617</v>
      </c>
      <c r="C2612" t="s">
        <v>1776</v>
      </c>
      <c r="D2612" s="11">
        <v>3150000</v>
      </c>
      <c r="E2612" t="s">
        <v>2014</v>
      </c>
      <c r="F2612" t="s">
        <v>1777</v>
      </c>
      <c r="G2612" t="s">
        <v>1755</v>
      </c>
    </row>
    <row r="2613" spans="1:7" ht="15" customHeight="1" x14ac:dyDescent="0.25">
      <c r="A2613" s="2">
        <v>46009</v>
      </c>
      <c r="B2613">
        <v>2025003618</v>
      </c>
      <c r="C2613" t="s">
        <v>1870</v>
      </c>
      <c r="D2613" s="11">
        <v>4730000</v>
      </c>
      <c r="E2613" t="s">
        <v>2031</v>
      </c>
      <c r="F2613" t="s">
        <v>95</v>
      </c>
      <c r="G2613" t="s">
        <v>1755</v>
      </c>
    </row>
    <row r="2614" spans="1:7" ht="15" customHeight="1" x14ac:dyDescent="0.25">
      <c r="A2614" s="2">
        <v>46009</v>
      </c>
      <c r="B2614">
        <v>2025003620</v>
      </c>
      <c r="C2614" t="s">
        <v>1773</v>
      </c>
      <c r="D2614" s="11">
        <v>6300000</v>
      </c>
      <c r="E2614" t="s">
        <v>2036</v>
      </c>
      <c r="F2614" t="s">
        <v>1774</v>
      </c>
      <c r="G2614" t="s">
        <v>1755</v>
      </c>
    </row>
    <row r="2615" spans="1:7" ht="15" customHeight="1" x14ac:dyDescent="0.25">
      <c r="A2615" s="2">
        <v>46009</v>
      </c>
      <c r="B2615">
        <v>2025003621</v>
      </c>
      <c r="C2615" t="s">
        <v>1778</v>
      </c>
      <c r="D2615" s="11">
        <v>3150000</v>
      </c>
      <c r="E2615" t="s">
        <v>2006</v>
      </c>
      <c r="F2615" t="s">
        <v>1779</v>
      </c>
      <c r="G2615" t="s">
        <v>1755</v>
      </c>
    </row>
    <row r="2616" spans="1:7" ht="15" customHeight="1" x14ac:dyDescent="0.25">
      <c r="A2616" s="2">
        <v>46009</v>
      </c>
      <c r="B2616">
        <v>2025003623</v>
      </c>
      <c r="C2616" t="s">
        <v>2419</v>
      </c>
      <c r="D2616" s="11">
        <v>2000000</v>
      </c>
      <c r="E2616" t="s">
        <v>2420</v>
      </c>
      <c r="F2616" t="s">
        <v>219</v>
      </c>
      <c r="G2616" t="s">
        <v>1755</v>
      </c>
    </row>
    <row r="2617" spans="1:7" ht="15" customHeight="1" x14ac:dyDescent="0.25">
      <c r="A2617" s="2">
        <v>46009</v>
      </c>
      <c r="B2617">
        <v>2025003624</v>
      </c>
      <c r="C2617" t="s">
        <v>2213</v>
      </c>
      <c r="D2617" s="11">
        <v>3150000</v>
      </c>
      <c r="E2617" t="s">
        <v>1701</v>
      </c>
      <c r="F2617" t="s">
        <v>335</v>
      </c>
      <c r="G2617" t="s">
        <v>1755</v>
      </c>
    </row>
    <row r="2618" spans="1:7" ht="15" customHeight="1" x14ac:dyDescent="0.25">
      <c r="A2618" s="2">
        <v>46010</v>
      </c>
      <c r="B2618">
        <v>2025003724</v>
      </c>
      <c r="C2618" t="s">
        <v>1981</v>
      </c>
      <c r="D2618" s="11">
        <v>6300000</v>
      </c>
      <c r="E2618" t="s">
        <v>1629</v>
      </c>
      <c r="F2618" t="s">
        <v>1131</v>
      </c>
      <c r="G2618" t="s">
        <v>1755</v>
      </c>
    </row>
    <row r="2619" spans="1:7" ht="15" customHeight="1" x14ac:dyDescent="0.25">
      <c r="A2619" s="2">
        <v>46010</v>
      </c>
      <c r="B2619">
        <v>2025003625</v>
      </c>
      <c r="C2619" t="s">
        <v>2229</v>
      </c>
      <c r="D2619" s="11">
        <v>2000000</v>
      </c>
      <c r="E2619" t="s">
        <v>2230</v>
      </c>
      <c r="F2619" t="s">
        <v>2231</v>
      </c>
      <c r="G2619" t="s">
        <v>1755</v>
      </c>
    </row>
    <row r="2620" spans="1:7" ht="15" customHeight="1" x14ac:dyDescent="0.25">
      <c r="A2620" s="2">
        <v>46010</v>
      </c>
      <c r="B2620">
        <v>2025003626</v>
      </c>
      <c r="C2620" t="s">
        <v>2352</v>
      </c>
      <c r="D2620" s="11">
        <v>3150000</v>
      </c>
      <c r="E2620" t="s">
        <v>1744</v>
      </c>
      <c r="F2620" t="s">
        <v>297</v>
      </c>
      <c r="G2620" t="s">
        <v>1755</v>
      </c>
    </row>
    <row r="2621" spans="1:7" ht="15" customHeight="1" x14ac:dyDescent="0.25">
      <c r="A2621" s="2">
        <v>46010</v>
      </c>
      <c r="B2621">
        <v>2025003628</v>
      </c>
      <c r="C2621" t="s">
        <v>2170</v>
      </c>
      <c r="D2621" s="11">
        <v>3150000</v>
      </c>
      <c r="E2621" t="s">
        <v>2171</v>
      </c>
      <c r="F2621" t="s">
        <v>2172</v>
      </c>
      <c r="G2621" t="s">
        <v>1755</v>
      </c>
    </row>
    <row r="2622" spans="1:7" ht="15" customHeight="1" x14ac:dyDescent="0.25">
      <c r="A2622" s="2">
        <v>46010</v>
      </c>
      <c r="B2622">
        <v>2025003629</v>
      </c>
      <c r="C2622" t="s">
        <v>2165</v>
      </c>
      <c r="D2622" s="11">
        <v>3150000</v>
      </c>
      <c r="E2622" t="s">
        <v>2166</v>
      </c>
      <c r="F2622" t="s">
        <v>567</v>
      </c>
      <c r="G2622" t="s">
        <v>1755</v>
      </c>
    </row>
    <row r="2623" spans="1:7" ht="15" customHeight="1" x14ac:dyDescent="0.25">
      <c r="A2623" s="2">
        <v>46010</v>
      </c>
      <c r="B2623">
        <v>2025003630</v>
      </c>
      <c r="C2623" t="s">
        <v>2378</v>
      </c>
      <c r="D2623" s="11">
        <v>3150000</v>
      </c>
      <c r="E2623" t="s">
        <v>2379</v>
      </c>
      <c r="F2623" t="s">
        <v>2380</v>
      </c>
      <c r="G2623" t="s">
        <v>1755</v>
      </c>
    </row>
    <row r="2624" spans="1:7" ht="15" customHeight="1" x14ac:dyDescent="0.25">
      <c r="A2624" s="2">
        <v>46010</v>
      </c>
      <c r="B2624">
        <v>2025003632</v>
      </c>
      <c r="C2624" t="s">
        <v>2364</v>
      </c>
      <c r="D2624" s="11">
        <v>3150000</v>
      </c>
      <c r="E2624" t="s">
        <v>2365</v>
      </c>
      <c r="F2624" t="s">
        <v>496</v>
      </c>
      <c r="G2624" t="s">
        <v>1755</v>
      </c>
    </row>
    <row r="2625" spans="1:7" ht="15" customHeight="1" x14ac:dyDescent="0.25">
      <c r="A2625" s="2">
        <v>46010</v>
      </c>
      <c r="B2625">
        <v>2025003633</v>
      </c>
      <c r="C2625" t="s">
        <v>2129</v>
      </c>
      <c r="D2625" s="11">
        <v>3150000</v>
      </c>
      <c r="E2625" t="s">
        <v>2130</v>
      </c>
      <c r="F2625" t="s">
        <v>1056</v>
      </c>
      <c r="G2625" t="s">
        <v>1755</v>
      </c>
    </row>
    <row r="2626" spans="1:7" ht="15" customHeight="1" x14ac:dyDescent="0.25">
      <c r="A2626" s="2">
        <v>46010</v>
      </c>
      <c r="B2626">
        <v>2025003635</v>
      </c>
      <c r="C2626" t="s">
        <v>1849</v>
      </c>
      <c r="D2626" s="11">
        <v>7800000</v>
      </c>
      <c r="E2626" t="s">
        <v>1620</v>
      </c>
      <c r="F2626" t="s">
        <v>41</v>
      </c>
      <c r="G2626" t="s">
        <v>1755</v>
      </c>
    </row>
    <row r="2627" spans="1:7" ht="15" customHeight="1" x14ac:dyDescent="0.25">
      <c r="A2627" s="2">
        <v>46010</v>
      </c>
      <c r="B2627">
        <v>2025003636</v>
      </c>
      <c r="C2627" t="s">
        <v>1875</v>
      </c>
      <c r="D2627" s="11">
        <v>7800000</v>
      </c>
      <c r="E2627" t="s">
        <v>1708</v>
      </c>
      <c r="F2627" t="s">
        <v>1218</v>
      </c>
      <c r="G2627" t="s">
        <v>1755</v>
      </c>
    </row>
    <row r="2628" spans="1:7" ht="15" customHeight="1" x14ac:dyDescent="0.25">
      <c r="A2628" s="2">
        <v>46010</v>
      </c>
      <c r="B2628">
        <v>2025003637</v>
      </c>
      <c r="C2628" t="s">
        <v>2232</v>
      </c>
      <c r="D2628" s="11">
        <v>2000000</v>
      </c>
      <c r="E2628" t="s">
        <v>2233</v>
      </c>
      <c r="F2628" t="s">
        <v>2234</v>
      </c>
      <c r="G2628" t="s">
        <v>1755</v>
      </c>
    </row>
    <row r="2629" spans="1:7" ht="15" customHeight="1" x14ac:dyDescent="0.25">
      <c r="A2629" s="2">
        <v>46010</v>
      </c>
      <c r="B2629">
        <v>2025003638</v>
      </c>
      <c r="C2629" t="s">
        <v>1905</v>
      </c>
      <c r="D2629" s="11">
        <v>7800000</v>
      </c>
      <c r="E2629" t="s">
        <v>1619</v>
      </c>
      <c r="F2629" t="s">
        <v>745</v>
      </c>
      <c r="G2629" t="s">
        <v>1755</v>
      </c>
    </row>
    <row r="2630" spans="1:7" ht="15" customHeight="1" x14ac:dyDescent="0.25">
      <c r="A2630" s="2">
        <v>46010</v>
      </c>
      <c r="B2630">
        <v>2025003641</v>
      </c>
      <c r="C2630" t="s">
        <v>1969</v>
      </c>
      <c r="D2630" s="11">
        <v>7800000</v>
      </c>
      <c r="E2630" t="s">
        <v>2222</v>
      </c>
      <c r="F2630" t="s">
        <v>1970</v>
      </c>
      <c r="G2630" t="s">
        <v>1755</v>
      </c>
    </row>
    <row r="2631" spans="1:7" ht="15" customHeight="1" x14ac:dyDescent="0.25">
      <c r="A2631" s="2">
        <v>46010</v>
      </c>
      <c r="B2631">
        <v>2025003642</v>
      </c>
      <c r="C2631" t="s">
        <v>2424</v>
      </c>
      <c r="D2631" s="11">
        <v>2000000</v>
      </c>
      <c r="E2631" t="s">
        <v>2425</v>
      </c>
      <c r="F2631" t="s">
        <v>2426</v>
      </c>
      <c r="G2631" t="s">
        <v>1755</v>
      </c>
    </row>
    <row r="2632" spans="1:7" ht="15" customHeight="1" x14ac:dyDescent="0.25">
      <c r="A2632" s="2">
        <v>46010</v>
      </c>
      <c r="B2632">
        <v>2025003644</v>
      </c>
      <c r="C2632" t="s">
        <v>2427</v>
      </c>
      <c r="D2632" s="11">
        <v>3150000</v>
      </c>
      <c r="E2632" t="s">
        <v>1752</v>
      </c>
      <c r="F2632" t="s">
        <v>470</v>
      </c>
      <c r="G2632" t="s">
        <v>1755</v>
      </c>
    </row>
    <row r="2633" spans="1:7" ht="15" customHeight="1" x14ac:dyDescent="0.25">
      <c r="A2633" s="2">
        <v>46010</v>
      </c>
      <c r="B2633">
        <v>2025003650</v>
      </c>
      <c r="C2633" t="s">
        <v>2428</v>
      </c>
      <c r="D2633" s="11">
        <v>3150000</v>
      </c>
      <c r="E2633" t="s">
        <v>1740</v>
      </c>
      <c r="F2633" t="s">
        <v>682</v>
      </c>
      <c r="G2633" t="s">
        <v>1755</v>
      </c>
    </row>
    <row r="2634" spans="1:7" ht="15" customHeight="1" x14ac:dyDescent="0.25">
      <c r="A2634" s="2">
        <v>46010</v>
      </c>
      <c r="B2634">
        <v>2025003652</v>
      </c>
      <c r="C2634" t="s">
        <v>2168</v>
      </c>
      <c r="D2634" s="11">
        <v>3150000</v>
      </c>
      <c r="E2634" t="s">
        <v>2169</v>
      </c>
      <c r="F2634" t="s">
        <v>950</v>
      </c>
      <c r="G2634" t="s">
        <v>1755</v>
      </c>
    </row>
    <row r="2635" spans="1:7" ht="15" customHeight="1" x14ac:dyDescent="0.25">
      <c r="A2635" s="2">
        <v>46010</v>
      </c>
      <c r="B2635">
        <v>2025003661</v>
      </c>
      <c r="C2635" t="s">
        <v>1919</v>
      </c>
      <c r="D2635" s="11">
        <v>4730000</v>
      </c>
      <c r="E2635" t="s">
        <v>2289</v>
      </c>
      <c r="F2635" t="s">
        <v>900</v>
      </c>
      <c r="G2635" t="s">
        <v>1755</v>
      </c>
    </row>
    <row r="2636" spans="1:7" ht="15" customHeight="1" x14ac:dyDescent="0.25">
      <c r="A2636" s="2">
        <v>46010</v>
      </c>
      <c r="B2636">
        <v>2025003662</v>
      </c>
      <c r="C2636" t="s">
        <v>1977</v>
      </c>
      <c r="D2636" s="11">
        <v>3150000</v>
      </c>
      <c r="E2636" t="s">
        <v>1612</v>
      </c>
      <c r="F2636" t="s">
        <v>562</v>
      </c>
      <c r="G2636" t="s">
        <v>1755</v>
      </c>
    </row>
    <row r="2637" spans="1:7" ht="15" customHeight="1" x14ac:dyDescent="0.25">
      <c r="A2637" s="2">
        <v>46010</v>
      </c>
      <c r="B2637">
        <v>2025003663</v>
      </c>
      <c r="C2637" t="s">
        <v>1840</v>
      </c>
      <c r="D2637" s="11">
        <v>7800000</v>
      </c>
      <c r="E2637" t="s">
        <v>2051</v>
      </c>
      <c r="F2637" t="s">
        <v>1841</v>
      </c>
      <c r="G2637" t="s">
        <v>1755</v>
      </c>
    </row>
    <row r="2638" spans="1:7" ht="15" customHeight="1" x14ac:dyDescent="0.25">
      <c r="A2638" s="2">
        <v>46010</v>
      </c>
      <c r="B2638">
        <v>2025003664</v>
      </c>
      <c r="C2638" t="s">
        <v>1832</v>
      </c>
      <c r="D2638" s="11">
        <v>3150000</v>
      </c>
      <c r="E2638" t="s">
        <v>1695</v>
      </c>
      <c r="F2638" t="s">
        <v>477</v>
      </c>
      <c r="G2638" t="s">
        <v>1755</v>
      </c>
    </row>
    <row r="2639" spans="1:7" ht="15" customHeight="1" x14ac:dyDescent="0.25">
      <c r="A2639" s="2">
        <v>46010</v>
      </c>
      <c r="B2639">
        <v>2025003665</v>
      </c>
      <c r="C2639" t="s">
        <v>1896</v>
      </c>
      <c r="D2639" s="11">
        <v>3150000</v>
      </c>
      <c r="E2639" t="s">
        <v>2063</v>
      </c>
      <c r="F2639" t="s">
        <v>1897</v>
      </c>
      <c r="G2639" t="s">
        <v>1755</v>
      </c>
    </row>
    <row r="2640" spans="1:7" ht="15" customHeight="1" x14ac:dyDescent="0.25">
      <c r="A2640" s="2">
        <v>46010</v>
      </c>
      <c r="B2640">
        <v>2025003666</v>
      </c>
      <c r="C2640" t="s">
        <v>1911</v>
      </c>
      <c r="D2640" s="11">
        <v>3150000</v>
      </c>
      <c r="E2640" t="s">
        <v>1648</v>
      </c>
      <c r="F2640" t="s">
        <v>251</v>
      </c>
      <c r="G2640" t="s">
        <v>1755</v>
      </c>
    </row>
    <row r="2641" spans="1:7" ht="15" customHeight="1" x14ac:dyDescent="0.25">
      <c r="A2641" s="2">
        <v>46010</v>
      </c>
      <c r="B2641">
        <v>2025003667</v>
      </c>
      <c r="C2641" t="s">
        <v>1962</v>
      </c>
      <c r="D2641" s="11">
        <v>4730000</v>
      </c>
      <c r="E2641" t="s">
        <v>2111</v>
      </c>
      <c r="F2641" t="s">
        <v>91</v>
      </c>
      <c r="G2641" t="s">
        <v>1755</v>
      </c>
    </row>
    <row r="2642" spans="1:7" ht="15" customHeight="1" x14ac:dyDescent="0.25">
      <c r="A2642" s="2">
        <v>46010</v>
      </c>
      <c r="B2642">
        <v>2025003668</v>
      </c>
      <c r="C2642" t="s">
        <v>2343</v>
      </c>
      <c r="D2642" s="11">
        <v>3150000</v>
      </c>
      <c r="E2642" t="s">
        <v>2344</v>
      </c>
      <c r="F2642" t="s">
        <v>197</v>
      </c>
      <c r="G2642" t="s">
        <v>1755</v>
      </c>
    </row>
    <row r="2643" spans="1:7" ht="15" customHeight="1" x14ac:dyDescent="0.25">
      <c r="A2643" s="2">
        <v>46010</v>
      </c>
      <c r="B2643">
        <v>2025003669</v>
      </c>
      <c r="C2643" t="s">
        <v>1877</v>
      </c>
      <c r="D2643" s="11">
        <v>3150000</v>
      </c>
      <c r="E2643" t="s">
        <v>1719</v>
      </c>
      <c r="F2643" t="s">
        <v>1230</v>
      </c>
      <c r="G2643" t="s">
        <v>1755</v>
      </c>
    </row>
    <row r="2644" spans="1:7" ht="15" customHeight="1" x14ac:dyDescent="0.25">
      <c r="A2644" s="2">
        <v>46010</v>
      </c>
      <c r="B2644">
        <v>2025003670</v>
      </c>
      <c r="C2644" t="s">
        <v>1971</v>
      </c>
      <c r="D2644" s="11">
        <v>3150000</v>
      </c>
      <c r="E2644" t="s">
        <v>2167</v>
      </c>
      <c r="F2644" t="s">
        <v>701</v>
      </c>
      <c r="G2644" t="s">
        <v>1755</v>
      </c>
    </row>
    <row r="2645" spans="1:7" ht="15" customHeight="1" x14ac:dyDescent="0.25">
      <c r="A2645" s="2">
        <v>46010</v>
      </c>
      <c r="B2645">
        <v>2025003671</v>
      </c>
      <c r="C2645" t="s">
        <v>2428</v>
      </c>
      <c r="D2645" s="11">
        <v>3150000</v>
      </c>
      <c r="E2645" t="s">
        <v>1740</v>
      </c>
      <c r="F2645" t="s">
        <v>682</v>
      </c>
      <c r="G2645" t="s">
        <v>1755</v>
      </c>
    </row>
    <row r="2646" spans="1:7" ht="15" customHeight="1" x14ac:dyDescent="0.25">
      <c r="A2646" s="2">
        <v>46010</v>
      </c>
      <c r="B2646">
        <v>2025003672</v>
      </c>
      <c r="C2646" t="s">
        <v>2135</v>
      </c>
      <c r="D2646" s="11">
        <v>2000000</v>
      </c>
      <c r="E2646" t="s">
        <v>2136</v>
      </c>
      <c r="F2646" t="s">
        <v>2137</v>
      </c>
      <c r="G2646" t="s">
        <v>1755</v>
      </c>
    </row>
    <row r="2647" spans="1:7" ht="15" customHeight="1" x14ac:dyDescent="0.25">
      <c r="A2647" s="2">
        <v>46010</v>
      </c>
      <c r="B2647">
        <v>2025003673</v>
      </c>
      <c r="C2647" t="s">
        <v>2363</v>
      </c>
      <c r="D2647" s="11">
        <v>2000000</v>
      </c>
      <c r="E2647" t="s">
        <v>1734</v>
      </c>
      <c r="F2647" t="s">
        <v>283</v>
      </c>
      <c r="G2647" t="s">
        <v>1755</v>
      </c>
    </row>
    <row r="2648" spans="1:7" ht="15" customHeight="1" x14ac:dyDescent="0.25">
      <c r="A2648" s="2">
        <v>46010</v>
      </c>
      <c r="B2648">
        <v>2025003674</v>
      </c>
      <c r="C2648" t="s">
        <v>2168</v>
      </c>
      <c r="D2648" s="11">
        <v>3150000</v>
      </c>
      <c r="E2648" t="s">
        <v>2169</v>
      </c>
      <c r="F2648" t="s">
        <v>950</v>
      </c>
      <c r="G2648" t="s">
        <v>1755</v>
      </c>
    </row>
    <row r="2649" spans="1:7" ht="15" customHeight="1" x14ac:dyDescent="0.25">
      <c r="A2649" s="2">
        <v>46010</v>
      </c>
      <c r="B2649">
        <v>2025003675</v>
      </c>
      <c r="C2649" t="s">
        <v>2340</v>
      </c>
      <c r="D2649" s="11">
        <v>3150000</v>
      </c>
      <c r="E2649" t="s">
        <v>1736</v>
      </c>
      <c r="F2649" t="s">
        <v>467</v>
      </c>
      <c r="G2649" t="s">
        <v>1755</v>
      </c>
    </row>
    <row r="2650" spans="1:7" ht="15" customHeight="1" x14ac:dyDescent="0.25">
      <c r="A2650" s="2">
        <v>46010</v>
      </c>
      <c r="B2650">
        <v>2025003676</v>
      </c>
      <c r="C2650" s="4" t="s">
        <v>1787</v>
      </c>
      <c r="D2650" s="11">
        <v>3150000</v>
      </c>
      <c r="E2650" t="s">
        <v>1730</v>
      </c>
      <c r="F2650" t="s">
        <v>37</v>
      </c>
      <c r="G2650" t="s">
        <v>1755</v>
      </c>
    </row>
    <row r="2651" spans="1:7" ht="15" customHeight="1" x14ac:dyDescent="0.25">
      <c r="A2651" s="2">
        <v>46010</v>
      </c>
      <c r="B2651">
        <v>2025003677</v>
      </c>
      <c r="C2651" t="s">
        <v>2369</v>
      </c>
      <c r="D2651" s="11">
        <v>2000000</v>
      </c>
      <c r="E2651" t="s">
        <v>2370</v>
      </c>
      <c r="F2651" t="s">
        <v>976</v>
      </c>
      <c r="G2651" t="s">
        <v>1755</v>
      </c>
    </row>
    <row r="2652" spans="1:7" ht="15" customHeight="1" x14ac:dyDescent="0.25">
      <c r="A2652" s="2">
        <v>46010</v>
      </c>
      <c r="B2652">
        <v>2025003678</v>
      </c>
      <c r="C2652" t="s">
        <v>2357</v>
      </c>
      <c r="D2652" s="11">
        <v>3150000</v>
      </c>
      <c r="E2652" t="s">
        <v>2358</v>
      </c>
      <c r="F2652" t="s">
        <v>2359</v>
      </c>
      <c r="G2652" t="s">
        <v>1755</v>
      </c>
    </row>
    <row r="2653" spans="1:7" ht="15" customHeight="1" x14ac:dyDescent="0.25">
      <c r="A2653" s="2">
        <v>46010</v>
      </c>
      <c r="B2653">
        <v>2025003679</v>
      </c>
      <c r="C2653" t="s">
        <v>1904</v>
      </c>
      <c r="D2653" s="11">
        <v>6300000</v>
      </c>
      <c r="E2653" t="s">
        <v>2138</v>
      </c>
      <c r="F2653" t="s">
        <v>1084</v>
      </c>
      <c r="G2653" t="s">
        <v>1755</v>
      </c>
    </row>
    <row r="2654" spans="1:7" ht="15" customHeight="1" x14ac:dyDescent="0.25">
      <c r="A2654" s="2">
        <v>46010</v>
      </c>
      <c r="B2654">
        <v>2025003680</v>
      </c>
      <c r="C2654" t="s">
        <v>2223</v>
      </c>
      <c r="D2654" s="11">
        <v>2000000</v>
      </c>
      <c r="E2654" t="s">
        <v>2224</v>
      </c>
      <c r="F2654" t="s">
        <v>2225</v>
      </c>
      <c r="G2654" t="s">
        <v>1755</v>
      </c>
    </row>
    <row r="2655" spans="1:7" ht="15" customHeight="1" x14ac:dyDescent="0.25">
      <c r="A2655" s="2">
        <v>46010</v>
      </c>
      <c r="B2655">
        <v>2025003682</v>
      </c>
      <c r="C2655" t="s">
        <v>2384</v>
      </c>
      <c r="D2655" s="11">
        <v>2000000</v>
      </c>
      <c r="E2655" t="s">
        <v>2385</v>
      </c>
      <c r="F2655" t="s">
        <v>2386</v>
      </c>
      <c r="G2655" t="s">
        <v>1755</v>
      </c>
    </row>
    <row r="2656" spans="1:7" ht="15" customHeight="1" x14ac:dyDescent="0.25">
      <c r="A2656" s="2">
        <v>46010</v>
      </c>
      <c r="B2656">
        <v>2025003683</v>
      </c>
      <c r="C2656" t="s">
        <v>2341</v>
      </c>
      <c r="D2656" s="11">
        <v>3150000</v>
      </c>
      <c r="E2656" t="s">
        <v>2342</v>
      </c>
      <c r="F2656" t="s">
        <v>499</v>
      </c>
      <c r="G2656" t="s">
        <v>1755</v>
      </c>
    </row>
    <row r="2657" spans="1:7" ht="15" customHeight="1" x14ac:dyDescent="0.25">
      <c r="A2657" s="2">
        <v>46010</v>
      </c>
      <c r="B2657">
        <v>2025003684</v>
      </c>
      <c r="C2657" t="s">
        <v>2381</v>
      </c>
      <c r="D2657" s="11">
        <v>2000000</v>
      </c>
      <c r="E2657" t="s">
        <v>2382</v>
      </c>
      <c r="F2657" t="s">
        <v>2383</v>
      </c>
      <c r="G2657" t="s">
        <v>1755</v>
      </c>
    </row>
    <row r="2658" spans="1:7" ht="15" customHeight="1" x14ac:dyDescent="0.25">
      <c r="A2658" s="2">
        <v>46010</v>
      </c>
      <c r="B2658">
        <v>2025003685</v>
      </c>
      <c r="C2658" t="s">
        <v>1790</v>
      </c>
      <c r="D2658" s="11">
        <v>6300000</v>
      </c>
      <c r="E2658" t="s">
        <v>2210</v>
      </c>
      <c r="F2658" t="s">
        <v>337</v>
      </c>
      <c r="G2658" t="s">
        <v>1755</v>
      </c>
    </row>
    <row r="2659" spans="1:7" ht="15" customHeight="1" x14ac:dyDescent="0.25">
      <c r="A2659" s="2">
        <v>46010</v>
      </c>
      <c r="B2659">
        <v>2025003686</v>
      </c>
      <c r="C2659" t="s">
        <v>2235</v>
      </c>
      <c r="D2659" s="11">
        <v>2000000</v>
      </c>
      <c r="E2659" t="s">
        <v>2236</v>
      </c>
      <c r="F2659" t="s">
        <v>2237</v>
      </c>
      <c r="G2659" t="s">
        <v>1755</v>
      </c>
    </row>
    <row r="2660" spans="1:7" ht="15" customHeight="1" x14ac:dyDescent="0.25">
      <c r="A2660" s="2">
        <v>46010</v>
      </c>
      <c r="B2660">
        <v>2025003687</v>
      </c>
      <c r="C2660" t="s">
        <v>1976</v>
      </c>
      <c r="D2660" s="11">
        <v>3150000</v>
      </c>
      <c r="E2660" t="s">
        <v>1604</v>
      </c>
      <c r="F2660" t="s">
        <v>1110</v>
      </c>
      <c r="G2660" t="s">
        <v>1755</v>
      </c>
    </row>
    <row r="2661" spans="1:7" ht="15" customHeight="1" x14ac:dyDescent="0.25">
      <c r="A2661" s="2">
        <v>46010</v>
      </c>
      <c r="B2661">
        <v>2025003688</v>
      </c>
      <c r="C2661" t="s">
        <v>2376</v>
      </c>
      <c r="D2661" s="11">
        <v>3150000</v>
      </c>
      <c r="E2661" t="s">
        <v>2377</v>
      </c>
      <c r="F2661" t="s">
        <v>1269</v>
      </c>
      <c r="G2661" t="s">
        <v>1755</v>
      </c>
    </row>
    <row r="2662" spans="1:7" ht="15" customHeight="1" x14ac:dyDescent="0.25">
      <c r="A2662" s="2">
        <v>46010</v>
      </c>
      <c r="B2662">
        <v>2025003689</v>
      </c>
      <c r="C2662" t="s">
        <v>1963</v>
      </c>
      <c r="D2662" s="11">
        <v>7800000</v>
      </c>
      <c r="E2662" t="s">
        <v>2023</v>
      </c>
      <c r="F2662" t="s">
        <v>1964</v>
      </c>
      <c r="G2662" t="s">
        <v>1755</v>
      </c>
    </row>
    <row r="2663" spans="1:7" ht="15" customHeight="1" x14ac:dyDescent="0.25">
      <c r="A2663" s="2">
        <v>46010</v>
      </c>
      <c r="B2663">
        <v>2025003690</v>
      </c>
      <c r="C2663" t="s">
        <v>1786</v>
      </c>
      <c r="D2663" s="11">
        <v>3150000</v>
      </c>
      <c r="E2663" t="s">
        <v>1688</v>
      </c>
      <c r="F2663" t="s">
        <v>33</v>
      </c>
      <c r="G2663" t="s">
        <v>1755</v>
      </c>
    </row>
    <row r="2664" spans="1:7" ht="15" customHeight="1" x14ac:dyDescent="0.25">
      <c r="A2664" s="2">
        <v>46010</v>
      </c>
      <c r="B2664">
        <v>2025003691</v>
      </c>
      <c r="C2664" t="s">
        <v>1938</v>
      </c>
      <c r="D2664" s="11">
        <v>6300000</v>
      </c>
      <c r="E2664" t="s">
        <v>2060</v>
      </c>
      <c r="F2664" t="s">
        <v>1939</v>
      </c>
      <c r="G2664" t="s">
        <v>1755</v>
      </c>
    </row>
    <row r="2665" spans="1:7" ht="15" customHeight="1" x14ac:dyDescent="0.25">
      <c r="A2665" s="2">
        <v>46010</v>
      </c>
      <c r="B2665">
        <v>2025003692</v>
      </c>
      <c r="C2665" t="s">
        <v>2345</v>
      </c>
      <c r="D2665" s="11">
        <v>3150000</v>
      </c>
      <c r="E2665" t="s">
        <v>2346</v>
      </c>
      <c r="F2665" t="s">
        <v>2347</v>
      </c>
      <c r="G2665" t="s">
        <v>1755</v>
      </c>
    </row>
    <row r="2666" spans="1:7" ht="15" customHeight="1" x14ac:dyDescent="0.25">
      <c r="A2666" s="2">
        <v>46010</v>
      </c>
      <c r="B2666">
        <v>2025003693</v>
      </c>
      <c r="C2666" t="s">
        <v>2122</v>
      </c>
      <c r="D2666" s="11">
        <v>2000000</v>
      </c>
      <c r="E2666" t="s">
        <v>1642</v>
      </c>
      <c r="F2666" t="s">
        <v>51</v>
      </c>
      <c r="G2666" t="s">
        <v>1755</v>
      </c>
    </row>
    <row r="2667" spans="1:7" ht="15" customHeight="1" x14ac:dyDescent="0.25">
      <c r="A2667" s="2">
        <v>46010</v>
      </c>
      <c r="B2667">
        <v>2025003694</v>
      </c>
      <c r="C2667" t="s">
        <v>2126</v>
      </c>
      <c r="D2667" s="11">
        <v>2000000</v>
      </c>
      <c r="E2667" t="s">
        <v>2127</v>
      </c>
      <c r="F2667" t="s">
        <v>2128</v>
      </c>
      <c r="G2667" t="s">
        <v>1755</v>
      </c>
    </row>
    <row r="2668" spans="1:7" ht="15" customHeight="1" x14ac:dyDescent="0.25">
      <c r="A2668" s="2">
        <v>46010</v>
      </c>
      <c r="B2668">
        <v>2025003695</v>
      </c>
      <c r="C2668" t="s">
        <v>1912</v>
      </c>
      <c r="D2668" s="11">
        <v>3150000</v>
      </c>
      <c r="E2668" t="s">
        <v>1691</v>
      </c>
      <c r="F2668" t="s">
        <v>1202</v>
      </c>
      <c r="G2668" t="s">
        <v>1755</v>
      </c>
    </row>
    <row r="2669" spans="1:7" ht="15" customHeight="1" x14ac:dyDescent="0.25">
      <c r="A2669" s="2">
        <v>46010</v>
      </c>
      <c r="B2669">
        <v>2025003697</v>
      </c>
      <c r="C2669" t="s">
        <v>2387</v>
      </c>
      <c r="D2669" s="11">
        <v>3150000</v>
      </c>
      <c r="E2669" t="s">
        <v>2388</v>
      </c>
      <c r="F2669" t="s">
        <v>2389</v>
      </c>
      <c r="G2669" t="s">
        <v>1755</v>
      </c>
    </row>
    <row r="2670" spans="1:7" ht="15" customHeight="1" x14ac:dyDescent="0.25">
      <c r="A2670" s="2">
        <v>46010</v>
      </c>
      <c r="B2670">
        <v>2025003698</v>
      </c>
      <c r="C2670" t="s">
        <v>1978</v>
      </c>
      <c r="D2670" s="11">
        <v>6300000</v>
      </c>
      <c r="E2670" t="s">
        <v>1665</v>
      </c>
      <c r="F2670" t="s">
        <v>453</v>
      </c>
      <c r="G2670" t="s">
        <v>1755</v>
      </c>
    </row>
    <row r="2671" spans="1:7" ht="15" customHeight="1" x14ac:dyDescent="0.25">
      <c r="A2671" s="2">
        <v>46010</v>
      </c>
      <c r="B2671">
        <v>2025003699</v>
      </c>
      <c r="C2671" t="s">
        <v>2427</v>
      </c>
      <c r="D2671" s="11">
        <v>3150000</v>
      </c>
      <c r="E2671" t="s">
        <v>1752</v>
      </c>
      <c r="F2671" t="s">
        <v>470</v>
      </c>
      <c r="G2671" t="s">
        <v>1755</v>
      </c>
    </row>
    <row r="2672" spans="1:7" ht="15" customHeight="1" x14ac:dyDescent="0.25">
      <c r="A2672" s="2">
        <v>46010</v>
      </c>
      <c r="B2672">
        <v>2025003700</v>
      </c>
      <c r="C2672" t="s">
        <v>2348</v>
      </c>
      <c r="D2672" s="11">
        <v>3150000</v>
      </c>
      <c r="E2672" t="s">
        <v>2349</v>
      </c>
      <c r="F2672" t="s">
        <v>2350</v>
      </c>
      <c r="G2672" t="s">
        <v>1755</v>
      </c>
    </row>
    <row r="2673" spans="1:7" ht="15" customHeight="1" x14ac:dyDescent="0.25">
      <c r="A2673" s="2">
        <v>46010</v>
      </c>
      <c r="B2673">
        <v>2025003701</v>
      </c>
      <c r="C2673" t="s">
        <v>2339</v>
      </c>
      <c r="D2673" s="11">
        <v>3150000</v>
      </c>
      <c r="E2673" t="s">
        <v>1726</v>
      </c>
      <c r="F2673" t="s">
        <v>1242</v>
      </c>
      <c r="G2673" t="s">
        <v>1755</v>
      </c>
    </row>
    <row r="2674" spans="1:7" ht="15" customHeight="1" x14ac:dyDescent="0.25">
      <c r="A2674" s="2">
        <v>46010</v>
      </c>
      <c r="B2674">
        <v>2025003702</v>
      </c>
      <c r="C2674" t="s">
        <v>1979</v>
      </c>
      <c r="D2674" s="11">
        <v>4730000</v>
      </c>
      <c r="E2674" t="s">
        <v>1644</v>
      </c>
      <c r="F2674" t="s">
        <v>571</v>
      </c>
      <c r="G2674" t="s">
        <v>1755</v>
      </c>
    </row>
    <row r="2675" spans="1:7" ht="15" customHeight="1" x14ac:dyDescent="0.25">
      <c r="A2675" s="2">
        <v>46010</v>
      </c>
      <c r="B2675">
        <v>2025003703</v>
      </c>
      <c r="C2675" t="s">
        <v>2001</v>
      </c>
      <c r="D2675" s="11">
        <v>4730000</v>
      </c>
      <c r="E2675" t="s">
        <v>2002</v>
      </c>
      <c r="F2675" t="s">
        <v>47</v>
      </c>
      <c r="G2675" t="s">
        <v>1755</v>
      </c>
    </row>
    <row r="2676" spans="1:7" ht="15" customHeight="1" x14ac:dyDescent="0.25">
      <c r="A2676" s="2">
        <v>46010</v>
      </c>
      <c r="B2676">
        <v>2025003704</v>
      </c>
      <c r="C2676" t="s">
        <v>2173</v>
      </c>
      <c r="D2676" s="11">
        <v>4730000</v>
      </c>
      <c r="E2676" t="s">
        <v>2174</v>
      </c>
      <c r="F2676" t="s">
        <v>2175</v>
      </c>
      <c r="G2676" t="s">
        <v>1755</v>
      </c>
    </row>
    <row r="2677" spans="1:7" ht="15" customHeight="1" x14ac:dyDescent="0.25">
      <c r="A2677" s="2">
        <v>46010</v>
      </c>
      <c r="B2677">
        <v>2025003705</v>
      </c>
      <c r="C2677" t="s">
        <v>1789</v>
      </c>
      <c r="D2677" s="11">
        <v>6300000</v>
      </c>
      <c r="E2677" t="s">
        <v>1683</v>
      </c>
      <c r="F2677" t="s">
        <v>1192</v>
      </c>
      <c r="G2677" t="s">
        <v>1755</v>
      </c>
    </row>
    <row r="2678" spans="1:7" ht="15" customHeight="1" x14ac:dyDescent="0.25">
      <c r="A2678" s="2">
        <v>46010</v>
      </c>
      <c r="B2678">
        <v>2025003706</v>
      </c>
      <c r="C2678" t="s">
        <v>2176</v>
      </c>
      <c r="D2678" s="11">
        <v>4730000</v>
      </c>
      <c r="E2678" t="s">
        <v>2177</v>
      </c>
      <c r="F2678" t="s">
        <v>155</v>
      </c>
      <c r="G2678" t="s">
        <v>1755</v>
      </c>
    </row>
    <row r="2679" spans="1:7" ht="15" customHeight="1" x14ac:dyDescent="0.25">
      <c r="A2679" s="2">
        <v>46010</v>
      </c>
      <c r="B2679">
        <v>2025003707</v>
      </c>
      <c r="C2679" t="s">
        <v>2203</v>
      </c>
      <c r="D2679" s="11">
        <v>3150000</v>
      </c>
      <c r="E2679" t="s">
        <v>2204</v>
      </c>
      <c r="F2679" t="s">
        <v>215</v>
      </c>
      <c r="G2679" t="s">
        <v>1755</v>
      </c>
    </row>
    <row r="2680" spans="1:7" ht="15" customHeight="1" x14ac:dyDescent="0.25">
      <c r="A2680" s="2">
        <v>46010</v>
      </c>
      <c r="B2680">
        <v>2025003708</v>
      </c>
      <c r="C2680" t="s">
        <v>1785</v>
      </c>
      <c r="D2680" s="11">
        <v>3150000</v>
      </c>
      <c r="E2680" t="s">
        <v>2131</v>
      </c>
      <c r="F2680" t="s">
        <v>595</v>
      </c>
      <c r="G2680" t="s">
        <v>1755</v>
      </c>
    </row>
    <row r="2681" spans="1:7" ht="15" customHeight="1" x14ac:dyDescent="0.25">
      <c r="A2681" s="2">
        <v>46010</v>
      </c>
      <c r="B2681">
        <v>2025003709</v>
      </c>
      <c r="C2681" t="s">
        <v>1972</v>
      </c>
      <c r="D2681" s="11">
        <v>3150000</v>
      </c>
      <c r="E2681" t="s">
        <v>2164</v>
      </c>
      <c r="F2681" t="s">
        <v>1973</v>
      </c>
      <c r="G2681" t="s">
        <v>1755</v>
      </c>
    </row>
    <row r="2682" spans="1:7" ht="15" customHeight="1" x14ac:dyDescent="0.25">
      <c r="A2682" s="2">
        <v>46010</v>
      </c>
      <c r="B2682">
        <v>2025003710</v>
      </c>
      <c r="C2682" t="s">
        <v>1781</v>
      </c>
      <c r="D2682" s="11">
        <v>3150000</v>
      </c>
      <c r="E2682" t="s">
        <v>2132</v>
      </c>
      <c r="F2682" t="s">
        <v>797</v>
      </c>
      <c r="G2682" t="s">
        <v>1755</v>
      </c>
    </row>
    <row r="2683" spans="1:7" ht="15" customHeight="1" x14ac:dyDescent="0.25">
      <c r="A2683" s="2">
        <v>46010</v>
      </c>
      <c r="B2683">
        <v>2025003711</v>
      </c>
      <c r="C2683" t="s">
        <v>2371</v>
      </c>
      <c r="D2683" s="11">
        <v>3150000</v>
      </c>
      <c r="E2683" t="s">
        <v>2372</v>
      </c>
      <c r="F2683" t="s">
        <v>779</v>
      </c>
      <c r="G2683" t="s">
        <v>1755</v>
      </c>
    </row>
    <row r="2684" spans="1:7" ht="15" customHeight="1" x14ac:dyDescent="0.25">
      <c r="A2684" s="2">
        <v>46010</v>
      </c>
      <c r="B2684">
        <v>2025003712</v>
      </c>
      <c r="C2684" t="s">
        <v>2366</v>
      </c>
      <c r="D2684" s="11">
        <v>3150000</v>
      </c>
      <c r="E2684" t="s">
        <v>2367</v>
      </c>
      <c r="F2684" t="s">
        <v>2368</v>
      </c>
      <c r="G2684" t="s">
        <v>1755</v>
      </c>
    </row>
    <row r="2685" spans="1:7" ht="15" customHeight="1" x14ac:dyDescent="0.25">
      <c r="A2685" s="2">
        <v>46010</v>
      </c>
      <c r="B2685">
        <v>2025003713</v>
      </c>
      <c r="C2685" t="s">
        <v>1784</v>
      </c>
      <c r="D2685" s="11">
        <v>3150000</v>
      </c>
      <c r="E2685" t="s">
        <v>1650</v>
      </c>
      <c r="F2685" t="s">
        <v>277</v>
      </c>
      <c r="G2685" t="s">
        <v>1755</v>
      </c>
    </row>
    <row r="2686" spans="1:7" ht="15" customHeight="1" x14ac:dyDescent="0.25">
      <c r="A2686" s="2">
        <v>46010</v>
      </c>
      <c r="B2686">
        <v>2025003714</v>
      </c>
      <c r="C2686" t="s">
        <v>2373</v>
      </c>
      <c r="D2686" s="11">
        <v>3150000</v>
      </c>
      <c r="E2686" t="s">
        <v>2374</v>
      </c>
      <c r="F2686" t="s">
        <v>2375</v>
      </c>
      <c r="G2686" t="s">
        <v>1755</v>
      </c>
    </row>
    <row r="2687" spans="1:7" ht="15" customHeight="1" x14ac:dyDescent="0.25">
      <c r="A2687" s="2">
        <v>46010</v>
      </c>
      <c r="B2687">
        <v>2025003715</v>
      </c>
      <c r="C2687" t="s">
        <v>1906</v>
      </c>
      <c r="D2687" s="11">
        <v>3150000</v>
      </c>
      <c r="E2687" t="s">
        <v>2134</v>
      </c>
      <c r="F2687" t="s">
        <v>107</v>
      </c>
      <c r="G2687" t="s">
        <v>1755</v>
      </c>
    </row>
    <row r="2688" spans="1:7" ht="15" customHeight="1" x14ac:dyDescent="0.25">
      <c r="A2688" s="2">
        <v>46010</v>
      </c>
      <c r="B2688">
        <v>2025003716</v>
      </c>
      <c r="C2688" t="s">
        <v>1783</v>
      </c>
      <c r="D2688" s="11">
        <v>6300000</v>
      </c>
      <c r="E2688" t="s">
        <v>1685</v>
      </c>
      <c r="F2688" t="s">
        <v>2351</v>
      </c>
      <c r="G2688" t="s">
        <v>1755</v>
      </c>
    </row>
    <row r="2689" spans="1:7" ht="15" customHeight="1" x14ac:dyDescent="0.25">
      <c r="A2689" s="2">
        <v>46010</v>
      </c>
      <c r="B2689">
        <v>2025003717</v>
      </c>
      <c r="C2689" t="s">
        <v>2178</v>
      </c>
      <c r="D2689" s="11">
        <v>4730000</v>
      </c>
      <c r="E2689" t="s">
        <v>2179</v>
      </c>
      <c r="F2689" t="s">
        <v>513</v>
      </c>
      <c r="G2689" t="s">
        <v>1755</v>
      </c>
    </row>
    <row r="2690" spans="1:7" ht="15" customHeight="1" x14ac:dyDescent="0.25">
      <c r="A2690" s="2">
        <v>46010</v>
      </c>
      <c r="B2690">
        <v>2025003718</v>
      </c>
      <c r="C2690" t="s">
        <v>2181</v>
      </c>
      <c r="D2690" s="11">
        <v>4730000</v>
      </c>
      <c r="E2690" t="s">
        <v>2182</v>
      </c>
      <c r="F2690" t="s">
        <v>2183</v>
      </c>
      <c r="G2690" t="s">
        <v>1755</v>
      </c>
    </row>
    <row r="2691" spans="1:7" ht="15" customHeight="1" x14ac:dyDescent="0.25">
      <c r="A2691" s="2">
        <v>46010</v>
      </c>
      <c r="B2691">
        <v>2025003719</v>
      </c>
      <c r="C2691" t="s">
        <v>1910</v>
      </c>
      <c r="D2691" s="11">
        <v>4730000</v>
      </c>
      <c r="E2691" t="s">
        <v>1610</v>
      </c>
      <c r="F2691" t="s">
        <v>493</v>
      </c>
      <c r="G2691" t="s">
        <v>1755</v>
      </c>
    </row>
    <row r="2692" spans="1:7" ht="15" customHeight="1" x14ac:dyDescent="0.25">
      <c r="A2692" s="2">
        <v>46010</v>
      </c>
      <c r="B2692">
        <v>2025003720</v>
      </c>
      <c r="C2692" t="s">
        <v>1980</v>
      </c>
      <c r="D2692" s="11">
        <v>4730000</v>
      </c>
      <c r="E2692" t="s">
        <v>1589</v>
      </c>
      <c r="F2692" t="s">
        <v>249</v>
      </c>
      <c r="G2692" t="s">
        <v>1755</v>
      </c>
    </row>
    <row r="2693" spans="1:7" ht="15" customHeight="1" x14ac:dyDescent="0.25">
      <c r="A2693" s="2">
        <v>46010</v>
      </c>
      <c r="B2693">
        <v>2025003721</v>
      </c>
      <c r="C2693" t="s">
        <v>2123</v>
      </c>
      <c r="D2693" s="11">
        <v>7800000</v>
      </c>
      <c r="E2693" t="s">
        <v>2124</v>
      </c>
      <c r="F2693" t="s">
        <v>2125</v>
      </c>
      <c r="G2693" t="s">
        <v>1755</v>
      </c>
    </row>
    <row r="2694" spans="1:7" ht="15" customHeight="1" x14ac:dyDescent="0.25">
      <c r="A2694" s="2">
        <v>46010</v>
      </c>
      <c r="B2694">
        <v>2025003722</v>
      </c>
      <c r="C2694" t="s">
        <v>2354</v>
      </c>
      <c r="D2694" s="11">
        <v>7800000</v>
      </c>
      <c r="E2694" t="s">
        <v>2355</v>
      </c>
      <c r="F2694" t="s">
        <v>2356</v>
      </c>
      <c r="G2694" t="s">
        <v>1755</v>
      </c>
    </row>
    <row r="2695" spans="1:7" ht="15" customHeight="1" x14ac:dyDescent="0.25">
      <c r="A2695" s="2">
        <v>46010</v>
      </c>
      <c r="B2695">
        <v>2025003723</v>
      </c>
      <c r="C2695" t="s">
        <v>1909</v>
      </c>
      <c r="D2695" s="11">
        <v>6300000</v>
      </c>
      <c r="E2695" t="s">
        <v>1669</v>
      </c>
      <c r="F2695" t="s">
        <v>457</v>
      </c>
      <c r="G2695" t="s">
        <v>1755</v>
      </c>
    </row>
    <row r="2696" spans="1:7" ht="15" customHeight="1" x14ac:dyDescent="0.25">
      <c r="A2696" s="2">
        <v>46010</v>
      </c>
      <c r="B2696">
        <v>2025003725</v>
      </c>
      <c r="C2696" t="s">
        <v>2360</v>
      </c>
      <c r="D2696" s="11">
        <v>7800000</v>
      </c>
      <c r="E2696" t="s">
        <v>2361</v>
      </c>
      <c r="F2696" t="s">
        <v>2362</v>
      </c>
      <c r="G2696" t="s">
        <v>1755</v>
      </c>
    </row>
    <row r="2697" spans="1:7" ht="15" customHeight="1" x14ac:dyDescent="0.25">
      <c r="A2697" s="2">
        <v>46010</v>
      </c>
      <c r="B2697">
        <v>2025003727</v>
      </c>
      <c r="C2697" t="s">
        <v>2336</v>
      </c>
      <c r="D2697" s="11">
        <v>7800000</v>
      </c>
      <c r="E2697" t="s">
        <v>2337</v>
      </c>
      <c r="F2697" t="s">
        <v>2338</v>
      </c>
      <c r="G2697" t="s">
        <v>1755</v>
      </c>
    </row>
    <row r="2698" spans="1:7" ht="15" customHeight="1" x14ac:dyDescent="0.25">
      <c r="A2698" s="2">
        <v>46010</v>
      </c>
      <c r="B2698">
        <v>2025003729</v>
      </c>
      <c r="C2698" t="s">
        <v>1908</v>
      </c>
      <c r="D2698" s="11">
        <v>7800000</v>
      </c>
      <c r="E2698" t="s">
        <v>1675</v>
      </c>
      <c r="F2698" t="s">
        <v>163</v>
      </c>
      <c r="G2698" t="s">
        <v>1755</v>
      </c>
    </row>
    <row r="2699" spans="1:7" ht="15" customHeight="1" x14ac:dyDescent="0.25">
      <c r="A2699" s="2">
        <v>46010</v>
      </c>
      <c r="B2699">
        <v>2025003730</v>
      </c>
      <c r="C2699" t="s">
        <v>2429</v>
      </c>
      <c r="D2699" s="11">
        <v>3150000</v>
      </c>
      <c r="E2699" t="s">
        <v>2430</v>
      </c>
      <c r="F2699" t="s">
        <v>2431</v>
      </c>
      <c r="G2699" t="s">
        <v>1755</v>
      </c>
    </row>
    <row r="2700" spans="1:7" ht="15" customHeight="1" x14ac:dyDescent="0.25">
      <c r="A2700" s="2">
        <v>46010</v>
      </c>
      <c r="B2700">
        <v>2025003731</v>
      </c>
      <c r="C2700" t="s">
        <v>2432</v>
      </c>
      <c r="D2700" s="11">
        <v>2000000</v>
      </c>
      <c r="E2700" t="s">
        <v>2433</v>
      </c>
      <c r="F2700" t="s">
        <v>2434</v>
      </c>
      <c r="G2700" t="s">
        <v>1755</v>
      </c>
    </row>
    <row r="2701" spans="1:7" ht="15" customHeight="1" x14ac:dyDescent="0.25">
      <c r="A2701" s="2">
        <v>46010</v>
      </c>
      <c r="B2701">
        <v>2025003732</v>
      </c>
      <c r="C2701" t="s">
        <v>2435</v>
      </c>
      <c r="D2701" s="11">
        <v>7800000</v>
      </c>
      <c r="E2701" t="s">
        <v>2436</v>
      </c>
      <c r="F2701" t="s">
        <v>2437</v>
      </c>
      <c r="G2701" t="s">
        <v>1755</v>
      </c>
    </row>
    <row r="2702" spans="1:7" ht="15" customHeight="1" x14ac:dyDescent="0.25">
      <c r="A2702" s="2">
        <v>46010</v>
      </c>
      <c r="B2702">
        <v>2025003733</v>
      </c>
      <c r="C2702" t="s">
        <v>1823</v>
      </c>
      <c r="D2702" s="11">
        <v>3150000</v>
      </c>
      <c r="E2702" t="s">
        <v>2042</v>
      </c>
      <c r="F2702" t="s">
        <v>693</v>
      </c>
      <c r="G2702" t="s">
        <v>1755</v>
      </c>
    </row>
    <row r="2703" spans="1:7" ht="15" customHeight="1" x14ac:dyDescent="0.25">
      <c r="A2703" s="2">
        <v>46010</v>
      </c>
      <c r="B2703">
        <v>2025003734</v>
      </c>
      <c r="C2703" t="s">
        <v>2273</v>
      </c>
      <c r="D2703" s="11">
        <v>4730000</v>
      </c>
      <c r="E2703" t="s">
        <v>2274</v>
      </c>
      <c r="F2703" t="s">
        <v>730</v>
      </c>
      <c r="G2703" t="s">
        <v>1755</v>
      </c>
    </row>
    <row r="2704" spans="1:7" ht="15" customHeight="1" x14ac:dyDescent="0.25">
      <c r="A2704" s="2">
        <v>46010</v>
      </c>
      <c r="B2704">
        <v>2025003735</v>
      </c>
      <c r="C2704" t="s">
        <v>1927</v>
      </c>
      <c r="D2704" s="11">
        <v>3150000</v>
      </c>
      <c r="E2704" t="s">
        <v>2187</v>
      </c>
      <c r="F2704" t="s">
        <v>1928</v>
      </c>
      <c r="G2704" t="s">
        <v>1755</v>
      </c>
    </row>
    <row r="2705" spans="1:7" ht="15" customHeight="1" x14ac:dyDescent="0.25">
      <c r="A2705" s="2">
        <v>46010</v>
      </c>
      <c r="B2705">
        <v>2025003736</v>
      </c>
      <c r="C2705" t="s">
        <v>2257</v>
      </c>
      <c r="D2705" s="11">
        <v>3150000</v>
      </c>
      <c r="E2705" t="s">
        <v>1680</v>
      </c>
      <c r="F2705" t="s">
        <v>525</v>
      </c>
      <c r="G2705" t="s">
        <v>1755</v>
      </c>
    </row>
    <row r="2706" spans="1:7" ht="15" customHeight="1" x14ac:dyDescent="0.25">
      <c r="A2706" s="2">
        <v>46010</v>
      </c>
      <c r="B2706">
        <v>2025003737</v>
      </c>
      <c r="C2706" t="s">
        <v>2283</v>
      </c>
      <c r="D2706" s="11">
        <v>1050000</v>
      </c>
      <c r="E2706" t="s">
        <v>1677</v>
      </c>
      <c r="F2706" t="s">
        <v>387</v>
      </c>
      <c r="G2706" t="s">
        <v>1755</v>
      </c>
    </row>
    <row r="2707" spans="1:7" ht="15" customHeight="1" x14ac:dyDescent="0.25">
      <c r="A2707" s="2">
        <v>46010</v>
      </c>
      <c r="B2707">
        <v>2025003738</v>
      </c>
      <c r="C2707" t="s">
        <v>1782</v>
      </c>
      <c r="D2707" s="11">
        <v>7800000</v>
      </c>
      <c r="E2707" t="s">
        <v>2180</v>
      </c>
      <c r="F2707" t="s">
        <v>591</v>
      </c>
      <c r="G2707" t="s">
        <v>1755</v>
      </c>
    </row>
    <row r="2708" spans="1:7" ht="15" customHeight="1" x14ac:dyDescent="0.25">
      <c r="A2708" s="2">
        <v>46010</v>
      </c>
      <c r="B2708">
        <v>2025003739</v>
      </c>
      <c r="C2708" t="s">
        <v>2280</v>
      </c>
      <c r="D2708" s="11">
        <v>3150000</v>
      </c>
      <c r="E2708" t="s">
        <v>2281</v>
      </c>
      <c r="F2708" t="s">
        <v>2282</v>
      </c>
      <c r="G2708" t="s">
        <v>1755</v>
      </c>
    </row>
    <row r="2709" spans="1:7" ht="15" customHeight="1" x14ac:dyDescent="0.25">
      <c r="A2709" s="2">
        <v>46010</v>
      </c>
      <c r="B2709">
        <v>2025003740</v>
      </c>
      <c r="C2709" t="s">
        <v>1930</v>
      </c>
      <c r="D2709" s="11">
        <v>3150000</v>
      </c>
      <c r="E2709" t="s">
        <v>2100</v>
      </c>
      <c r="F2709" t="s">
        <v>1931</v>
      </c>
      <c r="G2709" t="s">
        <v>1755</v>
      </c>
    </row>
    <row r="2710" spans="1:7" ht="15" customHeight="1" x14ac:dyDescent="0.25">
      <c r="A2710" s="2">
        <v>46010</v>
      </c>
      <c r="B2710">
        <v>2025003741</v>
      </c>
      <c r="C2710" t="s">
        <v>1806</v>
      </c>
      <c r="D2710" s="11">
        <v>7800000</v>
      </c>
      <c r="E2710" t="s">
        <v>2040</v>
      </c>
      <c r="F2710" t="s">
        <v>1807</v>
      </c>
      <c r="G2710" t="s">
        <v>1755</v>
      </c>
    </row>
    <row r="2711" spans="1:7" ht="15" customHeight="1" x14ac:dyDescent="0.25">
      <c r="A2711" s="2">
        <v>46010</v>
      </c>
      <c r="B2711">
        <v>2025003743</v>
      </c>
      <c r="C2711" s="4" t="s">
        <v>1937</v>
      </c>
      <c r="D2711" s="11">
        <v>4730000</v>
      </c>
      <c r="E2711" t="s">
        <v>2256</v>
      </c>
      <c r="F2711" t="s">
        <v>151</v>
      </c>
      <c r="G2711" t="s">
        <v>1755</v>
      </c>
    </row>
    <row r="2712" spans="1:7" ht="15" customHeight="1" x14ac:dyDescent="0.25">
      <c r="A2712" s="2">
        <v>46010</v>
      </c>
      <c r="B2712">
        <v>2025003744</v>
      </c>
      <c r="C2712" t="s">
        <v>1933</v>
      </c>
      <c r="D2712" s="11">
        <v>4730000</v>
      </c>
      <c r="E2712" t="s">
        <v>1628</v>
      </c>
      <c r="F2712" t="s">
        <v>705</v>
      </c>
      <c r="G2712" t="s">
        <v>1755</v>
      </c>
    </row>
    <row r="2713" spans="1:7" ht="15" customHeight="1" x14ac:dyDescent="0.25">
      <c r="A2713" s="2">
        <v>46010</v>
      </c>
      <c r="B2713">
        <v>2025003745</v>
      </c>
      <c r="C2713" t="s">
        <v>1924</v>
      </c>
      <c r="D2713" s="11">
        <v>6300000</v>
      </c>
      <c r="E2713" t="s">
        <v>1594</v>
      </c>
      <c r="F2713" t="s">
        <v>1102</v>
      </c>
      <c r="G2713" t="s">
        <v>1755</v>
      </c>
    </row>
    <row r="2714" spans="1:7" ht="15" customHeight="1" x14ac:dyDescent="0.25">
      <c r="A2714" s="2">
        <v>46010</v>
      </c>
      <c r="B2714">
        <v>2025003746</v>
      </c>
      <c r="C2714" t="s">
        <v>1935</v>
      </c>
      <c r="D2714" s="11">
        <v>3150000</v>
      </c>
      <c r="E2714" t="s">
        <v>2061</v>
      </c>
      <c r="F2714" t="s">
        <v>1936</v>
      </c>
      <c r="G2714" t="s">
        <v>1755</v>
      </c>
    </row>
    <row r="2715" spans="1:7" ht="15" customHeight="1" x14ac:dyDescent="0.25">
      <c r="A2715" s="2">
        <v>46010</v>
      </c>
      <c r="B2715">
        <v>2025003747</v>
      </c>
      <c r="C2715" t="s">
        <v>1804</v>
      </c>
      <c r="D2715" s="11">
        <v>6300000</v>
      </c>
      <c r="E2715" t="s">
        <v>1723</v>
      </c>
      <c r="F2715" t="s">
        <v>1233</v>
      </c>
      <c r="G2715" t="s">
        <v>1755</v>
      </c>
    </row>
    <row r="2716" spans="1:7" ht="15" customHeight="1" x14ac:dyDescent="0.25">
      <c r="A2716" s="2">
        <v>46010</v>
      </c>
      <c r="B2716">
        <v>2025003748</v>
      </c>
      <c r="C2716" t="s">
        <v>1812</v>
      </c>
      <c r="D2716" s="11">
        <v>7800000</v>
      </c>
      <c r="E2716" t="s">
        <v>2057</v>
      </c>
      <c r="F2716" t="s">
        <v>1813</v>
      </c>
      <c r="G2716" t="s">
        <v>1755</v>
      </c>
    </row>
    <row r="2717" spans="1:7" ht="15" customHeight="1" x14ac:dyDescent="0.25">
      <c r="A2717" s="2">
        <v>46010</v>
      </c>
      <c r="B2717">
        <v>2025003749</v>
      </c>
      <c r="C2717" t="s">
        <v>2290</v>
      </c>
      <c r="D2717" s="11">
        <v>4730000</v>
      </c>
      <c r="E2717" t="s">
        <v>2291</v>
      </c>
      <c r="F2717" t="s">
        <v>2292</v>
      </c>
      <c r="G2717" t="s">
        <v>1755</v>
      </c>
    </row>
    <row r="2718" spans="1:7" ht="15" customHeight="1" x14ac:dyDescent="0.25">
      <c r="A2718" s="2">
        <v>46010</v>
      </c>
      <c r="B2718">
        <v>2025003750</v>
      </c>
      <c r="C2718" t="s">
        <v>2184</v>
      </c>
      <c r="D2718" s="11">
        <v>6300000</v>
      </c>
      <c r="E2718" t="s">
        <v>2185</v>
      </c>
      <c r="F2718" t="s">
        <v>2186</v>
      </c>
      <c r="G2718" t="s">
        <v>1755</v>
      </c>
    </row>
    <row r="2719" spans="1:7" ht="15" customHeight="1" x14ac:dyDescent="0.25">
      <c r="A2719" s="2">
        <v>46010</v>
      </c>
      <c r="B2719">
        <v>2025003751</v>
      </c>
      <c r="C2719" t="s">
        <v>2312</v>
      </c>
      <c r="D2719" s="11">
        <v>7800000</v>
      </c>
      <c r="E2719" t="s">
        <v>2313</v>
      </c>
      <c r="F2719" t="s">
        <v>2314</v>
      </c>
      <c r="G2719" t="s">
        <v>1755</v>
      </c>
    </row>
    <row r="2720" spans="1:7" ht="15" customHeight="1" x14ac:dyDescent="0.25">
      <c r="A2720" s="2">
        <v>46010</v>
      </c>
      <c r="B2720">
        <v>2025003752</v>
      </c>
      <c r="C2720" t="s">
        <v>2272</v>
      </c>
      <c r="D2720" s="11">
        <v>3150000</v>
      </c>
      <c r="E2720" t="s">
        <v>1743</v>
      </c>
      <c r="F2720" t="s">
        <v>1211</v>
      </c>
      <c r="G2720" t="s">
        <v>1755</v>
      </c>
    </row>
    <row r="2721" spans="1:7" ht="15" customHeight="1" x14ac:dyDescent="0.25">
      <c r="A2721" s="2">
        <v>46010</v>
      </c>
      <c r="B2721">
        <v>2025003753</v>
      </c>
      <c r="C2721" t="s">
        <v>2305</v>
      </c>
      <c r="D2721" s="11">
        <v>4730000</v>
      </c>
      <c r="E2721" t="s">
        <v>2306</v>
      </c>
      <c r="F2721" t="s">
        <v>2307</v>
      </c>
      <c r="G2721" t="s">
        <v>1755</v>
      </c>
    </row>
    <row r="2722" spans="1:7" ht="15" customHeight="1" x14ac:dyDescent="0.25">
      <c r="A2722" s="2">
        <v>46010</v>
      </c>
      <c r="B2722">
        <v>2025003754</v>
      </c>
      <c r="C2722" t="s">
        <v>2267</v>
      </c>
      <c r="D2722" s="11">
        <v>3150000</v>
      </c>
      <c r="E2722" t="s">
        <v>1696</v>
      </c>
      <c r="F2722" t="s">
        <v>123</v>
      </c>
      <c r="G2722" t="s">
        <v>1755</v>
      </c>
    </row>
    <row r="2723" spans="1:7" ht="15" customHeight="1" x14ac:dyDescent="0.25">
      <c r="A2723" s="2">
        <v>46010</v>
      </c>
      <c r="B2723">
        <v>2025003755</v>
      </c>
      <c r="C2723" t="s">
        <v>2250</v>
      </c>
      <c r="D2723" s="11">
        <v>3150000</v>
      </c>
      <c r="E2723" t="s">
        <v>2251</v>
      </c>
      <c r="F2723" t="s">
        <v>2252</v>
      </c>
      <c r="G2723" t="s">
        <v>1755</v>
      </c>
    </row>
    <row r="2724" spans="1:7" ht="15" customHeight="1" x14ac:dyDescent="0.25">
      <c r="A2724" s="2">
        <v>46011</v>
      </c>
      <c r="B2724">
        <v>2025003825</v>
      </c>
      <c r="C2724" t="s">
        <v>1838</v>
      </c>
      <c r="D2724" s="11">
        <v>6300000</v>
      </c>
      <c r="E2724" t="s">
        <v>2050</v>
      </c>
      <c r="F2724" t="s">
        <v>1062</v>
      </c>
      <c r="G2724" t="s">
        <v>1755</v>
      </c>
    </row>
    <row r="2725" spans="1:7" ht="15" customHeight="1" x14ac:dyDescent="0.25">
      <c r="A2725" s="2">
        <v>46011</v>
      </c>
      <c r="B2725">
        <v>2025003838</v>
      </c>
      <c r="C2725" t="s">
        <v>1898</v>
      </c>
      <c r="D2725" s="11">
        <v>3150000</v>
      </c>
      <c r="E2725" t="s">
        <v>2115</v>
      </c>
      <c r="F2725" t="s">
        <v>1899</v>
      </c>
      <c r="G2725" t="s">
        <v>1755</v>
      </c>
    </row>
    <row r="2726" spans="1:7" ht="15" customHeight="1" x14ac:dyDescent="0.25">
      <c r="A2726" s="2">
        <v>46011</v>
      </c>
      <c r="B2726">
        <v>2025003850</v>
      </c>
      <c r="C2726" t="s">
        <v>1946</v>
      </c>
      <c r="D2726" s="11">
        <v>3150000</v>
      </c>
      <c r="E2726" t="s">
        <v>2048</v>
      </c>
      <c r="F2726" t="s">
        <v>1947</v>
      </c>
      <c r="G2726" t="s">
        <v>1755</v>
      </c>
    </row>
    <row r="2727" spans="1:7" ht="15" customHeight="1" x14ac:dyDescent="0.25">
      <c r="A2727" s="2">
        <v>46011</v>
      </c>
      <c r="B2727">
        <v>2025003855</v>
      </c>
      <c r="C2727" t="s">
        <v>1896</v>
      </c>
      <c r="D2727" s="11">
        <v>3150000</v>
      </c>
      <c r="E2727" t="s">
        <v>2063</v>
      </c>
      <c r="F2727" t="s">
        <v>1897</v>
      </c>
      <c r="G2727" t="s">
        <v>1755</v>
      </c>
    </row>
    <row r="2728" spans="1:7" ht="15" customHeight="1" x14ac:dyDescent="0.25">
      <c r="A2728" s="2">
        <v>46011</v>
      </c>
      <c r="B2728">
        <v>2025003860</v>
      </c>
      <c r="C2728" t="s">
        <v>2003</v>
      </c>
      <c r="D2728" s="11">
        <v>4730000</v>
      </c>
      <c r="E2728" t="s">
        <v>2004</v>
      </c>
      <c r="F2728" t="s">
        <v>127</v>
      </c>
      <c r="G2728" t="s">
        <v>1755</v>
      </c>
    </row>
    <row r="2729" spans="1:7" ht="15" customHeight="1" x14ac:dyDescent="0.25">
      <c r="A2729" s="2">
        <v>46011</v>
      </c>
      <c r="B2729">
        <v>2025003861</v>
      </c>
      <c r="C2729" t="s">
        <v>2103</v>
      </c>
      <c r="D2729" s="11">
        <v>6300000</v>
      </c>
      <c r="E2729" t="s">
        <v>1748</v>
      </c>
      <c r="F2729" t="s">
        <v>437</v>
      </c>
      <c r="G2729" t="s">
        <v>1755</v>
      </c>
    </row>
    <row r="2730" spans="1:7" ht="15" customHeight="1" x14ac:dyDescent="0.25">
      <c r="A2730" s="2">
        <v>46011</v>
      </c>
      <c r="B2730">
        <v>2025003869</v>
      </c>
      <c r="C2730" t="s">
        <v>1901</v>
      </c>
      <c r="D2730" s="11">
        <v>4730000</v>
      </c>
      <c r="E2730" t="s">
        <v>2005</v>
      </c>
      <c r="F2730" t="s">
        <v>1902</v>
      </c>
      <c r="G2730" t="s">
        <v>1755</v>
      </c>
    </row>
    <row r="2731" spans="1:7" ht="15" customHeight="1" x14ac:dyDescent="0.25">
      <c r="A2731" s="2">
        <v>46011</v>
      </c>
      <c r="B2731">
        <v>2025003871</v>
      </c>
      <c r="C2731" t="s">
        <v>1844</v>
      </c>
      <c r="D2731" s="11">
        <v>7800000</v>
      </c>
      <c r="E2731" t="s">
        <v>1682</v>
      </c>
      <c r="F2731" t="s">
        <v>159</v>
      </c>
      <c r="G2731" t="s">
        <v>1755</v>
      </c>
    </row>
    <row r="2732" spans="1:7" ht="15" customHeight="1" x14ac:dyDescent="0.25">
      <c r="A2732" s="2">
        <v>46011</v>
      </c>
      <c r="B2732">
        <v>2025003756</v>
      </c>
      <c r="C2732" t="s">
        <v>2302</v>
      </c>
      <c r="D2732" s="11">
        <v>7800000</v>
      </c>
      <c r="E2732" t="s">
        <v>2303</v>
      </c>
      <c r="F2732" t="s">
        <v>2304</v>
      </c>
      <c r="G2732" t="s">
        <v>1755</v>
      </c>
    </row>
    <row r="2733" spans="1:7" ht="15" customHeight="1" x14ac:dyDescent="0.25">
      <c r="A2733" s="2">
        <v>46011</v>
      </c>
      <c r="B2733">
        <v>2025003757</v>
      </c>
      <c r="C2733" t="s">
        <v>2260</v>
      </c>
      <c r="D2733" s="11">
        <v>3150000</v>
      </c>
      <c r="E2733" t="s">
        <v>1632</v>
      </c>
      <c r="F2733" t="s">
        <v>121</v>
      </c>
      <c r="G2733" t="s">
        <v>1755</v>
      </c>
    </row>
    <row r="2734" spans="1:7" ht="15" customHeight="1" x14ac:dyDescent="0.25">
      <c r="A2734" s="2">
        <v>46011</v>
      </c>
      <c r="B2734">
        <v>2025003758</v>
      </c>
      <c r="C2734" t="s">
        <v>2438</v>
      </c>
      <c r="D2734" s="11">
        <v>3150000</v>
      </c>
      <c r="E2734" t="s">
        <v>1609</v>
      </c>
      <c r="F2734" t="s">
        <v>229</v>
      </c>
      <c r="G2734" t="s">
        <v>1755</v>
      </c>
    </row>
    <row r="2735" spans="1:7" ht="15" customHeight="1" x14ac:dyDescent="0.25">
      <c r="A2735" s="2">
        <v>46011</v>
      </c>
      <c r="B2735">
        <v>2025003759</v>
      </c>
      <c r="C2735" t="s">
        <v>2439</v>
      </c>
      <c r="D2735" s="11">
        <v>3150000</v>
      </c>
      <c r="E2735" t="s">
        <v>2440</v>
      </c>
      <c r="F2735" t="s">
        <v>2441</v>
      </c>
      <c r="G2735" t="s">
        <v>1755</v>
      </c>
    </row>
    <row r="2736" spans="1:7" ht="15" customHeight="1" x14ac:dyDescent="0.25">
      <c r="A2736" s="2">
        <v>46011</v>
      </c>
      <c r="B2736">
        <v>2025003760</v>
      </c>
      <c r="C2736" t="s">
        <v>2442</v>
      </c>
      <c r="D2736" s="11">
        <v>2000000</v>
      </c>
      <c r="E2736" t="s">
        <v>2443</v>
      </c>
      <c r="F2736" t="s">
        <v>2444</v>
      </c>
      <c r="G2736" t="s">
        <v>1755</v>
      </c>
    </row>
    <row r="2737" spans="1:7" ht="15" customHeight="1" x14ac:dyDescent="0.25">
      <c r="A2737" s="2">
        <v>46011</v>
      </c>
      <c r="B2737">
        <v>2025003761</v>
      </c>
      <c r="C2737" t="s">
        <v>2445</v>
      </c>
      <c r="D2737" s="11">
        <v>4730000</v>
      </c>
      <c r="E2737" t="s">
        <v>2446</v>
      </c>
      <c r="F2737" t="s">
        <v>2447</v>
      </c>
      <c r="G2737" t="s">
        <v>1755</v>
      </c>
    </row>
    <row r="2738" spans="1:7" ht="15" customHeight="1" x14ac:dyDescent="0.25">
      <c r="A2738" s="20">
        <v>46011</v>
      </c>
      <c r="B2738">
        <v>2025003762</v>
      </c>
      <c r="C2738" t="s">
        <v>2470</v>
      </c>
      <c r="D2738" s="21">
        <v>3150000</v>
      </c>
      <c r="E2738">
        <v>1086755989</v>
      </c>
      <c r="F2738" t="s">
        <v>2471</v>
      </c>
      <c r="G2738" t="s">
        <v>1755</v>
      </c>
    </row>
    <row r="2739" spans="1:7" ht="15" customHeight="1" x14ac:dyDescent="0.25">
      <c r="A2739" s="2">
        <v>46011</v>
      </c>
      <c r="B2739">
        <v>2025003763</v>
      </c>
      <c r="C2739" t="s">
        <v>2448</v>
      </c>
      <c r="D2739" s="11">
        <v>3150000</v>
      </c>
      <c r="E2739" t="s">
        <v>2449</v>
      </c>
      <c r="F2739" t="s">
        <v>55</v>
      </c>
      <c r="G2739" t="s">
        <v>1755</v>
      </c>
    </row>
    <row r="2740" spans="1:7" ht="15" customHeight="1" x14ac:dyDescent="0.25">
      <c r="A2740" s="2">
        <v>46011</v>
      </c>
      <c r="B2740">
        <v>2025003765</v>
      </c>
      <c r="C2740" t="s">
        <v>1934</v>
      </c>
      <c r="D2740" s="11">
        <v>4730000</v>
      </c>
      <c r="E2740" t="s">
        <v>2039</v>
      </c>
      <c r="F2740" t="s">
        <v>464</v>
      </c>
      <c r="G2740" t="s">
        <v>1755</v>
      </c>
    </row>
    <row r="2741" spans="1:7" ht="15" customHeight="1" x14ac:dyDescent="0.25">
      <c r="A2741" s="2">
        <v>46011</v>
      </c>
      <c r="B2741">
        <v>2025003767</v>
      </c>
      <c r="C2741" t="s">
        <v>1826</v>
      </c>
      <c r="D2741" s="11">
        <v>7800000</v>
      </c>
      <c r="E2741" t="s">
        <v>2191</v>
      </c>
      <c r="F2741" t="s">
        <v>239</v>
      </c>
      <c r="G2741" t="s">
        <v>1755</v>
      </c>
    </row>
    <row r="2742" spans="1:7" ht="15" customHeight="1" x14ac:dyDescent="0.25">
      <c r="A2742" s="2">
        <v>46011</v>
      </c>
      <c r="B2742">
        <v>2025003771</v>
      </c>
      <c r="C2742" t="s">
        <v>1822</v>
      </c>
      <c r="D2742" s="11">
        <v>3150000</v>
      </c>
      <c r="E2742" t="s">
        <v>2099</v>
      </c>
      <c r="F2742" t="s">
        <v>1011</v>
      </c>
      <c r="G2742" t="s">
        <v>1755</v>
      </c>
    </row>
    <row r="2743" spans="1:7" ht="15" customHeight="1" x14ac:dyDescent="0.25">
      <c r="A2743" s="2">
        <v>46011</v>
      </c>
      <c r="B2743">
        <v>2025003773</v>
      </c>
      <c r="C2743" t="s">
        <v>1768</v>
      </c>
      <c r="D2743" s="11">
        <v>3150000</v>
      </c>
      <c r="E2743" t="s">
        <v>2214</v>
      </c>
      <c r="F2743" t="s">
        <v>1769</v>
      </c>
      <c r="G2743" t="s">
        <v>1755</v>
      </c>
    </row>
    <row r="2744" spans="1:7" ht="15" customHeight="1" x14ac:dyDescent="0.25">
      <c r="A2744" s="2">
        <v>46011</v>
      </c>
      <c r="B2744">
        <v>2025003776</v>
      </c>
      <c r="C2744" t="s">
        <v>1989</v>
      </c>
      <c r="D2744" s="11">
        <v>3150000</v>
      </c>
      <c r="E2744" t="s">
        <v>2110</v>
      </c>
      <c r="F2744" t="s">
        <v>289</v>
      </c>
      <c r="G2744" t="s">
        <v>1755</v>
      </c>
    </row>
    <row r="2745" spans="1:7" ht="15" customHeight="1" x14ac:dyDescent="0.25">
      <c r="A2745" s="2">
        <v>46011</v>
      </c>
      <c r="B2745">
        <v>2025003780</v>
      </c>
      <c r="C2745" t="s">
        <v>1795</v>
      </c>
      <c r="D2745" s="11">
        <v>6300000</v>
      </c>
      <c r="E2745" t="s">
        <v>1600</v>
      </c>
      <c r="F2745" t="s">
        <v>385</v>
      </c>
      <c r="G2745" t="s">
        <v>1755</v>
      </c>
    </row>
    <row r="2746" spans="1:7" ht="15" customHeight="1" x14ac:dyDescent="0.25">
      <c r="A2746" s="2">
        <v>46011</v>
      </c>
      <c r="B2746">
        <v>2025003781</v>
      </c>
      <c r="C2746" t="s">
        <v>1799</v>
      </c>
      <c r="D2746" s="11">
        <v>3150000</v>
      </c>
      <c r="E2746" t="s">
        <v>2247</v>
      </c>
      <c r="F2746" t="s">
        <v>1086</v>
      </c>
      <c r="G2746" t="s">
        <v>1755</v>
      </c>
    </row>
    <row r="2747" spans="1:7" ht="15" customHeight="1" x14ac:dyDescent="0.25">
      <c r="A2747" s="2">
        <v>46011</v>
      </c>
      <c r="B2747">
        <v>2025003782</v>
      </c>
      <c r="C2747" s="4" t="s">
        <v>1861</v>
      </c>
      <c r="D2747" s="11">
        <v>7800000</v>
      </c>
      <c r="E2747" t="s">
        <v>1622</v>
      </c>
      <c r="F2747" t="s">
        <v>63</v>
      </c>
      <c r="G2747" t="s">
        <v>1755</v>
      </c>
    </row>
    <row r="2748" spans="1:7" ht="15" customHeight="1" x14ac:dyDescent="0.25">
      <c r="A2748" s="2">
        <v>46011</v>
      </c>
      <c r="B2748">
        <v>2025003786</v>
      </c>
      <c r="C2748" t="s">
        <v>2450</v>
      </c>
      <c r="D2748" s="11">
        <v>6300000</v>
      </c>
      <c r="E2748" t="s">
        <v>1738</v>
      </c>
      <c r="F2748" t="s">
        <v>670</v>
      </c>
      <c r="G2748" t="s">
        <v>1755</v>
      </c>
    </row>
    <row r="2749" spans="1:7" ht="15" customHeight="1" x14ac:dyDescent="0.25">
      <c r="A2749" s="2">
        <v>46011</v>
      </c>
      <c r="B2749">
        <v>2025003788</v>
      </c>
      <c r="C2749" t="s">
        <v>1965</v>
      </c>
      <c r="D2749" s="11">
        <v>3150000</v>
      </c>
      <c r="E2749" t="s">
        <v>2047</v>
      </c>
      <c r="F2749" t="s">
        <v>1966</v>
      </c>
      <c r="G2749" t="s">
        <v>1755</v>
      </c>
    </row>
    <row r="2750" spans="1:7" ht="15" customHeight="1" x14ac:dyDescent="0.25">
      <c r="A2750" s="2">
        <v>46011</v>
      </c>
      <c r="B2750">
        <v>2025003789</v>
      </c>
      <c r="C2750" t="s">
        <v>2107</v>
      </c>
      <c r="D2750" s="11">
        <v>2000000</v>
      </c>
      <c r="E2750" t="s">
        <v>2108</v>
      </c>
      <c r="F2750" t="s">
        <v>2109</v>
      </c>
      <c r="G2750" t="s">
        <v>1755</v>
      </c>
    </row>
    <row r="2751" spans="1:7" ht="15" customHeight="1" x14ac:dyDescent="0.25">
      <c r="A2751" s="2">
        <v>46011</v>
      </c>
      <c r="B2751">
        <v>2025003792</v>
      </c>
      <c r="C2751" t="s">
        <v>2451</v>
      </c>
      <c r="D2751" s="11">
        <v>4730000</v>
      </c>
      <c r="E2751" t="s">
        <v>2452</v>
      </c>
      <c r="F2751" t="s">
        <v>2453</v>
      </c>
      <c r="G2751" t="s">
        <v>1755</v>
      </c>
    </row>
    <row r="2752" spans="1:7" ht="15" customHeight="1" x14ac:dyDescent="0.25">
      <c r="A2752" s="2">
        <v>46011</v>
      </c>
      <c r="B2752">
        <v>2025003793</v>
      </c>
      <c r="C2752" t="s">
        <v>2454</v>
      </c>
      <c r="D2752" s="11">
        <v>2000000</v>
      </c>
      <c r="E2752" t="s">
        <v>2455</v>
      </c>
      <c r="F2752" t="s">
        <v>866</v>
      </c>
      <c r="G2752" t="s">
        <v>1755</v>
      </c>
    </row>
    <row r="2753" spans="1:7" ht="15" customHeight="1" x14ac:dyDescent="0.25">
      <c r="A2753" s="2">
        <v>46011</v>
      </c>
      <c r="B2753">
        <v>2025003794</v>
      </c>
      <c r="C2753" t="s">
        <v>1798</v>
      </c>
      <c r="D2753" s="11">
        <v>3150000</v>
      </c>
      <c r="E2753" t="s">
        <v>1657</v>
      </c>
      <c r="F2753" t="s">
        <v>59</v>
      </c>
      <c r="G2753" t="s">
        <v>1755</v>
      </c>
    </row>
    <row r="2754" spans="1:7" ht="15" customHeight="1" x14ac:dyDescent="0.25">
      <c r="A2754" s="2">
        <v>46011</v>
      </c>
      <c r="B2754">
        <v>2025003796</v>
      </c>
      <c r="C2754" t="s">
        <v>2143</v>
      </c>
      <c r="D2754" s="11">
        <v>3150000</v>
      </c>
      <c r="E2754" t="s">
        <v>2144</v>
      </c>
      <c r="F2754" t="s">
        <v>2145</v>
      </c>
      <c r="G2754" t="s">
        <v>1755</v>
      </c>
    </row>
    <row r="2755" spans="1:7" ht="15" customHeight="1" x14ac:dyDescent="0.25">
      <c r="A2755" s="2">
        <v>46011</v>
      </c>
      <c r="B2755">
        <v>2025003798</v>
      </c>
      <c r="C2755" t="s">
        <v>2320</v>
      </c>
      <c r="D2755" s="11">
        <v>2000000</v>
      </c>
      <c r="E2755" t="s">
        <v>2321</v>
      </c>
      <c r="F2755" t="s">
        <v>2322</v>
      </c>
      <c r="G2755" t="s">
        <v>1755</v>
      </c>
    </row>
    <row r="2756" spans="1:7" ht="15" customHeight="1" x14ac:dyDescent="0.25">
      <c r="A2756" s="2">
        <v>46011</v>
      </c>
      <c r="B2756">
        <v>2025003799</v>
      </c>
      <c r="C2756" t="s">
        <v>2139</v>
      </c>
      <c r="D2756" s="11">
        <v>6300000</v>
      </c>
      <c r="E2756" t="s">
        <v>1703</v>
      </c>
      <c r="F2756" t="s">
        <v>113</v>
      </c>
      <c r="G2756" t="s">
        <v>1755</v>
      </c>
    </row>
    <row r="2757" spans="1:7" ht="15" customHeight="1" x14ac:dyDescent="0.25">
      <c r="A2757" s="2">
        <v>46011</v>
      </c>
      <c r="B2757">
        <v>2025003800</v>
      </c>
      <c r="C2757" t="s">
        <v>1892</v>
      </c>
      <c r="D2757" s="11">
        <v>3150000</v>
      </c>
      <c r="E2757" t="s">
        <v>2120</v>
      </c>
      <c r="F2757" t="s">
        <v>1893</v>
      </c>
      <c r="G2757" t="s">
        <v>1755</v>
      </c>
    </row>
    <row r="2758" spans="1:7" ht="15" customHeight="1" x14ac:dyDescent="0.25">
      <c r="A2758" s="2">
        <v>46011</v>
      </c>
      <c r="B2758">
        <v>2025003801</v>
      </c>
      <c r="C2758" t="s">
        <v>2403</v>
      </c>
      <c r="D2758" s="11">
        <v>3150000</v>
      </c>
      <c r="E2758" t="s">
        <v>2404</v>
      </c>
      <c r="F2758" t="s">
        <v>2405</v>
      </c>
      <c r="G2758" t="s">
        <v>1755</v>
      </c>
    </row>
    <row r="2759" spans="1:7" ht="15" customHeight="1" x14ac:dyDescent="0.25">
      <c r="A2759" s="2">
        <v>46011</v>
      </c>
      <c r="B2759">
        <v>2025003802</v>
      </c>
      <c r="C2759" t="s">
        <v>1967</v>
      </c>
      <c r="D2759" s="11">
        <v>3150000</v>
      </c>
      <c r="E2759" t="s">
        <v>2053</v>
      </c>
      <c r="F2759" t="s">
        <v>1968</v>
      </c>
      <c r="G2759" t="s">
        <v>1755</v>
      </c>
    </row>
    <row r="2760" spans="1:7" ht="15" customHeight="1" x14ac:dyDescent="0.25">
      <c r="A2760" s="2">
        <v>46011</v>
      </c>
      <c r="B2760">
        <v>2025003803</v>
      </c>
      <c r="C2760" t="s">
        <v>1950</v>
      </c>
      <c r="D2760" s="11">
        <v>3150000</v>
      </c>
      <c r="E2760" t="s">
        <v>2045</v>
      </c>
      <c r="F2760" t="s">
        <v>1951</v>
      </c>
      <c r="G2760" t="s">
        <v>1755</v>
      </c>
    </row>
    <row r="2761" spans="1:7" ht="15" customHeight="1" x14ac:dyDescent="0.25">
      <c r="A2761" s="2">
        <v>46011</v>
      </c>
      <c r="B2761">
        <v>2025003804</v>
      </c>
      <c r="C2761" t="s">
        <v>2309</v>
      </c>
      <c r="D2761" s="11">
        <v>3150000</v>
      </c>
      <c r="E2761" t="s">
        <v>2310</v>
      </c>
      <c r="F2761" t="s">
        <v>2311</v>
      </c>
      <c r="G2761" t="s">
        <v>1755</v>
      </c>
    </row>
    <row r="2762" spans="1:7" ht="15" customHeight="1" x14ac:dyDescent="0.25">
      <c r="A2762" s="2">
        <v>46011</v>
      </c>
      <c r="B2762">
        <v>2025003805</v>
      </c>
      <c r="C2762" t="s">
        <v>2211</v>
      </c>
      <c r="D2762" s="11">
        <v>2000000</v>
      </c>
      <c r="E2762" t="s">
        <v>2212</v>
      </c>
      <c r="F2762" t="s">
        <v>319</v>
      </c>
      <c r="G2762" t="s">
        <v>1755</v>
      </c>
    </row>
    <row r="2763" spans="1:7" ht="15" customHeight="1" x14ac:dyDescent="0.25">
      <c r="A2763" s="2">
        <v>46011</v>
      </c>
      <c r="B2763">
        <v>2025003806</v>
      </c>
      <c r="C2763" t="s">
        <v>1900</v>
      </c>
      <c r="D2763" s="11">
        <v>6300000</v>
      </c>
      <c r="E2763" t="s">
        <v>1705</v>
      </c>
      <c r="F2763" t="s">
        <v>450</v>
      </c>
      <c r="G2763" t="s">
        <v>1755</v>
      </c>
    </row>
    <row r="2764" spans="1:7" ht="15" customHeight="1" x14ac:dyDescent="0.25">
      <c r="A2764" s="2">
        <v>46011</v>
      </c>
      <c r="B2764">
        <v>2025003807</v>
      </c>
      <c r="C2764" t="s">
        <v>1775</v>
      </c>
      <c r="D2764" s="11">
        <v>3150000</v>
      </c>
      <c r="E2764" t="s">
        <v>1639</v>
      </c>
      <c r="F2764" t="s">
        <v>409</v>
      </c>
      <c r="G2764" t="s">
        <v>1755</v>
      </c>
    </row>
    <row r="2765" spans="1:7" ht="15" customHeight="1" x14ac:dyDescent="0.25">
      <c r="A2765" s="2">
        <v>46011</v>
      </c>
      <c r="B2765">
        <v>2025003808</v>
      </c>
      <c r="C2765" t="s">
        <v>2117</v>
      </c>
      <c r="D2765" s="11">
        <v>3150000</v>
      </c>
      <c r="E2765" t="s">
        <v>2118</v>
      </c>
      <c r="F2765" t="s">
        <v>2119</v>
      </c>
      <c r="G2765" t="s">
        <v>1755</v>
      </c>
    </row>
    <row r="2766" spans="1:7" ht="15" customHeight="1" x14ac:dyDescent="0.25">
      <c r="A2766" s="2">
        <v>46011</v>
      </c>
      <c r="B2766">
        <v>2025003809</v>
      </c>
      <c r="C2766" t="s">
        <v>1760</v>
      </c>
      <c r="D2766" s="11">
        <v>3150000</v>
      </c>
      <c r="E2766" t="s">
        <v>1652</v>
      </c>
      <c r="F2766" t="s">
        <v>371</v>
      </c>
      <c r="G2766" t="s">
        <v>1755</v>
      </c>
    </row>
    <row r="2767" spans="1:7" ht="15" customHeight="1" x14ac:dyDescent="0.25">
      <c r="A2767" s="2">
        <v>46011</v>
      </c>
      <c r="B2767">
        <v>2025003811</v>
      </c>
      <c r="C2767" t="s">
        <v>1828</v>
      </c>
      <c r="D2767" s="11">
        <v>3150000</v>
      </c>
      <c r="E2767" t="s">
        <v>2074</v>
      </c>
      <c r="F2767" t="s">
        <v>1829</v>
      </c>
      <c r="G2767" t="s">
        <v>1755</v>
      </c>
    </row>
    <row r="2768" spans="1:7" ht="15" customHeight="1" x14ac:dyDescent="0.25">
      <c r="A2768" s="2">
        <v>46011</v>
      </c>
      <c r="B2768">
        <v>2025003812</v>
      </c>
      <c r="C2768" t="s">
        <v>1842</v>
      </c>
      <c r="D2768" s="11">
        <v>3150000</v>
      </c>
      <c r="E2768" t="s">
        <v>2062</v>
      </c>
      <c r="F2768" t="s">
        <v>1843</v>
      </c>
      <c r="G2768" t="s">
        <v>1755</v>
      </c>
    </row>
    <row r="2769" spans="1:7" ht="15" customHeight="1" x14ac:dyDescent="0.25">
      <c r="A2769" s="2">
        <v>46011</v>
      </c>
      <c r="B2769">
        <v>2025003814</v>
      </c>
      <c r="C2769" t="s">
        <v>1835</v>
      </c>
      <c r="D2769" s="11">
        <v>3150000</v>
      </c>
      <c r="E2769" t="s">
        <v>1679</v>
      </c>
      <c r="F2769" t="s">
        <v>111</v>
      </c>
      <c r="G2769" t="s">
        <v>1755</v>
      </c>
    </row>
    <row r="2770" spans="1:7" ht="15" customHeight="1" x14ac:dyDescent="0.25">
      <c r="A2770" s="2">
        <v>46011</v>
      </c>
      <c r="B2770">
        <v>2025003815</v>
      </c>
      <c r="C2770" t="s">
        <v>1845</v>
      </c>
      <c r="D2770" s="11">
        <v>6300000</v>
      </c>
      <c r="E2770" t="s">
        <v>2215</v>
      </c>
      <c r="F2770" t="s">
        <v>1846</v>
      </c>
      <c r="G2770" t="s">
        <v>1755</v>
      </c>
    </row>
    <row r="2771" spans="1:7" ht="15" customHeight="1" x14ac:dyDescent="0.25">
      <c r="A2771" s="2">
        <v>46011</v>
      </c>
      <c r="B2771">
        <v>2025003816</v>
      </c>
      <c r="C2771" t="s">
        <v>1765</v>
      </c>
      <c r="D2771" s="11">
        <v>6300000</v>
      </c>
      <c r="E2771" t="s">
        <v>2009</v>
      </c>
      <c r="F2771" t="s">
        <v>1766</v>
      </c>
      <c r="G2771" t="s">
        <v>1755</v>
      </c>
    </row>
    <row r="2772" spans="1:7" ht="15" customHeight="1" x14ac:dyDescent="0.25">
      <c r="A2772" s="2">
        <v>46011</v>
      </c>
      <c r="B2772">
        <v>2025003818</v>
      </c>
      <c r="C2772" t="s">
        <v>1925</v>
      </c>
      <c r="D2772" s="11">
        <v>4730000</v>
      </c>
      <c r="E2772" t="s">
        <v>2288</v>
      </c>
      <c r="F2772" t="s">
        <v>1926</v>
      </c>
      <c r="G2772" t="s">
        <v>1755</v>
      </c>
    </row>
    <row r="2773" spans="1:7" ht="15" customHeight="1" x14ac:dyDescent="0.25">
      <c r="A2773" s="2">
        <v>46011</v>
      </c>
      <c r="B2773">
        <v>2025003819</v>
      </c>
      <c r="C2773" s="4" t="s">
        <v>2219</v>
      </c>
      <c r="D2773" s="11">
        <v>3150000</v>
      </c>
      <c r="E2773" t="s">
        <v>2220</v>
      </c>
      <c r="F2773" t="s">
        <v>2221</v>
      </c>
      <c r="G2773" t="s">
        <v>1755</v>
      </c>
    </row>
    <row r="2774" spans="1:7" ht="15" customHeight="1" x14ac:dyDescent="0.25">
      <c r="A2774" s="2">
        <v>46011</v>
      </c>
      <c r="B2774">
        <v>2025003820</v>
      </c>
      <c r="C2774" t="s">
        <v>1890</v>
      </c>
      <c r="D2774" s="11">
        <v>4730000</v>
      </c>
      <c r="E2774" t="s">
        <v>2020</v>
      </c>
      <c r="F2774" t="s">
        <v>1891</v>
      </c>
      <c r="G2774" t="s">
        <v>1755</v>
      </c>
    </row>
    <row r="2775" spans="1:7" ht="15" customHeight="1" x14ac:dyDescent="0.25">
      <c r="A2775" s="2">
        <v>46011</v>
      </c>
      <c r="B2775">
        <v>2025003822</v>
      </c>
      <c r="C2775" t="s">
        <v>1850</v>
      </c>
      <c r="D2775" s="11">
        <v>4730000</v>
      </c>
      <c r="E2775" t="s">
        <v>2076</v>
      </c>
      <c r="F2775" t="s">
        <v>429</v>
      </c>
      <c r="G2775" t="s">
        <v>1755</v>
      </c>
    </row>
    <row r="2776" spans="1:7" ht="15" customHeight="1" x14ac:dyDescent="0.25">
      <c r="A2776" s="2">
        <v>46011</v>
      </c>
      <c r="B2776">
        <v>2025003823</v>
      </c>
      <c r="C2776" t="s">
        <v>1952</v>
      </c>
      <c r="D2776" s="11">
        <v>3150000</v>
      </c>
      <c r="E2776" t="s">
        <v>2049</v>
      </c>
      <c r="F2776" t="s">
        <v>1953</v>
      </c>
      <c r="G2776" t="s">
        <v>1755</v>
      </c>
    </row>
    <row r="2777" spans="1:7" ht="15" customHeight="1" x14ac:dyDescent="0.25">
      <c r="A2777" s="2">
        <v>46011</v>
      </c>
      <c r="B2777">
        <v>2025003828</v>
      </c>
      <c r="C2777" t="s">
        <v>2103</v>
      </c>
      <c r="D2777" s="11">
        <v>6300000</v>
      </c>
      <c r="E2777" t="s">
        <v>1748</v>
      </c>
      <c r="F2777" t="s">
        <v>437</v>
      </c>
      <c r="G2777" t="s">
        <v>1755</v>
      </c>
    </row>
    <row r="2778" spans="1:7" ht="15" customHeight="1" x14ac:dyDescent="0.25">
      <c r="A2778" s="2">
        <v>46011</v>
      </c>
      <c r="B2778">
        <v>2025003829</v>
      </c>
      <c r="C2778" t="s">
        <v>1946</v>
      </c>
      <c r="D2778" s="11">
        <v>3150000</v>
      </c>
      <c r="E2778" t="s">
        <v>2048</v>
      </c>
      <c r="F2778" t="s">
        <v>1947</v>
      </c>
      <c r="G2778" t="s">
        <v>1755</v>
      </c>
    </row>
    <row r="2779" spans="1:7" ht="15" customHeight="1" x14ac:dyDescent="0.25">
      <c r="A2779" s="2">
        <v>46011</v>
      </c>
      <c r="B2779">
        <v>2025003831</v>
      </c>
      <c r="C2779" t="s">
        <v>1984</v>
      </c>
      <c r="D2779" s="11">
        <v>3150000</v>
      </c>
      <c r="E2779" t="s">
        <v>2011</v>
      </c>
      <c r="F2779" t="s">
        <v>884</v>
      </c>
      <c r="G2779" t="s">
        <v>1755</v>
      </c>
    </row>
    <row r="2780" spans="1:7" ht="15" customHeight="1" x14ac:dyDescent="0.25">
      <c r="A2780" s="2">
        <v>46011</v>
      </c>
      <c r="B2780">
        <v>2025003833</v>
      </c>
      <c r="C2780" t="s">
        <v>1873</v>
      </c>
      <c r="D2780" s="11">
        <v>3150000</v>
      </c>
      <c r="E2780" t="s">
        <v>2012</v>
      </c>
      <c r="F2780" t="s">
        <v>1874</v>
      </c>
      <c r="G2780" t="s">
        <v>1755</v>
      </c>
    </row>
    <row r="2781" spans="1:7" ht="15" customHeight="1" x14ac:dyDescent="0.25">
      <c r="A2781" s="2">
        <v>46011</v>
      </c>
      <c r="B2781">
        <v>2025003834</v>
      </c>
      <c r="C2781" t="s">
        <v>1830</v>
      </c>
      <c r="D2781" s="11">
        <v>7800000</v>
      </c>
      <c r="E2781" t="s">
        <v>2010</v>
      </c>
      <c r="F2781" t="s">
        <v>1831</v>
      </c>
      <c r="G2781" t="s">
        <v>1755</v>
      </c>
    </row>
    <row r="2782" spans="1:7" ht="15" customHeight="1" x14ac:dyDescent="0.25">
      <c r="A2782" s="2">
        <v>46011</v>
      </c>
      <c r="B2782">
        <v>2025003836</v>
      </c>
      <c r="C2782" t="s">
        <v>1869</v>
      </c>
      <c r="D2782" s="11">
        <v>7800000</v>
      </c>
      <c r="E2782" t="s">
        <v>1591</v>
      </c>
      <c r="F2782" t="s">
        <v>791</v>
      </c>
      <c r="G2782" t="s">
        <v>1755</v>
      </c>
    </row>
    <row r="2783" spans="1:7" ht="15" customHeight="1" x14ac:dyDescent="0.25">
      <c r="A2783" s="2">
        <v>46011</v>
      </c>
      <c r="B2783">
        <v>2025003837</v>
      </c>
      <c r="C2783" t="s">
        <v>1879</v>
      </c>
      <c r="D2783" s="11">
        <v>3150000</v>
      </c>
      <c r="E2783" t="s">
        <v>2034</v>
      </c>
      <c r="F2783" t="s">
        <v>1880</v>
      </c>
      <c r="G2783" t="s">
        <v>1755</v>
      </c>
    </row>
    <row r="2784" spans="1:7" ht="15" customHeight="1" x14ac:dyDescent="0.25">
      <c r="A2784" s="2">
        <v>46011</v>
      </c>
      <c r="B2784">
        <v>2025003840</v>
      </c>
      <c r="C2784" t="s">
        <v>2149</v>
      </c>
      <c r="D2784" s="11">
        <v>6300000</v>
      </c>
      <c r="E2784" t="s">
        <v>2150</v>
      </c>
      <c r="F2784" t="s">
        <v>2151</v>
      </c>
      <c r="G2784" t="s">
        <v>1755</v>
      </c>
    </row>
    <row r="2785" spans="1:7" ht="15" customHeight="1" x14ac:dyDescent="0.25">
      <c r="A2785" s="2">
        <v>46011</v>
      </c>
      <c r="B2785">
        <v>2025003841</v>
      </c>
      <c r="C2785" t="s">
        <v>1768</v>
      </c>
      <c r="D2785" s="11">
        <v>3150000</v>
      </c>
      <c r="E2785" t="s">
        <v>2214</v>
      </c>
      <c r="F2785" t="s">
        <v>1769</v>
      </c>
      <c r="G2785" t="s">
        <v>1755</v>
      </c>
    </row>
    <row r="2786" spans="1:7" ht="15" customHeight="1" x14ac:dyDescent="0.25">
      <c r="A2786" s="2">
        <v>46011</v>
      </c>
      <c r="B2786">
        <v>2025003842</v>
      </c>
      <c r="C2786" t="s">
        <v>2407</v>
      </c>
      <c r="D2786" s="11">
        <v>3150000</v>
      </c>
      <c r="E2786" t="s">
        <v>2408</v>
      </c>
      <c r="F2786" t="s">
        <v>2409</v>
      </c>
      <c r="G2786" t="s">
        <v>1755</v>
      </c>
    </row>
    <row r="2787" spans="1:7" ht="15" customHeight="1" x14ac:dyDescent="0.25">
      <c r="A2787" s="2">
        <v>46011</v>
      </c>
      <c r="B2787">
        <v>2025003843</v>
      </c>
      <c r="C2787" t="s">
        <v>2413</v>
      </c>
      <c r="D2787" s="11">
        <v>2000000</v>
      </c>
      <c r="E2787" t="s">
        <v>2414</v>
      </c>
      <c r="F2787" t="s">
        <v>2415</v>
      </c>
      <c r="G2787" t="s">
        <v>1755</v>
      </c>
    </row>
    <row r="2788" spans="1:7" ht="15" customHeight="1" x14ac:dyDescent="0.25">
      <c r="A2788" s="2">
        <v>46011</v>
      </c>
      <c r="B2788">
        <v>2025003844</v>
      </c>
      <c r="C2788" t="s">
        <v>2071</v>
      </c>
      <c r="D2788" s="11">
        <v>2000000</v>
      </c>
      <c r="E2788" t="s">
        <v>2072</v>
      </c>
      <c r="F2788" t="s">
        <v>2073</v>
      </c>
      <c r="G2788" t="s">
        <v>1755</v>
      </c>
    </row>
    <row r="2789" spans="1:7" ht="15" customHeight="1" x14ac:dyDescent="0.25">
      <c r="A2789" s="2">
        <v>46011</v>
      </c>
      <c r="B2789">
        <v>2025003845</v>
      </c>
      <c r="C2789" t="s">
        <v>2091</v>
      </c>
      <c r="D2789" s="11">
        <v>3150000</v>
      </c>
      <c r="E2789" t="s">
        <v>2092</v>
      </c>
      <c r="F2789" t="s">
        <v>2093</v>
      </c>
      <c r="G2789" t="s">
        <v>1755</v>
      </c>
    </row>
    <row r="2790" spans="1:7" ht="15" customHeight="1" x14ac:dyDescent="0.25">
      <c r="A2790" s="2">
        <v>46011</v>
      </c>
      <c r="B2790">
        <v>2025003846</v>
      </c>
      <c r="C2790" t="s">
        <v>2155</v>
      </c>
      <c r="D2790" s="11">
        <v>7800000</v>
      </c>
      <c r="E2790" t="s">
        <v>2156</v>
      </c>
      <c r="F2790" t="s">
        <v>2157</v>
      </c>
      <c r="G2790" t="s">
        <v>1755</v>
      </c>
    </row>
    <row r="2791" spans="1:7" ht="15" customHeight="1" x14ac:dyDescent="0.25">
      <c r="A2791" s="2">
        <v>46011</v>
      </c>
      <c r="B2791">
        <v>2025003847</v>
      </c>
      <c r="C2791" t="s">
        <v>2450</v>
      </c>
      <c r="D2791" s="11">
        <v>6300000</v>
      </c>
      <c r="E2791" t="s">
        <v>1738</v>
      </c>
      <c r="F2791" t="s">
        <v>670</v>
      </c>
      <c r="G2791" t="s">
        <v>1755</v>
      </c>
    </row>
    <row r="2792" spans="1:7" ht="15" customHeight="1" x14ac:dyDescent="0.25">
      <c r="A2792" s="2">
        <v>46011</v>
      </c>
      <c r="B2792">
        <v>2025003848</v>
      </c>
      <c r="C2792" t="s">
        <v>1898</v>
      </c>
      <c r="D2792" s="11">
        <v>3150000</v>
      </c>
      <c r="E2792" t="s">
        <v>2115</v>
      </c>
      <c r="F2792" t="s">
        <v>1899</v>
      </c>
      <c r="G2792" t="s">
        <v>1755</v>
      </c>
    </row>
    <row r="2793" spans="1:7" ht="15" customHeight="1" x14ac:dyDescent="0.25">
      <c r="A2793" s="2">
        <v>46011</v>
      </c>
      <c r="B2793">
        <v>2025003849</v>
      </c>
      <c r="C2793" t="s">
        <v>1850</v>
      </c>
      <c r="D2793" s="11">
        <v>4730000</v>
      </c>
      <c r="E2793" t="s">
        <v>2076</v>
      </c>
      <c r="F2793" t="s">
        <v>429</v>
      </c>
      <c r="G2793" t="s">
        <v>1755</v>
      </c>
    </row>
    <row r="2794" spans="1:7" ht="15" customHeight="1" x14ac:dyDescent="0.25">
      <c r="A2794" s="2">
        <v>46011</v>
      </c>
      <c r="B2794">
        <v>2025003851</v>
      </c>
      <c r="C2794" t="s">
        <v>2117</v>
      </c>
      <c r="D2794" s="11">
        <v>3150000</v>
      </c>
      <c r="E2794" t="s">
        <v>2118</v>
      </c>
      <c r="F2794" t="s">
        <v>2119</v>
      </c>
      <c r="G2794" t="s">
        <v>1755</v>
      </c>
    </row>
    <row r="2795" spans="1:7" ht="15" customHeight="1" x14ac:dyDescent="0.25">
      <c r="A2795" s="2">
        <v>46011</v>
      </c>
      <c r="B2795">
        <v>2025003852</v>
      </c>
      <c r="C2795" t="s">
        <v>1887</v>
      </c>
      <c r="D2795" s="11">
        <v>4730000</v>
      </c>
      <c r="E2795" t="s">
        <v>2024</v>
      </c>
      <c r="F2795" t="s">
        <v>1888</v>
      </c>
      <c r="G2795" t="s">
        <v>1755</v>
      </c>
    </row>
    <row r="2796" spans="1:7" ht="15" customHeight="1" x14ac:dyDescent="0.25">
      <c r="A2796" s="2">
        <v>46011</v>
      </c>
      <c r="B2796">
        <v>2025003853</v>
      </c>
      <c r="C2796" t="s">
        <v>2406</v>
      </c>
      <c r="D2796" s="11">
        <v>3150000</v>
      </c>
      <c r="E2796" t="s">
        <v>1608</v>
      </c>
      <c r="F2796" t="s">
        <v>1114</v>
      </c>
      <c r="G2796" t="s">
        <v>1755</v>
      </c>
    </row>
    <row r="2797" spans="1:7" ht="15" customHeight="1" x14ac:dyDescent="0.25">
      <c r="A2797" s="2">
        <v>46011</v>
      </c>
      <c r="B2797">
        <v>2025003854</v>
      </c>
      <c r="C2797" t="s">
        <v>2219</v>
      </c>
      <c r="D2797" s="11">
        <v>3150000</v>
      </c>
      <c r="E2797" t="s">
        <v>2220</v>
      </c>
      <c r="F2797" t="s">
        <v>2221</v>
      </c>
      <c r="G2797" t="s">
        <v>1755</v>
      </c>
    </row>
    <row r="2798" spans="1:7" ht="15" customHeight="1" x14ac:dyDescent="0.25">
      <c r="A2798" s="2">
        <v>46011</v>
      </c>
      <c r="B2798">
        <v>2025003856</v>
      </c>
      <c r="C2798" t="s">
        <v>1760</v>
      </c>
      <c r="D2798" s="11">
        <v>3150000</v>
      </c>
      <c r="E2798" t="s">
        <v>1652</v>
      </c>
      <c r="F2798" t="s">
        <v>371</v>
      </c>
      <c r="G2798" t="s">
        <v>1755</v>
      </c>
    </row>
    <row r="2799" spans="1:7" ht="15" customHeight="1" x14ac:dyDescent="0.25">
      <c r="A2799" s="2">
        <v>46011</v>
      </c>
      <c r="B2799">
        <v>2025003858</v>
      </c>
      <c r="C2799" t="s">
        <v>1919</v>
      </c>
      <c r="D2799" s="11">
        <v>4730000</v>
      </c>
      <c r="E2799" t="s">
        <v>2289</v>
      </c>
      <c r="F2799" t="s">
        <v>900</v>
      </c>
      <c r="G2799" t="s">
        <v>1755</v>
      </c>
    </row>
    <row r="2800" spans="1:7" ht="15" customHeight="1" x14ac:dyDescent="0.25">
      <c r="A2800" s="2">
        <v>46011</v>
      </c>
      <c r="B2800">
        <v>2025003859</v>
      </c>
      <c r="C2800" t="s">
        <v>2029</v>
      </c>
      <c r="D2800" s="11">
        <v>3150000</v>
      </c>
      <c r="E2800" t="s">
        <v>1712</v>
      </c>
      <c r="F2800" t="s">
        <v>1222</v>
      </c>
      <c r="G2800" t="s">
        <v>1755</v>
      </c>
    </row>
    <row r="2801" spans="1:7" ht="15" customHeight="1" x14ac:dyDescent="0.25">
      <c r="A2801" s="2">
        <v>46011</v>
      </c>
      <c r="B2801">
        <v>2025003862</v>
      </c>
      <c r="C2801" t="s">
        <v>1889</v>
      </c>
      <c r="D2801" s="11">
        <v>3150000</v>
      </c>
      <c r="E2801" t="s">
        <v>1731</v>
      </c>
      <c r="F2801" t="s">
        <v>548</v>
      </c>
      <c r="G2801" t="s">
        <v>1755</v>
      </c>
    </row>
    <row r="2802" spans="1:7" ht="15" customHeight="1" x14ac:dyDescent="0.25">
      <c r="A2802" s="2">
        <v>46011</v>
      </c>
      <c r="B2802">
        <v>2025003864</v>
      </c>
      <c r="C2802" t="s">
        <v>1871</v>
      </c>
      <c r="D2802" s="11">
        <v>7800000</v>
      </c>
      <c r="E2802" t="s">
        <v>2054</v>
      </c>
      <c r="F2802" t="s">
        <v>1872</v>
      </c>
      <c r="G2802" t="s">
        <v>1755</v>
      </c>
    </row>
    <row r="2803" spans="1:7" ht="15" customHeight="1" x14ac:dyDescent="0.25">
      <c r="A2803" s="2">
        <v>46011</v>
      </c>
      <c r="B2803">
        <v>2025003865</v>
      </c>
      <c r="C2803" t="s">
        <v>1754</v>
      </c>
      <c r="D2803" s="11">
        <v>3150000</v>
      </c>
      <c r="E2803" t="s">
        <v>2090</v>
      </c>
      <c r="F2803" t="s">
        <v>504</v>
      </c>
      <c r="G2803" t="s">
        <v>1755</v>
      </c>
    </row>
    <row r="2804" spans="1:7" ht="15" customHeight="1" x14ac:dyDescent="0.25">
      <c r="A2804" s="2">
        <v>46011</v>
      </c>
      <c r="B2804">
        <v>2025003866</v>
      </c>
      <c r="C2804" t="s">
        <v>1836</v>
      </c>
      <c r="D2804" s="11">
        <v>4730000</v>
      </c>
      <c r="E2804" t="s">
        <v>2013</v>
      </c>
      <c r="F2804" t="s">
        <v>1837</v>
      </c>
      <c r="G2804" t="s">
        <v>1755</v>
      </c>
    </row>
    <row r="2805" spans="1:7" ht="15" customHeight="1" x14ac:dyDescent="0.25">
      <c r="A2805" s="2">
        <v>46011</v>
      </c>
      <c r="B2805">
        <v>2025003867</v>
      </c>
      <c r="C2805" t="s">
        <v>2211</v>
      </c>
      <c r="D2805" s="11">
        <v>2000000</v>
      </c>
      <c r="E2805" t="s">
        <v>2212</v>
      </c>
      <c r="F2805" t="s">
        <v>319</v>
      </c>
      <c r="G2805" t="s">
        <v>1755</v>
      </c>
    </row>
    <row r="2806" spans="1:7" ht="15" customHeight="1" x14ac:dyDescent="0.25">
      <c r="A2806" s="2">
        <v>46011</v>
      </c>
      <c r="B2806">
        <v>2025003868</v>
      </c>
      <c r="C2806" t="s">
        <v>2029</v>
      </c>
      <c r="D2806" s="11">
        <v>3150000</v>
      </c>
      <c r="E2806" t="s">
        <v>1712</v>
      </c>
      <c r="F2806" t="s">
        <v>1222</v>
      </c>
      <c r="G2806" t="s">
        <v>1755</v>
      </c>
    </row>
    <row r="2807" spans="1:7" ht="15" customHeight="1" x14ac:dyDescent="0.25">
      <c r="A2807" s="2">
        <v>46011</v>
      </c>
      <c r="B2807">
        <v>2025003870</v>
      </c>
      <c r="C2807" t="s">
        <v>2104</v>
      </c>
      <c r="D2807" s="11">
        <v>2000000</v>
      </c>
      <c r="E2807" t="s">
        <v>2105</v>
      </c>
      <c r="F2807" t="s">
        <v>2106</v>
      </c>
      <c r="G2807" t="s">
        <v>1755</v>
      </c>
    </row>
    <row r="2808" spans="1:7" ht="15" customHeight="1" x14ac:dyDescent="0.25">
      <c r="A2808" s="2">
        <v>46011</v>
      </c>
      <c r="B2808">
        <v>2025003872</v>
      </c>
      <c r="C2808" t="s">
        <v>1967</v>
      </c>
      <c r="D2808" s="11">
        <v>3150000</v>
      </c>
      <c r="E2808" t="s">
        <v>2053</v>
      </c>
      <c r="F2808" t="s">
        <v>1968</v>
      </c>
      <c r="G2808" t="s">
        <v>1755</v>
      </c>
    </row>
    <row r="2809" spans="1:7" ht="15" customHeight="1" x14ac:dyDescent="0.25">
      <c r="A2809" s="2">
        <v>46011</v>
      </c>
      <c r="B2809">
        <v>2025003873</v>
      </c>
      <c r="C2809" t="s">
        <v>2026</v>
      </c>
      <c r="D2809" s="11">
        <v>2000000</v>
      </c>
      <c r="E2809" t="s">
        <v>2027</v>
      </c>
      <c r="F2809" t="s">
        <v>2028</v>
      </c>
      <c r="G2809" t="s">
        <v>1755</v>
      </c>
    </row>
    <row r="2810" spans="1:7" ht="15" customHeight="1" x14ac:dyDescent="0.25">
      <c r="A2810" s="2">
        <v>46011</v>
      </c>
      <c r="B2810">
        <v>2025003874</v>
      </c>
      <c r="C2810" t="s">
        <v>2318</v>
      </c>
      <c r="D2810" s="11">
        <v>3150000</v>
      </c>
      <c r="E2810" t="s">
        <v>1624</v>
      </c>
      <c r="F2810" t="s">
        <v>11</v>
      </c>
      <c r="G2810" t="s">
        <v>1755</v>
      </c>
    </row>
    <row r="2811" spans="1:7" ht="15" customHeight="1" x14ac:dyDescent="0.25">
      <c r="A2811" s="2">
        <v>46011</v>
      </c>
      <c r="B2811">
        <v>2025003875</v>
      </c>
      <c r="C2811" t="s">
        <v>2416</v>
      </c>
      <c r="D2811" s="11">
        <v>7800000</v>
      </c>
      <c r="E2811" t="s">
        <v>2417</v>
      </c>
      <c r="F2811" t="s">
        <v>2418</v>
      </c>
      <c r="G2811" t="s">
        <v>1755</v>
      </c>
    </row>
    <row r="2812" spans="1:7" ht="15" customHeight="1" x14ac:dyDescent="0.25">
      <c r="A2812" s="2">
        <v>46011</v>
      </c>
      <c r="B2812">
        <v>2025003876</v>
      </c>
      <c r="C2812" t="s">
        <v>2065</v>
      </c>
      <c r="D2812" s="11">
        <v>2000000</v>
      </c>
      <c r="E2812" t="s">
        <v>2066</v>
      </c>
      <c r="F2812" t="s">
        <v>2067</v>
      </c>
      <c r="G2812" t="s">
        <v>1755</v>
      </c>
    </row>
    <row r="2813" spans="1:7" ht="15" customHeight="1" x14ac:dyDescent="0.25">
      <c r="A2813" s="2">
        <v>46011</v>
      </c>
      <c r="B2813">
        <v>2025003878</v>
      </c>
      <c r="C2813" t="s">
        <v>2323</v>
      </c>
      <c r="D2813" s="11">
        <v>2000000</v>
      </c>
      <c r="E2813" t="s">
        <v>2324</v>
      </c>
      <c r="F2813" t="s">
        <v>2325</v>
      </c>
      <c r="G2813" t="s">
        <v>1755</v>
      </c>
    </row>
    <row r="2814" spans="1:7" ht="15" customHeight="1" x14ac:dyDescent="0.25">
      <c r="A2814" s="2">
        <v>46011</v>
      </c>
      <c r="B2814">
        <v>2025003879</v>
      </c>
      <c r="C2814" t="s">
        <v>1770</v>
      </c>
      <c r="D2814" s="11">
        <v>6300000</v>
      </c>
      <c r="E2814" t="s">
        <v>1664</v>
      </c>
      <c r="F2814" t="s">
        <v>329</v>
      </c>
      <c r="G2814" t="s">
        <v>1755</v>
      </c>
    </row>
    <row r="2815" spans="1:7" ht="15" customHeight="1" x14ac:dyDescent="0.25">
      <c r="A2815" s="2">
        <v>46011</v>
      </c>
      <c r="B2815">
        <v>2025003880</v>
      </c>
      <c r="C2815" t="s">
        <v>1987</v>
      </c>
      <c r="D2815" s="11">
        <v>3150000</v>
      </c>
      <c r="E2815" t="s">
        <v>2025</v>
      </c>
      <c r="F2815" t="s">
        <v>1988</v>
      </c>
      <c r="G2815" t="s">
        <v>1755</v>
      </c>
    </row>
    <row r="2816" spans="1:7" ht="15" customHeight="1" x14ac:dyDescent="0.25">
      <c r="A2816" s="2">
        <v>46011</v>
      </c>
      <c r="B2816">
        <v>2025003881</v>
      </c>
      <c r="C2816" t="s">
        <v>1851</v>
      </c>
      <c r="D2816" s="11">
        <v>7800000</v>
      </c>
      <c r="E2816" t="s">
        <v>2016</v>
      </c>
      <c r="F2816" t="s">
        <v>1852</v>
      </c>
      <c r="G2816" t="s">
        <v>1755</v>
      </c>
    </row>
    <row r="2817" spans="1:7" ht="15" customHeight="1" x14ac:dyDescent="0.25">
      <c r="A2817" s="2">
        <v>46011</v>
      </c>
      <c r="B2817">
        <v>2025003882</v>
      </c>
      <c r="C2817" t="s">
        <v>2068</v>
      </c>
      <c r="D2817" s="11">
        <v>2000000</v>
      </c>
      <c r="E2817" t="s">
        <v>2069</v>
      </c>
      <c r="F2817" t="s">
        <v>2070</v>
      </c>
      <c r="G2817" t="s">
        <v>1755</v>
      </c>
    </row>
    <row r="2818" spans="1:7" ht="15" customHeight="1" x14ac:dyDescent="0.25">
      <c r="A2818" s="2">
        <v>46011</v>
      </c>
      <c r="B2818">
        <v>2025003883</v>
      </c>
      <c r="C2818" t="s">
        <v>1963</v>
      </c>
      <c r="D2818" s="11">
        <v>7800000</v>
      </c>
      <c r="E2818" t="s">
        <v>2023</v>
      </c>
      <c r="F2818" t="s">
        <v>1964</v>
      </c>
      <c r="G2818" t="s">
        <v>1755</v>
      </c>
    </row>
    <row r="2819" spans="1:7" ht="15" customHeight="1" x14ac:dyDescent="0.25">
      <c r="A2819" s="2">
        <v>46011</v>
      </c>
      <c r="B2819">
        <v>2025003884</v>
      </c>
      <c r="C2819" t="s">
        <v>1833</v>
      </c>
      <c r="D2819" s="11">
        <v>6300000</v>
      </c>
      <c r="E2819" t="s">
        <v>2226</v>
      </c>
      <c r="F2819" t="s">
        <v>1834</v>
      </c>
      <c r="G2819" t="s">
        <v>1755</v>
      </c>
    </row>
    <row r="2820" spans="1:7" ht="15" customHeight="1" x14ac:dyDescent="0.25">
      <c r="A2820" s="2">
        <v>46011</v>
      </c>
      <c r="B2820">
        <v>2025003885</v>
      </c>
      <c r="C2820" t="s">
        <v>1860</v>
      </c>
      <c r="D2820" s="11">
        <v>7800000</v>
      </c>
      <c r="E2820" t="s">
        <v>1602</v>
      </c>
      <c r="F2820" t="s">
        <v>69</v>
      </c>
      <c r="G2820" t="s">
        <v>1755</v>
      </c>
    </row>
    <row r="2821" spans="1:7" ht="15" customHeight="1" x14ac:dyDescent="0.25">
      <c r="A2821" s="2">
        <v>46011</v>
      </c>
      <c r="B2821">
        <v>2025003886</v>
      </c>
      <c r="C2821" t="s">
        <v>2107</v>
      </c>
      <c r="D2821" s="11">
        <v>2000000</v>
      </c>
      <c r="E2821" t="s">
        <v>2108</v>
      </c>
      <c r="F2821" t="s">
        <v>2109</v>
      </c>
      <c r="G2821" t="s">
        <v>1755</v>
      </c>
    </row>
    <row r="2822" spans="1:7" ht="15" customHeight="1" x14ac:dyDescent="0.25">
      <c r="A2822" s="2">
        <v>46011</v>
      </c>
      <c r="B2822">
        <v>2025003887</v>
      </c>
      <c r="C2822" t="s">
        <v>2216</v>
      </c>
      <c r="D2822" s="11">
        <v>3150000</v>
      </c>
      <c r="E2822" t="s">
        <v>2217</v>
      </c>
      <c r="F2822" t="s">
        <v>2218</v>
      </c>
      <c r="G2822" t="s">
        <v>1755</v>
      </c>
    </row>
    <row r="2823" spans="1:7" ht="15" customHeight="1" x14ac:dyDescent="0.25">
      <c r="A2823" s="2">
        <v>46011</v>
      </c>
      <c r="B2823">
        <v>2025003889</v>
      </c>
      <c r="C2823" t="s">
        <v>1948</v>
      </c>
      <c r="D2823" s="11">
        <v>4730000</v>
      </c>
      <c r="E2823" t="s">
        <v>2008</v>
      </c>
      <c r="F2823" t="s">
        <v>1949</v>
      </c>
      <c r="G2823" t="s">
        <v>1755</v>
      </c>
    </row>
    <row r="2824" spans="1:7" ht="15" customHeight="1" x14ac:dyDescent="0.25">
      <c r="A2824" s="2">
        <v>46011</v>
      </c>
      <c r="B2824">
        <v>2025003890</v>
      </c>
      <c r="C2824" t="s">
        <v>1878</v>
      </c>
      <c r="D2824" s="11">
        <v>3150000</v>
      </c>
      <c r="E2824" t="s">
        <v>2037</v>
      </c>
      <c r="F2824" t="s">
        <v>417</v>
      </c>
      <c r="G2824" t="s">
        <v>1755</v>
      </c>
    </row>
    <row r="2825" spans="1:7" ht="15" customHeight="1" x14ac:dyDescent="0.25">
      <c r="A2825" s="2">
        <v>46011</v>
      </c>
      <c r="B2825">
        <v>2025003892</v>
      </c>
      <c r="C2825" t="s">
        <v>2208</v>
      </c>
      <c r="D2825" s="11">
        <v>7800000</v>
      </c>
      <c r="E2825" t="s">
        <v>2209</v>
      </c>
      <c r="F2825" t="s">
        <v>43</v>
      </c>
      <c r="G2825" t="s">
        <v>1755</v>
      </c>
    </row>
    <row r="2826" spans="1:7" ht="15" customHeight="1" x14ac:dyDescent="0.25">
      <c r="A2826" s="2">
        <v>46011</v>
      </c>
      <c r="B2826">
        <v>2025003893</v>
      </c>
      <c r="C2826" t="s">
        <v>1956</v>
      </c>
      <c r="D2826" s="11">
        <v>3150000</v>
      </c>
      <c r="E2826" t="s">
        <v>2035</v>
      </c>
      <c r="F2826" t="s">
        <v>1957</v>
      </c>
      <c r="G2826" t="s">
        <v>1755</v>
      </c>
    </row>
    <row r="2827" spans="1:7" ht="15" customHeight="1" x14ac:dyDescent="0.25">
      <c r="A2827" s="2">
        <v>46011</v>
      </c>
      <c r="B2827">
        <v>2025003895</v>
      </c>
      <c r="C2827" t="s">
        <v>2330</v>
      </c>
      <c r="D2827" s="11">
        <v>3150000</v>
      </c>
      <c r="E2827" t="s">
        <v>2331</v>
      </c>
      <c r="F2827" t="s">
        <v>2332</v>
      </c>
      <c r="G2827" t="s">
        <v>1755</v>
      </c>
    </row>
    <row r="2828" spans="1:7" ht="15" customHeight="1" x14ac:dyDescent="0.25">
      <c r="A2828" s="2">
        <v>46011</v>
      </c>
      <c r="B2828">
        <v>2025003897</v>
      </c>
      <c r="C2828" t="s">
        <v>2158</v>
      </c>
      <c r="D2828" s="11">
        <v>3150000</v>
      </c>
      <c r="E2828" t="s">
        <v>2159</v>
      </c>
      <c r="F2828" t="s">
        <v>2160</v>
      </c>
      <c r="G2828" t="s">
        <v>1755</v>
      </c>
    </row>
    <row r="2829" spans="1:7" ht="15" customHeight="1" x14ac:dyDescent="0.25">
      <c r="A2829" s="2">
        <v>46011</v>
      </c>
      <c r="B2829">
        <v>2025003899</v>
      </c>
      <c r="C2829" t="s">
        <v>2320</v>
      </c>
      <c r="D2829" s="11">
        <v>2000000</v>
      </c>
      <c r="E2829" t="s">
        <v>2321</v>
      </c>
      <c r="F2829" t="s">
        <v>2322</v>
      </c>
      <c r="G2829" t="s">
        <v>1755</v>
      </c>
    </row>
    <row r="2830" spans="1:7" ht="15" customHeight="1" x14ac:dyDescent="0.25">
      <c r="A2830" s="2">
        <v>46011</v>
      </c>
      <c r="B2830">
        <v>2025003900</v>
      </c>
      <c r="C2830" t="s">
        <v>2084</v>
      </c>
      <c r="D2830" s="11">
        <v>2000000</v>
      </c>
      <c r="E2830" t="s">
        <v>2085</v>
      </c>
      <c r="F2830" t="s">
        <v>2086</v>
      </c>
      <c r="G2830" t="s">
        <v>1755</v>
      </c>
    </row>
    <row r="2831" spans="1:7" ht="15" customHeight="1" x14ac:dyDescent="0.25">
      <c r="A2831" s="2">
        <v>46011</v>
      </c>
      <c r="B2831">
        <v>2025003901</v>
      </c>
      <c r="C2831" t="s">
        <v>1799</v>
      </c>
      <c r="D2831" s="11">
        <v>3150000</v>
      </c>
      <c r="E2831" t="s">
        <v>2247</v>
      </c>
      <c r="F2831" t="s">
        <v>1086</v>
      </c>
      <c r="G2831" t="s">
        <v>1755</v>
      </c>
    </row>
    <row r="2832" spans="1:7" ht="15" customHeight="1" x14ac:dyDescent="0.25">
      <c r="A2832" s="2">
        <v>46011</v>
      </c>
      <c r="B2832">
        <v>2025003902</v>
      </c>
      <c r="C2832" t="s">
        <v>2161</v>
      </c>
      <c r="D2832" s="11">
        <v>3150000</v>
      </c>
      <c r="E2832" t="s">
        <v>2162</v>
      </c>
      <c r="F2832" t="s">
        <v>2163</v>
      </c>
      <c r="G2832" t="s">
        <v>1755</v>
      </c>
    </row>
    <row r="2833" spans="1:7" ht="15" customHeight="1" x14ac:dyDescent="0.25">
      <c r="A2833" s="2">
        <v>46011</v>
      </c>
      <c r="B2833">
        <v>2025003903</v>
      </c>
      <c r="C2833" t="s">
        <v>2104</v>
      </c>
      <c r="D2833" s="11">
        <v>2000000</v>
      </c>
      <c r="E2833" t="s">
        <v>2105</v>
      </c>
      <c r="F2833" t="s">
        <v>2106</v>
      </c>
      <c r="G2833" t="s">
        <v>1755</v>
      </c>
    </row>
    <row r="2834" spans="1:7" ht="15" customHeight="1" x14ac:dyDescent="0.25">
      <c r="A2834" s="2">
        <v>46011</v>
      </c>
      <c r="B2834">
        <v>2025003904</v>
      </c>
      <c r="C2834" t="s">
        <v>1913</v>
      </c>
      <c r="D2834" s="11">
        <v>7800000</v>
      </c>
      <c r="E2834" t="s">
        <v>1750</v>
      </c>
      <c r="F2834" t="s">
        <v>1266</v>
      </c>
      <c r="G2834" t="s">
        <v>1755</v>
      </c>
    </row>
    <row r="2835" spans="1:7" ht="15" customHeight="1" x14ac:dyDescent="0.25">
      <c r="A2835" s="2">
        <v>46011</v>
      </c>
      <c r="B2835">
        <v>2025003906</v>
      </c>
      <c r="C2835" t="s">
        <v>1995</v>
      </c>
      <c r="D2835" s="11">
        <v>4730000</v>
      </c>
      <c r="E2835" t="s">
        <v>2287</v>
      </c>
      <c r="F2835" t="s">
        <v>235</v>
      </c>
      <c r="G2835" t="s">
        <v>1755</v>
      </c>
    </row>
    <row r="2836" spans="1:7" ht="15" customHeight="1" x14ac:dyDescent="0.25">
      <c r="A2836" s="2">
        <v>46011</v>
      </c>
      <c r="B2836">
        <v>2025003907</v>
      </c>
      <c r="C2836" t="s">
        <v>2454</v>
      </c>
      <c r="D2836" s="11">
        <v>2000000</v>
      </c>
      <c r="E2836" t="s">
        <v>2455</v>
      </c>
      <c r="F2836" t="s">
        <v>866</v>
      </c>
      <c r="G2836" t="s">
        <v>1755</v>
      </c>
    </row>
    <row r="2837" spans="1:7" ht="15" customHeight="1" x14ac:dyDescent="0.25">
      <c r="A2837" s="2">
        <v>46011</v>
      </c>
      <c r="B2837">
        <v>2025003910</v>
      </c>
      <c r="C2837" t="s">
        <v>1943</v>
      </c>
      <c r="D2837" s="11">
        <v>3150000</v>
      </c>
      <c r="E2837" t="s">
        <v>1601</v>
      </c>
      <c r="F2837" t="s">
        <v>171</v>
      </c>
      <c r="G2837" t="s">
        <v>1755</v>
      </c>
    </row>
    <row r="2838" spans="1:7" ht="15" customHeight="1" x14ac:dyDescent="0.25">
      <c r="A2838" s="2">
        <v>46011</v>
      </c>
      <c r="B2838">
        <v>2025003914</v>
      </c>
      <c r="C2838" t="s">
        <v>1792</v>
      </c>
      <c r="D2838" s="11">
        <v>3150000</v>
      </c>
      <c r="E2838" t="s">
        <v>1690</v>
      </c>
      <c r="F2838" t="s">
        <v>201</v>
      </c>
      <c r="G2838" t="s">
        <v>1755</v>
      </c>
    </row>
    <row r="2839" spans="1:7" ht="15" customHeight="1" x14ac:dyDescent="0.25">
      <c r="A2839" s="2">
        <v>46011</v>
      </c>
      <c r="B2839">
        <v>2025003917</v>
      </c>
      <c r="C2839" t="s">
        <v>2140</v>
      </c>
      <c r="D2839" s="11">
        <v>2000000</v>
      </c>
      <c r="E2839" t="s">
        <v>2141</v>
      </c>
      <c r="F2839" t="s">
        <v>2142</v>
      </c>
      <c r="G2839" t="s">
        <v>1755</v>
      </c>
    </row>
    <row r="2840" spans="1:7" ht="15" customHeight="1" x14ac:dyDescent="0.25">
      <c r="A2840" s="2">
        <v>46011</v>
      </c>
      <c r="B2840">
        <v>2025003918</v>
      </c>
      <c r="C2840" t="s">
        <v>2078</v>
      </c>
      <c r="D2840" s="11">
        <v>2000000</v>
      </c>
      <c r="E2840" t="s">
        <v>1699</v>
      </c>
      <c r="F2840" t="s">
        <v>1020</v>
      </c>
      <c r="G2840" t="s">
        <v>1755</v>
      </c>
    </row>
    <row r="2841" spans="1:7" ht="15" customHeight="1" x14ac:dyDescent="0.25">
      <c r="A2841" s="2">
        <v>46011</v>
      </c>
      <c r="B2841">
        <v>2025003919</v>
      </c>
      <c r="C2841" t="s">
        <v>2087</v>
      </c>
      <c r="D2841" s="11">
        <v>3150000</v>
      </c>
      <c r="E2841" t="s">
        <v>2088</v>
      </c>
      <c r="F2841" t="s">
        <v>2089</v>
      </c>
      <c r="G2841" t="s">
        <v>1755</v>
      </c>
    </row>
    <row r="2842" spans="1:7" ht="15" customHeight="1" x14ac:dyDescent="0.25">
      <c r="A2842" s="2">
        <v>46011</v>
      </c>
      <c r="B2842">
        <v>2025003920</v>
      </c>
      <c r="C2842" t="s">
        <v>1764</v>
      </c>
      <c r="D2842" s="11">
        <v>151250000</v>
      </c>
      <c r="E2842" t="s">
        <v>1598</v>
      </c>
      <c r="F2842" t="s">
        <v>269</v>
      </c>
      <c r="G2842" t="s">
        <v>1755</v>
      </c>
    </row>
    <row r="2843" spans="1:7" ht="15" customHeight="1" x14ac:dyDescent="0.25">
      <c r="A2843" s="2">
        <v>46011</v>
      </c>
      <c r="B2843">
        <v>2025003921</v>
      </c>
      <c r="C2843" t="s">
        <v>2326</v>
      </c>
      <c r="D2843" s="11">
        <v>3150000</v>
      </c>
      <c r="E2843" t="s">
        <v>2327</v>
      </c>
      <c r="F2843" t="s">
        <v>35</v>
      </c>
      <c r="G2843" t="s">
        <v>1755</v>
      </c>
    </row>
    <row r="2844" spans="1:7" ht="15" customHeight="1" x14ac:dyDescent="0.25">
      <c r="A2844" s="2">
        <v>46011</v>
      </c>
      <c r="B2844">
        <v>2025003922</v>
      </c>
      <c r="C2844" t="s">
        <v>2315</v>
      </c>
      <c r="D2844" s="11">
        <v>2000000</v>
      </c>
      <c r="E2844" t="s">
        <v>2316</v>
      </c>
      <c r="F2844" t="s">
        <v>2317</v>
      </c>
      <c r="G2844" t="s">
        <v>1755</v>
      </c>
    </row>
    <row r="2845" spans="1:7" ht="15" customHeight="1" x14ac:dyDescent="0.25">
      <c r="A2845" s="2">
        <v>46011</v>
      </c>
      <c r="B2845">
        <v>2025003924</v>
      </c>
      <c r="C2845" t="s">
        <v>1965</v>
      </c>
      <c r="D2845" s="11">
        <v>6300000</v>
      </c>
      <c r="E2845" t="s">
        <v>2047</v>
      </c>
      <c r="F2845" t="s">
        <v>1966</v>
      </c>
      <c r="G2845" t="s">
        <v>1755</v>
      </c>
    </row>
    <row r="2846" spans="1:7" ht="15" customHeight="1" x14ac:dyDescent="0.25">
      <c r="A2846" s="2">
        <v>46011</v>
      </c>
      <c r="B2846">
        <v>2025003925</v>
      </c>
      <c r="C2846" t="s">
        <v>2197</v>
      </c>
      <c r="D2846" s="11">
        <v>4730000</v>
      </c>
      <c r="E2846" t="s">
        <v>2198</v>
      </c>
      <c r="F2846" t="s">
        <v>2199</v>
      </c>
      <c r="G2846" t="s">
        <v>1755</v>
      </c>
    </row>
    <row r="2847" spans="1:7" ht="15" customHeight="1" x14ac:dyDescent="0.25">
      <c r="A2847" s="2">
        <v>46011</v>
      </c>
      <c r="B2847">
        <v>2025003927</v>
      </c>
      <c r="C2847" t="s">
        <v>2205</v>
      </c>
      <c r="D2847" s="11">
        <v>3150000</v>
      </c>
      <c r="E2847" t="s">
        <v>2206</v>
      </c>
      <c r="F2847" t="s">
        <v>2207</v>
      </c>
      <c r="G2847" t="s">
        <v>1755</v>
      </c>
    </row>
    <row r="2848" spans="1:7" ht="15" customHeight="1" x14ac:dyDescent="0.25">
      <c r="A2848" s="2">
        <v>46011</v>
      </c>
      <c r="B2848">
        <v>2025003930</v>
      </c>
      <c r="C2848" t="s">
        <v>2227</v>
      </c>
      <c r="D2848" s="11">
        <v>3150000</v>
      </c>
      <c r="E2848" t="s">
        <v>2228</v>
      </c>
      <c r="F2848" t="s">
        <v>431</v>
      </c>
      <c r="G2848" t="s">
        <v>1755</v>
      </c>
    </row>
    <row r="2849" spans="1:8" ht="15" customHeight="1" x14ac:dyDescent="0.25">
      <c r="A2849" s="2">
        <v>46011</v>
      </c>
      <c r="B2849">
        <v>2025003931</v>
      </c>
      <c r="C2849" t="s">
        <v>2328</v>
      </c>
      <c r="D2849" s="11">
        <v>6300000</v>
      </c>
      <c r="E2849" t="s">
        <v>2329</v>
      </c>
      <c r="F2849" t="s">
        <v>845</v>
      </c>
      <c r="G2849" t="s">
        <v>1755</v>
      </c>
    </row>
    <row r="2850" spans="1:8" ht="15" customHeight="1" x14ac:dyDescent="0.25">
      <c r="A2850" s="2">
        <v>46011</v>
      </c>
      <c r="B2850">
        <v>2025003934</v>
      </c>
      <c r="C2850" t="s">
        <v>1801</v>
      </c>
      <c r="D2850" s="11">
        <v>3150000</v>
      </c>
      <c r="E2850" t="s">
        <v>2083</v>
      </c>
      <c r="F2850" t="s">
        <v>1802</v>
      </c>
      <c r="G2850" t="s">
        <v>1755</v>
      </c>
    </row>
    <row r="2851" spans="1:8" ht="15" customHeight="1" x14ac:dyDescent="0.25">
      <c r="A2851" s="2">
        <v>46011</v>
      </c>
      <c r="B2851">
        <v>2025003938</v>
      </c>
      <c r="C2851" t="s">
        <v>2152</v>
      </c>
      <c r="D2851" s="11">
        <v>7800000</v>
      </c>
      <c r="E2851" t="s">
        <v>2153</v>
      </c>
      <c r="F2851" t="s">
        <v>2154</v>
      </c>
      <c r="G2851" t="s">
        <v>1755</v>
      </c>
    </row>
    <row r="2852" spans="1:8" ht="15" customHeight="1" x14ac:dyDescent="0.25">
      <c r="A2852" s="2">
        <v>46011</v>
      </c>
      <c r="B2852">
        <v>2025003942</v>
      </c>
      <c r="C2852" t="s">
        <v>1763</v>
      </c>
      <c r="D2852" s="11">
        <v>4730000</v>
      </c>
      <c r="E2852" t="s">
        <v>2064</v>
      </c>
      <c r="F2852" t="s">
        <v>267</v>
      </c>
      <c r="G2852" t="s">
        <v>1755</v>
      </c>
    </row>
    <row r="2853" spans="1:8" ht="15" customHeight="1" x14ac:dyDescent="0.25">
      <c r="A2853" s="2">
        <v>46011</v>
      </c>
      <c r="B2853">
        <v>2025003945</v>
      </c>
      <c r="C2853" t="s">
        <v>2333</v>
      </c>
      <c r="D2853" s="11">
        <v>7800000</v>
      </c>
      <c r="E2853" t="s">
        <v>2334</v>
      </c>
      <c r="F2853" t="s">
        <v>2335</v>
      </c>
      <c r="G2853" t="s">
        <v>1755</v>
      </c>
    </row>
    <row r="2854" spans="1:8" ht="15" customHeight="1" x14ac:dyDescent="0.25">
      <c r="A2854" s="2">
        <v>46011</v>
      </c>
      <c r="B2854">
        <v>2025003947</v>
      </c>
      <c r="C2854" t="s">
        <v>2319</v>
      </c>
      <c r="D2854" s="11">
        <v>3150000</v>
      </c>
      <c r="E2854" t="s">
        <v>1732</v>
      </c>
      <c r="F2854" t="s">
        <v>103</v>
      </c>
      <c r="G2854" t="s">
        <v>1755</v>
      </c>
    </row>
    <row r="2855" spans="1:8" ht="15" customHeight="1" x14ac:dyDescent="0.25">
      <c r="A2855" s="2">
        <v>46011</v>
      </c>
      <c r="B2855">
        <v>2025003949</v>
      </c>
      <c r="C2855" t="s">
        <v>2411</v>
      </c>
      <c r="D2855" s="11">
        <v>7800000</v>
      </c>
      <c r="E2855" t="s">
        <v>2412</v>
      </c>
      <c r="F2855" t="s">
        <v>309</v>
      </c>
      <c r="G2855" t="s">
        <v>1755</v>
      </c>
    </row>
    <row r="2856" spans="1:8" ht="15" customHeight="1" x14ac:dyDescent="0.25">
      <c r="A2856" s="2">
        <v>46011</v>
      </c>
      <c r="B2856">
        <v>2025003953</v>
      </c>
      <c r="C2856" t="s">
        <v>1800</v>
      </c>
      <c r="D2856" s="11">
        <v>3150000</v>
      </c>
      <c r="E2856" t="s">
        <v>1667</v>
      </c>
      <c r="F2856" t="s">
        <v>555</v>
      </c>
      <c r="G2856" t="s">
        <v>1755</v>
      </c>
    </row>
    <row r="2857" spans="1:8" ht="15" customHeight="1" x14ac:dyDescent="0.25">
      <c r="A2857" s="2">
        <v>46011</v>
      </c>
      <c r="B2857">
        <v>2025003956</v>
      </c>
      <c r="C2857" t="s">
        <v>2241</v>
      </c>
      <c r="D2857" s="11">
        <v>3150000</v>
      </c>
      <c r="E2857" t="s">
        <v>2242</v>
      </c>
      <c r="F2857" t="s">
        <v>2243</v>
      </c>
      <c r="G2857" t="s">
        <v>1755</v>
      </c>
    </row>
    <row r="2858" spans="1:8" ht="15" customHeight="1" x14ac:dyDescent="0.25">
      <c r="A2858" s="2">
        <v>46011</v>
      </c>
      <c r="B2858">
        <v>2025003957</v>
      </c>
      <c r="C2858" t="s">
        <v>2080</v>
      </c>
      <c r="D2858" s="11">
        <v>6300000</v>
      </c>
      <c r="E2858" t="s">
        <v>2081</v>
      </c>
      <c r="F2858" t="s">
        <v>2082</v>
      </c>
      <c r="G2858" t="s">
        <v>1755</v>
      </c>
    </row>
    <row r="2859" spans="1:8" ht="15" customHeight="1" x14ac:dyDescent="0.25">
      <c r="A2859" s="2">
        <v>46011</v>
      </c>
      <c r="B2859">
        <v>2025003959</v>
      </c>
      <c r="C2859" t="s">
        <v>1985</v>
      </c>
      <c r="D2859" s="11">
        <v>7800000</v>
      </c>
      <c r="E2859" t="s">
        <v>2112</v>
      </c>
      <c r="F2859" t="s">
        <v>1986</v>
      </c>
      <c r="G2859" t="s">
        <v>1755</v>
      </c>
    </row>
    <row r="2860" spans="1:8" ht="15" customHeight="1" x14ac:dyDescent="0.25">
      <c r="A2860" s="2">
        <v>46011</v>
      </c>
      <c r="B2860">
        <v>2025003961</v>
      </c>
      <c r="C2860" t="s">
        <v>1864</v>
      </c>
      <c r="D2860" s="11">
        <v>3150000</v>
      </c>
      <c r="E2860" t="s">
        <v>2021</v>
      </c>
      <c r="F2860" t="s">
        <v>1865</v>
      </c>
      <c r="G2860" t="s">
        <v>1755</v>
      </c>
    </row>
    <row r="2861" spans="1:8" ht="15" customHeight="1" x14ac:dyDescent="0.25">
      <c r="A2861" s="2">
        <v>46011</v>
      </c>
      <c r="B2861">
        <v>2025003963</v>
      </c>
      <c r="C2861" t="s">
        <v>1793</v>
      </c>
      <c r="D2861" s="11">
        <v>3150000</v>
      </c>
      <c r="E2861" t="s">
        <v>2079</v>
      </c>
      <c r="F2861" t="s">
        <v>963</v>
      </c>
      <c r="G2861" t="s">
        <v>1755</v>
      </c>
    </row>
    <row r="2862" spans="1:8" ht="15" customHeight="1" x14ac:dyDescent="0.25">
      <c r="A2862" s="2">
        <v>46011</v>
      </c>
      <c r="B2862">
        <v>2025003964</v>
      </c>
      <c r="C2862" t="s">
        <v>1876</v>
      </c>
      <c r="D2862" s="11">
        <v>3150000</v>
      </c>
      <c r="E2862" t="s">
        <v>2113</v>
      </c>
      <c r="F2862" t="s">
        <v>658</v>
      </c>
      <c r="G2862" t="s">
        <v>1755</v>
      </c>
    </row>
    <row r="2863" spans="1:8" ht="15" customHeight="1" x14ac:dyDescent="0.25">
      <c r="A2863" s="25">
        <v>46011</v>
      </c>
      <c r="B2863">
        <v>2025003787</v>
      </c>
      <c r="C2863" t="s">
        <v>1278</v>
      </c>
      <c r="D2863" s="11">
        <v>4750000</v>
      </c>
      <c r="H2863" t="s">
        <v>2586</v>
      </c>
    </row>
    <row r="2864" spans="1:8" ht="15" customHeight="1" x14ac:dyDescent="0.25">
      <c r="A2864" s="25">
        <v>46011</v>
      </c>
      <c r="B2864">
        <v>2025003784</v>
      </c>
      <c r="C2864" t="s">
        <v>1277</v>
      </c>
      <c r="D2864" s="11">
        <v>4750000</v>
      </c>
      <c r="H2864" t="s">
        <v>2586</v>
      </c>
    </row>
    <row r="2865" spans="1:8" ht="15" customHeight="1" x14ac:dyDescent="0.25">
      <c r="A2865" s="2">
        <v>46011</v>
      </c>
      <c r="B2865">
        <v>2025003797</v>
      </c>
      <c r="C2865" s="4" t="s">
        <v>1273</v>
      </c>
      <c r="D2865" s="11">
        <v>3000000</v>
      </c>
      <c r="E2865" s="12"/>
      <c r="F2865" s="12"/>
      <c r="G2865" t="s">
        <v>1094</v>
      </c>
      <c r="H2865" t="s">
        <v>2586</v>
      </c>
    </row>
    <row r="2866" spans="1:8" ht="15" customHeight="1" x14ac:dyDescent="0.25">
      <c r="A2866" s="2">
        <v>46013</v>
      </c>
      <c r="B2866">
        <v>2025003966</v>
      </c>
      <c r="C2866" t="s">
        <v>2260</v>
      </c>
      <c r="D2866" s="11">
        <v>3150000</v>
      </c>
      <c r="E2866" t="s">
        <v>1632</v>
      </c>
      <c r="F2866" t="s">
        <v>121</v>
      </c>
      <c r="G2866" t="s">
        <v>1755</v>
      </c>
    </row>
    <row r="2867" spans="1:8" ht="15" customHeight="1" x14ac:dyDescent="0.25">
      <c r="A2867" s="2">
        <v>46013</v>
      </c>
      <c r="B2867">
        <v>2025003967</v>
      </c>
      <c r="C2867" t="s">
        <v>2279</v>
      </c>
      <c r="D2867" s="11">
        <v>2000000</v>
      </c>
      <c r="E2867" t="s">
        <v>1693</v>
      </c>
      <c r="F2867" t="s">
        <v>307</v>
      </c>
      <c r="G2867" t="s">
        <v>1755</v>
      </c>
    </row>
    <row r="2868" spans="1:8" ht="15" customHeight="1" x14ac:dyDescent="0.25">
      <c r="A2868" s="2">
        <v>46013</v>
      </c>
      <c r="B2868">
        <v>2025003969</v>
      </c>
      <c r="C2868" t="s">
        <v>2398</v>
      </c>
      <c r="D2868" s="11">
        <v>3150000</v>
      </c>
      <c r="E2868" t="s">
        <v>2399</v>
      </c>
      <c r="F2868" t="s">
        <v>2400</v>
      </c>
      <c r="G2868" t="s">
        <v>1755</v>
      </c>
    </row>
    <row r="2869" spans="1:8" ht="15" customHeight="1" x14ac:dyDescent="0.25">
      <c r="A2869" s="2">
        <v>46013</v>
      </c>
      <c r="B2869">
        <v>2025003970</v>
      </c>
      <c r="C2869" t="s">
        <v>1812</v>
      </c>
      <c r="D2869" s="11">
        <v>7800000</v>
      </c>
      <c r="E2869" t="s">
        <v>2057</v>
      </c>
      <c r="F2869" t="s">
        <v>1813</v>
      </c>
      <c r="G2869" t="s">
        <v>1755</v>
      </c>
    </row>
    <row r="2870" spans="1:8" ht="15" customHeight="1" x14ac:dyDescent="0.25">
      <c r="A2870" s="2">
        <v>46013</v>
      </c>
      <c r="B2870">
        <v>2025003973</v>
      </c>
      <c r="C2870" t="s">
        <v>1992</v>
      </c>
      <c r="D2870" s="11">
        <v>3150000</v>
      </c>
      <c r="E2870" t="s">
        <v>2255</v>
      </c>
      <c r="F2870" t="s">
        <v>580</v>
      </c>
      <c r="G2870" t="s">
        <v>1755</v>
      </c>
    </row>
    <row r="2871" spans="1:8" ht="15" customHeight="1" x14ac:dyDescent="0.25">
      <c r="A2871" s="2">
        <v>46013</v>
      </c>
      <c r="B2871">
        <v>2025003980</v>
      </c>
      <c r="C2871" t="s">
        <v>1839</v>
      </c>
      <c r="D2871" s="11">
        <v>4730000</v>
      </c>
      <c r="E2871" t="s">
        <v>1641</v>
      </c>
      <c r="F2871" t="s">
        <v>1142</v>
      </c>
      <c r="G2871" t="s">
        <v>1755</v>
      </c>
    </row>
    <row r="2872" spans="1:8" ht="15" customHeight="1" x14ac:dyDescent="0.25">
      <c r="A2872" s="2">
        <v>46013</v>
      </c>
      <c r="B2872">
        <v>2025003981</v>
      </c>
      <c r="C2872" t="s">
        <v>1856</v>
      </c>
      <c r="D2872" s="11">
        <v>3150000</v>
      </c>
      <c r="E2872" t="s">
        <v>1660</v>
      </c>
      <c r="F2872" t="s">
        <v>1163</v>
      </c>
      <c r="G2872" t="s">
        <v>1755</v>
      </c>
    </row>
    <row r="2873" spans="1:8" ht="15" customHeight="1" x14ac:dyDescent="0.25">
      <c r="A2873" s="2">
        <v>46013</v>
      </c>
      <c r="B2873">
        <v>2025003983</v>
      </c>
      <c r="C2873" t="s">
        <v>1887</v>
      </c>
      <c r="D2873" s="11">
        <v>4730000</v>
      </c>
      <c r="E2873" t="s">
        <v>2024</v>
      </c>
      <c r="F2873" t="s">
        <v>1888</v>
      </c>
      <c r="G2873" t="s">
        <v>1755</v>
      </c>
    </row>
    <row r="2874" spans="1:8" ht="15" customHeight="1" x14ac:dyDescent="0.25">
      <c r="A2874" s="2">
        <v>46013</v>
      </c>
      <c r="B2874">
        <v>2025003985</v>
      </c>
      <c r="C2874" t="s">
        <v>1881</v>
      </c>
      <c r="D2874" s="11">
        <v>3150000</v>
      </c>
      <c r="E2874" t="s">
        <v>2046</v>
      </c>
      <c r="F2874" t="s">
        <v>1882</v>
      </c>
      <c r="G2874" t="s">
        <v>1755</v>
      </c>
    </row>
    <row r="2875" spans="1:8" ht="15" customHeight="1" x14ac:dyDescent="0.25">
      <c r="A2875" s="2">
        <v>46013</v>
      </c>
      <c r="B2875">
        <v>2025003988</v>
      </c>
      <c r="C2875" t="s">
        <v>1761</v>
      </c>
      <c r="D2875" s="11">
        <v>3150000</v>
      </c>
      <c r="E2875" t="s">
        <v>1671</v>
      </c>
      <c r="F2875" t="s">
        <v>443</v>
      </c>
      <c r="G2875" t="s">
        <v>1755</v>
      </c>
    </row>
    <row r="2876" spans="1:8" ht="15" customHeight="1" x14ac:dyDescent="0.25">
      <c r="A2876" s="2">
        <v>46013</v>
      </c>
      <c r="B2876">
        <v>2025003989</v>
      </c>
      <c r="C2876" t="s">
        <v>1954</v>
      </c>
      <c r="D2876" s="11">
        <v>3150000</v>
      </c>
      <c r="E2876" t="s">
        <v>2007</v>
      </c>
      <c r="F2876" t="s">
        <v>1955</v>
      </c>
      <c r="G2876" t="s">
        <v>1755</v>
      </c>
    </row>
    <row r="2877" spans="1:8" ht="15" customHeight="1" x14ac:dyDescent="0.25">
      <c r="A2877" s="2">
        <v>46013</v>
      </c>
      <c r="B2877">
        <v>2025003993</v>
      </c>
      <c r="C2877" t="s">
        <v>2296</v>
      </c>
      <c r="D2877" s="11">
        <v>6300000</v>
      </c>
      <c r="E2877" t="s">
        <v>2297</v>
      </c>
      <c r="F2877" t="s">
        <v>2298</v>
      </c>
      <c r="G2877" t="s">
        <v>1755</v>
      </c>
    </row>
    <row r="2878" spans="1:8" ht="15" customHeight="1" x14ac:dyDescent="0.25">
      <c r="A2878" s="2">
        <v>46013</v>
      </c>
      <c r="B2878">
        <v>2025003994</v>
      </c>
      <c r="C2878" t="s">
        <v>1929</v>
      </c>
      <c r="D2878" s="11">
        <v>6300000</v>
      </c>
      <c r="E2878" t="s">
        <v>2308</v>
      </c>
      <c r="F2878" t="s">
        <v>895</v>
      </c>
      <c r="G2878" t="s">
        <v>1755</v>
      </c>
    </row>
    <row r="2879" spans="1:8" ht="15" customHeight="1" x14ac:dyDescent="0.25">
      <c r="A2879" s="2">
        <v>46013</v>
      </c>
      <c r="B2879">
        <v>2025003995</v>
      </c>
      <c r="C2879" t="s">
        <v>2394</v>
      </c>
      <c r="D2879" s="11">
        <v>3150000</v>
      </c>
      <c r="E2879" t="s">
        <v>2395</v>
      </c>
      <c r="F2879" t="s">
        <v>2396</v>
      </c>
      <c r="G2879" t="s">
        <v>1755</v>
      </c>
    </row>
    <row r="2880" spans="1:8" ht="15" customHeight="1" x14ac:dyDescent="0.25">
      <c r="A2880" s="2">
        <v>46013</v>
      </c>
      <c r="B2880">
        <v>2025003996</v>
      </c>
      <c r="C2880" t="s">
        <v>2456</v>
      </c>
      <c r="D2880" s="11">
        <v>3150000</v>
      </c>
      <c r="E2880" t="s">
        <v>1663</v>
      </c>
      <c r="F2880" t="s">
        <v>75</v>
      </c>
      <c r="G2880" t="s">
        <v>1755</v>
      </c>
    </row>
    <row r="2881" spans="1:7" ht="15" customHeight="1" x14ac:dyDescent="0.25">
      <c r="A2881" s="2">
        <v>46013</v>
      </c>
      <c r="B2881">
        <v>2025003998</v>
      </c>
      <c r="C2881" t="s">
        <v>2290</v>
      </c>
      <c r="D2881" s="11">
        <v>4730000</v>
      </c>
      <c r="E2881" t="s">
        <v>2291</v>
      </c>
      <c r="F2881" t="s">
        <v>2292</v>
      </c>
      <c r="G2881" t="s">
        <v>1755</v>
      </c>
    </row>
    <row r="2882" spans="1:7" ht="15" customHeight="1" x14ac:dyDescent="0.25">
      <c r="A2882" s="2">
        <v>46013</v>
      </c>
      <c r="B2882">
        <v>2025003999</v>
      </c>
      <c r="C2882" t="s">
        <v>2278</v>
      </c>
      <c r="D2882" s="11">
        <v>6300000</v>
      </c>
      <c r="E2882" t="s">
        <v>1721</v>
      </c>
      <c r="F2882" t="s">
        <v>31</v>
      </c>
      <c r="G2882" t="s">
        <v>1755</v>
      </c>
    </row>
    <row r="2883" spans="1:7" ht="15" customHeight="1" x14ac:dyDescent="0.25">
      <c r="A2883" s="2">
        <v>46013</v>
      </c>
      <c r="B2883">
        <v>2025004002</v>
      </c>
      <c r="C2883" t="s">
        <v>1917</v>
      </c>
      <c r="D2883" s="11">
        <v>7800000</v>
      </c>
      <c r="E2883" t="s">
        <v>2189</v>
      </c>
      <c r="F2883" t="s">
        <v>1918</v>
      </c>
      <c r="G2883" t="s">
        <v>1755</v>
      </c>
    </row>
    <row r="2884" spans="1:7" ht="15" customHeight="1" x14ac:dyDescent="0.25">
      <c r="A2884" s="2">
        <v>46013</v>
      </c>
      <c r="B2884">
        <v>2025004004</v>
      </c>
      <c r="C2884" t="s">
        <v>2445</v>
      </c>
      <c r="D2884" s="11">
        <v>4730000</v>
      </c>
      <c r="E2884" t="s">
        <v>2446</v>
      </c>
      <c r="F2884" t="s">
        <v>2447</v>
      </c>
      <c r="G2884" t="s">
        <v>1755</v>
      </c>
    </row>
    <row r="2885" spans="1:7" ht="15" customHeight="1" x14ac:dyDescent="0.25">
      <c r="A2885" s="2">
        <v>46013</v>
      </c>
      <c r="B2885">
        <v>2025004008</v>
      </c>
      <c r="C2885" t="s">
        <v>2293</v>
      </c>
      <c r="D2885" s="11">
        <v>4730000</v>
      </c>
      <c r="E2885" t="s">
        <v>2294</v>
      </c>
      <c r="F2885" t="s">
        <v>2295</v>
      </c>
      <c r="G2885" t="s">
        <v>1755</v>
      </c>
    </row>
    <row r="2886" spans="1:7" ht="15" customHeight="1" x14ac:dyDescent="0.25">
      <c r="A2886" s="2">
        <v>46013</v>
      </c>
      <c r="B2886">
        <v>2025004011</v>
      </c>
      <c r="C2886" t="s">
        <v>2472</v>
      </c>
      <c r="D2886" s="11">
        <v>2000000</v>
      </c>
      <c r="E2886">
        <v>66958357</v>
      </c>
      <c r="F2886" t="s">
        <v>2473</v>
      </c>
      <c r="G2886" t="s">
        <v>1755</v>
      </c>
    </row>
    <row r="2887" spans="1:7" ht="15" customHeight="1" x14ac:dyDescent="0.25">
      <c r="A2887" s="2">
        <v>46013</v>
      </c>
      <c r="B2887">
        <v>2025004016</v>
      </c>
      <c r="C2887" t="s">
        <v>1804</v>
      </c>
      <c r="D2887" s="11">
        <v>6300000</v>
      </c>
      <c r="E2887" t="s">
        <v>1723</v>
      </c>
      <c r="F2887" t="s">
        <v>1233</v>
      </c>
      <c r="G2887" t="s">
        <v>1755</v>
      </c>
    </row>
    <row r="2888" spans="1:7" ht="15" customHeight="1" x14ac:dyDescent="0.25">
      <c r="A2888" s="2">
        <v>46013</v>
      </c>
      <c r="B2888">
        <v>2025004018</v>
      </c>
      <c r="C2888" t="s">
        <v>2421</v>
      </c>
      <c r="D2888" s="11">
        <v>2000000</v>
      </c>
      <c r="E2888" t="s">
        <v>2422</v>
      </c>
      <c r="F2888" t="s">
        <v>313</v>
      </c>
      <c r="G2888" t="s">
        <v>1755</v>
      </c>
    </row>
    <row r="2889" spans="1:7" ht="15" customHeight="1" x14ac:dyDescent="0.25">
      <c r="A2889" s="2">
        <v>46013</v>
      </c>
      <c r="B2889">
        <v>2025004019</v>
      </c>
      <c r="C2889" t="s">
        <v>1806</v>
      </c>
      <c r="D2889" s="11">
        <v>7800000</v>
      </c>
      <c r="E2889" t="s">
        <v>2040</v>
      </c>
      <c r="F2889" t="s">
        <v>1807</v>
      </c>
      <c r="G2889" t="s">
        <v>1755</v>
      </c>
    </row>
    <row r="2890" spans="1:7" ht="15" customHeight="1" x14ac:dyDescent="0.25">
      <c r="A2890" s="2">
        <v>46013</v>
      </c>
      <c r="B2890">
        <v>2025004023</v>
      </c>
      <c r="C2890" t="s">
        <v>2457</v>
      </c>
      <c r="D2890" s="11">
        <v>3150000</v>
      </c>
      <c r="E2890" t="s">
        <v>1746</v>
      </c>
      <c r="F2890" t="s">
        <v>181</v>
      </c>
      <c r="G2890" t="s">
        <v>1755</v>
      </c>
    </row>
    <row r="2891" spans="1:7" ht="15" customHeight="1" x14ac:dyDescent="0.25">
      <c r="A2891" s="2">
        <v>46013</v>
      </c>
      <c r="B2891">
        <v>2025004026</v>
      </c>
      <c r="C2891" t="s">
        <v>1996</v>
      </c>
      <c r="D2891" s="11">
        <v>3150000</v>
      </c>
      <c r="E2891" t="s">
        <v>2192</v>
      </c>
      <c r="F2891" t="s">
        <v>1997</v>
      </c>
      <c r="G2891" t="s">
        <v>1755</v>
      </c>
    </row>
    <row r="2892" spans="1:7" ht="15" customHeight="1" x14ac:dyDescent="0.25">
      <c r="A2892" s="2">
        <v>46013</v>
      </c>
      <c r="B2892">
        <v>2025004033</v>
      </c>
      <c r="C2892" t="s">
        <v>2442</v>
      </c>
      <c r="D2892" s="11">
        <v>2000000</v>
      </c>
      <c r="E2892" t="s">
        <v>2443</v>
      </c>
      <c r="F2892" t="s">
        <v>2444</v>
      </c>
      <c r="G2892" t="s">
        <v>1755</v>
      </c>
    </row>
    <row r="2893" spans="1:7" ht="15" customHeight="1" x14ac:dyDescent="0.25">
      <c r="A2893" s="2">
        <v>46013</v>
      </c>
      <c r="B2893">
        <v>2025004034</v>
      </c>
      <c r="C2893" t="s">
        <v>1914</v>
      </c>
      <c r="D2893" s="11">
        <v>6300000</v>
      </c>
      <c r="E2893" t="s">
        <v>1673</v>
      </c>
      <c r="F2893" t="s">
        <v>1182</v>
      </c>
      <c r="G2893" t="s">
        <v>1755</v>
      </c>
    </row>
    <row r="2894" spans="1:7" ht="15" customHeight="1" x14ac:dyDescent="0.25">
      <c r="A2894" s="2">
        <v>46013</v>
      </c>
      <c r="B2894">
        <v>2025004035</v>
      </c>
      <c r="C2894" t="s">
        <v>2302</v>
      </c>
      <c r="D2894" s="11">
        <v>7800000</v>
      </c>
      <c r="E2894" t="s">
        <v>2303</v>
      </c>
      <c r="F2894" t="s">
        <v>2304</v>
      </c>
      <c r="G2894" t="s">
        <v>1755</v>
      </c>
    </row>
    <row r="2895" spans="1:7" ht="15" customHeight="1" x14ac:dyDescent="0.25">
      <c r="A2895" s="2">
        <v>46013</v>
      </c>
      <c r="B2895">
        <v>2025004037</v>
      </c>
      <c r="C2895" t="s">
        <v>1933</v>
      </c>
      <c r="D2895" s="11">
        <v>4730000</v>
      </c>
      <c r="E2895" t="s">
        <v>1628</v>
      </c>
      <c r="F2895" t="s">
        <v>705</v>
      </c>
      <c r="G2895" t="s">
        <v>1755</v>
      </c>
    </row>
    <row r="2896" spans="1:7" ht="15" customHeight="1" x14ac:dyDescent="0.25">
      <c r="A2896" s="2">
        <v>46013</v>
      </c>
      <c r="B2896">
        <v>2025004039</v>
      </c>
      <c r="C2896" t="s">
        <v>2253</v>
      </c>
      <c r="D2896" s="11">
        <v>4730000</v>
      </c>
      <c r="E2896" t="s">
        <v>2254</v>
      </c>
      <c r="F2896" t="s">
        <v>415</v>
      </c>
      <c r="G2896" t="s">
        <v>1755</v>
      </c>
    </row>
    <row r="2897" spans="1:7" ht="15" customHeight="1" x14ac:dyDescent="0.25">
      <c r="A2897" s="2">
        <v>46013</v>
      </c>
      <c r="B2897">
        <v>2025004041</v>
      </c>
      <c r="C2897" t="s">
        <v>2250</v>
      </c>
      <c r="D2897" s="11">
        <v>3150000</v>
      </c>
      <c r="E2897" t="s">
        <v>2251</v>
      </c>
      <c r="F2897" t="s">
        <v>2252</v>
      </c>
      <c r="G2897" t="s">
        <v>1755</v>
      </c>
    </row>
    <row r="2898" spans="1:7" ht="15" customHeight="1" x14ac:dyDescent="0.25">
      <c r="A2898" s="2">
        <v>46013</v>
      </c>
      <c r="B2898">
        <v>2025004042</v>
      </c>
      <c r="C2898" t="s">
        <v>2261</v>
      </c>
      <c r="D2898" s="11">
        <v>2000000</v>
      </c>
      <c r="E2898" t="s">
        <v>2262</v>
      </c>
      <c r="F2898" t="s">
        <v>2263</v>
      </c>
      <c r="G2898" t="s">
        <v>1755</v>
      </c>
    </row>
    <row r="2899" spans="1:7" ht="15" customHeight="1" x14ac:dyDescent="0.25">
      <c r="A2899" s="2">
        <v>46013</v>
      </c>
      <c r="B2899">
        <v>2025004046</v>
      </c>
      <c r="C2899" t="s">
        <v>1824</v>
      </c>
      <c r="D2899" s="11">
        <v>4730000</v>
      </c>
      <c r="E2899" t="s">
        <v>2095</v>
      </c>
      <c r="F2899" t="s">
        <v>1825</v>
      </c>
      <c r="G2899" t="s">
        <v>1755</v>
      </c>
    </row>
    <row r="2900" spans="1:7" ht="15" customHeight="1" x14ac:dyDescent="0.25">
      <c r="A2900" s="2">
        <v>46013</v>
      </c>
      <c r="B2900">
        <v>2025004047</v>
      </c>
      <c r="C2900" t="s">
        <v>1920</v>
      </c>
      <c r="D2900" s="11">
        <v>4730000</v>
      </c>
      <c r="E2900" t="s">
        <v>2102</v>
      </c>
      <c r="F2900" t="s">
        <v>1921</v>
      </c>
      <c r="G2900" t="s">
        <v>1755</v>
      </c>
    </row>
    <row r="2901" spans="1:7" ht="15" customHeight="1" x14ac:dyDescent="0.25">
      <c r="A2901" s="2">
        <v>46013</v>
      </c>
      <c r="B2901">
        <v>2025004048</v>
      </c>
      <c r="C2901" t="s">
        <v>1922</v>
      </c>
      <c r="D2901" s="11">
        <v>7800000</v>
      </c>
      <c r="E2901" t="s">
        <v>2041</v>
      </c>
      <c r="F2901" t="s">
        <v>1923</v>
      </c>
      <c r="G2901" t="s">
        <v>1755</v>
      </c>
    </row>
    <row r="2902" spans="1:7" ht="15" customHeight="1" x14ac:dyDescent="0.25">
      <c r="A2902" s="2">
        <v>46013</v>
      </c>
      <c r="B2902">
        <v>2025004050</v>
      </c>
      <c r="C2902" t="s">
        <v>1826</v>
      </c>
      <c r="D2902" s="11">
        <v>7800000</v>
      </c>
      <c r="E2902" t="s">
        <v>2191</v>
      </c>
      <c r="F2902" t="s">
        <v>239</v>
      </c>
      <c r="G2902" t="s">
        <v>1755</v>
      </c>
    </row>
    <row r="2903" spans="1:7" ht="15" customHeight="1" x14ac:dyDescent="0.25">
      <c r="A2903" s="2">
        <v>46013</v>
      </c>
      <c r="B2903">
        <v>2025004051</v>
      </c>
      <c r="C2903" t="s">
        <v>1814</v>
      </c>
      <c r="D2903" s="11">
        <v>6300000</v>
      </c>
      <c r="E2903" t="s">
        <v>2188</v>
      </c>
      <c r="F2903" t="s">
        <v>1815</v>
      </c>
      <c r="G2903" t="s">
        <v>1755</v>
      </c>
    </row>
    <row r="2904" spans="1:7" ht="15" customHeight="1" x14ac:dyDescent="0.25">
      <c r="A2904" s="2">
        <v>46013</v>
      </c>
      <c r="B2904">
        <v>2025004056</v>
      </c>
      <c r="C2904" t="s">
        <v>1993</v>
      </c>
      <c r="D2904" s="11">
        <v>3150000</v>
      </c>
      <c r="E2904" t="s">
        <v>2193</v>
      </c>
      <c r="F2904" t="s">
        <v>1994</v>
      </c>
      <c r="G2904" t="s">
        <v>1755</v>
      </c>
    </row>
    <row r="2905" spans="1:7" ht="15" customHeight="1" x14ac:dyDescent="0.25">
      <c r="A2905" s="2">
        <v>46013</v>
      </c>
      <c r="B2905">
        <v>2025004059</v>
      </c>
      <c r="C2905" t="s">
        <v>2305</v>
      </c>
      <c r="D2905" s="11">
        <v>4730000</v>
      </c>
      <c r="E2905" t="s">
        <v>2306</v>
      </c>
      <c r="F2905" t="s">
        <v>2307</v>
      </c>
      <c r="G2905" t="s">
        <v>1755</v>
      </c>
    </row>
    <row r="2906" spans="1:7" ht="15" customHeight="1" x14ac:dyDescent="0.25">
      <c r="A2906" s="2">
        <v>46013</v>
      </c>
      <c r="B2906">
        <v>2025004060</v>
      </c>
      <c r="C2906" t="s">
        <v>2275</v>
      </c>
      <c r="D2906" s="11">
        <v>4730000</v>
      </c>
      <c r="E2906" t="s">
        <v>2276</v>
      </c>
      <c r="F2906" t="s">
        <v>2277</v>
      </c>
      <c r="G2906" t="s">
        <v>1755</v>
      </c>
    </row>
    <row r="2907" spans="1:7" ht="15" customHeight="1" x14ac:dyDescent="0.25">
      <c r="A2907" s="2">
        <v>46013</v>
      </c>
      <c r="B2907">
        <v>2025004061</v>
      </c>
      <c r="C2907" t="s">
        <v>2429</v>
      </c>
      <c r="D2907" s="11">
        <v>3150000</v>
      </c>
      <c r="E2907" t="s">
        <v>2430</v>
      </c>
      <c r="F2907" t="s">
        <v>2431</v>
      </c>
      <c r="G2907" t="s">
        <v>1755</v>
      </c>
    </row>
    <row r="2908" spans="1:7" ht="15" customHeight="1" x14ac:dyDescent="0.25">
      <c r="A2908" s="2">
        <v>46013</v>
      </c>
      <c r="B2908">
        <v>2025004062</v>
      </c>
      <c r="C2908" t="s">
        <v>1808</v>
      </c>
      <c r="D2908" s="11">
        <v>7800000</v>
      </c>
      <c r="E2908" t="s">
        <v>2058</v>
      </c>
      <c r="F2908" t="s">
        <v>1809</v>
      </c>
      <c r="G2908" t="s">
        <v>1755</v>
      </c>
    </row>
    <row r="2909" spans="1:7" ht="15" customHeight="1" x14ac:dyDescent="0.25">
      <c r="A2909" s="2">
        <v>46013</v>
      </c>
      <c r="B2909">
        <v>2025004063</v>
      </c>
      <c r="C2909" t="s">
        <v>2284</v>
      </c>
      <c r="D2909" s="11">
        <v>3150000</v>
      </c>
      <c r="E2909" t="s">
        <v>2285</v>
      </c>
      <c r="F2909" t="s">
        <v>2286</v>
      </c>
      <c r="G2909" t="s">
        <v>1755</v>
      </c>
    </row>
    <row r="2910" spans="1:7" ht="15" customHeight="1" x14ac:dyDescent="0.25">
      <c r="A2910" s="2">
        <v>46013</v>
      </c>
      <c r="B2910">
        <v>2025004064</v>
      </c>
      <c r="C2910" t="s">
        <v>1916</v>
      </c>
      <c r="D2910" s="11">
        <v>6300000</v>
      </c>
      <c r="E2910" t="s">
        <v>1651</v>
      </c>
      <c r="F2910" t="s">
        <v>117</v>
      </c>
      <c r="G2910" t="s">
        <v>1755</v>
      </c>
    </row>
    <row r="2911" spans="1:7" ht="15" customHeight="1" x14ac:dyDescent="0.25">
      <c r="A2911" s="2">
        <v>46013</v>
      </c>
      <c r="B2911">
        <v>2025004065</v>
      </c>
      <c r="C2911" t="s">
        <v>1821</v>
      </c>
      <c r="D2911" s="11">
        <v>3150000</v>
      </c>
      <c r="E2911" t="s">
        <v>1637</v>
      </c>
      <c r="F2911" t="s">
        <v>989</v>
      </c>
      <c r="G2911" t="s">
        <v>1755</v>
      </c>
    </row>
    <row r="2912" spans="1:7" ht="15" customHeight="1" x14ac:dyDescent="0.25">
      <c r="A2912" s="2">
        <v>46013</v>
      </c>
      <c r="B2912">
        <v>2025004066</v>
      </c>
      <c r="C2912" t="s">
        <v>2270</v>
      </c>
      <c r="D2912" s="11">
        <v>3150000</v>
      </c>
      <c r="E2912" t="s">
        <v>2271</v>
      </c>
      <c r="F2912" t="s">
        <v>213</v>
      </c>
      <c r="G2912" t="s">
        <v>1755</v>
      </c>
    </row>
    <row r="2913" spans="1:7" ht="15" customHeight="1" x14ac:dyDescent="0.25">
      <c r="A2913" s="2">
        <v>46013</v>
      </c>
      <c r="B2913">
        <v>2025004067</v>
      </c>
      <c r="C2913" t="s">
        <v>2424</v>
      </c>
      <c r="D2913" s="11">
        <v>2000000</v>
      </c>
      <c r="E2913" t="s">
        <v>2425</v>
      </c>
      <c r="F2913" t="s">
        <v>2426</v>
      </c>
      <c r="G2913" t="s">
        <v>1755</v>
      </c>
    </row>
    <row r="2914" spans="1:7" ht="15" customHeight="1" x14ac:dyDescent="0.25">
      <c r="A2914" s="2">
        <v>46013</v>
      </c>
      <c r="B2914">
        <v>2025004070</v>
      </c>
      <c r="C2914" t="s">
        <v>1927</v>
      </c>
      <c r="D2914" s="11">
        <v>3150000</v>
      </c>
      <c r="E2914" t="s">
        <v>2187</v>
      </c>
      <c r="F2914" t="s">
        <v>1928</v>
      </c>
      <c r="G2914" t="s">
        <v>1755</v>
      </c>
    </row>
    <row r="2915" spans="1:7" ht="15" customHeight="1" x14ac:dyDescent="0.25">
      <c r="A2915" s="2">
        <v>46013</v>
      </c>
      <c r="B2915">
        <v>2025004071</v>
      </c>
      <c r="C2915" t="s">
        <v>2258</v>
      </c>
      <c r="D2915" s="11">
        <v>3150000</v>
      </c>
      <c r="E2915" t="s">
        <v>2259</v>
      </c>
      <c r="F2915" t="s">
        <v>1054</v>
      </c>
      <c r="G2915" t="s">
        <v>1755</v>
      </c>
    </row>
    <row r="2916" spans="1:7" ht="15" customHeight="1" x14ac:dyDescent="0.25">
      <c r="A2916" s="2">
        <v>46013</v>
      </c>
      <c r="B2916">
        <v>2025004072</v>
      </c>
      <c r="C2916" t="s">
        <v>1915</v>
      </c>
      <c r="D2916" s="11">
        <v>3150000</v>
      </c>
      <c r="E2916" t="s">
        <v>1617</v>
      </c>
      <c r="F2916" t="s">
        <v>992</v>
      </c>
      <c r="G2916" t="s">
        <v>1755</v>
      </c>
    </row>
    <row r="2917" spans="1:7" ht="15" customHeight="1" x14ac:dyDescent="0.25">
      <c r="A2917" s="2">
        <v>46013</v>
      </c>
      <c r="B2917">
        <v>2025004073</v>
      </c>
      <c r="C2917" t="s">
        <v>2439</v>
      </c>
      <c r="D2917" s="11">
        <v>3150000</v>
      </c>
      <c r="E2917" t="s">
        <v>2440</v>
      </c>
      <c r="F2917" t="s">
        <v>2441</v>
      </c>
      <c r="G2917" t="s">
        <v>1755</v>
      </c>
    </row>
    <row r="2918" spans="1:7" ht="15" customHeight="1" x14ac:dyDescent="0.25">
      <c r="A2918" s="2">
        <v>46013</v>
      </c>
      <c r="B2918">
        <v>2025004074</v>
      </c>
      <c r="C2918" t="s">
        <v>1818</v>
      </c>
      <c r="D2918" s="11">
        <v>3150000</v>
      </c>
      <c r="E2918" t="s">
        <v>2094</v>
      </c>
      <c r="F2918" t="s">
        <v>1819</v>
      </c>
      <c r="G2918" t="s">
        <v>1755</v>
      </c>
    </row>
    <row r="2919" spans="1:7" ht="15" customHeight="1" x14ac:dyDescent="0.25">
      <c r="A2919" s="2">
        <v>46013</v>
      </c>
      <c r="B2919">
        <v>2025004075</v>
      </c>
      <c r="C2919" t="s">
        <v>1934</v>
      </c>
      <c r="D2919" s="11">
        <v>4730000</v>
      </c>
      <c r="E2919" t="s">
        <v>2039</v>
      </c>
      <c r="F2919" t="s">
        <v>464</v>
      </c>
      <c r="G2919" t="s">
        <v>1755</v>
      </c>
    </row>
    <row r="2920" spans="1:7" ht="15" customHeight="1" x14ac:dyDescent="0.25">
      <c r="A2920" s="2">
        <v>46013</v>
      </c>
      <c r="B2920">
        <v>2025004076</v>
      </c>
      <c r="C2920" t="s">
        <v>1820</v>
      </c>
      <c r="D2920" s="11">
        <v>3150000</v>
      </c>
      <c r="E2920" t="s">
        <v>2043</v>
      </c>
      <c r="F2920" t="s">
        <v>405</v>
      </c>
      <c r="G2920" t="s">
        <v>1755</v>
      </c>
    </row>
    <row r="2921" spans="1:7" ht="15" customHeight="1" x14ac:dyDescent="0.25">
      <c r="A2921" s="2">
        <v>46013</v>
      </c>
      <c r="B2921">
        <v>2025004077</v>
      </c>
      <c r="C2921" t="s">
        <v>2272</v>
      </c>
      <c r="D2921" s="11">
        <v>3150000</v>
      </c>
      <c r="E2921" t="s">
        <v>1743</v>
      </c>
      <c r="F2921" t="s">
        <v>1211</v>
      </c>
      <c r="G2921" t="s">
        <v>1755</v>
      </c>
    </row>
    <row r="2922" spans="1:7" ht="15" customHeight="1" x14ac:dyDescent="0.25">
      <c r="A2922" s="2">
        <v>46013</v>
      </c>
      <c r="B2922">
        <v>2025004078</v>
      </c>
      <c r="C2922" t="s">
        <v>2448</v>
      </c>
      <c r="D2922" s="11">
        <v>6300000</v>
      </c>
      <c r="E2922" t="s">
        <v>2449</v>
      </c>
      <c r="F2922" t="s">
        <v>55</v>
      </c>
      <c r="G2922" t="s">
        <v>1755</v>
      </c>
    </row>
    <row r="2923" spans="1:7" ht="15" customHeight="1" x14ac:dyDescent="0.25">
      <c r="A2923" s="2">
        <v>46013</v>
      </c>
      <c r="B2923">
        <v>2025004079</v>
      </c>
      <c r="C2923" t="s">
        <v>1924</v>
      </c>
      <c r="D2923" s="11">
        <v>6300000</v>
      </c>
      <c r="E2923" t="s">
        <v>1594</v>
      </c>
      <c r="F2923" t="s">
        <v>1102</v>
      </c>
      <c r="G2923" t="s">
        <v>1755</v>
      </c>
    </row>
    <row r="2924" spans="1:7" ht="15" customHeight="1" x14ac:dyDescent="0.25">
      <c r="A2924" s="2">
        <v>46013</v>
      </c>
      <c r="B2924">
        <v>2025004080</v>
      </c>
      <c r="C2924" t="s">
        <v>1941</v>
      </c>
      <c r="D2924" s="11">
        <v>6300000</v>
      </c>
      <c r="E2924" t="s">
        <v>2190</v>
      </c>
      <c r="F2924" t="s">
        <v>1942</v>
      </c>
      <c r="G2924" t="s">
        <v>1755</v>
      </c>
    </row>
    <row r="2925" spans="1:7" ht="15" customHeight="1" x14ac:dyDescent="0.25">
      <c r="A2925" s="2">
        <v>46013</v>
      </c>
      <c r="B2925">
        <v>2025004081</v>
      </c>
      <c r="C2925" t="s">
        <v>1810</v>
      </c>
      <c r="D2925" s="11">
        <v>7800000</v>
      </c>
      <c r="E2925" t="s">
        <v>2056</v>
      </c>
      <c r="F2925" t="s">
        <v>1811</v>
      </c>
      <c r="G2925" t="s">
        <v>1755</v>
      </c>
    </row>
    <row r="2926" spans="1:7" ht="15" customHeight="1" x14ac:dyDescent="0.25">
      <c r="A2926" s="2">
        <v>46013</v>
      </c>
      <c r="B2926">
        <v>2025004082</v>
      </c>
      <c r="C2926" t="s">
        <v>1998</v>
      </c>
      <c r="D2926" s="11">
        <v>7800000</v>
      </c>
      <c r="E2926" t="s">
        <v>2059</v>
      </c>
      <c r="F2926" t="s">
        <v>1999</v>
      </c>
      <c r="G2926" t="s">
        <v>1755</v>
      </c>
    </row>
    <row r="2927" spans="1:7" ht="15" customHeight="1" x14ac:dyDescent="0.25">
      <c r="A2927" s="2">
        <v>46013</v>
      </c>
      <c r="B2927">
        <v>2025004083</v>
      </c>
      <c r="C2927" t="s">
        <v>2273</v>
      </c>
      <c r="D2927" s="11">
        <v>4730000</v>
      </c>
      <c r="E2927" t="s">
        <v>2274</v>
      </c>
      <c r="F2927" t="s">
        <v>730</v>
      </c>
      <c r="G2927" t="s">
        <v>1755</v>
      </c>
    </row>
    <row r="2928" spans="1:7" ht="15" customHeight="1" x14ac:dyDescent="0.25">
      <c r="A2928" s="2">
        <v>46013</v>
      </c>
      <c r="B2928">
        <v>2025004085</v>
      </c>
      <c r="C2928" t="s">
        <v>2458</v>
      </c>
      <c r="D2928" s="11">
        <v>6300000</v>
      </c>
      <c r="E2928" t="s">
        <v>2459</v>
      </c>
      <c r="F2928" t="s">
        <v>2460</v>
      </c>
      <c r="G2928" t="s">
        <v>1755</v>
      </c>
    </row>
    <row r="2929" spans="1:7" ht="15" customHeight="1" x14ac:dyDescent="0.25">
      <c r="A2929" s="2">
        <v>46013</v>
      </c>
      <c r="B2929">
        <v>2025004090</v>
      </c>
      <c r="C2929" t="s">
        <v>2457</v>
      </c>
      <c r="D2929" s="11">
        <v>3150000</v>
      </c>
      <c r="E2929" t="s">
        <v>1746</v>
      </c>
      <c r="F2929" t="s">
        <v>181</v>
      </c>
      <c r="G2929" t="s">
        <v>1755</v>
      </c>
    </row>
    <row r="2930" spans="1:7" ht="15" customHeight="1" x14ac:dyDescent="0.25">
      <c r="A2930" s="2">
        <v>46013</v>
      </c>
      <c r="B2930">
        <v>2025004091</v>
      </c>
      <c r="C2930" s="4" t="s">
        <v>2390</v>
      </c>
      <c r="D2930" s="11">
        <v>16920000</v>
      </c>
      <c r="E2930" t="s">
        <v>2391</v>
      </c>
      <c r="F2930" t="s">
        <v>2392</v>
      </c>
      <c r="G2930" t="s">
        <v>1755</v>
      </c>
    </row>
    <row r="2931" spans="1:7" ht="15" customHeight="1" x14ac:dyDescent="0.25">
      <c r="A2931" s="2">
        <v>46013</v>
      </c>
      <c r="B2931">
        <v>2025004092</v>
      </c>
      <c r="C2931" t="s">
        <v>2393</v>
      </c>
      <c r="D2931" s="11">
        <v>45120000</v>
      </c>
      <c r="E2931" t="s">
        <v>2391</v>
      </c>
      <c r="F2931" t="s">
        <v>2392</v>
      </c>
      <c r="G2931" t="s">
        <v>1755</v>
      </c>
    </row>
    <row r="2932" spans="1:7" ht="15" customHeight="1" x14ac:dyDescent="0.25">
      <c r="A2932" s="2">
        <v>46013</v>
      </c>
      <c r="B2932">
        <v>2025004093</v>
      </c>
      <c r="C2932" t="s">
        <v>2397</v>
      </c>
      <c r="D2932" s="11">
        <v>3150000</v>
      </c>
      <c r="E2932" t="s">
        <v>1717</v>
      </c>
      <c r="F2932" t="s">
        <v>886</v>
      </c>
      <c r="G2932" t="s">
        <v>1755</v>
      </c>
    </row>
    <row r="2933" spans="1:7" ht="15" customHeight="1" x14ac:dyDescent="0.25">
      <c r="A2933" s="2">
        <v>46013</v>
      </c>
      <c r="B2933">
        <v>2025004094</v>
      </c>
      <c r="C2933" t="s">
        <v>1992</v>
      </c>
      <c r="D2933" s="11">
        <v>3150000</v>
      </c>
      <c r="E2933" t="s">
        <v>2255</v>
      </c>
      <c r="F2933" t="s">
        <v>580</v>
      </c>
      <c r="G2933" t="s">
        <v>1755</v>
      </c>
    </row>
    <row r="2934" spans="1:7" ht="15" customHeight="1" x14ac:dyDescent="0.25">
      <c r="A2934" s="2">
        <v>46013</v>
      </c>
      <c r="B2934">
        <v>2025004095</v>
      </c>
      <c r="C2934" t="s">
        <v>2423</v>
      </c>
      <c r="D2934" s="11">
        <v>17040000</v>
      </c>
      <c r="E2934" t="s">
        <v>2391</v>
      </c>
      <c r="F2934" t="s">
        <v>2392</v>
      </c>
      <c r="G2934" t="s">
        <v>1755</v>
      </c>
    </row>
    <row r="2935" spans="1:7" ht="15" customHeight="1" x14ac:dyDescent="0.25">
      <c r="A2935" s="2">
        <v>46013</v>
      </c>
      <c r="B2935">
        <v>2025004096</v>
      </c>
      <c r="C2935" t="s">
        <v>2253</v>
      </c>
      <c r="D2935" s="11">
        <v>4730000</v>
      </c>
      <c r="E2935" t="s">
        <v>2254</v>
      </c>
      <c r="F2935" t="s">
        <v>415</v>
      </c>
      <c r="G2935" t="s">
        <v>1755</v>
      </c>
    </row>
    <row r="2936" spans="1:7" ht="15" customHeight="1" x14ac:dyDescent="0.25">
      <c r="A2936" s="2">
        <v>46013</v>
      </c>
      <c r="B2936">
        <v>2025004098</v>
      </c>
      <c r="C2936" t="s">
        <v>2258</v>
      </c>
      <c r="D2936" s="11">
        <v>3150000</v>
      </c>
      <c r="E2936" t="s">
        <v>2259</v>
      </c>
      <c r="F2936" t="s">
        <v>1054</v>
      </c>
      <c r="G2936" t="s">
        <v>1755</v>
      </c>
    </row>
    <row r="2937" spans="1:7" ht="15" customHeight="1" x14ac:dyDescent="0.25">
      <c r="A2937" s="2">
        <v>46013</v>
      </c>
      <c r="B2937">
        <v>2025004099</v>
      </c>
      <c r="C2937" t="s">
        <v>2456</v>
      </c>
      <c r="D2937" s="11">
        <v>3150000</v>
      </c>
      <c r="E2937" t="s">
        <v>1663</v>
      </c>
      <c r="F2937" t="s">
        <v>75</v>
      </c>
      <c r="G2937" t="s">
        <v>1755</v>
      </c>
    </row>
    <row r="2938" spans="1:7" ht="15" customHeight="1" x14ac:dyDescent="0.25">
      <c r="A2938" s="2">
        <v>46013</v>
      </c>
      <c r="B2938">
        <v>2025004100</v>
      </c>
      <c r="C2938" t="s">
        <v>2461</v>
      </c>
      <c r="D2938" s="11">
        <v>3150000</v>
      </c>
      <c r="E2938" t="s">
        <v>2462</v>
      </c>
      <c r="F2938" t="s">
        <v>2463</v>
      </c>
      <c r="G2938" t="s">
        <v>1755</v>
      </c>
    </row>
    <row r="2939" spans="1:7" ht="15" customHeight="1" x14ac:dyDescent="0.25">
      <c r="A2939" s="2">
        <v>46014</v>
      </c>
      <c r="B2939">
        <v>2025004103</v>
      </c>
      <c r="C2939" t="s">
        <v>1917</v>
      </c>
      <c r="D2939" s="11">
        <v>7800000</v>
      </c>
      <c r="E2939" t="s">
        <v>2189</v>
      </c>
      <c r="F2939" t="s">
        <v>1918</v>
      </c>
      <c r="G2939" t="s">
        <v>1755</v>
      </c>
    </row>
    <row r="2940" spans="1:7" ht="15" customHeight="1" x14ac:dyDescent="0.25">
      <c r="A2940" s="2">
        <v>46014</v>
      </c>
      <c r="B2940">
        <v>2025004105</v>
      </c>
      <c r="C2940" t="s">
        <v>2464</v>
      </c>
      <c r="D2940" s="11">
        <v>3150000</v>
      </c>
      <c r="E2940" t="s">
        <v>2465</v>
      </c>
      <c r="F2940" t="s">
        <v>2466</v>
      </c>
      <c r="G2940" t="s">
        <v>1755</v>
      </c>
    </row>
    <row r="2941" spans="1:7" ht="15" customHeight="1" x14ac:dyDescent="0.25">
      <c r="A2941" s="2">
        <v>46014</v>
      </c>
      <c r="B2941">
        <v>2025004107</v>
      </c>
      <c r="C2941" t="s">
        <v>2293</v>
      </c>
      <c r="D2941" s="11">
        <v>4730000</v>
      </c>
      <c r="E2941" t="s">
        <v>2294</v>
      </c>
      <c r="F2941" t="s">
        <v>2295</v>
      </c>
      <c r="G2941" t="s">
        <v>1755</v>
      </c>
    </row>
    <row r="2942" spans="1:7" ht="15" customHeight="1" x14ac:dyDescent="0.25">
      <c r="A2942" s="2">
        <v>46014</v>
      </c>
      <c r="B2942">
        <v>2025004108</v>
      </c>
      <c r="C2942" s="4" t="s">
        <v>2270</v>
      </c>
      <c r="D2942" s="11">
        <v>3150000</v>
      </c>
      <c r="E2942" t="s">
        <v>2271</v>
      </c>
      <c r="F2942" t="s">
        <v>213</v>
      </c>
      <c r="G2942" t="s">
        <v>1755</v>
      </c>
    </row>
    <row r="2943" spans="1:7" ht="15" customHeight="1" x14ac:dyDescent="0.25">
      <c r="A2943" s="2">
        <v>46014</v>
      </c>
      <c r="B2943">
        <v>2025004109</v>
      </c>
      <c r="C2943" t="s">
        <v>2458</v>
      </c>
      <c r="D2943" s="11">
        <v>3150000</v>
      </c>
      <c r="E2943" t="s">
        <v>2459</v>
      </c>
      <c r="F2943" t="s">
        <v>2460</v>
      </c>
      <c r="G2943" t="s">
        <v>1755</v>
      </c>
    </row>
    <row r="2944" spans="1:7" ht="15" customHeight="1" x14ac:dyDescent="0.25">
      <c r="A2944" s="2">
        <v>46014</v>
      </c>
      <c r="B2944">
        <v>2025004110</v>
      </c>
      <c r="C2944" t="s">
        <v>1814</v>
      </c>
      <c r="D2944" s="11">
        <v>6300000</v>
      </c>
      <c r="E2944" t="s">
        <v>2188</v>
      </c>
      <c r="F2944" t="s">
        <v>1815</v>
      </c>
      <c r="G2944" t="s">
        <v>1755</v>
      </c>
    </row>
    <row r="2945" spans="1:7" ht="15" customHeight="1" x14ac:dyDescent="0.25">
      <c r="A2945" s="2">
        <v>46014</v>
      </c>
      <c r="B2945">
        <v>2025004111</v>
      </c>
      <c r="C2945" t="s">
        <v>1903</v>
      </c>
      <c r="D2945" s="11">
        <v>6300000</v>
      </c>
      <c r="E2945" t="s">
        <v>1653</v>
      </c>
      <c r="F2945" t="s">
        <v>583</v>
      </c>
      <c r="G2945" t="s">
        <v>1755</v>
      </c>
    </row>
    <row r="2946" spans="1:7" ht="15" customHeight="1" x14ac:dyDescent="0.25">
      <c r="A2946" s="2">
        <v>46014</v>
      </c>
      <c r="B2946">
        <v>2025004114</v>
      </c>
      <c r="C2946" t="s">
        <v>2470</v>
      </c>
      <c r="D2946" s="11">
        <v>6300000</v>
      </c>
      <c r="E2946">
        <v>1086755989</v>
      </c>
      <c r="F2946" t="s">
        <v>2471</v>
      </c>
      <c r="G2946" t="s">
        <v>1755</v>
      </c>
    </row>
    <row r="2947" spans="1:7" ht="15" customHeight="1" x14ac:dyDescent="0.25">
      <c r="A2947" s="2">
        <v>46014</v>
      </c>
      <c r="B2947">
        <v>2025004115</v>
      </c>
      <c r="C2947" t="s">
        <v>1937</v>
      </c>
      <c r="D2947" s="11">
        <v>4730000</v>
      </c>
      <c r="E2947" t="s">
        <v>2256</v>
      </c>
      <c r="F2947" t="s">
        <v>151</v>
      </c>
      <c r="G2947" t="s">
        <v>1755</v>
      </c>
    </row>
    <row r="2948" spans="1:7" ht="15" customHeight="1" x14ac:dyDescent="0.25">
      <c r="A2948" s="2">
        <v>46014</v>
      </c>
      <c r="B2948">
        <v>2025004116</v>
      </c>
      <c r="C2948" t="s">
        <v>2269</v>
      </c>
      <c r="D2948" s="11">
        <v>3150000</v>
      </c>
      <c r="E2948" t="s">
        <v>1646</v>
      </c>
      <c r="F2948" t="s">
        <v>523</v>
      </c>
      <c r="G2948" t="s">
        <v>1755</v>
      </c>
    </row>
    <row r="2949" spans="1:7" ht="15" customHeight="1" x14ac:dyDescent="0.25">
      <c r="A2949" s="2">
        <v>46014</v>
      </c>
      <c r="B2949">
        <v>2025004117</v>
      </c>
      <c r="C2949" t="s">
        <v>2257</v>
      </c>
      <c r="D2949" s="11">
        <v>3150000</v>
      </c>
      <c r="E2949" t="s">
        <v>1680</v>
      </c>
      <c r="F2949" t="s">
        <v>525</v>
      </c>
      <c r="G2949" t="s">
        <v>1755</v>
      </c>
    </row>
    <row r="2950" spans="1:7" ht="15" customHeight="1" x14ac:dyDescent="0.25">
      <c r="A2950" s="2">
        <v>46014</v>
      </c>
      <c r="B2950">
        <v>2025004119</v>
      </c>
      <c r="C2950" t="s">
        <v>1803</v>
      </c>
      <c r="D2950" s="11">
        <v>3150000</v>
      </c>
      <c r="E2950" t="s">
        <v>1662</v>
      </c>
      <c r="F2950" t="s">
        <v>149</v>
      </c>
      <c r="G2950" t="s">
        <v>1755</v>
      </c>
    </row>
    <row r="2951" spans="1:7" ht="15" customHeight="1" x14ac:dyDescent="0.25">
      <c r="A2951" s="2">
        <v>46014</v>
      </c>
      <c r="B2951">
        <v>2025004120</v>
      </c>
      <c r="C2951" t="s">
        <v>1827</v>
      </c>
      <c r="D2951" s="11">
        <v>3150000</v>
      </c>
      <c r="E2951" t="s">
        <v>1626</v>
      </c>
      <c r="F2951" t="s">
        <v>243</v>
      </c>
      <c r="G2951" t="s">
        <v>1755</v>
      </c>
    </row>
    <row r="2952" spans="1:7" ht="15" customHeight="1" x14ac:dyDescent="0.25">
      <c r="A2952" s="2">
        <v>46014</v>
      </c>
      <c r="B2952">
        <v>2025004121</v>
      </c>
      <c r="C2952" t="s">
        <v>2096</v>
      </c>
      <c r="D2952" s="11">
        <v>3150000</v>
      </c>
      <c r="E2952" t="s">
        <v>2097</v>
      </c>
      <c r="F2952" t="s">
        <v>2098</v>
      </c>
      <c r="G2952" t="s">
        <v>1755</v>
      </c>
    </row>
    <row r="2953" spans="1:7" ht="15" customHeight="1" x14ac:dyDescent="0.25">
      <c r="A2953" s="2">
        <v>46014</v>
      </c>
      <c r="B2953">
        <v>2025004122</v>
      </c>
      <c r="C2953" t="s">
        <v>2299</v>
      </c>
      <c r="D2953" s="11">
        <v>3150000</v>
      </c>
      <c r="E2953" t="s">
        <v>2300</v>
      </c>
      <c r="F2953" t="s">
        <v>2301</v>
      </c>
      <c r="G2953" t="s">
        <v>1755</v>
      </c>
    </row>
    <row r="2954" spans="1:7" ht="15" customHeight="1" x14ac:dyDescent="0.25">
      <c r="A2954" s="2">
        <v>46014</v>
      </c>
      <c r="B2954">
        <v>2025004125</v>
      </c>
      <c r="C2954" t="s">
        <v>1998</v>
      </c>
      <c r="D2954" s="11">
        <v>7800000</v>
      </c>
      <c r="E2954" t="s">
        <v>2059</v>
      </c>
      <c r="F2954" t="s">
        <v>1999</v>
      </c>
      <c r="G2954" t="s">
        <v>1755</v>
      </c>
    </row>
    <row r="2955" spans="1:7" ht="15" customHeight="1" x14ac:dyDescent="0.25">
      <c r="A2955" s="2">
        <v>46014</v>
      </c>
      <c r="B2955">
        <v>2025004127</v>
      </c>
      <c r="C2955" t="s">
        <v>1940</v>
      </c>
      <c r="D2955" s="11">
        <v>3150000</v>
      </c>
      <c r="E2955" t="s">
        <v>1634</v>
      </c>
      <c r="F2955" t="s">
        <v>209</v>
      </c>
      <c r="G2955" t="s">
        <v>1755</v>
      </c>
    </row>
    <row r="2956" spans="1:7" ht="15" customHeight="1" x14ac:dyDescent="0.25">
      <c r="A2956" s="2">
        <v>46014</v>
      </c>
      <c r="B2956">
        <v>2025004128</v>
      </c>
      <c r="C2956" t="s">
        <v>1805</v>
      </c>
      <c r="D2956" s="11">
        <v>3150000</v>
      </c>
      <c r="E2956" t="s">
        <v>1658</v>
      </c>
      <c r="F2956" t="s">
        <v>1158</v>
      </c>
      <c r="G2956" t="s">
        <v>1755</v>
      </c>
    </row>
    <row r="2957" spans="1:7" ht="15" customHeight="1" x14ac:dyDescent="0.25">
      <c r="A2957" s="2">
        <v>46014</v>
      </c>
      <c r="B2957">
        <v>2025004129</v>
      </c>
      <c r="C2957" t="s">
        <v>2194</v>
      </c>
      <c r="D2957" s="11">
        <v>226770000</v>
      </c>
      <c r="E2957" t="s">
        <v>1710</v>
      </c>
      <c r="F2957" t="s">
        <v>1220</v>
      </c>
      <c r="G2957" t="s">
        <v>1755</v>
      </c>
    </row>
    <row r="2958" spans="1:7" ht="15" customHeight="1" x14ac:dyDescent="0.25">
      <c r="A2958" s="2">
        <v>46014</v>
      </c>
      <c r="B2958">
        <v>2025004130</v>
      </c>
      <c r="C2958" t="s">
        <v>1823</v>
      </c>
      <c r="D2958" s="11">
        <v>3150000</v>
      </c>
      <c r="E2958" t="s">
        <v>2042</v>
      </c>
      <c r="F2958" t="s">
        <v>693</v>
      </c>
      <c r="G2958" t="s">
        <v>1755</v>
      </c>
    </row>
    <row r="2959" spans="1:7" ht="15" customHeight="1" x14ac:dyDescent="0.25">
      <c r="A2959" s="2">
        <v>46014</v>
      </c>
      <c r="B2959">
        <v>2025004131</v>
      </c>
      <c r="C2959" t="s">
        <v>2280</v>
      </c>
      <c r="D2959" s="11">
        <v>3150000</v>
      </c>
      <c r="E2959" t="s">
        <v>2281</v>
      </c>
      <c r="F2959" t="s">
        <v>2282</v>
      </c>
      <c r="G2959" t="s">
        <v>1755</v>
      </c>
    </row>
    <row r="2960" spans="1:7" ht="15" customHeight="1" x14ac:dyDescent="0.25">
      <c r="A2960" s="2">
        <v>46014</v>
      </c>
      <c r="B2960">
        <v>2025004133</v>
      </c>
      <c r="C2960" t="s">
        <v>2401</v>
      </c>
      <c r="D2960" s="11">
        <v>3150000</v>
      </c>
      <c r="E2960" t="s">
        <v>1728</v>
      </c>
      <c r="F2960" t="s">
        <v>2402</v>
      </c>
      <c r="G2960" t="s">
        <v>1755</v>
      </c>
    </row>
    <row r="2961" spans="1:7" ht="15" customHeight="1" x14ac:dyDescent="0.25">
      <c r="A2961" s="2">
        <v>46014</v>
      </c>
      <c r="B2961">
        <v>2025004134</v>
      </c>
      <c r="C2961" t="s">
        <v>2435</v>
      </c>
      <c r="D2961" s="11">
        <v>7800000</v>
      </c>
      <c r="E2961" t="s">
        <v>2436</v>
      </c>
      <c r="F2961" t="s">
        <v>2437</v>
      </c>
      <c r="G2961" t="s">
        <v>1755</v>
      </c>
    </row>
    <row r="2962" spans="1:7" ht="15" customHeight="1" x14ac:dyDescent="0.25">
      <c r="A2962" s="2">
        <v>46014</v>
      </c>
      <c r="B2962">
        <v>2025004135</v>
      </c>
      <c r="C2962" t="s">
        <v>1935</v>
      </c>
      <c r="D2962" s="11">
        <v>3150000</v>
      </c>
      <c r="E2962" t="s">
        <v>2061</v>
      </c>
      <c r="F2962" t="s">
        <v>1936</v>
      </c>
      <c r="G2962" t="s">
        <v>1755</v>
      </c>
    </row>
    <row r="2963" spans="1:7" ht="15" customHeight="1" x14ac:dyDescent="0.25">
      <c r="A2963" s="2">
        <v>46014</v>
      </c>
      <c r="B2963">
        <v>2025004136</v>
      </c>
      <c r="C2963" t="s">
        <v>1930</v>
      </c>
      <c r="D2963" s="11">
        <v>3150000</v>
      </c>
      <c r="E2963" t="s">
        <v>2100</v>
      </c>
      <c r="F2963" t="s">
        <v>1931</v>
      </c>
      <c r="G2963" t="s">
        <v>1755</v>
      </c>
    </row>
    <row r="2964" spans="1:7" ht="15" customHeight="1" x14ac:dyDescent="0.25">
      <c r="A2964" s="2">
        <v>46014</v>
      </c>
      <c r="B2964">
        <v>2025004137</v>
      </c>
      <c r="C2964" t="s">
        <v>2267</v>
      </c>
      <c r="D2964" s="11">
        <v>3150000</v>
      </c>
      <c r="E2964" t="s">
        <v>1696</v>
      </c>
      <c r="F2964" t="s">
        <v>123</v>
      </c>
      <c r="G2964" t="s">
        <v>1755</v>
      </c>
    </row>
    <row r="2965" spans="1:7" ht="15" customHeight="1" x14ac:dyDescent="0.25">
      <c r="A2965" s="2">
        <v>46014</v>
      </c>
      <c r="B2965">
        <v>2025004138</v>
      </c>
      <c r="C2965" t="s">
        <v>2432</v>
      </c>
      <c r="D2965" s="11">
        <v>2000000</v>
      </c>
      <c r="E2965" t="s">
        <v>2433</v>
      </c>
      <c r="F2965" t="s">
        <v>2434</v>
      </c>
      <c r="G2965" t="s">
        <v>1755</v>
      </c>
    </row>
    <row r="2966" spans="1:7" ht="15" customHeight="1" x14ac:dyDescent="0.25">
      <c r="A2966" s="2">
        <v>46014</v>
      </c>
      <c r="B2966">
        <v>2025004140</v>
      </c>
      <c r="C2966" t="s">
        <v>1816</v>
      </c>
      <c r="D2966" s="11">
        <v>3150000</v>
      </c>
      <c r="E2966" t="s">
        <v>2101</v>
      </c>
      <c r="F2966" t="s">
        <v>1817</v>
      </c>
      <c r="G2966" t="s">
        <v>1755</v>
      </c>
    </row>
    <row r="2967" spans="1:7" ht="15" customHeight="1" x14ac:dyDescent="0.25">
      <c r="A2967" s="2">
        <v>46014</v>
      </c>
      <c r="B2967">
        <v>2025004141</v>
      </c>
      <c r="C2967" t="s">
        <v>2461</v>
      </c>
      <c r="D2967" s="11">
        <v>3150000</v>
      </c>
      <c r="E2967" t="s">
        <v>2462</v>
      </c>
      <c r="F2967" t="s">
        <v>2463</v>
      </c>
      <c r="G2967" t="s">
        <v>1755</v>
      </c>
    </row>
    <row r="2968" spans="1:7" ht="15" customHeight="1" x14ac:dyDescent="0.25">
      <c r="A2968" s="2">
        <v>46014</v>
      </c>
      <c r="B2968">
        <v>2025004143</v>
      </c>
      <c r="C2968" t="s">
        <v>2184</v>
      </c>
      <c r="D2968" s="11">
        <v>6300000</v>
      </c>
      <c r="E2968" t="s">
        <v>2185</v>
      </c>
      <c r="F2968" t="s">
        <v>2186</v>
      </c>
      <c r="G2968" t="s">
        <v>1755</v>
      </c>
    </row>
    <row r="2969" spans="1:7" ht="15" customHeight="1" x14ac:dyDescent="0.25">
      <c r="A2969" s="2">
        <v>46014</v>
      </c>
      <c r="B2969">
        <v>2025004144</v>
      </c>
      <c r="C2969" t="s">
        <v>1932</v>
      </c>
      <c r="D2969" s="11">
        <v>7800000</v>
      </c>
      <c r="E2969" t="s">
        <v>2038</v>
      </c>
      <c r="F2969" t="s">
        <v>889</v>
      </c>
      <c r="G2969" t="s">
        <v>1755</v>
      </c>
    </row>
    <row r="2970" spans="1:7" ht="15" customHeight="1" x14ac:dyDescent="0.25">
      <c r="A2970" s="2">
        <v>46014</v>
      </c>
      <c r="B2970">
        <v>2025004145</v>
      </c>
      <c r="C2970" t="s">
        <v>1822</v>
      </c>
      <c r="D2970" s="11">
        <v>3150000</v>
      </c>
      <c r="E2970" t="s">
        <v>2099</v>
      </c>
      <c r="F2970" t="s">
        <v>1011</v>
      </c>
      <c r="G2970" t="s">
        <v>1755</v>
      </c>
    </row>
    <row r="2971" spans="1:7" ht="15" customHeight="1" x14ac:dyDescent="0.25">
      <c r="A2971" s="2">
        <v>46014</v>
      </c>
      <c r="B2971">
        <v>2025004161</v>
      </c>
      <c r="C2971" s="4" t="s">
        <v>2467</v>
      </c>
      <c r="D2971" s="11">
        <v>9450000</v>
      </c>
      <c r="E2971" t="s">
        <v>2468</v>
      </c>
      <c r="F2971" t="s">
        <v>2469</v>
      </c>
      <c r="G2971" t="s">
        <v>1755</v>
      </c>
    </row>
    <row r="2972" spans="1:7" ht="15" customHeight="1" x14ac:dyDescent="0.25">
      <c r="A2972" s="2">
        <v>46015</v>
      </c>
      <c r="B2972">
        <v>2025004163</v>
      </c>
      <c r="C2972" t="s">
        <v>2227</v>
      </c>
      <c r="D2972" s="11">
        <v>3150000</v>
      </c>
      <c r="E2972" t="s">
        <v>2228</v>
      </c>
      <c r="F2972" t="s">
        <v>431</v>
      </c>
      <c r="G2972" t="s">
        <v>1755</v>
      </c>
    </row>
    <row r="2973" spans="1:7" ht="15" customHeight="1" x14ac:dyDescent="0.25">
      <c r="A2973" s="20">
        <v>46021</v>
      </c>
      <c r="B2973">
        <v>2025004235</v>
      </c>
      <c r="C2973" t="s">
        <v>2390</v>
      </c>
      <c r="D2973" s="11">
        <v>70000000</v>
      </c>
      <c r="E2973">
        <v>900752343</v>
      </c>
      <c r="F2973" t="s">
        <v>2392</v>
      </c>
      <c r="G2973" t="s">
        <v>1755</v>
      </c>
    </row>
    <row r="2974" spans="1:7" ht="15" customHeight="1" x14ac:dyDescent="0.25">
      <c r="A2974" s="20">
        <v>46021</v>
      </c>
      <c r="B2974">
        <v>2025004236</v>
      </c>
      <c r="C2974" t="s">
        <v>2393</v>
      </c>
      <c r="D2974" s="11">
        <v>93670000</v>
      </c>
      <c r="E2974">
        <v>900752343</v>
      </c>
      <c r="F2974" t="s">
        <v>2392</v>
      </c>
      <c r="G2974" t="s">
        <v>1755</v>
      </c>
    </row>
    <row r="2975" spans="1:7" ht="15" customHeight="1" x14ac:dyDescent="0.25">
      <c r="A2975" s="20">
        <v>46021</v>
      </c>
      <c r="B2975">
        <v>2025004237</v>
      </c>
      <c r="C2975" t="s">
        <v>2423</v>
      </c>
      <c r="D2975" s="11">
        <v>70000000</v>
      </c>
      <c r="E2975">
        <v>900752343</v>
      </c>
      <c r="F2975" t="s">
        <v>2392</v>
      </c>
      <c r="G2975" t="s">
        <v>1755</v>
      </c>
    </row>
    <row r="2976" spans="1:7" ht="15" customHeight="1" x14ac:dyDescent="0.25">
      <c r="A2976" s="2">
        <v>46063.7368055556</v>
      </c>
      <c r="B2976">
        <v>2026000111</v>
      </c>
      <c r="C2976" t="s">
        <v>2483</v>
      </c>
      <c r="D2976" s="11">
        <v>3150000</v>
      </c>
      <c r="E2976">
        <v>1085300095</v>
      </c>
      <c r="F2976" t="s">
        <v>201</v>
      </c>
      <c r="G2976" t="s">
        <v>1755</v>
      </c>
    </row>
    <row r="2977" spans="1:7" ht="15" customHeight="1" x14ac:dyDescent="0.25">
      <c r="A2977" s="2">
        <v>46072.370138888902</v>
      </c>
      <c r="B2977">
        <v>2026000141</v>
      </c>
      <c r="C2977" t="s">
        <v>2484</v>
      </c>
      <c r="D2977" s="11">
        <v>238752640</v>
      </c>
      <c r="E2977">
        <v>900752343</v>
      </c>
      <c r="F2977" t="s">
        <v>2392</v>
      </c>
      <c r="G2977" t="s">
        <v>1755</v>
      </c>
    </row>
    <row r="2978" spans="1:7" ht="15" customHeight="1" x14ac:dyDescent="0.25">
      <c r="A2978" s="2">
        <v>46072.370138888902</v>
      </c>
      <c r="B2978">
        <v>2026000142</v>
      </c>
      <c r="C2978" t="s">
        <v>2485</v>
      </c>
      <c r="D2978" s="11">
        <v>207105640</v>
      </c>
      <c r="E2978">
        <v>900752343</v>
      </c>
      <c r="F2978" t="s">
        <v>2392</v>
      </c>
      <c r="G2978" t="s">
        <v>1755</v>
      </c>
    </row>
    <row r="2979" spans="1:7" ht="15" customHeight="1" x14ac:dyDescent="0.25">
      <c r="A2979" s="2">
        <v>46072.692361111098</v>
      </c>
      <c r="B2979">
        <v>2026000152</v>
      </c>
      <c r="C2979" t="s">
        <v>2486</v>
      </c>
      <c r="D2979" s="11">
        <v>98453314</v>
      </c>
      <c r="E2979">
        <v>900994364</v>
      </c>
      <c r="F2979" t="s">
        <v>269</v>
      </c>
      <c r="G2979" t="s">
        <v>1755</v>
      </c>
    </row>
    <row r="2980" spans="1:7" ht="15" customHeight="1" x14ac:dyDescent="0.25">
      <c r="A2980" s="2">
        <v>46073.46875</v>
      </c>
      <c r="B2980">
        <v>2026000155</v>
      </c>
      <c r="C2980" t="s">
        <v>2474</v>
      </c>
      <c r="D2980" s="11">
        <v>4730000</v>
      </c>
      <c r="E2980">
        <v>1085340885</v>
      </c>
      <c r="F2980" t="s">
        <v>1142</v>
      </c>
      <c r="G2980" t="s">
        <v>1755</v>
      </c>
    </row>
    <row r="2981" spans="1:7" ht="15" customHeight="1" x14ac:dyDescent="0.25">
      <c r="A2981" s="2">
        <v>46076.463194444397</v>
      </c>
      <c r="B2981">
        <v>2026000159</v>
      </c>
      <c r="C2981" t="s">
        <v>2475</v>
      </c>
      <c r="D2981" s="11">
        <v>7800000</v>
      </c>
      <c r="E2981">
        <v>1085336362</v>
      </c>
      <c r="F2981" t="s">
        <v>41</v>
      </c>
      <c r="G2981" t="s">
        <v>1755</v>
      </c>
    </row>
    <row r="2982" spans="1:7" ht="15" customHeight="1" x14ac:dyDescent="0.25">
      <c r="A2982" s="2">
        <v>46076.465972222199</v>
      </c>
      <c r="B2982">
        <v>2026000160</v>
      </c>
      <c r="C2982" t="s">
        <v>2476</v>
      </c>
      <c r="D2982" s="11">
        <v>7800000</v>
      </c>
      <c r="E2982">
        <v>1085334279</v>
      </c>
      <c r="F2982" t="s">
        <v>1841</v>
      </c>
      <c r="G2982" t="s">
        <v>1755</v>
      </c>
    </row>
    <row r="2983" spans="1:7" ht="15" customHeight="1" x14ac:dyDescent="0.25">
      <c r="A2983" s="2">
        <v>46076.472222222197</v>
      </c>
      <c r="B2983">
        <v>2026000162</v>
      </c>
      <c r="C2983" t="s">
        <v>2477</v>
      </c>
      <c r="D2983" s="11">
        <v>3150000</v>
      </c>
      <c r="E2983">
        <v>1086329609</v>
      </c>
      <c r="F2983" t="s">
        <v>443</v>
      </c>
      <c r="G2983" t="s">
        <v>1755</v>
      </c>
    </row>
    <row r="2984" spans="1:7" ht="15" customHeight="1" x14ac:dyDescent="0.25">
      <c r="A2984" s="2">
        <v>46076.474305555603</v>
      </c>
      <c r="B2984">
        <v>2026000163</v>
      </c>
      <c r="C2984" t="s">
        <v>2478</v>
      </c>
      <c r="D2984" s="11">
        <v>3150000</v>
      </c>
      <c r="E2984">
        <v>1004235479</v>
      </c>
      <c r="F2984" t="s">
        <v>477</v>
      </c>
      <c r="G2984" t="s">
        <v>1755</v>
      </c>
    </row>
    <row r="2985" spans="1:7" ht="15" customHeight="1" x14ac:dyDescent="0.25">
      <c r="A2985" s="2">
        <v>46077.418749999997</v>
      </c>
      <c r="B2985">
        <v>2026000165</v>
      </c>
      <c r="C2985" s="4" t="s">
        <v>2479</v>
      </c>
      <c r="D2985" s="11">
        <v>6300000</v>
      </c>
      <c r="E2985">
        <v>1082748420</v>
      </c>
      <c r="F2985" t="s">
        <v>450</v>
      </c>
      <c r="G2985" t="s">
        <v>1755</v>
      </c>
    </row>
    <row r="2986" spans="1:7" ht="15" customHeight="1" x14ac:dyDescent="0.25">
      <c r="A2986" s="2">
        <v>46077.425000000003</v>
      </c>
      <c r="B2986">
        <v>2026000166</v>
      </c>
      <c r="C2986" s="4" t="s">
        <v>2480</v>
      </c>
      <c r="D2986" s="11">
        <v>3150000</v>
      </c>
      <c r="E2986">
        <v>1089458048</v>
      </c>
      <c r="F2986" t="s">
        <v>1865</v>
      </c>
      <c r="G2986" t="s">
        <v>1755</v>
      </c>
    </row>
    <row r="2987" spans="1:7" ht="15" customHeight="1" x14ac:dyDescent="0.25">
      <c r="A2987" s="2">
        <v>46077.438888888901</v>
      </c>
      <c r="B2987">
        <v>2026000167</v>
      </c>
      <c r="C2987" s="4" t="s">
        <v>2481</v>
      </c>
      <c r="D2987" s="11">
        <v>7800000</v>
      </c>
      <c r="E2987">
        <v>1087006619</v>
      </c>
      <c r="F2987" t="s">
        <v>1218</v>
      </c>
      <c r="G2987" t="s">
        <v>1755</v>
      </c>
    </row>
    <row r="2988" spans="1:7" ht="15" customHeight="1" x14ac:dyDescent="0.25">
      <c r="A2988" s="2">
        <v>46079.436805555597</v>
      </c>
      <c r="B2988">
        <v>2026000169</v>
      </c>
      <c r="C2988" t="s">
        <v>2487</v>
      </c>
      <c r="D2988" s="11">
        <v>3150000</v>
      </c>
      <c r="E2988">
        <v>1085339190</v>
      </c>
      <c r="F2988" t="s">
        <v>149</v>
      </c>
      <c r="G2988" t="s">
        <v>1755</v>
      </c>
    </row>
    <row r="2989" spans="1:7" ht="15" customHeight="1" x14ac:dyDescent="0.25">
      <c r="A2989" s="2">
        <v>46079.438888888901</v>
      </c>
      <c r="B2989">
        <v>2026000170</v>
      </c>
      <c r="C2989" t="s">
        <v>2488</v>
      </c>
      <c r="D2989" s="11">
        <v>4730000</v>
      </c>
      <c r="E2989">
        <v>36759759</v>
      </c>
      <c r="F2989" t="s">
        <v>705</v>
      </c>
      <c r="G2989" t="s">
        <v>1755</v>
      </c>
    </row>
    <row r="2990" spans="1:7" ht="15" customHeight="1" x14ac:dyDescent="0.25">
      <c r="A2990" s="2">
        <v>46079.441666666702</v>
      </c>
      <c r="B2990">
        <v>2026000171</v>
      </c>
      <c r="C2990" t="s">
        <v>2489</v>
      </c>
      <c r="D2990" s="11">
        <v>3150000</v>
      </c>
      <c r="E2990">
        <v>1010082397</v>
      </c>
      <c r="F2990" t="s">
        <v>209</v>
      </c>
      <c r="G2990" t="s">
        <v>1755</v>
      </c>
    </row>
    <row r="2991" spans="1:7" ht="15" customHeight="1" x14ac:dyDescent="0.25">
      <c r="A2991" s="2">
        <v>46079.443749999999</v>
      </c>
      <c r="B2991">
        <v>2026000172</v>
      </c>
      <c r="C2991" t="s">
        <v>2490</v>
      </c>
      <c r="D2991" s="11">
        <v>6300000</v>
      </c>
      <c r="E2991">
        <v>1085275879</v>
      </c>
      <c r="F2991" t="s">
        <v>117</v>
      </c>
      <c r="G2991" t="s">
        <v>1755</v>
      </c>
    </row>
    <row r="2992" spans="1:7" ht="15" customHeight="1" x14ac:dyDescent="0.25">
      <c r="A2992" s="2">
        <v>46079.445833333302</v>
      </c>
      <c r="B2992">
        <v>2026000173</v>
      </c>
      <c r="C2992" t="s">
        <v>2491</v>
      </c>
      <c r="D2992" s="11">
        <v>4730000</v>
      </c>
      <c r="E2992">
        <v>1085264667</v>
      </c>
      <c r="F2992" t="s">
        <v>464</v>
      </c>
      <c r="G2992" t="s">
        <v>1755</v>
      </c>
    </row>
    <row r="2993" spans="1:7" ht="15" customHeight="1" x14ac:dyDescent="0.25">
      <c r="A2993" s="2">
        <v>46079.447916666701</v>
      </c>
      <c r="B2993">
        <v>2026000174</v>
      </c>
      <c r="C2993" t="s">
        <v>2492</v>
      </c>
      <c r="D2993" s="11">
        <v>3150000</v>
      </c>
      <c r="E2993">
        <v>1085338921</v>
      </c>
      <c r="F2993" t="s">
        <v>2441</v>
      </c>
      <c r="G2993" t="s">
        <v>1755</v>
      </c>
    </row>
    <row r="2994" spans="1:7" ht="15" customHeight="1" x14ac:dyDescent="0.25">
      <c r="A2994" s="2">
        <v>46079.451388888898</v>
      </c>
      <c r="B2994">
        <v>2026000176</v>
      </c>
      <c r="C2994" t="s">
        <v>2494</v>
      </c>
      <c r="D2994" s="11">
        <v>4730000</v>
      </c>
      <c r="E2994">
        <v>59816986</v>
      </c>
      <c r="F2994" t="s">
        <v>415</v>
      </c>
      <c r="G2994" t="s">
        <v>1755</v>
      </c>
    </row>
    <row r="2995" spans="1:7" ht="15" customHeight="1" x14ac:dyDescent="0.25">
      <c r="A2995" s="2">
        <v>46079.453472222202</v>
      </c>
      <c r="B2995">
        <v>2026000177</v>
      </c>
      <c r="C2995" t="s">
        <v>2495</v>
      </c>
      <c r="D2995" s="11">
        <v>3150000</v>
      </c>
      <c r="E2995">
        <v>1085331508</v>
      </c>
      <c r="F2995" t="s">
        <v>35</v>
      </c>
      <c r="G2995" t="s">
        <v>1755</v>
      </c>
    </row>
    <row r="2996" spans="1:7" ht="15" customHeight="1" x14ac:dyDescent="0.25">
      <c r="A2996" s="2">
        <v>46079.4555555556</v>
      </c>
      <c r="B2996">
        <v>2026000178</v>
      </c>
      <c r="C2996" t="s">
        <v>2496</v>
      </c>
      <c r="D2996" s="11">
        <v>3150000</v>
      </c>
      <c r="E2996">
        <v>36752202</v>
      </c>
      <c r="F2996" t="s">
        <v>263</v>
      </c>
      <c r="G2996" t="s">
        <v>1755</v>
      </c>
    </row>
    <row r="2997" spans="1:7" ht="15" customHeight="1" x14ac:dyDescent="0.25">
      <c r="A2997" s="2">
        <v>46079.456944444399</v>
      </c>
      <c r="B2997">
        <v>2026000179</v>
      </c>
      <c r="C2997" t="s">
        <v>2497</v>
      </c>
      <c r="D2997" s="11">
        <v>4730000</v>
      </c>
      <c r="E2997">
        <v>1085343783</v>
      </c>
      <c r="F2997" t="s">
        <v>735</v>
      </c>
      <c r="G2997" t="s">
        <v>1755</v>
      </c>
    </row>
    <row r="2998" spans="1:7" ht="15" customHeight="1" x14ac:dyDescent="0.25">
      <c r="A2998" s="2">
        <v>46079.461111111101</v>
      </c>
      <c r="B2998">
        <v>2026000181</v>
      </c>
      <c r="C2998" t="s">
        <v>2499</v>
      </c>
      <c r="D2998" s="11">
        <v>7800000</v>
      </c>
      <c r="E2998">
        <v>1006946167</v>
      </c>
      <c r="F2998" t="s">
        <v>63</v>
      </c>
      <c r="G2998" t="s">
        <v>1755</v>
      </c>
    </row>
    <row r="2999" spans="1:7" ht="15" customHeight="1" x14ac:dyDescent="0.25">
      <c r="A2999" s="2">
        <v>46079.462500000001</v>
      </c>
      <c r="B2999">
        <v>2026000182</v>
      </c>
      <c r="C2999" t="s">
        <v>2500</v>
      </c>
      <c r="D2999" s="11">
        <v>4730000</v>
      </c>
      <c r="E2999">
        <v>1193383306</v>
      </c>
      <c r="F2999" t="s">
        <v>267</v>
      </c>
      <c r="G2999" t="s">
        <v>1755</v>
      </c>
    </row>
    <row r="3000" spans="1:7" ht="15" customHeight="1" x14ac:dyDescent="0.25">
      <c r="A3000" s="2">
        <v>46079.472222222197</v>
      </c>
      <c r="B3000">
        <v>2026000180</v>
      </c>
      <c r="C3000" t="s">
        <v>2498</v>
      </c>
      <c r="D3000" s="11">
        <v>7800000</v>
      </c>
      <c r="E3000">
        <v>80765093</v>
      </c>
      <c r="F3000" t="s">
        <v>69</v>
      </c>
      <c r="G3000" t="s">
        <v>1755</v>
      </c>
    </row>
    <row r="3001" spans="1:7" ht="15" customHeight="1" x14ac:dyDescent="0.25">
      <c r="A3001" s="2">
        <v>46079.587500000001</v>
      </c>
      <c r="B3001">
        <v>2026000184</v>
      </c>
      <c r="C3001" t="s">
        <v>2501</v>
      </c>
      <c r="D3001" s="11">
        <v>3150000</v>
      </c>
      <c r="E3001">
        <v>1004190751</v>
      </c>
      <c r="F3001" t="s">
        <v>2380</v>
      </c>
      <c r="G3001" t="s">
        <v>1755</v>
      </c>
    </row>
    <row r="3002" spans="1:7" ht="15" customHeight="1" x14ac:dyDescent="0.25">
      <c r="A3002" s="2">
        <v>46079.589583333298</v>
      </c>
      <c r="B3002">
        <v>2026000185</v>
      </c>
      <c r="C3002" t="s">
        <v>2502</v>
      </c>
      <c r="D3002" s="11">
        <v>3150000</v>
      </c>
      <c r="E3002">
        <v>1137624011</v>
      </c>
      <c r="F3002" t="s">
        <v>243</v>
      </c>
      <c r="G3002" t="s">
        <v>1755</v>
      </c>
    </row>
    <row r="3003" spans="1:7" ht="15" customHeight="1" x14ac:dyDescent="0.25">
      <c r="A3003" s="2">
        <v>46079.595138888901</v>
      </c>
      <c r="B3003">
        <v>2026000186</v>
      </c>
      <c r="C3003" t="s">
        <v>2503</v>
      </c>
      <c r="D3003" s="11">
        <v>7800000</v>
      </c>
      <c r="E3003">
        <v>1089846684</v>
      </c>
      <c r="F3003" t="s">
        <v>1813</v>
      </c>
      <c r="G3003" t="s">
        <v>1755</v>
      </c>
    </row>
    <row r="3004" spans="1:7" ht="15" customHeight="1" x14ac:dyDescent="0.25">
      <c r="A3004" s="2">
        <v>46079.597916666702</v>
      </c>
      <c r="B3004">
        <v>2026000187</v>
      </c>
      <c r="C3004" t="s">
        <v>2504</v>
      </c>
      <c r="D3004" s="11">
        <v>4730000</v>
      </c>
      <c r="E3004">
        <v>1087413951</v>
      </c>
      <c r="F3004" t="s">
        <v>95</v>
      </c>
      <c r="G3004" t="s">
        <v>1755</v>
      </c>
    </row>
    <row r="3005" spans="1:7" ht="15" customHeight="1" x14ac:dyDescent="0.25">
      <c r="A3005" s="2">
        <v>46079.608333333301</v>
      </c>
      <c r="B3005">
        <v>2026000188</v>
      </c>
      <c r="C3005" t="s">
        <v>2505</v>
      </c>
      <c r="D3005" s="11">
        <v>3150000</v>
      </c>
      <c r="E3005">
        <v>37082272</v>
      </c>
      <c r="F3005" t="s">
        <v>1817</v>
      </c>
      <c r="G3005" t="s">
        <v>1755</v>
      </c>
    </row>
    <row r="3006" spans="1:7" ht="15" customHeight="1" x14ac:dyDescent="0.25">
      <c r="A3006" s="2">
        <v>46079.611111111102</v>
      </c>
      <c r="B3006">
        <v>2026000189</v>
      </c>
      <c r="C3006" t="s">
        <v>2506</v>
      </c>
      <c r="D3006" s="11">
        <v>4730000</v>
      </c>
      <c r="E3006">
        <v>1085260497</v>
      </c>
      <c r="F3006" t="s">
        <v>429</v>
      </c>
      <c r="G3006" t="s">
        <v>1755</v>
      </c>
    </row>
    <row r="3007" spans="1:7" ht="15" customHeight="1" x14ac:dyDescent="0.25">
      <c r="A3007" s="2">
        <v>46079.614583333299</v>
      </c>
      <c r="B3007">
        <v>2026000190</v>
      </c>
      <c r="C3007" t="s">
        <v>2507</v>
      </c>
      <c r="D3007" s="11">
        <v>3150000</v>
      </c>
      <c r="E3007">
        <v>1233193191</v>
      </c>
      <c r="F3007" t="s">
        <v>1951</v>
      </c>
      <c r="G3007" t="s">
        <v>1755</v>
      </c>
    </row>
    <row r="3008" spans="1:7" ht="15" customHeight="1" x14ac:dyDescent="0.25">
      <c r="A3008" s="2">
        <v>46079.618055555598</v>
      </c>
      <c r="B3008">
        <v>2026000191</v>
      </c>
      <c r="C3008" t="s">
        <v>2508</v>
      </c>
      <c r="D3008" s="11">
        <v>3150000</v>
      </c>
      <c r="E3008">
        <v>1089458776</v>
      </c>
      <c r="F3008" t="s">
        <v>1843</v>
      </c>
      <c r="G3008" t="s">
        <v>1755</v>
      </c>
    </row>
    <row r="3009" spans="1:7" ht="15" customHeight="1" x14ac:dyDescent="0.25">
      <c r="A3009" s="2">
        <v>46079.621527777803</v>
      </c>
      <c r="B3009">
        <v>2026000192</v>
      </c>
      <c r="C3009" t="s">
        <v>2509</v>
      </c>
      <c r="D3009" s="11">
        <v>3150000</v>
      </c>
      <c r="E3009">
        <v>1085269090</v>
      </c>
      <c r="F3009" t="s">
        <v>371</v>
      </c>
      <c r="G3009" t="s">
        <v>1755</v>
      </c>
    </row>
    <row r="3010" spans="1:7" ht="15" customHeight="1" x14ac:dyDescent="0.25">
      <c r="A3010" s="2">
        <v>46079.624305555597</v>
      </c>
      <c r="B3010">
        <v>2026000193</v>
      </c>
      <c r="C3010" t="s">
        <v>2510</v>
      </c>
      <c r="D3010" s="11">
        <v>4730000</v>
      </c>
      <c r="E3010">
        <v>1085318684</v>
      </c>
      <c r="F3010" t="s">
        <v>355</v>
      </c>
      <c r="G3010" t="s">
        <v>1755</v>
      </c>
    </row>
    <row r="3011" spans="1:7" ht="15" customHeight="1" x14ac:dyDescent="0.25">
      <c r="A3011" s="2">
        <v>46079.636805555601</v>
      </c>
      <c r="B3011">
        <v>2026000194</v>
      </c>
      <c r="C3011" t="s">
        <v>2511</v>
      </c>
      <c r="D3011" s="11">
        <v>6300000</v>
      </c>
      <c r="E3011">
        <v>1193223736</v>
      </c>
      <c r="F3011" t="s">
        <v>670</v>
      </c>
      <c r="G3011" t="s">
        <v>1755</v>
      </c>
    </row>
    <row r="3012" spans="1:7" ht="15" customHeight="1" x14ac:dyDescent="0.25">
      <c r="A3012" s="2">
        <v>46079.6381944444</v>
      </c>
      <c r="B3012">
        <v>2026000175</v>
      </c>
      <c r="C3012" t="s">
        <v>2493</v>
      </c>
      <c r="D3012" s="11">
        <v>7800000</v>
      </c>
      <c r="E3012">
        <v>1233189066</v>
      </c>
      <c r="F3012" t="s">
        <v>239</v>
      </c>
      <c r="G3012" t="s">
        <v>1755</v>
      </c>
    </row>
    <row r="3013" spans="1:7" ht="15" customHeight="1" x14ac:dyDescent="0.25">
      <c r="A3013" s="2">
        <v>46079.645833333299</v>
      </c>
      <c r="B3013">
        <v>2026000195</v>
      </c>
      <c r="C3013" t="s">
        <v>2512</v>
      </c>
      <c r="D3013" s="11">
        <v>3150000</v>
      </c>
      <c r="E3013">
        <v>1085325325</v>
      </c>
      <c r="F3013" t="s">
        <v>682</v>
      </c>
      <c r="G3013" t="s">
        <v>1755</v>
      </c>
    </row>
    <row r="3014" spans="1:7" ht="15" customHeight="1" x14ac:dyDescent="0.25">
      <c r="A3014" s="2">
        <v>46079.652083333298</v>
      </c>
      <c r="B3014">
        <v>2026000197</v>
      </c>
      <c r="C3014" t="s">
        <v>2513</v>
      </c>
      <c r="D3014" s="11">
        <v>3150000</v>
      </c>
      <c r="E3014">
        <v>1086328142</v>
      </c>
      <c r="F3014" t="s">
        <v>470</v>
      </c>
      <c r="G3014" t="s">
        <v>1755</v>
      </c>
    </row>
    <row r="3015" spans="1:7" ht="15" customHeight="1" x14ac:dyDescent="0.25">
      <c r="A3015" s="2">
        <v>46079.652777777803</v>
      </c>
      <c r="B3015">
        <v>2026000196</v>
      </c>
      <c r="C3015" t="s">
        <v>2482</v>
      </c>
      <c r="D3015" s="11">
        <v>7800000</v>
      </c>
      <c r="E3015">
        <v>1010141840</v>
      </c>
      <c r="F3015" t="s">
        <v>2338</v>
      </c>
      <c r="G3015" t="s">
        <v>1755</v>
      </c>
    </row>
    <row r="3016" spans="1:7" ht="15" customHeight="1" x14ac:dyDescent="0.25">
      <c r="A3016" s="2">
        <v>46079.703472222202</v>
      </c>
      <c r="B3016">
        <v>2026000198</v>
      </c>
      <c r="C3016" t="s">
        <v>2514</v>
      </c>
      <c r="D3016" s="11">
        <v>3150000</v>
      </c>
      <c r="E3016">
        <v>37084285</v>
      </c>
      <c r="F3016" t="s">
        <v>119</v>
      </c>
      <c r="G3016" t="s">
        <v>1755</v>
      </c>
    </row>
    <row r="3017" spans="1:7" ht="15" customHeight="1" x14ac:dyDescent="0.25">
      <c r="A3017" s="2">
        <v>46079.706250000003</v>
      </c>
      <c r="B3017">
        <v>2026000199</v>
      </c>
      <c r="C3017" t="s">
        <v>2515</v>
      </c>
      <c r="D3017" s="11">
        <v>3150000</v>
      </c>
      <c r="E3017">
        <v>1082749295</v>
      </c>
      <c r="F3017" t="s">
        <v>1777</v>
      </c>
      <c r="G3017" t="s">
        <v>1755</v>
      </c>
    </row>
    <row r="3018" spans="1:7" ht="15" customHeight="1" x14ac:dyDescent="0.25">
      <c r="A3018" s="2">
        <v>46079.715972222199</v>
      </c>
      <c r="B3018">
        <v>2026000200</v>
      </c>
      <c r="C3018" t="s">
        <v>2516</v>
      </c>
      <c r="D3018" s="11">
        <v>3150000</v>
      </c>
      <c r="E3018">
        <v>1085317226</v>
      </c>
      <c r="F3018" t="s">
        <v>1759</v>
      </c>
      <c r="G3018" t="s">
        <v>1755</v>
      </c>
    </row>
    <row r="3019" spans="1:7" ht="15" customHeight="1" x14ac:dyDescent="0.25">
      <c r="A3019" s="2">
        <v>46079.725694444402</v>
      </c>
      <c r="B3019">
        <v>2026000201</v>
      </c>
      <c r="C3019" t="s">
        <v>2517</v>
      </c>
      <c r="D3019" s="11">
        <v>6300000</v>
      </c>
      <c r="E3019">
        <v>1086360087</v>
      </c>
      <c r="F3019" t="s">
        <v>2298</v>
      </c>
      <c r="G3019" t="s">
        <v>1755</v>
      </c>
    </row>
    <row r="3020" spans="1:7" ht="15" customHeight="1" x14ac:dyDescent="0.25">
      <c r="A3020" s="2">
        <v>46080.326388888891</v>
      </c>
      <c r="B3020">
        <v>2026000211</v>
      </c>
      <c r="C3020" t="s">
        <v>2526</v>
      </c>
      <c r="D3020" s="11">
        <v>3150000</v>
      </c>
      <c r="E3020">
        <v>1081272656</v>
      </c>
      <c r="F3020" t="s">
        <v>963</v>
      </c>
      <c r="G3020" t="s">
        <v>1755</v>
      </c>
    </row>
    <row r="3021" spans="1:7" ht="15" customHeight="1" x14ac:dyDescent="0.25">
      <c r="A3021" s="2">
        <v>46080.405555555597</v>
      </c>
      <c r="B3021">
        <v>2026000204</v>
      </c>
      <c r="C3021" t="s">
        <v>2519</v>
      </c>
      <c r="D3021" s="11">
        <v>3150000</v>
      </c>
      <c r="E3021">
        <v>1085344795</v>
      </c>
      <c r="F3021" t="s">
        <v>1242</v>
      </c>
      <c r="G3021" t="s">
        <v>1755</v>
      </c>
    </row>
    <row r="3022" spans="1:7" ht="15" customHeight="1" x14ac:dyDescent="0.25">
      <c r="A3022" s="2">
        <v>46080.406944444403</v>
      </c>
      <c r="B3022">
        <v>2026000203</v>
      </c>
      <c r="C3022" t="s">
        <v>2518</v>
      </c>
      <c r="D3022" s="11">
        <v>4730000</v>
      </c>
      <c r="E3022">
        <v>27087475</v>
      </c>
      <c r="F3022" t="s">
        <v>571</v>
      </c>
      <c r="G3022" t="s">
        <v>1755</v>
      </c>
    </row>
    <row r="3023" spans="1:7" ht="15" customHeight="1" x14ac:dyDescent="0.25">
      <c r="A3023" s="2">
        <v>46080.409722222197</v>
      </c>
      <c r="B3023">
        <v>2026000205</v>
      </c>
      <c r="C3023" t="s">
        <v>2520</v>
      </c>
      <c r="D3023" s="11">
        <v>3150000</v>
      </c>
      <c r="E3023">
        <v>59833899</v>
      </c>
      <c r="F3023" t="s">
        <v>467</v>
      </c>
      <c r="G3023" t="s">
        <v>1755</v>
      </c>
    </row>
    <row r="3024" spans="1:7" ht="15" customHeight="1" x14ac:dyDescent="0.25">
      <c r="A3024" s="2">
        <v>46080.411805555603</v>
      </c>
      <c r="B3024">
        <v>2026000206</v>
      </c>
      <c r="C3024" t="s">
        <v>2521</v>
      </c>
      <c r="D3024" s="11">
        <v>4730000</v>
      </c>
      <c r="E3024">
        <v>36756149</v>
      </c>
      <c r="F3024" t="s">
        <v>1825</v>
      </c>
      <c r="G3024" t="s">
        <v>1755</v>
      </c>
    </row>
    <row r="3025" spans="1:7" ht="15" customHeight="1" x14ac:dyDescent="0.25">
      <c r="A3025" s="2">
        <v>46080.652083333298</v>
      </c>
      <c r="B3025">
        <v>2026000212</v>
      </c>
      <c r="C3025" t="s">
        <v>2527</v>
      </c>
      <c r="D3025" s="11">
        <v>3150000</v>
      </c>
      <c r="E3025">
        <v>1085317833</v>
      </c>
      <c r="F3025" t="s">
        <v>11</v>
      </c>
      <c r="G3025" t="s">
        <v>1755</v>
      </c>
    </row>
    <row r="3026" spans="1:7" ht="15" customHeight="1" x14ac:dyDescent="0.25">
      <c r="A3026" s="2">
        <v>46080.653472222199</v>
      </c>
      <c r="B3026">
        <v>2026000210</v>
      </c>
      <c r="C3026" t="s">
        <v>2525</v>
      </c>
      <c r="D3026" s="11">
        <v>3150000</v>
      </c>
      <c r="E3026">
        <v>1004543161</v>
      </c>
      <c r="F3026" t="s">
        <v>1991</v>
      </c>
      <c r="G3026" t="s">
        <v>1755</v>
      </c>
    </row>
    <row r="3027" spans="1:7" ht="15" customHeight="1" x14ac:dyDescent="0.25">
      <c r="A3027" s="2">
        <v>46080.654861111099</v>
      </c>
      <c r="B3027">
        <v>2026000209</v>
      </c>
      <c r="C3027" t="s">
        <v>2524</v>
      </c>
      <c r="D3027" s="11">
        <v>4730000</v>
      </c>
      <c r="E3027">
        <v>1087960287</v>
      </c>
      <c r="F3027" t="s">
        <v>1859</v>
      </c>
      <c r="G3027" t="s">
        <v>1755</v>
      </c>
    </row>
    <row r="3028" spans="1:7" ht="15" customHeight="1" x14ac:dyDescent="0.25">
      <c r="A3028" s="2">
        <v>46080.65625</v>
      </c>
      <c r="B3028">
        <v>2026000207</v>
      </c>
      <c r="C3028" t="s">
        <v>2522</v>
      </c>
      <c r="D3028" s="11">
        <v>6300000</v>
      </c>
      <c r="E3028">
        <v>1085286476</v>
      </c>
      <c r="F3028" t="s">
        <v>385</v>
      </c>
      <c r="G3028" t="s">
        <v>1755</v>
      </c>
    </row>
    <row r="3029" spans="1:7" ht="15" customHeight="1" x14ac:dyDescent="0.25">
      <c r="A3029" s="2">
        <v>46080.658333333296</v>
      </c>
      <c r="B3029">
        <v>2026000208</v>
      </c>
      <c r="C3029" t="s">
        <v>2523</v>
      </c>
      <c r="D3029" s="11">
        <v>3150000</v>
      </c>
      <c r="E3029">
        <v>1233189234</v>
      </c>
      <c r="F3029" t="s">
        <v>87</v>
      </c>
      <c r="G3029" t="s">
        <v>1755</v>
      </c>
    </row>
    <row r="3030" spans="1:7" ht="15" customHeight="1" x14ac:dyDescent="0.25">
      <c r="A3030" s="2">
        <v>46083.595833333296</v>
      </c>
      <c r="B3030">
        <v>2026000213</v>
      </c>
      <c r="C3030" t="s">
        <v>2528</v>
      </c>
      <c r="D3030" s="11">
        <v>7800000</v>
      </c>
      <c r="E3030">
        <v>1086331521</v>
      </c>
      <c r="F3030" t="s">
        <v>2418</v>
      </c>
      <c r="G3030" t="s">
        <v>1755</v>
      </c>
    </row>
    <row r="3031" spans="1:7" ht="15" customHeight="1" x14ac:dyDescent="0.25">
      <c r="A3031" s="2">
        <v>46083.6027777778</v>
      </c>
      <c r="B3031">
        <v>2026000214</v>
      </c>
      <c r="C3031" t="s">
        <v>2529</v>
      </c>
      <c r="D3031" s="11">
        <v>7800000</v>
      </c>
      <c r="E3031">
        <v>1233193882</v>
      </c>
      <c r="F3031" t="s">
        <v>889</v>
      </c>
      <c r="G3031" t="s">
        <v>1755</v>
      </c>
    </row>
    <row r="3032" spans="1:7" ht="15" customHeight="1" x14ac:dyDescent="0.25">
      <c r="A3032" s="2">
        <v>46083.607638888898</v>
      </c>
      <c r="B3032">
        <v>2026000215</v>
      </c>
      <c r="C3032" t="s">
        <v>2530</v>
      </c>
      <c r="D3032" s="11">
        <v>3150000</v>
      </c>
      <c r="E3032">
        <v>1085252263</v>
      </c>
      <c r="F3032" t="s">
        <v>33</v>
      </c>
      <c r="G3032" t="s">
        <v>1755</v>
      </c>
    </row>
    <row r="3033" spans="1:7" ht="15" customHeight="1" x14ac:dyDescent="0.25">
      <c r="A3033" s="2">
        <v>46083.6118055556</v>
      </c>
      <c r="B3033">
        <v>2026000216</v>
      </c>
      <c r="C3033" t="s">
        <v>2531</v>
      </c>
      <c r="D3033" s="11">
        <v>3150000</v>
      </c>
      <c r="E3033">
        <v>1089243630</v>
      </c>
      <c r="F3033" t="s">
        <v>197</v>
      </c>
      <c r="G3033" t="s">
        <v>1755</v>
      </c>
    </row>
    <row r="3034" spans="1:7" ht="15" customHeight="1" x14ac:dyDescent="0.25">
      <c r="A3034" s="2">
        <v>46083.625</v>
      </c>
      <c r="B3034">
        <v>2026000218</v>
      </c>
      <c r="C3034" t="s">
        <v>2532</v>
      </c>
      <c r="D3034" s="11">
        <v>3150000</v>
      </c>
      <c r="E3034">
        <v>1081594639</v>
      </c>
      <c r="F3034" t="s">
        <v>1110</v>
      </c>
      <c r="G3034" t="s">
        <v>1755</v>
      </c>
    </row>
    <row r="3035" spans="1:7" ht="15" customHeight="1" x14ac:dyDescent="0.25">
      <c r="A3035" s="2">
        <v>46083.664583333302</v>
      </c>
      <c r="B3035">
        <v>2026000219</v>
      </c>
      <c r="C3035" t="s">
        <v>2533</v>
      </c>
      <c r="D3035" s="11">
        <v>3150000</v>
      </c>
      <c r="E3035">
        <v>98391531</v>
      </c>
      <c r="F3035" t="s">
        <v>499</v>
      </c>
      <c r="G3035" t="s">
        <v>1755</v>
      </c>
    </row>
    <row r="3036" spans="1:7" ht="15" customHeight="1" x14ac:dyDescent="0.25">
      <c r="A3036" s="2">
        <v>46083.668055555601</v>
      </c>
      <c r="B3036">
        <v>2026000220</v>
      </c>
      <c r="C3036" t="s">
        <v>2534</v>
      </c>
      <c r="D3036" s="11">
        <v>6300000</v>
      </c>
      <c r="E3036">
        <v>59820414</v>
      </c>
      <c r="F3036" t="s">
        <v>457</v>
      </c>
      <c r="G3036" t="s">
        <v>1755</v>
      </c>
    </row>
    <row r="3037" spans="1:7" ht="15" customHeight="1" x14ac:dyDescent="0.25">
      <c r="A3037" s="2">
        <v>46084.386805555601</v>
      </c>
      <c r="B3037">
        <v>2026000225</v>
      </c>
      <c r="C3037" t="s">
        <v>2539</v>
      </c>
      <c r="D3037" s="11">
        <v>3150000</v>
      </c>
      <c r="E3037">
        <v>1085327677</v>
      </c>
      <c r="F3037" t="s">
        <v>215</v>
      </c>
      <c r="G3037" t="s">
        <v>1755</v>
      </c>
    </row>
    <row r="3038" spans="1:7" ht="15" customHeight="1" x14ac:dyDescent="0.25">
      <c r="A3038" s="2">
        <v>46084.3930555556</v>
      </c>
      <c r="B3038">
        <v>2026000221</v>
      </c>
      <c r="C3038" t="s">
        <v>2535</v>
      </c>
      <c r="D3038" s="11">
        <v>3150000</v>
      </c>
      <c r="E3038">
        <v>1081592303</v>
      </c>
      <c r="F3038" t="s">
        <v>562</v>
      </c>
      <c r="G3038" t="s">
        <v>1755</v>
      </c>
    </row>
    <row r="3039" spans="1:7" ht="15" customHeight="1" x14ac:dyDescent="0.25">
      <c r="A3039" s="2">
        <v>46084.398611111101</v>
      </c>
      <c r="B3039">
        <v>2026000226</v>
      </c>
      <c r="C3039" t="s">
        <v>2540</v>
      </c>
      <c r="D3039" s="11">
        <v>6300000</v>
      </c>
      <c r="E3039">
        <v>1085283868</v>
      </c>
      <c r="F3039" t="s">
        <v>1131</v>
      </c>
      <c r="G3039" t="s">
        <v>1755</v>
      </c>
    </row>
    <row r="3040" spans="1:7" ht="15" customHeight="1" x14ac:dyDescent="0.25">
      <c r="A3040" s="2">
        <v>46084.401388888902</v>
      </c>
      <c r="B3040">
        <v>2026000222</v>
      </c>
      <c r="C3040" t="s">
        <v>2536</v>
      </c>
      <c r="D3040" s="11">
        <v>4730000</v>
      </c>
      <c r="E3040">
        <v>1082749648</v>
      </c>
      <c r="F3040" t="s">
        <v>1891</v>
      </c>
      <c r="G3040" t="s">
        <v>1755</v>
      </c>
    </row>
    <row r="3041" spans="1:7" ht="15" customHeight="1" x14ac:dyDescent="0.25">
      <c r="A3041" s="2">
        <v>46084.404166666704</v>
      </c>
      <c r="B3041">
        <v>2026000223</v>
      </c>
      <c r="C3041" t="s">
        <v>2537</v>
      </c>
      <c r="D3041" s="11">
        <v>6300000</v>
      </c>
      <c r="E3041">
        <v>59825948</v>
      </c>
      <c r="F3041" t="s">
        <v>1192</v>
      </c>
      <c r="G3041" t="s">
        <v>1755</v>
      </c>
    </row>
    <row r="3042" spans="1:7" ht="15" customHeight="1" x14ac:dyDescent="0.25">
      <c r="A3042" s="2">
        <v>46084.406944444403</v>
      </c>
      <c r="B3042">
        <v>2026000224</v>
      </c>
      <c r="C3042" t="s">
        <v>2538</v>
      </c>
      <c r="D3042" s="11">
        <v>4730000</v>
      </c>
      <c r="E3042">
        <v>1087414586</v>
      </c>
      <c r="F3042" t="s">
        <v>47</v>
      </c>
      <c r="G3042" t="s">
        <v>1755</v>
      </c>
    </row>
    <row r="3043" spans="1:7" ht="15" customHeight="1" x14ac:dyDescent="0.25">
      <c r="A3043" s="2">
        <v>46084.683333333298</v>
      </c>
      <c r="B3043">
        <v>2026000239</v>
      </c>
      <c r="C3043" t="s">
        <v>2541</v>
      </c>
      <c r="D3043" s="11">
        <v>3150000</v>
      </c>
      <c r="E3043">
        <v>1088975658</v>
      </c>
      <c r="F3043" t="s">
        <v>2243</v>
      </c>
      <c r="G3043" t="s">
        <v>1755</v>
      </c>
    </row>
    <row r="3044" spans="1:7" ht="15" customHeight="1" x14ac:dyDescent="0.25">
      <c r="A3044" s="2">
        <v>46085.352083333302</v>
      </c>
      <c r="B3044">
        <v>2026000240</v>
      </c>
      <c r="C3044" t="s">
        <v>2542</v>
      </c>
      <c r="D3044" s="11">
        <v>3150000</v>
      </c>
      <c r="E3044">
        <v>27088197</v>
      </c>
      <c r="F3044" t="s">
        <v>1235</v>
      </c>
      <c r="G3044" t="s">
        <v>1755</v>
      </c>
    </row>
    <row r="3045" spans="1:7" ht="15" customHeight="1" x14ac:dyDescent="0.25">
      <c r="A3045" s="2">
        <v>46085.355555555601</v>
      </c>
      <c r="B3045">
        <v>2026000241</v>
      </c>
      <c r="C3045" t="s">
        <v>2543</v>
      </c>
      <c r="D3045" s="11">
        <v>3150000</v>
      </c>
      <c r="E3045">
        <v>1233191133</v>
      </c>
      <c r="F3045" t="s">
        <v>2405</v>
      </c>
      <c r="G3045" t="s">
        <v>1755</v>
      </c>
    </row>
    <row r="3046" spans="1:7" ht="15" customHeight="1" x14ac:dyDescent="0.25">
      <c r="A3046" s="2">
        <v>46085.359027777798</v>
      </c>
      <c r="B3046">
        <v>2026000242</v>
      </c>
      <c r="C3046" t="s">
        <v>2544</v>
      </c>
      <c r="D3046" s="11">
        <v>3150000</v>
      </c>
      <c r="E3046">
        <v>1081272025</v>
      </c>
      <c r="F3046" t="s">
        <v>59</v>
      </c>
      <c r="G3046" t="s">
        <v>1755</v>
      </c>
    </row>
    <row r="3047" spans="1:7" ht="15" customHeight="1" x14ac:dyDescent="0.25">
      <c r="A3047" s="2">
        <v>46090.414583333302</v>
      </c>
      <c r="B3047">
        <v>2026000301</v>
      </c>
      <c r="C3047" t="s">
        <v>2545</v>
      </c>
      <c r="D3047" s="11">
        <v>3150000</v>
      </c>
      <c r="E3047">
        <v>1080693240</v>
      </c>
      <c r="F3047" t="s">
        <v>2089</v>
      </c>
      <c r="G3047" t="s">
        <v>1755</v>
      </c>
    </row>
    <row r="3048" spans="1:7" ht="15" customHeight="1" x14ac:dyDescent="0.25">
      <c r="A3048" s="2">
        <v>46090.465972222199</v>
      </c>
      <c r="B3048">
        <v>2026000309</v>
      </c>
      <c r="C3048" t="s">
        <v>2546</v>
      </c>
      <c r="D3048" s="11">
        <v>3150000</v>
      </c>
      <c r="E3048">
        <v>1086222689</v>
      </c>
      <c r="F3048" t="s">
        <v>1114</v>
      </c>
      <c r="G3048" t="s">
        <v>1755</v>
      </c>
    </row>
    <row r="3049" spans="1:7" ht="15" customHeight="1" x14ac:dyDescent="0.25">
      <c r="A3049" s="2">
        <v>46090.467361111099</v>
      </c>
      <c r="B3049">
        <v>2026000310</v>
      </c>
      <c r="C3049" t="s">
        <v>2547</v>
      </c>
      <c r="D3049" s="11">
        <v>6300000</v>
      </c>
      <c r="E3049">
        <v>1085278004</v>
      </c>
      <c r="F3049" t="s">
        <v>2151</v>
      </c>
      <c r="G3049" t="s">
        <v>1755</v>
      </c>
    </row>
    <row r="3050" spans="1:7" ht="15" customHeight="1" x14ac:dyDescent="0.25">
      <c r="A3050" s="2">
        <v>46090.470833333296</v>
      </c>
      <c r="B3050">
        <v>2026000311</v>
      </c>
      <c r="C3050" t="s">
        <v>2548</v>
      </c>
      <c r="D3050" s="11">
        <v>3150000</v>
      </c>
      <c r="E3050">
        <v>36950892</v>
      </c>
      <c r="F3050" t="s">
        <v>2093</v>
      </c>
      <c r="G3050" t="s">
        <v>1755</v>
      </c>
    </row>
    <row r="3051" spans="1:7" ht="15" customHeight="1" x14ac:dyDescent="0.25">
      <c r="A3051" s="2">
        <v>46090.472222222197</v>
      </c>
      <c r="B3051">
        <v>2026000312</v>
      </c>
      <c r="C3051" t="s">
        <v>2549</v>
      </c>
      <c r="D3051" s="11">
        <v>6300000</v>
      </c>
      <c r="E3051">
        <v>1086755989</v>
      </c>
      <c r="F3051" t="s">
        <v>2471</v>
      </c>
      <c r="G3051" t="s">
        <v>1755</v>
      </c>
    </row>
    <row r="3052" spans="1:7" ht="15" customHeight="1" x14ac:dyDescent="0.25">
      <c r="A3052" s="2">
        <v>46090.474305555603</v>
      </c>
      <c r="B3052">
        <v>2026000313</v>
      </c>
      <c r="C3052" t="s">
        <v>2550</v>
      </c>
      <c r="D3052" s="11">
        <v>4730000</v>
      </c>
      <c r="E3052">
        <v>1005829176</v>
      </c>
      <c r="F3052" t="s">
        <v>1902</v>
      </c>
      <c r="G3052" t="s">
        <v>1755</v>
      </c>
    </row>
    <row r="3053" spans="1:7" ht="15" customHeight="1" x14ac:dyDescent="0.25">
      <c r="A3053" s="2">
        <v>46090.475694444402</v>
      </c>
      <c r="B3053">
        <v>2026000314</v>
      </c>
      <c r="C3053" t="s">
        <v>2551</v>
      </c>
      <c r="D3053" s="11">
        <v>3150000</v>
      </c>
      <c r="E3053">
        <v>1005977438</v>
      </c>
      <c r="F3053" t="s">
        <v>1994</v>
      </c>
      <c r="G3053" t="s">
        <v>1755</v>
      </c>
    </row>
    <row r="3054" spans="1:7" ht="15" customHeight="1" x14ac:dyDescent="0.25">
      <c r="A3054" s="2">
        <v>46090.4777777778</v>
      </c>
      <c r="B3054">
        <v>2026000315</v>
      </c>
      <c r="C3054" t="s">
        <v>2552</v>
      </c>
      <c r="D3054" s="11">
        <v>3150000</v>
      </c>
      <c r="E3054">
        <v>5930737</v>
      </c>
      <c r="F3054" t="s">
        <v>213</v>
      </c>
      <c r="G3054" t="s">
        <v>1755</v>
      </c>
    </row>
    <row r="3055" spans="1:7" ht="15" customHeight="1" x14ac:dyDescent="0.25">
      <c r="A3055" s="2">
        <v>46091.308333333298</v>
      </c>
      <c r="B3055">
        <v>2026000323</v>
      </c>
      <c r="C3055" t="s">
        <v>2553</v>
      </c>
      <c r="D3055" s="11">
        <v>3150000</v>
      </c>
      <c r="E3055">
        <v>1085275473</v>
      </c>
      <c r="F3055" t="s">
        <v>693</v>
      </c>
      <c r="G3055" t="s">
        <v>1755</v>
      </c>
    </row>
    <row r="3056" spans="1:7" ht="15" customHeight="1" x14ac:dyDescent="0.25">
      <c r="A3056" s="2">
        <v>46091.327777777798</v>
      </c>
      <c r="B3056">
        <v>2026000324</v>
      </c>
      <c r="C3056" t="s">
        <v>2554</v>
      </c>
      <c r="D3056" s="11">
        <v>7800000</v>
      </c>
      <c r="E3056">
        <v>1061794455</v>
      </c>
      <c r="F3056" t="s">
        <v>2154</v>
      </c>
      <c r="G3056" t="s">
        <v>1755</v>
      </c>
    </row>
    <row r="3057" spans="1:7" ht="15" customHeight="1" x14ac:dyDescent="0.25">
      <c r="A3057" s="2">
        <v>46091.334027777797</v>
      </c>
      <c r="B3057">
        <v>2026000325</v>
      </c>
      <c r="C3057" t="s">
        <v>2555</v>
      </c>
      <c r="D3057" s="11">
        <v>3150000</v>
      </c>
      <c r="E3057">
        <v>1087006717</v>
      </c>
      <c r="F3057" t="s">
        <v>1163</v>
      </c>
      <c r="G3057" t="s">
        <v>1755</v>
      </c>
    </row>
    <row r="3058" spans="1:7" ht="15" customHeight="1" x14ac:dyDescent="0.25">
      <c r="A3058" s="2">
        <v>46091.338194444397</v>
      </c>
      <c r="B3058">
        <v>2026000326</v>
      </c>
      <c r="C3058" t="s">
        <v>2556</v>
      </c>
      <c r="D3058" s="11">
        <v>3150000</v>
      </c>
      <c r="E3058">
        <v>69028150</v>
      </c>
      <c r="F3058" t="s">
        <v>171</v>
      </c>
      <c r="G3058" t="s">
        <v>1755</v>
      </c>
    </row>
    <row r="3059" spans="1:7" ht="15" customHeight="1" x14ac:dyDescent="0.25">
      <c r="A3059" s="2">
        <v>46091.340277777803</v>
      </c>
      <c r="B3059">
        <v>2026000327</v>
      </c>
      <c r="C3059" t="s">
        <v>2557</v>
      </c>
      <c r="D3059" s="11">
        <v>3150000</v>
      </c>
      <c r="E3059">
        <v>1137089268</v>
      </c>
      <c r="F3059" t="s">
        <v>2160</v>
      </c>
      <c r="G3059" t="s">
        <v>1755</v>
      </c>
    </row>
    <row r="3060" spans="1:7" ht="15" customHeight="1" x14ac:dyDescent="0.25">
      <c r="A3060" s="2">
        <v>46091.370138888902</v>
      </c>
      <c r="B3060">
        <v>2026000330</v>
      </c>
      <c r="C3060" t="s">
        <v>2558</v>
      </c>
      <c r="D3060" s="11">
        <v>6300000</v>
      </c>
      <c r="E3060">
        <v>1086132023</v>
      </c>
      <c r="F3060" t="s">
        <v>2559</v>
      </c>
      <c r="G3060" t="s">
        <v>1755</v>
      </c>
    </row>
    <row r="3061" spans="1:7" ht="15" customHeight="1" x14ac:dyDescent="0.25">
      <c r="A3061" s="2">
        <v>46091.4194444444</v>
      </c>
      <c r="B3061">
        <v>2026000351</v>
      </c>
      <c r="C3061" t="s">
        <v>2560</v>
      </c>
      <c r="D3061" s="11">
        <v>6300000</v>
      </c>
      <c r="E3061">
        <v>27146489</v>
      </c>
      <c r="F3061" t="s">
        <v>1102</v>
      </c>
      <c r="G3061" t="s">
        <v>1755</v>
      </c>
    </row>
    <row r="3062" spans="1:7" ht="15" customHeight="1" x14ac:dyDescent="0.25">
      <c r="A3062" s="2">
        <v>46091.422222222202</v>
      </c>
      <c r="B3062">
        <v>2026000353</v>
      </c>
      <c r="C3062" t="s">
        <v>2561</v>
      </c>
      <c r="D3062" s="11">
        <v>6300000</v>
      </c>
      <c r="E3062">
        <v>1085299577</v>
      </c>
      <c r="F3062" t="s">
        <v>1182</v>
      </c>
      <c r="G3062" t="s">
        <v>1755</v>
      </c>
    </row>
    <row r="3063" spans="1:7" ht="15" customHeight="1" x14ac:dyDescent="0.25">
      <c r="A3063" s="2">
        <v>46091.423611111102</v>
      </c>
      <c r="B3063">
        <v>2026000354</v>
      </c>
      <c r="C3063" t="s">
        <v>2562</v>
      </c>
      <c r="D3063" s="11">
        <v>3150000</v>
      </c>
      <c r="E3063">
        <v>1085315013</v>
      </c>
      <c r="F3063" t="s">
        <v>1158</v>
      </c>
      <c r="G3063" t="s">
        <v>1755</v>
      </c>
    </row>
    <row r="3064" spans="1:7" ht="15" customHeight="1" x14ac:dyDescent="0.25">
      <c r="A3064" s="2">
        <v>46091.426388888904</v>
      </c>
      <c r="B3064">
        <v>2026000356</v>
      </c>
      <c r="C3064" t="s">
        <v>2563</v>
      </c>
      <c r="D3064" s="11">
        <v>3150000</v>
      </c>
      <c r="E3064">
        <v>1081572042</v>
      </c>
      <c r="F3064" t="s">
        <v>2282</v>
      </c>
      <c r="G3064" t="s">
        <v>1755</v>
      </c>
    </row>
    <row r="3065" spans="1:7" ht="15" customHeight="1" x14ac:dyDescent="0.25">
      <c r="A3065" s="2">
        <v>46091.496527777803</v>
      </c>
      <c r="B3065">
        <v>2026000375</v>
      </c>
      <c r="C3065" t="s">
        <v>2451</v>
      </c>
      <c r="D3065" s="11">
        <v>1576000</v>
      </c>
      <c r="E3065">
        <v>12754447</v>
      </c>
      <c r="F3065" t="s">
        <v>2453</v>
      </c>
      <c r="G3065" t="s">
        <v>1755</v>
      </c>
    </row>
    <row r="3066" spans="1:7" ht="15" customHeight="1" x14ac:dyDescent="0.25">
      <c r="A3066" s="2">
        <v>46092.345138888901</v>
      </c>
      <c r="B3066">
        <v>2026000391</v>
      </c>
      <c r="C3066" t="s">
        <v>2564</v>
      </c>
      <c r="D3066" s="11">
        <v>7800000</v>
      </c>
      <c r="E3066">
        <v>1085344910</v>
      </c>
      <c r="F3066" t="s">
        <v>2565</v>
      </c>
      <c r="G3066" t="s">
        <v>1755</v>
      </c>
    </row>
    <row r="3067" spans="1:7" ht="15" customHeight="1" x14ac:dyDescent="0.25">
      <c r="A3067" s="2">
        <v>46092.436111111099</v>
      </c>
      <c r="B3067">
        <v>2026000395</v>
      </c>
      <c r="C3067" t="s">
        <v>2566</v>
      </c>
      <c r="D3067" s="11">
        <v>4730000</v>
      </c>
      <c r="E3067">
        <v>59651018</v>
      </c>
      <c r="F3067" t="s">
        <v>493</v>
      </c>
      <c r="G3067" t="s">
        <v>1755</v>
      </c>
    </row>
    <row r="3068" spans="1:7" ht="15" customHeight="1" x14ac:dyDescent="0.25">
      <c r="A3068" s="2">
        <v>46092.439583333296</v>
      </c>
      <c r="B3068">
        <v>2026000396</v>
      </c>
      <c r="C3068" t="s">
        <v>2567</v>
      </c>
      <c r="D3068" s="11">
        <v>6300000</v>
      </c>
      <c r="E3068">
        <v>1085277976</v>
      </c>
      <c r="F3068" t="s">
        <v>1084</v>
      </c>
      <c r="G3068" t="s">
        <v>1755</v>
      </c>
    </row>
    <row r="3069" spans="1:7" ht="15" customHeight="1" x14ac:dyDescent="0.25">
      <c r="A3069" s="2">
        <v>46092.453472222202</v>
      </c>
      <c r="B3069">
        <v>2026000399</v>
      </c>
      <c r="C3069" t="s">
        <v>2568</v>
      </c>
      <c r="D3069" s="11">
        <v>3150000</v>
      </c>
      <c r="E3069">
        <v>1085315209</v>
      </c>
      <c r="F3069" t="s">
        <v>701</v>
      </c>
      <c r="G3069" t="s">
        <v>1755</v>
      </c>
    </row>
    <row r="3070" spans="1:7" ht="15" customHeight="1" x14ac:dyDescent="0.25">
      <c r="A3070" s="2">
        <v>46092.460416666698</v>
      </c>
      <c r="B3070">
        <v>2026000403</v>
      </c>
      <c r="C3070" t="s">
        <v>2569</v>
      </c>
      <c r="D3070" s="11">
        <v>7800000</v>
      </c>
      <c r="E3070">
        <v>1193202097</v>
      </c>
      <c r="F3070" t="s">
        <v>163</v>
      </c>
      <c r="G3070" t="s">
        <v>1755</v>
      </c>
    </row>
    <row r="3071" spans="1:7" ht="15" customHeight="1" x14ac:dyDescent="0.25">
      <c r="A3071" s="2">
        <v>46092.46875</v>
      </c>
      <c r="B3071">
        <v>2026000408</v>
      </c>
      <c r="C3071" t="s">
        <v>2571</v>
      </c>
      <c r="D3071" s="11">
        <v>3150000</v>
      </c>
      <c r="E3071">
        <v>1085275400</v>
      </c>
      <c r="F3071" t="s">
        <v>2172</v>
      </c>
      <c r="G3071" t="s">
        <v>1755</v>
      </c>
    </row>
    <row r="3072" spans="1:7" ht="15" customHeight="1" x14ac:dyDescent="0.25">
      <c r="A3072" s="2">
        <v>46092.476388888899</v>
      </c>
      <c r="B3072">
        <v>2026000410</v>
      </c>
      <c r="C3072" t="s">
        <v>2572</v>
      </c>
      <c r="D3072" s="11">
        <v>3150000</v>
      </c>
      <c r="E3072">
        <v>1004592366</v>
      </c>
      <c r="F3072" t="s">
        <v>123</v>
      </c>
      <c r="G3072" t="s">
        <v>1755</v>
      </c>
    </row>
    <row r="3073" spans="1:7" ht="15" customHeight="1" x14ac:dyDescent="0.25">
      <c r="A3073" s="2">
        <v>46092.479166666701</v>
      </c>
      <c r="B3073">
        <v>2026000411</v>
      </c>
      <c r="C3073" t="s">
        <v>2573</v>
      </c>
      <c r="D3073" s="11">
        <v>3150000</v>
      </c>
      <c r="E3073">
        <v>1088216350</v>
      </c>
      <c r="F3073" t="s">
        <v>2368</v>
      </c>
      <c r="G3073" t="s">
        <v>1755</v>
      </c>
    </row>
    <row r="3074" spans="1:7" ht="15" customHeight="1" x14ac:dyDescent="0.25">
      <c r="A3074" s="2">
        <v>46092.481249999997</v>
      </c>
      <c r="B3074">
        <v>2026000412</v>
      </c>
      <c r="C3074" t="s">
        <v>2574</v>
      </c>
      <c r="D3074" s="11">
        <v>2000000</v>
      </c>
      <c r="E3074">
        <v>27082650</v>
      </c>
      <c r="F3074" t="s">
        <v>2231</v>
      </c>
      <c r="G3074" t="s">
        <v>1755</v>
      </c>
    </row>
    <row r="3075" spans="1:7" ht="15" customHeight="1" x14ac:dyDescent="0.25">
      <c r="A3075" s="2">
        <v>46092.483333333301</v>
      </c>
      <c r="B3075">
        <v>2026000413</v>
      </c>
      <c r="C3075" t="s">
        <v>2575</v>
      </c>
      <c r="D3075" s="11">
        <v>2000000</v>
      </c>
      <c r="E3075">
        <v>1085327836</v>
      </c>
      <c r="F3075" t="s">
        <v>283</v>
      </c>
      <c r="G3075" t="s">
        <v>1755</v>
      </c>
    </row>
    <row r="3076" spans="1:7" ht="15" customHeight="1" x14ac:dyDescent="0.25">
      <c r="A3076" s="2">
        <v>46092.4868055556</v>
      </c>
      <c r="B3076">
        <v>2026000414</v>
      </c>
      <c r="C3076" t="s">
        <v>2576</v>
      </c>
      <c r="D3076" s="11">
        <v>6300000</v>
      </c>
      <c r="E3076">
        <v>1004213964</v>
      </c>
      <c r="F3076" t="s">
        <v>113</v>
      </c>
      <c r="G3076" t="s">
        <v>1755</v>
      </c>
    </row>
    <row r="3077" spans="1:7" ht="15" customHeight="1" x14ac:dyDescent="0.25">
      <c r="A3077" s="2">
        <v>46093.451388888898</v>
      </c>
      <c r="B3077">
        <v>2026000406</v>
      </c>
      <c r="C3077" t="s">
        <v>2570</v>
      </c>
      <c r="D3077" s="11">
        <v>3150000</v>
      </c>
      <c r="E3077">
        <v>1085246674</v>
      </c>
      <c r="F3077" t="s">
        <v>2347</v>
      </c>
      <c r="G3077" t="s">
        <v>1755</v>
      </c>
    </row>
    <row r="3078" spans="1:7" ht="15" customHeight="1" x14ac:dyDescent="0.25">
      <c r="A3078" s="2">
        <v>46094.375694444403</v>
      </c>
      <c r="B3078">
        <v>2026000436</v>
      </c>
      <c r="C3078" t="s">
        <v>2146</v>
      </c>
      <c r="D3078" s="11">
        <v>1419000</v>
      </c>
      <c r="E3078">
        <v>1088730615</v>
      </c>
      <c r="F3078" t="s">
        <v>2148</v>
      </c>
      <c r="G3078" t="s">
        <v>1755</v>
      </c>
    </row>
    <row r="3079" spans="1:7" ht="15" customHeight="1" x14ac:dyDescent="0.25">
      <c r="A3079" s="2">
        <v>46094.411805555603</v>
      </c>
      <c r="B3079">
        <v>2026000437</v>
      </c>
      <c r="C3079" t="s">
        <v>2577</v>
      </c>
      <c r="D3079" s="11">
        <v>3150000</v>
      </c>
      <c r="E3079">
        <v>1085281002</v>
      </c>
      <c r="F3079" t="s">
        <v>2409</v>
      </c>
      <c r="G3079" t="s">
        <v>1755</v>
      </c>
    </row>
    <row r="3080" spans="1:7" ht="15" customHeight="1" x14ac:dyDescent="0.25">
      <c r="A3080" s="2">
        <v>46094.421527777798</v>
      </c>
      <c r="B3080">
        <v>2026000438</v>
      </c>
      <c r="C3080" t="s">
        <v>2578</v>
      </c>
      <c r="D3080" s="11">
        <v>1260000</v>
      </c>
      <c r="E3080">
        <v>30743783</v>
      </c>
      <c r="F3080" t="s">
        <v>504</v>
      </c>
      <c r="G3080" t="s">
        <v>1755</v>
      </c>
    </row>
    <row r="3081" spans="1:7" ht="15" customHeight="1" x14ac:dyDescent="0.25">
      <c r="A3081" s="2">
        <v>46094.639583333301</v>
      </c>
      <c r="B3081">
        <v>2026000440</v>
      </c>
      <c r="C3081" t="s">
        <v>2579</v>
      </c>
      <c r="D3081" s="11">
        <v>2000000</v>
      </c>
      <c r="E3081">
        <v>12990231</v>
      </c>
      <c r="F3081" t="s">
        <v>1020</v>
      </c>
      <c r="G3081" t="s">
        <v>1755</v>
      </c>
    </row>
    <row r="3082" spans="1:7" ht="15" customHeight="1" x14ac:dyDescent="0.25">
      <c r="A3082" s="2">
        <v>46094.65</v>
      </c>
      <c r="B3082">
        <v>2026000442</v>
      </c>
      <c r="C3082" t="s">
        <v>2580</v>
      </c>
      <c r="D3082" s="11">
        <v>3150000</v>
      </c>
      <c r="E3082">
        <v>1085324685</v>
      </c>
      <c r="F3082" t="s">
        <v>779</v>
      </c>
      <c r="G3082" t="s">
        <v>1755</v>
      </c>
    </row>
    <row r="3083" spans="1:7" ht="15" customHeight="1" x14ac:dyDescent="0.25">
      <c r="A3083" s="2">
        <v>46094.653472222199</v>
      </c>
      <c r="B3083">
        <v>2026000443</v>
      </c>
      <c r="C3083" t="s">
        <v>2581</v>
      </c>
      <c r="D3083" s="11">
        <v>6300000</v>
      </c>
      <c r="E3083">
        <v>1010010954</v>
      </c>
      <c r="F3083" t="s">
        <v>337</v>
      </c>
      <c r="G3083" t="s">
        <v>1755</v>
      </c>
    </row>
    <row r="3084" spans="1:7" ht="15" customHeight="1" x14ac:dyDescent="0.25">
      <c r="A3084" s="2">
        <v>46094.65625</v>
      </c>
      <c r="B3084">
        <v>2026000444</v>
      </c>
      <c r="C3084" t="s">
        <v>2582</v>
      </c>
      <c r="D3084" s="11">
        <v>3150000</v>
      </c>
      <c r="E3084">
        <v>1085346528</v>
      </c>
      <c r="F3084" t="s">
        <v>1056</v>
      </c>
      <c r="G3084" t="s">
        <v>1755</v>
      </c>
    </row>
    <row r="3085" spans="1:7" ht="15" customHeight="1" x14ac:dyDescent="0.25">
      <c r="A3085" s="2">
        <v>46094.660416666702</v>
      </c>
      <c r="B3085">
        <v>2026000445</v>
      </c>
      <c r="C3085" t="s">
        <v>2583</v>
      </c>
      <c r="D3085" s="11">
        <v>4730000</v>
      </c>
      <c r="E3085">
        <v>1085330309</v>
      </c>
      <c r="F3085" t="s">
        <v>249</v>
      </c>
      <c r="G3085" t="s">
        <v>1755</v>
      </c>
    </row>
    <row r="3086" spans="1:7" ht="15" customHeight="1" x14ac:dyDescent="0.25">
      <c r="A3086" s="2">
        <v>46094.661805555603</v>
      </c>
      <c r="B3086">
        <v>2026000446</v>
      </c>
      <c r="C3086" t="s">
        <v>2584</v>
      </c>
      <c r="D3086" s="11">
        <v>6300000</v>
      </c>
      <c r="E3086">
        <v>36757221</v>
      </c>
      <c r="F3086" t="s">
        <v>453</v>
      </c>
      <c r="G3086" t="s">
        <v>1755</v>
      </c>
    </row>
    <row r="3087" spans="1:7" ht="15" customHeight="1" x14ac:dyDescent="0.25">
      <c r="A3087" s="22" t="s">
        <v>1307</v>
      </c>
      <c r="B3087" s="12" t="s">
        <v>1466</v>
      </c>
      <c r="C3087" s="12" t="s">
        <v>1156</v>
      </c>
      <c r="D3087" s="23">
        <v>3000000</v>
      </c>
      <c r="E3087" s="12">
        <v>1081272025</v>
      </c>
      <c r="F3087" s="12" t="s">
        <v>59</v>
      </c>
      <c r="G3087" t="s">
        <v>1094</v>
      </c>
    </row>
    <row r="3088" spans="1:7" ht="15" customHeight="1" x14ac:dyDescent="0.25">
      <c r="A3088" s="22" t="s">
        <v>1279</v>
      </c>
      <c r="B3088" s="12" t="s">
        <v>1327</v>
      </c>
      <c r="C3088" s="12" t="s">
        <v>1093</v>
      </c>
      <c r="D3088" s="23">
        <v>3000000</v>
      </c>
      <c r="E3088" s="12">
        <v>36753698</v>
      </c>
      <c r="F3088" s="12" t="s">
        <v>1588</v>
      </c>
      <c r="G3088" t="s">
        <v>1094</v>
      </c>
    </row>
    <row r="3089" spans="1:7" ht="15" customHeight="1" x14ac:dyDescent="0.25">
      <c r="A3089" s="22" t="s">
        <v>1281</v>
      </c>
      <c r="B3089" s="12" t="s">
        <v>1329</v>
      </c>
      <c r="C3089" s="12" t="s">
        <v>1096</v>
      </c>
      <c r="D3089" s="23">
        <v>4750000</v>
      </c>
      <c r="E3089" s="12">
        <v>1085330309</v>
      </c>
      <c r="F3089" s="12" t="s">
        <v>1590</v>
      </c>
      <c r="G3089" t="s">
        <v>1094</v>
      </c>
    </row>
    <row r="3090" spans="1:7" ht="15" customHeight="1" x14ac:dyDescent="0.25">
      <c r="A3090" s="22" t="s">
        <v>1280</v>
      </c>
      <c r="B3090" s="12" t="s">
        <v>1328</v>
      </c>
      <c r="C3090" s="12" t="s">
        <v>1095</v>
      </c>
      <c r="D3090" s="23">
        <v>4825000</v>
      </c>
      <c r="E3090" s="12">
        <v>1085324891</v>
      </c>
      <c r="F3090" s="12" t="s">
        <v>509</v>
      </c>
      <c r="G3090" t="s">
        <v>1094</v>
      </c>
    </row>
    <row r="3091" spans="1:7" ht="15" customHeight="1" x14ac:dyDescent="0.25">
      <c r="A3091" s="22" t="s">
        <v>1282</v>
      </c>
      <c r="B3091" s="12" t="s">
        <v>1330</v>
      </c>
      <c r="C3091" s="12" t="s">
        <v>1097</v>
      </c>
      <c r="D3091" s="23">
        <v>6000000</v>
      </c>
      <c r="E3091" s="12">
        <v>1085340697</v>
      </c>
      <c r="F3091" s="12" t="s">
        <v>1098</v>
      </c>
      <c r="G3091" t="s">
        <v>1094</v>
      </c>
    </row>
    <row r="3092" spans="1:7" ht="15" customHeight="1" x14ac:dyDescent="0.25">
      <c r="A3092" s="22" t="s">
        <v>1283</v>
      </c>
      <c r="B3092" s="12" t="s">
        <v>1331</v>
      </c>
      <c r="C3092" s="12" t="s">
        <v>1099</v>
      </c>
      <c r="D3092" s="23">
        <v>7500000</v>
      </c>
      <c r="E3092" s="12">
        <v>1085329980</v>
      </c>
      <c r="F3092" s="12" t="s">
        <v>1592</v>
      </c>
      <c r="G3092" t="s">
        <v>1094</v>
      </c>
    </row>
    <row r="3093" spans="1:7" ht="15" customHeight="1" x14ac:dyDescent="0.25">
      <c r="A3093" s="22" t="s">
        <v>1284</v>
      </c>
      <c r="B3093" s="12" t="s">
        <v>1332</v>
      </c>
      <c r="C3093" s="12" t="s">
        <v>1100</v>
      </c>
      <c r="D3093" s="23">
        <v>6000000</v>
      </c>
      <c r="E3093" s="12">
        <v>1085303585</v>
      </c>
      <c r="F3093" s="12" t="s">
        <v>1593</v>
      </c>
      <c r="G3093" t="s">
        <v>1094</v>
      </c>
    </row>
    <row r="3094" spans="1:7" ht="15" customHeight="1" x14ac:dyDescent="0.25">
      <c r="A3094" s="22" t="s">
        <v>1285</v>
      </c>
      <c r="B3094" s="12" t="s">
        <v>1333</v>
      </c>
      <c r="C3094" s="12" t="s">
        <v>1101</v>
      </c>
      <c r="D3094" s="23">
        <v>6000000</v>
      </c>
      <c r="E3094" s="12">
        <v>27146489</v>
      </c>
      <c r="F3094" s="12" t="s">
        <v>1595</v>
      </c>
      <c r="G3094" t="s">
        <v>1094</v>
      </c>
    </row>
    <row r="3095" spans="1:7" ht="15" customHeight="1" x14ac:dyDescent="0.25">
      <c r="A3095" s="22" t="s">
        <v>1285</v>
      </c>
      <c r="B3095" s="12" t="s">
        <v>1334</v>
      </c>
      <c r="C3095" s="12" t="s">
        <v>1103</v>
      </c>
      <c r="D3095" s="23">
        <v>4825000</v>
      </c>
      <c r="E3095" s="12">
        <v>1004508471</v>
      </c>
      <c r="F3095" s="12" t="s">
        <v>1596</v>
      </c>
      <c r="G3095" t="s">
        <v>1094</v>
      </c>
    </row>
    <row r="3096" spans="1:7" ht="15" customHeight="1" x14ac:dyDescent="0.25">
      <c r="A3096" s="22" t="s">
        <v>1285</v>
      </c>
      <c r="B3096" s="12" t="s">
        <v>1335</v>
      </c>
      <c r="C3096" s="12" t="s">
        <v>1104</v>
      </c>
      <c r="D3096" s="23">
        <v>2500000</v>
      </c>
      <c r="E3096" s="12">
        <v>1233189896</v>
      </c>
      <c r="F3096" s="12" t="s">
        <v>1597</v>
      </c>
      <c r="G3096" t="s">
        <v>1094</v>
      </c>
    </row>
    <row r="3097" spans="1:7" ht="15" customHeight="1" x14ac:dyDescent="0.25">
      <c r="A3097" s="22" t="s">
        <v>1286</v>
      </c>
      <c r="B3097" s="12" t="s">
        <v>1336</v>
      </c>
      <c r="C3097" s="12" t="s">
        <v>1105</v>
      </c>
      <c r="D3097" s="23">
        <v>36412170</v>
      </c>
      <c r="E3097" s="12">
        <v>900994364</v>
      </c>
      <c r="F3097" s="12" t="s">
        <v>1599</v>
      </c>
      <c r="G3097" t="s">
        <v>1094</v>
      </c>
    </row>
    <row r="3098" spans="1:7" ht="15" customHeight="1" x14ac:dyDescent="0.25">
      <c r="A3098" s="22" t="s">
        <v>1287</v>
      </c>
      <c r="B3098" s="12" t="s">
        <v>1337</v>
      </c>
      <c r="C3098" s="12" t="s">
        <v>1106</v>
      </c>
      <c r="D3098" s="23">
        <v>6000000</v>
      </c>
      <c r="E3098" s="12">
        <v>1085286476</v>
      </c>
      <c r="F3098" s="12" t="s">
        <v>385</v>
      </c>
      <c r="G3098" t="s">
        <v>1094</v>
      </c>
    </row>
    <row r="3099" spans="1:7" ht="15" customHeight="1" x14ac:dyDescent="0.25">
      <c r="A3099" s="22" t="s">
        <v>1287</v>
      </c>
      <c r="B3099" s="12" t="s">
        <v>1338</v>
      </c>
      <c r="C3099" s="12" t="s">
        <v>1107</v>
      </c>
      <c r="D3099" s="23">
        <v>3000000</v>
      </c>
      <c r="E3099" s="12">
        <v>69028150</v>
      </c>
      <c r="F3099" s="12" t="s">
        <v>171</v>
      </c>
      <c r="G3099" t="s">
        <v>1094</v>
      </c>
    </row>
    <row r="3100" spans="1:7" ht="15" customHeight="1" x14ac:dyDescent="0.25">
      <c r="A3100" s="22" t="s">
        <v>1287</v>
      </c>
      <c r="B3100" s="12" t="s">
        <v>1339</v>
      </c>
      <c r="C3100" s="12" t="s">
        <v>1108</v>
      </c>
      <c r="D3100" s="23">
        <v>7500000</v>
      </c>
      <c r="E3100" s="12">
        <v>80765093</v>
      </c>
      <c r="F3100" s="12" t="s">
        <v>1603</v>
      </c>
      <c r="G3100" t="s">
        <v>1094</v>
      </c>
    </row>
    <row r="3101" spans="1:7" ht="15" customHeight="1" x14ac:dyDescent="0.25">
      <c r="A3101" s="22" t="s">
        <v>1287</v>
      </c>
      <c r="B3101" s="12" t="s">
        <v>1340</v>
      </c>
      <c r="C3101" s="12" t="s">
        <v>1109</v>
      </c>
      <c r="D3101" s="23">
        <v>3000000</v>
      </c>
      <c r="E3101" s="12">
        <v>1081594639</v>
      </c>
      <c r="F3101" s="12" t="s">
        <v>1110</v>
      </c>
      <c r="G3101" t="s">
        <v>1094</v>
      </c>
    </row>
    <row r="3102" spans="1:7" ht="15" customHeight="1" x14ac:dyDescent="0.25">
      <c r="A3102" s="22" t="s">
        <v>1287</v>
      </c>
      <c r="B3102" s="12" t="s">
        <v>1341</v>
      </c>
      <c r="C3102" s="12" t="s">
        <v>1111</v>
      </c>
      <c r="D3102" s="23">
        <v>3000000</v>
      </c>
      <c r="E3102" s="12">
        <v>36752202</v>
      </c>
      <c r="F3102" s="12" t="s">
        <v>1606</v>
      </c>
      <c r="G3102" t="s">
        <v>1094</v>
      </c>
    </row>
    <row r="3103" spans="1:7" ht="15" customHeight="1" x14ac:dyDescent="0.25">
      <c r="A3103" s="22" t="s">
        <v>1288</v>
      </c>
      <c r="B3103" s="12" t="s">
        <v>1342</v>
      </c>
      <c r="C3103" s="12" t="s">
        <v>1112</v>
      </c>
      <c r="D3103" s="23">
        <v>4825000</v>
      </c>
      <c r="E3103" s="12">
        <v>1085338534</v>
      </c>
      <c r="F3103" s="12" t="s">
        <v>1607</v>
      </c>
      <c r="G3103" t="s">
        <v>1094</v>
      </c>
    </row>
    <row r="3104" spans="1:7" ht="15" customHeight="1" x14ac:dyDescent="0.25">
      <c r="A3104" s="22" t="s">
        <v>1288</v>
      </c>
      <c r="B3104" s="12" t="s">
        <v>1343</v>
      </c>
      <c r="C3104" s="12" t="s">
        <v>1113</v>
      </c>
      <c r="D3104" s="23">
        <v>3000000</v>
      </c>
      <c r="E3104" s="12">
        <v>1086222689</v>
      </c>
      <c r="F3104" s="12" t="s">
        <v>1114</v>
      </c>
      <c r="G3104" t="s">
        <v>1094</v>
      </c>
    </row>
    <row r="3105" spans="1:7" ht="15" customHeight="1" x14ac:dyDescent="0.25">
      <c r="A3105" s="22" t="s">
        <v>1288</v>
      </c>
      <c r="B3105" s="12" t="s">
        <v>1344</v>
      </c>
      <c r="C3105" s="12" t="s">
        <v>1115</v>
      </c>
      <c r="D3105" s="23">
        <v>3000000</v>
      </c>
      <c r="E3105" s="12">
        <v>1193271854</v>
      </c>
      <c r="F3105" s="12" t="s">
        <v>229</v>
      </c>
      <c r="G3105" t="s">
        <v>1094</v>
      </c>
    </row>
    <row r="3106" spans="1:7" ht="15" customHeight="1" x14ac:dyDescent="0.25">
      <c r="A3106" s="22" t="s">
        <v>1288</v>
      </c>
      <c r="B3106" s="12" t="s">
        <v>1345</v>
      </c>
      <c r="C3106" s="12" t="s">
        <v>1116</v>
      </c>
      <c r="D3106" s="23">
        <v>4750000</v>
      </c>
      <c r="E3106" s="12">
        <v>59651018</v>
      </c>
      <c r="F3106" s="12" t="s">
        <v>1611</v>
      </c>
      <c r="G3106" t="s">
        <v>1094</v>
      </c>
    </row>
    <row r="3107" spans="1:7" ht="15" customHeight="1" x14ac:dyDescent="0.25">
      <c r="A3107" s="22" t="s">
        <v>1288</v>
      </c>
      <c r="B3107" s="12" t="s">
        <v>1346</v>
      </c>
      <c r="C3107" s="12" t="s">
        <v>1117</v>
      </c>
      <c r="D3107" s="23">
        <v>3000000</v>
      </c>
      <c r="E3107" s="12">
        <v>1081592303</v>
      </c>
      <c r="F3107" s="12" t="s">
        <v>1613</v>
      </c>
      <c r="G3107" t="s">
        <v>1094</v>
      </c>
    </row>
    <row r="3108" spans="1:7" ht="15" customHeight="1" x14ac:dyDescent="0.25">
      <c r="A3108" s="22" t="s">
        <v>1289</v>
      </c>
      <c r="B3108" s="12" t="s">
        <v>1357</v>
      </c>
      <c r="C3108" s="12" t="s">
        <v>1128</v>
      </c>
      <c r="D3108" s="23">
        <v>3000000</v>
      </c>
      <c r="E3108" s="12">
        <v>1137624011</v>
      </c>
      <c r="F3108" s="12" t="s">
        <v>1627</v>
      </c>
      <c r="G3108" t="s">
        <v>1094</v>
      </c>
    </row>
    <row r="3109" spans="1:7" ht="15" customHeight="1" x14ac:dyDescent="0.25">
      <c r="A3109" s="22" t="s">
        <v>1289</v>
      </c>
      <c r="B3109" s="12" t="s">
        <v>1347</v>
      </c>
      <c r="C3109" s="12" t="s">
        <v>1118</v>
      </c>
      <c r="D3109" s="23">
        <v>4750000</v>
      </c>
      <c r="E3109" s="12">
        <v>1085343783</v>
      </c>
      <c r="F3109" s="12" t="s">
        <v>735</v>
      </c>
      <c r="G3109" t="s">
        <v>1094</v>
      </c>
    </row>
    <row r="3110" spans="1:7" ht="15" customHeight="1" x14ac:dyDescent="0.25">
      <c r="A3110" s="22" t="s">
        <v>1289</v>
      </c>
      <c r="B3110" s="12" t="s">
        <v>1348</v>
      </c>
      <c r="C3110" s="12" t="s">
        <v>1119</v>
      </c>
      <c r="D3110" s="23">
        <v>4750000</v>
      </c>
      <c r="E3110" s="12">
        <v>1085345772</v>
      </c>
      <c r="F3110" s="12" t="s">
        <v>1615</v>
      </c>
      <c r="G3110" t="s">
        <v>1094</v>
      </c>
    </row>
    <row r="3111" spans="1:7" ht="15" customHeight="1" x14ac:dyDescent="0.25">
      <c r="A3111" s="22" t="s">
        <v>1289</v>
      </c>
      <c r="B3111" s="12" t="s">
        <v>1349</v>
      </c>
      <c r="C3111" s="12" t="s">
        <v>1120</v>
      </c>
      <c r="D3111" s="23">
        <v>3000000</v>
      </c>
      <c r="E3111" s="12">
        <v>1233189234</v>
      </c>
      <c r="F3111" s="12" t="s">
        <v>87</v>
      </c>
      <c r="G3111" t="s">
        <v>1094</v>
      </c>
    </row>
    <row r="3112" spans="1:7" ht="15" customHeight="1" x14ac:dyDescent="0.25">
      <c r="A3112" s="22" t="s">
        <v>1289</v>
      </c>
      <c r="B3112" s="12" t="s">
        <v>1358</v>
      </c>
      <c r="C3112" s="12" t="s">
        <v>1129</v>
      </c>
      <c r="D3112" s="23">
        <v>4750000</v>
      </c>
      <c r="E3112" s="12">
        <v>36759759</v>
      </c>
      <c r="F3112" s="12" t="s">
        <v>705</v>
      </c>
      <c r="G3112" t="s">
        <v>1094</v>
      </c>
    </row>
    <row r="3113" spans="1:7" ht="15" customHeight="1" x14ac:dyDescent="0.25">
      <c r="A3113" s="22" t="s">
        <v>1289</v>
      </c>
      <c r="B3113" s="12" t="s">
        <v>1350</v>
      </c>
      <c r="C3113" s="12" t="s">
        <v>1121</v>
      </c>
      <c r="D3113" s="23">
        <v>3000000</v>
      </c>
      <c r="E3113" s="12">
        <v>59310524</v>
      </c>
      <c r="F3113" s="12" t="s">
        <v>992</v>
      </c>
      <c r="G3113" t="s">
        <v>1094</v>
      </c>
    </row>
    <row r="3114" spans="1:7" ht="15" customHeight="1" x14ac:dyDescent="0.25">
      <c r="A3114" s="22" t="s">
        <v>1289</v>
      </c>
      <c r="B3114" s="12" t="s">
        <v>1351</v>
      </c>
      <c r="C3114" s="12" t="s">
        <v>1122</v>
      </c>
      <c r="D3114" s="23">
        <v>4825000</v>
      </c>
      <c r="E3114" s="12">
        <v>1085321578</v>
      </c>
      <c r="F3114" s="12" t="s">
        <v>1618</v>
      </c>
      <c r="G3114" t="s">
        <v>1094</v>
      </c>
    </row>
    <row r="3115" spans="1:7" ht="15" customHeight="1" x14ac:dyDescent="0.25">
      <c r="A3115" s="22" t="s">
        <v>1290</v>
      </c>
      <c r="B3115" s="12" t="s">
        <v>1352</v>
      </c>
      <c r="C3115" s="12" t="s">
        <v>1123</v>
      </c>
      <c r="D3115" s="23">
        <v>7500000</v>
      </c>
      <c r="E3115" s="12">
        <v>1085293105</v>
      </c>
      <c r="F3115" s="12" t="s">
        <v>745</v>
      </c>
      <c r="G3115" t="s">
        <v>1094</v>
      </c>
    </row>
    <row r="3116" spans="1:7" ht="15" customHeight="1" x14ac:dyDescent="0.25">
      <c r="A3116" s="22" t="s">
        <v>1290</v>
      </c>
      <c r="B3116" s="12" t="s">
        <v>1353</v>
      </c>
      <c r="C3116" s="12" t="s">
        <v>1124</v>
      </c>
      <c r="D3116" s="23">
        <v>7500000</v>
      </c>
      <c r="E3116" s="12">
        <v>1085336362</v>
      </c>
      <c r="F3116" s="12" t="s">
        <v>1621</v>
      </c>
      <c r="G3116" t="s">
        <v>1094</v>
      </c>
    </row>
    <row r="3117" spans="1:7" ht="15" customHeight="1" x14ac:dyDescent="0.25">
      <c r="A3117" s="22" t="s">
        <v>1290</v>
      </c>
      <c r="B3117" s="12" t="s">
        <v>1354</v>
      </c>
      <c r="C3117" s="12" t="s">
        <v>1125</v>
      </c>
      <c r="D3117" s="23">
        <v>7500000</v>
      </c>
      <c r="E3117" s="12">
        <v>1006946167</v>
      </c>
      <c r="F3117" s="12" t="s">
        <v>1623</v>
      </c>
      <c r="G3117" t="s">
        <v>1094</v>
      </c>
    </row>
    <row r="3118" spans="1:7" ht="15" customHeight="1" x14ac:dyDescent="0.25">
      <c r="A3118" s="22" t="s">
        <v>1290</v>
      </c>
      <c r="B3118" s="12" t="s">
        <v>1355</v>
      </c>
      <c r="C3118" s="12" t="s">
        <v>1126</v>
      </c>
      <c r="D3118" s="23">
        <v>3000000</v>
      </c>
      <c r="E3118" s="12">
        <v>1085317833</v>
      </c>
      <c r="F3118" s="12" t="s">
        <v>11</v>
      </c>
      <c r="G3118" t="s">
        <v>1094</v>
      </c>
    </row>
    <row r="3119" spans="1:7" ht="15" customHeight="1" x14ac:dyDescent="0.25">
      <c r="A3119" s="22" t="s">
        <v>1292</v>
      </c>
      <c r="B3119" s="12" t="s">
        <v>1359</v>
      </c>
      <c r="C3119" s="12" t="s">
        <v>1130</v>
      </c>
      <c r="D3119" s="23">
        <v>6000000</v>
      </c>
      <c r="E3119" s="12">
        <v>1085283868</v>
      </c>
      <c r="F3119" s="12" t="s">
        <v>1630</v>
      </c>
      <c r="G3119" t="s">
        <v>1094</v>
      </c>
    </row>
    <row r="3120" spans="1:7" ht="15" customHeight="1" x14ac:dyDescent="0.25">
      <c r="A3120" s="22" t="s">
        <v>1292</v>
      </c>
      <c r="B3120" s="12" t="s">
        <v>1360</v>
      </c>
      <c r="C3120" s="12" t="s">
        <v>1132</v>
      </c>
      <c r="D3120" s="23">
        <v>3000000</v>
      </c>
      <c r="E3120" s="12">
        <v>98382500</v>
      </c>
      <c r="F3120" s="12" t="s">
        <v>183</v>
      </c>
      <c r="G3120" t="s">
        <v>1094</v>
      </c>
    </row>
    <row r="3121" spans="1:7" ht="15" customHeight="1" x14ac:dyDescent="0.25">
      <c r="A3121" s="22" t="s">
        <v>1292</v>
      </c>
      <c r="B3121" s="12" t="s">
        <v>1361</v>
      </c>
      <c r="C3121" s="12" t="s">
        <v>1133</v>
      </c>
      <c r="D3121" s="23">
        <v>3000000</v>
      </c>
      <c r="E3121" s="12">
        <v>59834953</v>
      </c>
      <c r="F3121" s="12" t="s">
        <v>1633</v>
      </c>
      <c r="G3121" t="s">
        <v>1094</v>
      </c>
    </row>
    <row r="3122" spans="1:7" ht="15" customHeight="1" x14ac:dyDescent="0.25">
      <c r="A3122" s="22" t="s">
        <v>1292</v>
      </c>
      <c r="B3122" s="12" t="s">
        <v>1362</v>
      </c>
      <c r="C3122" s="12" t="s">
        <v>1134</v>
      </c>
      <c r="D3122" s="23">
        <v>3000000</v>
      </c>
      <c r="E3122" s="12">
        <v>1010082397</v>
      </c>
      <c r="F3122" s="12" t="s">
        <v>209</v>
      </c>
      <c r="G3122" t="s">
        <v>1094</v>
      </c>
    </row>
    <row r="3123" spans="1:7" ht="15" customHeight="1" x14ac:dyDescent="0.25">
      <c r="A3123" s="22" t="s">
        <v>1292</v>
      </c>
      <c r="B3123" s="12" t="s">
        <v>1363</v>
      </c>
      <c r="C3123" s="12" t="s">
        <v>1135</v>
      </c>
      <c r="D3123" s="23">
        <v>3000000</v>
      </c>
      <c r="E3123" s="12">
        <v>36954407</v>
      </c>
      <c r="F3123" s="12" t="s">
        <v>679</v>
      </c>
      <c r="G3123" t="s">
        <v>1094</v>
      </c>
    </row>
    <row r="3124" spans="1:7" ht="15" customHeight="1" x14ac:dyDescent="0.25">
      <c r="A3124" s="22" t="s">
        <v>1292</v>
      </c>
      <c r="B3124" s="12" t="s">
        <v>1364</v>
      </c>
      <c r="C3124" s="12" t="s">
        <v>1136</v>
      </c>
      <c r="D3124" s="23">
        <v>4825000</v>
      </c>
      <c r="E3124" s="12">
        <v>1080900817</v>
      </c>
      <c r="F3124" s="12" t="s">
        <v>1016</v>
      </c>
      <c r="G3124" t="s">
        <v>1094</v>
      </c>
    </row>
    <row r="3125" spans="1:7" ht="15" customHeight="1" x14ac:dyDescent="0.25">
      <c r="A3125" s="22" t="s">
        <v>1292</v>
      </c>
      <c r="B3125" s="12" t="s">
        <v>1365</v>
      </c>
      <c r="C3125" s="12" t="s">
        <v>1137</v>
      </c>
      <c r="D3125" s="23">
        <v>6000000</v>
      </c>
      <c r="E3125" s="12">
        <v>59837608</v>
      </c>
      <c r="F3125" s="12" t="s">
        <v>145</v>
      </c>
      <c r="G3125" t="s">
        <v>1094</v>
      </c>
    </row>
    <row r="3126" spans="1:7" ht="15" customHeight="1" x14ac:dyDescent="0.25">
      <c r="A3126" s="22" t="s">
        <v>1292</v>
      </c>
      <c r="B3126" s="12" t="s">
        <v>1366</v>
      </c>
      <c r="C3126" s="12" t="s">
        <v>1138</v>
      </c>
      <c r="D3126" s="23">
        <v>4825000</v>
      </c>
      <c r="E3126" s="12">
        <v>1085269530</v>
      </c>
      <c r="F3126" s="12" t="s">
        <v>1636</v>
      </c>
      <c r="G3126" t="s">
        <v>1094</v>
      </c>
    </row>
    <row r="3127" spans="1:7" ht="15" customHeight="1" x14ac:dyDescent="0.25">
      <c r="A3127" s="22" t="s">
        <v>1292</v>
      </c>
      <c r="B3127" s="12" t="s">
        <v>1367</v>
      </c>
      <c r="C3127" s="12" t="s">
        <v>1139</v>
      </c>
      <c r="D3127" s="23">
        <v>3000000</v>
      </c>
      <c r="E3127" s="12">
        <v>1085255829</v>
      </c>
      <c r="F3127" s="12" t="s">
        <v>1638</v>
      </c>
      <c r="G3127" t="s">
        <v>1094</v>
      </c>
    </row>
    <row r="3128" spans="1:7" ht="15" customHeight="1" x14ac:dyDescent="0.25">
      <c r="A3128" s="22" t="s">
        <v>1292</v>
      </c>
      <c r="B3128" s="12" t="s">
        <v>1368</v>
      </c>
      <c r="C3128" s="12" t="s">
        <v>1140</v>
      </c>
      <c r="D3128" s="23">
        <v>3000000</v>
      </c>
      <c r="E3128" s="12">
        <v>1193224810</v>
      </c>
      <c r="F3128" s="12" t="s">
        <v>1640</v>
      </c>
      <c r="G3128" t="s">
        <v>1094</v>
      </c>
    </row>
    <row r="3129" spans="1:7" ht="15" customHeight="1" x14ac:dyDescent="0.25">
      <c r="A3129" s="22" t="s">
        <v>1292</v>
      </c>
      <c r="B3129" s="12" t="s">
        <v>1369</v>
      </c>
      <c r="C3129" s="12" t="s">
        <v>1141</v>
      </c>
      <c r="D3129" s="23">
        <v>4750000</v>
      </c>
      <c r="E3129" s="12">
        <v>1085340885</v>
      </c>
      <c r="F3129" s="12" t="s">
        <v>1142</v>
      </c>
      <c r="G3129" t="s">
        <v>1094</v>
      </c>
    </row>
    <row r="3130" spans="1:7" ht="15" customHeight="1" x14ac:dyDescent="0.25">
      <c r="A3130" s="22" t="s">
        <v>1292</v>
      </c>
      <c r="B3130" s="12" t="s">
        <v>1370</v>
      </c>
      <c r="C3130" s="12" t="s">
        <v>1143</v>
      </c>
      <c r="D3130" s="23">
        <v>2500000</v>
      </c>
      <c r="E3130" s="12">
        <v>12974849</v>
      </c>
      <c r="F3130" s="12" t="s">
        <v>1643</v>
      </c>
      <c r="G3130" t="s">
        <v>1094</v>
      </c>
    </row>
    <row r="3131" spans="1:7" ht="15" customHeight="1" x14ac:dyDescent="0.25">
      <c r="A3131" s="22" t="s">
        <v>1292</v>
      </c>
      <c r="B3131" s="12" t="s">
        <v>1371</v>
      </c>
      <c r="C3131" s="12" t="s">
        <v>1144</v>
      </c>
      <c r="D3131" s="23">
        <v>4750000</v>
      </c>
      <c r="E3131" s="12">
        <v>27087475</v>
      </c>
      <c r="F3131" s="12" t="s">
        <v>1645</v>
      </c>
      <c r="G3131" t="s">
        <v>1094</v>
      </c>
    </row>
    <row r="3132" spans="1:7" ht="15" customHeight="1" x14ac:dyDescent="0.25">
      <c r="A3132" s="22" t="s">
        <v>1292</v>
      </c>
      <c r="B3132" s="12" t="s">
        <v>1372</v>
      </c>
      <c r="C3132" s="12" t="s">
        <v>1145</v>
      </c>
      <c r="D3132" s="23">
        <v>3000000</v>
      </c>
      <c r="E3132" s="12">
        <v>1233191675</v>
      </c>
      <c r="F3132" s="12" t="s">
        <v>523</v>
      </c>
      <c r="G3132" t="s">
        <v>1094</v>
      </c>
    </row>
    <row r="3133" spans="1:7" ht="15" customHeight="1" x14ac:dyDescent="0.25">
      <c r="A3133" s="22" t="s">
        <v>1292</v>
      </c>
      <c r="B3133" s="12" t="s">
        <v>1373</v>
      </c>
      <c r="C3133" s="12" t="s">
        <v>1146</v>
      </c>
      <c r="D3133" s="23">
        <v>3000000</v>
      </c>
      <c r="E3133" s="12">
        <v>37084285</v>
      </c>
      <c r="F3133" s="12" t="s">
        <v>119</v>
      </c>
      <c r="G3133" t="s">
        <v>1094</v>
      </c>
    </row>
    <row r="3134" spans="1:7" ht="15" customHeight="1" x14ac:dyDescent="0.25">
      <c r="A3134" s="22" t="s">
        <v>1292</v>
      </c>
      <c r="B3134" s="12" t="s">
        <v>1374</v>
      </c>
      <c r="C3134" s="12" t="s">
        <v>1147</v>
      </c>
      <c r="D3134" s="23">
        <v>3000000</v>
      </c>
      <c r="E3134" s="12">
        <v>1085271641</v>
      </c>
      <c r="F3134" s="12" t="s">
        <v>1649</v>
      </c>
      <c r="G3134" t="s">
        <v>1094</v>
      </c>
    </row>
    <row r="3135" spans="1:7" ht="15" customHeight="1" x14ac:dyDescent="0.25">
      <c r="A3135" s="22" t="s">
        <v>1292</v>
      </c>
      <c r="B3135" s="12" t="s">
        <v>1375</v>
      </c>
      <c r="C3135" s="12" t="s">
        <v>1148</v>
      </c>
      <c r="D3135" s="23">
        <v>3000000</v>
      </c>
      <c r="E3135" s="12">
        <v>1004535234</v>
      </c>
      <c r="F3135" s="12" t="s">
        <v>507</v>
      </c>
      <c r="G3135" t="s">
        <v>1094</v>
      </c>
    </row>
    <row r="3136" spans="1:7" ht="15" customHeight="1" x14ac:dyDescent="0.25">
      <c r="A3136" s="22" t="s">
        <v>1293</v>
      </c>
      <c r="B3136" s="12" t="s">
        <v>1376</v>
      </c>
      <c r="C3136" s="12" t="s">
        <v>1149</v>
      </c>
      <c r="D3136" s="23">
        <v>3000000</v>
      </c>
      <c r="E3136" s="12">
        <v>1192717330</v>
      </c>
      <c r="F3136" s="12" t="s">
        <v>277</v>
      </c>
      <c r="G3136" t="s">
        <v>1094</v>
      </c>
    </row>
    <row r="3137" spans="1:7" ht="15" customHeight="1" x14ac:dyDescent="0.25">
      <c r="A3137" s="22" t="s">
        <v>1293</v>
      </c>
      <c r="B3137" s="12" t="s">
        <v>1377</v>
      </c>
      <c r="C3137" s="12" t="s">
        <v>1150</v>
      </c>
      <c r="D3137" s="23">
        <v>6000000</v>
      </c>
      <c r="E3137" s="12">
        <v>1085275879</v>
      </c>
      <c r="F3137" s="12" t="s">
        <v>117</v>
      </c>
      <c r="G3137" t="s">
        <v>1094</v>
      </c>
    </row>
    <row r="3138" spans="1:7" ht="15" customHeight="1" x14ac:dyDescent="0.25">
      <c r="A3138" s="22" t="s">
        <v>1293</v>
      </c>
      <c r="B3138" s="12" t="s">
        <v>1378</v>
      </c>
      <c r="C3138" s="12" t="s">
        <v>1151</v>
      </c>
      <c r="D3138" s="23">
        <v>3000000</v>
      </c>
      <c r="E3138" s="12">
        <v>1085269090</v>
      </c>
      <c r="F3138" s="12" t="s">
        <v>371</v>
      </c>
      <c r="G3138" t="s">
        <v>1094</v>
      </c>
    </row>
    <row r="3139" spans="1:7" ht="15" customHeight="1" x14ac:dyDescent="0.25">
      <c r="A3139" s="22" t="s">
        <v>1293</v>
      </c>
      <c r="B3139" s="12" t="s">
        <v>1379</v>
      </c>
      <c r="C3139" s="12" t="s">
        <v>1152</v>
      </c>
      <c r="D3139" s="23">
        <v>6000000</v>
      </c>
      <c r="E3139" s="12">
        <v>1014212900</v>
      </c>
      <c r="F3139" s="12" t="s">
        <v>1654</v>
      </c>
      <c r="G3139" t="s">
        <v>1094</v>
      </c>
    </row>
    <row r="3140" spans="1:7" ht="15" customHeight="1" x14ac:dyDescent="0.25">
      <c r="A3140" s="22" t="s">
        <v>1293</v>
      </c>
      <c r="B3140" s="12" t="s">
        <v>1380</v>
      </c>
      <c r="C3140" s="12" t="s">
        <v>1153</v>
      </c>
      <c r="D3140" s="23">
        <v>3000000</v>
      </c>
      <c r="E3140" s="12">
        <v>37082232</v>
      </c>
      <c r="F3140" s="12" t="s">
        <v>1655</v>
      </c>
      <c r="G3140" t="s">
        <v>1094</v>
      </c>
    </row>
    <row r="3141" spans="1:7" ht="15" customHeight="1" x14ac:dyDescent="0.25">
      <c r="A3141" s="22" t="s">
        <v>1293</v>
      </c>
      <c r="B3141" s="12" t="s">
        <v>1381</v>
      </c>
      <c r="C3141" s="12" t="s">
        <v>1154</v>
      </c>
      <c r="D3141" s="23">
        <v>3000000</v>
      </c>
      <c r="E3141" s="12">
        <v>1004743217</v>
      </c>
      <c r="F3141" s="12" t="s">
        <v>1656</v>
      </c>
      <c r="G3141" t="s">
        <v>1094</v>
      </c>
    </row>
    <row r="3142" spans="1:7" ht="15" customHeight="1" x14ac:dyDescent="0.25">
      <c r="A3142" s="22" t="s">
        <v>1293</v>
      </c>
      <c r="B3142" s="12" t="s">
        <v>1382</v>
      </c>
      <c r="C3142" s="12" t="s">
        <v>1155</v>
      </c>
      <c r="D3142" s="23">
        <v>3000000</v>
      </c>
      <c r="E3142" s="12">
        <v>1085326791</v>
      </c>
      <c r="F3142" s="12" t="s">
        <v>479</v>
      </c>
      <c r="G3142" t="s">
        <v>1094</v>
      </c>
    </row>
    <row r="3143" spans="1:7" ht="15" customHeight="1" x14ac:dyDescent="0.25">
      <c r="A3143" s="22" t="s">
        <v>1293</v>
      </c>
      <c r="B3143" s="12" t="s">
        <v>1383</v>
      </c>
      <c r="C3143" s="12" t="s">
        <v>1156</v>
      </c>
      <c r="D3143" s="23">
        <v>3000000</v>
      </c>
      <c r="E3143" s="12">
        <v>1081272025</v>
      </c>
      <c r="F3143" s="12" t="s">
        <v>59</v>
      </c>
      <c r="G3143" t="s">
        <v>1094</v>
      </c>
    </row>
    <row r="3144" spans="1:7" ht="15" customHeight="1" x14ac:dyDescent="0.25">
      <c r="A3144" s="22" t="s">
        <v>1293</v>
      </c>
      <c r="B3144" s="12" t="s">
        <v>1384</v>
      </c>
      <c r="C3144" s="12" t="s">
        <v>1097</v>
      </c>
      <c r="D3144" s="23">
        <v>6000000</v>
      </c>
      <c r="E3144" s="12">
        <v>1085340697</v>
      </c>
      <c r="F3144" s="12" t="s">
        <v>1098</v>
      </c>
      <c r="G3144" t="s">
        <v>1094</v>
      </c>
    </row>
    <row r="3145" spans="1:7" ht="15" customHeight="1" x14ac:dyDescent="0.25">
      <c r="A3145" s="22" t="s">
        <v>1291</v>
      </c>
      <c r="B3145" s="12" t="s">
        <v>1385</v>
      </c>
      <c r="C3145" s="12" t="s">
        <v>1157</v>
      </c>
      <c r="D3145" s="23">
        <v>3000000</v>
      </c>
      <c r="E3145" s="12">
        <v>1085315013</v>
      </c>
      <c r="F3145" s="12" t="s">
        <v>1659</v>
      </c>
      <c r="G3145" t="s">
        <v>1094</v>
      </c>
    </row>
    <row r="3146" spans="1:7" ht="15" customHeight="1" x14ac:dyDescent="0.25">
      <c r="A3146" s="22" t="s">
        <v>1291</v>
      </c>
      <c r="B3146" s="12" t="s">
        <v>1386</v>
      </c>
      <c r="C3146" s="12" t="s">
        <v>1159</v>
      </c>
      <c r="D3146" s="23">
        <v>3000000</v>
      </c>
      <c r="E3146" s="12">
        <v>1086363186</v>
      </c>
      <c r="F3146" s="12" t="s">
        <v>1160</v>
      </c>
      <c r="G3146" t="s">
        <v>1094</v>
      </c>
    </row>
    <row r="3147" spans="1:7" ht="15" customHeight="1" x14ac:dyDescent="0.25">
      <c r="A3147" s="22" t="s">
        <v>1291</v>
      </c>
      <c r="B3147" s="12" t="s">
        <v>1387</v>
      </c>
      <c r="C3147" s="12" t="s">
        <v>1161</v>
      </c>
      <c r="D3147" s="23">
        <v>2500000</v>
      </c>
      <c r="E3147" s="12">
        <v>1075242334</v>
      </c>
      <c r="F3147" s="12" t="s">
        <v>1276</v>
      </c>
      <c r="G3147" t="s">
        <v>1094</v>
      </c>
    </row>
    <row r="3148" spans="1:7" ht="15" customHeight="1" x14ac:dyDescent="0.25">
      <c r="A3148" s="22" t="s">
        <v>1291</v>
      </c>
      <c r="B3148" s="12" t="s">
        <v>1388</v>
      </c>
      <c r="C3148" s="12" t="s">
        <v>1162</v>
      </c>
      <c r="D3148" s="23">
        <v>3000000</v>
      </c>
      <c r="E3148" s="12">
        <v>1087006717</v>
      </c>
      <c r="F3148" s="12" t="s">
        <v>1661</v>
      </c>
      <c r="G3148" t="s">
        <v>1094</v>
      </c>
    </row>
    <row r="3149" spans="1:7" ht="15" customHeight="1" x14ac:dyDescent="0.25">
      <c r="A3149" s="22" t="s">
        <v>1291</v>
      </c>
      <c r="B3149" s="12" t="s">
        <v>1356</v>
      </c>
      <c r="C3149" s="12" t="s">
        <v>1127</v>
      </c>
      <c r="D3149" s="23">
        <v>7500000</v>
      </c>
      <c r="E3149" s="12">
        <v>1006106084</v>
      </c>
      <c r="F3149" s="12" t="s">
        <v>1625</v>
      </c>
      <c r="G3149" t="s">
        <v>1094</v>
      </c>
    </row>
    <row r="3150" spans="1:7" ht="15" customHeight="1" x14ac:dyDescent="0.25">
      <c r="A3150" s="22" t="s">
        <v>1294</v>
      </c>
      <c r="B3150" s="12" t="s">
        <v>1389</v>
      </c>
      <c r="C3150" s="12" t="s">
        <v>1164</v>
      </c>
      <c r="D3150" s="23">
        <v>3000000</v>
      </c>
      <c r="E3150" s="12">
        <v>1085339190</v>
      </c>
      <c r="F3150" s="12" t="s">
        <v>149</v>
      </c>
      <c r="G3150" t="s">
        <v>1094</v>
      </c>
    </row>
    <row r="3151" spans="1:7" ht="15" customHeight="1" x14ac:dyDescent="0.25">
      <c r="A3151" s="22" t="s">
        <v>1295</v>
      </c>
      <c r="B3151" s="12" t="s">
        <v>1390</v>
      </c>
      <c r="C3151" s="12" t="s">
        <v>1105</v>
      </c>
      <c r="D3151" s="23">
        <v>35977830</v>
      </c>
      <c r="E3151" s="12">
        <v>900994364</v>
      </c>
      <c r="F3151" s="12" t="s">
        <v>1599</v>
      </c>
      <c r="G3151" t="s">
        <v>1094</v>
      </c>
    </row>
    <row r="3152" spans="1:7" ht="15" customHeight="1" x14ac:dyDescent="0.25">
      <c r="A3152" s="22" t="s">
        <v>1296</v>
      </c>
      <c r="B3152" s="12" t="s">
        <v>1391</v>
      </c>
      <c r="C3152" s="12" t="s">
        <v>1100</v>
      </c>
      <c r="D3152" s="23">
        <v>6000000</v>
      </c>
      <c r="E3152" s="12">
        <v>1085303585</v>
      </c>
      <c r="F3152" s="12" t="s">
        <v>1593</v>
      </c>
      <c r="G3152" t="s">
        <v>1094</v>
      </c>
    </row>
    <row r="3153" spans="1:7" ht="15" customHeight="1" x14ac:dyDescent="0.25">
      <c r="A3153" s="22" t="s">
        <v>1296</v>
      </c>
      <c r="B3153" s="12" t="s">
        <v>1392</v>
      </c>
      <c r="C3153" s="12" t="s">
        <v>1165</v>
      </c>
      <c r="D3153" s="23">
        <v>3000000</v>
      </c>
      <c r="E3153" s="12">
        <v>1085286742</v>
      </c>
      <c r="F3153" s="12" t="s">
        <v>75</v>
      </c>
      <c r="G3153" t="s">
        <v>1094</v>
      </c>
    </row>
    <row r="3154" spans="1:7" ht="15" customHeight="1" x14ac:dyDescent="0.25">
      <c r="A3154" s="22" t="s">
        <v>1296</v>
      </c>
      <c r="B3154" s="12" t="s">
        <v>1393</v>
      </c>
      <c r="C3154" s="12" t="s">
        <v>1166</v>
      </c>
      <c r="D3154" s="23">
        <v>6000000</v>
      </c>
      <c r="E3154" s="12">
        <v>97470681</v>
      </c>
      <c r="F3154" s="12" t="s">
        <v>329</v>
      </c>
      <c r="G3154" t="s">
        <v>1094</v>
      </c>
    </row>
    <row r="3155" spans="1:7" ht="15" customHeight="1" x14ac:dyDescent="0.25">
      <c r="A3155" s="22" t="s">
        <v>1296</v>
      </c>
      <c r="B3155" s="12" t="s">
        <v>1394</v>
      </c>
      <c r="C3155" s="12" t="s">
        <v>1167</v>
      </c>
      <c r="D3155" s="23">
        <v>6000000</v>
      </c>
      <c r="E3155" s="12">
        <v>36757221</v>
      </c>
      <c r="F3155" s="12" t="s">
        <v>1666</v>
      </c>
      <c r="G3155" t="s">
        <v>1094</v>
      </c>
    </row>
    <row r="3156" spans="1:7" ht="15" customHeight="1" x14ac:dyDescent="0.25">
      <c r="A3156" s="22" t="s">
        <v>1296</v>
      </c>
      <c r="B3156" s="12" t="s">
        <v>1395</v>
      </c>
      <c r="C3156" s="12" t="s">
        <v>1096</v>
      </c>
      <c r="D3156" s="23">
        <v>4750000</v>
      </c>
      <c r="E3156" s="12">
        <v>1085330309</v>
      </c>
      <c r="F3156" s="12" t="s">
        <v>1590</v>
      </c>
      <c r="G3156" t="s">
        <v>1094</v>
      </c>
    </row>
    <row r="3157" spans="1:7" ht="15" customHeight="1" x14ac:dyDescent="0.25">
      <c r="A3157" s="22" t="s">
        <v>1296</v>
      </c>
      <c r="B3157" s="12" t="s">
        <v>1396</v>
      </c>
      <c r="C3157" s="12" t="s">
        <v>1168</v>
      </c>
      <c r="D3157" s="23">
        <v>3000000</v>
      </c>
      <c r="E3157" s="12">
        <v>1081572043</v>
      </c>
      <c r="F3157" s="12" t="s">
        <v>1668</v>
      </c>
      <c r="G3157" t="s">
        <v>1094</v>
      </c>
    </row>
    <row r="3158" spans="1:7" ht="15" customHeight="1" x14ac:dyDescent="0.25">
      <c r="A3158" s="22" t="s">
        <v>1296</v>
      </c>
      <c r="B3158" s="12" t="s">
        <v>1397</v>
      </c>
      <c r="C3158" s="12" t="s">
        <v>1118</v>
      </c>
      <c r="D3158" s="23">
        <v>4750000</v>
      </c>
      <c r="E3158" s="12">
        <v>1085343783</v>
      </c>
      <c r="F3158" s="12" t="s">
        <v>735</v>
      </c>
      <c r="G3158" t="s">
        <v>1094</v>
      </c>
    </row>
    <row r="3159" spans="1:7" ht="15" customHeight="1" x14ac:dyDescent="0.25">
      <c r="A3159" s="22" t="s">
        <v>1296</v>
      </c>
      <c r="B3159" s="12" t="s">
        <v>1398</v>
      </c>
      <c r="C3159" s="12" t="s">
        <v>1169</v>
      </c>
      <c r="D3159" s="23">
        <v>6000000</v>
      </c>
      <c r="E3159" s="12">
        <v>59820414</v>
      </c>
      <c r="F3159" s="12" t="s">
        <v>457</v>
      </c>
      <c r="G3159" t="s">
        <v>1094</v>
      </c>
    </row>
    <row r="3160" spans="1:7" ht="15" customHeight="1" x14ac:dyDescent="0.25">
      <c r="A3160" s="22" t="s">
        <v>1296</v>
      </c>
      <c r="B3160" s="12" t="s">
        <v>1399</v>
      </c>
      <c r="C3160" s="12" t="s">
        <v>1170</v>
      </c>
      <c r="D3160" s="23">
        <v>2500000</v>
      </c>
      <c r="E3160" s="12">
        <v>1085304072</v>
      </c>
      <c r="F3160" s="12" t="s">
        <v>1171</v>
      </c>
      <c r="G3160" t="s">
        <v>1094</v>
      </c>
    </row>
    <row r="3161" spans="1:7" ht="15" customHeight="1" x14ac:dyDescent="0.25">
      <c r="A3161" s="22" t="s">
        <v>1296</v>
      </c>
      <c r="B3161" s="12" t="s">
        <v>1400</v>
      </c>
      <c r="C3161" s="12" t="s">
        <v>1172</v>
      </c>
      <c r="D3161" s="23">
        <v>4750000</v>
      </c>
      <c r="E3161" s="12">
        <v>1018492767</v>
      </c>
      <c r="F3161" s="12" t="s">
        <v>915</v>
      </c>
      <c r="G3161" t="s">
        <v>1094</v>
      </c>
    </row>
    <row r="3162" spans="1:7" ht="15" customHeight="1" x14ac:dyDescent="0.25">
      <c r="A3162" s="22" t="s">
        <v>1296</v>
      </c>
      <c r="B3162" s="12" t="s">
        <v>1401</v>
      </c>
      <c r="C3162" s="12" t="s">
        <v>1173</v>
      </c>
      <c r="D3162" s="23">
        <v>2500000</v>
      </c>
      <c r="E3162" s="12">
        <v>1233188479</v>
      </c>
      <c r="F3162" s="12" t="s">
        <v>1670</v>
      </c>
      <c r="G3162" t="s">
        <v>1094</v>
      </c>
    </row>
    <row r="3163" spans="1:7" ht="15" customHeight="1" x14ac:dyDescent="0.25">
      <c r="A3163" s="22" t="s">
        <v>1297</v>
      </c>
      <c r="B3163" s="12" t="s">
        <v>1402</v>
      </c>
      <c r="C3163" s="12" t="s">
        <v>1174</v>
      </c>
      <c r="D3163" s="23">
        <v>3000000</v>
      </c>
      <c r="E3163" s="12">
        <v>1085274630</v>
      </c>
      <c r="F3163" s="12" t="s">
        <v>1175</v>
      </c>
      <c r="G3163" t="s">
        <v>1094</v>
      </c>
    </row>
    <row r="3164" spans="1:7" ht="15" customHeight="1" x14ac:dyDescent="0.25">
      <c r="A3164" s="22" t="s">
        <v>1297</v>
      </c>
      <c r="B3164" s="12" t="s">
        <v>1403</v>
      </c>
      <c r="C3164" s="12" t="s">
        <v>1176</v>
      </c>
      <c r="D3164" s="23">
        <v>3000000</v>
      </c>
      <c r="E3164" s="12">
        <v>59706564</v>
      </c>
      <c r="F3164" s="12" t="s">
        <v>1177</v>
      </c>
      <c r="G3164" t="s">
        <v>1094</v>
      </c>
    </row>
    <row r="3165" spans="1:7" ht="15" customHeight="1" x14ac:dyDescent="0.25">
      <c r="A3165" s="22" t="s">
        <v>1297</v>
      </c>
      <c r="B3165" s="12" t="s">
        <v>1404</v>
      </c>
      <c r="C3165" s="12" t="s">
        <v>1178</v>
      </c>
      <c r="D3165" s="23">
        <v>3000000</v>
      </c>
      <c r="E3165" s="12">
        <v>1085314608</v>
      </c>
      <c r="F3165" s="12" t="s">
        <v>1179</v>
      </c>
      <c r="G3165" t="s">
        <v>1094</v>
      </c>
    </row>
    <row r="3166" spans="1:7" ht="15" customHeight="1" x14ac:dyDescent="0.25">
      <c r="A3166" s="22" t="s">
        <v>1297</v>
      </c>
      <c r="B3166" s="12" t="s">
        <v>1405</v>
      </c>
      <c r="C3166" s="12" t="s">
        <v>1180</v>
      </c>
      <c r="D3166" s="23">
        <v>3000000</v>
      </c>
      <c r="E3166" s="12">
        <v>1086329609</v>
      </c>
      <c r="F3166" s="12" t="s">
        <v>1672</v>
      </c>
      <c r="G3166" t="s">
        <v>1094</v>
      </c>
    </row>
    <row r="3167" spans="1:7" ht="15" customHeight="1" x14ac:dyDescent="0.25">
      <c r="A3167" s="22" t="s">
        <v>1297</v>
      </c>
      <c r="B3167" s="12" t="s">
        <v>1406</v>
      </c>
      <c r="C3167" s="12" t="s">
        <v>1181</v>
      </c>
      <c r="D3167" s="23">
        <v>6000000</v>
      </c>
      <c r="E3167" s="12">
        <v>1085299577</v>
      </c>
      <c r="F3167" s="12" t="s">
        <v>1674</v>
      </c>
      <c r="G3167" t="s">
        <v>1094</v>
      </c>
    </row>
    <row r="3168" spans="1:7" ht="15" customHeight="1" x14ac:dyDescent="0.25">
      <c r="A3168" s="22" t="s">
        <v>1297</v>
      </c>
      <c r="B3168" s="12" t="s">
        <v>1407</v>
      </c>
      <c r="C3168" s="12" t="s">
        <v>1095</v>
      </c>
      <c r="D3168" s="23">
        <v>4825000</v>
      </c>
      <c r="E3168" s="12">
        <v>1085324891</v>
      </c>
      <c r="F3168" s="12" t="s">
        <v>509</v>
      </c>
      <c r="G3168" t="s">
        <v>1094</v>
      </c>
    </row>
    <row r="3169" spans="1:7" ht="15" customHeight="1" x14ac:dyDescent="0.25">
      <c r="A3169" s="22" t="s">
        <v>1297</v>
      </c>
      <c r="B3169" s="12" t="s">
        <v>1408</v>
      </c>
      <c r="C3169" s="12" t="s">
        <v>1183</v>
      </c>
      <c r="D3169" s="23">
        <v>7500000</v>
      </c>
      <c r="E3169" s="12">
        <v>1193202097</v>
      </c>
      <c r="F3169" s="12" t="s">
        <v>163</v>
      </c>
      <c r="G3169" t="s">
        <v>1094</v>
      </c>
    </row>
    <row r="3170" spans="1:7" ht="15" customHeight="1" x14ac:dyDescent="0.25">
      <c r="A3170" s="22" t="s">
        <v>1301</v>
      </c>
      <c r="B3170" s="12" t="s">
        <v>1412</v>
      </c>
      <c r="C3170" s="12" t="s">
        <v>1108</v>
      </c>
      <c r="D3170" s="23">
        <v>7500000</v>
      </c>
      <c r="E3170" s="12">
        <v>80765093</v>
      </c>
      <c r="F3170" s="12" t="s">
        <v>1603</v>
      </c>
      <c r="G3170" t="s">
        <v>1094</v>
      </c>
    </row>
    <row r="3171" spans="1:7" ht="15" customHeight="1" x14ac:dyDescent="0.25">
      <c r="A3171" s="22" t="s">
        <v>1301</v>
      </c>
      <c r="B3171" s="12" t="s">
        <v>1413</v>
      </c>
      <c r="C3171" s="12" t="s">
        <v>1186</v>
      </c>
      <c r="D3171" s="23">
        <v>3000000</v>
      </c>
      <c r="E3171" s="12">
        <v>1085286725</v>
      </c>
      <c r="F3171" s="12" t="s">
        <v>111</v>
      </c>
      <c r="G3171" t="s">
        <v>1094</v>
      </c>
    </row>
    <row r="3172" spans="1:7" ht="15" customHeight="1" x14ac:dyDescent="0.25">
      <c r="A3172" s="22" t="s">
        <v>1301</v>
      </c>
      <c r="B3172" s="12" t="s">
        <v>1414</v>
      </c>
      <c r="C3172" s="12" t="s">
        <v>1187</v>
      </c>
      <c r="D3172" s="23">
        <v>3000000</v>
      </c>
      <c r="E3172" s="12">
        <v>27388522</v>
      </c>
      <c r="F3172" s="12" t="s">
        <v>525</v>
      </c>
      <c r="G3172" t="s">
        <v>1094</v>
      </c>
    </row>
    <row r="3173" spans="1:7" ht="15" customHeight="1" x14ac:dyDescent="0.25">
      <c r="A3173" s="22" t="s">
        <v>1302</v>
      </c>
      <c r="B3173" s="12" t="s">
        <v>1415</v>
      </c>
      <c r="C3173" s="12" t="s">
        <v>1145</v>
      </c>
      <c r="D3173" s="23">
        <v>3000000</v>
      </c>
      <c r="E3173" s="12">
        <v>1233191675</v>
      </c>
      <c r="F3173" s="12" t="s">
        <v>523</v>
      </c>
      <c r="G3173" t="s">
        <v>1094</v>
      </c>
    </row>
    <row r="3174" spans="1:7" ht="15" customHeight="1" x14ac:dyDescent="0.25">
      <c r="A3174" s="22" t="s">
        <v>1302</v>
      </c>
      <c r="B3174" s="12" t="s">
        <v>1416</v>
      </c>
      <c r="C3174" s="12" t="s">
        <v>1143</v>
      </c>
      <c r="D3174" s="23">
        <v>2500000</v>
      </c>
      <c r="E3174" s="12">
        <v>12974849</v>
      </c>
      <c r="F3174" s="12" t="s">
        <v>1643</v>
      </c>
      <c r="G3174" t="s">
        <v>1094</v>
      </c>
    </row>
    <row r="3175" spans="1:7" ht="15" customHeight="1" x14ac:dyDescent="0.25">
      <c r="A3175" s="22" t="s">
        <v>1302</v>
      </c>
      <c r="B3175" s="12" t="s">
        <v>1417</v>
      </c>
      <c r="C3175" s="12" t="s">
        <v>1136</v>
      </c>
      <c r="D3175" s="23">
        <v>4825000</v>
      </c>
      <c r="E3175" s="12">
        <v>1080900817</v>
      </c>
      <c r="F3175" s="12" t="s">
        <v>1016</v>
      </c>
      <c r="G3175" t="s">
        <v>1094</v>
      </c>
    </row>
    <row r="3176" spans="1:7" ht="15" customHeight="1" x14ac:dyDescent="0.25">
      <c r="A3176" s="22" t="s">
        <v>1302</v>
      </c>
      <c r="B3176" s="12" t="s">
        <v>1418</v>
      </c>
      <c r="C3176" s="12" t="s">
        <v>1140</v>
      </c>
      <c r="D3176" s="23">
        <v>3000000</v>
      </c>
      <c r="E3176" s="12">
        <v>1193224810</v>
      </c>
      <c r="F3176" s="12" t="s">
        <v>1640</v>
      </c>
      <c r="G3176" t="s">
        <v>1094</v>
      </c>
    </row>
    <row r="3177" spans="1:7" ht="15" customHeight="1" x14ac:dyDescent="0.25">
      <c r="A3177" s="22" t="s">
        <v>1302</v>
      </c>
      <c r="B3177" s="12" t="s">
        <v>1419</v>
      </c>
      <c r="C3177" s="12" t="s">
        <v>1125</v>
      </c>
      <c r="D3177" s="23">
        <v>7500000</v>
      </c>
      <c r="E3177" s="12">
        <v>1006946167</v>
      </c>
      <c r="F3177" s="12" t="s">
        <v>1623</v>
      </c>
      <c r="G3177" t="s">
        <v>1094</v>
      </c>
    </row>
    <row r="3178" spans="1:7" ht="15" customHeight="1" x14ac:dyDescent="0.25">
      <c r="A3178" s="22" t="s">
        <v>1302</v>
      </c>
      <c r="B3178" s="12" t="s">
        <v>1420</v>
      </c>
      <c r="C3178" s="12" t="s">
        <v>1139</v>
      </c>
      <c r="D3178" s="23">
        <v>3000000</v>
      </c>
      <c r="E3178" s="12">
        <v>1085255829</v>
      </c>
      <c r="F3178" s="12" t="s">
        <v>1638</v>
      </c>
      <c r="G3178" t="s">
        <v>1094</v>
      </c>
    </row>
    <row r="3179" spans="1:7" ht="15" customHeight="1" x14ac:dyDescent="0.25">
      <c r="A3179" s="22" t="s">
        <v>1302</v>
      </c>
      <c r="B3179" s="12" t="s">
        <v>1421</v>
      </c>
      <c r="C3179" s="12" t="s">
        <v>1141</v>
      </c>
      <c r="D3179" s="23">
        <v>4750000</v>
      </c>
      <c r="E3179" s="12">
        <v>1085340885</v>
      </c>
      <c r="F3179" s="12" t="s">
        <v>1142</v>
      </c>
      <c r="G3179" t="s">
        <v>1094</v>
      </c>
    </row>
    <row r="3180" spans="1:7" ht="15" customHeight="1" x14ac:dyDescent="0.25">
      <c r="A3180" s="22" t="s">
        <v>1303</v>
      </c>
      <c r="B3180" s="12" t="s">
        <v>1422</v>
      </c>
      <c r="C3180" s="12" t="s">
        <v>1188</v>
      </c>
      <c r="D3180" s="23">
        <v>2500000</v>
      </c>
      <c r="E3180" s="12">
        <v>1085255753</v>
      </c>
      <c r="F3180" s="12" t="s">
        <v>1681</v>
      </c>
      <c r="G3180" t="s">
        <v>1094</v>
      </c>
    </row>
    <row r="3181" spans="1:7" ht="15" customHeight="1" x14ac:dyDescent="0.25">
      <c r="A3181" s="22" t="s">
        <v>1303</v>
      </c>
      <c r="B3181" s="12" t="s">
        <v>1423</v>
      </c>
      <c r="C3181" s="12" t="s">
        <v>1130</v>
      </c>
      <c r="D3181" s="23">
        <v>6000000</v>
      </c>
      <c r="E3181" s="12">
        <v>1085283868</v>
      </c>
      <c r="F3181" s="12" t="s">
        <v>1630</v>
      </c>
      <c r="G3181" t="s">
        <v>1094</v>
      </c>
    </row>
    <row r="3182" spans="1:7" ht="15" customHeight="1" x14ac:dyDescent="0.25">
      <c r="A3182" s="22" t="s">
        <v>1303</v>
      </c>
      <c r="B3182" s="12" t="s">
        <v>1424</v>
      </c>
      <c r="C3182" s="12" t="s">
        <v>1189</v>
      </c>
      <c r="D3182" s="23">
        <v>4750000</v>
      </c>
      <c r="E3182" s="12">
        <v>36953206</v>
      </c>
      <c r="F3182" s="12" t="s">
        <v>391</v>
      </c>
      <c r="G3182" t="s">
        <v>1094</v>
      </c>
    </row>
    <row r="3183" spans="1:7" ht="15" customHeight="1" x14ac:dyDescent="0.25">
      <c r="A3183" s="22" t="s">
        <v>1303</v>
      </c>
      <c r="B3183" s="12" t="s">
        <v>1425</v>
      </c>
      <c r="C3183" s="12" t="s">
        <v>1190</v>
      </c>
      <c r="D3183" s="23">
        <v>7500000</v>
      </c>
      <c r="E3183" s="12">
        <v>37087120</v>
      </c>
      <c r="F3183" s="12" t="s">
        <v>159</v>
      </c>
      <c r="G3183" t="s">
        <v>1094</v>
      </c>
    </row>
    <row r="3184" spans="1:7" ht="15" customHeight="1" x14ac:dyDescent="0.25">
      <c r="A3184" s="22" t="s">
        <v>1303</v>
      </c>
      <c r="B3184" s="12" t="s">
        <v>1426</v>
      </c>
      <c r="C3184" s="12" t="s">
        <v>1191</v>
      </c>
      <c r="D3184" s="23">
        <v>6000000</v>
      </c>
      <c r="E3184" s="12">
        <v>59825948</v>
      </c>
      <c r="F3184" s="12" t="s">
        <v>1684</v>
      </c>
      <c r="G3184" t="s">
        <v>1094</v>
      </c>
    </row>
    <row r="3185" spans="1:7" ht="15" customHeight="1" x14ac:dyDescent="0.25">
      <c r="A3185" s="22" t="s">
        <v>1303</v>
      </c>
      <c r="B3185" s="12" t="s">
        <v>1427</v>
      </c>
      <c r="C3185" s="12" t="s">
        <v>1112</v>
      </c>
      <c r="D3185" s="23">
        <v>4825000</v>
      </c>
      <c r="E3185" s="12">
        <v>1085338534</v>
      </c>
      <c r="F3185" s="12" t="s">
        <v>1607</v>
      </c>
      <c r="G3185" t="s">
        <v>1094</v>
      </c>
    </row>
    <row r="3186" spans="1:7" ht="15" customHeight="1" x14ac:dyDescent="0.25">
      <c r="A3186" s="22" t="s">
        <v>1303</v>
      </c>
      <c r="B3186" s="12" t="s">
        <v>1428</v>
      </c>
      <c r="C3186" s="12" t="s">
        <v>1193</v>
      </c>
      <c r="D3186" s="23">
        <v>2500000</v>
      </c>
      <c r="E3186" s="12">
        <v>1085347173</v>
      </c>
      <c r="F3186" s="12" t="s">
        <v>487</v>
      </c>
      <c r="G3186" t="s">
        <v>1094</v>
      </c>
    </row>
    <row r="3187" spans="1:7" ht="15" customHeight="1" x14ac:dyDescent="0.25">
      <c r="A3187" s="22" t="s">
        <v>1303</v>
      </c>
      <c r="B3187" s="12" t="s">
        <v>1429</v>
      </c>
      <c r="C3187" s="12" t="s">
        <v>1194</v>
      </c>
      <c r="D3187" s="23">
        <v>6000000</v>
      </c>
      <c r="E3187" s="12">
        <v>59836480</v>
      </c>
      <c r="F3187" s="12" t="s">
        <v>1686</v>
      </c>
      <c r="G3187" t="s">
        <v>1094</v>
      </c>
    </row>
    <row r="3188" spans="1:7" ht="15" customHeight="1" x14ac:dyDescent="0.25">
      <c r="A3188" s="22" t="s">
        <v>1298</v>
      </c>
      <c r="B3188" s="12" t="s">
        <v>1409</v>
      </c>
      <c r="C3188" s="24" t="s">
        <v>1184</v>
      </c>
      <c r="D3188" s="23">
        <v>173682694</v>
      </c>
      <c r="E3188" s="12">
        <v>901340412</v>
      </c>
      <c r="F3188" s="12" t="s">
        <v>1676</v>
      </c>
      <c r="G3188" t="s">
        <v>1094</v>
      </c>
    </row>
    <row r="3189" spans="1:7" ht="15" customHeight="1" x14ac:dyDescent="0.25">
      <c r="A3189" s="22" t="s">
        <v>1298</v>
      </c>
      <c r="B3189" s="12" t="s">
        <v>1430</v>
      </c>
      <c r="C3189" s="12" t="s">
        <v>1103</v>
      </c>
      <c r="D3189" s="23">
        <v>4825000</v>
      </c>
      <c r="E3189" s="12">
        <v>1004508471</v>
      </c>
      <c r="F3189" s="12" t="s">
        <v>1596</v>
      </c>
      <c r="G3189" t="s">
        <v>1094</v>
      </c>
    </row>
    <row r="3190" spans="1:7" ht="15" customHeight="1" x14ac:dyDescent="0.25">
      <c r="A3190" s="22" t="s">
        <v>1298</v>
      </c>
      <c r="B3190" s="12" t="s">
        <v>1431</v>
      </c>
      <c r="C3190" s="12" t="s">
        <v>1196</v>
      </c>
      <c r="D3190" s="23">
        <v>2500000</v>
      </c>
      <c r="E3190" s="12">
        <v>30722194</v>
      </c>
      <c r="F3190" s="12" t="s">
        <v>1687</v>
      </c>
      <c r="G3190" t="s">
        <v>1094</v>
      </c>
    </row>
    <row r="3191" spans="1:7" ht="15" customHeight="1" x14ac:dyDescent="0.25">
      <c r="A3191" s="22" t="s">
        <v>1298</v>
      </c>
      <c r="B3191" s="12" t="s">
        <v>1432</v>
      </c>
      <c r="C3191" s="12" t="s">
        <v>1106</v>
      </c>
      <c r="D3191" s="23">
        <v>6000000</v>
      </c>
      <c r="E3191" s="12">
        <v>1085286476</v>
      </c>
      <c r="F3191" s="12" t="s">
        <v>385</v>
      </c>
      <c r="G3191" t="s">
        <v>1094</v>
      </c>
    </row>
    <row r="3192" spans="1:7" ht="15" customHeight="1" x14ac:dyDescent="0.25">
      <c r="A3192" s="22" t="s">
        <v>1298</v>
      </c>
      <c r="B3192" s="12" t="s">
        <v>1433</v>
      </c>
      <c r="C3192" s="12" t="s">
        <v>1107</v>
      </c>
      <c r="D3192" s="23">
        <v>3000000</v>
      </c>
      <c r="E3192" s="12">
        <v>69028150</v>
      </c>
      <c r="F3192" s="12" t="s">
        <v>171</v>
      </c>
      <c r="G3192" t="s">
        <v>1094</v>
      </c>
    </row>
    <row r="3193" spans="1:7" ht="15" customHeight="1" x14ac:dyDescent="0.25">
      <c r="A3193" s="22" t="s">
        <v>1298</v>
      </c>
      <c r="B3193" s="12" t="s">
        <v>1434</v>
      </c>
      <c r="C3193" s="12" t="s">
        <v>1197</v>
      </c>
      <c r="D3193" s="23">
        <v>3000000</v>
      </c>
      <c r="E3193" s="12">
        <v>1085252263</v>
      </c>
      <c r="F3193" s="12" t="s">
        <v>1689</v>
      </c>
      <c r="G3193" t="s">
        <v>1094</v>
      </c>
    </row>
    <row r="3194" spans="1:7" ht="15" customHeight="1" x14ac:dyDescent="0.25">
      <c r="A3194" s="22" t="s">
        <v>1298</v>
      </c>
      <c r="B3194" s="12" t="s">
        <v>1435</v>
      </c>
      <c r="C3194" s="12" t="s">
        <v>1198</v>
      </c>
      <c r="D3194" s="23">
        <v>2500000</v>
      </c>
      <c r="E3194" s="12">
        <v>59830219</v>
      </c>
      <c r="F3194" s="12" t="s">
        <v>281</v>
      </c>
      <c r="G3194" t="s">
        <v>1094</v>
      </c>
    </row>
    <row r="3195" spans="1:7" ht="15" customHeight="1" x14ac:dyDescent="0.25">
      <c r="A3195" s="22" t="s">
        <v>1298</v>
      </c>
      <c r="B3195" s="12" t="s">
        <v>1436</v>
      </c>
      <c r="C3195" s="12" t="s">
        <v>1165</v>
      </c>
      <c r="D3195" s="23">
        <v>3000000</v>
      </c>
      <c r="E3195" s="12">
        <v>1085286742</v>
      </c>
      <c r="F3195" s="12" t="s">
        <v>75</v>
      </c>
      <c r="G3195" t="s">
        <v>1094</v>
      </c>
    </row>
    <row r="3196" spans="1:7" ht="15" customHeight="1" x14ac:dyDescent="0.25">
      <c r="A3196" s="22" t="s">
        <v>1298</v>
      </c>
      <c r="B3196" s="12" t="s">
        <v>1437</v>
      </c>
      <c r="C3196" s="12" t="s">
        <v>1135</v>
      </c>
      <c r="D3196" s="23">
        <v>3000000</v>
      </c>
      <c r="E3196" s="12">
        <v>36954407</v>
      </c>
      <c r="F3196" s="12" t="s">
        <v>679</v>
      </c>
      <c r="G3196" t="s">
        <v>1094</v>
      </c>
    </row>
    <row r="3197" spans="1:7" ht="15" customHeight="1" x14ac:dyDescent="0.25">
      <c r="A3197" s="22" t="s">
        <v>1298</v>
      </c>
      <c r="B3197" s="12" t="s">
        <v>1438</v>
      </c>
      <c r="C3197" s="12" t="s">
        <v>1116</v>
      </c>
      <c r="D3197" s="23">
        <v>4750000</v>
      </c>
      <c r="E3197" s="12">
        <v>59651018</v>
      </c>
      <c r="F3197" s="12" t="s">
        <v>1611</v>
      </c>
      <c r="G3197" t="s">
        <v>1094</v>
      </c>
    </row>
    <row r="3198" spans="1:7" ht="15" customHeight="1" x14ac:dyDescent="0.25">
      <c r="A3198" s="22" t="s">
        <v>1298</v>
      </c>
      <c r="B3198" s="12" t="s">
        <v>1439</v>
      </c>
      <c r="C3198" s="12" t="s">
        <v>1123</v>
      </c>
      <c r="D3198" s="23">
        <v>7500000</v>
      </c>
      <c r="E3198" s="12">
        <v>1085293105</v>
      </c>
      <c r="F3198" s="12" t="s">
        <v>745</v>
      </c>
      <c r="G3198" t="s">
        <v>1094</v>
      </c>
    </row>
    <row r="3199" spans="1:7" ht="15" customHeight="1" x14ac:dyDescent="0.25">
      <c r="A3199" s="22" t="s">
        <v>1298</v>
      </c>
      <c r="B3199" s="12" t="s">
        <v>1440</v>
      </c>
      <c r="C3199" s="12" t="s">
        <v>1134</v>
      </c>
      <c r="D3199" s="23">
        <v>3000000</v>
      </c>
      <c r="E3199" s="12">
        <v>1010082397</v>
      </c>
      <c r="F3199" s="12" t="s">
        <v>209</v>
      </c>
      <c r="G3199" t="s">
        <v>1094</v>
      </c>
    </row>
    <row r="3200" spans="1:7" ht="15" customHeight="1" x14ac:dyDescent="0.25">
      <c r="A3200" s="22" t="s">
        <v>1298</v>
      </c>
      <c r="B3200" s="12" t="s">
        <v>1441</v>
      </c>
      <c r="C3200" s="12" t="s">
        <v>1199</v>
      </c>
      <c r="D3200" s="23">
        <v>3000000</v>
      </c>
      <c r="E3200" s="12">
        <v>1085300095</v>
      </c>
      <c r="F3200" s="12" t="s">
        <v>201</v>
      </c>
      <c r="G3200" t="s">
        <v>1094</v>
      </c>
    </row>
    <row r="3201" spans="1:7" ht="15" customHeight="1" x14ac:dyDescent="0.25">
      <c r="A3201" s="22" t="s">
        <v>1298</v>
      </c>
      <c r="B3201" s="12" t="s">
        <v>1442</v>
      </c>
      <c r="C3201" s="12" t="s">
        <v>1200</v>
      </c>
      <c r="D3201" s="23">
        <v>3000000</v>
      </c>
      <c r="E3201" s="12">
        <v>1088733625</v>
      </c>
      <c r="F3201" s="12" t="s">
        <v>559</v>
      </c>
      <c r="G3201" t="s">
        <v>1094</v>
      </c>
    </row>
    <row r="3202" spans="1:7" ht="15" customHeight="1" x14ac:dyDescent="0.25">
      <c r="A3202" s="22" t="s">
        <v>1298</v>
      </c>
      <c r="B3202" s="12" t="s">
        <v>1443</v>
      </c>
      <c r="C3202" s="12" t="s">
        <v>1132</v>
      </c>
      <c r="D3202" s="23">
        <v>3000000</v>
      </c>
      <c r="E3202" s="12">
        <v>98382500</v>
      </c>
      <c r="F3202" s="12" t="s">
        <v>183</v>
      </c>
      <c r="G3202" t="s">
        <v>1094</v>
      </c>
    </row>
    <row r="3203" spans="1:7" ht="15" customHeight="1" x14ac:dyDescent="0.25">
      <c r="A3203" s="22" t="s">
        <v>1298</v>
      </c>
      <c r="B3203" s="12" t="s">
        <v>1444</v>
      </c>
      <c r="C3203" s="12" t="s">
        <v>1201</v>
      </c>
      <c r="D3203" s="23">
        <v>3000000</v>
      </c>
      <c r="E3203" s="12">
        <v>59310853</v>
      </c>
      <c r="F3203" s="12" t="s">
        <v>1692</v>
      </c>
      <c r="G3203" t="s">
        <v>1094</v>
      </c>
    </row>
    <row r="3204" spans="1:7" ht="15" customHeight="1" x14ac:dyDescent="0.25">
      <c r="A3204" s="22" t="s">
        <v>1304</v>
      </c>
      <c r="B3204" s="12" t="s">
        <v>1445</v>
      </c>
      <c r="C3204" s="12" t="s">
        <v>1124</v>
      </c>
      <c r="D3204" s="23">
        <v>7500000</v>
      </c>
      <c r="E3204" s="12">
        <v>1085336362</v>
      </c>
      <c r="F3204" s="12" t="s">
        <v>1621</v>
      </c>
      <c r="G3204" t="s">
        <v>1094</v>
      </c>
    </row>
    <row r="3205" spans="1:7" ht="15" customHeight="1" x14ac:dyDescent="0.25">
      <c r="A3205" s="22" t="s">
        <v>1305</v>
      </c>
      <c r="B3205" s="12" t="s">
        <v>1446</v>
      </c>
      <c r="C3205" s="12" t="s">
        <v>1203</v>
      </c>
      <c r="D3205" s="23">
        <v>2500000</v>
      </c>
      <c r="E3205" s="12">
        <v>37087268</v>
      </c>
      <c r="F3205" s="12" t="s">
        <v>257</v>
      </c>
      <c r="G3205" t="s">
        <v>1094</v>
      </c>
    </row>
    <row r="3206" spans="1:7" ht="15" customHeight="1" x14ac:dyDescent="0.25">
      <c r="A3206" s="22" t="s">
        <v>1305</v>
      </c>
      <c r="B3206" s="12" t="s">
        <v>1447</v>
      </c>
      <c r="C3206" s="12" t="s">
        <v>1111</v>
      </c>
      <c r="D3206" s="23">
        <v>3000000</v>
      </c>
      <c r="E3206" s="12">
        <v>36752202</v>
      </c>
      <c r="F3206" s="12" t="s">
        <v>1606</v>
      </c>
      <c r="G3206" t="s">
        <v>1094</v>
      </c>
    </row>
    <row r="3207" spans="1:7" ht="15" customHeight="1" x14ac:dyDescent="0.25">
      <c r="A3207" s="22" t="s">
        <v>1305</v>
      </c>
      <c r="B3207" s="12" t="s">
        <v>1448</v>
      </c>
      <c r="C3207" s="12" t="s">
        <v>1204</v>
      </c>
      <c r="D3207" s="23">
        <v>2500000</v>
      </c>
      <c r="E3207" s="12">
        <v>1085310465</v>
      </c>
      <c r="F3207" s="12" t="s">
        <v>1694</v>
      </c>
      <c r="G3207" t="s">
        <v>1094</v>
      </c>
    </row>
    <row r="3208" spans="1:7" ht="15" customHeight="1" x14ac:dyDescent="0.25">
      <c r="A3208" s="22" t="s">
        <v>1305</v>
      </c>
      <c r="B3208" s="12" t="s">
        <v>1449</v>
      </c>
      <c r="C3208" s="12" t="s">
        <v>1122</v>
      </c>
      <c r="D3208" s="23">
        <v>4825000</v>
      </c>
      <c r="E3208" s="12">
        <v>1085321578</v>
      </c>
      <c r="F3208" s="12" t="s">
        <v>1618</v>
      </c>
      <c r="G3208" t="s">
        <v>1094</v>
      </c>
    </row>
    <row r="3209" spans="1:7" ht="15" customHeight="1" x14ac:dyDescent="0.25">
      <c r="A3209" s="22" t="s">
        <v>1305</v>
      </c>
      <c r="B3209" s="12" t="s">
        <v>1450</v>
      </c>
      <c r="C3209" s="12" t="s">
        <v>1205</v>
      </c>
      <c r="D3209" s="23">
        <v>2600000</v>
      </c>
      <c r="E3209" s="12">
        <v>1004235479</v>
      </c>
      <c r="F3209" s="12" t="s">
        <v>477</v>
      </c>
      <c r="G3209" t="s">
        <v>1094</v>
      </c>
    </row>
    <row r="3210" spans="1:7" ht="15" customHeight="1" x14ac:dyDescent="0.25">
      <c r="A3210" s="22" t="s">
        <v>1305</v>
      </c>
      <c r="B3210" s="12" t="s">
        <v>1451</v>
      </c>
      <c r="C3210" s="12" t="s">
        <v>1121</v>
      </c>
      <c r="D3210" s="23">
        <v>3000000</v>
      </c>
      <c r="E3210" s="12">
        <v>59310524</v>
      </c>
      <c r="F3210" s="12" t="s">
        <v>992</v>
      </c>
      <c r="G3210" t="s">
        <v>1094</v>
      </c>
    </row>
    <row r="3211" spans="1:7" ht="15" customHeight="1" x14ac:dyDescent="0.25">
      <c r="A3211" s="22" t="s">
        <v>1305</v>
      </c>
      <c r="B3211" s="12" t="s">
        <v>1452</v>
      </c>
      <c r="C3211" s="12" t="s">
        <v>1206</v>
      </c>
      <c r="D3211" s="23">
        <v>3000000</v>
      </c>
      <c r="E3211" s="12">
        <v>1004592366</v>
      </c>
      <c r="F3211" s="12" t="s">
        <v>1697</v>
      </c>
      <c r="G3211" t="s">
        <v>1094</v>
      </c>
    </row>
    <row r="3212" spans="1:7" ht="15" customHeight="1" x14ac:dyDescent="0.25">
      <c r="A3212" s="22" t="s">
        <v>1305</v>
      </c>
      <c r="B3212" s="12" t="s">
        <v>1453</v>
      </c>
      <c r="C3212" s="12" t="s">
        <v>1207</v>
      </c>
      <c r="D3212" s="23">
        <v>3000000</v>
      </c>
      <c r="E3212" s="12">
        <v>1085266584</v>
      </c>
      <c r="F3212" s="12" t="s">
        <v>115</v>
      </c>
      <c r="G3212" t="s">
        <v>1094</v>
      </c>
    </row>
    <row r="3213" spans="1:7" ht="15" customHeight="1" x14ac:dyDescent="0.25">
      <c r="A3213" s="22" t="s">
        <v>1305</v>
      </c>
      <c r="B3213" s="12" t="s">
        <v>1454</v>
      </c>
      <c r="C3213" s="12" t="s">
        <v>1101</v>
      </c>
      <c r="D3213" s="23">
        <v>6000000</v>
      </c>
      <c r="E3213" s="12">
        <v>27146489</v>
      </c>
      <c r="F3213" s="12" t="s">
        <v>1595</v>
      </c>
      <c r="G3213" t="s">
        <v>1094</v>
      </c>
    </row>
    <row r="3214" spans="1:7" ht="15" customHeight="1" x14ac:dyDescent="0.25">
      <c r="A3214" s="22" t="s">
        <v>1305</v>
      </c>
      <c r="B3214" s="12" t="s">
        <v>1455</v>
      </c>
      <c r="C3214" s="12" t="s">
        <v>1144</v>
      </c>
      <c r="D3214" s="23">
        <v>4750000</v>
      </c>
      <c r="E3214" s="12">
        <v>27087475</v>
      </c>
      <c r="F3214" s="12" t="s">
        <v>1645</v>
      </c>
      <c r="G3214" t="s">
        <v>1094</v>
      </c>
    </row>
    <row r="3215" spans="1:7" ht="15" customHeight="1" x14ac:dyDescent="0.25">
      <c r="A3215" s="22" t="s">
        <v>1305</v>
      </c>
      <c r="B3215" s="12" t="s">
        <v>1456</v>
      </c>
      <c r="C3215" s="12" t="s">
        <v>1208</v>
      </c>
      <c r="D3215" s="23">
        <v>2500000</v>
      </c>
      <c r="E3215" s="12">
        <v>12990231</v>
      </c>
      <c r="F3215" s="12" t="s">
        <v>1700</v>
      </c>
      <c r="G3215" t="s">
        <v>1094</v>
      </c>
    </row>
    <row r="3216" spans="1:7" ht="15" customHeight="1" x14ac:dyDescent="0.25">
      <c r="A3216" s="22" t="s">
        <v>1305</v>
      </c>
      <c r="B3216" s="12" t="s">
        <v>1457</v>
      </c>
      <c r="C3216" s="12" t="s">
        <v>1209</v>
      </c>
      <c r="D3216" s="23">
        <v>3000000</v>
      </c>
      <c r="E3216" s="12">
        <v>1085261053</v>
      </c>
      <c r="F3216" s="12" t="s">
        <v>1702</v>
      </c>
      <c r="G3216" t="s">
        <v>1094</v>
      </c>
    </row>
    <row r="3217" spans="1:7" ht="15" customHeight="1" x14ac:dyDescent="0.25">
      <c r="A3217" s="22" t="s">
        <v>1305</v>
      </c>
      <c r="B3217" s="12" t="s">
        <v>1458</v>
      </c>
      <c r="C3217" s="12" t="s">
        <v>1128</v>
      </c>
      <c r="D3217" s="23">
        <v>3000000</v>
      </c>
      <c r="E3217" s="12">
        <v>1137624011</v>
      </c>
      <c r="F3217" s="12" t="s">
        <v>1627</v>
      </c>
      <c r="G3217" t="s">
        <v>1094</v>
      </c>
    </row>
    <row r="3218" spans="1:7" ht="15" customHeight="1" x14ac:dyDescent="0.25">
      <c r="A3218" s="22" t="s">
        <v>1305</v>
      </c>
      <c r="B3218" s="12" t="s">
        <v>1459</v>
      </c>
      <c r="C3218" s="12" t="s">
        <v>1147</v>
      </c>
      <c r="D3218" s="23">
        <v>3000000</v>
      </c>
      <c r="E3218" s="12">
        <v>1085271641</v>
      </c>
      <c r="F3218" s="12" t="s">
        <v>1649</v>
      </c>
      <c r="G3218" t="s">
        <v>1094</v>
      </c>
    </row>
    <row r="3219" spans="1:7" ht="15" customHeight="1" x14ac:dyDescent="0.25">
      <c r="A3219" s="22" t="s">
        <v>1305</v>
      </c>
      <c r="B3219" s="12" t="s">
        <v>1460</v>
      </c>
      <c r="C3219" s="12" t="s">
        <v>1172</v>
      </c>
      <c r="D3219" s="23">
        <v>4750000</v>
      </c>
      <c r="E3219" s="12">
        <v>1018492767</v>
      </c>
      <c r="F3219" s="12" t="s">
        <v>915</v>
      </c>
      <c r="G3219" t="s">
        <v>1094</v>
      </c>
    </row>
    <row r="3220" spans="1:7" ht="15" customHeight="1" x14ac:dyDescent="0.25">
      <c r="A3220" s="22" t="s">
        <v>1305</v>
      </c>
      <c r="B3220" s="12" t="s">
        <v>1461</v>
      </c>
      <c r="C3220" s="12" t="s">
        <v>1167</v>
      </c>
      <c r="D3220" s="23">
        <v>6000000</v>
      </c>
      <c r="E3220" s="12">
        <v>36757221</v>
      </c>
      <c r="F3220" s="12" t="s">
        <v>1666</v>
      </c>
      <c r="G3220" t="s">
        <v>1094</v>
      </c>
    </row>
    <row r="3221" spans="1:7" ht="15" customHeight="1" x14ac:dyDescent="0.25">
      <c r="A3221" s="22" t="s">
        <v>1305</v>
      </c>
      <c r="B3221" s="12" t="s">
        <v>1462</v>
      </c>
      <c r="C3221" s="12" t="s">
        <v>1210</v>
      </c>
      <c r="D3221" s="23">
        <v>3000000</v>
      </c>
      <c r="E3221" s="12">
        <v>1087959088</v>
      </c>
      <c r="F3221" s="12" t="s">
        <v>1255</v>
      </c>
      <c r="G3221" t="s">
        <v>1094</v>
      </c>
    </row>
    <row r="3222" spans="1:7" ht="15" customHeight="1" x14ac:dyDescent="0.25">
      <c r="A3222" s="22" t="s">
        <v>1306</v>
      </c>
      <c r="B3222" s="12" t="s">
        <v>1463</v>
      </c>
      <c r="C3222" s="12" t="s">
        <v>1126</v>
      </c>
      <c r="D3222" s="23">
        <v>3000000</v>
      </c>
      <c r="E3222" s="12">
        <v>1085317833</v>
      </c>
      <c r="F3222" s="12" t="s">
        <v>11</v>
      </c>
      <c r="G3222" t="s">
        <v>1094</v>
      </c>
    </row>
    <row r="3223" spans="1:7" ht="15" customHeight="1" x14ac:dyDescent="0.25">
      <c r="A3223" s="22" t="s">
        <v>1306</v>
      </c>
      <c r="B3223" s="12" t="s">
        <v>1464</v>
      </c>
      <c r="C3223" s="12" t="s">
        <v>1212</v>
      </c>
      <c r="D3223" s="23">
        <v>4825000</v>
      </c>
      <c r="E3223" s="12">
        <v>36951301</v>
      </c>
      <c r="F3223" s="12" t="s">
        <v>1213</v>
      </c>
      <c r="G3223" t="s">
        <v>1094</v>
      </c>
    </row>
    <row r="3224" spans="1:7" ht="15" customHeight="1" x14ac:dyDescent="0.25">
      <c r="A3224" s="22" t="s">
        <v>1306</v>
      </c>
      <c r="B3224" s="12" t="s">
        <v>1465</v>
      </c>
      <c r="C3224" s="12" t="s">
        <v>1119</v>
      </c>
      <c r="D3224" s="23">
        <v>4750000</v>
      </c>
      <c r="E3224" s="12">
        <v>1085345772</v>
      </c>
      <c r="F3224" s="12" t="s">
        <v>1615</v>
      </c>
      <c r="G3224" t="s">
        <v>1094</v>
      </c>
    </row>
    <row r="3225" spans="1:7" ht="15" customHeight="1" x14ac:dyDescent="0.25">
      <c r="A3225" s="22" t="s">
        <v>1306</v>
      </c>
      <c r="B3225" s="12" t="s">
        <v>1467</v>
      </c>
      <c r="C3225" s="12" t="s">
        <v>1183</v>
      </c>
      <c r="D3225" s="23">
        <v>7500000</v>
      </c>
      <c r="E3225" s="12">
        <v>1193202097</v>
      </c>
      <c r="F3225" s="12" t="s">
        <v>163</v>
      </c>
      <c r="G3225" t="s">
        <v>1094</v>
      </c>
    </row>
    <row r="3226" spans="1:7" ht="15" customHeight="1" x14ac:dyDescent="0.25">
      <c r="A3226" s="22" t="s">
        <v>1306</v>
      </c>
      <c r="B3226" s="12" t="s">
        <v>1468</v>
      </c>
      <c r="C3226" s="12" t="s">
        <v>1187</v>
      </c>
      <c r="D3226" s="23">
        <v>3000000</v>
      </c>
      <c r="E3226" s="12">
        <v>27388522</v>
      </c>
      <c r="F3226" s="12" t="s">
        <v>525</v>
      </c>
      <c r="G3226" t="s">
        <v>1094</v>
      </c>
    </row>
    <row r="3227" spans="1:7" ht="15" customHeight="1" x14ac:dyDescent="0.25">
      <c r="A3227" s="22" t="s">
        <v>1306</v>
      </c>
      <c r="B3227" s="12" t="s">
        <v>1469</v>
      </c>
      <c r="C3227" s="12" t="s">
        <v>1214</v>
      </c>
      <c r="D3227" s="23">
        <v>6000000</v>
      </c>
      <c r="E3227" s="12">
        <v>1004213964</v>
      </c>
      <c r="F3227" s="12" t="s">
        <v>1704</v>
      </c>
      <c r="G3227" t="s">
        <v>1094</v>
      </c>
    </row>
    <row r="3228" spans="1:7" ht="15" customHeight="1" x14ac:dyDescent="0.25">
      <c r="A3228" s="22" t="s">
        <v>1306</v>
      </c>
      <c r="B3228" s="12" t="s">
        <v>1470</v>
      </c>
      <c r="C3228" s="12" t="s">
        <v>1181</v>
      </c>
      <c r="D3228" s="23">
        <v>6000000</v>
      </c>
      <c r="E3228" s="12">
        <v>1085299577</v>
      </c>
      <c r="F3228" s="12" t="s">
        <v>1674</v>
      </c>
      <c r="G3228" t="s">
        <v>1094</v>
      </c>
    </row>
    <row r="3229" spans="1:7" ht="15" customHeight="1" x14ac:dyDescent="0.25">
      <c r="A3229" s="22" t="s">
        <v>1308</v>
      </c>
      <c r="B3229" s="12" t="s">
        <v>1471</v>
      </c>
      <c r="C3229" s="12" t="s">
        <v>1215</v>
      </c>
      <c r="D3229" s="23">
        <v>6000000</v>
      </c>
      <c r="E3229" s="12">
        <v>1082748420</v>
      </c>
      <c r="F3229" s="12" t="s">
        <v>1706</v>
      </c>
      <c r="G3229" t="s">
        <v>1094</v>
      </c>
    </row>
    <row r="3230" spans="1:7" ht="15" customHeight="1" x14ac:dyDescent="0.25">
      <c r="A3230" s="22" t="s">
        <v>1308</v>
      </c>
      <c r="B3230" s="12" t="s">
        <v>1472</v>
      </c>
      <c r="C3230" s="12" t="s">
        <v>1201</v>
      </c>
      <c r="D3230" s="23">
        <v>3000000</v>
      </c>
      <c r="E3230" s="12">
        <v>59310853</v>
      </c>
      <c r="F3230" s="12" t="s">
        <v>1692</v>
      </c>
      <c r="G3230" t="s">
        <v>1094</v>
      </c>
    </row>
    <row r="3231" spans="1:7" ht="15" customHeight="1" x14ac:dyDescent="0.25">
      <c r="A3231" s="22" t="s">
        <v>1308</v>
      </c>
      <c r="B3231" s="12" t="s">
        <v>1473</v>
      </c>
      <c r="C3231" s="12" t="s">
        <v>1170</v>
      </c>
      <c r="D3231" s="23">
        <v>2500000</v>
      </c>
      <c r="E3231" s="12">
        <v>1085304072</v>
      </c>
      <c r="F3231" s="12" t="s">
        <v>1171</v>
      </c>
      <c r="G3231" t="s">
        <v>1094</v>
      </c>
    </row>
    <row r="3232" spans="1:7" ht="15" customHeight="1" x14ac:dyDescent="0.25">
      <c r="A3232" s="22" t="s">
        <v>1308</v>
      </c>
      <c r="B3232" s="12" t="s">
        <v>1474</v>
      </c>
      <c r="C3232" s="12" t="s">
        <v>1190</v>
      </c>
      <c r="D3232" s="23">
        <v>7500000</v>
      </c>
      <c r="E3232" s="12">
        <v>37087120</v>
      </c>
      <c r="F3232" s="12" t="s">
        <v>159</v>
      </c>
      <c r="G3232" t="s">
        <v>1094</v>
      </c>
    </row>
    <row r="3233" spans="1:7" ht="15" customHeight="1" x14ac:dyDescent="0.25">
      <c r="A3233" s="22" t="s">
        <v>1308</v>
      </c>
      <c r="B3233" s="12" t="s">
        <v>1475</v>
      </c>
      <c r="C3233" s="12" t="s">
        <v>1133</v>
      </c>
      <c r="D3233" s="23">
        <v>3000000</v>
      </c>
      <c r="E3233" s="12">
        <v>59834953</v>
      </c>
      <c r="F3233" s="12" t="s">
        <v>1633</v>
      </c>
      <c r="G3233" t="s">
        <v>1094</v>
      </c>
    </row>
    <row r="3234" spans="1:7" ht="15" customHeight="1" x14ac:dyDescent="0.25">
      <c r="A3234" s="22" t="s">
        <v>1308</v>
      </c>
      <c r="B3234" s="12" t="s">
        <v>1476</v>
      </c>
      <c r="C3234" s="12" t="s">
        <v>1188</v>
      </c>
      <c r="D3234" s="23">
        <v>2500000</v>
      </c>
      <c r="E3234" s="12">
        <v>1085255753</v>
      </c>
      <c r="F3234" s="12" t="s">
        <v>1681</v>
      </c>
      <c r="G3234" t="s">
        <v>1094</v>
      </c>
    </row>
    <row r="3235" spans="1:7" ht="15" customHeight="1" x14ac:dyDescent="0.25">
      <c r="A3235" s="22" t="s">
        <v>1308</v>
      </c>
      <c r="B3235" s="12" t="s">
        <v>1477</v>
      </c>
      <c r="C3235" s="12" t="s">
        <v>1216</v>
      </c>
      <c r="D3235" s="23">
        <v>2500000</v>
      </c>
      <c r="E3235" s="12">
        <v>1088729401</v>
      </c>
      <c r="F3235" s="12" t="s">
        <v>1707</v>
      </c>
      <c r="G3235" t="s">
        <v>1094</v>
      </c>
    </row>
    <row r="3236" spans="1:7" ht="15" customHeight="1" x14ac:dyDescent="0.25">
      <c r="A3236" s="22" t="s">
        <v>1308</v>
      </c>
      <c r="B3236" s="12" t="s">
        <v>1478</v>
      </c>
      <c r="C3236" s="12" t="s">
        <v>1217</v>
      </c>
      <c r="D3236" s="23">
        <v>7500000</v>
      </c>
      <c r="E3236" s="12">
        <v>1087006619</v>
      </c>
      <c r="F3236" s="12" t="s">
        <v>1709</v>
      </c>
      <c r="G3236" t="s">
        <v>1094</v>
      </c>
    </row>
    <row r="3237" spans="1:7" ht="15" customHeight="1" x14ac:dyDescent="0.25">
      <c r="A3237" s="22" t="s">
        <v>1308</v>
      </c>
      <c r="B3237" s="12" t="s">
        <v>1479</v>
      </c>
      <c r="C3237" s="4" t="s">
        <v>1219</v>
      </c>
      <c r="D3237" s="23">
        <v>75390000</v>
      </c>
      <c r="E3237" s="12">
        <v>805021222</v>
      </c>
      <c r="F3237" s="12" t="s">
        <v>1711</v>
      </c>
      <c r="G3237" t="s">
        <v>1094</v>
      </c>
    </row>
    <row r="3238" spans="1:7" ht="15" customHeight="1" x14ac:dyDescent="0.25">
      <c r="A3238" s="22" t="s">
        <v>1299</v>
      </c>
      <c r="B3238" s="12" t="s">
        <v>1480</v>
      </c>
      <c r="C3238" s="12" t="s">
        <v>1120</v>
      </c>
      <c r="D3238" s="23">
        <v>3000000</v>
      </c>
      <c r="E3238" s="12">
        <v>1233189234</v>
      </c>
      <c r="F3238" s="12" t="s">
        <v>87</v>
      </c>
      <c r="G3238" t="s">
        <v>1094</v>
      </c>
    </row>
    <row r="3239" spans="1:7" ht="15" customHeight="1" x14ac:dyDescent="0.25">
      <c r="A3239" s="22" t="s">
        <v>1299</v>
      </c>
      <c r="B3239" s="12" t="s">
        <v>1481</v>
      </c>
      <c r="C3239" s="12" t="s">
        <v>1162</v>
      </c>
      <c r="D3239" s="23">
        <v>3000000</v>
      </c>
      <c r="E3239" s="12">
        <v>1087006717</v>
      </c>
      <c r="F3239" s="12" t="s">
        <v>1661</v>
      </c>
      <c r="G3239" t="s">
        <v>1094</v>
      </c>
    </row>
    <row r="3240" spans="1:7" ht="15" customHeight="1" x14ac:dyDescent="0.25">
      <c r="A3240" s="22" t="s">
        <v>1299</v>
      </c>
      <c r="B3240" s="12" t="s">
        <v>1482</v>
      </c>
      <c r="C3240" s="12" t="s">
        <v>1104</v>
      </c>
      <c r="D3240" s="23">
        <v>2500000</v>
      </c>
      <c r="E3240" s="12">
        <v>1233189896</v>
      </c>
      <c r="F3240" s="12" t="s">
        <v>1597</v>
      </c>
      <c r="G3240" t="s">
        <v>1094</v>
      </c>
    </row>
    <row r="3241" spans="1:7" ht="15" customHeight="1" x14ac:dyDescent="0.25">
      <c r="A3241" s="22" t="s">
        <v>1299</v>
      </c>
      <c r="B3241" s="12" t="s">
        <v>1410</v>
      </c>
      <c r="C3241" s="12" t="s">
        <v>1127</v>
      </c>
      <c r="D3241" s="23">
        <v>7500000</v>
      </c>
      <c r="E3241" s="12">
        <v>1006106084</v>
      </c>
      <c r="F3241" s="12" t="s">
        <v>1625</v>
      </c>
      <c r="G3241" t="s">
        <v>1094</v>
      </c>
    </row>
    <row r="3242" spans="1:7" ht="15" customHeight="1" x14ac:dyDescent="0.25">
      <c r="A3242" s="22" t="s">
        <v>1299</v>
      </c>
      <c r="B3242" s="12" t="s">
        <v>1483</v>
      </c>
      <c r="C3242" s="12" t="s">
        <v>1155</v>
      </c>
      <c r="D3242" s="23">
        <v>3000000</v>
      </c>
      <c r="E3242" s="12">
        <v>1085326791</v>
      </c>
      <c r="F3242" s="12" t="s">
        <v>479</v>
      </c>
      <c r="G3242" t="s">
        <v>1094</v>
      </c>
    </row>
    <row r="3243" spans="1:7" ht="15" customHeight="1" x14ac:dyDescent="0.25">
      <c r="A3243" s="22" t="s">
        <v>1299</v>
      </c>
      <c r="B3243" s="12" t="s">
        <v>1484</v>
      </c>
      <c r="C3243" s="12" t="s">
        <v>1153</v>
      </c>
      <c r="D3243" s="23">
        <v>3000000</v>
      </c>
      <c r="E3243" s="12">
        <v>37082232</v>
      </c>
      <c r="F3243" s="12" t="s">
        <v>1655</v>
      </c>
      <c r="G3243" t="s">
        <v>1094</v>
      </c>
    </row>
    <row r="3244" spans="1:7" ht="15" customHeight="1" x14ac:dyDescent="0.25">
      <c r="A3244" s="22" t="s">
        <v>1299</v>
      </c>
      <c r="B3244" s="12" t="s">
        <v>1485</v>
      </c>
      <c r="C3244" s="12" t="s">
        <v>1221</v>
      </c>
      <c r="D3244" s="23">
        <v>3000000</v>
      </c>
      <c r="E3244" s="12">
        <v>1085304308</v>
      </c>
      <c r="F3244" s="12" t="s">
        <v>1222</v>
      </c>
      <c r="G3244" t="s">
        <v>1094</v>
      </c>
    </row>
    <row r="3245" spans="1:7" ht="15" customHeight="1" x14ac:dyDescent="0.25">
      <c r="A3245" s="22" t="s">
        <v>1299</v>
      </c>
      <c r="B3245" s="12" t="s">
        <v>1486</v>
      </c>
      <c r="C3245" s="12" t="s">
        <v>1169</v>
      </c>
      <c r="D3245" s="23">
        <v>6000000</v>
      </c>
      <c r="E3245" s="12">
        <v>59820414</v>
      </c>
      <c r="F3245" s="12" t="s">
        <v>457</v>
      </c>
      <c r="G3245" t="s">
        <v>1094</v>
      </c>
    </row>
    <row r="3246" spans="1:7" ht="15" customHeight="1" x14ac:dyDescent="0.25">
      <c r="A3246" s="22" t="s">
        <v>1299</v>
      </c>
      <c r="B3246" s="12" t="s">
        <v>1487</v>
      </c>
      <c r="C3246" s="12" t="s">
        <v>1223</v>
      </c>
      <c r="D3246" s="23">
        <v>6000000</v>
      </c>
      <c r="E3246" s="12">
        <v>27097745</v>
      </c>
      <c r="F3246" s="12" t="s">
        <v>1714</v>
      </c>
      <c r="G3246" t="s">
        <v>1094</v>
      </c>
    </row>
    <row r="3247" spans="1:7" ht="15" customHeight="1" x14ac:dyDescent="0.25">
      <c r="A3247" s="22" t="s">
        <v>1299</v>
      </c>
      <c r="B3247" s="12" t="s">
        <v>1488</v>
      </c>
      <c r="C3247" s="4" t="s">
        <v>1225</v>
      </c>
      <c r="D3247" s="23">
        <v>2500000</v>
      </c>
      <c r="E3247" s="12">
        <v>1087408320</v>
      </c>
      <c r="F3247" s="12" t="s">
        <v>1715</v>
      </c>
      <c r="G3247" t="s">
        <v>1094</v>
      </c>
    </row>
    <row r="3248" spans="1:7" ht="15" customHeight="1" x14ac:dyDescent="0.25">
      <c r="A3248" s="22" t="s">
        <v>1299</v>
      </c>
      <c r="B3248" s="12" t="s">
        <v>1489</v>
      </c>
      <c r="C3248" s="12" t="s">
        <v>1157</v>
      </c>
      <c r="D3248" s="23">
        <v>3000000</v>
      </c>
      <c r="E3248" s="12">
        <v>1085315013</v>
      </c>
      <c r="F3248" s="12" t="s">
        <v>1659</v>
      </c>
      <c r="G3248" t="s">
        <v>1094</v>
      </c>
    </row>
    <row r="3249" spans="1:7" ht="15" customHeight="1" x14ac:dyDescent="0.25">
      <c r="A3249" s="22" t="s">
        <v>1299</v>
      </c>
      <c r="B3249" s="12" t="s">
        <v>1490</v>
      </c>
      <c r="C3249" s="12" t="s">
        <v>1109</v>
      </c>
      <c r="D3249" s="23">
        <v>3000000</v>
      </c>
      <c r="E3249" s="12">
        <v>1081594639</v>
      </c>
      <c r="F3249" s="12" t="s">
        <v>1110</v>
      </c>
      <c r="G3249" t="s">
        <v>1094</v>
      </c>
    </row>
    <row r="3250" spans="1:7" ht="15" customHeight="1" x14ac:dyDescent="0.25">
      <c r="A3250" s="22" t="s">
        <v>1299</v>
      </c>
      <c r="B3250" s="12" t="s">
        <v>1491</v>
      </c>
      <c r="C3250" s="12" t="s">
        <v>1148</v>
      </c>
      <c r="D3250" s="23">
        <v>3000000</v>
      </c>
      <c r="E3250" s="12">
        <v>1004535234</v>
      </c>
      <c r="F3250" s="12" t="s">
        <v>507</v>
      </c>
      <c r="G3250" t="s">
        <v>1094</v>
      </c>
    </row>
    <row r="3251" spans="1:7" ht="15" customHeight="1" x14ac:dyDescent="0.25">
      <c r="A3251" s="22" t="s">
        <v>1299</v>
      </c>
      <c r="B3251" s="12" t="s">
        <v>1492</v>
      </c>
      <c r="C3251" s="12" t="s">
        <v>1159</v>
      </c>
      <c r="D3251" s="23">
        <v>3000000</v>
      </c>
      <c r="E3251" s="12">
        <v>1086363186</v>
      </c>
      <c r="F3251" s="12" t="s">
        <v>1160</v>
      </c>
      <c r="G3251" t="s">
        <v>1094</v>
      </c>
    </row>
    <row r="3252" spans="1:7" ht="15" customHeight="1" x14ac:dyDescent="0.25">
      <c r="A3252" s="22" t="s">
        <v>1299</v>
      </c>
      <c r="B3252" s="12" t="s">
        <v>1493</v>
      </c>
      <c r="C3252" s="12" t="s">
        <v>1113</v>
      </c>
      <c r="D3252" s="23">
        <v>3000000</v>
      </c>
      <c r="E3252" s="12">
        <v>1086222689</v>
      </c>
      <c r="F3252" s="12" t="s">
        <v>1114</v>
      </c>
      <c r="G3252" t="s">
        <v>1094</v>
      </c>
    </row>
    <row r="3253" spans="1:7" ht="15" customHeight="1" x14ac:dyDescent="0.25">
      <c r="A3253" s="22" t="s">
        <v>1299</v>
      </c>
      <c r="B3253" s="12" t="s">
        <v>1494</v>
      </c>
      <c r="C3253" s="12" t="s">
        <v>1099</v>
      </c>
      <c r="D3253" s="23">
        <v>7500000</v>
      </c>
      <c r="E3253" s="12">
        <v>1085329980</v>
      </c>
      <c r="F3253" s="12" t="s">
        <v>1592</v>
      </c>
      <c r="G3253" t="s">
        <v>1094</v>
      </c>
    </row>
    <row r="3254" spans="1:7" ht="15" customHeight="1" x14ac:dyDescent="0.25">
      <c r="A3254" s="22" t="s">
        <v>1299</v>
      </c>
      <c r="B3254" s="12" t="s">
        <v>1495</v>
      </c>
      <c r="C3254" s="12" t="s">
        <v>1226</v>
      </c>
      <c r="D3254" s="23">
        <v>5000000</v>
      </c>
      <c r="E3254" s="12">
        <v>1085313872</v>
      </c>
      <c r="F3254" s="12" t="s">
        <v>614</v>
      </c>
      <c r="G3254" t="s">
        <v>1094</v>
      </c>
    </row>
    <row r="3255" spans="1:7" ht="15" customHeight="1" x14ac:dyDescent="0.25">
      <c r="A3255" s="22" t="s">
        <v>1309</v>
      </c>
      <c r="B3255" s="12" t="s">
        <v>1496</v>
      </c>
      <c r="C3255" s="12" t="s">
        <v>1227</v>
      </c>
      <c r="D3255" s="23">
        <v>5000000</v>
      </c>
      <c r="E3255" s="12">
        <v>27220499</v>
      </c>
      <c r="F3255" s="12" t="s">
        <v>1716</v>
      </c>
      <c r="G3255" t="s">
        <v>1094</v>
      </c>
    </row>
    <row r="3256" spans="1:7" ht="15" customHeight="1" x14ac:dyDescent="0.25">
      <c r="A3256" s="22" t="s">
        <v>1309</v>
      </c>
      <c r="B3256" s="12" t="s">
        <v>1497</v>
      </c>
      <c r="C3256" s="12" t="s">
        <v>1228</v>
      </c>
      <c r="D3256" s="23">
        <v>3000000</v>
      </c>
      <c r="E3256" s="12">
        <v>1084224968</v>
      </c>
      <c r="F3256" s="12" t="s">
        <v>1718</v>
      </c>
      <c r="G3256" t="s">
        <v>1094</v>
      </c>
    </row>
    <row r="3257" spans="1:7" ht="15" customHeight="1" x14ac:dyDescent="0.25">
      <c r="A3257" s="22" t="s">
        <v>1309</v>
      </c>
      <c r="B3257" s="12" t="s">
        <v>1498</v>
      </c>
      <c r="C3257" s="12" t="s">
        <v>1151</v>
      </c>
      <c r="D3257" s="23">
        <v>3000000</v>
      </c>
      <c r="E3257" s="12">
        <v>1085269090</v>
      </c>
      <c r="F3257" s="12" t="s">
        <v>371</v>
      </c>
      <c r="G3257" t="s">
        <v>1094</v>
      </c>
    </row>
    <row r="3258" spans="1:7" ht="15" customHeight="1" x14ac:dyDescent="0.25">
      <c r="A3258" s="22" t="s">
        <v>1309</v>
      </c>
      <c r="B3258" s="12" t="s">
        <v>1499</v>
      </c>
      <c r="C3258" s="12" t="s">
        <v>1229</v>
      </c>
      <c r="D3258" s="23">
        <v>2500000</v>
      </c>
      <c r="E3258" s="12">
        <v>1084552048</v>
      </c>
      <c r="F3258" s="12" t="s">
        <v>1720</v>
      </c>
      <c r="G3258" t="s">
        <v>1094</v>
      </c>
    </row>
    <row r="3259" spans="1:7" ht="15" customHeight="1" x14ac:dyDescent="0.25">
      <c r="A3259" s="22" t="s">
        <v>1309</v>
      </c>
      <c r="B3259" s="12" t="s">
        <v>1500</v>
      </c>
      <c r="C3259" s="12" t="s">
        <v>1231</v>
      </c>
      <c r="D3259" s="23">
        <v>6000000</v>
      </c>
      <c r="E3259" s="12">
        <v>1085253062</v>
      </c>
      <c r="F3259" s="12" t="s">
        <v>1722</v>
      </c>
      <c r="G3259" t="s">
        <v>1094</v>
      </c>
    </row>
    <row r="3260" spans="1:7" ht="15" customHeight="1" x14ac:dyDescent="0.25">
      <c r="A3260" s="22" t="s">
        <v>1309</v>
      </c>
      <c r="B3260" s="12" t="s">
        <v>1501</v>
      </c>
      <c r="C3260" s="12" t="s">
        <v>1232</v>
      </c>
      <c r="D3260" s="23">
        <v>6000000</v>
      </c>
      <c r="E3260" s="12">
        <v>59314458</v>
      </c>
      <c r="F3260" s="12" t="s">
        <v>1233</v>
      </c>
      <c r="G3260" t="s">
        <v>1094</v>
      </c>
    </row>
    <row r="3261" spans="1:7" ht="15" customHeight="1" x14ac:dyDescent="0.25">
      <c r="A3261" s="22" t="s">
        <v>1309</v>
      </c>
      <c r="B3261" s="12" t="s">
        <v>1502</v>
      </c>
      <c r="C3261" s="12" t="s">
        <v>1150</v>
      </c>
      <c r="D3261" s="23">
        <v>6000000</v>
      </c>
      <c r="E3261" s="12">
        <v>1085275879</v>
      </c>
      <c r="F3261" s="12" t="s">
        <v>117</v>
      </c>
      <c r="G3261" t="s">
        <v>1094</v>
      </c>
    </row>
    <row r="3262" spans="1:7" ht="15" customHeight="1" x14ac:dyDescent="0.25">
      <c r="A3262" s="22" t="s">
        <v>1309</v>
      </c>
      <c r="B3262" s="12" t="s">
        <v>1503</v>
      </c>
      <c r="C3262" s="12" t="s">
        <v>1138</v>
      </c>
      <c r="D3262" s="23">
        <v>4825000</v>
      </c>
      <c r="E3262" s="12">
        <v>1085269530</v>
      </c>
      <c r="F3262" s="12" t="s">
        <v>1636</v>
      </c>
      <c r="G3262" t="s">
        <v>1094</v>
      </c>
    </row>
    <row r="3263" spans="1:7" ht="15" customHeight="1" x14ac:dyDescent="0.25">
      <c r="A3263" s="22" t="s">
        <v>1309</v>
      </c>
      <c r="B3263" s="12" t="s">
        <v>1504</v>
      </c>
      <c r="C3263" s="12" t="s">
        <v>1152</v>
      </c>
      <c r="D3263" s="23">
        <v>6000000</v>
      </c>
      <c r="E3263" s="12">
        <v>1014212900</v>
      </c>
      <c r="F3263" s="12" t="s">
        <v>1654</v>
      </c>
      <c r="G3263" t="s">
        <v>1094</v>
      </c>
    </row>
    <row r="3264" spans="1:7" ht="15" customHeight="1" x14ac:dyDescent="0.25">
      <c r="A3264" s="22" t="s">
        <v>1309</v>
      </c>
      <c r="B3264" s="12" t="s">
        <v>1505</v>
      </c>
      <c r="C3264" s="12" t="s">
        <v>1129</v>
      </c>
      <c r="D3264" s="23">
        <v>4750000</v>
      </c>
      <c r="E3264" s="12">
        <v>36759759</v>
      </c>
      <c r="F3264" s="12" t="s">
        <v>705</v>
      </c>
      <c r="G3264" t="s">
        <v>1094</v>
      </c>
    </row>
    <row r="3265" spans="1:7" ht="15" customHeight="1" x14ac:dyDescent="0.25">
      <c r="A3265" s="22" t="s">
        <v>1300</v>
      </c>
      <c r="B3265" s="12" t="s">
        <v>1506</v>
      </c>
      <c r="C3265" s="12" t="s">
        <v>1176</v>
      </c>
      <c r="D3265" s="23">
        <v>3000000</v>
      </c>
      <c r="E3265" s="12">
        <v>59706564</v>
      </c>
      <c r="F3265" s="12" t="s">
        <v>1177</v>
      </c>
      <c r="G3265" t="s">
        <v>1094</v>
      </c>
    </row>
    <row r="3266" spans="1:7" ht="15" customHeight="1" x14ac:dyDescent="0.25">
      <c r="A3266" s="22" t="s">
        <v>1300</v>
      </c>
      <c r="B3266" s="12" t="s">
        <v>1507</v>
      </c>
      <c r="C3266" s="12" t="s">
        <v>1234</v>
      </c>
      <c r="D3266" s="23">
        <v>3000000</v>
      </c>
      <c r="E3266" s="12">
        <v>27088197</v>
      </c>
      <c r="F3266" s="12" t="s">
        <v>1235</v>
      </c>
      <c r="G3266" t="s">
        <v>1094</v>
      </c>
    </row>
    <row r="3267" spans="1:7" ht="15" customHeight="1" x14ac:dyDescent="0.25">
      <c r="A3267" s="22" t="s">
        <v>1300</v>
      </c>
      <c r="B3267" s="12" t="s">
        <v>1508</v>
      </c>
      <c r="C3267" s="12" t="s">
        <v>1178</v>
      </c>
      <c r="D3267" s="23">
        <v>3000000</v>
      </c>
      <c r="E3267" s="12">
        <v>1085314608</v>
      </c>
      <c r="F3267" s="12" t="s">
        <v>1179</v>
      </c>
      <c r="G3267" t="s">
        <v>1094</v>
      </c>
    </row>
    <row r="3268" spans="1:7" ht="15" customHeight="1" x14ac:dyDescent="0.25">
      <c r="A3268" s="22" t="s">
        <v>1300</v>
      </c>
      <c r="B3268" s="12" t="s">
        <v>1411</v>
      </c>
      <c r="C3268" s="12" t="s">
        <v>1185</v>
      </c>
      <c r="D3268" s="23">
        <v>3000000</v>
      </c>
      <c r="E3268" s="12">
        <v>1030606749</v>
      </c>
      <c r="F3268" s="12" t="s">
        <v>1678</v>
      </c>
      <c r="G3268" t="s">
        <v>1094</v>
      </c>
    </row>
    <row r="3269" spans="1:7" ht="15" customHeight="1" x14ac:dyDescent="0.25">
      <c r="A3269" s="22" t="s">
        <v>1300</v>
      </c>
      <c r="B3269" s="12" t="s">
        <v>1509</v>
      </c>
      <c r="C3269" s="12" t="s">
        <v>1180</v>
      </c>
      <c r="D3269" s="23">
        <v>3000000</v>
      </c>
      <c r="E3269" s="12">
        <v>1086329609</v>
      </c>
      <c r="F3269" s="12" t="s">
        <v>1672</v>
      </c>
      <c r="G3269" t="s">
        <v>1094</v>
      </c>
    </row>
    <row r="3270" spans="1:7" ht="15" customHeight="1" x14ac:dyDescent="0.25">
      <c r="A3270" s="22" t="s">
        <v>1300</v>
      </c>
      <c r="B3270" s="12" t="s">
        <v>1510</v>
      </c>
      <c r="C3270" s="12" t="s">
        <v>1236</v>
      </c>
      <c r="D3270" s="23">
        <v>4825000</v>
      </c>
      <c r="E3270" s="12">
        <v>1085311814</v>
      </c>
      <c r="F3270" s="12" t="s">
        <v>1725</v>
      </c>
      <c r="G3270" t="s">
        <v>1094</v>
      </c>
    </row>
    <row r="3271" spans="1:7" ht="15" customHeight="1" x14ac:dyDescent="0.25">
      <c r="A3271" s="22" t="s">
        <v>1300</v>
      </c>
      <c r="B3271" s="12" t="s">
        <v>1511</v>
      </c>
      <c r="C3271" s="12" t="s">
        <v>1174</v>
      </c>
      <c r="D3271" s="23">
        <v>3000000</v>
      </c>
      <c r="E3271" s="12">
        <v>1085274630</v>
      </c>
      <c r="F3271" s="12" t="s">
        <v>1175</v>
      </c>
      <c r="G3271" t="s">
        <v>1094</v>
      </c>
    </row>
    <row r="3272" spans="1:7" ht="15" customHeight="1" x14ac:dyDescent="0.25">
      <c r="A3272" s="22" t="s">
        <v>1300</v>
      </c>
      <c r="B3272" s="12" t="s">
        <v>1512</v>
      </c>
      <c r="C3272" s="12" t="s">
        <v>1237</v>
      </c>
      <c r="D3272" s="23">
        <v>6000000</v>
      </c>
      <c r="E3272" s="12">
        <v>36954410</v>
      </c>
      <c r="F3272" s="12" t="s">
        <v>343</v>
      </c>
      <c r="G3272" t="s">
        <v>1094</v>
      </c>
    </row>
    <row r="3273" spans="1:7" ht="15" customHeight="1" x14ac:dyDescent="0.25">
      <c r="A3273" s="22" t="s">
        <v>1310</v>
      </c>
      <c r="B3273" s="12" t="s">
        <v>1513</v>
      </c>
      <c r="C3273" s="12" t="s">
        <v>1191</v>
      </c>
      <c r="D3273" s="23">
        <v>6000000</v>
      </c>
      <c r="E3273" s="12">
        <v>59825948</v>
      </c>
      <c r="F3273" s="12" t="s">
        <v>1684</v>
      </c>
      <c r="G3273" t="s">
        <v>1094</v>
      </c>
    </row>
    <row r="3274" spans="1:7" ht="15" customHeight="1" x14ac:dyDescent="0.25">
      <c r="A3274" s="22" t="s">
        <v>1310</v>
      </c>
      <c r="B3274" s="12" t="s">
        <v>1514</v>
      </c>
      <c r="C3274" s="12" t="s">
        <v>1199</v>
      </c>
      <c r="D3274" s="23">
        <v>3000000</v>
      </c>
      <c r="E3274" s="12">
        <v>1085300095</v>
      </c>
      <c r="F3274" s="12" t="s">
        <v>201</v>
      </c>
      <c r="G3274" t="s">
        <v>1094</v>
      </c>
    </row>
    <row r="3275" spans="1:7" ht="15" customHeight="1" x14ac:dyDescent="0.25">
      <c r="A3275" s="22" t="s">
        <v>1310</v>
      </c>
      <c r="B3275" s="12" t="s">
        <v>1515</v>
      </c>
      <c r="C3275" s="12" t="s">
        <v>1200</v>
      </c>
      <c r="D3275" s="23">
        <v>3000000</v>
      </c>
      <c r="E3275" s="12">
        <v>1088733625</v>
      </c>
      <c r="F3275" s="12" t="s">
        <v>559</v>
      </c>
      <c r="G3275" t="s">
        <v>1094</v>
      </c>
    </row>
    <row r="3276" spans="1:7" ht="15" customHeight="1" x14ac:dyDescent="0.25">
      <c r="A3276" s="22" t="s">
        <v>1310</v>
      </c>
      <c r="B3276" s="12" t="s">
        <v>1516</v>
      </c>
      <c r="C3276" s="12" t="s">
        <v>1154</v>
      </c>
      <c r="D3276" s="23">
        <v>3000000</v>
      </c>
      <c r="E3276" s="12">
        <v>1004743217</v>
      </c>
      <c r="F3276" s="12" t="s">
        <v>1656</v>
      </c>
      <c r="G3276" t="s">
        <v>1094</v>
      </c>
    </row>
    <row r="3277" spans="1:7" ht="15" customHeight="1" x14ac:dyDescent="0.25">
      <c r="A3277" s="22" t="s">
        <v>1310</v>
      </c>
      <c r="B3277" s="12" t="s">
        <v>1517</v>
      </c>
      <c r="C3277" s="12" t="s">
        <v>1238</v>
      </c>
      <c r="D3277" s="23">
        <v>2500000</v>
      </c>
      <c r="E3277" s="12">
        <v>30734666</v>
      </c>
      <c r="F3277" s="12" t="s">
        <v>1239</v>
      </c>
      <c r="G3277" t="s">
        <v>1094</v>
      </c>
    </row>
    <row r="3278" spans="1:7" ht="15" customHeight="1" x14ac:dyDescent="0.25">
      <c r="A3278" s="22" t="s">
        <v>1311</v>
      </c>
      <c r="B3278" s="12" t="s">
        <v>1518</v>
      </c>
      <c r="C3278" s="12" t="s">
        <v>1240</v>
      </c>
      <c r="D3278" s="23">
        <v>3000000</v>
      </c>
      <c r="E3278" s="12">
        <v>1086223299</v>
      </c>
      <c r="F3278" s="12" t="s">
        <v>455</v>
      </c>
      <c r="G3278" t="s">
        <v>1094</v>
      </c>
    </row>
    <row r="3279" spans="1:7" ht="15" customHeight="1" x14ac:dyDescent="0.25">
      <c r="A3279" s="22" t="s">
        <v>1312</v>
      </c>
      <c r="B3279" s="12" t="s">
        <v>1519</v>
      </c>
      <c r="C3279" s="12" t="s">
        <v>1241</v>
      </c>
      <c r="D3279" s="23">
        <v>3000000</v>
      </c>
      <c r="E3279" s="12">
        <v>1085344795</v>
      </c>
      <c r="F3279" s="12" t="s">
        <v>1242</v>
      </c>
      <c r="G3279" t="s">
        <v>1094</v>
      </c>
    </row>
    <row r="3280" spans="1:7" ht="15" customHeight="1" x14ac:dyDescent="0.25">
      <c r="A3280" s="22" t="s">
        <v>1312</v>
      </c>
      <c r="B3280" s="12" t="s">
        <v>1524</v>
      </c>
      <c r="C3280" s="12" t="s">
        <v>1215</v>
      </c>
      <c r="D3280" s="23">
        <v>6000000</v>
      </c>
      <c r="E3280" s="12">
        <v>1082748420</v>
      </c>
      <c r="F3280" s="12" t="s">
        <v>1706</v>
      </c>
      <c r="G3280" t="s">
        <v>1094</v>
      </c>
    </row>
    <row r="3281" spans="1:7" ht="15" customHeight="1" x14ac:dyDescent="0.25">
      <c r="A3281" s="22" t="s">
        <v>1312</v>
      </c>
      <c r="B3281" s="12" t="s">
        <v>1525</v>
      </c>
      <c r="C3281" s="12" t="s">
        <v>1229</v>
      </c>
      <c r="D3281" s="23">
        <v>2500000</v>
      </c>
      <c r="E3281" s="12">
        <v>1084552048</v>
      </c>
      <c r="F3281" s="12" t="s">
        <v>1720</v>
      </c>
      <c r="G3281" t="s">
        <v>1094</v>
      </c>
    </row>
    <row r="3282" spans="1:7" ht="15" customHeight="1" x14ac:dyDescent="0.25">
      <c r="A3282" s="22" t="s">
        <v>1312</v>
      </c>
      <c r="B3282" s="12" t="s">
        <v>1526</v>
      </c>
      <c r="C3282" s="12" t="s">
        <v>1146</v>
      </c>
      <c r="D3282" s="23">
        <v>3000000</v>
      </c>
      <c r="E3282" s="12">
        <v>37084285</v>
      </c>
      <c r="F3282" s="12" t="s">
        <v>119</v>
      </c>
      <c r="G3282" t="s">
        <v>1094</v>
      </c>
    </row>
    <row r="3283" spans="1:7" ht="15" customHeight="1" x14ac:dyDescent="0.25">
      <c r="A3283" s="22" t="s">
        <v>1312</v>
      </c>
      <c r="B3283" s="12" t="s">
        <v>1527</v>
      </c>
      <c r="C3283" s="12" t="s">
        <v>1149</v>
      </c>
      <c r="D3283" s="23">
        <v>3000000</v>
      </c>
      <c r="E3283" s="12">
        <v>1192717330</v>
      </c>
      <c r="F3283" s="12" t="s">
        <v>277</v>
      </c>
      <c r="G3283" t="s">
        <v>1094</v>
      </c>
    </row>
    <row r="3284" spans="1:7" ht="15" customHeight="1" x14ac:dyDescent="0.25">
      <c r="A3284" s="22" t="s">
        <v>1312</v>
      </c>
      <c r="B3284" s="12" t="s">
        <v>1528</v>
      </c>
      <c r="C3284" s="12" t="s">
        <v>1137</v>
      </c>
      <c r="D3284" s="23">
        <v>6000000</v>
      </c>
      <c r="E3284" s="12">
        <v>59837608</v>
      </c>
      <c r="F3284" s="12" t="s">
        <v>145</v>
      </c>
      <c r="G3284" t="s">
        <v>1094</v>
      </c>
    </row>
    <row r="3285" spans="1:7" ht="15" customHeight="1" x14ac:dyDescent="0.25">
      <c r="A3285" s="22" t="s">
        <v>1312</v>
      </c>
      <c r="B3285" s="12" t="s">
        <v>1529</v>
      </c>
      <c r="C3285" s="12" t="s">
        <v>1115</v>
      </c>
      <c r="D3285" s="23">
        <v>3000000</v>
      </c>
      <c r="E3285" s="12">
        <v>1193271854</v>
      </c>
      <c r="F3285" s="12" t="s">
        <v>229</v>
      </c>
      <c r="G3285" t="s">
        <v>1094</v>
      </c>
    </row>
    <row r="3286" spans="1:7" ht="15" customHeight="1" x14ac:dyDescent="0.25">
      <c r="A3286" s="22" t="s">
        <v>1312</v>
      </c>
      <c r="B3286" s="12" t="s">
        <v>1530</v>
      </c>
      <c r="C3286" s="12" t="s">
        <v>1203</v>
      </c>
      <c r="D3286" s="23">
        <v>2500000</v>
      </c>
      <c r="E3286" s="12">
        <v>37087268</v>
      </c>
      <c r="F3286" s="12" t="s">
        <v>257</v>
      </c>
      <c r="G3286" t="s">
        <v>1094</v>
      </c>
    </row>
    <row r="3287" spans="1:7" ht="15" customHeight="1" x14ac:dyDescent="0.25">
      <c r="A3287" s="22" t="s">
        <v>1312</v>
      </c>
      <c r="B3287" s="12" t="s">
        <v>1531</v>
      </c>
      <c r="C3287" s="12" t="s">
        <v>1117</v>
      </c>
      <c r="D3287" s="23">
        <v>3000000</v>
      </c>
      <c r="E3287" s="12">
        <v>1081592303</v>
      </c>
      <c r="F3287" s="12" t="s">
        <v>1613</v>
      </c>
      <c r="G3287" t="s">
        <v>1094</v>
      </c>
    </row>
    <row r="3288" spans="1:7" ht="15" customHeight="1" x14ac:dyDescent="0.25">
      <c r="A3288" s="22" t="s">
        <v>1312</v>
      </c>
      <c r="B3288" s="12" t="s">
        <v>1532</v>
      </c>
      <c r="C3288" s="12" t="s">
        <v>1246</v>
      </c>
      <c r="D3288" s="23">
        <v>3000000</v>
      </c>
      <c r="E3288" s="12">
        <v>27087122</v>
      </c>
      <c r="F3288" s="12" t="s">
        <v>37</v>
      </c>
      <c r="G3288" t="s">
        <v>1094</v>
      </c>
    </row>
    <row r="3289" spans="1:7" ht="15" customHeight="1" x14ac:dyDescent="0.25">
      <c r="A3289" s="22" t="s">
        <v>1312</v>
      </c>
      <c r="B3289" s="12" t="s">
        <v>1533</v>
      </c>
      <c r="C3289" s="12" t="s">
        <v>1221</v>
      </c>
      <c r="D3289" s="23">
        <v>3000000</v>
      </c>
      <c r="E3289" s="12">
        <v>1085304308</v>
      </c>
      <c r="F3289" s="12" t="s">
        <v>1222</v>
      </c>
      <c r="G3289" t="s">
        <v>1094</v>
      </c>
    </row>
    <row r="3290" spans="1:7" ht="15" customHeight="1" x14ac:dyDescent="0.25">
      <c r="A3290" s="22" t="s">
        <v>1313</v>
      </c>
      <c r="B3290" s="12" t="s">
        <v>1534</v>
      </c>
      <c r="C3290" s="12" t="s">
        <v>1219</v>
      </c>
      <c r="D3290" s="23">
        <v>49606946</v>
      </c>
      <c r="E3290" s="12">
        <v>805021222</v>
      </c>
      <c r="F3290" s="12" t="s">
        <v>1711</v>
      </c>
      <c r="G3290" t="s">
        <v>1094</v>
      </c>
    </row>
    <row r="3291" spans="1:7" ht="15" customHeight="1" x14ac:dyDescent="0.25">
      <c r="A3291" s="22" t="s">
        <v>1313</v>
      </c>
      <c r="B3291" s="12" t="s">
        <v>1535</v>
      </c>
      <c r="C3291" s="12" t="s">
        <v>1186</v>
      </c>
      <c r="D3291" s="23">
        <v>3000000</v>
      </c>
      <c r="E3291" s="12">
        <v>1085286725</v>
      </c>
      <c r="F3291" s="12" t="s">
        <v>111</v>
      </c>
      <c r="G3291" t="s">
        <v>1094</v>
      </c>
    </row>
    <row r="3292" spans="1:7" ht="15" customHeight="1" x14ac:dyDescent="0.25">
      <c r="A3292" s="22" t="s">
        <v>1313</v>
      </c>
      <c r="B3292" s="12" t="s">
        <v>1536</v>
      </c>
      <c r="C3292" s="12" t="s">
        <v>1168</v>
      </c>
      <c r="D3292" s="23">
        <v>3000000</v>
      </c>
      <c r="E3292" s="12">
        <v>1081572043</v>
      </c>
      <c r="F3292" s="12" t="s">
        <v>1668</v>
      </c>
      <c r="G3292" t="s">
        <v>1094</v>
      </c>
    </row>
    <row r="3293" spans="1:7" ht="15" customHeight="1" x14ac:dyDescent="0.25">
      <c r="A3293" s="22" t="s">
        <v>1313</v>
      </c>
      <c r="B3293" s="12" t="s">
        <v>1537</v>
      </c>
      <c r="C3293" s="12" t="s">
        <v>1212</v>
      </c>
      <c r="D3293" s="23">
        <v>4825000</v>
      </c>
      <c r="E3293" s="12">
        <v>36951301</v>
      </c>
      <c r="F3293" s="12" t="s">
        <v>1213</v>
      </c>
      <c r="G3293" t="s">
        <v>1094</v>
      </c>
    </row>
    <row r="3294" spans="1:7" ht="15" customHeight="1" x14ac:dyDescent="0.25">
      <c r="A3294" s="22" t="s">
        <v>1313</v>
      </c>
      <c r="B3294" s="12" t="s">
        <v>1520</v>
      </c>
      <c r="C3294" s="12" t="s">
        <v>1243</v>
      </c>
      <c r="D3294" s="23">
        <v>4825000</v>
      </c>
      <c r="E3294" s="12">
        <v>12748383</v>
      </c>
      <c r="F3294" s="12" t="s">
        <v>1727</v>
      </c>
      <c r="G3294" t="s">
        <v>1094</v>
      </c>
    </row>
    <row r="3295" spans="1:7" ht="15" customHeight="1" x14ac:dyDescent="0.25">
      <c r="A3295" s="22" t="s">
        <v>1313</v>
      </c>
      <c r="B3295" s="12" t="s">
        <v>1538</v>
      </c>
      <c r="C3295" s="12" t="s">
        <v>1164</v>
      </c>
      <c r="D3295" s="23">
        <v>3000000</v>
      </c>
      <c r="E3295" s="12">
        <v>1085339190</v>
      </c>
      <c r="F3295" s="12" t="s">
        <v>149</v>
      </c>
      <c r="G3295" t="s">
        <v>1094</v>
      </c>
    </row>
    <row r="3296" spans="1:7" ht="15" customHeight="1" x14ac:dyDescent="0.25">
      <c r="A3296" s="22" t="s">
        <v>1316</v>
      </c>
      <c r="B3296" s="12" t="s">
        <v>1539</v>
      </c>
      <c r="C3296" s="12" t="s">
        <v>1247</v>
      </c>
      <c r="D3296" s="23">
        <v>3000000</v>
      </c>
      <c r="E3296" s="12">
        <v>1082747438</v>
      </c>
      <c r="F3296" s="12" t="s">
        <v>548</v>
      </c>
      <c r="G3296" t="s">
        <v>1094</v>
      </c>
    </row>
    <row r="3297" spans="1:7" ht="15" customHeight="1" x14ac:dyDescent="0.25">
      <c r="A3297" s="22" t="s">
        <v>1317</v>
      </c>
      <c r="B3297" s="12" t="s">
        <v>1540</v>
      </c>
      <c r="C3297" s="12" t="s">
        <v>1248</v>
      </c>
      <c r="D3297" s="23">
        <v>3000000</v>
      </c>
      <c r="E3297" s="12">
        <v>59813323</v>
      </c>
      <c r="F3297" s="12" t="s">
        <v>1733</v>
      </c>
      <c r="G3297" t="s">
        <v>1094</v>
      </c>
    </row>
    <row r="3298" spans="1:7" ht="15" customHeight="1" x14ac:dyDescent="0.25">
      <c r="A3298" s="22" t="s">
        <v>1317</v>
      </c>
      <c r="B3298" s="12" t="s">
        <v>1541</v>
      </c>
      <c r="C3298" s="12" t="s">
        <v>1209</v>
      </c>
      <c r="D3298" s="23">
        <v>3000000</v>
      </c>
      <c r="E3298" s="12">
        <v>1085261053</v>
      </c>
      <c r="F3298" s="12" t="s">
        <v>1702</v>
      </c>
      <c r="G3298" t="s">
        <v>1094</v>
      </c>
    </row>
    <row r="3299" spans="1:7" ht="15" customHeight="1" x14ac:dyDescent="0.25">
      <c r="A3299" s="22" t="s">
        <v>1317</v>
      </c>
      <c r="B3299" s="12" t="s">
        <v>1542</v>
      </c>
      <c r="C3299" s="12" t="s">
        <v>1206</v>
      </c>
      <c r="D3299" s="23">
        <v>3000000</v>
      </c>
      <c r="E3299" s="12">
        <v>1004592366</v>
      </c>
      <c r="F3299" s="12" t="s">
        <v>1697</v>
      </c>
      <c r="G3299" t="s">
        <v>1094</v>
      </c>
    </row>
    <row r="3300" spans="1:7" ht="15" customHeight="1" x14ac:dyDescent="0.25">
      <c r="A3300" s="22" t="s">
        <v>1317</v>
      </c>
      <c r="B3300" s="12" t="s">
        <v>1543</v>
      </c>
      <c r="C3300" s="12" t="s">
        <v>1249</v>
      </c>
      <c r="D3300" s="23">
        <v>2500000</v>
      </c>
      <c r="E3300" s="12">
        <v>1085327836</v>
      </c>
      <c r="F3300" s="12" t="s">
        <v>1735</v>
      </c>
      <c r="G3300" t="s">
        <v>1094</v>
      </c>
    </row>
    <row r="3301" spans="1:7" ht="15" customHeight="1" x14ac:dyDescent="0.25">
      <c r="A3301" s="22" t="s">
        <v>1317</v>
      </c>
      <c r="B3301" s="12" t="s">
        <v>1544</v>
      </c>
      <c r="C3301" s="12" t="s">
        <v>1250</v>
      </c>
      <c r="D3301" s="23">
        <v>3000000</v>
      </c>
      <c r="E3301" s="12">
        <v>59833899</v>
      </c>
      <c r="F3301" s="12" t="s">
        <v>1737</v>
      </c>
      <c r="G3301" t="s">
        <v>1094</v>
      </c>
    </row>
    <row r="3302" spans="1:7" ht="15" customHeight="1" x14ac:dyDescent="0.25">
      <c r="A3302" s="22" t="s">
        <v>1317</v>
      </c>
      <c r="B3302" s="12" t="s">
        <v>1545</v>
      </c>
      <c r="C3302" s="12" t="s">
        <v>1228</v>
      </c>
      <c r="D3302" s="23">
        <v>3000000</v>
      </c>
      <c r="E3302" s="12">
        <v>1084224968</v>
      </c>
      <c r="F3302" s="12" t="s">
        <v>1718</v>
      </c>
      <c r="G3302" t="s">
        <v>1094</v>
      </c>
    </row>
    <row r="3303" spans="1:7" ht="15" customHeight="1" x14ac:dyDescent="0.25">
      <c r="A3303" s="22" t="s">
        <v>1317</v>
      </c>
      <c r="B3303" s="12" t="s">
        <v>1546</v>
      </c>
      <c r="C3303" s="12" t="s">
        <v>1251</v>
      </c>
      <c r="D3303" s="23">
        <v>6000000</v>
      </c>
      <c r="E3303" s="12">
        <v>1193223736</v>
      </c>
      <c r="F3303" s="12" t="s">
        <v>1739</v>
      </c>
      <c r="G3303" t="s">
        <v>1094</v>
      </c>
    </row>
    <row r="3304" spans="1:7" ht="15" customHeight="1" x14ac:dyDescent="0.25">
      <c r="A3304" s="22" t="s">
        <v>1317</v>
      </c>
      <c r="B3304" s="12" t="s">
        <v>1547</v>
      </c>
      <c r="C3304" s="12" t="s">
        <v>1217</v>
      </c>
      <c r="D3304" s="23">
        <v>7500000</v>
      </c>
      <c r="E3304" s="12">
        <v>1087006619</v>
      </c>
      <c r="F3304" s="12" t="s">
        <v>1709</v>
      </c>
      <c r="G3304" t="s">
        <v>1094</v>
      </c>
    </row>
    <row r="3305" spans="1:7" ht="15" customHeight="1" x14ac:dyDescent="0.25">
      <c r="A3305" s="22" t="s">
        <v>1317</v>
      </c>
      <c r="B3305" s="12" t="s">
        <v>1548</v>
      </c>
      <c r="C3305" s="12" t="s">
        <v>1252</v>
      </c>
      <c r="D3305" s="23">
        <v>3000000</v>
      </c>
      <c r="E3305" s="12">
        <v>1085325325</v>
      </c>
      <c r="F3305" s="12" t="s">
        <v>1741</v>
      </c>
      <c r="G3305" t="s">
        <v>1094</v>
      </c>
    </row>
    <row r="3306" spans="1:7" ht="15" customHeight="1" x14ac:dyDescent="0.25">
      <c r="A3306" s="22" t="s">
        <v>1317</v>
      </c>
      <c r="B3306" s="12" t="s">
        <v>1549</v>
      </c>
      <c r="C3306" s="12" t="s">
        <v>1253</v>
      </c>
      <c r="D3306" s="23">
        <v>2500000</v>
      </c>
      <c r="E3306" s="12">
        <v>98386323</v>
      </c>
      <c r="F3306" s="12" t="s">
        <v>1742</v>
      </c>
      <c r="G3306" t="s">
        <v>1094</v>
      </c>
    </row>
    <row r="3307" spans="1:7" ht="15" customHeight="1" x14ac:dyDescent="0.25">
      <c r="A3307" s="22" t="s">
        <v>1318</v>
      </c>
      <c r="B3307" s="12" t="s">
        <v>1550</v>
      </c>
      <c r="C3307" s="12" t="s">
        <v>1254</v>
      </c>
      <c r="D3307" s="23">
        <v>3000000</v>
      </c>
      <c r="E3307" s="12">
        <v>36861874</v>
      </c>
      <c r="F3307" s="12" t="s">
        <v>1211</v>
      </c>
      <c r="G3307" t="s">
        <v>1094</v>
      </c>
    </row>
    <row r="3308" spans="1:7" ht="15" customHeight="1" x14ac:dyDescent="0.25">
      <c r="A3308" s="22" t="s">
        <v>1318</v>
      </c>
      <c r="B3308" s="12" t="s">
        <v>1551</v>
      </c>
      <c r="C3308" s="12" t="s">
        <v>1173</v>
      </c>
      <c r="D3308" s="23">
        <v>2500000</v>
      </c>
      <c r="E3308" s="12">
        <v>1233188479</v>
      </c>
      <c r="F3308" s="12" t="s">
        <v>1670</v>
      </c>
      <c r="G3308" t="s">
        <v>1094</v>
      </c>
    </row>
    <row r="3309" spans="1:7" ht="15" customHeight="1" x14ac:dyDescent="0.25">
      <c r="A3309" s="22" t="s">
        <v>1318</v>
      </c>
      <c r="B3309" s="12" t="s">
        <v>1552</v>
      </c>
      <c r="C3309" s="12" t="s">
        <v>1194</v>
      </c>
      <c r="D3309" s="23">
        <v>6000000</v>
      </c>
      <c r="E3309" s="12">
        <v>59836480</v>
      </c>
      <c r="F3309" s="12" t="s">
        <v>1686</v>
      </c>
      <c r="G3309" t="s">
        <v>1094</v>
      </c>
    </row>
    <row r="3310" spans="1:7" ht="15" customHeight="1" x14ac:dyDescent="0.25">
      <c r="A3310" s="22" t="s">
        <v>1318</v>
      </c>
      <c r="B3310" s="12" t="s">
        <v>1553</v>
      </c>
      <c r="C3310" s="12" t="s">
        <v>1198</v>
      </c>
      <c r="D3310" s="23">
        <v>2500000</v>
      </c>
      <c r="E3310" s="12">
        <v>59830219</v>
      </c>
      <c r="F3310" s="12" t="s">
        <v>281</v>
      </c>
      <c r="G3310" t="s">
        <v>1094</v>
      </c>
    </row>
    <row r="3311" spans="1:7" ht="15" customHeight="1" x14ac:dyDescent="0.25">
      <c r="A3311" s="22" t="s">
        <v>1318</v>
      </c>
      <c r="B3311" s="12" t="s">
        <v>1554</v>
      </c>
      <c r="C3311" s="12" t="s">
        <v>1189</v>
      </c>
      <c r="D3311" s="23">
        <v>4750000</v>
      </c>
      <c r="E3311" s="12">
        <v>36953206</v>
      </c>
      <c r="F3311" s="12" t="s">
        <v>391</v>
      </c>
      <c r="G3311" t="s">
        <v>1094</v>
      </c>
    </row>
    <row r="3312" spans="1:7" ht="15" customHeight="1" x14ac:dyDescent="0.25">
      <c r="A3312" s="22" t="s">
        <v>1318</v>
      </c>
      <c r="B3312" s="12" t="s">
        <v>1555</v>
      </c>
      <c r="C3312" s="12" t="s">
        <v>1246</v>
      </c>
      <c r="D3312" s="23">
        <v>3000000</v>
      </c>
      <c r="E3312" s="12">
        <v>27087122</v>
      </c>
      <c r="F3312" s="12" t="s">
        <v>37</v>
      </c>
      <c r="G3312" t="s">
        <v>1094</v>
      </c>
    </row>
    <row r="3313" spans="1:7" ht="15" customHeight="1" x14ac:dyDescent="0.25">
      <c r="A3313" s="22" t="s">
        <v>1318</v>
      </c>
      <c r="B3313" s="12" t="s">
        <v>1556</v>
      </c>
      <c r="C3313" s="12" t="s">
        <v>1234</v>
      </c>
      <c r="D3313" s="23">
        <v>3000000</v>
      </c>
      <c r="E3313" s="12">
        <v>27088197</v>
      </c>
      <c r="F3313" s="12" t="s">
        <v>1235</v>
      </c>
      <c r="G3313" t="s">
        <v>1094</v>
      </c>
    </row>
    <row r="3314" spans="1:7" ht="15" customHeight="1" x14ac:dyDescent="0.25">
      <c r="A3314" s="22" t="s">
        <v>1318</v>
      </c>
      <c r="B3314" s="12" t="s">
        <v>1557</v>
      </c>
      <c r="C3314" s="12" t="s">
        <v>1238</v>
      </c>
      <c r="D3314" s="23">
        <v>2500000</v>
      </c>
      <c r="E3314" s="12">
        <v>30734666</v>
      </c>
      <c r="F3314" s="12" t="s">
        <v>1239</v>
      </c>
      <c r="G3314" t="s">
        <v>1094</v>
      </c>
    </row>
    <row r="3315" spans="1:7" ht="15" customHeight="1" x14ac:dyDescent="0.25">
      <c r="A3315" s="22" t="s">
        <v>1318</v>
      </c>
      <c r="B3315" s="12" t="s">
        <v>1558</v>
      </c>
      <c r="C3315" s="12" t="s">
        <v>1208</v>
      </c>
      <c r="D3315" s="23">
        <v>2500000</v>
      </c>
      <c r="E3315" s="12">
        <v>12990231</v>
      </c>
      <c r="F3315" s="12" t="s">
        <v>1700</v>
      </c>
      <c r="G3315" t="s">
        <v>1094</v>
      </c>
    </row>
    <row r="3316" spans="1:7" ht="15" customHeight="1" x14ac:dyDescent="0.25">
      <c r="A3316" s="22" t="s">
        <v>1314</v>
      </c>
      <c r="B3316" s="12" t="s">
        <v>1559</v>
      </c>
      <c r="C3316" s="12" t="s">
        <v>1166</v>
      </c>
      <c r="D3316" s="23">
        <v>6000000</v>
      </c>
      <c r="E3316" s="12">
        <v>97470681</v>
      </c>
      <c r="F3316" s="12" t="s">
        <v>329</v>
      </c>
      <c r="G3316" t="s">
        <v>1094</v>
      </c>
    </row>
    <row r="3317" spans="1:7" ht="15" customHeight="1" x14ac:dyDescent="0.25">
      <c r="A3317" s="22" t="s">
        <v>1314</v>
      </c>
      <c r="B3317" s="12" t="s">
        <v>1560</v>
      </c>
      <c r="C3317" s="12" t="s">
        <v>1210</v>
      </c>
      <c r="D3317" s="23">
        <v>3000000</v>
      </c>
      <c r="E3317" s="12">
        <v>1087959088</v>
      </c>
      <c r="F3317" s="12" t="s">
        <v>1255</v>
      </c>
      <c r="G3317" t="s">
        <v>1094</v>
      </c>
    </row>
    <row r="3318" spans="1:7" ht="15" customHeight="1" x14ac:dyDescent="0.25">
      <c r="A3318" s="22" t="s">
        <v>1314</v>
      </c>
      <c r="B3318" s="12" t="s">
        <v>1561</v>
      </c>
      <c r="C3318" s="12" t="s">
        <v>1161</v>
      </c>
      <c r="D3318" s="23">
        <v>2500000</v>
      </c>
      <c r="E3318" s="12">
        <v>1075242334</v>
      </c>
      <c r="F3318" s="12" t="s">
        <v>1276</v>
      </c>
      <c r="G3318" t="s">
        <v>1094</v>
      </c>
    </row>
    <row r="3319" spans="1:7" ht="15" customHeight="1" x14ac:dyDescent="0.25">
      <c r="A3319" s="22" t="s">
        <v>1314</v>
      </c>
      <c r="B3319" s="12" t="s">
        <v>1562</v>
      </c>
      <c r="C3319" s="12" t="s">
        <v>1256</v>
      </c>
      <c r="D3319" s="23">
        <v>3000000</v>
      </c>
      <c r="E3319" s="12">
        <v>59830040</v>
      </c>
      <c r="F3319" s="12" t="s">
        <v>297</v>
      </c>
      <c r="G3319" t="s">
        <v>1094</v>
      </c>
    </row>
    <row r="3320" spans="1:7" ht="15" customHeight="1" x14ac:dyDescent="0.25">
      <c r="A3320" s="22" t="s">
        <v>1314</v>
      </c>
      <c r="B3320" s="12" t="s">
        <v>1521</v>
      </c>
      <c r="C3320" s="12" t="s">
        <v>1244</v>
      </c>
      <c r="D3320" s="23">
        <v>3000000</v>
      </c>
      <c r="E3320" s="12">
        <v>27091114</v>
      </c>
      <c r="F3320" s="12" t="s">
        <v>1729</v>
      </c>
      <c r="G3320" t="s">
        <v>1094</v>
      </c>
    </row>
    <row r="3321" spans="1:7" ht="15" customHeight="1" x14ac:dyDescent="0.25">
      <c r="A3321" s="22" t="s">
        <v>1314</v>
      </c>
      <c r="B3321" s="12" t="s">
        <v>1563</v>
      </c>
      <c r="C3321" s="12" t="s">
        <v>1232</v>
      </c>
      <c r="D3321" s="23">
        <v>6000000</v>
      </c>
      <c r="E3321" s="12">
        <v>59314458</v>
      </c>
      <c r="F3321" s="12" t="s">
        <v>1233</v>
      </c>
      <c r="G3321" t="s">
        <v>1094</v>
      </c>
    </row>
    <row r="3322" spans="1:7" ht="15" customHeight="1" x14ac:dyDescent="0.25">
      <c r="A3322" s="22" t="s">
        <v>1314</v>
      </c>
      <c r="B3322" s="12" t="s">
        <v>1564</v>
      </c>
      <c r="C3322" s="12" t="s">
        <v>1257</v>
      </c>
      <c r="D3322" s="23">
        <v>2500000</v>
      </c>
      <c r="E3322" s="12">
        <v>1087958982</v>
      </c>
      <c r="F3322" s="12" t="s">
        <v>1745</v>
      </c>
      <c r="G3322" t="s">
        <v>1094</v>
      </c>
    </row>
    <row r="3323" spans="1:7" ht="15" customHeight="1" x14ac:dyDescent="0.25">
      <c r="A3323" s="22" t="s">
        <v>1314</v>
      </c>
      <c r="B3323" s="12" t="s">
        <v>1565</v>
      </c>
      <c r="C3323" s="12" t="s">
        <v>1257</v>
      </c>
      <c r="D3323" s="23">
        <v>2500000</v>
      </c>
      <c r="E3323" s="12">
        <v>1087958982</v>
      </c>
      <c r="F3323" s="12" t="s">
        <v>1745</v>
      </c>
      <c r="G3323" t="s">
        <v>1094</v>
      </c>
    </row>
    <row r="3324" spans="1:7" ht="15" customHeight="1" x14ac:dyDescent="0.25">
      <c r="A3324" s="22" t="s">
        <v>1314</v>
      </c>
      <c r="B3324" s="12" t="s">
        <v>1566</v>
      </c>
      <c r="C3324" s="12" t="s">
        <v>1231</v>
      </c>
      <c r="D3324" s="23">
        <v>6000000</v>
      </c>
      <c r="E3324" s="12">
        <v>1085253062</v>
      </c>
      <c r="F3324" s="12" t="s">
        <v>1722</v>
      </c>
      <c r="G3324" t="s">
        <v>1094</v>
      </c>
    </row>
    <row r="3325" spans="1:7" ht="15" customHeight="1" x14ac:dyDescent="0.25">
      <c r="A3325" s="22" t="s">
        <v>1314</v>
      </c>
      <c r="B3325" s="12" t="s">
        <v>1567</v>
      </c>
      <c r="C3325" s="12" t="s">
        <v>1258</v>
      </c>
      <c r="D3325" s="23">
        <v>3000000</v>
      </c>
      <c r="E3325" s="12">
        <v>59828916</v>
      </c>
      <c r="F3325" s="12" t="s">
        <v>1747</v>
      </c>
      <c r="G3325" t="s">
        <v>1094</v>
      </c>
    </row>
    <row r="3326" spans="1:7" ht="15" customHeight="1" x14ac:dyDescent="0.25">
      <c r="A3326" s="22" t="s">
        <v>1314</v>
      </c>
      <c r="B3326" s="12" t="s">
        <v>1568</v>
      </c>
      <c r="C3326" s="12" t="s">
        <v>1204</v>
      </c>
      <c r="D3326" s="23">
        <v>2500000</v>
      </c>
      <c r="E3326" s="12">
        <v>1085310465</v>
      </c>
      <c r="F3326" s="12" t="s">
        <v>1694</v>
      </c>
      <c r="G3326" t="s">
        <v>1094</v>
      </c>
    </row>
    <row r="3327" spans="1:7" ht="15" customHeight="1" x14ac:dyDescent="0.25">
      <c r="A3327" s="22" t="s">
        <v>1314</v>
      </c>
      <c r="B3327" s="12" t="s">
        <v>1569</v>
      </c>
      <c r="C3327" s="12" t="s">
        <v>1196</v>
      </c>
      <c r="D3327" s="23">
        <v>2500000</v>
      </c>
      <c r="E3327" s="12">
        <v>30722194</v>
      </c>
      <c r="F3327" s="12" t="s">
        <v>1687</v>
      </c>
      <c r="G3327" t="s">
        <v>1094</v>
      </c>
    </row>
    <row r="3328" spans="1:7" ht="15" customHeight="1" x14ac:dyDescent="0.25">
      <c r="A3328" s="22" t="s">
        <v>1315</v>
      </c>
      <c r="B3328" s="12" t="s">
        <v>1522</v>
      </c>
      <c r="C3328" s="12" t="s">
        <v>1245</v>
      </c>
      <c r="D3328" s="23">
        <v>3000000</v>
      </c>
      <c r="E3328" s="12">
        <v>1193271854</v>
      </c>
      <c r="F3328" s="12" t="s">
        <v>229</v>
      </c>
      <c r="G3328" t="s">
        <v>1094</v>
      </c>
    </row>
    <row r="3329" spans="1:7" ht="15" customHeight="1" x14ac:dyDescent="0.25">
      <c r="A3329" s="22" t="s">
        <v>1315</v>
      </c>
      <c r="B3329" s="12" t="s">
        <v>1570</v>
      </c>
      <c r="C3329" s="12" t="s">
        <v>1259</v>
      </c>
      <c r="D3329" s="23">
        <v>6000000</v>
      </c>
      <c r="E3329" s="12">
        <v>1085248939</v>
      </c>
      <c r="F3329" s="12" t="s">
        <v>1749</v>
      </c>
      <c r="G3329" t="s">
        <v>1094</v>
      </c>
    </row>
    <row r="3330" spans="1:7" ht="15" customHeight="1" x14ac:dyDescent="0.25">
      <c r="A3330" s="22" t="s">
        <v>1315</v>
      </c>
      <c r="B3330" s="12" t="s">
        <v>1523</v>
      </c>
      <c r="C3330" s="12" t="s">
        <v>1185</v>
      </c>
      <c r="D3330" s="23">
        <v>3000000</v>
      </c>
      <c r="E3330" s="12">
        <v>1030606749</v>
      </c>
      <c r="F3330" s="12" t="s">
        <v>1678</v>
      </c>
      <c r="G3330" t="s">
        <v>1094</v>
      </c>
    </row>
    <row r="3331" spans="1:7" ht="15" customHeight="1" x14ac:dyDescent="0.25">
      <c r="A3331" s="22" t="s">
        <v>1315</v>
      </c>
      <c r="B3331" s="12" t="s">
        <v>1571</v>
      </c>
      <c r="C3331" s="12" t="s">
        <v>1260</v>
      </c>
      <c r="D3331" s="23">
        <v>3000000</v>
      </c>
      <c r="E3331" s="12">
        <v>1085310466</v>
      </c>
      <c r="F3331" s="12" t="s">
        <v>1261</v>
      </c>
      <c r="G3331" t="s">
        <v>1094</v>
      </c>
    </row>
    <row r="3332" spans="1:7" ht="15" customHeight="1" x14ac:dyDescent="0.25">
      <c r="A3332" s="22" t="s">
        <v>1315</v>
      </c>
      <c r="B3332" s="12" t="s">
        <v>1572</v>
      </c>
      <c r="C3332" s="12" t="s">
        <v>1237</v>
      </c>
      <c r="D3332" s="23">
        <v>6000000</v>
      </c>
      <c r="E3332" s="12">
        <v>36954410</v>
      </c>
      <c r="F3332" s="12" t="s">
        <v>343</v>
      </c>
      <c r="G3332" t="s">
        <v>1094</v>
      </c>
    </row>
    <row r="3333" spans="1:7" ht="15" customHeight="1" x14ac:dyDescent="0.25">
      <c r="A3333" s="22" t="s">
        <v>1319</v>
      </c>
      <c r="B3333" s="12" t="s">
        <v>1573</v>
      </c>
      <c r="C3333" s="12" t="s">
        <v>1193</v>
      </c>
      <c r="D3333" s="23">
        <v>2500000</v>
      </c>
      <c r="E3333" s="12">
        <v>1085347173</v>
      </c>
      <c r="F3333" s="12" t="s">
        <v>487</v>
      </c>
      <c r="G3333" t="s">
        <v>1094</v>
      </c>
    </row>
    <row r="3334" spans="1:7" ht="15" customHeight="1" x14ac:dyDescent="0.25">
      <c r="A3334" s="22" t="s">
        <v>1319</v>
      </c>
      <c r="B3334" s="12" t="s">
        <v>1574</v>
      </c>
      <c r="C3334" s="12" t="s">
        <v>1197</v>
      </c>
      <c r="D3334" s="23">
        <v>3000000</v>
      </c>
      <c r="E3334" s="12">
        <v>1085252263</v>
      </c>
      <c r="F3334" s="12" t="s">
        <v>1689</v>
      </c>
      <c r="G3334" t="s">
        <v>1094</v>
      </c>
    </row>
    <row r="3335" spans="1:7" ht="15" customHeight="1" x14ac:dyDescent="0.25">
      <c r="A3335" s="22" t="s">
        <v>1320</v>
      </c>
      <c r="B3335" s="12" t="s">
        <v>1575</v>
      </c>
      <c r="C3335" s="12" t="s">
        <v>1223</v>
      </c>
      <c r="D3335" s="23">
        <v>6000000</v>
      </c>
      <c r="E3335" s="12">
        <v>27097745</v>
      </c>
      <c r="F3335" s="12" t="s">
        <v>1714</v>
      </c>
      <c r="G3335" t="s">
        <v>1094</v>
      </c>
    </row>
    <row r="3336" spans="1:7" ht="15" customHeight="1" x14ac:dyDescent="0.25">
      <c r="A3336" s="22" t="s">
        <v>1321</v>
      </c>
      <c r="B3336" s="12" t="s">
        <v>1576</v>
      </c>
      <c r="C3336" s="12" t="s">
        <v>1259</v>
      </c>
      <c r="D3336" s="23">
        <v>6000000</v>
      </c>
      <c r="E3336" s="12">
        <v>1085248939</v>
      </c>
      <c r="F3336" s="12" t="s">
        <v>1749</v>
      </c>
      <c r="G3336" t="s">
        <v>1094</v>
      </c>
    </row>
    <row r="3337" spans="1:7" ht="15" customHeight="1" x14ac:dyDescent="0.25">
      <c r="A3337" s="22" t="s">
        <v>1321</v>
      </c>
      <c r="B3337" s="12" t="s">
        <v>1577</v>
      </c>
      <c r="C3337" s="12" t="s">
        <v>1214</v>
      </c>
      <c r="D3337" s="23">
        <v>6000000</v>
      </c>
      <c r="E3337" s="12">
        <v>1004213964</v>
      </c>
      <c r="F3337" s="12" t="s">
        <v>1704</v>
      </c>
      <c r="G3337" t="s">
        <v>1094</v>
      </c>
    </row>
    <row r="3338" spans="1:7" ht="15" customHeight="1" x14ac:dyDescent="0.25">
      <c r="A3338" s="22" t="s">
        <v>1322</v>
      </c>
      <c r="B3338" s="12" t="s">
        <v>1578</v>
      </c>
      <c r="C3338" s="12" t="s">
        <v>1262</v>
      </c>
      <c r="D3338" s="23">
        <v>3000000</v>
      </c>
      <c r="E3338" s="12">
        <v>1086222977</v>
      </c>
      <c r="F3338" s="12" t="s">
        <v>987</v>
      </c>
      <c r="G3338" t="s">
        <v>1094</v>
      </c>
    </row>
    <row r="3339" spans="1:7" ht="15" customHeight="1" x14ac:dyDescent="0.25">
      <c r="A3339" s="22" t="s">
        <v>1323</v>
      </c>
      <c r="B3339" s="12" t="s">
        <v>1579</v>
      </c>
      <c r="C3339" s="12" t="s">
        <v>1240</v>
      </c>
      <c r="D3339" s="23">
        <v>3000000</v>
      </c>
      <c r="E3339" s="12">
        <v>1086223299</v>
      </c>
      <c r="F3339" s="12" t="s">
        <v>455</v>
      </c>
      <c r="G3339" t="s">
        <v>1094</v>
      </c>
    </row>
    <row r="3340" spans="1:7" ht="15" customHeight="1" x14ac:dyDescent="0.25">
      <c r="A3340" s="22" t="s">
        <v>1323</v>
      </c>
      <c r="B3340" s="12" t="s">
        <v>1580</v>
      </c>
      <c r="C3340" s="12" t="s">
        <v>1207</v>
      </c>
      <c r="D3340" s="23">
        <v>3000000</v>
      </c>
      <c r="E3340" s="12">
        <v>1085266584</v>
      </c>
      <c r="F3340" s="12" t="s">
        <v>115</v>
      </c>
      <c r="G3340" t="s">
        <v>1094</v>
      </c>
    </row>
    <row r="3341" spans="1:7" ht="15" customHeight="1" x14ac:dyDescent="0.25">
      <c r="A3341" s="22" t="s">
        <v>1323</v>
      </c>
      <c r="B3341" s="12" t="s">
        <v>1581</v>
      </c>
      <c r="C3341" s="12" t="s">
        <v>1263</v>
      </c>
      <c r="D3341" s="23">
        <v>4200000</v>
      </c>
      <c r="E3341" s="12">
        <v>27198144</v>
      </c>
      <c r="F3341" s="12" t="s">
        <v>1264</v>
      </c>
      <c r="G3341" t="s">
        <v>1094</v>
      </c>
    </row>
    <row r="3342" spans="1:7" ht="15" customHeight="1" x14ac:dyDescent="0.25">
      <c r="A3342" s="22" t="s">
        <v>1324</v>
      </c>
      <c r="B3342" s="12" t="s">
        <v>1582</v>
      </c>
      <c r="C3342" s="12" t="s">
        <v>1265</v>
      </c>
      <c r="D3342" s="23">
        <v>7500000</v>
      </c>
      <c r="E3342" s="12">
        <v>1089483067</v>
      </c>
      <c r="F3342" s="12" t="s">
        <v>1751</v>
      </c>
      <c r="G3342" t="s">
        <v>1094</v>
      </c>
    </row>
    <row r="3343" spans="1:7" ht="15" customHeight="1" x14ac:dyDescent="0.25">
      <c r="A3343" s="22" t="s">
        <v>1324</v>
      </c>
      <c r="B3343" s="12" t="s">
        <v>1583</v>
      </c>
      <c r="C3343" s="12" t="s">
        <v>1265</v>
      </c>
      <c r="D3343" s="23">
        <v>7500000</v>
      </c>
      <c r="E3343" s="12">
        <v>1089483067</v>
      </c>
      <c r="F3343" s="12" t="s">
        <v>1751</v>
      </c>
      <c r="G3343" t="s">
        <v>1094</v>
      </c>
    </row>
    <row r="3344" spans="1:7" ht="15" customHeight="1" x14ac:dyDescent="0.25">
      <c r="A3344" s="22" t="s">
        <v>1325</v>
      </c>
      <c r="B3344" s="12" t="s">
        <v>1584</v>
      </c>
      <c r="C3344" s="12" t="s">
        <v>1216</v>
      </c>
      <c r="D3344" s="23">
        <v>2500000</v>
      </c>
      <c r="E3344" s="12">
        <v>1088729401</v>
      </c>
      <c r="F3344" s="12" t="s">
        <v>1707</v>
      </c>
      <c r="G3344" t="s">
        <v>1094</v>
      </c>
    </row>
    <row r="3345" spans="1:7" ht="15" customHeight="1" x14ac:dyDescent="0.25">
      <c r="A3345" s="22" t="s">
        <v>1325</v>
      </c>
      <c r="B3345" s="12" t="s">
        <v>1585</v>
      </c>
      <c r="C3345" s="12" t="s">
        <v>1247</v>
      </c>
      <c r="D3345" s="23">
        <v>3000000</v>
      </c>
      <c r="E3345" s="12">
        <v>1082747438</v>
      </c>
      <c r="F3345" s="12" t="s">
        <v>548</v>
      </c>
      <c r="G3345" t="s">
        <v>1094</v>
      </c>
    </row>
    <row r="3346" spans="1:7" ht="15" customHeight="1" x14ac:dyDescent="0.25">
      <c r="A3346" s="22" t="s">
        <v>1326</v>
      </c>
      <c r="B3346" s="12" t="s">
        <v>1586</v>
      </c>
      <c r="C3346" s="12" t="s">
        <v>1267</v>
      </c>
      <c r="D3346" s="23">
        <v>3000000</v>
      </c>
      <c r="E3346" s="12">
        <v>1086328142</v>
      </c>
      <c r="F3346" s="12" t="s">
        <v>1753</v>
      </c>
      <c r="G3346" t="s">
        <v>1094</v>
      </c>
    </row>
    <row r="3347" spans="1:7" ht="14.25" customHeight="1" x14ac:dyDescent="0.25">
      <c r="A3347" s="22" t="s">
        <v>1326</v>
      </c>
      <c r="B3347" s="12" t="s">
        <v>1587</v>
      </c>
      <c r="C3347" s="12" t="s">
        <v>1248</v>
      </c>
      <c r="D3347" s="23">
        <v>3000000</v>
      </c>
      <c r="E3347" s="12">
        <v>59813323</v>
      </c>
      <c r="F3347" s="12" t="s">
        <v>1733</v>
      </c>
      <c r="G3347" t="s">
        <v>1094</v>
      </c>
    </row>
  </sheetData>
  <autoFilter ref="A1:J3347" xr:uid="{1BD4E116-1180-4DB4-9FA3-0DA1ECFC6CA7}">
    <sortState xmlns:xlrd2="http://schemas.microsoft.com/office/spreadsheetml/2017/richdata2" ref="A2:J3347">
      <sortCondition ref="A1:A3347"/>
    </sortState>
  </autoFilter>
  <phoneticPr fontId="12" type="noConversion"/>
  <conditionalFormatting sqref="B1:B1048576">
    <cfRule type="duplicateValues" dxfId="9" priority="2"/>
    <cfRule type="duplicateValues" dxfId="8" priority="3"/>
  </conditionalFormatting>
  <conditionalFormatting sqref="B1913:B1920">
    <cfRule type="duplicateValues" dxfId="7" priority="77"/>
  </conditionalFormatting>
  <conditionalFormatting sqref="H2:H1924">
    <cfRule type="duplicateValues" dxfId="6" priority="78"/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FEA6-2E37-4566-9EC7-0C96BE8FF9FA}">
  <dimension ref="A2:I5"/>
  <sheetViews>
    <sheetView workbookViewId="0">
      <selection activeCell="E3" sqref="E3"/>
    </sheetView>
  </sheetViews>
  <sheetFormatPr baseColWidth="10" defaultRowHeight="15" x14ac:dyDescent="0.25"/>
  <cols>
    <col min="1" max="1" width="10.42578125" bestFit="1" customWidth="1"/>
    <col min="4" max="4" width="15.140625" bestFit="1" customWidth="1"/>
  </cols>
  <sheetData>
    <row r="2" spans="1:9" x14ac:dyDescent="0.25">
      <c r="A2" s="2">
        <v>45933</v>
      </c>
      <c r="B2">
        <v>2025002144</v>
      </c>
      <c r="C2" s="27" t="s">
        <v>1219</v>
      </c>
      <c r="D2" s="8">
        <v>44550000</v>
      </c>
      <c r="E2">
        <v>805021222</v>
      </c>
      <c r="F2" t="s">
        <v>1220</v>
      </c>
      <c r="G2" s="4" t="s">
        <v>1094</v>
      </c>
      <c r="H2">
        <v>2025002144</v>
      </c>
      <c r="I2">
        <v>1980452144</v>
      </c>
    </row>
    <row r="3" spans="1:9" ht="14.25" customHeight="1" x14ac:dyDescent="0.25">
      <c r="A3" s="3">
        <v>45621</v>
      </c>
      <c r="B3" s="4">
        <v>2024002520</v>
      </c>
      <c r="C3" s="4" t="s">
        <v>439</v>
      </c>
      <c r="D3" s="5">
        <v>4825000</v>
      </c>
      <c r="E3" s="4">
        <v>1088730712</v>
      </c>
      <c r="F3" s="4" t="s">
        <v>295</v>
      </c>
      <c r="G3" t="s">
        <v>565</v>
      </c>
    </row>
    <row r="4" spans="1:9" ht="14.25" customHeight="1" x14ac:dyDescent="0.25">
      <c r="A4" s="3">
        <v>45642</v>
      </c>
      <c r="B4" s="4">
        <v>2024003221</v>
      </c>
      <c r="C4" s="4" t="s">
        <v>439</v>
      </c>
      <c r="D4" s="5">
        <v>4825000</v>
      </c>
      <c r="E4" s="4">
        <v>1088730712</v>
      </c>
      <c r="F4" s="4" t="s">
        <v>295</v>
      </c>
      <c r="G4" t="s">
        <v>565</v>
      </c>
    </row>
    <row r="5" spans="1:9" ht="14.25" customHeight="1" x14ac:dyDescent="0.25">
      <c r="A5" s="3">
        <v>45652</v>
      </c>
      <c r="B5" s="4">
        <v>2024003821</v>
      </c>
      <c r="C5" s="4" t="s">
        <v>439</v>
      </c>
      <c r="D5" s="5">
        <v>4825000</v>
      </c>
      <c r="E5" s="4">
        <v>1088730712</v>
      </c>
      <c r="F5" s="4" t="s">
        <v>295</v>
      </c>
      <c r="G5" t="s">
        <v>565</v>
      </c>
    </row>
  </sheetData>
  <conditionalFormatting sqref="B3:B5">
    <cfRule type="duplicateValues" dxfId="5" priority="1"/>
  </conditionalFormatting>
  <conditionalFormatting sqref="H3:H5">
    <cfRule type="duplicateValues" dxfId="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9894-78A9-49E6-A7A2-EAD562DC9207}">
  <dimension ref="A1:K3348"/>
  <sheetViews>
    <sheetView workbookViewId="0">
      <selection activeCell="I22" sqref="I22"/>
    </sheetView>
  </sheetViews>
  <sheetFormatPr baseColWidth="10" defaultColWidth="12.5703125" defaultRowHeight="15" customHeight="1" x14ac:dyDescent="0.25"/>
  <cols>
    <col min="1" max="1" width="10.42578125" style="2" bestFit="1" customWidth="1"/>
    <col min="2" max="2" width="11" bestFit="1" customWidth="1"/>
    <col min="3" max="3" width="21.140625" bestFit="1" customWidth="1"/>
    <col min="4" max="4" width="15" style="11" customWidth="1"/>
    <col min="5" max="5" width="20" bestFit="1" customWidth="1"/>
    <col min="6" max="6" width="40" bestFit="1" customWidth="1"/>
    <col min="7" max="7" width="14.85546875" bestFit="1" customWidth="1"/>
    <col min="8" max="8" width="11" bestFit="1" customWidth="1"/>
    <col min="9" max="9" width="49.42578125" bestFit="1" customWidth="1"/>
    <col min="10" max="10" width="13" style="26" bestFit="1" customWidth="1"/>
    <col min="11" max="26" width="10.5703125" customWidth="1"/>
  </cols>
  <sheetData>
    <row r="1" spans="1:11" ht="14.25" customHeight="1" x14ac:dyDescent="0.25">
      <c r="A1" s="31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</row>
    <row r="2" spans="1:11" ht="14.25" customHeight="1" x14ac:dyDescent="0.25">
      <c r="A2" s="2">
        <v>46007</v>
      </c>
      <c r="B2">
        <v>2025003724</v>
      </c>
      <c r="C2" t="s">
        <v>1268</v>
      </c>
      <c r="D2" s="11">
        <v>3000000</v>
      </c>
      <c r="E2" s="12" t="e">
        <f>VLOOKUP(C2,#REF!,5,0)</f>
        <v>#REF!</v>
      </c>
      <c r="F2" s="12" t="e">
        <f>VLOOKUP(C2,#REF!,6,0)</f>
        <v>#REF!</v>
      </c>
      <c r="G2" t="s">
        <v>1094</v>
      </c>
      <c r="H2">
        <v>2025004086</v>
      </c>
      <c r="K2" s="27" t="s">
        <v>2587</v>
      </c>
    </row>
    <row r="3" spans="1:11" ht="14.25" customHeight="1" x14ac:dyDescent="0.25">
      <c r="A3" s="2">
        <v>46010</v>
      </c>
      <c r="B3">
        <v>2025003724</v>
      </c>
      <c r="C3" t="s">
        <v>1981</v>
      </c>
      <c r="D3" s="11">
        <v>6300000</v>
      </c>
      <c r="E3">
        <v>1085283868</v>
      </c>
      <c r="F3" t="s">
        <v>1131</v>
      </c>
      <c r="G3" t="s">
        <v>1755</v>
      </c>
    </row>
    <row r="4" spans="1:11" ht="14.25" customHeight="1" x14ac:dyDescent="0.25">
      <c r="A4" s="2">
        <v>46007</v>
      </c>
      <c r="B4">
        <v>2025003825</v>
      </c>
      <c r="C4" t="s">
        <v>1262</v>
      </c>
      <c r="D4" s="11">
        <v>3000000</v>
      </c>
      <c r="E4" s="12">
        <v>1086222977</v>
      </c>
      <c r="F4" s="12" t="s">
        <v>987</v>
      </c>
      <c r="G4" t="s">
        <v>1094</v>
      </c>
      <c r="H4">
        <v>2025004175</v>
      </c>
      <c r="I4" s="25">
        <v>46015</v>
      </c>
      <c r="K4" s="27" t="s">
        <v>2587</v>
      </c>
    </row>
    <row r="5" spans="1:11" ht="14.25" customHeight="1" x14ac:dyDescent="0.25">
      <c r="A5" s="2">
        <v>46011</v>
      </c>
      <c r="B5">
        <v>2025003825</v>
      </c>
      <c r="C5" t="s">
        <v>1838</v>
      </c>
      <c r="D5" s="11">
        <v>6300000</v>
      </c>
      <c r="E5">
        <v>1084228089</v>
      </c>
      <c r="F5" t="s">
        <v>1062</v>
      </c>
      <c r="G5" t="s">
        <v>1755</v>
      </c>
    </row>
    <row r="6" spans="1:11" ht="14.25" customHeight="1" x14ac:dyDescent="0.25">
      <c r="A6" s="2">
        <v>46011</v>
      </c>
      <c r="B6">
        <v>2025003838</v>
      </c>
      <c r="C6" t="s">
        <v>1898</v>
      </c>
      <c r="D6" s="11">
        <v>3150000</v>
      </c>
      <c r="E6">
        <v>59310056</v>
      </c>
      <c r="F6" t="s">
        <v>1899</v>
      </c>
      <c r="G6" t="s">
        <v>1755</v>
      </c>
    </row>
    <row r="7" spans="1:11" ht="14.25" customHeight="1" x14ac:dyDescent="0.25">
      <c r="A7" s="2">
        <v>46007</v>
      </c>
      <c r="B7">
        <v>2025003850</v>
      </c>
      <c r="C7" t="s">
        <v>1272</v>
      </c>
      <c r="D7" s="11">
        <v>3000000</v>
      </c>
      <c r="E7" s="12" t="e">
        <f>VLOOKUP(C7,#REF!,5,0)</f>
        <v>#REF!</v>
      </c>
      <c r="F7" s="12" t="e">
        <f>VLOOKUP(C7,#REF!,6,0)</f>
        <v>#REF!</v>
      </c>
      <c r="G7" t="s">
        <v>1094</v>
      </c>
      <c r="H7">
        <v>2025003783</v>
      </c>
      <c r="I7" s="28" t="s">
        <v>2591</v>
      </c>
    </row>
    <row r="8" spans="1:11" ht="14.25" customHeight="1" x14ac:dyDescent="0.25">
      <c r="A8" s="2">
        <v>46011</v>
      </c>
      <c r="B8">
        <v>2025003850</v>
      </c>
      <c r="C8" t="s">
        <v>1946</v>
      </c>
      <c r="D8" s="11">
        <v>3150000</v>
      </c>
      <c r="E8">
        <v>1004236159</v>
      </c>
      <c r="F8" t="s">
        <v>1947</v>
      </c>
      <c r="G8" t="s">
        <v>1755</v>
      </c>
    </row>
    <row r="9" spans="1:11" ht="14.25" customHeight="1" x14ac:dyDescent="0.25">
      <c r="A9" s="2">
        <v>46007</v>
      </c>
      <c r="B9">
        <v>2025003855</v>
      </c>
      <c r="C9" t="s">
        <v>1278</v>
      </c>
      <c r="D9" s="11">
        <v>9500000</v>
      </c>
      <c r="E9" s="12" t="e">
        <f>VLOOKUP(C9,#REF!,5,0)</f>
        <v>#REF!</v>
      </c>
      <c r="F9" s="12" t="e">
        <f>VLOOKUP(C9,#REF!,6,0)</f>
        <v>#REF!</v>
      </c>
      <c r="G9" t="s">
        <v>1094</v>
      </c>
      <c r="I9" s="27" t="s">
        <v>2588</v>
      </c>
    </row>
    <row r="10" spans="1:11" ht="14.25" customHeight="1" x14ac:dyDescent="0.25">
      <c r="A10" s="2">
        <v>46011</v>
      </c>
      <c r="B10">
        <v>2025003855</v>
      </c>
      <c r="C10" t="s">
        <v>1896</v>
      </c>
      <c r="D10" s="11">
        <v>3150000</v>
      </c>
      <c r="E10">
        <v>1086224204</v>
      </c>
      <c r="F10" t="s">
        <v>1897</v>
      </c>
      <c r="G10" t="s">
        <v>1755</v>
      </c>
    </row>
    <row r="11" spans="1:11" ht="14.25" customHeight="1" x14ac:dyDescent="0.25">
      <c r="A11" s="2">
        <v>46007</v>
      </c>
      <c r="B11">
        <v>2025003860</v>
      </c>
      <c r="C11" t="s">
        <v>1274</v>
      </c>
      <c r="D11" s="11">
        <v>12000000</v>
      </c>
      <c r="E11" s="12" t="e">
        <f>VLOOKUP(C11,#REF!,5,0)</f>
        <v>#REF!</v>
      </c>
      <c r="F11" s="12" t="e">
        <f>VLOOKUP(C11,#REF!,6,0)</f>
        <v>#REF!</v>
      </c>
      <c r="G11" t="s">
        <v>1094</v>
      </c>
      <c r="H11">
        <v>2025003560</v>
      </c>
      <c r="I11" s="28" t="s">
        <v>2590</v>
      </c>
    </row>
    <row r="12" spans="1:11" ht="14.25" customHeight="1" x14ac:dyDescent="0.25">
      <c r="A12" s="2">
        <v>46011</v>
      </c>
      <c r="B12">
        <v>2025003860</v>
      </c>
      <c r="C12" t="s">
        <v>2003</v>
      </c>
      <c r="D12" s="11">
        <v>4730000</v>
      </c>
      <c r="E12">
        <v>59312865</v>
      </c>
      <c r="F12" t="s">
        <v>127</v>
      </c>
      <c r="G12" t="s">
        <v>1755</v>
      </c>
    </row>
    <row r="13" spans="1:11" ht="14.25" customHeight="1" x14ac:dyDescent="0.25">
      <c r="A13" s="2">
        <v>46007</v>
      </c>
      <c r="B13">
        <v>2025003861</v>
      </c>
      <c r="C13" t="s">
        <v>1277</v>
      </c>
      <c r="D13" s="11">
        <v>9500000</v>
      </c>
      <c r="E13" s="12" t="e">
        <f>VLOOKUP(C13,#REF!,5,0)</f>
        <v>#REF!</v>
      </c>
      <c r="F13" s="12" t="e">
        <f>VLOOKUP(C13,#REF!,6,0)</f>
        <v>#REF!</v>
      </c>
      <c r="G13" t="s">
        <v>1094</v>
      </c>
      <c r="H13">
        <v>2025003779</v>
      </c>
      <c r="I13" s="27" t="s">
        <v>2588</v>
      </c>
    </row>
    <row r="14" spans="1:11" ht="14.25" customHeight="1" x14ac:dyDescent="0.25">
      <c r="A14" s="2">
        <v>46011</v>
      </c>
      <c r="B14">
        <v>2025003861</v>
      </c>
      <c r="C14" t="s">
        <v>2103</v>
      </c>
      <c r="D14" s="11">
        <v>6300000</v>
      </c>
      <c r="E14">
        <v>1085248939</v>
      </c>
      <c r="F14" t="s">
        <v>437</v>
      </c>
      <c r="G14" t="s">
        <v>1755</v>
      </c>
    </row>
    <row r="15" spans="1:11" ht="14.25" customHeight="1" x14ac:dyDescent="0.25">
      <c r="A15" s="2">
        <v>46007</v>
      </c>
      <c r="B15">
        <v>2025003869</v>
      </c>
      <c r="C15" t="s">
        <v>1275</v>
      </c>
      <c r="D15" s="11">
        <v>2500000</v>
      </c>
      <c r="E15" s="12" t="e">
        <f>VLOOKUP(C15,#REF!,5,0)</f>
        <v>#REF!</v>
      </c>
      <c r="F15" s="12" t="e">
        <f>VLOOKUP(C15,#REF!,6,0)</f>
        <v>#REF!</v>
      </c>
      <c r="G15" t="s">
        <v>1094</v>
      </c>
      <c r="H15">
        <v>2025003382</v>
      </c>
    </row>
    <row r="16" spans="1:11" ht="14.25" customHeight="1" x14ac:dyDescent="0.25">
      <c r="A16" s="2">
        <v>46011</v>
      </c>
      <c r="B16">
        <v>2025003869</v>
      </c>
      <c r="C16" t="s">
        <v>1901</v>
      </c>
      <c r="D16" s="11">
        <v>4730000</v>
      </c>
      <c r="E16">
        <v>1005829176</v>
      </c>
      <c r="F16" t="s">
        <v>1902</v>
      </c>
      <c r="G16" t="s">
        <v>1755</v>
      </c>
    </row>
    <row r="17" spans="1:9" ht="14.25" customHeight="1" x14ac:dyDescent="0.25">
      <c r="A17" s="2">
        <v>46007</v>
      </c>
      <c r="B17" s="27" t="s">
        <v>2589</v>
      </c>
      <c r="C17" s="4" t="s">
        <v>1273</v>
      </c>
      <c r="D17" s="11">
        <v>6000000</v>
      </c>
      <c r="E17" s="12" t="e">
        <f>VLOOKUP(C17,#REF!,5,0)</f>
        <v>#REF!</v>
      </c>
      <c r="F17" s="12" t="e">
        <f>VLOOKUP(C17,#REF!,6,0)</f>
        <v>#REF!</v>
      </c>
      <c r="G17" t="s">
        <v>1094</v>
      </c>
      <c r="H17">
        <v>2025003795</v>
      </c>
      <c r="I17" s="27" t="s">
        <v>2588</v>
      </c>
    </row>
    <row r="18" spans="1:9" ht="14.25" customHeight="1" x14ac:dyDescent="0.25">
      <c r="A18" s="2">
        <v>46011</v>
      </c>
      <c r="B18">
        <v>2025003871</v>
      </c>
      <c r="C18" t="s">
        <v>1844</v>
      </c>
      <c r="D18" s="11">
        <v>7800000</v>
      </c>
      <c r="E18">
        <v>37087120</v>
      </c>
      <c r="F18" t="s">
        <v>159</v>
      </c>
      <c r="G18" t="s">
        <v>1755</v>
      </c>
    </row>
    <row r="19" spans="1:9" ht="14.25" customHeight="1" x14ac:dyDescent="0.25">
      <c r="A19" s="3">
        <v>45391</v>
      </c>
      <c r="B19" s="1">
        <v>2024000388</v>
      </c>
      <c r="C19" s="1" t="s">
        <v>7</v>
      </c>
      <c r="D19" s="5">
        <v>64304701.039999999</v>
      </c>
      <c r="E19" s="1">
        <v>901329717</v>
      </c>
      <c r="F19" s="1" t="s">
        <v>8</v>
      </c>
      <c r="G19" s="1" t="s">
        <v>9</v>
      </c>
    </row>
    <row r="20" spans="1:9" ht="14.25" customHeight="1" x14ac:dyDescent="0.25">
      <c r="A20" s="3">
        <v>45419</v>
      </c>
      <c r="B20" s="1">
        <v>2024000517</v>
      </c>
      <c r="C20" s="1" t="s">
        <v>7</v>
      </c>
      <c r="D20" s="5">
        <v>64376700</v>
      </c>
      <c r="E20" s="1">
        <v>901329717</v>
      </c>
      <c r="F20" s="1" t="s">
        <v>8</v>
      </c>
      <c r="G20" s="1" t="s">
        <v>9</v>
      </c>
    </row>
    <row r="21" spans="1:9" ht="14.25" customHeight="1" x14ac:dyDescent="0.25">
      <c r="A21" s="3">
        <v>45441</v>
      </c>
      <c r="B21" s="1">
        <v>2024000589</v>
      </c>
      <c r="C21" s="1" t="s">
        <v>10</v>
      </c>
      <c r="D21" s="5">
        <v>2000000</v>
      </c>
      <c r="E21" s="1">
        <v>1085317833</v>
      </c>
      <c r="F21" s="1" t="s">
        <v>11</v>
      </c>
      <c r="G21" s="1" t="s">
        <v>9</v>
      </c>
    </row>
    <row r="22" spans="1:9" ht="14.25" customHeight="1" x14ac:dyDescent="0.25">
      <c r="A22" s="3">
        <v>45441</v>
      </c>
      <c r="B22" s="1">
        <v>2024000591</v>
      </c>
      <c r="C22" s="1" t="s">
        <v>12</v>
      </c>
      <c r="D22" s="5">
        <v>25496760</v>
      </c>
      <c r="E22" s="1">
        <v>98383086</v>
      </c>
      <c r="F22" s="1" t="s">
        <v>13</v>
      </c>
      <c r="G22" s="1" t="s">
        <v>9</v>
      </c>
    </row>
    <row r="23" spans="1:9" ht="14.25" customHeight="1" x14ac:dyDescent="0.25">
      <c r="A23" s="3">
        <v>45443</v>
      </c>
      <c r="B23" s="1">
        <v>2024000594</v>
      </c>
      <c r="C23" s="1" t="s">
        <v>14</v>
      </c>
      <c r="D23" s="5">
        <v>4825600</v>
      </c>
      <c r="E23" s="1">
        <v>1085338534</v>
      </c>
      <c r="F23" s="1" t="s">
        <v>15</v>
      </c>
      <c r="G23" s="1" t="s">
        <v>9</v>
      </c>
    </row>
    <row r="24" spans="1:9" ht="14.25" customHeight="1" x14ac:dyDescent="0.25">
      <c r="A24" s="3">
        <v>45443</v>
      </c>
      <c r="B24" s="1">
        <v>2024000595</v>
      </c>
      <c r="C24" s="1" t="s">
        <v>16</v>
      </c>
      <c r="D24" s="5">
        <v>2000000</v>
      </c>
      <c r="E24" s="1">
        <v>59830395</v>
      </c>
      <c r="F24" s="1" t="s">
        <v>17</v>
      </c>
      <c r="G24" s="1" t="s">
        <v>9</v>
      </c>
    </row>
    <row r="25" spans="1:9" ht="14.25" customHeight="1" x14ac:dyDescent="0.25">
      <c r="A25" s="3">
        <v>45443</v>
      </c>
      <c r="B25" s="1">
        <v>2024000596</v>
      </c>
      <c r="C25" s="1" t="s">
        <v>18</v>
      </c>
      <c r="D25" s="5">
        <v>6000000</v>
      </c>
      <c r="E25" s="1">
        <v>1089242085</v>
      </c>
      <c r="F25" s="1" t="s">
        <v>19</v>
      </c>
      <c r="G25" s="1" t="s">
        <v>9</v>
      </c>
    </row>
    <row r="26" spans="1:9" ht="14.25" customHeight="1" x14ac:dyDescent="0.25">
      <c r="A26" s="3">
        <v>45443</v>
      </c>
      <c r="B26" s="1">
        <v>2024000597</v>
      </c>
      <c r="C26" s="1" t="s">
        <v>20</v>
      </c>
      <c r="D26" s="5">
        <v>7500000</v>
      </c>
      <c r="E26" s="1">
        <v>1089244511</v>
      </c>
      <c r="F26" s="1" t="s">
        <v>21</v>
      </c>
      <c r="G26" s="1" t="s">
        <v>9</v>
      </c>
    </row>
    <row r="27" spans="1:9" ht="14.25" customHeight="1" x14ac:dyDescent="0.25">
      <c r="A27" s="3">
        <v>45443</v>
      </c>
      <c r="B27" s="1">
        <v>2024000598</v>
      </c>
      <c r="C27" s="1" t="s">
        <v>22</v>
      </c>
      <c r="D27" s="5">
        <v>4750000</v>
      </c>
      <c r="E27" s="1">
        <v>1085325342</v>
      </c>
      <c r="F27" s="1" t="s">
        <v>23</v>
      </c>
      <c r="G27" s="1" t="s">
        <v>9</v>
      </c>
    </row>
    <row r="28" spans="1:9" ht="14.25" customHeight="1" x14ac:dyDescent="0.25">
      <c r="A28" s="3">
        <v>45447</v>
      </c>
      <c r="B28" s="1">
        <v>2024000669</v>
      </c>
      <c r="C28" s="1" t="s">
        <v>36</v>
      </c>
      <c r="D28" s="5">
        <v>2000000</v>
      </c>
      <c r="E28" s="1">
        <v>27087122</v>
      </c>
      <c r="F28" s="1" t="s">
        <v>37</v>
      </c>
      <c r="G28" s="1" t="s">
        <v>9</v>
      </c>
    </row>
    <row r="29" spans="1:9" ht="14.25" customHeight="1" x14ac:dyDescent="0.25">
      <c r="A29" s="3">
        <v>45448</v>
      </c>
      <c r="B29" s="1">
        <v>2024000675</v>
      </c>
      <c r="C29" s="1" t="s">
        <v>376</v>
      </c>
      <c r="D29" s="5">
        <v>4825600</v>
      </c>
      <c r="E29" s="1">
        <v>37082349</v>
      </c>
      <c r="F29" s="1" t="s">
        <v>377</v>
      </c>
      <c r="G29" s="1" t="s">
        <v>9</v>
      </c>
    </row>
    <row r="30" spans="1:9" ht="14.25" customHeight="1" x14ac:dyDescent="0.25">
      <c r="A30" s="3">
        <v>45448</v>
      </c>
      <c r="B30" s="1">
        <v>2024000676</v>
      </c>
      <c r="C30" s="1" t="s">
        <v>378</v>
      </c>
      <c r="D30" s="5">
        <v>7500000</v>
      </c>
      <c r="E30" s="1">
        <v>1085332934</v>
      </c>
      <c r="F30" s="1" t="s">
        <v>379</v>
      </c>
      <c r="G30" s="1" t="s">
        <v>9</v>
      </c>
    </row>
    <row r="31" spans="1:9" ht="14.25" customHeight="1" x14ac:dyDescent="0.25">
      <c r="A31" s="3">
        <v>45448</v>
      </c>
      <c r="B31" s="1">
        <v>2024000677</v>
      </c>
      <c r="C31" s="1" t="s">
        <v>120</v>
      </c>
      <c r="D31" s="5">
        <v>2000000</v>
      </c>
      <c r="E31" s="1">
        <v>59834953</v>
      </c>
      <c r="F31" s="1" t="s">
        <v>121</v>
      </c>
      <c r="G31" s="1" t="s">
        <v>9</v>
      </c>
    </row>
    <row r="32" spans="1:9" ht="14.25" customHeight="1" x14ac:dyDescent="0.25">
      <c r="A32" s="3">
        <v>45448</v>
      </c>
      <c r="B32" s="1">
        <v>2024000678</v>
      </c>
      <c r="C32" s="1" t="s">
        <v>392</v>
      </c>
      <c r="D32" s="5">
        <v>7500000</v>
      </c>
      <c r="E32" s="1">
        <v>1085320661</v>
      </c>
      <c r="F32" s="1" t="s">
        <v>393</v>
      </c>
      <c r="G32" s="1" t="s">
        <v>9</v>
      </c>
    </row>
    <row r="33" spans="1:7" ht="14.25" customHeight="1" x14ac:dyDescent="0.25">
      <c r="A33" s="3">
        <v>45448</v>
      </c>
      <c r="B33" s="1">
        <v>2024000679</v>
      </c>
      <c r="C33" s="1" t="s">
        <v>178</v>
      </c>
      <c r="D33" s="5">
        <v>2000000</v>
      </c>
      <c r="E33" s="1">
        <v>1085250095</v>
      </c>
      <c r="F33" s="1" t="s">
        <v>179</v>
      </c>
      <c r="G33" s="1" t="s">
        <v>9</v>
      </c>
    </row>
    <row r="34" spans="1:7" ht="14.25" customHeight="1" x14ac:dyDescent="0.25">
      <c r="A34" s="3">
        <v>45448</v>
      </c>
      <c r="B34" s="1">
        <v>2024000681</v>
      </c>
      <c r="C34" s="1" t="s">
        <v>426</v>
      </c>
      <c r="D34" s="5">
        <v>2000000</v>
      </c>
      <c r="E34" s="1">
        <v>1085318688</v>
      </c>
      <c r="F34" s="1" t="s">
        <v>427</v>
      </c>
      <c r="G34" s="1" t="s">
        <v>9</v>
      </c>
    </row>
    <row r="35" spans="1:7" ht="14.25" customHeight="1" x14ac:dyDescent="0.25">
      <c r="A35" s="3">
        <v>45448</v>
      </c>
      <c r="B35" s="1">
        <v>2024000682</v>
      </c>
      <c r="C35" s="1" t="s">
        <v>124</v>
      </c>
      <c r="D35" s="5">
        <v>6000000</v>
      </c>
      <c r="E35" s="1">
        <v>36951002</v>
      </c>
      <c r="F35" s="1" t="s">
        <v>125</v>
      </c>
      <c r="G35" s="1" t="s">
        <v>9</v>
      </c>
    </row>
    <row r="36" spans="1:7" ht="14.25" customHeight="1" x14ac:dyDescent="0.25">
      <c r="A36" s="3">
        <v>45448</v>
      </c>
      <c r="B36" s="1">
        <v>2024000683</v>
      </c>
      <c r="C36" s="1" t="s">
        <v>416</v>
      </c>
      <c r="D36" s="5">
        <v>2000000</v>
      </c>
      <c r="E36" s="1">
        <v>1085302942</v>
      </c>
      <c r="F36" s="1" t="s">
        <v>417</v>
      </c>
      <c r="G36" s="1" t="s">
        <v>9</v>
      </c>
    </row>
    <row r="37" spans="1:7" ht="14.25" customHeight="1" x14ac:dyDescent="0.25">
      <c r="A37" s="3">
        <v>45448</v>
      </c>
      <c r="B37" s="1">
        <v>2024000684</v>
      </c>
      <c r="C37" s="1" t="s">
        <v>402</v>
      </c>
      <c r="D37" s="5">
        <v>2000000</v>
      </c>
      <c r="E37" s="1">
        <v>1004410201</v>
      </c>
      <c r="F37" s="1" t="s">
        <v>403</v>
      </c>
      <c r="G37" s="1" t="s">
        <v>9</v>
      </c>
    </row>
    <row r="38" spans="1:7" ht="14.25" customHeight="1" x14ac:dyDescent="0.25">
      <c r="A38" s="3">
        <v>45448</v>
      </c>
      <c r="B38" s="1">
        <v>2024000685</v>
      </c>
      <c r="C38" s="1" t="s">
        <v>44</v>
      </c>
      <c r="D38" s="5">
        <v>2000000</v>
      </c>
      <c r="E38" s="1">
        <v>1007356378</v>
      </c>
      <c r="F38" s="1" t="s">
        <v>45</v>
      </c>
      <c r="G38" s="1" t="s">
        <v>9</v>
      </c>
    </row>
    <row r="39" spans="1:7" ht="14.25" customHeight="1" x14ac:dyDescent="0.25">
      <c r="A39" s="3">
        <v>45448</v>
      </c>
      <c r="B39" s="1">
        <v>2024000686</v>
      </c>
      <c r="C39" s="1" t="s">
        <v>110</v>
      </c>
      <c r="D39" s="5">
        <v>2000000</v>
      </c>
      <c r="E39" s="1">
        <v>1085286725</v>
      </c>
      <c r="F39" s="1" t="s">
        <v>111</v>
      </c>
      <c r="G39" s="1" t="s">
        <v>9</v>
      </c>
    </row>
    <row r="40" spans="1:7" ht="14.25" customHeight="1" x14ac:dyDescent="0.25">
      <c r="A40" s="3">
        <v>45448</v>
      </c>
      <c r="B40" s="1">
        <v>2024000687</v>
      </c>
      <c r="C40" s="1" t="s">
        <v>408</v>
      </c>
      <c r="D40" s="5">
        <v>2000000</v>
      </c>
      <c r="E40" s="1">
        <v>1193224810</v>
      </c>
      <c r="F40" s="1" t="s">
        <v>409</v>
      </c>
      <c r="G40" s="1" t="s">
        <v>9</v>
      </c>
    </row>
    <row r="41" spans="1:7" ht="14.25" customHeight="1" x14ac:dyDescent="0.25">
      <c r="A41" s="3">
        <v>45449</v>
      </c>
      <c r="B41" s="1">
        <v>2024000705</v>
      </c>
      <c r="C41" s="1" t="s">
        <v>386</v>
      </c>
      <c r="D41" s="5">
        <v>2000000</v>
      </c>
      <c r="E41" s="1">
        <v>1030606749</v>
      </c>
      <c r="F41" s="1" t="s">
        <v>387</v>
      </c>
      <c r="G41" s="1" t="s">
        <v>9</v>
      </c>
    </row>
    <row r="42" spans="1:7" ht="14.25" customHeight="1" x14ac:dyDescent="0.25">
      <c r="A42" s="3">
        <v>45449</v>
      </c>
      <c r="B42" s="1">
        <v>2024000706</v>
      </c>
      <c r="C42" s="1" t="s">
        <v>92</v>
      </c>
      <c r="D42" s="5">
        <v>4825600</v>
      </c>
      <c r="E42" s="1">
        <v>1085291221</v>
      </c>
      <c r="F42" s="1" t="s">
        <v>93</v>
      </c>
      <c r="G42" s="1" t="s">
        <v>9</v>
      </c>
    </row>
    <row r="43" spans="1:7" ht="14.25" customHeight="1" x14ac:dyDescent="0.25">
      <c r="A43" s="3">
        <v>45449</v>
      </c>
      <c r="B43" s="1">
        <v>2024000712</v>
      </c>
      <c r="C43" s="1" t="s">
        <v>394</v>
      </c>
      <c r="D43" s="5">
        <v>2000000</v>
      </c>
      <c r="E43" s="1">
        <v>59837416</v>
      </c>
      <c r="F43" s="1" t="s">
        <v>395</v>
      </c>
      <c r="G43" s="1" t="s">
        <v>9</v>
      </c>
    </row>
    <row r="44" spans="1:7" ht="14.25" customHeight="1" x14ac:dyDescent="0.25">
      <c r="A44" s="3">
        <v>45449</v>
      </c>
      <c r="B44" s="1">
        <v>2024000713</v>
      </c>
      <c r="C44" s="1" t="s">
        <v>396</v>
      </c>
      <c r="D44" s="5">
        <v>2000000</v>
      </c>
      <c r="E44" s="1">
        <v>1004635031</v>
      </c>
      <c r="F44" s="1" t="s">
        <v>397</v>
      </c>
      <c r="G44" s="1" t="s">
        <v>9</v>
      </c>
    </row>
    <row r="45" spans="1:7" ht="14.25" customHeight="1" x14ac:dyDescent="0.25">
      <c r="A45" s="3">
        <v>45450</v>
      </c>
      <c r="B45" s="1">
        <v>2024000714</v>
      </c>
      <c r="C45" s="1" t="s">
        <v>414</v>
      </c>
      <c r="D45" s="5">
        <v>4750000</v>
      </c>
      <c r="E45" s="1">
        <v>59816986</v>
      </c>
      <c r="F45" s="1" t="s">
        <v>415</v>
      </c>
      <c r="G45" s="1" t="s">
        <v>9</v>
      </c>
    </row>
    <row r="46" spans="1:7" ht="14.25" customHeight="1" x14ac:dyDescent="0.25">
      <c r="A46" s="3">
        <v>45450</v>
      </c>
      <c r="B46" s="1">
        <v>2024000715</v>
      </c>
      <c r="C46" s="1" t="s">
        <v>160</v>
      </c>
      <c r="D46" s="5">
        <v>7500000</v>
      </c>
      <c r="E46" s="1">
        <v>1085304670</v>
      </c>
      <c r="F46" s="1" t="s">
        <v>161</v>
      </c>
      <c r="G46" s="1" t="s">
        <v>9</v>
      </c>
    </row>
    <row r="47" spans="1:7" ht="14.25" customHeight="1" x14ac:dyDescent="0.25">
      <c r="A47" s="3">
        <v>45450</v>
      </c>
      <c r="B47" s="1">
        <v>2024000716</v>
      </c>
      <c r="C47" s="1" t="s">
        <v>68</v>
      </c>
      <c r="D47" s="5">
        <v>7500000</v>
      </c>
      <c r="E47" s="1">
        <v>80765093</v>
      </c>
      <c r="F47" s="1" t="s">
        <v>69</v>
      </c>
      <c r="G47" s="1" t="s">
        <v>9</v>
      </c>
    </row>
    <row r="48" spans="1:7" ht="14.25" customHeight="1" x14ac:dyDescent="0.25">
      <c r="A48" s="3">
        <v>45450</v>
      </c>
      <c r="B48" s="1">
        <v>2024000717</v>
      </c>
      <c r="C48" s="1" t="s">
        <v>144</v>
      </c>
      <c r="D48" s="5">
        <v>6000000</v>
      </c>
      <c r="E48" s="1">
        <v>59837608</v>
      </c>
      <c r="F48" s="1" t="s">
        <v>145</v>
      </c>
      <c r="G48" s="1" t="s">
        <v>9</v>
      </c>
    </row>
    <row r="49" spans="1:7" ht="14.25" customHeight="1" x14ac:dyDescent="0.25">
      <c r="A49" s="3">
        <v>45450</v>
      </c>
      <c r="B49" s="1">
        <v>2024000718</v>
      </c>
      <c r="C49" s="1" t="s">
        <v>428</v>
      </c>
      <c r="D49" s="5">
        <v>4750000</v>
      </c>
      <c r="E49" s="1">
        <v>1085260497</v>
      </c>
      <c r="F49" s="1" t="s">
        <v>429</v>
      </c>
      <c r="G49" s="1" t="s">
        <v>9</v>
      </c>
    </row>
    <row r="50" spans="1:7" ht="14.25" customHeight="1" x14ac:dyDescent="0.25">
      <c r="A50" s="3">
        <v>45450</v>
      </c>
      <c r="B50" s="1">
        <v>2024000721</v>
      </c>
      <c r="C50" s="1" t="s">
        <v>236</v>
      </c>
      <c r="D50" s="5">
        <v>2000000</v>
      </c>
      <c r="E50" s="1">
        <v>1004234290</v>
      </c>
      <c r="F50" s="1" t="s">
        <v>237</v>
      </c>
      <c r="G50" s="1" t="s">
        <v>9</v>
      </c>
    </row>
    <row r="51" spans="1:7" ht="14.25" customHeight="1" x14ac:dyDescent="0.25">
      <c r="A51" s="3">
        <v>45450</v>
      </c>
      <c r="B51" s="1">
        <v>2024000722</v>
      </c>
      <c r="C51" s="1" t="s">
        <v>272</v>
      </c>
      <c r="D51" s="5">
        <v>4825600</v>
      </c>
      <c r="E51" s="1">
        <v>1085332406</v>
      </c>
      <c r="F51" s="1" t="s">
        <v>273</v>
      </c>
      <c r="G51" s="1" t="s">
        <v>9</v>
      </c>
    </row>
    <row r="52" spans="1:7" ht="14.25" customHeight="1" x14ac:dyDescent="0.25">
      <c r="A52" s="3">
        <v>45450</v>
      </c>
      <c r="B52" s="1">
        <v>2024000723</v>
      </c>
      <c r="C52" s="1" t="s">
        <v>404</v>
      </c>
      <c r="D52" s="5">
        <v>2000000</v>
      </c>
      <c r="E52" s="1">
        <v>1085288636</v>
      </c>
      <c r="F52" s="1" t="s">
        <v>405</v>
      </c>
      <c r="G52" s="1" t="s">
        <v>9</v>
      </c>
    </row>
    <row r="53" spans="1:7" ht="14.25" customHeight="1" x14ac:dyDescent="0.25">
      <c r="A53" s="3">
        <v>45454</v>
      </c>
      <c r="B53" s="1">
        <v>2024000747</v>
      </c>
      <c r="C53" s="1" t="s">
        <v>418</v>
      </c>
      <c r="D53" s="5">
        <v>2000000</v>
      </c>
      <c r="E53" s="1">
        <v>1085260568</v>
      </c>
      <c r="F53" s="1" t="s">
        <v>419</v>
      </c>
      <c r="G53" s="1" t="s">
        <v>9</v>
      </c>
    </row>
    <row r="54" spans="1:7" ht="14.25" customHeight="1" x14ac:dyDescent="0.25">
      <c r="A54" s="3">
        <v>45454</v>
      </c>
      <c r="B54" s="1">
        <v>2024000749</v>
      </c>
      <c r="C54" s="1" t="s">
        <v>420</v>
      </c>
      <c r="D54" s="5">
        <v>7500000</v>
      </c>
      <c r="E54" s="1">
        <v>1088599676</v>
      </c>
      <c r="F54" s="1" t="s">
        <v>421</v>
      </c>
      <c r="G54" s="1" t="s">
        <v>9</v>
      </c>
    </row>
    <row r="55" spans="1:7" ht="14.25" customHeight="1" x14ac:dyDescent="0.25">
      <c r="A55" s="3">
        <v>45454</v>
      </c>
      <c r="B55" s="1">
        <v>2024000750</v>
      </c>
      <c r="C55" s="1" t="s">
        <v>56</v>
      </c>
      <c r="D55" s="5">
        <v>4825600</v>
      </c>
      <c r="E55" s="1">
        <v>1193385736</v>
      </c>
      <c r="F55" s="1" t="s">
        <v>57</v>
      </c>
      <c r="G55" s="1" t="s">
        <v>9</v>
      </c>
    </row>
    <row r="56" spans="1:7" ht="14.25" customHeight="1" x14ac:dyDescent="0.25">
      <c r="A56" s="3">
        <v>45454</v>
      </c>
      <c r="B56" s="1">
        <v>2024000753</v>
      </c>
      <c r="C56" s="1" t="s">
        <v>268</v>
      </c>
      <c r="D56" s="5">
        <v>64141827</v>
      </c>
      <c r="E56" s="1">
        <v>900994364</v>
      </c>
      <c r="F56" s="1" t="s">
        <v>269</v>
      </c>
      <c r="G56" s="1" t="s">
        <v>9</v>
      </c>
    </row>
    <row r="57" spans="1:7" ht="14.25" customHeight="1" x14ac:dyDescent="0.25">
      <c r="A57" s="3">
        <v>45454</v>
      </c>
      <c r="B57" s="1">
        <v>2024000759</v>
      </c>
      <c r="C57" s="1" t="s">
        <v>118</v>
      </c>
      <c r="D57" s="5">
        <v>2000000</v>
      </c>
      <c r="E57" s="1">
        <v>37084285</v>
      </c>
      <c r="F57" s="1" t="s">
        <v>119</v>
      </c>
      <c r="G57" s="1" t="s">
        <v>9</v>
      </c>
    </row>
    <row r="58" spans="1:7" ht="14.25" customHeight="1" x14ac:dyDescent="0.25">
      <c r="A58" s="3">
        <v>45454</v>
      </c>
      <c r="B58" s="1">
        <v>2024000760</v>
      </c>
      <c r="C58" s="1" t="s">
        <v>390</v>
      </c>
      <c r="D58" s="5">
        <v>4750000</v>
      </c>
      <c r="E58" s="1">
        <v>36953206</v>
      </c>
      <c r="F58" s="1" t="s">
        <v>391</v>
      </c>
      <c r="G58" s="1" t="s">
        <v>9</v>
      </c>
    </row>
    <row r="59" spans="1:7" ht="14.25" customHeight="1" x14ac:dyDescent="0.25">
      <c r="A59" s="3">
        <v>45454</v>
      </c>
      <c r="B59" s="1">
        <v>2024000761</v>
      </c>
      <c r="C59" s="1" t="s">
        <v>174</v>
      </c>
      <c r="D59" s="5">
        <v>4825600</v>
      </c>
      <c r="E59" s="1">
        <v>1085283723</v>
      </c>
      <c r="F59" s="1" t="s">
        <v>175</v>
      </c>
      <c r="G59" s="1" t="s">
        <v>9</v>
      </c>
    </row>
    <row r="60" spans="1:7" ht="14.25" customHeight="1" x14ac:dyDescent="0.25">
      <c r="A60" s="3">
        <v>45454</v>
      </c>
      <c r="B60" s="1">
        <v>2024000762</v>
      </c>
      <c r="C60" s="1" t="s">
        <v>84</v>
      </c>
      <c r="D60" s="5">
        <v>2000000</v>
      </c>
      <c r="E60" s="1">
        <v>1085327701</v>
      </c>
      <c r="F60" s="1" t="s">
        <v>85</v>
      </c>
      <c r="G60" s="1" t="s">
        <v>9</v>
      </c>
    </row>
    <row r="61" spans="1:7" ht="14.25" customHeight="1" x14ac:dyDescent="0.25">
      <c r="A61" s="3">
        <v>45454</v>
      </c>
      <c r="B61" s="1">
        <v>2024000763</v>
      </c>
      <c r="C61" s="1" t="s">
        <v>264</v>
      </c>
      <c r="D61" s="5">
        <v>2000000</v>
      </c>
      <c r="E61" s="1">
        <v>1010085543</v>
      </c>
      <c r="F61" s="1" t="s">
        <v>265</v>
      </c>
      <c r="G61" s="1" t="s">
        <v>9</v>
      </c>
    </row>
    <row r="62" spans="1:7" ht="14.25" customHeight="1" x14ac:dyDescent="0.25">
      <c r="A62" s="3">
        <v>45455</v>
      </c>
      <c r="B62" s="1">
        <v>2024000764</v>
      </c>
      <c r="C62" s="1" t="s">
        <v>132</v>
      </c>
      <c r="D62" s="5">
        <v>4825600</v>
      </c>
      <c r="E62" s="1">
        <v>87062845</v>
      </c>
      <c r="F62" s="1" t="s">
        <v>133</v>
      </c>
      <c r="G62" s="1" t="s">
        <v>9</v>
      </c>
    </row>
    <row r="63" spans="1:7" ht="14.25" customHeight="1" x14ac:dyDescent="0.25">
      <c r="A63" s="3">
        <v>45455</v>
      </c>
      <c r="B63" s="1">
        <v>2024000765</v>
      </c>
      <c r="C63" s="1" t="s">
        <v>290</v>
      </c>
      <c r="D63" s="5">
        <v>2000000</v>
      </c>
      <c r="E63" s="1">
        <v>1085344082</v>
      </c>
      <c r="F63" s="1" t="s">
        <v>291</v>
      </c>
      <c r="G63" s="1" t="s">
        <v>9</v>
      </c>
    </row>
    <row r="64" spans="1:7" ht="14.25" customHeight="1" x14ac:dyDescent="0.25">
      <c r="A64" s="3">
        <v>45455</v>
      </c>
      <c r="B64" s="1">
        <v>2024000766</v>
      </c>
      <c r="C64" s="1" t="s">
        <v>52</v>
      </c>
      <c r="D64" s="5">
        <v>4825600</v>
      </c>
      <c r="E64" s="1">
        <v>30733517</v>
      </c>
      <c r="F64" s="1" t="s">
        <v>53</v>
      </c>
      <c r="G64" s="1" t="s">
        <v>9</v>
      </c>
    </row>
    <row r="65" spans="1:7" ht="14.25" customHeight="1" x14ac:dyDescent="0.25">
      <c r="A65" s="3">
        <v>45455</v>
      </c>
      <c r="B65" s="1">
        <v>2024000768</v>
      </c>
      <c r="C65" s="1" t="s">
        <v>134</v>
      </c>
      <c r="D65" s="5">
        <v>4750000</v>
      </c>
      <c r="E65" s="1">
        <v>59821282</v>
      </c>
      <c r="F65" s="1" t="s">
        <v>135</v>
      </c>
      <c r="G65" s="1" t="s">
        <v>9</v>
      </c>
    </row>
    <row r="66" spans="1:7" ht="14.25" customHeight="1" x14ac:dyDescent="0.25">
      <c r="A66" s="3">
        <v>45455</v>
      </c>
      <c r="B66" s="1">
        <v>2024000769</v>
      </c>
      <c r="C66" s="1" t="s">
        <v>176</v>
      </c>
      <c r="D66" s="5">
        <v>4825600</v>
      </c>
      <c r="E66" s="1">
        <v>27087851</v>
      </c>
      <c r="F66" s="1" t="s">
        <v>177</v>
      </c>
      <c r="G66" s="1" t="s">
        <v>9</v>
      </c>
    </row>
    <row r="67" spans="1:7" ht="14.25" customHeight="1" x14ac:dyDescent="0.25">
      <c r="A67" s="3">
        <v>45455</v>
      </c>
      <c r="B67" s="1">
        <v>2024000771</v>
      </c>
      <c r="C67" s="1" t="s">
        <v>46</v>
      </c>
      <c r="D67" s="5">
        <v>4750000</v>
      </c>
      <c r="E67" s="1">
        <v>1087414586</v>
      </c>
      <c r="F67" s="1" t="s">
        <v>47</v>
      </c>
      <c r="G67" s="1" t="s">
        <v>9</v>
      </c>
    </row>
    <row r="68" spans="1:7" ht="14.25" customHeight="1" x14ac:dyDescent="0.25">
      <c r="A68" s="3">
        <v>45455</v>
      </c>
      <c r="B68" s="1">
        <v>2024000772</v>
      </c>
      <c r="C68" s="1" t="s">
        <v>230</v>
      </c>
      <c r="D68" s="5">
        <v>7500000</v>
      </c>
      <c r="E68" s="1">
        <v>1085335767</v>
      </c>
      <c r="F68" s="1" t="s">
        <v>231</v>
      </c>
      <c r="G68" s="1" t="s">
        <v>9</v>
      </c>
    </row>
    <row r="69" spans="1:7" ht="14.25" customHeight="1" x14ac:dyDescent="0.25">
      <c r="A69" s="3">
        <v>45455</v>
      </c>
      <c r="B69" s="1">
        <v>2024000773</v>
      </c>
      <c r="C69" s="1" t="s">
        <v>116</v>
      </c>
      <c r="D69" s="5">
        <v>6000000</v>
      </c>
      <c r="E69" s="1">
        <v>1085275879</v>
      </c>
      <c r="F69" s="1" t="s">
        <v>117</v>
      </c>
      <c r="G69" s="1" t="s">
        <v>9</v>
      </c>
    </row>
    <row r="70" spans="1:7" ht="14.25" customHeight="1" x14ac:dyDescent="0.25">
      <c r="A70" s="3">
        <v>45455</v>
      </c>
      <c r="B70" s="1">
        <v>2024000774</v>
      </c>
      <c r="C70" s="1" t="s">
        <v>82</v>
      </c>
      <c r="D70" s="5">
        <v>7500000</v>
      </c>
      <c r="E70" s="1">
        <v>1085329230</v>
      </c>
      <c r="F70" s="1" t="s">
        <v>83</v>
      </c>
      <c r="G70" s="1" t="s">
        <v>9</v>
      </c>
    </row>
    <row r="71" spans="1:7" ht="14.25" customHeight="1" x14ac:dyDescent="0.25">
      <c r="A71" s="3">
        <v>45455</v>
      </c>
      <c r="B71" s="1">
        <v>2024000775</v>
      </c>
      <c r="C71" s="1" t="s">
        <v>328</v>
      </c>
      <c r="D71" s="5">
        <v>6000000</v>
      </c>
      <c r="E71" s="1">
        <v>97470681</v>
      </c>
      <c r="F71" s="1" t="s">
        <v>329</v>
      </c>
      <c r="G71" s="1" t="s">
        <v>9</v>
      </c>
    </row>
    <row r="72" spans="1:7" ht="14.25" customHeight="1" x14ac:dyDescent="0.25">
      <c r="A72" s="3">
        <v>45455</v>
      </c>
      <c r="B72" s="1">
        <v>2024000776</v>
      </c>
      <c r="C72" s="1" t="s">
        <v>156</v>
      </c>
      <c r="D72" s="5">
        <v>7500000</v>
      </c>
      <c r="E72" s="1">
        <v>12961661</v>
      </c>
      <c r="F72" s="1" t="s">
        <v>157</v>
      </c>
      <c r="G72" s="1" t="s">
        <v>9</v>
      </c>
    </row>
    <row r="73" spans="1:7" ht="14.25" customHeight="1" x14ac:dyDescent="0.25">
      <c r="A73" s="3">
        <v>45455</v>
      </c>
      <c r="B73" s="1">
        <v>2024000778</v>
      </c>
      <c r="C73" s="1" t="s">
        <v>192</v>
      </c>
      <c r="D73" s="5">
        <v>7500000</v>
      </c>
      <c r="E73" s="1">
        <v>1126004086</v>
      </c>
      <c r="F73" s="1" t="s">
        <v>193</v>
      </c>
      <c r="G73" s="1" t="s">
        <v>9</v>
      </c>
    </row>
    <row r="74" spans="1:7" ht="14.25" customHeight="1" x14ac:dyDescent="0.25">
      <c r="A74" s="3">
        <v>45455</v>
      </c>
      <c r="B74" s="1">
        <v>2024000779</v>
      </c>
      <c r="C74" s="1" t="s">
        <v>150</v>
      </c>
      <c r="D74" s="5">
        <v>4750000</v>
      </c>
      <c r="E74" s="1">
        <v>59824313</v>
      </c>
      <c r="F74" s="1" t="s">
        <v>151</v>
      </c>
      <c r="G74" s="1" t="s">
        <v>9</v>
      </c>
    </row>
    <row r="75" spans="1:7" ht="14.25" customHeight="1" x14ac:dyDescent="0.25">
      <c r="A75" s="3">
        <v>45455</v>
      </c>
      <c r="B75" s="1">
        <v>2024000781</v>
      </c>
      <c r="C75" s="1" t="s">
        <v>74</v>
      </c>
      <c r="D75" s="5">
        <v>2000000</v>
      </c>
      <c r="E75" s="1">
        <v>1085286742</v>
      </c>
      <c r="F75" s="1" t="s">
        <v>75</v>
      </c>
      <c r="G75" s="1" t="s">
        <v>9</v>
      </c>
    </row>
    <row r="76" spans="1:7" ht="14.25" customHeight="1" x14ac:dyDescent="0.25">
      <c r="A76" s="3">
        <v>45455</v>
      </c>
      <c r="B76" s="1">
        <v>2024000782</v>
      </c>
      <c r="C76" s="1" t="s">
        <v>104</v>
      </c>
      <c r="D76" s="5">
        <v>4750000</v>
      </c>
      <c r="E76" s="1">
        <v>1085303067</v>
      </c>
      <c r="F76" s="1" t="s">
        <v>105</v>
      </c>
      <c r="G76" s="1" t="s">
        <v>9</v>
      </c>
    </row>
    <row r="77" spans="1:7" ht="14.25" customHeight="1" x14ac:dyDescent="0.25">
      <c r="A77" s="3">
        <v>45455</v>
      </c>
      <c r="B77" s="1">
        <v>2024000783</v>
      </c>
      <c r="C77" s="1" t="s">
        <v>246</v>
      </c>
      <c r="D77" s="5">
        <v>4825600</v>
      </c>
      <c r="E77" s="1">
        <v>1085267184</v>
      </c>
      <c r="F77" s="1" t="s">
        <v>247</v>
      </c>
      <c r="G77" s="1" t="s">
        <v>9</v>
      </c>
    </row>
    <row r="78" spans="1:7" ht="14.25" customHeight="1" x14ac:dyDescent="0.25">
      <c r="A78" s="3">
        <v>45455</v>
      </c>
      <c r="B78" s="1">
        <v>2024000784</v>
      </c>
      <c r="C78" s="1" t="s">
        <v>154</v>
      </c>
      <c r="D78" s="5">
        <v>4750000</v>
      </c>
      <c r="E78" s="1">
        <v>1085293619</v>
      </c>
      <c r="F78" s="1" t="s">
        <v>155</v>
      </c>
      <c r="G78" s="1" t="s">
        <v>9</v>
      </c>
    </row>
    <row r="79" spans="1:7" ht="14.25" customHeight="1" x14ac:dyDescent="0.25">
      <c r="A79" s="3">
        <v>45455</v>
      </c>
      <c r="B79" s="1">
        <v>2024000785</v>
      </c>
      <c r="C79" s="1" t="s">
        <v>100</v>
      </c>
      <c r="D79" s="5">
        <v>2000000</v>
      </c>
      <c r="E79" s="1">
        <v>13070330</v>
      </c>
      <c r="F79" s="1" t="s">
        <v>101</v>
      </c>
      <c r="G79" s="1" t="s">
        <v>9</v>
      </c>
    </row>
    <row r="80" spans="1:7" ht="14.25" customHeight="1" x14ac:dyDescent="0.25">
      <c r="A80" s="3">
        <v>45456</v>
      </c>
      <c r="B80" s="1">
        <v>2024000788</v>
      </c>
      <c r="C80" s="1" t="s">
        <v>180</v>
      </c>
      <c r="D80" s="5">
        <v>2000000</v>
      </c>
      <c r="E80" s="1">
        <v>59828916</v>
      </c>
      <c r="F80" s="1" t="s">
        <v>181</v>
      </c>
      <c r="G80" s="1" t="s">
        <v>9</v>
      </c>
    </row>
    <row r="81" spans="1:7" ht="14.25" customHeight="1" x14ac:dyDescent="0.25">
      <c r="A81" s="3">
        <v>45456</v>
      </c>
      <c r="B81" s="1">
        <v>2024000789</v>
      </c>
      <c r="C81" s="1" t="s">
        <v>170</v>
      </c>
      <c r="D81" s="5">
        <v>2000000</v>
      </c>
      <c r="E81" s="1">
        <v>69028150</v>
      </c>
      <c r="F81" s="1" t="s">
        <v>171</v>
      </c>
      <c r="G81" s="1" t="s">
        <v>9</v>
      </c>
    </row>
    <row r="82" spans="1:7" ht="14.25" customHeight="1" x14ac:dyDescent="0.25">
      <c r="A82" s="3">
        <v>45456</v>
      </c>
      <c r="B82" s="1">
        <v>2024000790</v>
      </c>
      <c r="C82" s="1" t="s">
        <v>168</v>
      </c>
      <c r="D82" s="5">
        <v>4750000</v>
      </c>
      <c r="E82" s="1">
        <v>1085273424</v>
      </c>
      <c r="F82" s="1" t="s">
        <v>169</v>
      </c>
      <c r="G82" s="1" t="s">
        <v>9</v>
      </c>
    </row>
    <row r="83" spans="1:7" ht="14.25" customHeight="1" x14ac:dyDescent="0.25">
      <c r="A83" s="3">
        <v>45456</v>
      </c>
      <c r="B83" s="1">
        <v>2024000793</v>
      </c>
      <c r="C83" s="1" t="s">
        <v>200</v>
      </c>
      <c r="D83" s="5">
        <v>2000000</v>
      </c>
      <c r="E83" s="1">
        <v>1085300095</v>
      </c>
      <c r="F83" s="1" t="s">
        <v>201</v>
      </c>
      <c r="G83" s="1" t="s">
        <v>9</v>
      </c>
    </row>
    <row r="84" spans="1:7" ht="14.25" customHeight="1" x14ac:dyDescent="0.25">
      <c r="A84" s="3">
        <v>45456</v>
      </c>
      <c r="B84" s="1">
        <v>2024000794</v>
      </c>
      <c r="C84" s="1" t="s">
        <v>182</v>
      </c>
      <c r="D84" s="5">
        <v>2000000</v>
      </c>
      <c r="E84" s="1">
        <v>98382500</v>
      </c>
      <c r="F84" s="1" t="s">
        <v>183</v>
      </c>
      <c r="G84" s="1" t="s">
        <v>9</v>
      </c>
    </row>
    <row r="85" spans="1:7" ht="14.25" customHeight="1" x14ac:dyDescent="0.25">
      <c r="A85" s="3">
        <v>45456</v>
      </c>
      <c r="B85" s="1">
        <v>2024000795</v>
      </c>
      <c r="C85" s="1" t="s">
        <v>260</v>
      </c>
      <c r="D85" s="5">
        <v>6000000</v>
      </c>
      <c r="E85" s="1">
        <v>59820414</v>
      </c>
      <c r="F85" s="1" t="s">
        <v>261</v>
      </c>
      <c r="G85" s="1" t="s">
        <v>9</v>
      </c>
    </row>
    <row r="86" spans="1:7" ht="14.25" customHeight="1" x14ac:dyDescent="0.25">
      <c r="A86" s="3">
        <v>45456</v>
      </c>
      <c r="B86" s="1">
        <v>2024000797</v>
      </c>
      <c r="C86" s="1" t="s">
        <v>162</v>
      </c>
      <c r="D86" s="5">
        <v>7500000</v>
      </c>
      <c r="E86" s="1">
        <v>1193202097</v>
      </c>
      <c r="F86" s="1" t="s">
        <v>163</v>
      </c>
      <c r="G86" s="1" t="s">
        <v>9</v>
      </c>
    </row>
    <row r="87" spans="1:7" ht="14.25" customHeight="1" x14ac:dyDescent="0.25">
      <c r="A87" s="3">
        <v>45457</v>
      </c>
      <c r="B87" s="1">
        <v>2024000798</v>
      </c>
      <c r="C87" s="1" t="s">
        <v>186</v>
      </c>
      <c r="D87" s="5">
        <v>2000000</v>
      </c>
      <c r="E87" s="1">
        <v>1085296353</v>
      </c>
      <c r="F87" s="1" t="s">
        <v>187</v>
      </c>
      <c r="G87" s="1" t="s">
        <v>9</v>
      </c>
    </row>
    <row r="88" spans="1:7" ht="14.25" customHeight="1" x14ac:dyDescent="0.25">
      <c r="A88" s="3">
        <v>45457</v>
      </c>
      <c r="B88" s="1">
        <v>2024000799</v>
      </c>
      <c r="C88" s="1" t="s">
        <v>126</v>
      </c>
      <c r="D88" s="5">
        <v>4750000</v>
      </c>
      <c r="E88" s="1">
        <v>59312865</v>
      </c>
      <c r="F88" s="1" t="s">
        <v>127</v>
      </c>
      <c r="G88" s="1" t="s">
        <v>9</v>
      </c>
    </row>
    <row r="89" spans="1:7" ht="14.25" customHeight="1" x14ac:dyDescent="0.25">
      <c r="A89" s="3">
        <v>45457</v>
      </c>
      <c r="B89" s="1">
        <v>2024000800</v>
      </c>
      <c r="C89" s="1" t="s">
        <v>142</v>
      </c>
      <c r="D89" s="5">
        <v>6000000</v>
      </c>
      <c r="E89" s="1">
        <v>1085254626</v>
      </c>
      <c r="F89" s="1" t="s">
        <v>143</v>
      </c>
      <c r="G89" s="1" t="s">
        <v>9</v>
      </c>
    </row>
    <row r="90" spans="1:7" ht="14.25" customHeight="1" x14ac:dyDescent="0.25">
      <c r="A90" s="3">
        <v>45457</v>
      </c>
      <c r="B90" s="1">
        <v>2024000802</v>
      </c>
      <c r="C90" s="1" t="s">
        <v>362</v>
      </c>
      <c r="D90" s="5">
        <v>4825600</v>
      </c>
      <c r="E90" s="1">
        <v>1085321943</v>
      </c>
      <c r="F90" s="1" t="s">
        <v>363</v>
      </c>
      <c r="G90" s="1" t="s">
        <v>9</v>
      </c>
    </row>
    <row r="91" spans="1:7" ht="14.25" customHeight="1" x14ac:dyDescent="0.25">
      <c r="A91" s="3">
        <v>45457</v>
      </c>
      <c r="B91" s="1">
        <v>2024000804</v>
      </c>
      <c r="C91" s="1" t="s">
        <v>98</v>
      </c>
      <c r="D91" s="5">
        <v>4825600</v>
      </c>
      <c r="E91" s="1">
        <v>1085337969</v>
      </c>
      <c r="F91" s="1" t="s">
        <v>99</v>
      </c>
      <c r="G91" s="1" t="s">
        <v>9</v>
      </c>
    </row>
    <row r="92" spans="1:7" ht="14.25" customHeight="1" x14ac:dyDescent="0.25">
      <c r="A92" s="3">
        <v>45460</v>
      </c>
      <c r="B92" s="1">
        <v>2024000805</v>
      </c>
      <c r="C92" s="1" t="s">
        <v>366</v>
      </c>
      <c r="D92" s="5">
        <v>2000000</v>
      </c>
      <c r="E92" s="1">
        <v>1004508436</v>
      </c>
      <c r="F92" s="1" t="s">
        <v>367</v>
      </c>
      <c r="G92" s="1" t="s">
        <v>9</v>
      </c>
    </row>
    <row r="93" spans="1:7" ht="14.25" customHeight="1" x14ac:dyDescent="0.25">
      <c r="A93" s="3">
        <v>45461</v>
      </c>
      <c r="B93" s="1">
        <v>2024000806</v>
      </c>
      <c r="C93" s="1" t="s">
        <v>146</v>
      </c>
      <c r="D93" s="5">
        <v>2000000</v>
      </c>
      <c r="E93" s="1">
        <v>1085255972</v>
      </c>
      <c r="F93" s="1" t="s">
        <v>147</v>
      </c>
      <c r="G93" s="1" t="s">
        <v>9</v>
      </c>
    </row>
    <row r="94" spans="1:7" ht="14.25" customHeight="1" x14ac:dyDescent="0.25">
      <c r="A94" s="3">
        <v>45461</v>
      </c>
      <c r="B94" s="1">
        <v>2024000808</v>
      </c>
      <c r="C94" s="1" t="s">
        <v>296</v>
      </c>
      <c r="D94" s="5">
        <v>2000000</v>
      </c>
      <c r="E94" s="1">
        <v>59830040</v>
      </c>
      <c r="F94" s="1" t="s">
        <v>297</v>
      </c>
      <c r="G94" s="1" t="s">
        <v>9</v>
      </c>
    </row>
    <row r="95" spans="1:7" ht="14.25" customHeight="1" x14ac:dyDescent="0.25">
      <c r="A95" s="3">
        <v>45461</v>
      </c>
      <c r="B95" s="1">
        <v>2024000809</v>
      </c>
      <c r="C95" s="1" t="s">
        <v>238</v>
      </c>
      <c r="D95" s="5">
        <v>7500000</v>
      </c>
      <c r="E95" s="1">
        <v>1233189066</v>
      </c>
      <c r="F95" s="1" t="s">
        <v>239</v>
      </c>
      <c r="G95" s="1" t="s">
        <v>9</v>
      </c>
    </row>
    <row r="96" spans="1:7" ht="14.25" customHeight="1" x14ac:dyDescent="0.25">
      <c r="A96" s="3">
        <v>45462</v>
      </c>
      <c r="B96" s="1">
        <v>2024000815</v>
      </c>
      <c r="C96" s="1" t="s">
        <v>274</v>
      </c>
      <c r="D96" s="5">
        <v>4825600</v>
      </c>
      <c r="E96" s="1">
        <v>1085321578</v>
      </c>
      <c r="F96" s="1" t="s">
        <v>275</v>
      </c>
      <c r="G96" s="1" t="s">
        <v>9</v>
      </c>
    </row>
    <row r="97" spans="1:7" ht="14.25" customHeight="1" x14ac:dyDescent="0.25">
      <c r="A97" s="3">
        <v>45462</v>
      </c>
      <c r="B97" s="1">
        <v>2024000816</v>
      </c>
      <c r="C97" s="1" t="s">
        <v>270</v>
      </c>
      <c r="D97" s="5">
        <v>2000000</v>
      </c>
      <c r="E97" s="1">
        <v>36757522</v>
      </c>
      <c r="F97" s="1" t="s">
        <v>271</v>
      </c>
      <c r="G97" s="1" t="s">
        <v>9</v>
      </c>
    </row>
    <row r="98" spans="1:7" ht="14.25" customHeight="1" x14ac:dyDescent="0.25">
      <c r="A98" s="3">
        <v>45462</v>
      </c>
      <c r="B98" s="1">
        <v>2024000817</v>
      </c>
      <c r="C98" s="1" t="s">
        <v>194</v>
      </c>
      <c r="D98" s="5">
        <v>2000000</v>
      </c>
      <c r="E98" s="1">
        <v>1085316191</v>
      </c>
      <c r="F98" s="1" t="s">
        <v>195</v>
      </c>
      <c r="G98" s="1" t="s">
        <v>9</v>
      </c>
    </row>
    <row r="99" spans="1:7" ht="14.25" customHeight="1" x14ac:dyDescent="0.25">
      <c r="A99" s="3">
        <v>45462</v>
      </c>
      <c r="B99" s="1">
        <v>2024000818</v>
      </c>
      <c r="C99" s="1" t="s">
        <v>114</v>
      </c>
      <c r="D99" s="5">
        <v>2000000</v>
      </c>
      <c r="E99" s="1">
        <v>1085266584</v>
      </c>
      <c r="F99" s="1" t="s">
        <v>115</v>
      </c>
      <c r="G99" s="1" t="s">
        <v>9</v>
      </c>
    </row>
    <row r="100" spans="1:7" ht="14.25" customHeight="1" x14ac:dyDescent="0.25">
      <c r="A100" s="3">
        <v>45462</v>
      </c>
      <c r="B100" s="1">
        <v>2024000820</v>
      </c>
      <c r="C100" s="1" t="s">
        <v>158</v>
      </c>
      <c r="D100" s="5">
        <v>7500000</v>
      </c>
      <c r="E100" s="1">
        <v>37087120</v>
      </c>
      <c r="F100" s="1" t="s">
        <v>159</v>
      </c>
      <c r="G100" s="1" t="s">
        <v>9</v>
      </c>
    </row>
    <row r="101" spans="1:7" ht="14.25" customHeight="1" x14ac:dyDescent="0.25">
      <c r="A101" s="3">
        <v>45463</v>
      </c>
      <c r="B101" s="1">
        <v>2024000821</v>
      </c>
      <c r="C101" s="1" t="s">
        <v>248</v>
      </c>
      <c r="D101" s="5">
        <v>4750000</v>
      </c>
      <c r="E101" s="1">
        <v>1085330309</v>
      </c>
      <c r="F101" s="1" t="s">
        <v>249</v>
      </c>
      <c r="G101" s="1" t="s">
        <v>9</v>
      </c>
    </row>
    <row r="102" spans="1:7" ht="14.25" customHeight="1" x14ac:dyDescent="0.25">
      <c r="A102" s="3">
        <v>45463</v>
      </c>
      <c r="B102" s="1">
        <v>2024000822</v>
      </c>
      <c r="C102" s="1" t="s">
        <v>206</v>
      </c>
      <c r="D102" s="5">
        <v>2000000</v>
      </c>
      <c r="E102" s="1">
        <v>1004135064</v>
      </c>
      <c r="F102" s="1" t="s">
        <v>207</v>
      </c>
      <c r="G102" s="1" t="s">
        <v>9</v>
      </c>
    </row>
    <row r="103" spans="1:7" ht="14.25" customHeight="1" x14ac:dyDescent="0.25">
      <c r="A103" s="3">
        <v>45463</v>
      </c>
      <c r="B103" s="1">
        <v>2024000823</v>
      </c>
      <c r="C103" s="1" t="s">
        <v>208</v>
      </c>
      <c r="D103" s="5">
        <v>2000000</v>
      </c>
      <c r="E103" s="1">
        <v>1010082397</v>
      </c>
      <c r="F103" s="1" t="s">
        <v>209</v>
      </c>
      <c r="G103" s="1" t="s">
        <v>9</v>
      </c>
    </row>
    <row r="104" spans="1:7" ht="14.25" customHeight="1" x14ac:dyDescent="0.25">
      <c r="A104" s="3">
        <v>45463</v>
      </c>
      <c r="B104" s="1">
        <v>2024000824</v>
      </c>
      <c r="C104" s="1" t="s">
        <v>320</v>
      </c>
      <c r="D104" s="5">
        <v>2000000</v>
      </c>
      <c r="E104" s="1">
        <v>1085347540</v>
      </c>
      <c r="F104" s="1" t="s">
        <v>321</v>
      </c>
      <c r="G104" s="1" t="s">
        <v>9</v>
      </c>
    </row>
    <row r="105" spans="1:7" ht="14.25" customHeight="1" x14ac:dyDescent="0.25">
      <c r="A105" s="3">
        <v>45463</v>
      </c>
      <c r="B105" s="1">
        <v>2024000825</v>
      </c>
      <c r="C105" s="1" t="s">
        <v>148</v>
      </c>
      <c r="D105" s="5">
        <v>2000000</v>
      </c>
      <c r="E105" s="1">
        <v>1085339190</v>
      </c>
      <c r="F105" s="1" t="s">
        <v>149</v>
      </c>
      <c r="G105" s="1" t="s">
        <v>9</v>
      </c>
    </row>
    <row r="106" spans="1:7" ht="14.25" customHeight="1" x14ac:dyDescent="0.25">
      <c r="A106" s="3">
        <v>45467</v>
      </c>
      <c r="B106" s="1">
        <v>2024000850</v>
      </c>
      <c r="C106" s="1" t="s">
        <v>360</v>
      </c>
      <c r="D106" s="5">
        <v>7500000</v>
      </c>
      <c r="E106" s="1">
        <v>7603662</v>
      </c>
      <c r="F106" s="1" t="s">
        <v>361</v>
      </c>
      <c r="G106" s="1" t="s">
        <v>9</v>
      </c>
    </row>
    <row r="107" spans="1:7" ht="14.25" customHeight="1" x14ac:dyDescent="0.25">
      <c r="A107" s="3">
        <v>45467</v>
      </c>
      <c r="B107" s="1">
        <v>2024000851</v>
      </c>
      <c r="C107" s="1" t="s">
        <v>190</v>
      </c>
      <c r="D107" s="5">
        <v>2000000</v>
      </c>
      <c r="E107" s="1">
        <v>1193218691</v>
      </c>
      <c r="F107" s="1" t="s">
        <v>191</v>
      </c>
      <c r="G107" s="1" t="s">
        <v>9</v>
      </c>
    </row>
    <row r="108" spans="1:7" ht="14.25" customHeight="1" x14ac:dyDescent="0.25">
      <c r="A108" s="3">
        <v>45467</v>
      </c>
      <c r="B108" s="1">
        <v>2024000852</v>
      </c>
      <c r="C108" s="1" t="s">
        <v>234</v>
      </c>
      <c r="D108" s="5">
        <v>4750000</v>
      </c>
      <c r="E108" s="1">
        <v>1085318201</v>
      </c>
      <c r="F108" s="1" t="s">
        <v>235</v>
      </c>
      <c r="G108" s="1" t="s">
        <v>9</v>
      </c>
    </row>
    <row r="109" spans="1:7" ht="14.25" customHeight="1" x14ac:dyDescent="0.25">
      <c r="A109" s="3">
        <v>45467</v>
      </c>
      <c r="B109" s="1">
        <v>2024000853</v>
      </c>
      <c r="C109" s="1" t="s">
        <v>28</v>
      </c>
      <c r="D109" s="5">
        <v>4750000</v>
      </c>
      <c r="E109" s="1">
        <v>1085324546</v>
      </c>
      <c r="F109" s="1" t="s">
        <v>29</v>
      </c>
      <c r="G109" s="1" t="s">
        <v>9</v>
      </c>
    </row>
    <row r="110" spans="1:7" ht="14.25" customHeight="1" x14ac:dyDescent="0.25">
      <c r="A110" s="3">
        <v>45467</v>
      </c>
      <c r="B110" s="1">
        <v>2024000854</v>
      </c>
      <c r="C110" s="1" t="s">
        <v>348</v>
      </c>
      <c r="D110" s="5">
        <v>2000000</v>
      </c>
      <c r="E110" s="1">
        <v>27285974</v>
      </c>
      <c r="F110" s="1" t="s">
        <v>349</v>
      </c>
      <c r="G110" s="1" t="s">
        <v>9</v>
      </c>
    </row>
    <row r="111" spans="1:7" ht="14.25" customHeight="1" x14ac:dyDescent="0.25">
      <c r="A111" s="3">
        <v>45467</v>
      </c>
      <c r="B111" s="1">
        <v>2024000855</v>
      </c>
      <c r="C111" s="1" t="s">
        <v>210</v>
      </c>
      <c r="D111" s="5">
        <v>2000000</v>
      </c>
      <c r="E111" s="1">
        <v>1080040858</v>
      </c>
      <c r="F111" s="1" t="s">
        <v>211</v>
      </c>
      <c r="G111" s="1" t="s">
        <v>9</v>
      </c>
    </row>
    <row r="112" spans="1:7" ht="14.25" customHeight="1" x14ac:dyDescent="0.25">
      <c r="A112" s="3">
        <v>45467</v>
      </c>
      <c r="B112" s="1">
        <v>2024000856</v>
      </c>
      <c r="C112" s="1" t="s">
        <v>288</v>
      </c>
      <c r="D112" s="5">
        <v>2000000</v>
      </c>
      <c r="E112" s="1">
        <v>1004709928</v>
      </c>
      <c r="F112" s="1" t="s">
        <v>289</v>
      </c>
      <c r="G112" s="1" t="s">
        <v>9</v>
      </c>
    </row>
    <row r="113" spans="1:7" ht="14.25" customHeight="1" x14ac:dyDescent="0.25">
      <c r="A113" s="3">
        <v>45467</v>
      </c>
      <c r="B113" s="1">
        <v>2024000857</v>
      </c>
      <c r="C113" s="1" t="s">
        <v>354</v>
      </c>
      <c r="D113" s="5">
        <v>4750000</v>
      </c>
      <c r="E113" s="1">
        <v>1085318684</v>
      </c>
      <c r="F113" s="1" t="s">
        <v>355</v>
      </c>
      <c r="G113" s="1" t="s">
        <v>9</v>
      </c>
    </row>
    <row r="114" spans="1:7" ht="14.25" customHeight="1" x14ac:dyDescent="0.25">
      <c r="A114" s="3">
        <v>45467</v>
      </c>
      <c r="B114" s="1">
        <v>2024000858</v>
      </c>
      <c r="C114" s="1" t="s">
        <v>164</v>
      </c>
      <c r="D114" s="14">
        <v>22750000</v>
      </c>
      <c r="E114" s="1">
        <v>900633448</v>
      </c>
      <c r="F114" s="1" t="s">
        <v>165</v>
      </c>
      <c r="G114" s="1" t="s">
        <v>9</v>
      </c>
    </row>
    <row r="115" spans="1:7" ht="14.25" customHeight="1" x14ac:dyDescent="0.25">
      <c r="A115" s="3">
        <v>45469</v>
      </c>
      <c r="B115" s="1">
        <v>2024000934</v>
      </c>
      <c r="C115" s="1" t="s">
        <v>408</v>
      </c>
      <c r="D115" s="5">
        <v>2000000</v>
      </c>
      <c r="E115" s="1">
        <v>1193224810</v>
      </c>
      <c r="F115" s="1" t="s">
        <v>409</v>
      </c>
      <c r="G115" s="1" t="s">
        <v>9</v>
      </c>
    </row>
    <row r="116" spans="1:7" ht="14.25" customHeight="1" x14ac:dyDescent="0.25">
      <c r="A116" s="3">
        <v>45469</v>
      </c>
      <c r="B116" s="1">
        <v>2024000935</v>
      </c>
      <c r="C116" s="1" t="s">
        <v>20</v>
      </c>
      <c r="D116" s="5">
        <v>7500000</v>
      </c>
      <c r="E116" s="1">
        <v>1089244511</v>
      </c>
      <c r="F116" s="1" t="s">
        <v>21</v>
      </c>
      <c r="G116" s="1" t="s">
        <v>9</v>
      </c>
    </row>
    <row r="117" spans="1:7" ht="14.25" customHeight="1" x14ac:dyDescent="0.25">
      <c r="A117" s="3">
        <v>45469</v>
      </c>
      <c r="B117" s="1">
        <v>2024000937</v>
      </c>
      <c r="C117" s="1" t="s">
        <v>18</v>
      </c>
      <c r="D117" s="5">
        <v>6000000</v>
      </c>
      <c r="E117" s="1">
        <v>1089242085</v>
      </c>
      <c r="F117" s="1" t="s">
        <v>19</v>
      </c>
      <c r="G117" s="1" t="s">
        <v>9</v>
      </c>
    </row>
    <row r="118" spans="1:7" ht="14.25" customHeight="1" x14ac:dyDescent="0.25">
      <c r="A118" s="3">
        <v>45469</v>
      </c>
      <c r="B118" s="1">
        <v>2024000938</v>
      </c>
      <c r="C118" s="1" t="s">
        <v>352</v>
      </c>
      <c r="D118" s="5">
        <v>2000000</v>
      </c>
      <c r="E118" s="1">
        <v>1081592303</v>
      </c>
      <c r="F118" s="1" t="s">
        <v>353</v>
      </c>
      <c r="G118" s="1" t="s">
        <v>9</v>
      </c>
    </row>
    <row r="119" spans="1:7" ht="14.25" customHeight="1" x14ac:dyDescent="0.25">
      <c r="A119" s="3">
        <v>45470</v>
      </c>
      <c r="B119" s="1">
        <v>2024000941</v>
      </c>
      <c r="C119" s="1" t="s">
        <v>134</v>
      </c>
      <c r="D119" s="5">
        <v>4750000</v>
      </c>
      <c r="E119" s="1">
        <v>59821282</v>
      </c>
      <c r="F119" s="1" t="s">
        <v>135</v>
      </c>
      <c r="G119" s="1" t="s">
        <v>9</v>
      </c>
    </row>
    <row r="120" spans="1:7" ht="14.25" customHeight="1" x14ac:dyDescent="0.25">
      <c r="A120" s="3">
        <v>45470</v>
      </c>
      <c r="B120" s="1">
        <v>2024000942</v>
      </c>
      <c r="C120" s="1" t="s">
        <v>392</v>
      </c>
      <c r="D120" s="5">
        <v>7500000</v>
      </c>
      <c r="E120" s="1">
        <v>1085320661</v>
      </c>
      <c r="F120" s="1" t="s">
        <v>393</v>
      </c>
      <c r="G120" s="1" t="s">
        <v>9</v>
      </c>
    </row>
    <row r="121" spans="1:7" ht="14.25" customHeight="1" x14ac:dyDescent="0.25">
      <c r="A121" s="3">
        <v>45470</v>
      </c>
      <c r="B121" s="1">
        <v>2024000943</v>
      </c>
      <c r="C121" s="1" t="s">
        <v>92</v>
      </c>
      <c r="D121" s="5">
        <v>4825600</v>
      </c>
      <c r="E121" s="1">
        <v>1085291221</v>
      </c>
      <c r="F121" s="1" t="s">
        <v>93</v>
      </c>
      <c r="G121" s="1" t="s">
        <v>9</v>
      </c>
    </row>
    <row r="122" spans="1:7" ht="14.25" customHeight="1" x14ac:dyDescent="0.25">
      <c r="A122" s="3">
        <v>45470</v>
      </c>
      <c r="B122" s="1">
        <v>2024000944</v>
      </c>
      <c r="C122" s="1" t="s">
        <v>378</v>
      </c>
      <c r="D122" s="5">
        <v>7500000</v>
      </c>
      <c r="E122" s="1">
        <v>1085332934</v>
      </c>
      <c r="F122" s="1" t="s">
        <v>379</v>
      </c>
      <c r="G122" s="1" t="s">
        <v>9</v>
      </c>
    </row>
    <row r="123" spans="1:7" ht="14.25" customHeight="1" x14ac:dyDescent="0.25">
      <c r="A123" s="3">
        <v>45470</v>
      </c>
      <c r="B123" s="1">
        <v>2024000945</v>
      </c>
      <c r="C123" s="1" t="s">
        <v>426</v>
      </c>
      <c r="D123" s="5">
        <v>2000000</v>
      </c>
      <c r="E123" s="1">
        <v>1085318688</v>
      </c>
      <c r="F123" s="1" t="s">
        <v>427</v>
      </c>
      <c r="G123" s="1" t="s">
        <v>9</v>
      </c>
    </row>
    <row r="124" spans="1:7" ht="14.25" customHeight="1" x14ac:dyDescent="0.25">
      <c r="A124" s="3">
        <v>45470</v>
      </c>
      <c r="B124" s="1">
        <v>2024000946</v>
      </c>
      <c r="C124" s="1" t="s">
        <v>402</v>
      </c>
      <c r="D124" s="5">
        <v>2000000</v>
      </c>
      <c r="E124" s="1">
        <v>1004410201</v>
      </c>
      <c r="F124" s="1" t="s">
        <v>403</v>
      </c>
      <c r="G124" s="1" t="s">
        <v>9</v>
      </c>
    </row>
    <row r="125" spans="1:7" ht="14.25" customHeight="1" x14ac:dyDescent="0.25">
      <c r="A125" s="3">
        <v>45470</v>
      </c>
      <c r="B125" s="1">
        <v>2024000947</v>
      </c>
      <c r="C125" s="1" t="s">
        <v>330</v>
      </c>
      <c r="D125" s="5">
        <v>2000000</v>
      </c>
      <c r="E125" s="1">
        <v>1085313463</v>
      </c>
      <c r="F125" s="1" t="s">
        <v>331</v>
      </c>
      <c r="G125" s="1" t="s">
        <v>9</v>
      </c>
    </row>
    <row r="126" spans="1:7" ht="14.25" customHeight="1" x14ac:dyDescent="0.25">
      <c r="A126" s="3">
        <v>45470</v>
      </c>
      <c r="B126" s="1">
        <v>2024000948</v>
      </c>
      <c r="C126" s="1" t="s">
        <v>56</v>
      </c>
      <c r="D126" s="5">
        <v>4825600</v>
      </c>
      <c r="E126" s="1">
        <v>1193385736</v>
      </c>
      <c r="F126" s="1" t="s">
        <v>57</v>
      </c>
      <c r="G126" s="1" t="s">
        <v>9</v>
      </c>
    </row>
    <row r="127" spans="1:7" ht="14.25" customHeight="1" x14ac:dyDescent="0.25">
      <c r="A127" s="3">
        <v>45470</v>
      </c>
      <c r="B127" s="1">
        <v>2024000949</v>
      </c>
      <c r="C127" s="1" t="s">
        <v>44</v>
      </c>
      <c r="D127" s="5">
        <v>2000000</v>
      </c>
      <c r="E127" s="1">
        <v>1007356378</v>
      </c>
      <c r="F127" s="1" t="s">
        <v>45</v>
      </c>
      <c r="G127" s="1" t="s">
        <v>9</v>
      </c>
    </row>
    <row r="128" spans="1:7" ht="14.25" customHeight="1" x14ac:dyDescent="0.25">
      <c r="A128" s="3">
        <v>45470</v>
      </c>
      <c r="B128" s="1">
        <v>2024000950</v>
      </c>
      <c r="C128" s="1" t="s">
        <v>22</v>
      </c>
      <c r="D128" s="5">
        <v>4750000</v>
      </c>
      <c r="E128" s="1">
        <v>1085325342</v>
      </c>
      <c r="F128" s="1" t="s">
        <v>23</v>
      </c>
      <c r="G128" s="1" t="s">
        <v>9</v>
      </c>
    </row>
    <row r="129" spans="1:7" ht="14.25" customHeight="1" x14ac:dyDescent="0.25">
      <c r="A129" s="3">
        <v>45470</v>
      </c>
      <c r="B129" s="1">
        <v>2024000951</v>
      </c>
      <c r="C129" s="1" t="s">
        <v>404</v>
      </c>
      <c r="D129" s="5">
        <v>2000000</v>
      </c>
      <c r="E129" s="1">
        <v>1085288636</v>
      </c>
      <c r="F129" s="1" t="s">
        <v>405</v>
      </c>
      <c r="G129" s="1" t="s">
        <v>9</v>
      </c>
    </row>
    <row r="130" spans="1:7" ht="14.25" customHeight="1" x14ac:dyDescent="0.25">
      <c r="A130" s="3">
        <v>45470</v>
      </c>
      <c r="B130" s="1">
        <v>2024000952</v>
      </c>
      <c r="C130" s="1" t="s">
        <v>14</v>
      </c>
      <c r="D130" s="5">
        <v>4825600</v>
      </c>
      <c r="E130" s="1">
        <v>1085338534</v>
      </c>
      <c r="F130" s="1" t="s">
        <v>15</v>
      </c>
      <c r="G130" s="1" t="s">
        <v>9</v>
      </c>
    </row>
    <row r="131" spans="1:7" ht="14.25" customHeight="1" x14ac:dyDescent="0.25">
      <c r="A131" s="3">
        <v>45470</v>
      </c>
      <c r="B131" s="1">
        <v>2024000953</v>
      </c>
      <c r="C131" s="1" t="s">
        <v>386</v>
      </c>
      <c r="D131" s="5">
        <v>2000000</v>
      </c>
      <c r="E131" s="1">
        <v>1030606749</v>
      </c>
      <c r="F131" s="1" t="s">
        <v>387</v>
      </c>
      <c r="G131" s="1" t="s">
        <v>9</v>
      </c>
    </row>
    <row r="132" spans="1:7" ht="14.25" customHeight="1" x14ac:dyDescent="0.25">
      <c r="A132" s="3">
        <v>45470</v>
      </c>
      <c r="B132" s="1">
        <v>2024000954</v>
      </c>
      <c r="C132" s="1" t="s">
        <v>376</v>
      </c>
      <c r="D132" s="5">
        <v>4825600</v>
      </c>
      <c r="E132" s="1">
        <v>37082349</v>
      </c>
      <c r="F132" s="1" t="s">
        <v>377</v>
      </c>
      <c r="G132" s="1" t="s">
        <v>9</v>
      </c>
    </row>
    <row r="133" spans="1:7" ht="14.25" customHeight="1" x14ac:dyDescent="0.25">
      <c r="A133" s="3">
        <v>45470</v>
      </c>
      <c r="B133" s="1">
        <v>2024000955</v>
      </c>
      <c r="C133" s="1" t="s">
        <v>128</v>
      </c>
      <c r="D133" s="5">
        <v>4825600</v>
      </c>
      <c r="E133" s="1">
        <v>59310145</v>
      </c>
      <c r="F133" s="1" t="s">
        <v>129</v>
      </c>
      <c r="G133" s="1" t="s">
        <v>9</v>
      </c>
    </row>
    <row r="134" spans="1:7" ht="14.25" customHeight="1" x14ac:dyDescent="0.25">
      <c r="A134" s="3">
        <v>45470</v>
      </c>
      <c r="B134" s="1">
        <v>2024000956</v>
      </c>
      <c r="C134" s="1" t="s">
        <v>122</v>
      </c>
      <c r="D134" s="5">
        <v>2000000</v>
      </c>
      <c r="E134" s="1">
        <v>1004592366</v>
      </c>
      <c r="F134" s="1" t="s">
        <v>123</v>
      </c>
      <c r="G134" s="1" t="s">
        <v>9</v>
      </c>
    </row>
    <row r="135" spans="1:7" ht="14.25" customHeight="1" x14ac:dyDescent="0.25">
      <c r="A135" s="3">
        <v>45470</v>
      </c>
      <c r="B135" s="1">
        <v>2024000960</v>
      </c>
      <c r="C135" s="1" t="s">
        <v>84</v>
      </c>
      <c r="D135" s="5">
        <v>2000000</v>
      </c>
      <c r="E135" s="1">
        <v>1085327701</v>
      </c>
      <c r="F135" s="1" t="s">
        <v>85</v>
      </c>
      <c r="G135" s="1" t="s">
        <v>9</v>
      </c>
    </row>
    <row r="136" spans="1:7" ht="14.25" customHeight="1" x14ac:dyDescent="0.25">
      <c r="A136" s="3">
        <v>45470</v>
      </c>
      <c r="B136" s="1">
        <v>2024000961</v>
      </c>
      <c r="C136" s="1" t="s">
        <v>10</v>
      </c>
      <c r="D136" s="5">
        <v>2000000</v>
      </c>
      <c r="E136" s="1">
        <v>1085317833</v>
      </c>
      <c r="F136" s="1" t="s">
        <v>11</v>
      </c>
      <c r="G136" s="1" t="s">
        <v>9</v>
      </c>
    </row>
    <row r="137" spans="1:7" ht="14.25" customHeight="1" x14ac:dyDescent="0.25">
      <c r="A137" s="3">
        <v>45470</v>
      </c>
      <c r="B137" s="1">
        <v>2024000962</v>
      </c>
      <c r="C137" s="1" t="s">
        <v>294</v>
      </c>
      <c r="D137" s="5">
        <v>4825600</v>
      </c>
      <c r="E137" s="1">
        <v>1088730712</v>
      </c>
      <c r="F137" s="1" t="s">
        <v>295</v>
      </c>
      <c r="G137" s="1" t="s">
        <v>9</v>
      </c>
    </row>
    <row r="138" spans="1:7" ht="14.25" customHeight="1" x14ac:dyDescent="0.25">
      <c r="A138" s="3">
        <v>45470</v>
      </c>
      <c r="B138" s="1">
        <v>2024000963</v>
      </c>
      <c r="C138" s="1" t="s">
        <v>142</v>
      </c>
      <c r="D138" s="5">
        <v>6000000</v>
      </c>
      <c r="E138" s="1">
        <v>1085254626</v>
      </c>
      <c r="F138" s="1" t="s">
        <v>143</v>
      </c>
      <c r="G138" s="1" t="s">
        <v>9</v>
      </c>
    </row>
    <row r="139" spans="1:7" ht="14.25" customHeight="1" x14ac:dyDescent="0.25">
      <c r="A139" s="3">
        <v>45470</v>
      </c>
      <c r="B139" s="1">
        <v>2024000964</v>
      </c>
      <c r="C139" s="1" t="s">
        <v>410</v>
      </c>
      <c r="D139" s="5">
        <v>2000000</v>
      </c>
      <c r="E139" s="1">
        <v>36757213</v>
      </c>
      <c r="F139" s="1" t="s">
        <v>411</v>
      </c>
      <c r="G139" s="1" t="s">
        <v>9</v>
      </c>
    </row>
    <row r="140" spans="1:7" ht="14.25" customHeight="1" x14ac:dyDescent="0.25">
      <c r="A140" s="3">
        <v>45475</v>
      </c>
      <c r="B140" s="1">
        <v>2024000967</v>
      </c>
      <c r="C140" s="1" t="s">
        <v>410</v>
      </c>
      <c r="D140" s="5">
        <v>2000000</v>
      </c>
      <c r="E140" s="1">
        <v>36757213</v>
      </c>
      <c r="F140" s="1" t="s">
        <v>411</v>
      </c>
      <c r="G140" s="1" t="s">
        <v>9</v>
      </c>
    </row>
    <row r="141" spans="1:7" ht="14.25" customHeight="1" x14ac:dyDescent="0.25">
      <c r="A141" s="3">
        <v>45475</v>
      </c>
      <c r="B141" s="1">
        <v>2024000968</v>
      </c>
      <c r="C141" s="1" t="s">
        <v>46</v>
      </c>
      <c r="D141" s="5">
        <v>4750000</v>
      </c>
      <c r="E141" s="1">
        <v>1087414586</v>
      </c>
      <c r="F141" s="1" t="s">
        <v>47</v>
      </c>
      <c r="G141" s="1" t="s">
        <v>9</v>
      </c>
    </row>
    <row r="142" spans="1:7" ht="14.25" customHeight="1" x14ac:dyDescent="0.25">
      <c r="A142" s="3">
        <v>45475</v>
      </c>
      <c r="B142" s="1">
        <v>2024000969</v>
      </c>
      <c r="C142" s="1" t="s">
        <v>52</v>
      </c>
      <c r="D142" s="5">
        <v>4825600</v>
      </c>
      <c r="E142" s="1">
        <v>30733517</v>
      </c>
      <c r="F142" s="1" t="s">
        <v>53</v>
      </c>
      <c r="G142" s="1" t="s">
        <v>9</v>
      </c>
    </row>
    <row r="143" spans="1:7" ht="14.25" customHeight="1" x14ac:dyDescent="0.25">
      <c r="A143" s="3">
        <v>45475</v>
      </c>
      <c r="B143" s="1">
        <v>2024000970</v>
      </c>
      <c r="C143" s="1" t="s">
        <v>108</v>
      </c>
      <c r="D143" s="5">
        <v>2000000</v>
      </c>
      <c r="E143" s="1">
        <v>1004232508</v>
      </c>
      <c r="F143" s="1" t="s">
        <v>109</v>
      </c>
      <c r="G143" s="1" t="s">
        <v>9</v>
      </c>
    </row>
    <row r="144" spans="1:7" ht="14.25" customHeight="1" x14ac:dyDescent="0.25">
      <c r="A144" s="3">
        <v>45475</v>
      </c>
      <c r="B144" s="1">
        <v>2024000971</v>
      </c>
      <c r="C144" s="1" t="s">
        <v>364</v>
      </c>
      <c r="D144" s="5">
        <v>2000000</v>
      </c>
      <c r="E144" s="1">
        <v>1004726758</v>
      </c>
      <c r="F144" s="1" t="s">
        <v>365</v>
      </c>
      <c r="G144" s="1" t="s">
        <v>9</v>
      </c>
    </row>
    <row r="145" spans="1:7" ht="14.25" customHeight="1" x14ac:dyDescent="0.25">
      <c r="A145" s="3">
        <v>45475</v>
      </c>
      <c r="B145" s="1">
        <v>2024000972</v>
      </c>
      <c r="C145" s="1" t="s">
        <v>218</v>
      </c>
      <c r="D145" s="5">
        <v>2000000</v>
      </c>
      <c r="E145" s="1">
        <v>1010113730</v>
      </c>
      <c r="F145" s="1" t="s">
        <v>219</v>
      </c>
      <c r="G145" s="1" t="s">
        <v>9</v>
      </c>
    </row>
    <row r="146" spans="1:7" ht="14.25" customHeight="1" x14ac:dyDescent="0.25">
      <c r="A146" s="3">
        <v>45475</v>
      </c>
      <c r="B146" s="1">
        <v>2024000973</v>
      </c>
      <c r="C146" s="1" t="s">
        <v>48</v>
      </c>
      <c r="D146" s="5">
        <v>6000000</v>
      </c>
      <c r="E146" s="1">
        <v>27097289</v>
      </c>
      <c r="F146" s="1" t="s">
        <v>49</v>
      </c>
      <c r="G146" s="1" t="s">
        <v>9</v>
      </c>
    </row>
    <row r="147" spans="1:7" ht="14.25" customHeight="1" x14ac:dyDescent="0.25">
      <c r="A147" s="3">
        <v>45475</v>
      </c>
      <c r="B147" s="1">
        <v>2024000975</v>
      </c>
      <c r="C147" s="1" t="s">
        <v>106</v>
      </c>
      <c r="D147" s="5">
        <v>2000000</v>
      </c>
      <c r="E147" s="1">
        <v>36758143</v>
      </c>
      <c r="F147" s="1" t="s">
        <v>107</v>
      </c>
      <c r="G147" s="1" t="s">
        <v>9</v>
      </c>
    </row>
    <row r="148" spans="1:7" ht="14.25" customHeight="1" x14ac:dyDescent="0.25">
      <c r="A148" s="3">
        <v>45475</v>
      </c>
      <c r="B148" s="1">
        <v>2024000976</v>
      </c>
      <c r="C148" s="1" t="s">
        <v>236</v>
      </c>
      <c r="D148" s="5">
        <v>2000000</v>
      </c>
      <c r="E148" s="1">
        <v>1004234290</v>
      </c>
      <c r="F148" s="1" t="s">
        <v>237</v>
      </c>
      <c r="G148" s="1" t="s">
        <v>9</v>
      </c>
    </row>
    <row r="149" spans="1:7" ht="14.25" customHeight="1" x14ac:dyDescent="0.25">
      <c r="A149" s="3">
        <v>45475</v>
      </c>
      <c r="B149" s="1">
        <v>2024000977</v>
      </c>
      <c r="C149" s="1" t="s">
        <v>82</v>
      </c>
      <c r="D149" s="5">
        <v>7500000</v>
      </c>
      <c r="E149" s="1">
        <v>1085329230</v>
      </c>
      <c r="F149" s="1" t="s">
        <v>83</v>
      </c>
      <c r="G149" s="1" t="s">
        <v>9</v>
      </c>
    </row>
    <row r="150" spans="1:7" ht="14.25" customHeight="1" x14ac:dyDescent="0.25">
      <c r="A150" s="3">
        <v>45475</v>
      </c>
      <c r="B150" s="1">
        <v>2024000978</v>
      </c>
      <c r="C150" s="1" t="s">
        <v>272</v>
      </c>
      <c r="D150" s="5">
        <v>4825600</v>
      </c>
      <c r="E150" s="1">
        <v>1085332406</v>
      </c>
      <c r="F150" s="1" t="s">
        <v>273</v>
      </c>
      <c r="G150" s="1" t="s">
        <v>9</v>
      </c>
    </row>
    <row r="151" spans="1:7" ht="14.25" customHeight="1" x14ac:dyDescent="0.25">
      <c r="A151" s="3">
        <v>45475</v>
      </c>
      <c r="B151" s="1">
        <v>2024000979</v>
      </c>
      <c r="C151" s="1" t="s">
        <v>176</v>
      </c>
      <c r="D151" s="5">
        <v>4825600</v>
      </c>
      <c r="E151" s="1">
        <v>27087851</v>
      </c>
      <c r="F151" s="1" t="s">
        <v>177</v>
      </c>
      <c r="G151" s="1" t="s">
        <v>9</v>
      </c>
    </row>
    <row r="152" spans="1:7" ht="14.25" customHeight="1" x14ac:dyDescent="0.25">
      <c r="A152" s="3">
        <v>45475</v>
      </c>
      <c r="B152" s="1">
        <v>2024000980</v>
      </c>
      <c r="C152" s="1" t="s">
        <v>150</v>
      </c>
      <c r="D152" s="5">
        <v>4750000</v>
      </c>
      <c r="E152" s="1">
        <v>59824313</v>
      </c>
      <c r="F152" s="1" t="s">
        <v>151</v>
      </c>
      <c r="G152" s="1" t="s">
        <v>9</v>
      </c>
    </row>
    <row r="153" spans="1:7" ht="14.25" customHeight="1" x14ac:dyDescent="0.25">
      <c r="A153" s="3">
        <v>45475</v>
      </c>
      <c r="B153" s="1">
        <v>2024000981</v>
      </c>
      <c r="C153" s="1" t="s">
        <v>124</v>
      </c>
      <c r="D153" s="5">
        <v>6000000</v>
      </c>
      <c r="E153" s="1">
        <v>36951002</v>
      </c>
      <c r="F153" s="1" t="s">
        <v>125</v>
      </c>
      <c r="G153" s="1" t="s">
        <v>9</v>
      </c>
    </row>
    <row r="154" spans="1:7" ht="14.25" customHeight="1" x14ac:dyDescent="0.25">
      <c r="A154" s="3">
        <v>45475</v>
      </c>
      <c r="B154" s="1">
        <v>2024000982</v>
      </c>
      <c r="C154" s="1" t="s">
        <v>416</v>
      </c>
      <c r="D154" s="5">
        <v>2000000</v>
      </c>
      <c r="E154" s="1">
        <v>1085302942</v>
      </c>
      <c r="F154" s="1" t="s">
        <v>417</v>
      </c>
      <c r="G154" s="1" t="s">
        <v>9</v>
      </c>
    </row>
    <row r="155" spans="1:7" ht="14.25" customHeight="1" x14ac:dyDescent="0.25">
      <c r="A155" s="3">
        <v>45475</v>
      </c>
      <c r="B155" s="1">
        <v>2024000983</v>
      </c>
      <c r="C155" s="1" t="s">
        <v>396</v>
      </c>
      <c r="D155" s="5">
        <v>2000000</v>
      </c>
      <c r="E155" s="1">
        <v>1004635031</v>
      </c>
      <c r="F155" s="1" t="s">
        <v>397</v>
      </c>
      <c r="G155" s="1" t="s">
        <v>9</v>
      </c>
    </row>
    <row r="156" spans="1:7" ht="14.25" customHeight="1" x14ac:dyDescent="0.25">
      <c r="A156" s="3">
        <v>45475</v>
      </c>
      <c r="B156" s="1">
        <v>2024000984</v>
      </c>
      <c r="C156" s="1" t="s">
        <v>428</v>
      </c>
      <c r="D156" s="5">
        <v>4750000</v>
      </c>
      <c r="E156" s="1">
        <v>1085260497</v>
      </c>
      <c r="F156" s="1" t="s">
        <v>429</v>
      </c>
      <c r="G156" s="1" t="s">
        <v>9</v>
      </c>
    </row>
    <row r="157" spans="1:7" ht="14.25" customHeight="1" x14ac:dyDescent="0.25">
      <c r="A157" s="3">
        <v>45475</v>
      </c>
      <c r="B157" s="1">
        <v>2024000985</v>
      </c>
      <c r="C157" s="1" t="s">
        <v>36</v>
      </c>
      <c r="D157" s="5">
        <v>2000000</v>
      </c>
      <c r="E157" s="1">
        <v>27087122</v>
      </c>
      <c r="F157" s="1" t="s">
        <v>37</v>
      </c>
      <c r="G157" s="1" t="s">
        <v>9</v>
      </c>
    </row>
    <row r="158" spans="1:7" ht="14.25" customHeight="1" x14ac:dyDescent="0.25">
      <c r="A158" s="3">
        <v>45476</v>
      </c>
      <c r="B158" s="1">
        <v>2024000994</v>
      </c>
      <c r="C158" s="1" t="s">
        <v>334</v>
      </c>
      <c r="D158" s="5">
        <v>2000000</v>
      </c>
      <c r="E158" s="1">
        <v>1085261053</v>
      </c>
      <c r="F158" s="1" t="s">
        <v>335</v>
      </c>
      <c r="G158" s="1" t="s">
        <v>9</v>
      </c>
    </row>
    <row r="159" spans="1:7" ht="14.25" customHeight="1" x14ac:dyDescent="0.25">
      <c r="A159" s="3">
        <v>45476</v>
      </c>
      <c r="B159" s="1">
        <v>2024000995</v>
      </c>
      <c r="C159" s="1" t="s">
        <v>332</v>
      </c>
      <c r="D159" s="5">
        <v>4825600</v>
      </c>
      <c r="E159" s="1">
        <v>1085269530</v>
      </c>
      <c r="F159" s="1" t="s">
        <v>333</v>
      </c>
      <c r="G159" s="1" t="s">
        <v>9</v>
      </c>
    </row>
    <row r="160" spans="1:7" ht="14.25" customHeight="1" x14ac:dyDescent="0.25">
      <c r="A160" s="3">
        <v>45476</v>
      </c>
      <c r="B160" s="1">
        <v>2024000996</v>
      </c>
      <c r="C160" s="1" t="s">
        <v>178</v>
      </c>
      <c r="D160" s="5">
        <v>2000000</v>
      </c>
      <c r="E160" s="1">
        <v>1085250095</v>
      </c>
      <c r="F160" s="1" t="s">
        <v>179</v>
      </c>
      <c r="G160" s="1" t="s">
        <v>9</v>
      </c>
    </row>
    <row r="161" spans="1:7" ht="14.25" customHeight="1" x14ac:dyDescent="0.25">
      <c r="A161" s="3">
        <v>45476</v>
      </c>
      <c r="B161" s="1">
        <v>2024000997</v>
      </c>
      <c r="C161" s="1" t="s">
        <v>120</v>
      </c>
      <c r="D161" s="5">
        <v>2000000</v>
      </c>
      <c r="E161" s="1">
        <v>59834953</v>
      </c>
      <c r="F161" s="1" t="s">
        <v>121</v>
      </c>
      <c r="G161" s="1" t="s">
        <v>9</v>
      </c>
    </row>
    <row r="162" spans="1:7" ht="14.25" customHeight="1" x14ac:dyDescent="0.25">
      <c r="A162" s="3">
        <v>45476</v>
      </c>
      <c r="B162" s="1">
        <v>2024000998</v>
      </c>
      <c r="C162" s="1" t="s">
        <v>66</v>
      </c>
      <c r="D162" s="5">
        <v>2000000</v>
      </c>
      <c r="E162" s="1">
        <v>1193265360</v>
      </c>
      <c r="F162" s="1" t="s">
        <v>67</v>
      </c>
      <c r="G162" s="1" t="s">
        <v>9</v>
      </c>
    </row>
    <row r="163" spans="1:7" ht="14.25" customHeight="1" x14ac:dyDescent="0.25">
      <c r="A163" s="3">
        <v>45476</v>
      </c>
      <c r="B163" s="1">
        <v>2024000999</v>
      </c>
      <c r="C163" s="1" t="s">
        <v>112</v>
      </c>
      <c r="D163" s="5">
        <v>6000000</v>
      </c>
      <c r="E163" s="1">
        <v>1004213964</v>
      </c>
      <c r="F163" s="1" t="s">
        <v>113</v>
      </c>
      <c r="G163" s="1" t="s">
        <v>9</v>
      </c>
    </row>
    <row r="164" spans="1:7" ht="14.25" customHeight="1" x14ac:dyDescent="0.25">
      <c r="A164" s="3">
        <v>45476</v>
      </c>
      <c r="B164" s="1">
        <v>2024001000</v>
      </c>
      <c r="C164" s="1" t="s">
        <v>228</v>
      </c>
      <c r="D164" s="5">
        <v>2000000</v>
      </c>
      <c r="E164" s="1">
        <v>1193271854</v>
      </c>
      <c r="F164" s="1" t="s">
        <v>229</v>
      </c>
      <c r="G164" s="1" t="s">
        <v>9</v>
      </c>
    </row>
    <row r="165" spans="1:7" ht="14.25" customHeight="1" x14ac:dyDescent="0.25">
      <c r="A165" s="3">
        <v>45477</v>
      </c>
      <c r="B165" s="1">
        <v>2024001017</v>
      </c>
      <c r="C165" s="1" t="s">
        <v>94</v>
      </c>
      <c r="D165" s="5">
        <v>4750000</v>
      </c>
      <c r="E165" s="1">
        <v>1087413951</v>
      </c>
      <c r="F165" s="1" t="s">
        <v>95</v>
      </c>
      <c r="G165" s="1" t="s">
        <v>9</v>
      </c>
    </row>
    <row r="166" spans="1:7" ht="14.25" customHeight="1" x14ac:dyDescent="0.25">
      <c r="A166" s="3">
        <v>45477</v>
      </c>
      <c r="B166" s="1">
        <v>2024001018</v>
      </c>
      <c r="C166" s="1" t="s">
        <v>98</v>
      </c>
      <c r="D166" s="5">
        <v>4825600</v>
      </c>
      <c r="E166" s="1">
        <v>1085337969</v>
      </c>
      <c r="F166" s="1" t="s">
        <v>99</v>
      </c>
      <c r="G166" s="1" t="s">
        <v>9</v>
      </c>
    </row>
    <row r="167" spans="1:7" ht="14.25" customHeight="1" x14ac:dyDescent="0.25">
      <c r="A167" s="3">
        <v>45477</v>
      </c>
      <c r="B167" s="1">
        <v>2024001019</v>
      </c>
      <c r="C167" s="1" t="s">
        <v>420</v>
      </c>
      <c r="D167" s="5">
        <v>7500000</v>
      </c>
      <c r="E167" s="1">
        <v>1088599676</v>
      </c>
      <c r="F167" s="1" t="s">
        <v>421</v>
      </c>
      <c r="G167" s="1" t="s">
        <v>9</v>
      </c>
    </row>
    <row r="168" spans="1:7" ht="14.25" customHeight="1" x14ac:dyDescent="0.25">
      <c r="A168" s="3">
        <v>45477</v>
      </c>
      <c r="B168" s="1">
        <v>2024001020</v>
      </c>
      <c r="C168" s="1" t="s">
        <v>100</v>
      </c>
      <c r="D168" s="5">
        <v>2000000</v>
      </c>
      <c r="E168" s="1">
        <v>13070330</v>
      </c>
      <c r="F168" s="1" t="s">
        <v>101</v>
      </c>
      <c r="G168" s="1" t="s">
        <v>9</v>
      </c>
    </row>
    <row r="169" spans="1:7" ht="14.25" customHeight="1" x14ac:dyDescent="0.25">
      <c r="A169" s="3">
        <v>45477</v>
      </c>
      <c r="B169" s="1">
        <v>2024001021</v>
      </c>
      <c r="C169" s="1" t="s">
        <v>174</v>
      </c>
      <c r="D169" s="5">
        <v>4825600</v>
      </c>
      <c r="E169" s="1">
        <v>1085283723</v>
      </c>
      <c r="F169" s="1" t="s">
        <v>175</v>
      </c>
      <c r="G169" s="1" t="s">
        <v>9</v>
      </c>
    </row>
    <row r="170" spans="1:7" ht="14.25" customHeight="1" x14ac:dyDescent="0.25">
      <c r="A170" s="3">
        <v>45478</v>
      </c>
      <c r="B170" s="1">
        <v>2024001024</v>
      </c>
      <c r="C170" s="1" t="s">
        <v>76</v>
      </c>
      <c r="D170" s="5">
        <v>2000000</v>
      </c>
      <c r="E170" s="1">
        <v>1086362994</v>
      </c>
      <c r="F170" s="1" t="s">
        <v>77</v>
      </c>
      <c r="G170" s="1" t="s">
        <v>9</v>
      </c>
    </row>
    <row r="171" spans="1:7" ht="14.25" customHeight="1" x14ac:dyDescent="0.25">
      <c r="A171" s="3">
        <v>45478</v>
      </c>
      <c r="B171" s="1">
        <v>2024001025</v>
      </c>
      <c r="C171" s="1" t="s">
        <v>62</v>
      </c>
      <c r="D171" s="5">
        <v>7500000</v>
      </c>
      <c r="E171" s="1">
        <v>1006946167</v>
      </c>
      <c r="F171" s="1" t="s">
        <v>63</v>
      </c>
      <c r="G171" s="1" t="s">
        <v>9</v>
      </c>
    </row>
    <row r="172" spans="1:7" ht="14.25" customHeight="1" x14ac:dyDescent="0.25">
      <c r="A172" s="3">
        <v>45478</v>
      </c>
      <c r="B172" s="1">
        <v>2024001026</v>
      </c>
      <c r="C172" s="1" t="s">
        <v>72</v>
      </c>
      <c r="D172" s="5">
        <v>2000000</v>
      </c>
      <c r="E172" s="1">
        <v>1085323101</v>
      </c>
      <c r="F172" s="1" t="s">
        <v>73</v>
      </c>
      <c r="G172" s="1" t="s">
        <v>9</v>
      </c>
    </row>
    <row r="173" spans="1:7" ht="14.25" customHeight="1" x14ac:dyDescent="0.25">
      <c r="A173" s="3">
        <v>45478</v>
      </c>
      <c r="B173" s="1">
        <v>2024001027</v>
      </c>
      <c r="C173" s="1" t="s">
        <v>50</v>
      </c>
      <c r="D173" s="5">
        <v>2000000</v>
      </c>
      <c r="E173" s="1">
        <v>12974849</v>
      </c>
      <c r="F173" s="1" t="s">
        <v>51</v>
      </c>
      <c r="G173" s="1" t="s">
        <v>9</v>
      </c>
    </row>
    <row r="174" spans="1:7" ht="14.25" customHeight="1" x14ac:dyDescent="0.25">
      <c r="A174" s="3">
        <v>45478</v>
      </c>
      <c r="B174" s="1">
        <v>2024001028</v>
      </c>
      <c r="C174" s="1" t="s">
        <v>132</v>
      </c>
      <c r="D174" s="5">
        <v>4825600</v>
      </c>
      <c r="E174" s="1">
        <v>87062845</v>
      </c>
      <c r="F174" s="1" t="s">
        <v>133</v>
      </c>
      <c r="G174" s="1" t="s">
        <v>9</v>
      </c>
    </row>
    <row r="175" spans="1:7" ht="14.25" customHeight="1" x14ac:dyDescent="0.25">
      <c r="A175" s="3">
        <v>45478</v>
      </c>
      <c r="B175" s="1">
        <v>2024001029</v>
      </c>
      <c r="C175" s="1" t="s">
        <v>68</v>
      </c>
      <c r="D175" s="5">
        <v>7500000</v>
      </c>
      <c r="E175" s="1">
        <v>80765093</v>
      </c>
      <c r="F175" s="1" t="s">
        <v>69</v>
      </c>
      <c r="G175" s="1" t="s">
        <v>9</v>
      </c>
    </row>
    <row r="176" spans="1:7" ht="14.25" customHeight="1" x14ac:dyDescent="0.25">
      <c r="A176" s="3">
        <v>45478</v>
      </c>
      <c r="B176" s="1">
        <v>2024001030</v>
      </c>
      <c r="C176" s="1" t="s">
        <v>160</v>
      </c>
      <c r="D176" s="5">
        <v>7500000</v>
      </c>
      <c r="E176" s="1">
        <v>1085304670</v>
      </c>
      <c r="F176" s="1" t="s">
        <v>161</v>
      </c>
      <c r="G176" s="1" t="s">
        <v>9</v>
      </c>
    </row>
    <row r="177" spans="1:7" ht="14.25" customHeight="1" x14ac:dyDescent="0.25">
      <c r="A177" s="3">
        <v>45478</v>
      </c>
      <c r="B177" s="1">
        <v>2024001031</v>
      </c>
      <c r="C177" s="1" t="s">
        <v>414</v>
      </c>
      <c r="D177" s="5">
        <v>4750000</v>
      </c>
      <c r="E177" s="1">
        <v>59816986</v>
      </c>
      <c r="F177" s="1" t="s">
        <v>415</v>
      </c>
      <c r="G177" s="1" t="s">
        <v>9</v>
      </c>
    </row>
    <row r="178" spans="1:7" ht="14.25" customHeight="1" x14ac:dyDescent="0.25">
      <c r="A178" s="3">
        <v>45478</v>
      </c>
      <c r="B178" s="1">
        <v>2024001032</v>
      </c>
      <c r="C178" s="1" t="s">
        <v>74</v>
      </c>
      <c r="D178" s="5">
        <v>2000000</v>
      </c>
      <c r="E178" s="1">
        <v>1085286742</v>
      </c>
      <c r="F178" s="1" t="s">
        <v>75</v>
      </c>
      <c r="G178" s="1" t="s">
        <v>9</v>
      </c>
    </row>
    <row r="179" spans="1:7" ht="14.25" customHeight="1" x14ac:dyDescent="0.25">
      <c r="A179" s="3">
        <v>45481</v>
      </c>
      <c r="B179" s="1">
        <v>2024001039</v>
      </c>
      <c r="C179" s="1" t="s">
        <v>260</v>
      </c>
      <c r="D179" s="5">
        <v>6000000</v>
      </c>
      <c r="E179" s="1">
        <v>59820414</v>
      </c>
      <c r="F179" s="1" t="s">
        <v>261</v>
      </c>
      <c r="G179" s="1" t="s">
        <v>9</v>
      </c>
    </row>
    <row r="180" spans="1:7" ht="14.25" customHeight="1" x14ac:dyDescent="0.25">
      <c r="A180" s="3">
        <v>45481</v>
      </c>
      <c r="B180" s="1">
        <v>2024001040</v>
      </c>
      <c r="C180" s="1" t="s">
        <v>110</v>
      </c>
      <c r="D180" s="5">
        <v>2000000</v>
      </c>
      <c r="E180" s="1">
        <v>1085286725</v>
      </c>
      <c r="F180" s="1" t="s">
        <v>111</v>
      </c>
      <c r="G180" s="1" t="s">
        <v>9</v>
      </c>
    </row>
    <row r="181" spans="1:7" ht="14.25" customHeight="1" x14ac:dyDescent="0.25">
      <c r="A181" s="3">
        <v>45481</v>
      </c>
      <c r="B181" s="1">
        <v>2024001043</v>
      </c>
      <c r="C181" s="1" t="s">
        <v>148</v>
      </c>
      <c r="D181" s="5">
        <v>2000000</v>
      </c>
      <c r="E181" s="1">
        <v>1085339190</v>
      </c>
      <c r="F181" s="1" t="s">
        <v>149</v>
      </c>
      <c r="G181" s="1" t="s">
        <v>9</v>
      </c>
    </row>
    <row r="182" spans="1:7" ht="14.25" customHeight="1" x14ac:dyDescent="0.25">
      <c r="A182" s="3">
        <v>45481</v>
      </c>
      <c r="B182" s="1">
        <v>2024001044</v>
      </c>
      <c r="C182" s="1" t="s">
        <v>182</v>
      </c>
      <c r="D182" s="5">
        <v>2000000</v>
      </c>
      <c r="E182" s="1">
        <v>98382500</v>
      </c>
      <c r="F182" s="1" t="s">
        <v>183</v>
      </c>
      <c r="G182" s="1" t="s">
        <v>9</v>
      </c>
    </row>
    <row r="183" spans="1:7" ht="14.25" customHeight="1" x14ac:dyDescent="0.25">
      <c r="A183" s="3">
        <v>45482</v>
      </c>
      <c r="B183" s="1">
        <v>2024001045</v>
      </c>
      <c r="C183" s="1" t="s">
        <v>156</v>
      </c>
      <c r="D183" s="5">
        <v>7500000</v>
      </c>
      <c r="E183" s="1">
        <v>12961661</v>
      </c>
      <c r="F183" s="1" t="s">
        <v>157</v>
      </c>
      <c r="G183" s="1" t="s">
        <v>9</v>
      </c>
    </row>
    <row r="184" spans="1:7" ht="14.25" customHeight="1" x14ac:dyDescent="0.25">
      <c r="A184" s="3">
        <v>45482</v>
      </c>
      <c r="B184" s="1">
        <v>2024001048</v>
      </c>
      <c r="C184" s="1" t="s">
        <v>394</v>
      </c>
      <c r="D184" s="5">
        <v>2000000</v>
      </c>
      <c r="E184" s="1">
        <v>59837416</v>
      </c>
      <c r="F184" s="1" t="s">
        <v>395</v>
      </c>
      <c r="G184" s="1" t="s">
        <v>9</v>
      </c>
    </row>
    <row r="185" spans="1:7" ht="14.25" customHeight="1" x14ac:dyDescent="0.25">
      <c r="A185" s="3">
        <v>45482</v>
      </c>
      <c r="B185" s="1">
        <v>2024001049</v>
      </c>
      <c r="C185" s="1" t="s">
        <v>290</v>
      </c>
      <c r="D185" s="5">
        <v>2000000</v>
      </c>
      <c r="E185" s="1">
        <v>1085344082</v>
      </c>
      <c r="F185" s="1" t="s">
        <v>291</v>
      </c>
      <c r="G185" s="1" t="s">
        <v>9</v>
      </c>
    </row>
    <row r="186" spans="1:7" ht="14.25" customHeight="1" x14ac:dyDescent="0.25">
      <c r="A186" s="3">
        <v>45482</v>
      </c>
      <c r="B186" s="1">
        <v>2024001050</v>
      </c>
      <c r="C186" s="1" t="s">
        <v>168</v>
      </c>
      <c r="D186" s="5">
        <v>4750000</v>
      </c>
      <c r="E186" s="1">
        <v>1085273424</v>
      </c>
      <c r="F186" s="1" t="s">
        <v>169</v>
      </c>
      <c r="G186" s="1" t="s">
        <v>9</v>
      </c>
    </row>
    <row r="187" spans="1:7" ht="14.25" customHeight="1" x14ac:dyDescent="0.25">
      <c r="A187" s="3">
        <v>45482</v>
      </c>
      <c r="B187" s="1">
        <v>2024001051</v>
      </c>
      <c r="C187" s="1" t="s">
        <v>232</v>
      </c>
      <c r="D187" s="5">
        <v>2000000</v>
      </c>
      <c r="E187" s="1">
        <v>1014857280</v>
      </c>
      <c r="F187" s="1" t="s">
        <v>233</v>
      </c>
      <c r="G187" s="1" t="s">
        <v>9</v>
      </c>
    </row>
    <row r="188" spans="1:7" ht="14.25" customHeight="1" x14ac:dyDescent="0.25">
      <c r="A188" s="3">
        <v>45482</v>
      </c>
      <c r="B188" s="1">
        <v>2024001053</v>
      </c>
      <c r="C188" s="1" t="s">
        <v>144</v>
      </c>
      <c r="D188" s="5">
        <v>6000000</v>
      </c>
      <c r="E188" s="1">
        <v>59837608</v>
      </c>
      <c r="F188" s="1" t="s">
        <v>145</v>
      </c>
      <c r="G188" s="1" t="s">
        <v>9</v>
      </c>
    </row>
    <row r="189" spans="1:7" ht="14.25" customHeight="1" x14ac:dyDescent="0.25">
      <c r="A189" s="3">
        <v>45482</v>
      </c>
      <c r="B189" s="1">
        <v>2024001054</v>
      </c>
      <c r="C189" s="1" t="s">
        <v>266</v>
      </c>
      <c r="D189" s="5">
        <v>4750000</v>
      </c>
      <c r="E189" s="1">
        <v>1193383306</v>
      </c>
      <c r="F189" s="1" t="s">
        <v>267</v>
      </c>
      <c r="G189" s="1" t="s">
        <v>9</v>
      </c>
    </row>
    <row r="190" spans="1:7" ht="14.25" customHeight="1" x14ac:dyDescent="0.25">
      <c r="A190" s="3">
        <v>45482</v>
      </c>
      <c r="B190" s="1">
        <v>2024001055</v>
      </c>
      <c r="C190" s="1" t="s">
        <v>60</v>
      </c>
      <c r="D190" s="5">
        <v>7500000</v>
      </c>
      <c r="E190" s="1">
        <v>1085321192</v>
      </c>
      <c r="F190" s="1" t="s">
        <v>61</v>
      </c>
      <c r="G190" s="1" t="s">
        <v>9</v>
      </c>
    </row>
    <row r="191" spans="1:7" ht="14.25" customHeight="1" x14ac:dyDescent="0.25">
      <c r="A191" s="3">
        <v>45482</v>
      </c>
      <c r="B191" s="1">
        <v>2024001057</v>
      </c>
      <c r="C191" s="1" t="s">
        <v>164</v>
      </c>
      <c r="D191" s="14">
        <v>82250000</v>
      </c>
      <c r="E191" s="1">
        <v>900633448</v>
      </c>
      <c r="F191" s="1" t="s">
        <v>165</v>
      </c>
      <c r="G191" s="1" t="s">
        <v>9</v>
      </c>
    </row>
    <row r="192" spans="1:7" ht="14.25" customHeight="1" x14ac:dyDescent="0.25">
      <c r="A192" s="3">
        <v>45482</v>
      </c>
      <c r="B192" s="1">
        <v>2024001059</v>
      </c>
      <c r="C192" s="1" t="s">
        <v>220</v>
      </c>
      <c r="D192" s="5">
        <v>4750000</v>
      </c>
      <c r="E192" s="1">
        <v>1085345772</v>
      </c>
      <c r="F192" s="1" t="s">
        <v>221</v>
      </c>
      <c r="G192" s="1" t="s">
        <v>9</v>
      </c>
    </row>
    <row r="193" spans="1:7" ht="14.25" customHeight="1" x14ac:dyDescent="0.25">
      <c r="A193" s="3">
        <v>45483</v>
      </c>
      <c r="B193" s="1">
        <v>2024001065</v>
      </c>
      <c r="C193" s="1" t="s">
        <v>226</v>
      </c>
      <c r="D193" s="5">
        <v>2000000</v>
      </c>
      <c r="E193" s="1">
        <v>1085338575</v>
      </c>
      <c r="F193" s="1" t="s">
        <v>227</v>
      </c>
      <c r="G193" s="1" t="s">
        <v>9</v>
      </c>
    </row>
    <row r="194" spans="1:7" ht="14.25" customHeight="1" x14ac:dyDescent="0.25">
      <c r="A194" s="3">
        <v>45483</v>
      </c>
      <c r="B194" s="1">
        <v>2024001067</v>
      </c>
      <c r="C194" s="1" t="s">
        <v>158</v>
      </c>
      <c r="D194" s="5">
        <v>7500000</v>
      </c>
      <c r="E194" s="1">
        <v>37087120</v>
      </c>
      <c r="F194" s="1" t="s">
        <v>159</v>
      </c>
      <c r="G194" s="1" t="s">
        <v>9</v>
      </c>
    </row>
    <row r="195" spans="1:7" ht="14.25" customHeight="1" x14ac:dyDescent="0.25">
      <c r="A195" s="3">
        <v>45483</v>
      </c>
      <c r="B195" s="1">
        <v>2024001069</v>
      </c>
      <c r="C195" s="1" t="s">
        <v>128</v>
      </c>
      <c r="D195" s="5">
        <v>4825600</v>
      </c>
      <c r="E195" s="1">
        <v>59310145</v>
      </c>
      <c r="F195" s="1" t="s">
        <v>129</v>
      </c>
      <c r="G195" s="1" t="s">
        <v>9</v>
      </c>
    </row>
    <row r="196" spans="1:7" ht="14.25" customHeight="1" x14ac:dyDescent="0.25">
      <c r="A196" s="3">
        <v>45484</v>
      </c>
      <c r="B196" s="1">
        <v>2024001071</v>
      </c>
      <c r="C196" s="1" t="s">
        <v>116</v>
      </c>
      <c r="D196" s="5">
        <v>6000000</v>
      </c>
      <c r="E196" s="1">
        <v>1085275879</v>
      </c>
      <c r="F196" s="1" t="s">
        <v>117</v>
      </c>
      <c r="G196" s="1" t="s">
        <v>9</v>
      </c>
    </row>
    <row r="197" spans="1:7" ht="14.25" customHeight="1" x14ac:dyDescent="0.25">
      <c r="A197" s="3">
        <v>45484</v>
      </c>
      <c r="B197" s="1">
        <v>2024001072</v>
      </c>
      <c r="C197" s="1" t="s">
        <v>230</v>
      </c>
      <c r="D197" s="5">
        <v>7500000</v>
      </c>
      <c r="E197" s="1">
        <v>1085335767</v>
      </c>
      <c r="F197" s="1" t="s">
        <v>231</v>
      </c>
      <c r="G197" s="1" t="s">
        <v>9</v>
      </c>
    </row>
    <row r="198" spans="1:7" ht="14.25" customHeight="1" x14ac:dyDescent="0.25">
      <c r="A198" s="3">
        <v>45484</v>
      </c>
      <c r="B198" s="1">
        <v>2024001073</v>
      </c>
      <c r="C198" s="1" t="s">
        <v>162</v>
      </c>
      <c r="D198" s="5">
        <v>7500000</v>
      </c>
      <c r="E198" s="1">
        <v>1193202097</v>
      </c>
      <c r="F198" s="1" t="s">
        <v>163</v>
      </c>
      <c r="G198" s="1" t="s">
        <v>9</v>
      </c>
    </row>
    <row r="199" spans="1:7" ht="14.25" customHeight="1" x14ac:dyDescent="0.25">
      <c r="A199" s="3">
        <v>45484</v>
      </c>
      <c r="B199" s="1">
        <v>2024001074</v>
      </c>
      <c r="C199" s="1" t="s">
        <v>206</v>
      </c>
      <c r="D199" s="5">
        <v>2000000</v>
      </c>
      <c r="E199" s="1">
        <v>1004135064</v>
      </c>
      <c r="F199" s="1" t="s">
        <v>207</v>
      </c>
      <c r="G199" s="1" t="s">
        <v>9</v>
      </c>
    </row>
    <row r="200" spans="1:7" ht="14.25" customHeight="1" x14ac:dyDescent="0.25">
      <c r="A200" s="3">
        <v>45484</v>
      </c>
      <c r="B200" s="1">
        <v>2024001075</v>
      </c>
      <c r="C200" s="1" t="s">
        <v>208</v>
      </c>
      <c r="D200" s="5">
        <v>2000000</v>
      </c>
      <c r="E200" s="1">
        <v>1010082397</v>
      </c>
      <c r="F200" s="1" t="s">
        <v>209</v>
      </c>
      <c r="G200" s="1" t="s">
        <v>9</v>
      </c>
    </row>
    <row r="201" spans="1:7" ht="14.25" customHeight="1" x14ac:dyDescent="0.25">
      <c r="A201" s="3">
        <v>45484</v>
      </c>
      <c r="B201" s="1">
        <v>2024001076</v>
      </c>
      <c r="C201" s="1" t="s">
        <v>126</v>
      </c>
      <c r="D201" s="5">
        <v>4750000</v>
      </c>
      <c r="E201" s="1">
        <v>59312865</v>
      </c>
      <c r="F201" s="1" t="s">
        <v>127</v>
      </c>
      <c r="G201" s="1" t="s">
        <v>9</v>
      </c>
    </row>
    <row r="202" spans="1:7" ht="14.25" customHeight="1" x14ac:dyDescent="0.25">
      <c r="A202" s="3">
        <v>45484</v>
      </c>
      <c r="B202" s="1">
        <v>2024001077</v>
      </c>
      <c r="C202" s="1" t="s">
        <v>186</v>
      </c>
      <c r="D202" s="5">
        <v>2000000</v>
      </c>
      <c r="E202" s="1">
        <v>1085296353</v>
      </c>
      <c r="F202" s="1" t="s">
        <v>187</v>
      </c>
      <c r="G202" s="1" t="s">
        <v>9</v>
      </c>
    </row>
    <row r="203" spans="1:7" ht="14.25" customHeight="1" x14ac:dyDescent="0.25">
      <c r="A203" s="3">
        <v>45484</v>
      </c>
      <c r="B203" s="1">
        <v>2024001078</v>
      </c>
      <c r="C203" s="1" t="s">
        <v>118</v>
      </c>
      <c r="D203" s="5">
        <v>2000000</v>
      </c>
      <c r="E203" s="1">
        <v>37084285</v>
      </c>
      <c r="F203" s="1" t="s">
        <v>119</v>
      </c>
      <c r="G203" s="1" t="s">
        <v>9</v>
      </c>
    </row>
    <row r="204" spans="1:7" ht="14.25" customHeight="1" x14ac:dyDescent="0.25">
      <c r="A204" s="3">
        <v>45485</v>
      </c>
      <c r="B204" s="1">
        <v>2024001079</v>
      </c>
      <c r="C204" s="1" t="s">
        <v>264</v>
      </c>
      <c r="D204" s="5">
        <v>2000000</v>
      </c>
      <c r="E204" s="1">
        <v>1010085543</v>
      </c>
      <c r="F204" s="1" t="s">
        <v>265</v>
      </c>
      <c r="G204" s="1" t="s">
        <v>9</v>
      </c>
    </row>
    <row r="205" spans="1:7" ht="14.25" customHeight="1" x14ac:dyDescent="0.25">
      <c r="A205" s="3">
        <v>45485</v>
      </c>
      <c r="B205" s="1">
        <v>2024001080</v>
      </c>
      <c r="C205" s="1" t="s">
        <v>238</v>
      </c>
      <c r="D205" s="5">
        <v>7500000</v>
      </c>
      <c r="E205" s="1">
        <v>1233189066</v>
      </c>
      <c r="F205" s="1" t="s">
        <v>239</v>
      </c>
      <c r="G205" s="1" t="s">
        <v>9</v>
      </c>
    </row>
    <row r="206" spans="1:7" ht="14.25" customHeight="1" x14ac:dyDescent="0.25">
      <c r="A206" s="3">
        <v>45485</v>
      </c>
      <c r="B206" s="1">
        <v>2024001083</v>
      </c>
      <c r="C206" s="1" t="s">
        <v>154</v>
      </c>
      <c r="D206" s="5">
        <v>4750000</v>
      </c>
      <c r="E206" s="1">
        <v>1085293619</v>
      </c>
      <c r="F206" s="1" t="s">
        <v>155</v>
      </c>
      <c r="G206" s="1" t="s">
        <v>9</v>
      </c>
    </row>
    <row r="207" spans="1:7" ht="14.25" customHeight="1" x14ac:dyDescent="0.25">
      <c r="A207" s="3">
        <v>45485</v>
      </c>
      <c r="B207" s="1">
        <v>2024001084</v>
      </c>
      <c r="C207" s="1" t="s">
        <v>200</v>
      </c>
      <c r="D207" s="5">
        <v>2000000</v>
      </c>
      <c r="E207" s="1">
        <v>1085300095</v>
      </c>
      <c r="F207" s="1" t="s">
        <v>201</v>
      </c>
      <c r="G207" s="1" t="s">
        <v>9</v>
      </c>
    </row>
    <row r="208" spans="1:7" ht="14.25" customHeight="1" x14ac:dyDescent="0.25">
      <c r="A208" s="3">
        <v>45485</v>
      </c>
      <c r="B208" s="1">
        <v>2024001085</v>
      </c>
      <c r="C208" s="1" t="s">
        <v>184</v>
      </c>
      <c r="D208" s="5">
        <v>2000000</v>
      </c>
      <c r="E208" s="1">
        <v>87070661</v>
      </c>
      <c r="F208" s="1" t="s">
        <v>185</v>
      </c>
      <c r="G208" s="1" t="s">
        <v>9</v>
      </c>
    </row>
    <row r="209" spans="1:7" ht="14.25" customHeight="1" x14ac:dyDescent="0.25">
      <c r="A209" s="3">
        <v>45485</v>
      </c>
      <c r="B209" s="1">
        <v>2024001086</v>
      </c>
      <c r="C209" s="1" t="s">
        <v>210</v>
      </c>
      <c r="D209" s="5">
        <v>2000000</v>
      </c>
      <c r="E209" s="1">
        <v>1080040858</v>
      </c>
      <c r="F209" s="1" t="s">
        <v>211</v>
      </c>
      <c r="G209" s="1" t="s">
        <v>9</v>
      </c>
    </row>
    <row r="210" spans="1:7" ht="14.25" customHeight="1" x14ac:dyDescent="0.25">
      <c r="A210" s="3">
        <v>45485</v>
      </c>
      <c r="B210" s="1">
        <v>2024001087</v>
      </c>
      <c r="C210" s="1" t="s">
        <v>234</v>
      </c>
      <c r="D210" s="5">
        <v>4750000</v>
      </c>
      <c r="E210" s="1">
        <v>1085318201</v>
      </c>
      <c r="F210" s="1" t="s">
        <v>235</v>
      </c>
      <c r="G210" s="1" t="s">
        <v>9</v>
      </c>
    </row>
    <row r="211" spans="1:7" ht="14.25" customHeight="1" x14ac:dyDescent="0.25">
      <c r="A211" s="3">
        <v>45485</v>
      </c>
      <c r="B211" s="1">
        <v>2024001088</v>
      </c>
      <c r="C211" s="1" t="s">
        <v>276</v>
      </c>
      <c r="D211" s="5">
        <v>2000000</v>
      </c>
      <c r="E211" s="1">
        <v>1192717330</v>
      </c>
      <c r="F211" s="1" t="s">
        <v>277</v>
      </c>
      <c r="G211" s="1" t="s">
        <v>9</v>
      </c>
    </row>
    <row r="212" spans="1:7" ht="14.25" customHeight="1" x14ac:dyDescent="0.25">
      <c r="A212" s="3">
        <v>45488</v>
      </c>
      <c r="B212" s="1">
        <v>2024001090</v>
      </c>
      <c r="C212" s="1" t="s">
        <v>250</v>
      </c>
      <c r="D212" s="5">
        <v>2000000</v>
      </c>
      <c r="E212" s="1">
        <v>1085271641</v>
      </c>
      <c r="F212" s="1" t="s">
        <v>251</v>
      </c>
      <c r="G212" s="1" t="s">
        <v>9</v>
      </c>
    </row>
    <row r="213" spans="1:7" ht="14.25" customHeight="1" x14ac:dyDescent="0.25">
      <c r="A213" s="3">
        <v>45488</v>
      </c>
      <c r="B213" s="1">
        <v>2024001091</v>
      </c>
      <c r="C213" s="1" t="s">
        <v>328</v>
      </c>
      <c r="D213" s="5">
        <v>6000000</v>
      </c>
      <c r="E213" s="1">
        <v>97470681</v>
      </c>
      <c r="F213" s="1" t="s">
        <v>329</v>
      </c>
      <c r="G213" s="1" t="s">
        <v>9</v>
      </c>
    </row>
    <row r="214" spans="1:7" ht="14.25" customHeight="1" x14ac:dyDescent="0.25">
      <c r="A214" s="3">
        <v>45488</v>
      </c>
      <c r="B214" s="1">
        <v>2024001092</v>
      </c>
      <c r="C214" s="1" t="s">
        <v>288</v>
      </c>
      <c r="D214" s="5">
        <v>2000000</v>
      </c>
      <c r="E214" s="1">
        <v>1004709928</v>
      </c>
      <c r="F214" s="1" t="s">
        <v>289</v>
      </c>
      <c r="G214" s="1" t="s">
        <v>9</v>
      </c>
    </row>
    <row r="215" spans="1:7" ht="14.25" customHeight="1" x14ac:dyDescent="0.25">
      <c r="A215" s="3">
        <v>45488</v>
      </c>
      <c r="B215" s="1">
        <v>2024001093</v>
      </c>
      <c r="C215" s="1" t="s">
        <v>362</v>
      </c>
      <c r="D215" s="5">
        <v>4825600</v>
      </c>
      <c r="E215" s="1">
        <v>1085321943</v>
      </c>
      <c r="F215" s="1" t="s">
        <v>363</v>
      </c>
      <c r="G215" s="1" t="s">
        <v>9</v>
      </c>
    </row>
    <row r="216" spans="1:7" ht="14.25" customHeight="1" x14ac:dyDescent="0.25">
      <c r="A216" s="3">
        <v>45488</v>
      </c>
      <c r="B216" s="1">
        <v>2024001094</v>
      </c>
      <c r="C216" s="1" t="s">
        <v>114</v>
      </c>
      <c r="D216" s="5">
        <v>2000000</v>
      </c>
      <c r="E216" s="1">
        <v>1085266584</v>
      </c>
      <c r="F216" s="1" t="s">
        <v>115</v>
      </c>
      <c r="G216" s="1" t="s">
        <v>9</v>
      </c>
    </row>
    <row r="217" spans="1:7" ht="14.25" customHeight="1" x14ac:dyDescent="0.25">
      <c r="A217" s="3">
        <v>45488</v>
      </c>
      <c r="B217" s="1">
        <v>2024001095</v>
      </c>
      <c r="C217" s="1" t="s">
        <v>146</v>
      </c>
      <c r="D217" s="5">
        <v>2000000</v>
      </c>
      <c r="E217" s="1">
        <v>1085255972</v>
      </c>
      <c r="F217" s="1" t="s">
        <v>147</v>
      </c>
      <c r="G217" s="1" t="s">
        <v>9</v>
      </c>
    </row>
    <row r="218" spans="1:7" ht="14.25" customHeight="1" x14ac:dyDescent="0.25">
      <c r="A218" s="3">
        <v>45488</v>
      </c>
      <c r="B218" s="1">
        <v>2024001096</v>
      </c>
      <c r="C218" s="1" t="s">
        <v>330</v>
      </c>
      <c r="D218" s="5">
        <v>2000000</v>
      </c>
      <c r="E218" s="1">
        <v>1085313463</v>
      </c>
      <c r="F218" s="1" t="s">
        <v>331</v>
      </c>
      <c r="G218" s="1" t="s">
        <v>9</v>
      </c>
    </row>
    <row r="219" spans="1:7" ht="14.25" customHeight="1" x14ac:dyDescent="0.25">
      <c r="A219" s="3">
        <v>45489</v>
      </c>
      <c r="B219" s="1">
        <v>2024001100</v>
      </c>
      <c r="C219" s="1" t="s">
        <v>270</v>
      </c>
      <c r="D219" s="5">
        <v>2000000</v>
      </c>
      <c r="E219" s="1">
        <v>36757522</v>
      </c>
      <c r="F219" s="1" t="s">
        <v>271</v>
      </c>
      <c r="G219" s="1" t="s">
        <v>9</v>
      </c>
    </row>
    <row r="220" spans="1:7" ht="14.25" customHeight="1" x14ac:dyDescent="0.25">
      <c r="A220" s="3">
        <v>45489</v>
      </c>
      <c r="B220" s="1">
        <v>2024001101</v>
      </c>
      <c r="C220" s="1" t="s">
        <v>274</v>
      </c>
      <c r="D220" s="5">
        <v>4850600</v>
      </c>
      <c r="E220" s="1">
        <v>1085321578</v>
      </c>
      <c r="F220" s="1" t="s">
        <v>275</v>
      </c>
      <c r="G220" s="1" t="s">
        <v>9</v>
      </c>
    </row>
    <row r="221" spans="1:7" ht="14.25" customHeight="1" x14ac:dyDescent="0.25">
      <c r="A221" s="3">
        <v>45489</v>
      </c>
      <c r="B221" s="1">
        <v>2024001102</v>
      </c>
      <c r="C221" s="1" t="s">
        <v>248</v>
      </c>
      <c r="D221" s="5">
        <v>4750000</v>
      </c>
      <c r="E221" s="1">
        <v>1085330309</v>
      </c>
      <c r="F221" s="1" t="s">
        <v>249</v>
      </c>
      <c r="G221" s="1" t="s">
        <v>9</v>
      </c>
    </row>
    <row r="222" spans="1:7" ht="14.25" customHeight="1" x14ac:dyDescent="0.25">
      <c r="A222" s="3">
        <v>45490</v>
      </c>
      <c r="B222" s="1">
        <v>2024001134</v>
      </c>
      <c r="C222" s="1" t="s">
        <v>332</v>
      </c>
      <c r="D222" s="5">
        <v>4825600</v>
      </c>
      <c r="E222" s="1">
        <v>1085269530</v>
      </c>
      <c r="F222" s="1" t="s">
        <v>333</v>
      </c>
      <c r="G222" s="1" t="s">
        <v>9</v>
      </c>
    </row>
    <row r="223" spans="1:7" ht="14.25" customHeight="1" x14ac:dyDescent="0.25">
      <c r="A223" s="3">
        <v>45490</v>
      </c>
      <c r="B223" s="1">
        <v>2024001135</v>
      </c>
      <c r="C223" s="1" t="s">
        <v>170</v>
      </c>
      <c r="D223" s="5">
        <v>2000000</v>
      </c>
      <c r="E223" s="1">
        <v>69028150</v>
      </c>
      <c r="F223" s="1" t="s">
        <v>171</v>
      </c>
      <c r="G223" s="1" t="s">
        <v>9</v>
      </c>
    </row>
    <row r="224" spans="1:7" ht="14.25" customHeight="1" x14ac:dyDescent="0.25">
      <c r="A224" s="3">
        <v>45490</v>
      </c>
      <c r="B224" s="1">
        <v>2024001136</v>
      </c>
      <c r="C224" s="1" t="s">
        <v>214</v>
      </c>
      <c r="D224" s="5">
        <v>2000000</v>
      </c>
      <c r="E224" s="1">
        <v>1085327677</v>
      </c>
      <c r="F224" s="1" t="s">
        <v>215</v>
      </c>
      <c r="G224" s="1" t="s">
        <v>9</v>
      </c>
    </row>
    <row r="225" spans="1:8" ht="14.25" customHeight="1" x14ac:dyDescent="0.25">
      <c r="A225" s="3">
        <v>45490</v>
      </c>
      <c r="B225" s="1">
        <v>2024001137</v>
      </c>
      <c r="C225" s="1" t="s">
        <v>196</v>
      </c>
      <c r="D225" s="5">
        <v>2000000</v>
      </c>
      <c r="E225" s="1">
        <v>1089243630</v>
      </c>
      <c r="F225" s="1" t="s">
        <v>197</v>
      </c>
      <c r="G225" s="1" t="s">
        <v>9</v>
      </c>
    </row>
    <row r="226" spans="1:8" ht="14.25" customHeight="1" x14ac:dyDescent="0.25">
      <c r="A226" s="3">
        <v>45490</v>
      </c>
      <c r="B226" s="1">
        <v>2024001151</v>
      </c>
      <c r="C226" s="1" t="s">
        <v>222</v>
      </c>
      <c r="D226" s="5">
        <v>4750000</v>
      </c>
      <c r="E226" s="1">
        <v>87060703</v>
      </c>
      <c r="F226" s="1" t="s">
        <v>223</v>
      </c>
      <c r="G226" s="1" t="s">
        <v>9</v>
      </c>
    </row>
    <row r="227" spans="1:8" ht="14.25" customHeight="1" x14ac:dyDescent="0.25">
      <c r="A227" s="3">
        <v>45490</v>
      </c>
      <c r="B227" s="1">
        <v>2024001152</v>
      </c>
      <c r="C227" s="1" t="s">
        <v>334</v>
      </c>
      <c r="D227" s="5">
        <v>2000000</v>
      </c>
      <c r="E227" s="1">
        <v>1085261053</v>
      </c>
      <c r="F227" s="1" t="s">
        <v>335</v>
      </c>
      <c r="G227" s="1" t="s">
        <v>9</v>
      </c>
    </row>
    <row r="228" spans="1:8" ht="14.25" customHeight="1" x14ac:dyDescent="0.25">
      <c r="A228" s="3">
        <v>45491</v>
      </c>
      <c r="B228" s="1">
        <v>2024001154</v>
      </c>
      <c r="C228" s="1" t="s">
        <v>268</v>
      </c>
      <c r="D228" s="5">
        <v>64916175</v>
      </c>
      <c r="E228" s="1">
        <v>900994364</v>
      </c>
      <c r="F228" s="1" t="s">
        <v>269</v>
      </c>
      <c r="G228" s="1" t="s">
        <v>9</v>
      </c>
      <c r="H228" s="1" t="s">
        <v>2604</v>
      </c>
    </row>
    <row r="229" spans="1:8" ht="14.25" customHeight="1" x14ac:dyDescent="0.25">
      <c r="A229" s="3">
        <v>45491</v>
      </c>
      <c r="B229" s="1">
        <v>2024001155</v>
      </c>
      <c r="C229" s="1" t="s">
        <v>104</v>
      </c>
      <c r="D229" s="5">
        <v>4750000</v>
      </c>
      <c r="E229" s="1">
        <v>1085303067</v>
      </c>
      <c r="F229" s="1" t="s">
        <v>105</v>
      </c>
      <c r="G229" s="1" t="s">
        <v>9</v>
      </c>
    </row>
    <row r="230" spans="1:8" ht="14.25" customHeight="1" x14ac:dyDescent="0.25">
      <c r="A230" s="3">
        <v>45491</v>
      </c>
      <c r="B230" s="1">
        <v>2024001156</v>
      </c>
      <c r="C230" s="1" t="s">
        <v>190</v>
      </c>
      <c r="D230" s="5">
        <v>2000000</v>
      </c>
      <c r="E230" s="1">
        <v>1193218691</v>
      </c>
      <c r="F230" s="1" t="s">
        <v>191</v>
      </c>
      <c r="G230" s="1" t="s">
        <v>9</v>
      </c>
    </row>
    <row r="231" spans="1:8" ht="14.25" customHeight="1" x14ac:dyDescent="0.25">
      <c r="A231" s="3">
        <v>45491</v>
      </c>
      <c r="B231" s="1">
        <v>2024001157</v>
      </c>
      <c r="C231" s="1" t="s">
        <v>194</v>
      </c>
      <c r="D231" s="5">
        <v>2000000</v>
      </c>
      <c r="E231" s="1">
        <v>1085316191</v>
      </c>
      <c r="F231" s="1" t="s">
        <v>195</v>
      </c>
      <c r="G231" s="1" t="s">
        <v>9</v>
      </c>
    </row>
    <row r="232" spans="1:8" ht="14.25" customHeight="1" x14ac:dyDescent="0.25">
      <c r="A232" s="3">
        <v>45491</v>
      </c>
      <c r="B232" s="1">
        <v>2024001158</v>
      </c>
      <c r="C232" s="1" t="s">
        <v>202</v>
      </c>
      <c r="D232" s="5">
        <v>2000000</v>
      </c>
      <c r="E232" s="1">
        <v>27211504</v>
      </c>
      <c r="F232" s="1" t="s">
        <v>203</v>
      </c>
      <c r="G232" s="1" t="s">
        <v>9</v>
      </c>
    </row>
    <row r="233" spans="1:8" ht="14.25" customHeight="1" x14ac:dyDescent="0.25">
      <c r="A233" s="3">
        <v>45491</v>
      </c>
      <c r="B233" s="1">
        <v>2024001160</v>
      </c>
      <c r="C233" s="1" t="s">
        <v>14</v>
      </c>
      <c r="D233" s="5">
        <v>4825600</v>
      </c>
      <c r="E233" s="1">
        <v>1085338534</v>
      </c>
      <c r="F233" s="1" t="s">
        <v>15</v>
      </c>
      <c r="G233" s="1" t="s">
        <v>9</v>
      </c>
    </row>
    <row r="234" spans="1:8" ht="14.25" customHeight="1" x14ac:dyDescent="0.25">
      <c r="A234" s="3">
        <v>45491</v>
      </c>
      <c r="B234" s="1">
        <v>2024001161</v>
      </c>
      <c r="C234" s="1" t="s">
        <v>180</v>
      </c>
      <c r="D234" s="5">
        <v>2000000</v>
      </c>
      <c r="E234" s="1">
        <v>59828916</v>
      </c>
      <c r="F234" s="1" t="s">
        <v>181</v>
      </c>
      <c r="G234" s="1" t="s">
        <v>9</v>
      </c>
    </row>
    <row r="235" spans="1:8" ht="14.25" customHeight="1" x14ac:dyDescent="0.25">
      <c r="A235" s="3">
        <v>45492</v>
      </c>
      <c r="B235" s="1">
        <v>2024001163</v>
      </c>
      <c r="C235" s="1" t="s">
        <v>350</v>
      </c>
      <c r="D235" s="5">
        <v>4750000</v>
      </c>
      <c r="E235" s="1">
        <v>1233192618</v>
      </c>
      <c r="F235" s="1" t="s">
        <v>351</v>
      </c>
      <c r="G235" s="1" t="s">
        <v>9</v>
      </c>
    </row>
    <row r="236" spans="1:8" ht="14.25" customHeight="1" x14ac:dyDescent="0.25">
      <c r="A236" s="3">
        <v>45495</v>
      </c>
      <c r="B236" s="1">
        <v>2024001167</v>
      </c>
      <c r="C236" s="1" t="s">
        <v>390</v>
      </c>
      <c r="D236" s="5">
        <v>4750000</v>
      </c>
      <c r="E236" s="1">
        <v>36953206</v>
      </c>
      <c r="F236" s="1" t="s">
        <v>391</v>
      </c>
      <c r="G236" s="1" t="s">
        <v>9</v>
      </c>
    </row>
    <row r="237" spans="1:8" ht="14.25" customHeight="1" x14ac:dyDescent="0.25">
      <c r="A237" s="3">
        <v>45495</v>
      </c>
      <c r="B237" s="1">
        <v>2024001168</v>
      </c>
      <c r="C237" s="1" t="s">
        <v>378</v>
      </c>
      <c r="D237" s="5">
        <v>7500000</v>
      </c>
      <c r="E237" s="1">
        <v>1085332934</v>
      </c>
      <c r="F237" s="1" t="s">
        <v>379</v>
      </c>
      <c r="G237" s="1" t="s">
        <v>9</v>
      </c>
    </row>
    <row r="238" spans="1:8" ht="14.25" customHeight="1" x14ac:dyDescent="0.25">
      <c r="A238" s="3">
        <v>45495</v>
      </c>
      <c r="B238" s="1">
        <v>2024001169</v>
      </c>
      <c r="C238" s="1" t="s">
        <v>218</v>
      </c>
      <c r="D238" s="5">
        <v>2000000</v>
      </c>
      <c r="E238" s="1">
        <v>1010113730</v>
      </c>
      <c r="F238" s="1" t="s">
        <v>219</v>
      </c>
      <c r="G238" s="1" t="s">
        <v>9</v>
      </c>
    </row>
    <row r="239" spans="1:8" ht="14.25" customHeight="1" x14ac:dyDescent="0.25">
      <c r="A239" s="3">
        <v>45495</v>
      </c>
      <c r="B239" s="1">
        <v>2024001170</v>
      </c>
      <c r="C239" s="1" t="s">
        <v>212</v>
      </c>
      <c r="D239" s="5">
        <v>2000000</v>
      </c>
      <c r="E239" s="1">
        <v>5930737</v>
      </c>
      <c r="F239" s="1" t="s">
        <v>213</v>
      </c>
      <c r="G239" s="1" t="s">
        <v>9</v>
      </c>
    </row>
    <row r="240" spans="1:8" ht="14.25" customHeight="1" x14ac:dyDescent="0.25">
      <c r="A240" s="3">
        <v>45495</v>
      </c>
      <c r="B240" s="1">
        <v>2024001171</v>
      </c>
      <c r="C240" s="1" t="s">
        <v>240</v>
      </c>
      <c r="D240" s="5">
        <v>4825600</v>
      </c>
      <c r="E240" s="1">
        <v>1085289739</v>
      </c>
      <c r="F240" s="1" t="s">
        <v>241</v>
      </c>
      <c r="G240" s="1" t="s">
        <v>9</v>
      </c>
    </row>
    <row r="241" spans="1:7" ht="14.25" customHeight="1" x14ac:dyDescent="0.25">
      <c r="A241" s="3">
        <v>45496</v>
      </c>
      <c r="B241" s="1">
        <v>2024001177</v>
      </c>
      <c r="C241" s="1" t="s">
        <v>320</v>
      </c>
      <c r="D241" s="5">
        <v>2000000</v>
      </c>
      <c r="E241" s="1">
        <v>1085347540</v>
      </c>
      <c r="F241" s="1" t="s">
        <v>321</v>
      </c>
      <c r="G241" s="1" t="s">
        <v>9</v>
      </c>
    </row>
    <row r="242" spans="1:7" ht="14.25" customHeight="1" x14ac:dyDescent="0.25">
      <c r="A242" s="3">
        <v>45496</v>
      </c>
      <c r="B242" s="1">
        <v>2024001178</v>
      </c>
      <c r="C242" s="1" t="s">
        <v>358</v>
      </c>
      <c r="D242" s="5">
        <v>7500000</v>
      </c>
      <c r="E242" s="1">
        <v>1085345430</v>
      </c>
      <c r="F242" s="1" t="s">
        <v>359</v>
      </c>
      <c r="G242" s="1" t="s">
        <v>9</v>
      </c>
    </row>
    <row r="243" spans="1:7" ht="14.25" customHeight="1" x14ac:dyDescent="0.25">
      <c r="A243" s="3">
        <v>45496</v>
      </c>
      <c r="B243" s="1">
        <v>2024001179</v>
      </c>
      <c r="C243" s="1" t="s">
        <v>242</v>
      </c>
      <c r="D243" s="5">
        <v>2000000</v>
      </c>
      <c r="E243" s="1">
        <v>1137624011</v>
      </c>
      <c r="F243" s="1" t="s">
        <v>243</v>
      </c>
      <c r="G243" s="1" t="s">
        <v>9</v>
      </c>
    </row>
    <row r="244" spans="1:7" ht="14.25" customHeight="1" x14ac:dyDescent="0.25">
      <c r="A244" s="3">
        <v>45496</v>
      </c>
      <c r="B244" s="1">
        <v>2024001184</v>
      </c>
      <c r="C244" s="1" t="s">
        <v>392</v>
      </c>
      <c r="D244" s="5">
        <v>7500000</v>
      </c>
      <c r="E244" s="1">
        <v>1085320661</v>
      </c>
      <c r="F244" s="1" t="s">
        <v>393</v>
      </c>
      <c r="G244" s="1" t="s">
        <v>9</v>
      </c>
    </row>
    <row r="245" spans="1:7" ht="14.25" customHeight="1" x14ac:dyDescent="0.25">
      <c r="A245" s="3">
        <v>45496</v>
      </c>
      <c r="B245" s="1">
        <v>2024001186</v>
      </c>
      <c r="C245" s="1" t="s">
        <v>296</v>
      </c>
      <c r="D245" s="5">
        <v>2000000</v>
      </c>
      <c r="E245" s="1">
        <v>59830040</v>
      </c>
      <c r="F245" s="1" t="s">
        <v>297</v>
      </c>
      <c r="G245" s="1" t="s">
        <v>9</v>
      </c>
    </row>
    <row r="246" spans="1:7" ht="14.25" customHeight="1" x14ac:dyDescent="0.25">
      <c r="A246" s="3">
        <v>45497</v>
      </c>
      <c r="B246" s="1">
        <v>2024001193</v>
      </c>
      <c r="C246" s="1" t="s">
        <v>416</v>
      </c>
      <c r="D246" s="5">
        <v>2000000</v>
      </c>
      <c r="E246" s="1">
        <v>1085302942</v>
      </c>
      <c r="F246" s="1" t="s">
        <v>417</v>
      </c>
      <c r="G246" s="1" t="s">
        <v>9</v>
      </c>
    </row>
    <row r="247" spans="1:7" ht="14.25" customHeight="1" x14ac:dyDescent="0.25">
      <c r="A247" s="3">
        <v>45497</v>
      </c>
      <c r="B247" s="1">
        <v>2024001194</v>
      </c>
      <c r="C247" s="1" t="s">
        <v>396</v>
      </c>
      <c r="D247" s="5">
        <v>2000000</v>
      </c>
      <c r="E247" s="1">
        <v>1004635031</v>
      </c>
      <c r="F247" s="1" t="s">
        <v>397</v>
      </c>
      <c r="G247" s="1" t="s">
        <v>9</v>
      </c>
    </row>
    <row r="248" spans="1:7" ht="14.25" customHeight="1" x14ac:dyDescent="0.25">
      <c r="A248" s="3">
        <v>45497</v>
      </c>
      <c r="B248" s="1">
        <v>2024001195</v>
      </c>
      <c r="C248" s="1" t="s">
        <v>246</v>
      </c>
      <c r="D248" s="5">
        <v>4825600</v>
      </c>
      <c r="E248" s="1">
        <v>1085267184</v>
      </c>
      <c r="F248" s="1" t="s">
        <v>247</v>
      </c>
      <c r="G248" s="1" t="s">
        <v>9</v>
      </c>
    </row>
    <row r="249" spans="1:7" ht="14.25" customHeight="1" x14ac:dyDescent="0.25">
      <c r="A249" s="3">
        <v>45498</v>
      </c>
      <c r="B249" s="1">
        <v>2024001210</v>
      </c>
      <c r="C249" s="1" t="s">
        <v>262</v>
      </c>
      <c r="D249" s="5">
        <v>2000000</v>
      </c>
      <c r="E249" s="1">
        <v>36752202</v>
      </c>
      <c r="F249" s="1" t="s">
        <v>263</v>
      </c>
      <c r="G249" s="1" t="s">
        <v>9</v>
      </c>
    </row>
    <row r="250" spans="1:7" ht="14.25" customHeight="1" x14ac:dyDescent="0.25">
      <c r="A250" s="3">
        <v>45502</v>
      </c>
      <c r="B250" s="1">
        <v>2024001279</v>
      </c>
      <c r="C250" s="1" t="s">
        <v>376</v>
      </c>
      <c r="D250" s="5">
        <v>4825600</v>
      </c>
      <c r="E250" s="1">
        <v>37082349</v>
      </c>
      <c r="F250" s="1" t="s">
        <v>377</v>
      </c>
      <c r="G250" s="1" t="s">
        <v>9</v>
      </c>
    </row>
    <row r="251" spans="1:7" ht="14.25" customHeight="1" x14ac:dyDescent="0.25">
      <c r="A251" s="3">
        <v>45502</v>
      </c>
      <c r="B251" s="1">
        <v>2024001280</v>
      </c>
      <c r="C251" s="1" t="s">
        <v>428</v>
      </c>
      <c r="D251" s="5">
        <v>4750000</v>
      </c>
      <c r="E251" s="1">
        <v>1085260497</v>
      </c>
      <c r="F251" s="1" t="s">
        <v>429</v>
      </c>
      <c r="G251" s="1" t="s">
        <v>9</v>
      </c>
    </row>
    <row r="252" spans="1:7" ht="14.25" customHeight="1" x14ac:dyDescent="0.25">
      <c r="A252" s="3">
        <v>45502</v>
      </c>
      <c r="B252" s="1">
        <v>2024001281</v>
      </c>
      <c r="C252" s="1" t="s">
        <v>386</v>
      </c>
      <c r="D252" s="5">
        <v>2000000</v>
      </c>
      <c r="E252" s="1">
        <v>1030606749</v>
      </c>
      <c r="F252" s="1" t="s">
        <v>387</v>
      </c>
      <c r="G252" s="1" t="s">
        <v>9</v>
      </c>
    </row>
    <row r="253" spans="1:7" ht="14.25" customHeight="1" x14ac:dyDescent="0.25">
      <c r="A253" s="3">
        <v>45502</v>
      </c>
      <c r="B253" s="1">
        <v>2024001282</v>
      </c>
      <c r="C253" s="1" t="s">
        <v>414</v>
      </c>
      <c r="D253" s="5">
        <v>4750000</v>
      </c>
      <c r="E253" s="1">
        <v>59816986</v>
      </c>
      <c r="F253" s="1" t="s">
        <v>415</v>
      </c>
      <c r="G253" s="1" t="s">
        <v>9</v>
      </c>
    </row>
    <row r="254" spans="1:7" ht="14.25" customHeight="1" x14ac:dyDescent="0.25">
      <c r="A254" s="3">
        <v>45502</v>
      </c>
      <c r="B254" s="1">
        <v>2024001283</v>
      </c>
      <c r="C254" s="1" t="s">
        <v>352</v>
      </c>
      <c r="D254" s="5">
        <v>2000000</v>
      </c>
      <c r="E254" s="1">
        <v>1081592303</v>
      </c>
      <c r="F254" s="1" t="s">
        <v>353</v>
      </c>
      <c r="G254" s="1" t="s">
        <v>9</v>
      </c>
    </row>
    <row r="255" spans="1:7" ht="14.25" customHeight="1" x14ac:dyDescent="0.25">
      <c r="A255" s="3">
        <v>45502</v>
      </c>
      <c r="B255" s="1">
        <v>2024001284</v>
      </c>
      <c r="C255" s="1" t="s">
        <v>24</v>
      </c>
      <c r="D255" s="5">
        <v>6000000</v>
      </c>
      <c r="E255" s="1">
        <v>37013610</v>
      </c>
      <c r="F255" s="1" t="s">
        <v>25</v>
      </c>
      <c r="G255" s="1" t="s">
        <v>9</v>
      </c>
    </row>
    <row r="256" spans="1:7" ht="14.25" customHeight="1" x14ac:dyDescent="0.25">
      <c r="A256" s="3">
        <v>45502</v>
      </c>
      <c r="B256" s="1">
        <v>2024001285</v>
      </c>
      <c r="C256" s="1" t="s">
        <v>102</v>
      </c>
      <c r="D256" s="5">
        <v>2000000</v>
      </c>
      <c r="E256" s="1">
        <v>59813323</v>
      </c>
      <c r="F256" s="1" t="s">
        <v>103</v>
      </c>
      <c r="G256" s="1" t="s">
        <v>9</v>
      </c>
    </row>
    <row r="257" spans="1:7" ht="14.25" customHeight="1" x14ac:dyDescent="0.25">
      <c r="A257" s="3">
        <v>45502</v>
      </c>
      <c r="B257" s="1">
        <v>2024001286</v>
      </c>
      <c r="C257" s="1" t="s">
        <v>360</v>
      </c>
      <c r="D257" s="5">
        <v>7500000</v>
      </c>
      <c r="E257" s="1">
        <v>7603662</v>
      </c>
      <c r="F257" s="1" t="s">
        <v>361</v>
      </c>
      <c r="G257" s="1" t="s">
        <v>9</v>
      </c>
    </row>
    <row r="258" spans="1:7" ht="14.25" customHeight="1" x14ac:dyDescent="0.25">
      <c r="A258" s="3">
        <v>45502</v>
      </c>
      <c r="B258" s="1">
        <v>2024001288</v>
      </c>
      <c r="C258" s="1" t="s">
        <v>366</v>
      </c>
      <c r="D258" s="5">
        <v>2000000</v>
      </c>
      <c r="E258" s="1">
        <v>1004508436</v>
      </c>
      <c r="F258" s="1" t="s">
        <v>367</v>
      </c>
      <c r="G258" s="1" t="s">
        <v>9</v>
      </c>
    </row>
    <row r="259" spans="1:7" ht="14.25" customHeight="1" x14ac:dyDescent="0.25">
      <c r="A259" s="3">
        <v>45502</v>
      </c>
      <c r="B259" s="1">
        <v>2024001289</v>
      </c>
      <c r="C259" s="1" t="s">
        <v>96</v>
      </c>
      <c r="D259" s="5">
        <v>2000000</v>
      </c>
      <c r="E259" s="1">
        <v>59178610</v>
      </c>
      <c r="F259" s="1" t="s">
        <v>97</v>
      </c>
      <c r="G259" s="1" t="s">
        <v>9</v>
      </c>
    </row>
    <row r="260" spans="1:7" ht="14.25" customHeight="1" x14ac:dyDescent="0.25">
      <c r="A260" s="3">
        <v>45502</v>
      </c>
      <c r="B260" s="1">
        <v>2024001290</v>
      </c>
      <c r="C260" s="1" t="s">
        <v>10</v>
      </c>
      <c r="D260" s="5">
        <v>2000000</v>
      </c>
      <c r="E260" s="1">
        <v>1085317833</v>
      </c>
      <c r="F260" s="1" t="s">
        <v>11</v>
      </c>
      <c r="G260" s="1" t="s">
        <v>9</v>
      </c>
    </row>
    <row r="261" spans="1:7" ht="14.25" customHeight="1" x14ac:dyDescent="0.25">
      <c r="A261" s="3">
        <v>45502</v>
      </c>
      <c r="B261" s="1">
        <v>2024001291</v>
      </c>
      <c r="C261" s="1" t="s">
        <v>336</v>
      </c>
      <c r="D261" s="5">
        <v>6000000</v>
      </c>
      <c r="E261" s="1">
        <v>1010010954</v>
      </c>
      <c r="F261" s="1" t="s">
        <v>337</v>
      </c>
      <c r="G261" s="1" t="s">
        <v>9</v>
      </c>
    </row>
    <row r="262" spans="1:7" ht="14.25" customHeight="1" x14ac:dyDescent="0.25">
      <c r="A262" s="3">
        <v>45502</v>
      </c>
      <c r="B262" s="1">
        <v>2024001292</v>
      </c>
      <c r="C262" s="1" t="s">
        <v>380</v>
      </c>
      <c r="D262" s="5">
        <v>2000000</v>
      </c>
      <c r="E262" s="1">
        <v>1085324107</v>
      </c>
      <c r="F262" s="1" t="s">
        <v>381</v>
      </c>
      <c r="G262" s="1" t="s">
        <v>9</v>
      </c>
    </row>
    <row r="263" spans="1:7" ht="14.25" customHeight="1" x14ac:dyDescent="0.25">
      <c r="A263" s="3">
        <v>45502</v>
      </c>
      <c r="B263" s="1">
        <v>2024001293</v>
      </c>
      <c r="C263" s="1" t="s">
        <v>380</v>
      </c>
      <c r="D263" s="5">
        <v>2000000</v>
      </c>
      <c r="E263" s="1">
        <v>1085324107</v>
      </c>
      <c r="F263" s="1" t="s">
        <v>381</v>
      </c>
      <c r="G263" s="1" t="s">
        <v>9</v>
      </c>
    </row>
    <row r="264" spans="1:7" ht="14.25" customHeight="1" x14ac:dyDescent="0.25">
      <c r="A264" s="3">
        <v>45503</v>
      </c>
      <c r="B264" s="1">
        <v>2024001301</v>
      </c>
      <c r="C264" s="1" t="s">
        <v>420</v>
      </c>
      <c r="D264" s="5">
        <v>7500000</v>
      </c>
      <c r="E264" s="1">
        <v>1088599676</v>
      </c>
      <c r="F264" s="1" t="s">
        <v>421</v>
      </c>
      <c r="G264" s="1" t="s">
        <v>9</v>
      </c>
    </row>
    <row r="265" spans="1:7" ht="14.25" customHeight="1" x14ac:dyDescent="0.25">
      <c r="A265" s="3">
        <v>45503</v>
      </c>
      <c r="B265" s="1">
        <v>2024001302</v>
      </c>
      <c r="C265" s="1" t="s">
        <v>408</v>
      </c>
      <c r="D265" s="5">
        <v>2000000</v>
      </c>
      <c r="E265" s="1">
        <v>1193224810</v>
      </c>
      <c r="F265" s="1" t="s">
        <v>409</v>
      </c>
      <c r="G265" s="1" t="s">
        <v>9</v>
      </c>
    </row>
    <row r="266" spans="1:7" ht="14.25" customHeight="1" x14ac:dyDescent="0.25">
      <c r="A266" s="3">
        <v>45503</v>
      </c>
      <c r="B266" s="1">
        <v>2024001303</v>
      </c>
      <c r="C266" s="1" t="s">
        <v>294</v>
      </c>
      <c r="D266" s="5">
        <v>4825600</v>
      </c>
      <c r="E266" s="1">
        <v>1088730712</v>
      </c>
      <c r="F266" s="1" t="s">
        <v>295</v>
      </c>
      <c r="G266" s="1" t="s">
        <v>9</v>
      </c>
    </row>
    <row r="267" spans="1:7" ht="14.25" customHeight="1" x14ac:dyDescent="0.25">
      <c r="A267" s="3">
        <v>45503</v>
      </c>
      <c r="B267" s="1">
        <v>2024001304</v>
      </c>
      <c r="C267" s="1" t="s">
        <v>298</v>
      </c>
      <c r="D267" s="5">
        <v>4825600</v>
      </c>
      <c r="E267" s="1">
        <v>12983807</v>
      </c>
      <c r="F267" s="1" t="s">
        <v>299</v>
      </c>
      <c r="G267" s="1" t="s">
        <v>9</v>
      </c>
    </row>
    <row r="268" spans="1:7" ht="14.25" customHeight="1" x14ac:dyDescent="0.25">
      <c r="A268" s="3">
        <v>45503</v>
      </c>
      <c r="B268" s="1">
        <v>2024001305</v>
      </c>
      <c r="C268" s="1" t="s">
        <v>348</v>
      </c>
      <c r="D268" s="5">
        <v>2000000</v>
      </c>
      <c r="E268" s="1">
        <v>27285974</v>
      </c>
      <c r="F268" s="1" t="s">
        <v>349</v>
      </c>
      <c r="G268" s="1" t="s">
        <v>9</v>
      </c>
    </row>
    <row r="269" spans="1:7" ht="14.25" customHeight="1" x14ac:dyDescent="0.25">
      <c r="A269" s="3">
        <v>45503</v>
      </c>
      <c r="B269" s="1">
        <v>2024001306</v>
      </c>
      <c r="C269" s="1" t="s">
        <v>426</v>
      </c>
      <c r="D269" s="5">
        <v>2000000</v>
      </c>
      <c r="E269" s="1">
        <v>1085318688</v>
      </c>
      <c r="F269" s="1" t="s">
        <v>427</v>
      </c>
      <c r="G269" s="1" t="s">
        <v>9</v>
      </c>
    </row>
    <row r="270" spans="1:7" ht="14.25" customHeight="1" x14ac:dyDescent="0.25">
      <c r="A270" s="3">
        <v>45504</v>
      </c>
      <c r="B270" s="1">
        <v>2024001307</v>
      </c>
      <c r="C270" s="1" t="s">
        <v>244</v>
      </c>
      <c r="D270" s="5">
        <v>4825600</v>
      </c>
      <c r="E270" s="1">
        <v>30732782</v>
      </c>
      <c r="F270" s="1" t="s">
        <v>245</v>
      </c>
      <c r="G270" s="1" t="s">
        <v>9</v>
      </c>
    </row>
    <row r="271" spans="1:7" ht="14.25" customHeight="1" x14ac:dyDescent="0.25">
      <c r="A271" s="3">
        <v>45504</v>
      </c>
      <c r="B271" s="1">
        <v>2024001308</v>
      </c>
      <c r="C271" s="1" t="s">
        <v>418</v>
      </c>
      <c r="D271" s="5">
        <v>2000000</v>
      </c>
      <c r="E271" s="1">
        <v>1085260568</v>
      </c>
      <c r="F271" s="1" t="s">
        <v>419</v>
      </c>
      <c r="G271" s="1" t="s">
        <v>9</v>
      </c>
    </row>
    <row r="272" spans="1:7" ht="14.25" customHeight="1" x14ac:dyDescent="0.25">
      <c r="A272" s="3">
        <v>45504</v>
      </c>
      <c r="B272" s="1">
        <v>2024001309</v>
      </c>
      <c r="C272" s="1" t="s">
        <v>402</v>
      </c>
      <c r="D272" s="5">
        <v>2000000</v>
      </c>
      <c r="E272" s="1">
        <v>1004410201</v>
      </c>
      <c r="F272" s="1" t="s">
        <v>403</v>
      </c>
      <c r="G272" s="1" t="s">
        <v>9</v>
      </c>
    </row>
    <row r="273" spans="1:7" ht="14.25" customHeight="1" x14ac:dyDescent="0.25">
      <c r="A273" s="3">
        <v>45504</v>
      </c>
      <c r="B273" s="1">
        <v>2024001310</v>
      </c>
      <c r="C273" s="1" t="s">
        <v>404</v>
      </c>
      <c r="D273" s="5">
        <v>2000000</v>
      </c>
      <c r="E273" s="1">
        <v>1085288636</v>
      </c>
      <c r="F273" s="1" t="s">
        <v>405</v>
      </c>
      <c r="G273" s="1" t="s">
        <v>9</v>
      </c>
    </row>
    <row r="274" spans="1:7" ht="14.25" customHeight="1" x14ac:dyDescent="0.25">
      <c r="A274" s="3">
        <v>45504</v>
      </c>
      <c r="B274" s="1">
        <v>2024001311</v>
      </c>
      <c r="C274" s="1" t="s">
        <v>394</v>
      </c>
      <c r="D274" s="5">
        <v>2000000</v>
      </c>
      <c r="E274" s="1">
        <v>59837416</v>
      </c>
      <c r="F274" s="1" t="s">
        <v>395</v>
      </c>
      <c r="G274" s="1" t="s">
        <v>9</v>
      </c>
    </row>
    <row r="275" spans="1:7" ht="14.25" customHeight="1" x14ac:dyDescent="0.25">
      <c r="A275" s="3">
        <v>45504</v>
      </c>
      <c r="B275" s="1">
        <v>2024001315</v>
      </c>
      <c r="C275" s="1" t="s">
        <v>364</v>
      </c>
      <c r="D275" s="5">
        <v>2000000</v>
      </c>
      <c r="E275" s="1">
        <v>1004726758</v>
      </c>
      <c r="F275" s="1" t="s">
        <v>365</v>
      </c>
      <c r="G275" s="1" t="s">
        <v>9</v>
      </c>
    </row>
    <row r="276" spans="1:7" ht="14.25" customHeight="1" x14ac:dyDescent="0.25">
      <c r="A276" s="3">
        <v>45504</v>
      </c>
      <c r="B276" s="1">
        <v>2024001316</v>
      </c>
      <c r="C276" s="1" t="s">
        <v>342</v>
      </c>
      <c r="D276" s="5">
        <v>6000000</v>
      </c>
      <c r="E276" s="1">
        <v>36954410</v>
      </c>
      <c r="F276" s="1" t="s">
        <v>343</v>
      </c>
      <c r="G276" s="1" t="s">
        <v>9</v>
      </c>
    </row>
    <row r="277" spans="1:7" ht="14.25" customHeight="1" x14ac:dyDescent="0.25">
      <c r="A277" s="3">
        <v>45504</v>
      </c>
      <c r="B277" s="1">
        <v>2024001317</v>
      </c>
      <c r="C277" s="1" t="s">
        <v>354</v>
      </c>
      <c r="D277" s="5">
        <v>4750000</v>
      </c>
      <c r="E277" s="1">
        <v>1085318684</v>
      </c>
      <c r="F277" s="1" t="s">
        <v>355</v>
      </c>
      <c r="G277" s="1" t="s">
        <v>9</v>
      </c>
    </row>
    <row r="278" spans="1:7" ht="14.25" customHeight="1" x14ac:dyDescent="0.25">
      <c r="A278" s="3">
        <v>45505</v>
      </c>
      <c r="B278" s="1">
        <v>2024001318</v>
      </c>
      <c r="C278" s="1" t="s">
        <v>24</v>
      </c>
      <c r="D278" s="5">
        <v>6000000</v>
      </c>
      <c r="E278" s="1">
        <v>37013610</v>
      </c>
      <c r="F278" s="1" t="s">
        <v>25</v>
      </c>
      <c r="G278" s="1" t="s">
        <v>9</v>
      </c>
    </row>
    <row r="279" spans="1:7" ht="14.25" customHeight="1" x14ac:dyDescent="0.25">
      <c r="A279" s="3">
        <v>45505</v>
      </c>
      <c r="B279" s="1">
        <v>2024001319</v>
      </c>
      <c r="C279" s="1" t="s">
        <v>26</v>
      </c>
      <c r="D279" s="5">
        <v>6000000</v>
      </c>
      <c r="E279" s="1">
        <v>1085292185</v>
      </c>
      <c r="F279" s="1" t="s">
        <v>27</v>
      </c>
      <c r="G279" s="1" t="s">
        <v>9</v>
      </c>
    </row>
    <row r="280" spans="1:7" ht="14.25" customHeight="1" x14ac:dyDescent="0.25">
      <c r="A280" s="3">
        <v>45505</v>
      </c>
      <c r="B280" s="1">
        <v>2024001321</v>
      </c>
      <c r="C280" s="1" t="s">
        <v>28</v>
      </c>
      <c r="D280" s="5">
        <v>4750000</v>
      </c>
      <c r="E280" s="1">
        <v>1085324546</v>
      </c>
      <c r="F280" s="1" t="s">
        <v>29</v>
      </c>
      <c r="G280" s="1" t="s">
        <v>9</v>
      </c>
    </row>
    <row r="281" spans="1:7" ht="14.25" customHeight="1" x14ac:dyDescent="0.25">
      <c r="A281" s="3">
        <v>45505</v>
      </c>
      <c r="B281" s="1">
        <v>2024001322</v>
      </c>
      <c r="C281" s="1" t="s">
        <v>30</v>
      </c>
      <c r="D281" s="5">
        <v>6000000</v>
      </c>
      <c r="E281" s="1">
        <v>1085253062</v>
      </c>
      <c r="F281" s="1" t="s">
        <v>31</v>
      </c>
      <c r="G281" s="1" t="s">
        <v>9</v>
      </c>
    </row>
    <row r="282" spans="1:7" ht="14.25" customHeight="1" x14ac:dyDescent="0.25">
      <c r="A282" s="3">
        <v>45505</v>
      </c>
      <c r="B282" s="1">
        <v>2024001323</v>
      </c>
      <c r="C282" s="1" t="s">
        <v>32</v>
      </c>
      <c r="D282" s="5">
        <v>2000000</v>
      </c>
      <c r="E282" s="1">
        <v>1085252263</v>
      </c>
      <c r="F282" s="1" t="s">
        <v>33</v>
      </c>
      <c r="G282" s="1" t="s">
        <v>9</v>
      </c>
    </row>
    <row r="283" spans="1:7" ht="14.25" customHeight="1" x14ac:dyDescent="0.25">
      <c r="A283" s="3">
        <v>45509</v>
      </c>
      <c r="B283" s="1">
        <v>2024001336</v>
      </c>
      <c r="C283" s="1" t="s">
        <v>34</v>
      </c>
      <c r="D283" s="5">
        <v>2000000</v>
      </c>
      <c r="E283" s="1">
        <v>1085331508</v>
      </c>
      <c r="F283" s="1" t="s">
        <v>35</v>
      </c>
      <c r="G283" s="1" t="s">
        <v>9</v>
      </c>
    </row>
    <row r="284" spans="1:7" ht="14.25" customHeight="1" x14ac:dyDescent="0.25">
      <c r="A284" s="3">
        <v>45509</v>
      </c>
      <c r="B284" s="1">
        <v>2024001337</v>
      </c>
      <c r="C284" s="1" t="s">
        <v>36</v>
      </c>
      <c r="D284" s="5">
        <v>2000000</v>
      </c>
      <c r="E284" s="1">
        <v>27087122</v>
      </c>
      <c r="F284" s="1" t="s">
        <v>37</v>
      </c>
      <c r="G284" s="1" t="s">
        <v>9</v>
      </c>
    </row>
    <row r="285" spans="1:7" ht="14.25" customHeight="1" x14ac:dyDescent="0.25">
      <c r="A285" s="3">
        <v>45509</v>
      </c>
      <c r="B285" s="1">
        <v>2024001338</v>
      </c>
      <c r="C285" s="1" t="s">
        <v>38</v>
      </c>
      <c r="D285" s="5">
        <v>2000000</v>
      </c>
      <c r="E285" s="1">
        <v>1193385397</v>
      </c>
      <c r="F285" s="1" t="s">
        <v>39</v>
      </c>
      <c r="G285" s="1" t="s">
        <v>9</v>
      </c>
    </row>
    <row r="286" spans="1:7" ht="14.25" customHeight="1" x14ac:dyDescent="0.25">
      <c r="A286" s="3">
        <v>45509</v>
      </c>
      <c r="B286" s="1">
        <v>2024001340</v>
      </c>
      <c r="C286" s="1" t="s">
        <v>40</v>
      </c>
      <c r="D286" s="5">
        <v>7500000</v>
      </c>
      <c r="E286" s="1">
        <v>1085336362</v>
      </c>
      <c r="F286" s="1" t="s">
        <v>41</v>
      </c>
      <c r="G286" s="1" t="s">
        <v>9</v>
      </c>
    </row>
    <row r="287" spans="1:7" ht="14.25" customHeight="1" x14ac:dyDescent="0.25">
      <c r="A287" s="3">
        <v>45509</v>
      </c>
      <c r="B287" s="1">
        <v>2024001341</v>
      </c>
      <c r="C287" s="1" t="s">
        <v>42</v>
      </c>
      <c r="D287" s="5">
        <v>7500000</v>
      </c>
      <c r="E287" s="1">
        <v>87065647</v>
      </c>
      <c r="F287" s="1" t="s">
        <v>43</v>
      </c>
      <c r="G287" s="1" t="s">
        <v>9</v>
      </c>
    </row>
    <row r="288" spans="1:7" ht="14.25" customHeight="1" x14ac:dyDescent="0.25">
      <c r="A288" s="3">
        <v>45509</v>
      </c>
      <c r="B288" s="1">
        <v>2024001342</v>
      </c>
      <c r="C288" s="1" t="s">
        <v>44</v>
      </c>
      <c r="D288" s="5">
        <v>2000000</v>
      </c>
      <c r="E288" s="1">
        <v>1007356378</v>
      </c>
      <c r="F288" s="1" t="s">
        <v>45</v>
      </c>
      <c r="G288" s="1" t="s">
        <v>9</v>
      </c>
    </row>
    <row r="289" spans="1:7" ht="14.25" customHeight="1" x14ac:dyDescent="0.25">
      <c r="A289" s="3">
        <v>45509</v>
      </c>
      <c r="B289" s="1">
        <v>2024001343</v>
      </c>
      <c r="C289" s="1" t="s">
        <v>46</v>
      </c>
      <c r="D289" s="5">
        <v>4750000</v>
      </c>
      <c r="E289" s="1">
        <v>1087414586</v>
      </c>
      <c r="F289" s="1" t="s">
        <v>47</v>
      </c>
      <c r="G289" s="1" t="s">
        <v>9</v>
      </c>
    </row>
    <row r="290" spans="1:7" ht="14.25" customHeight="1" x14ac:dyDescent="0.25">
      <c r="A290" s="3">
        <v>45509</v>
      </c>
      <c r="B290" s="1">
        <v>2024001344</v>
      </c>
      <c r="C290" s="1" t="s">
        <v>48</v>
      </c>
      <c r="D290" s="5">
        <v>6000000</v>
      </c>
      <c r="E290" s="1">
        <v>27097289</v>
      </c>
      <c r="F290" s="1" t="s">
        <v>49</v>
      </c>
      <c r="G290" s="1" t="s">
        <v>9</v>
      </c>
    </row>
    <row r="291" spans="1:7" ht="14.25" customHeight="1" x14ac:dyDescent="0.25">
      <c r="A291" s="3">
        <v>45509</v>
      </c>
      <c r="B291" s="1">
        <v>2024001345</v>
      </c>
      <c r="C291" s="1" t="s">
        <v>50</v>
      </c>
      <c r="D291" s="5">
        <v>2000000</v>
      </c>
      <c r="E291" s="1">
        <v>12974849</v>
      </c>
      <c r="F291" s="1" t="s">
        <v>51</v>
      </c>
      <c r="G291" s="1" t="s">
        <v>9</v>
      </c>
    </row>
    <row r="292" spans="1:7" ht="14.25" customHeight="1" x14ac:dyDescent="0.25">
      <c r="A292" s="3">
        <v>45509</v>
      </c>
      <c r="B292" s="1">
        <v>2024001346</v>
      </c>
      <c r="C292" s="1" t="s">
        <v>52</v>
      </c>
      <c r="D292" s="5">
        <v>4825600</v>
      </c>
      <c r="E292" s="1">
        <v>30733517</v>
      </c>
      <c r="F292" s="1" t="s">
        <v>53</v>
      </c>
      <c r="G292" s="1" t="s">
        <v>9</v>
      </c>
    </row>
    <row r="293" spans="1:7" ht="14.25" customHeight="1" x14ac:dyDescent="0.25">
      <c r="A293" s="3">
        <v>45509</v>
      </c>
      <c r="B293" s="1">
        <v>2024001347</v>
      </c>
      <c r="C293" s="1" t="s">
        <v>54</v>
      </c>
      <c r="D293" s="5">
        <v>6000000</v>
      </c>
      <c r="E293" s="1">
        <v>1085246134</v>
      </c>
      <c r="F293" s="1" t="s">
        <v>55</v>
      </c>
      <c r="G293" s="1" t="s">
        <v>9</v>
      </c>
    </row>
    <row r="294" spans="1:7" ht="14.25" customHeight="1" x14ac:dyDescent="0.25">
      <c r="A294" s="3">
        <v>45510</v>
      </c>
      <c r="B294" s="1">
        <v>2024001349</v>
      </c>
      <c r="C294" s="1" t="s">
        <v>56</v>
      </c>
      <c r="D294" s="5">
        <v>4825600</v>
      </c>
      <c r="E294" s="1">
        <v>1193385736</v>
      </c>
      <c r="F294" s="1" t="s">
        <v>57</v>
      </c>
      <c r="G294" s="1" t="s">
        <v>9</v>
      </c>
    </row>
    <row r="295" spans="1:7" ht="14.25" customHeight="1" x14ac:dyDescent="0.25">
      <c r="A295" s="3">
        <v>45510</v>
      </c>
      <c r="B295" s="1">
        <v>2024001357</v>
      </c>
      <c r="C295" s="1" t="s">
        <v>58</v>
      </c>
      <c r="D295" s="5">
        <v>2000000</v>
      </c>
      <c r="E295" s="1">
        <v>1081272025</v>
      </c>
      <c r="F295" s="1" t="s">
        <v>59</v>
      </c>
      <c r="G295" s="1" t="s">
        <v>9</v>
      </c>
    </row>
    <row r="296" spans="1:7" ht="14.25" customHeight="1" x14ac:dyDescent="0.25">
      <c r="A296" s="3">
        <v>45510</v>
      </c>
      <c r="B296" s="1">
        <v>2024001358</v>
      </c>
      <c r="C296" s="1" t="s">
        <v>60</v>
      </c>
      <c r="D296" s="5">
        <v>7500000</v>
      </c>
      <c r="E296" s="1">
        <v>1085321192</v>
      </c>
      <c r="F296" s="1" t="s">
        <v>61</v>
      </c>
      <c r="G296" s="1" t="s">
        <v>9</v>
      </c>
    </row>
    <row r="297" spans="1:7" ht="14.25" customHeight="1" x14ac:dyDescent="0.25">
      <c r="A297" s="3">
        <v>45510</v>
      </c>
      <c r="B297" s="1">
        <v>2024001360</v>
      </c>
      <c r="C297" s="1" t="s">
        <v>62</v>
      </c>
      <c r="D297" s="5">
        <v>7500000</v>
      </c>
      <c r="E297" s="1">
        <v>1006946167</v>
      </c>
      <c r="F297" s="1" t="s">
        <v>63</v>
      </c>
      <c r="G297" s="1" t="s">
        <v>9</v>
      </c>
    </row>
    <row r="298" spans="1:7" ht="14.25" customHeight="1" x14ac:dyDescent="0.25">
      <c r="A298" s="3">
        <v>45512</v>
      </c>
      <c r="B298" s="1">
        <v>2024001364</v>
      </c>
      <c r="C298" s="1" t="s">
        <v>64</v>
      </c>
      <c r="D298" s="5">
        <v>2000000</v>
      </c>
      <c r="E298" s="1">
        <v>59310524</v>
      </c>
      <c r="F298" s="1" t="s">
        <v>65</v>
      </c>
      <c r="G298" s="1" t="s">
        <v>9</v>
      </c>
    </row>
    <row r="299" spans="1:7" ht="14.25" customHeight="1" x14ac:dyDescent="0.25">
      <c r="A299" s="3">
        <v>45512</v>
      </c>
      <c r="B299" s="1">
        <v>2024001365</v>
      </c>
      <c r="C299" s="1" t="s">
        <v>66</v>
      </c>
      <c r="D299" s="5">
        <v>2000000</v>
      </c>
      <c r="E299" s="1">
        <v>1193265360</v>
      </c>
      <c r="F299" s="1" t="s">
        <v>67</v>
      </c>
      <c r="G299" s="1" t="s">
        <v>9</v>
      </c>
    </row>
    <row r="300" spans="1:7" ht="14.25" customHeight="1" x14ac:dyDescent="0.25">
      <c r="A300" s="3">
        <v>45512</v>
      </c>
      <c r="B300" s="1">
        <v>2024001366</v>
      </c>
      <c r="C300" s="1" t="s">
        <v>68</v>
      </c>
      <c r="D300" s="5">
        <v>7500000</v>
      </c>
      <c r="E300" s="1">
        <v>80765093</v>
      </c>
      <c r="F300" s="1" t="s">
        <v>69</v>
      </c>
      <c r="G300" s="1" t="s">
        <v>9</v>
      </c>
    </row>
    <row r="301" spans="1:7" ht="14.25" customHeight="1" x14ac:dyDescent="0.25">
      <c r="A301" s="3">
        <v>45512</v>
      </c>
      <c r="B301" s="1">
        <v>2024001367</v>
      </c>
      <c r="C301" s="1" t="s">
        <v>70</v>
      </c>
      <c r="D301" s="5">
        <v>2000000</v>
      </c>
      <c r="E301" s="1">
        <v>59314601</v>
      </c>
      <c r="F301" s="1" t="s">
        <v>71</v>
      </c>
      <c r="G301" s="1" t="s">
        <v>9</v>
      </c>
    </row>
    <row r="302" spans="1:7" ht="14.25" customHeight="1" x14ac:dyDescent="0.25">
      <c r="A302" s="3">
        <v>45512</v>
      </c>
      <c r="B302" s="1">
        <v>2024001368</v>
      </c>
      <c r="C302" s="1" t="s">
        <v>72</v>
      </c>
      <c r="D302" s="5">
        <v>2000000</v>
      </c>
      <c r="E302" s="1">
        <v>1085323101</v>
      </c>
      <c r="F302" s="1" t="s">
        <v>73</v>
      </c>
      <c r="G302" s="1" t="s">
        <v>9</v>
      </c>
    </row>
    <row r="303" spans="1:7" ht="14.25" customHeight="1" x14ac:dyDescent="0.25">
      <c r="A303" s="3">
        <v>45512</v>
      </c>
      <c r="B303" s="1">
        <v>2024001369</v>
      </c>
      <c r="C303" s="1" t="s">
        <v>74</v>
      </c>
      <c r="D303" s="5">
        <v>2000000</v>
      </c>
      <c r="E303" s="1">
        <v>1085286742</v>
      </c>
      <c r="F303" s="1" t="s">
        <v>75</v>
      </c>
      <c r="G303" s="1" t="s">
        <v>9</v>
      </c>
    </row>
    <row r="304" spans="1:7" ht="14.25" customHeight="1" x14ac:dyDescent="0.25">
      <c r="A304" s="3">
        <v>45512</v>
      </c>
      <c r="B304" s="1">
        <v>2024001370</v>
      </c>
      <c r="C304" s="1" t="s">
        <v>76</v>
      </c>
      <c r="D304" s="5">
        <v>2000000</v>
      </c>
      <c r="E304" s="1">
        <v>1086362994</v>
      </c>
      <c r="F304" s="1" t="s">
        <v>77</v>
      </c>
      <c r="G304" s="1" t="s">
        <v>9</v>
      </c>
    </row>
    <row r="305" spans="1:7" ht="14.25" customHeight="1" x14ac:dyDescent="0.25">
      <c r="A305" s="3">
        <v>45512</v>
      </c>
      <c r="B305" s="1">
        <v>2024001371</v>
      </c>
      <c r="C305" s="1" t="s">
        <v>78</v>
      </c>
      <c r="D305" s="5">
        <v>2000000</v>
      </c>
      <c r="E305" s="1">
        <v>1085326198</v>
      </c>
      <c r="F305" s="1" t="s">
        <v>79</v>
      </c>
      <c r="G305" s="1" t="s">
        <v>9</v>
      </c>
    </row>
    <row r="306" spans="1:7" ht="14.25" customHeight="1" x14ac:dyDescent="0.25">
      <c r="A306" s="3">
        <v>45512</v>
      </c>
      <c r="B306" s="1">
        <v>2024001372</v>
      </c>
      <c r="C306" s="1" t="s">
        <v>80</v>
      </c>
      <c r="D306" s="5">
        <v>2000000</v>
      </c>
      <c r="E306" s="1">
        <v>1088799034</v>
      </c>
      <c r="F306" s="1" t="s">
        <v>81</v>
      </c>
      <c r="G306" s="1" t="s">
        <v>9</v>
      </c>
    </row>
    <row r="307" spans="1:7" ht="14.25" customHeight="1" x14ac:dyDescent="0.25">
      <c r="A307" s="3">
        <v>45512</v>
      </c>
      <c r="B307" s="1">
        <v>2024001373</v>
      </c>
      <c r="C307" s="1" t="s">
        <v>82</v>
      </c>
      <c r="D307" s="5">
        <v>7500000</v>
      </c>
      <c r="E307" s="1">
        <v>1085329230</v>
      </c>
      <c r="F307" s="1" t="s">
        <v>83</v>
      </c>
      <c r="G307" s="1" t="s">
        <v>9</v>
      </c>
    </row>
    <row r="308" spans="1:7" ht="14.25" customHeight="1" x14ac:dyDescent="0.25">
      <c r="A308" s="3">
        <v>45512</v>
      </c>
      <c r="B308" s="1">
        <v>2024001374</v>
      </c>
      <c r="C308" s="1" t="s">
        <v>84</v>
      </c>
      <c r="D308" s="5">
        <v>2000000</v>
      </c>
      <c r="E308" s="1">
        <v>1085327701</v>
      </c>
      <c r="F308" s="1" t="s">
        <v>85</v>
      </c>
      <c r="G308" s="1" t="s">
        <v>9</v>
      </c>
    </row>
    <row r="309" spans="1:7" ht="14.25" customHeight="1" x14ac:dyDescent="0.25">
      <c r="A309" s="3">
        <v>45512</v>
      </c>
      <c r="B309" s="1">
        <v>2024001375</v>
      </c>
      <c r="C309" s="1" t="s">
        <v>86</v>
      </c>
      <c r="D309" s="5">
        <v>2000000</v>
      </c>
      <c r="E309" s="1">
        <v>1233189234</v>
      </c>
      <c r="F309" s="1" t="s">
        <v>87</v>
      </c>
      <c r="G309" s="1" t="s">
        <v>9</v>
      </c>
    </row>
    <row r="310" spans="1:7" ht="14.25" customHeight="1" x14ac:dyDescent="0.25">
      <c r="A310" s="3">
        <v>45512</v>
      </c>
      <c r="B310" s="1">
        <v>2024001376</v>
      </c>
      <c r="C310" s="1" t="s">
        <v>88</v>
      </c>
      <c r="D310" s="5">
        <v>6000000</v>
      </c>
      <c r="E310" s="1">
        <v>1085337232</v>
      </c>
      <c r="F310" s="1" t="s">
        <v>89</v>
      </c>
      <c r="G310" s="1" t="s">
        <v>9</v>
      </c>
    </row>
    <row r="311" spans="1:7" ht="14.25" customHeight="1" x14ac:dyDescent="0.25">
      <c r="A311" s="3">
        <v>45512</v>
      </c>
      <c r="B311" s="1">
        <v>2024001377</v>
      </c>
      <c r="C311" s="1" t="s">
        <v>90</v>
      </c>
      <c r="D311" s="5">
        <v>4750000</v>
      </c>
      <c r="E311" s="1">
        <v>1085263018</v>
      </c>
      <c r="F311" s="1" t="s">
        <v>91</v>
      </c>
      <c r="G311" s="1" t="s">
        <v>9</v>
      </c>
    </row>
    <row r="312" spans="1:7" ht="14.25" customHeight="1" x14ac:dyDescent="0.25">
      <c r="A312" s="3">
        <v>45512</v>
      </c>
      <c r="B312" s="1">
        <v>2024001378</v>
      </c>
      <c r="C312" s="1" t="s">
        <v>92</v>
      </c>
      <c r="D312" s="5">
        <v>4825600</v>
      </c>
      <c r="E312" s="1">
        <v>1085291221</v>
      </c>
      <c r="F312" s="1" t="s">
        <v>93</v>
      </c>
      <c r="G312" s="1" t="s">
        <v>9</v>
      </c>
    </row>
    <row r="313" spans="1:7" ht="14.25" customHeight="1" x14ac:dyDescent="0.25">
      <c r="A313" s="3">
        <v>45512</v>
      </c>
      <c r="B313" s="1">
        <v>2024001379</v>
      </c>
      <c r="C313" s="1" t="s">
        <v>94</v>
      </c>
      <c r="D313" s="5">
        <v>4750000</v>
      </c>
      <c r="E313" s="1">
        <v>1087413951</v>
      </c>
      <c r="F313" s="1" t="s">
        <v>95</v>
      </c>
      <c r="G313" s="1" t="s">
        <v>9</v>
      </c>
    </row>
    <row r="314" spans="1:7" ht="14.25" customHeight="1" x14ac:dyDescent="0.25">
      <c r="A314" s="3">
        <v>45512</v>
      </c>
      <c r="B314" s="1">
        <v>2024001380</v>
      </c>
      <c r="C314" s="1" t="s">
        <v>96</v>
      </c>
      <c r="D314" s="5">
        <v>2000000</v>
      </c>
      <c r="E314" s="1">
        <v>59178610</v>
      </c>
      <c r="F314" s="1" t="s">
        <v>97</v>
      </c>
      <c r="G314" s="1" t="s">
        <v>9</v>
      </c>
    </row>
    <row r="315" spans="1:7" ht="14.25" customHeight="1" x14ac:dyDescent="0.25">
      <c r="A315" s="3">
        <v>45513</v>
      </c>
      <c r="B315" s="1">
        <v>2024001392</v>
      </c>
      <c r="C315" s="1" t="s">
        <v>98</v>
      </c>
      <c r="D315" s="5">
        <v>4825600</v>
      </c>
      <c r="E315" s="1">
        <v>1085337969</v>
      </c>
      <c r="F315" s="1" t="s">
        <v>99</v>
      </c>
      <c r="G315" s="1" t="s">
        <v>9</v>
      </c>
    </row>
    <row r="316" spans="1:7" ht="14.25" customHeight="1" x14ac:dyDescent="0.25">
      <c r="A316" s="3">
        <v>45513</v>
      </c>
      <c r="B316" s="1">
        <v>2024001393</v>
      </c>
      <c r="C316" s="1" t="s">
        <v>100</v>
      </c>
      <c r="D316" s="5">
        <v>2000000</v>
      </c>
      <c r="E316" s="1">
        <v>13070330</v>
      </c>
      <c r="F316" s="1" t="s">
        <v>101</v>
      </c>
      <c r="G316" s="1" t="s">
        <v>9</v>
      </c>
    </row>
    <row r="317" spans="1:7" ht="14.25" customHeight="1" x14ac:dyDescent="0.25">
      <c r="A317" s="3">
        <v>45513</v>
      </c>
      <c r="B317" s="1">
        <v>2024001394</v>
      </c>
      <c r="C317" s="1" t="s">
        <v>102</v>
      </c>
      <c r="D317" s="5">
        <v>2000000</v>
      </c>
      <c r="E317" s="1">
        <v>59813323</v>
      </c>
      <c r="F317" s="1" t="s">
        <v>103</v>
      </c>
      <c r="G317" s="1" t="s">
        <v>9</v>
      </c>
    </row>
    <row r="318" spans="1:7" ht="14.25" customHeight="1" x14ac:dyDescent="0.25">
      <c r="A318" s="3">
        <v>45513</v>
      </c>
      <c r="B318" s="1">
        <v>2024001395</v>
      </c>
      <c r="C318" s="1" t="s">
        <v>104</v>
      </c>
      <c r="D318" s="5">
        <v>4750000</v>
      </c>
      <c r="E318" s="1">
        <v>1085303067</v>
      </c>
      <c r="F318" s="1" t="s">
        <v>105</v>
      </c>
      <c r="G318" s="1" t="s">
        <v>9</v>
      </c>
    </row>
    <row r="319" spans="1:7" ht="14.25" customHeight="1" x14ac:dyDescent="0.25">
      <c r="A319" s="3">
        <v>45513</v>
      </c>
      <c r="B319" s="1">
        <v>2024001396</v>
      </c>
      <c r="C319" s="1" t="s">
        <v>106</v>
      </c>
      <c r="D319" s="5">
        <v>2000000</v>
      </c>
      <c r="E319" s="1">
        <v>36758143</v>
      </c>
      <c r="F319" s="1" t="s">
        <v>107</v>
      </c>
      <c r="G319" s="1" t="s">
        <v>9</v>
      </c>
    </row>
    <row r="320" spans="1:7" ht="14.25" customHeight="1" x14ac:dyDescent="0.25">
      <c r="A320" s="3">
        <v>45513</v>
      </c>
      <c r="B320" s="1">
        <v>2024001397</v>
      </c>
      <c r="C320" s="1" t="s">
        <v>108</v>
      </c>
      <c r="D320" s="5">
        <v>2000000</v>
      </c>
      <c r="E320" s="1">
        <v>1004232508</v>
      </c>
      <c r="F320" s="1" t="s">
        <v>109</v>
      </c>
      <c r="G320" s="1" t="s">
        <v>9</v>
      </c>
    </row>
    <row r="321" spans="1:7" ht="14.25" customHeight="1" x14ac:dyDescent="0.25">
      <c r="A321" s="3">
        <v>45513</v>
      </c>
      <c r="B321" s="1">
        <v>2024001398</v>
      </c>
      <c r="C321" s="1" t="s">
        <v>110</v>
      </c>
      <c r="D321" s="5">
        <v>2000000</v>
      </c>
      <c r="E321" s="1">
        <v>1085286725</v>
      </c>
      <c r="F321" s="1" t="s">
        <v>111</v>
      </c>
      <c r="G321" s="1" t="s">
        <v>9</v>
      </c>
    </row>
    <row r="322" spans="1:7" ht="14.25" customHeight="1" x14ac:dyDescent="0.25">
      <c r="A322" s="3">
        <v>45513</v>
      </c>
      <c r="B322" s="1">
        <v>2024001399</v>
      </c>
      <c r="C322" s="1" t="s">
        <v>112</v>
      </c>
      <c r="D322" s="5">
        <v>6000000</v>
      </c>
      <c r="E322" s="1">
        <v>1004213964</v>
      </c>
      <c r="F322" s="1" t="s">
        <v>113</v>
      </c>
      <c r="G322" s="1" t="s">
        <v>9</v>
      </c>
    </row>
    <row r="323" spans="1:7" ht="14.25" customHeight="1" x14ac:dyDescent="0.25">
      <c r="A323" s="3">
        <v>45513</v>
      </c>
      <c r="B323" s="1">
        <v>2024001400</v>
      </c>
      <c r="C323" s="1" t="s">
        <v>114</v>
      </c>
      <c r="D323" s="5">
        <v>2000000</v>
      </c>
      <c r="E323" s="1">
        <v>1085266584</v>
      </c>
      <c r="F323" s="1" t="s">
        <v>115</v>
      </c>
      <c r="G323" s="1" t="s">
        <v>9</v>
      </c>
    </row>
    <row r="324" spans="1:7" ht="14.25" customHeight="1" x14ac:dyDescent="0.25">
      <c r="A324" s="3">
        <v>45513</v>
      </c>
      <c r="B324" s="1">
        <v>2024001401</v>
      </c>
      <c r="C324" s="1" t="s">
        <v>116</v>
      </c>
      <c r="D324" s="5">
        <v>6000000</v>
      </c>
      <c r="E324" s="1">
        <v>1085275879</v>
      </c>
      <c r="F324" s="1" t="s">
        <v>117</v>
      </c>
      <c r="G324" s="1" t="s">
        <v>9</v>
      </c>
    </row>
    <row r="325" spans="1:7" ht="14.25" customHeight="1" x14ac:dyDescent="0.25">
      <c r="A325" s="3">
        <v>45513</v>
      </c>
      <c r="B325" s="1">
        <v>2024001402</v>
      </c>
      <c r="C325" s="1" t="s">
        <v>118</v>
      </c>
      <c r="D325" s="5">
        <v>2000000</v>
      </c>
      <c r="E325" s="1">
        <v>37084285</v>
      </c>
      <c r="F325" s="1" t="s">
        <v>119</v>
      </c>
      <c r="G325" s="1" t="s">
        <v>9</v>
      </c>
    </row>
    <row r="326" spans="1:7" ht="14.25" customHeight="1" x14ac:dyDescent="0.25">
      <c r="A326" s="3">
        <v>45513</v>
      </c>
      <c r="B326" s="1">
        <v>2024001403</v>
      </c>
      <c r="C326" s="1" t="s">
        <v>120</v>
      </c>
      <c r="D326" s="5">
        <v>2000000</v>
      </c>
      <c r="E326" s="1">
        <v>59834953</v>
      </c>
      <c r="F326" s="1" t="s">
        <v>121</v>
      </c>
      <c r="G326" s="1" t="s">
        <v>9</v>
      </c>
    </row>
    <row r="327" spans="1:7" ht="14.25" customHeight="1" x14ac:dyDescent="0.25">
      <c r="A327" s="3">
        <v>45516</v>
      </c>
      <c r="B327" s="1">
        <v>2024001404</v>
      </c>
      <c r="C327" s="1" t="s">
        <v>122</v>
      </c>
      <c r="D327" s="5">
        <v>2000000</v>
      </c>
      <c r="E327" s="1">
        <v>1004592366</v>
      </c>
      <c r="F327" s="1" t="s">
        <v>123</v>
      </c>
      <c r="G327" s="1" t="s">
        <v>9</v>
      </c>
    </row>
    <row r="328" spans="1:7" ht="14.25" customHeight="1" x14ac:dyDescent="0.25">
      <c r="A328" s="3">
        <v>45516</v>
      </c>
      <c r="B328" s="1">
        <v>2024001405</v>
      </c>
      <c r="C328" s="1" t="s">
        <v>124</v>
      </c>
      <c r="D328" s="5">
        <v>6000000</v>
      </c>
      <c r="E328" s="1">
        <v>36951002</v>
      </c>
      <c r="F328" s="1" t="s">
        <v>125</v>
      </c>
      <c r="G328" s="1" t="s">
        <v>9</v>
      </c>
    </row>
    <row r="329" spans="1:7" ht="14.25" customHeight="1" x14ac:dyDescent="0.25">
      <c r="A329" s="3">
        <v>45516</v>
      </c>
      <c r="B329" s="1">
        <v>2024001406</v>
      </c>
      <c r="C329" s="1" t="s">
        <v>126</v>
      </c>
      <c r="D329" s="5">
        <v>4750000</v>
      </c>
      <c r="E329" s="1">
        <v>59312865</v>
      </c>
      <c r="F329" s="1" t="s">
        <v>127</v>
      </c>
      <c r="G329" s="1" t="s">
        <v>9</v>
      </c>
    </row>
    <row r="330" spans="1:7" ht="14.25" customHeight="1" x14ac:dyDescent="0.25">
      <c r="A330" s="3">
        <v>45516</v>
      </c>
      <c r="B330" s="1">
        <v>2024001407</v>
      </c>
      <c r="C330" s="1" t="s">
        <v>128</v>
      </c>
      <c r="D330" s="5">
        <v>4825600</v>
      </c>
      <c r="E330" s="1">
        <v>59310145</v>
      </c>
      <c r="F330" s="1" t="s">
        <v>129</v>
      </c>
      <c r="G330" s="1" t="s">
        <v>9</v>
      </c>
    </row>
    <row r="331" spans="1:7" ht="14.25" customHeight="1" x14ac:dyDescent="0.25">
      <c r="A331" s="3">
        <v>45516</v>
      </c>
      <c r="B331" s="1">
        <v>2024001408</v>
      </c>
      <c r="C331" s="1" t="s">
        <v>130</v>
      </c>
      <c r="D331" s="5">
        <v>4825600</v>
      </c>
      <c r="E331" s="1">
        <v>1087643211</v>
      </c>
      <c r="F331" s="1" t="s">
        <v>131</v>
      </c>
      <c r="G331" s="1" t="s">
        <v>9</v>
      </c>
    </row>
    <row r="332" spans="1:7" ht="14.25" customHeight="1" x14ac:dyDescent="0.25">
      <c r="A332" s="3">
        <v>45516</v>
      </c>
      <c r="B332" s="1">
        <v>2024001409</v>
      </c>
      <c r="C332" s="1" t="s">
        <v>132</v>
      </c>
      <c r="D332" s="5">
        <v>4825600</v>
      </c>
      <c r="E332" s="1">
        <v>87062845</v>
      </c>
      <c r="F332" s="1" t="s">
        <v>133</v>
      </c>
      <c r="G332" s="1" t="s">
        <v>9</v>
      </c>
    </row>
    <row r="333" spans="1:7" ht="14.25" customHeight="1" x14ac:dyDescent="0.25">
      <c r="A333" s="3">
        <v>45516</v>
      </c>
      <c r="B333" s="1">
        <v>2024001410</v>
      </c>
      <c r="C333" s="1" t="s">
        <v>134</v>
      </c>
      <c r="D333" s="5">
        <v>4750000</v>
      </c>
      <c r="E333" s="1">
        <v>59821282</v>
      </c>
      <c r="F333" s="1" t="s">
        <v>135</v>
      </c>
      <c r="G333" s="1" t="s">
        <v>9</v>
      </c>
    </row>
    <row r="334" spans="1:7" ht="14.25" customHeight="1" x14ac:dyDescent="0.25">
      <c r="A334" s="3">
        <v>45516</v>
      </c>
      <c r="B334" s="1">
        <v>2024001411</v>
      </c>
      <c r="C334" s="1" t="s">
        <v>136</v>
      </c>
      <c r="D334" s="5">
        <v>7500000</v>
      </c>
      <c r="E334" s="1">
        <v>1151934571</v>
      </c>
      <c r="F334" s="1" t="s">
        <v>137</v>
      </c>
      <c r="G334" s="1" t="s">
        <v>9</v>
      </c>
    </row>
    <row r="335" spans="1:7" ht="14.25" customHeight="1" x14ac:dyDescent="0.25">
      <c r="A335" s="3">
        <v>45516</v>
      </c>
      <c r="B335" s="1">
        <v>2024001412</v>
      </c>
      <c r="C335" s="1" t="s">
        <v>138</v>
      </c>
      <c r="D335" s="5">
        <v>2000000</v>
      </c>
      <c r="E335" s="1">
        <v>1085295383</v>
      </c>
      <c r="F335" s="1" t="s">
        <v>139</v>
      </c>
      <c r="G335" s="1" t="s">
        <v>9</v>
      </c>
    </row>
    <row r="336" spans="1:7" ht="14.25" customHeight="1" x14ac:dyDescent="0.25">
      <c r="A336" s="3">
        <v>45516</v>
      </c>
      <c r="B336" s="1">
        <v>2024001413</v>
      </c>
      <c r="C336" s="1" t="s">
        <v>140</v>
      </c>
      <c r="D336" s="5">
        <v>4825600</v>
      </c>
      <c r="E336" s="1">
        <v>59314451</v>
      </c>
      <c r="F336" s="1" t="s">
        <v>141</v>
      </c>
      <c r="G336" s="1" t="s">
        <v>9</v>
      </c>
    </row>
    <row r="337" spans="1:7" ht="14.25" customHeight="1" x14ac:dyDescent="0.25">
      <c r="A337" s="3">
        <v>45517</v>
      </c>
      <c r="B337" s="1">
        <v>2024001435</v>
      </c>
      <c r="C337" s="1" t="s">
        <v>164</v>
      </c>
      <c r="D337" s="14">
        <v>120050000</v>
      </c>
      <c r="E337" s="1">
        <v>900633448</v>
      </c>
      <c r="F337" s="1" t="s">
        <v>165</v>
      </c>
      <c r="G337" s="1" t="s">
        <v>9</v>
      </c>
    </row>
    <row r="338" spans="1:7" ht="14.25" customHeight="1" x14ac:dyDescent="0.25">
      <c r="A338" s="3">
        <v>45517</v>
      </c>
      <c r="B338" s="1">
        <v>2024001441</v>
      </c>
      <c r="C338" s="1" t="s">
        <v>142</v>
      </c>
      <c r="D338" s="5">
        <v>6000000</v>
      </c>
      <c r="E338" s="1">
        <v>1085254626</v>
      </c>
      <c r="F338" s="1" t="s">
        <v>143</v>
      </c>
      <c r="G338" s="1" t="s">
        <v>9</v>
      </c>
    </row>
    <row r="339" spans="1:7" ht="14.25" customHeight="1" x14ac:dyDescent="0.25">
      <c r="A339" s="3">
        <v>45517</v>
      </c>
      <c r="B339" s="1">
        <v>2024001442</v>
      </c>
      <c r="C339" s="1" t="s">
        <v>144</v>
      </c>
      <c r="D339" s="5">
        <v>6000000</v>
      </c>
      <c r="E339" s="1">
        <v>59837608</v>
      </c>
      <c r="F339" s="1" t="s">
        <v>145</v>
      </c>
      <c r="G339" s="1" t="s">
        <v>9</v>
      </c>
    </row>
    <row r="340" spans="1:7" ht="14.25" customHeight="1" x14ac:dyDescent="0.25">
      <c r="A340" s="3">
        <v>45517</v>
      </c>
      <c r="B340" s="1">
        <v>2024001443</v>
      </c>
      <c r="C340" s="1" t="s">
        <v>146</v>
      </c>
      <c r="D340" s="5">
        <v>2000000</v>
      </c>
      <c r="E340" s="1">
        <v>1085255972</v>
      </c>
      <c r="F340" s="1" t="s">
        <v>147</v>
      </c>
      <c r="G340" s="1" t="s">
        <v>9</v>
      </c>
    </row>
    <row r="341" spans="1:7" ht="14.25" customHeight="1" x14ac:dyDescent="0.25">
      <c r="A341" s="3">
        <v>45517</v>
      </c>
      <c r="B341" s="1">
        <v>2024001444</v>
      </c>
      <c r="C341" s="1" t="s">
        <v>148</v>
      </c>
      <c r="D341" s="5">
        <v>2000000</v>
      </c>
      <c r="E341" s="1">
        <v>1085339190</v>
      </c>
      <c r="F341" s="1" t="s">
        <v>149</v>
      </c>
      <c r="G341" s="1" t="s">
        <v>9</v>
      </c>
    </row>
    <row r="342" spans="1:7" ht="14.25" customHeight="1" x14ac:dyDescent="0.25">
      <c r="A342" s="3">
        <v>45517</v>
      </c>
      <c r="B342" s="1">
        <v>2024001445</v>
      </c>
      <c r="C342" s="1" t="s">
        <v>150</v>
      </c>
      <c r="D342" s="5">
        <v>4750000</v>
      </c>
      <c r="E342" s="1">
        <v>59824313</v>
      </c>
      <c r="F342" s="1" t="s">
        <v>151</v>
      </c>
      <c r="G342" s="1" t="s">
        <v>9</v>
      </c>
    </row>
    <row r="343" spans="1:7" ht="14.25" customHeight="1" x14ac:dyDescent="0.25">
      <c r="A343" s="3">
        <v>45517</v>
      </c>
      <c r="B343" s="1">
        <v>2024001446</v>
      </c>
      <c r="C343" s="1" t="s">
        <v>152</v>
      </c>
      <c r="D343" s="5">
        <v>2000000</v>
      </c>
      <c r="E343" s="1">
        <v>1144206777</v>
      </c>
      <c r="F343" s="1" t="s">
        <v>153</v>
      </c>
      <c r="G343" s="1" t="s">
        <v>9</v>
      </c>
    </row>
    <row r="344" spans="1:7" ht="14.25" customHeight="1" x14ac:dyDescent="0.25">
      <c r="A344" s="3">
        <v>45517</v>
      </c>
      <c r="B344" s="1">
        <v>2024001447</v>
      </c>
      <c r="C344" s="1" t="s">
        <v>154</v>
      </c>
      <c r="D344" s="5">
        <v>4750000</v>
      </c>
      <c r="E344" s="1">
        <v>1085293619</v>
      </c>
      <c r="F344" s="1" t="s">
        <v>155</v>
      </c>
      <c r="G344" s="1" t="s">
        <v>9</v>
      </c>
    </row>
    <row r="345" spans="1:7" ht="14.25" customHeight="1" x14ac:dyDescent="0.25">
      <c r="A345" s="3">
        <v>45517</v>
      </c>
      <c r="B345" s="1">
        <v>2024001448</v>
      </c>
      <c r="C345" s="1" t="s">
        <v>156</v>
      </c>
      <c r="D345" s="5">
        <v>7500000</v>
      </c>
      <c r="E345" s="1">
        <v>12961661</v>
      </c>
      <c r="F345" s="1" t="s">
        <v>157</v>
      </c>
      <c r="G345" s="1" t="s">
        <v>9</v>
      </c>
    </row>
    <row r="346" spans="1:7" ht="14.25" customHeight="1" x14ac:dyDescent="0.25">
      <c r="A346" s="3">
        <v>45517</v>
      </c>
      <c r="B346" s="1">
        <v>2024001449</v>
      </c>
      <c r="C346" s="1" t="s">
        <v>158</v>
      </c>
      <c r="D346" s="5">
        <v>7500000</v>
      </c>
      <c r="E346" s="1">
        <v>37087120</v>
      </c>
      <c r="F346" s="1" t="s">
        <v>159</v>
      </c>
      <c r="G346" s="1" t="s">
        <v>9</v>
      </c>
    </row>
    <row r="347" spans="1:7" ht="14.25" customHeight="1" x14ac:dyDescent="0.25">
      <c r="A347" s="3">
        <v>45517</v>
      </c>
      <c r="B347" s="1">
        <v>2024001450</v>
      </c>
      <c r="C347" s="1" t="s">
        <v>160</v>
      </c>
      <c r="D347" s="5">
        <v>7500000</v>
      </c>
      <c r="E347" s="1">
        <v>1085304670</v>
      </c>
      <c r="F347" s="1" t="s">
        <v>161</v>
      </c>
      <c r="G347" s="1" t="s">
        <v>9</v>
      </c>
    </row>
    <row r="348" spans="1:7" ht="14.25" customHeight="1" x14ac:dyDescent="0.25">
      <c r="A348" s="3">
        <v>45517</v>
      </c>
      <c r="B348" s="1">
        <v>2024001451</v>
      </c>
      <c r="C348" s="1" t="s">
        <v>162</v>
      </c>
      <c r="D348" s="5">
        <v>7500000</v>
      </c>
      <c r="E348" s="1">
        <v>1193202097</v>
      </c>
      <c r="F348" s="1" t="s">
        <v>163</v>
      </c>
      <c r="G348" s="1" t="s">
        <v>9</v>
      </c>
    </row>
    <row r="349" spans="1:7" ht="14.25" customHeight="1" x14ac:dyDescent="0.25">
      <c r="A349" s="3">
        <v>45517</v>
      </c>
      <c r="B349" s="1">
        <v>2024001452</v>
      </c>
      <c r="C349" s="1" t="s">
        <v>20</v>
      </c>
      <c r="D349" s="5">
        <v>7500000</v>
      </c>
      <c r="E349" s="1">
        <v>1089244511</v>
      </c>
      <c r="F349" s="1" t="s">
        <v>21</v>
      </c>
      <c r="G349" s="1" t="s">
        <v>9</v>
      </c>
    </row>
    <row r="350" spans="1:7" ht="14.25" customHeight="1" x14ac:dyDescent="0.25">
      <c r="A350" s="3">
        <v>45518</v>
      </c>
      <c r="B350" s="1">
        <v>2024001456</v>
      </c>
      <c r="C350" s="1" t="s">
        <v>166</v>
      </c>
      <c r="D350" s="5">
        <v>2000000</v>
      </c>
      <c r="E350" s="1">
        <v>1081052552</v>
      </c>
      <c r="F350" s="1" t="s">
        <v>167</v>
      </c>
      <c r="G350" s="1" t="s">
        <v>9</v>
      </c>
    </row>
    <row r="351" spans="1:7" ht="14.25" customHeight="1" x14ac:dyDescent="0.25">
      <c r="A351" s="3">
        <v>45518</v>
      </c>
      <c r="B351" s="1">
        <v>2024001457</v>
      </c>
      <c r="C351" s="1" t="s">
        <v>168</v>
      </c>
      <c r="D351" s="5">
        <v>4750000</v>
      </c>
      <c r="E351" s="1">
        <v>1085273424</v>
      </c>
      <c r="F351" s="1" t="s">
        <v>169</v>
      </c>
      <c r="G351" s="1" t="s">
        <v>9</v>
      </c>
    </row>
    <row r="352" spans="1:7" ht="14.25" customHeight="1" x14ac:dyDescent="0.25">
      <c r="A352" s="3">
        <v>45518</v>
      </c>
      <c r="B352" s="1">
        <v>2024001458</v>
      </c>
      <c r="C352" s="1" t="s">
        <v>170</v>
      </c>
      <c r="D352" s="5">
        <v>2000000</v>
      </c>
      <c r="E352" s="1">
        <v>69028150</v>
      </c>
      <c r="F352" s="1" t="s">
        <v>171</v>
      </c>
      <c r="G352" s="1" t="s">
        <v>9</v>
      </c>
    </row>
    <row r="353" spans="1:7" ht="14.25" customHeight="1" x14ac:dyDescent="0.25">
      <c r="A353" s="3">
        <v>45518</v>
      </c>
      <c r="B353" s="1">
        <v>2024001459</v>
      </c>
      <c r="C353" s="1" t="s">
        <v>172</v>
      </c>
      <c r="D353" s="5">
        <v>2000000</v>
      </c>
      <c r="E353" s="1">
        <v>59833702</v>
      </c>
      <c r="F353" s="1" t="s">
        <v>173</v>
      </c>
      <c r="G353" s="1" t="s">
        <v>9</v>
      </c>
    </row>
    <row r="354" spans="1:7" ht="14.25" customHeight="1" x14ac:dyDescent="0.25">
      <c r="A354" s="3">
        <v>45518</v>
      </c>
      <c r="B354" s="1">
        <v>2024001460</v>
      </c>
      <c r="C354" s="1" t="s">
        <v>174</v>
      </c>
      <c r="D354" s="5">
        <v>4825600</v>
      </c>
      <c r="E354" s="1">
        <v>1085283723</v>
      </c>
      <c r="F354" s="1" t="s">
        <v>175</v>
      </c>
      <c r="G354" s="1" t="s">
        <v>9</v>
      </c>
    </row>
    <row r="355" spans="1:7" ht="14.25" customHeight="1" x14ac:dyDescent="0.25">
      <c r="A355" s="3">
        <v>45518</v>
      </c>
      <c r="B355" s="1">
        <v>2024001463</v>
      </c>
      <c r="C355" s="1" t="s">
        <v>24</v>
      </c>
      <c r="D355" s="5">
        <v>6000000</v>
      </c>
      <c r="E355" s="1">
        <v>37013610</v>
      </c>
      <c r="F355" s="1" t="s">
        <v>25</v>
      </c>
      <c r="G355" s="1" t="s">
        <v>9</v>
      </c>
    </row>
    <row r="356" spans="1:7" ht="14.25" customHeight="1" x14ac:dyDescent="0.25">
      <c r="A356" s="3">
        <v>45518</v>
      </c>
      <c r="B356" s="1">
        <v>2024001464</v>
      </c>
      <c r="C356" s="1" t="s">
        <v>176</v>
      </c>
      <c r="D356" s="5">
        <v>4825600</v>
      </c>
      <c r="E356" s="1">
        <v>27087851</v>
      </c>
      <c r="F356" s="1" t="s">
        <v>177</v>
      </c>
      <c r="G356" s="1" t="s">
        <v>9</v>
      </c>
    </row>
    <row r="357" spans="1:7" ht="14.25" customHeight="1" x14ac:dyDescent="0.25">
      <c r="A357" s="3">
        <v>45518</v>
      </c>
      <c r="B357" s="1">
        <v>2024001465</v>
      </c>
      <c r="C357" s="1" t="s">
        <v>178</v>
      </c>
      <c r="D357" s="5">
        <v>2000000</v>
      </c>
      <c r="E357" s="1">
        <v>1085250095</v>
      </c>
      <c r="F357" s="1" t="s">
        <v>179</v>
      </c>
      <c r="G357" s="1" t="s">
        <v>9</v>
      </c>
    </row>
    <row r="358" spans="1:7" ht="14.25" customHeight="1" x14ac:dyDescent="0.25">
      <c r="A358" s="3">
        <v>45518</v>
      </c>
      <c r="B358" s="1">
        <v>2024001466</v>
      </c>
      <c r="C358" s="1" t="s">
        <v>180</v>
      </c>
      <c r="D358" s="5">
        <v>2000000</v>
      </c>
      <c r="E358" s="1">
        <v>59828916</v>
      </c>
      <c r="F358" s="1" t="s">
        <v>181</v>
      </c>
      <c r="G358" s="1" t="s">
        <v>9</v>
      </c>
    </row>
    <row r="359" spans="1:7" ht="14.25" customHeight="1" x14ac:dyDescent="0.25">
      <c r="A359" s="3">
        <v>45518</v>
      </c>
      <c r="B359" s="1">
        <v>2024001467</v>
      </c>
      <c r="C359" s="1" t="s">
        <v>182</v>
      </c>
      <c r="D359" s="5">
        <v>2000000</v>
      </c>
      <c r="E359" s="1">
        <v>98382500</v>
      </c>
      <c r="F359" s="1" t="s">
        <v>183</v>
      </c>
      <c r="G359" s="1" t="s">
        <v>9</v>
      </c>
    </row>
    <row r="360" spans="1:7" ht="14.25" customHeight="1" x14ac:dyDescent="0.25">
      <c r="A360" s="3">
        <v>45519</v>
      </c>
      <c r="B360" s="1">
        <v>2024001483</v>
      </c>
      <c r="C360" s="1" t="s">
        <v>184</v>
      </c>
      <c r="D360" s="5">
        <v>2000000</v>
      </c>
      <c r="E360" s="1">
        <v>87070661</v>
      </c>
      <c r="F360" s="1" t="s">
        <v>185</v>
      </c>
      <c r="G360" s="1" t="s">
        <v>9</v>
      </c>
    </row>
    <row r="361" spans="1:7" ht="14.25" customHeight="1" x14ac:dyDescent="0.25">
      <c r="A361" s="3">
        <v>45519</v>
      </c>
      <c r="B361" s="1">
        <v>2024001484</v>
      </c>
      <c r="C361" s="1" t="s">
        <v>186</v>
      </c>
      <c r="D361" s="5">
        <v>2000000</v>
      </c>
      <c r="E361" s="1">
        <v>1085296353</v>
      </c>
      <c r="F361" s="1" t="s">
        <v>187</v>
      </c>
      <c r="G361" s="1" t="s">
        <v>9</v>
      </c>
    </row>
    <row r="362" spans="1:7" ht="14.25" customHeight="1" x14ac:dyDescent="0.25">
      <c r="A362" s="3">
        <v>45519</v>
      </c>
      <c r="B362" s="1">
        <v>2024001485</v>
      </c>
      <c r="C362" s="1" t="s">
        <v>18</v>
      </c>
      <c r="D362" s="5">
        <v>6000000</v>
      </c>
      <c r="E362" s="1">
        <v>1089242085</v>
      </c>
      <c r="F362" s="1" t="s">
        <v>19</v>
      </c>
      <c r="G362" s="1" t="s">
        <v>9</v>
      </c>
    </row>
    <row r="363" spans="1:7" ht="14.25" customHeight="1" x14ac:dyDescent="0.25">
      <c r="A363" s="3">
        <v>45519</v>
      </c>
      <c r="B363" s="1">
        <v>2024001486</v>
      </c>
      <c r="C363" s="1" t="s">
        <v>188</v>
      </c>
      <c r="D363" s="5">
        <v>2000000</v>
      </c>
      <c r="E363" s="1">
        <v>1081595853</v>
      </c>
      <c r="F363" s="1" t="s">
        <v>189</v>
      </c>
      <c r="G363" s="1" t="s">
        <v>9</v>
      </c>
    </row>
    <row r="364" spans="1:7" ht="14.25" customHeight="1" x14ac:dyDescent="0.25">
      <c r="A364" s="3">
        <v>45519</v>
      </c>
      <c r="B364" s="1">
        <v>2024001487</v>
      </c>
      <c r="C364" s="1" t="s">
        <v>190</v>
      </c>
      <c r="D364" s="5">
        <v>2000000</v>
      </c>
      <c r="E364" s="1">
        <v>1193218691</v>
      </c>
      <c r="F364" s="1" t="s">
        <v>191</v>
      </c>
      <c r="G364" s="1" t="s">
        <v>9</v>
      </c>
    </row>
    <row r="365" spans="1:7" ht="14.25" customHeight="1" x14ac:dyDescent="0.25">
      <c r="A365" s="3">
        <v>45519</v>
      </c>
      <c r="B365" s="1">
        <v>2024001488</v>
      </c>
      <c r="C365" s="1" t="s">
        <v>192</v>
      </c>
      <c r="D365" s="5">
        <v>7500000</v>
      </c>
      <c r="E365" s="1">
        <v>1126004086</v>
      </c>
      <c r="F365" s="1" t="s">
        <v>193</v>
      </c>
      <c r="G365" s="1" t="s">
        <v>9</v>
      </c>
    </row>
    <row r="366" spans="1:7" ht="14.25" customHeight="1" x14ac:dyDescent="0.25">
      <c r="A366" s="3">
        <v>45525</v>
      </c>
      <c r="B366" s="1">
        <v>2024001495</v>
      </c>
      <c r="C366" s="1" t="s">
        <v>194</v>
      </c>
      <c r="D366" s="5">
        <v>2000000</v>
      </c>
      <c r="E366" s="1">
        <v>1085316191</v>
      </c>
      <c r="F366" s="1" t="s">
        <v>195</v>
      </c>
      <c r="G366" s="1" t="s">
        <v>9</v>
      </c>
    </row>
    <row r="367" spans="1:7" ht="14.25" customHeight="1" x14ac:dyDescent="0.25">
      <c r="A367" s="3">
        <v>45525</v>
      </c>
      <c r="B367" s="1">
        <v>2024001496</v>
      </c>
      <c r="C367" s="1" t="s">
        <v>196</v>
      </c>
      <c r="D367" s="5">
        <v>2000000</v>
      </c>
      <c r="E367" s="1">
        <v>1089243630</v>
      </c>
      <c r="F367" s="1" t="s">
        <v>197</v>
      </c>
      <c r="G367" s="1" t="s">
        <v>9</v>
      </c>
    </row>
    <row r="368" spans="1:7" ht="14.25" customHeight="1" x14ac:dyDescent="0.25">
      <c r="A368" s="3">
        <v>45525</v>
      </c>
      <c r="B368" s="1">
        <v>2024001498</v>
      </c>
      <c r="C368" s="1" t="s">
        <v>198</v>
      </c>
      <c r="D368" s="5">
        <v>2000000</v>
      </c>
      <c r="E368" s="1">
        <v>30737741</v>
      </c>
      <c r="F368" s="1" t="s">
        <v>199</v>
      </c>
      <c r="G368" s="1" t="s">
        <v>9</v>
      </c>
    </row>
    <row r="369" spans="1:7" ht="14.25" customHeight="1" x14ac:dyDescent="0.25">
      <c r="A369" s="3">
        <v>45525</v>
      </c>
      <c r="B369" s="1">
        <v>2024001500</v>
      </c>
      <c r="C369" s="1" t="s">
        <v>200</v>
      </c>
      <c r="D369" s="5">
        <v>2000000</v>
      </c>
      <c r="E369" s="1">
        <v>1085300095</v>
      </c>
      <c r="F369" s="1" t="s">
        <v>201</v>
      </c>
      <c r="G369" s="1" t="s">
        <v>9</v>
      </c>
    </row>
    <row r="370" spans="1:7" ht="14.25" customHeight="1" x14ac:dyDescent="0.25">
      <c r="A370" s="3">
        <v>45525</v>
      </c>
      <c r="B370" s="1">
        <v>2024001501</v>
      </c>
      <c r="C370" s="1" t="s">
        <v>202</v>
      </c>
      <c r="D370" s="5">
        <v>2000000</v>
      </c>
      <c r="E370" s="1">
        <v>27211504</v>
      </c>
      <c r="F370" s="1" t="s">
        <v>203</v>
      </c>
      <c r="G370" s="1" t="s">
        <v>9</v>
      </c>
    </row>
    <row r="371" spans="1:7" ht="14.25" customHeight="1" x14ac:dyDescent="0.25">
      <c r="A371" s="3">
        <v>45525</v>
      </c>
      <c r="B371" s="1">
        <v>2024001502</v>
      </c>
      <c r="C371" s="1" t="s">
        <v>204</v>
      </c>
      <c r="D371" s="5">
        <v>2000000</v>
      </c>
      <c r="E371" s="1">
        <v>13072447</v>
      </c>
      <c r="F371" s="1" t="s">
        <v>205</v>
      </c>
      <c r="G371" s="1" t="s">
        <v>9</v>
      </c>
    </row>
    <row r="372" spans="1:7" ht="14.25" customHeight="1" x14ac:dyDescent="0.25">
      <c r="A372" s="3">
        <v>45525</v>
      </c>
      <c r="B372" s="1">
        <v>2024001503</v>
      </c>
      <c r="C372" s="1" t="s">
        <v>206</v>
      </c>
      <c r="D372" s="5">
        <v>2000000</v>
      </c>
      <c r="E372" s="1">
        <v>1004135064</v>
      </c>
      <c r="F372" s="1" t="s">
        <v>207</v>
      </c>
      <c r="G372" s="1" t="s">
        <v>9</v>
      </c>
    </row>
    <row r="373" spans="1:7" ht="14.25" customHeight="1" x14ac:dyDescent="0.25">
      <c r="A373" s="3">
        <v>45525</v>
      </c>
      <c r="B373" s="1">
        <v>2024001504</v>
      </c>
      <c r="C373" s="1" t="s">
        <v>208</v>
      </c>
      <c r="D373" s="5">
        <v>2000000</v>
      </c>
      <c r="E373" s="1">
        <v>1010082397</v>
      </c>
      <c r="F373" s="1" t="s">
        <v>209</v>
      </c>
      <c r="G373" s="1" t="s">
        <v>9</v>
      </c>
    </row>
    <row r="374" spans="1:7" ht="14.25" customHeight="1" x14ac:dyDescent="0.25">
      <c r="A374" s="3">
        <v>45525</v>
      </c>
      <c r="B374" s="1">
        <v>2024001505</v>
      </c>
      <c r="C374" s="1" t="s">
        <v>32</v>
      </c>
      <c r="D374" s="5">
        <v>2000000</v>
      </c>
      <c r="E374" s="1">
        <v>1085252263</v>
      </c>
      <c r="F374" s="1" t="s">
        <v>33</v>
      </c>
      <c r="G374" s="1" t="s">
        <v>9</v>
      </c>
    </row>
    <row r="375" spans="1:7" ht="14.25" customHeight="1" x14ac:dyDescent="0.25">
      <c r="A375" s="3">
        <v>45525</v>
      </c>
      <c r="B375" s="1">
        <v>2024001506</v>
      </c>
      <c r="C375" s="1" t="s">
        <v>210</v>
      </c>
      <c r="D375" s="5">
        <v>2000000</v>
      </c>
      <c r="E375" s="1">
        <v>1080040858</v>
      </c>
      <c r="F375" s="1" t="s">
        <v>211</v>
      </c>
      <c r="G375" s="1" t="s">
        <v>9</v>
      </c>
    </row>
    <row r="376" spans="1:7" ht="14.25" customHeight="1" x14ac:dyDescent="0.25">
      <c r="A376" s="3">
        <v>45525</v>
      </c>
      <c r="B376" s="1">
        <v>2024001507</v>
      </c>
      <c r="C376" s="1" t="s">
        <v>212</v>
      </c>
      <c r="D376" s="5">
        <v>2000000</v>
      </c>
      <c r="E376" s="1">
        <v>5930737</v>
      </c>
      <c r="F376" s="1" t="s">
        <v>213</v>
      </c>
      <c r="G376" s="1" t="s">
        <v>9</v>
      </c>
    </row>
    <row r="377" spans="1:7" ht="14.25" customHeight="1" x14ac:dyDescent="0.25">
      <c r="A377" s="3">
        <v>45525</v>
      </c>
      <c r="B377" s="1">
        <v>2024001508</v>
      </c>
      <c r="C377" s="1" t="s">
        <v>214</v>
      </c>
      <c r="D377" s="5">
        <v>2000000</v>
      </c>
      <c r="E377" s="1">
        <v>1085327677</v>
      </c>
      <c r="F377" s="1" t="s">
        <v>215</v>
      </c>
      <c r="G377" s="1" t="s">
        <v>9</v>
      </c>
    </row>
    <row r="378" spans="1:7" ht="14.25" customHeight="1" x14ac:dyDescent="0.25">
      <c r="A378" s="3">
        <v>45525</v>
      </c>
      <c r="B378" s="1">
        <v>2024001509</v>
      </c>
      <c r="C378" s="1" t="s">
        <v>216</v>
      </c>
      <c r="D378" s="5">
        <v>6000000</v>
      </c>
      <c r="E378" s="1">
        <v>27109314</v>
      </c>
      <c r="F378" s="1" t="s">
        <v>217</v>
      </c>
      <c r="G378" s="1" t="s">
        <v>9</v>
      </c>
    </row>
    <row r="379" spans="1:7" ht="14.25" customHeight="1" x14ac:dyDescent="0.25">
      <c r="A379" s="3">
        <v>45525</v>
      </c>
      <c r="B379" s="1">
        <v>2024001510</v>
      </c>
      <c r="C379" s="1" t="s">
        <v>218</v>
      </c>
      <c r="D379" s="5">
        <v>2000000</v>
      </c>
      <c r="E379" s="1">
        <v>1010113730</v>
      </c>
      <c r="F379" s="1" t="s">
        <v>219</v>
      </c>
      <c r="G379" s="1" t="s">
        <v>9</v>
      </c>
    </row>
    <row r="380" spans="1:7" ht="14.25" customHeight="1" x14ac:dyDescent="0.25">
      <c r="A380" s="3">
        <v>45525</v>
      </c>
      <c r="B380" s="1">
        <v>2024001511</v>
      </c>
      <c r="C380" s="1" t="s">
        <v>220</v>
      </c>
      <c r="D380" s="5">
        <v>4750000</v>
      </c>
      <c r="E380" s="1">
        <v>1085345772</v>
      </c>
      <c r="F380" s="1" t="s">
        <v>221</v>
      </c>
      <c r="G380" s="1" t="s">
        <v>9</v>
      </c>
    </row>
    <row r="381" spans="1:7" ht="14.25" customHeight="1" x14ac:dyDescent="0.25">
      <c r="A381" s="3">
        <v>45525</v>
      </c>
      <c r="B381" s="1">
        <v>2024001512</v>
      </c>
      <c r="C381" s="1" t="s">
        <v>222</v>
      </c>
      <c r="D381" s="5">
        <v>4750000</v>
      </c>
      <c r="E381" s="1">
        <v>87060703</v>
      </c>
      <c r="F381" s="1" t="s">
        <v>223</v>
      </c>
      <c r="G381" s="1" t="s">
        <v>9</v>
      </c>
    </row>
    <row r="382" spans="1:7" ht="14.25" customHeight="1" x14ac:dyDescent="0.25">
      <c r="A382" s="3">
        <v>45525</v>
      </c>
      <c r="B382" s="1">
        <v>2024001513</v>
      </c>
      <c r="C382" s="1" t="s">
        <v>224</v>
      </c>
      <c r="D382" s="5">
        <v>2000000</v>
      </c>
      <c r="E382" s="1">
        <v>12750863</v>
      </c>
      <c r="F382" s="1" t="s">
        <v>225</v>
      </c>
      <c r="G382" s="1" t="s">
        <v>9</v>
      </c>
    </row>
    <row r="383" spans="1:7" ht="14.25" customHeight="1" x14ac:dyDescent="0.25">
      <c r="A383" s="3">
        <v>45525</v>
      </c>
      <c r="B383" s="1">
        <v>2024001514</v>
      </c>
      <c r="C383" s="1" t="s">
        <v>252</v>
      </c>
      <c r="D383" s="5">
        <v>4750000</v>
      </c>
      <c r="E383" s="1">
        <v>1087422930</v>
      </c>
      <c r="F383" s="1" t="s">
        <v>253</v>
      </c>
      <c r="G383" s="1" t="s">
        <v>9</v>
      </c>
    </row>
    <row r="384" spans="1:7" ht="14.25" customHeight="1" x14ac:dyDescent="0.25">
      <c r="A384" s="3">
        <v>45525</v>
      </c>
      <c r="B384" s="1">
        <v>2024001515</v>
      </c>
      <c r="C384" s="1" t="s">
        <v>226</v>
      </c>
      <c r="D384" s="5">
        <v>2000000</v>
      </c>
      <c r="E384" s="1">
        <v>1085338575</v>
      </c>
      <c r="F384" s="1" t="s">
        <v>227</v>
      </c>
      <c r="G384" s="1" t="s">
        <v>9</v>
      </c>
    </row>
    <row r="385" spans="1:7" ht="14.25" customHeight="1" x14ac:dyDescent="0.25">
      <c r="A385" s="3">
        <v>45525</v>
      </c>
      <c r="B385" s="1">
        <v>2024001516</v>
      </c>
      <c r="C385" s="1" t="s">
        <v>228</v>
      </c>
      <c r="D385" s="5">
        <v>2000000</v>
      </c>
      <c r="E385" s="1">
        <v>1193271854</v>
      </c>
      <c r="F385" s="1" t="s">
        <v>229</v>
      </c>
      <c r="G385" s="1" t="s">
        <v>9</v>
      </c>
    </row>
    <row r="386" spans="1:7" ht="14.25" customHeight="1" x14ac:dyDescent="0.25">
      <c r="A386" s="3">
        <v>45525</v>
      </c>
      <c r="B386" s="1">
        <v>2024001517</v>
      </c>
      <c r="C386" s="1" t="s">
        <v>230</v>
      </c>
      <c r="D386" s="5">
        <v>7500000</v>
      </c>
      <c r="E386" s="1">
        <v>1085335767</v>
      </c>
      <c r="F386" s="1" t="s">
        <v>231</v>
      </c>
      <c r="G386" s="1" t="s">
        <v>9</v>
      </c>
    </row>
    <row r="387" spans="1:7" ht="14.25" customHeight="1" x14ac:dyDescent="0.25">
      <c r="A387" s="3">
        <v>45525</v>
      </c>
      <c r="B387" s="1">
        <v>2024001518</v>
      </c>
      <c r="C387" s="1" t="s">
        <v>232</v>
      </c>
      <c r="D387" s="5">
        <v>2000000</v>
      </c>
      <c r="E387" s="1">
        <v>1014857280</v>
      </c>
      <c r="F387" s="1" t="s">
        <v>233</v>
      </c>
      <c r="G387" s="1" t="s">
        <v>9</v>
      </c>
    </row>
    <row r="388" spans="1:7" ht="14.25" customHeight="1" x14ac:dyDescent="0.25">
      <c r="A388" s="3">
        <v>45525</v>
      </c>
      <c r="B388" s="1">
        <v>2024001519</v>
      </c>
      <c r="C388" s="1" t="s">
        <v>234</v>
      </c>
      <c r="D388" s="5">
        <v>4750000</v>
      </c>
      <c r="E388" s="1">
        <v>1085318201</v>
      </c>
      <c r="F388" s="1" t="s">
        <v>235</v>
      </c>
      <c r="G388" s="1" t="s">
        <v>9</v>
      </c>
    </row>
    <row r="389" spans="1:7" ht="14.25" customHeight="1" x14ac:dyDescent="0.25">
      <c r="A389" s="3">
        <v>45525</v>
      </c>
      <c r="B389" s="1">
        <v>2024001520</v>
      </c>
      <c r="C389" s="1" t="s">
        <v>236</v>
      </c>
      <c r="D389" s="5">
        <v>2000000</v>
      </c>
      <c r="E389" s="1">
        <v>1004234290</v>
      </c>
      <c r="F389" s="1" t="s">
        <v>237</v>
      </c>
      <c r="G389" s="1" t="s">
        <v>9</v>
      </c>
    </row>
    <row r="390" spans="1:7" ht="14.25" customHeight="1" x14ac:dyDescent="0.25">
      <c r="A390" s="3">
        <v>45525</v>
      </c>
      <c r="B390" s="1">
        <v>2024001521</v>
      </c>
      <c r="C390" s="1" t="s">
        <v>238</v>
      </c>
      <c r="D390" s="5">
        <v>7500000</v>
      </c>
      <c r="E390" s="1">
        <v>1233189066</v>
      </c>
      <c r="F390" s="1" t="s">
        <v>239</v>
      </c>
      <c r="G390" s="1" t="s">
        <v>9</v>
      </c>
    </row>
    <row r="391" spans="1:7" ht="14.25" customHeight="1" x14ac:dyDescent="0.25">
      <c r="A391" s="3">
        <v>45525</v>
      </c>
      <c r="B391" s="1">
        <v>2024001522</v>
      </c>
      <c r="C391" s="1" t="s">
        <v>240</v>
      </c>
      <c r="D391" s="5">
        <v>4825600</v>
      </c>
      <c r="E391" s="1">
        <v>1085289739</v>
      </c>
      <c r="F391" s="1" t="s">
        <v>241</v>
      </c>
      <c r="G391" s="1" t="s">
        <v>9</v>
      </c>
    </row>
    <row r="392" spans="1:7" ht="14.25" customHeight="1" x14ac:dyDescent="0.25">
      <c r="A392" s="3">
        <v>45525</v>
      </c>
      <c r="B392" s="1">
        <v>2024001523</v>
      </c>
      <c r="C392" s="1" t="s">
        <v>242</v>
      </c>
      <c r="D392" s="5">
        <v>2000000</v>
      </c>
      <c r="E392" s="1">
        <v>1137624011</v>
      </c>
      <c r="F392" s="1" t="s">
        <v>243</v>
      </c>
      <c r="G392" s="1" t="s">
        <v>9</v>
      </c>
    </row>
    <row r="393" spans="1:7" ht="14.25" customHeight="1" x14ac:dyDescent="0.25">
      <c r="A393" s="3">
        <v>45525</v>
      </c>
      <c r="B393" s="1">
        <v>2024001524</v>
      </c>
      <c r="C393" s="1" t="s">
        <v>244</v>
      </c>
      <c r="D393" s="5">
        <v>4825600</v>
      </c>
      <c r="E393" s="1">
        <v>30732782</v>
      </c>
      <c r="F393" s="1" t="s">
        <v>245</v>
      </c>
      <c r="G393" s="1" t="s">
        <v>9</v>
      </c>
    </row>
    <row r="394" spans="1:7" ht="14.25" customHeight="1" x14ac:dyDescent="0.25">
      <c r="A394" s="3">
        <v>45525</v>
      </c>
      <c r="B394" s="1">
        <v>2024001525</v>
      </c>
      <c r="C394" s="1" t="s">
        <v>246</v>
      </c>
      <c r="D394" s="5">
        <v>4825600</v>
      </c>
      <c r="E394" s="1">
        <v>1085267184</v>
      </c>
      <c r="F394" s="1" t="s">
        <v>247</v>
      </c>
      <c r="G394" s="1" t="s">
        <v>9</v>
      </c>
    </row>
    <row r="395" spans="1:7" ht="14.25" customHeight="1" x14ac:dyDescent="0.25">
      <c r="A395" s="3">
        <v>45525</v>
      </c>
      <c r="B395" s="1">
        <v>2024001526</v>
      </c>
      <c r="C395" s="1" t="s">
        <v>248</v>
      </c>
      <c r="D395" s="5">
        <v>4750000</v>
      </c>
      <c r="E395" s="1">
        <v>1085330309</v>
      </c>
      <c r="F395" s="1" t="s">
        <v>249</v>
      </c>
      <c r="G395" s="1" t="s">
        <v>9</v>
      </c>
    </row>
    <row r="396" spans="1:7" ht="14.25" customHeight="1" x14ac:dyDescent="0.25">
      <c r="A396" s="3">
        <v>45525</v>
      </c>
      <c r="B396" s="1">
        <v>2024001527</v>
      </c>
      <c r="C396" s="1" t="s">
        <v>250</v>
      </c>
      <c r="D396" s="5">
        <v>2000000</v>
      </c>
      <c r="E396" s="1">
        <v>1085271641</v>
      </c>
      <c r="F396" s="1" t="s">
        <v>251</v>
      </c>
      <c r="G396" s="1" t="s">
        <v>9</v>
      </c>
    </row>
    <row r="397" spans="1:7" ht="14.25" customHeight="1" x14ac:dyDescent="0.25">
      <c r="A397" s="3">
        <v>45525</v>
      </c>
      <c r="B397" s="1">
        <v>2024001529</v>
      </c>
      <c r="C397" s="1" t="s">
        <v>78</v>
      </c>
      <c r="D397" s="5">
        <v>2000000</v>
      </c>
      <c r="E397" s="1">
        <v>1085326198</v>
      </c>
      <c r="F397" s="1" t="s">
        <v>79</v>
      </c>
      <c r="G397" s="1" t="s">
        <v>9</v>
      </c>
    </row>
    <row r="398" spans="1:7" ht="14.25" customHeight="1" x14ac:dyDescent="0.25">
      <c r="A398" s="3">
        <v>45525</v>
      </c>
      <c r="B398" s="1">
        <v>2024001531</v>
      </c>
      <c r="C398" s="1" t="s">
        <v>268</v>
      </c>
      <c r="D398" s="5">
        <v>64529002</v>
      </c>
      <c r="E398" s="1">
        <v>900994364</v>
      </c>
      <c r="F398" s="1" t="s">
        <v>269</v>
      </c>
      <c r="G398" s="1" t="s">
        <v>9</v>
      </c>
    </row>
    <row r="399" spans="1:7" ht="14.25" customHeight="1" x14ac:dyDescent="0.25">
      <c r="A399" s="3">
        <v>45525</v>
      </c>
      <c r="B399" s="1">
        <v>2024001532</v>
      </c>
      <c r="C399" s="1" t="s">
        <v>80</v>
      </c>
      <c r="D399" s="5">
        <v>2000000</v>
      </c>
      <c r="E399" s="1">
        <v>1088799034</v>
      </c>
      <c r="F399" s="1" t="s">
        <v>81</v>
      </c>
      <c r="G399" s="1" t="s">
        <v>9</v>
      </c>
    </row>
    <row r="400" spans="1:7" ht="14.25" customHeight="1" x14ac:dyDescent="0.25">
      <c r="A400" s="3">
        <v>45525</v>
      </c>
      <c r="B400" s="1">
        <v>2024001533</v>
      </c>
      <c r="C400" s="1" t="s">
        <v>254</v>
      </c>
      <c r="D400" s="5">
        <v>2000000</v>
      </c>
      <c r="E400" s="1">
        <v>1085330237</v>
      </c>
      <c r="F400" s="1" t="s">
        <v>255</v>
      </c>
      <c r="G400" s="1" t="s">
        <v>9</v>
      </c>
    </row>
    <row r="401" spans="1:7" ht="14.25" customHeight="1" x14ac:dyDescent="0.25">
      <c r="A401" s="3">
        <v>45525</v>
      </c>
      <c r="B401" s="1">
        <v>2024001534</v>
      </c>
      <c r="C401" s="1" t="s">
        <v>256</v>
      </c>
      <c r="D401" s="5">
        <v>2000000</v>
      </c>
      <c r="E401" s="1">
        <v>37087268</v>
      </c>
      <c r="F401" s="1" t="s">
        <v>257</v>
      </c>
      <c r="G401" s="1" t="s">
        <v>9</v>
      </c>
    </row>
    <row r="402" spans="1:7" ht="14.25" customHeight="1" x14ac:dyDescent="0.25">
      <c r="A402" s="3">
        <v>45525</v>
      </c>
      <c r="B402" s="1">
        <v>2024001535</v>
      </c>
      <c r="C402" s="1" t="s">
        <v>258</v>
      </c>
      <c r="D402" s="5">
        <v>2000000</v>
      </c>
      <c r="E402" s="1">
        <v>1085320930</v>
      </c>
      <c r="F402" s="1" t="s">
        <v>259</v>
      </c>
      <c r="G402" s="1" t="s">
        <v>9</v>
      </c>
    </row>
    <row r="403" spans="1:7" ht="14.25" customHeight="1" x14ac:dyDescent="0.25">
      <c r="A403" s="3">
        <v>45525</v>
      </c>
      <c r="B403" s="1">
        <v>2024001542</v>
      </c>
      <c r="C403" s="1" t="s">
        <v>138</v>
      </c>
      <c r="D403" s="5">
        <v>2000000</v>
      </c>
      <c r="E403" s="1">
        <v>1085295383</v>
      </c>
      <c r="F403" s="1" t="s">
        <v>139</v>
      </c>
      <c r="G403" s="1" t="s">
        <v>9</v>
      </c>
    </row>
    <row r="404" spans="1:7" ht="14.25" customHeight="1" x14ac:dyDescent="0.25">
      <c r="A404" s="3">
        <v>45525</v>
      </c>
      <c r="B404" s="1">
        <v>2024001544</v>
      </c>
      <c r="C404" s="1" t="s">
        <v>260</v>
      </c>
      <c r="D404" s="5">
        <v>6000000</v>
      </c>
      <c r="E404" s="1">
        <v>59820414</v>
      </c>
      <c r="F404" s="1" t="s">
        <v>261</v>
      </c>
      <c r="G404" s="1" t="s">
        <v>9</v>
      </c>
    </row>
    <row r="405" spans="1:7" ht="14.25" customHeight="1" x14ac:dyDescent="0.25">
      <c r="A405" s="3">
        <v>45525</v>
      </c>
      <c r="B405" s="1">
        <v>2024001546</v>
      </c>
      <c r="C405" s="1" t="s">
        <v>262</v>
      </c>
      <c r="D405" s="5">
        <v>2000000</v>
      </c>
      <c r="E405" s="1">
        <v>36752202</v>
      </c>
      <c r="F405" s="1" t="s">
        <v>263</v>
      </c>
      <c r="G405" s="1" t="s">
        <v>9</v>
      </c>
    </row>
    <row r="406" spans="1:7" ht="14.25" customHeight="1" x14ac:dyDescent="0.25">
      <c r="A406" s="3">
        <v>45525</v>
      </c>
      <c r="B406" s="1">
        <v>2024001549</v>
      </c>
      <c r="C406" s="1" t="s">
        <v>264</v>
      </c>
      <c r="D406" s="5">
        <v>2000000</v>
      </c>
      <c r="E406" s="1">
        <v>1010085543</v>
      </c>
      <c r="F406" s="1" t="s">
        <v>265</v>
      </c>
      <c r="G406" s="1" t="s">
        <v>9</v>
      </c>
    </row>
    <row r="407" spans="1:7" ht="14.25" customHeight="1" x14ac:dyDescent="0.25">
      <c r="A407" s="3">
        <v>45525</v>
      </c>
      <c r="B407" s="1">
        <v>2024001551</v>
      </c>
      <c r="C407" s="1" t="s">
        <v>266</v>
      </c>
      <c r="D407" s="5">
        <v>4750000</v>
      </c>
      <c r="E407" s="1">
        <v>1193383306</v>
      </c>
      <c r="F407" s="1" t="s">
        <v>267</v>
      </c>
      <c r="G407" s="1" t="s">
        <v>9</v>
      </c>
    </row>
    <row r="408" spans="1:7" ht="14.25" customHeight="1" x14ac:dyDescent="0.25">
      <c r="A408" s="3">
        <v>45526</v>
      </c>
      <c r="B408" s="1">
        <v>2024001554</v>
      </c>
      <c r="C408" s="1" t="s">
        <v>270</v>
      </c>
      <c r="D408" s="5">
        <v>2000000</v>
      </c>
      <c r="E408" s="1">
        <v>36757522</v>
      </c>
      <c r="F408" s="1" t="s">
        <v>271</v>
      </c>
      <c r="G408" s="1" t="s">
        <v>9</v>
      </c>
    </row>
    <row r="409" spans="1:7" ht="14.25" customHeight="1" x14ac:dyDescent="0.25">
      <c r="A409" s="3">
        <v>45526</v>
      </c>
      <c r="B409" s="1">
        <v>2024001555</v>
      </c>
      <c r="C409" s="1" t="s">
        <v>272</v>
      </c>
      <c r="D409" s="5">
        <v>4825600</v>
      </c>
      <c r="E409" s="1">
        <v>1085332406</v>
      </c>
      <c r="F409" s="1" t="s">
        <v>273</v>
      </c>
      <c r="G409" s="1" t="s">
        <v>9</v>
      </c>
    </row>
    <row r="410" spans="1:7" ht="14.25" customHeight="1" x14ac:dyDescent="0.25">
      <c r="A410" s="3">
        <v>45526</v>
      </c>
      <c r="B410" s="1">
        <v>2024001556</v>
      </c>
      <c r="C410" s="1" t="s">
        <v>122</v>
      </c>
      <c r="D410" s="5">
        <v>2000000</v>
      </c>
      <c r="E410" s="1">
        <v>1004592366</v>
      </c>
      <c r="F410" s="1" t="s">
        <v>123</v>
      </c>
      <c r="G410" s="1" t="s">
        <v>9</v>
      </c>
    </row>
    <row r="411" spans="1:7" ht="14.25" customHeight="1" x14ac:dyDescent="0.25">
      <c r="A411" s="3">
        <v>45526</v>
      </c>
      <c r="B411" s="1">
        <v>2024001557</v>
      </c>
      <c r="C411" s="1" t="s">
        <v>274</v>
      </c>
      <c r="D411" s="5">
        <v>4800600</v>
      </c>
      <c r="E411" s="1">
        <v>1085321578</v>
      </c>
      <c r="F411" s="1" t="s">
        <v>275</v>
      </c>
      <c r="G411" s="1" t="s">
        <v>9</v>
      </c>
    </row>
    <row r="412" spans="1:7" ht="14.25" customHeight="1" x14ac:dyDescent="0.25">
      <c r="A412" s="3">
        <v>45526</v>
      </c>
      <c r="B412" s="1">
        <v>2024001558</v>
      </c>
      <c r="C412" s="1" t="s">
        <v>276</v>
      </c>
      <c r="D412" s="5">
        <v>2000000</v>
      </c>
      <c r="E412" s="1">
        <v>1192717330</v>
      </c>
      <c r="F412" s="1" t="s">
        <v>277</v>
      </c>
      <c r="G412" s="1" t="s">
        <v>9</v>
      </c>
    </row>
    <row r="413" spans="1:7" ht="14.25" customHeight="1" x14ac:dyDescent="0.25">
      <c r="A413" s="3">
        <v>45526</v>
      </c>
      <c r="B413" s="1">
        <v>2024001559</v>
      </c>
      <c r="C413" s="1" t="s">
        <v>278</v>
      </c>
      <c r="D413" s="5">
        <v>2000000</v>
      </c>
      <c r="E413" s="1">
        <v>1233189896</v>
      </c>
      <c r="F413" s="1" t="s">
        <v>279</v>
      </c>
      <c r="G413" s="1" t="s">
        <v>9</v>
      </c>
    </row>
    <row r="414" spans="1:7" ht="14.25" customHeight="1" x14ac:dyDescent="0.25">
      <c r="A414" s="3">
        <v>45526</v>
      </c>
      <c r="B414" s="1">
        <v>2024001561</v>
      </c>
      <c r="C414" s="1" t="s">
        <v>280</v>
      </c>
      <c r="D414" s="5">
        <v>2000000</v>
      </c>
      <c r="E414" s="1">
        <v>59830219</v>
      </c>
      <c r="F414" s="1" t="s">
        <v>281</v>
      </c>
      <c r="G414" s="1" t="s">
        <v>9</v>
      </c>
    </row>
    <row r="415" spans="1:7" ht="14.25" customHeight="1" x14ac:dyDescent="0.25">
      <c r="A415" s="3">
        <v>45526</v>
      </c>
      <c r="B415" s="1">
        <v>2024001562</v>
      </c>
      <c r="C415" s="1" t="s">
        <v>282</v>
      </c>
      <c r="D415" s="5">
        <v>2000000</v>
      </c>
      <c r="E415" s="1">
        <v>1085327836</v>
      </c>
      <c r="F415" s="1" t="s">
        <v>283</v>
      </c>
      <c r="G415" s="1" t="s">
        <v>9</v>
      </c>
    </row>
    <row r="416" spans="1:7" ht="14.25" customHeight="1" x14ac:dyDescent="0.25">
      <c r="A416" s="3">
        <v>45526</v>
      </c>
      <c r="B416" s="1">
        <v>2024001563</v>
      </c>
      <c r="C416" s="1" t="s">
        <v>22</v>
      </c>
      <c r="D416" s="5">
        <v>4750000</v>
      </c>
      <c r="E416" s="1">
        <v>1085325342</v>
      </c>
      <c r="F416" s="1" t="s">
        <v>23</v>
      </c>
      <c r="G416" s="1" t="s">
        <v>9</v>
      </c>
    </row>
    <row r="417" spans="1:7" ht="14.25" customHeight="1" x14ac:dyDescent="0.25">
      <c r="A417" s="3">
        <v>45526</v>
      </c>
      <c r="B417" s="1">
        <v>2024001564</v>
      </c>
      <c r="C417" s="1" t="s">
        <v>284</v>
      </c>
      <c r="D417" s="5">
        <v>2000000</v>
      </c>
      <c r="E417" s="1">
        <v>27094521</v>
      </c>
      <c r="F417" s="1" t="s">
        <v>285</v>
      </c>
      <c r="G417" s="1" t="s">
        <v>9</v>
      </c>
    </row>
    <row r="418" spans="1:7" ht="14.25" customHeight="1" x14ac:dyDescent="0.25">
      <c r="A418" s="3">
        <v>45526</v>
      </c>
      <c r="B418" s="1">
        <v>2024001565</v>
      </c>
      <c r="C418" s="1" t="s">
        <v>286</v>
      </c>
      <c r="D418" s="5">
        <v>2000000</v>
      </c>
      <c r="E418" s="1">
        <v>1085338232</v>
      </c>
      <c r="F418" s="1" t="s">
        <v>287</v>
      </c>
      <c r="G418" s="1" t="s">
        <v>9</v>
      </c>
    </row>
    <row r="419" spans="1:7" ht="14.25" customHeight="1" x14ac:dyDescent="0.25">
      <c r="A419" s="3">
        <v>45526</v>
      </c>
      <c r="B419" s="1">
        <v>2024001566</v>
      </c>
      <c r="C419" s="1" t="s">
        <v>288</v>
      </c>
      <c r="D419" s="5">
        <v>2000000</v>
      </c>
      <c r="E419" s="1">
        <v>1004709928</v>
      </c>
      <c r="F419" s="1" t="s">
        <v>289</v>
      </c>
      <c r="G419" s="1" t="s">
        <v>9</v>
      </c>
    </row>
    <row r="420" spans="1:7" ht="14.25" customHeight="1" x14ac:dyDescent="0.25">
      <c r="A420" s="3">
        <v>45526</v>
      </c>
      <c r="B420" s="1">
        <v>2024001567</v>
      </c>
      <c r="C420" s="1" t="s">
        <v>290</v>
      </c>
      <c r="D420" s="5">
        <v>2000000</v>
      </c>
      <c r="E420" s="1">
        <v>1085344082</v>
      </c>
      <c r="F420" s="1" t="s">
        <v>291</v>
      </c>
      <c r="G420" s="1" t="s">
        <v>9</v>
      </c>
    </row>
    <row r="421" spans="1:7" ht="14.25" customHeight="1" x14ac:dyDescent="0.25">
      <c r="A421" s="3">
        <v>45526</v>
      </c>
      <c r="B421" s="1">
        <v>2024001568</v>
      </c>
      <c r="C421" s="1" t="s">
        <v>292</v>
      </c>
      <c r="D421" s="5">
        <v>2000000</v>
      </c>
      <c r="E421" s="1">
        <v>1085330079</v>
      </c>
      <c r="F421" s="1" t="s">
        <v>293</v>
      </c>
      <c r="G421" s="1" t="s">
        <v>9</v>
      </c>
    </row>
    <row r="422" spans="1:7" ht="14.25" customHeight="1" x14ac:dyDescent="0.25">
      <c r="A422" s="3">
        <v>45526</v>
      </c>
      <c r="B422" s="1">
        <v>2024001569</v>
      </c>
      <c r="C422" s="1" t="s">
        <v>294</v>
      </c>
      <c r="D422" s="5">
        <v>4825600</v>
      </c>
      <c r="E422" s="1">
        <v>1088730712</v>
      </c>
      <c r="F422" s="1" t="s">
        <v>295</v>
      </c>
      <c r="G422" s="1" t="s">
        <v>9</v>
      </c>
    </row>
    <row r="423" spans="1:7" ht="14.25" customHeight="1" x14ac:dyDescent="0.25">
      <c r="A423" s="3">
        <v>45526</v>
      </c>
      <c r="B423" s="1">
        <v>2024001571</v>
      </c>
      <c r="C423" s="1" t="s">
        <v>296</v>
      </c>
      <c r="D423" s="5">
        <v>2000000</v>
      </c>
      <c r="E423" s="1">
        <v>59830040</v>
      </c>
      <c r="F423" s="1" t="s">
        <v>297</v>
      </c>
      <c r="G423" s="1" t="s">
        <v>9</v>
      </c>
    </row>
    <row r="424" spans="1:7" ht="14.25" customHeight="1" x14ac:dyDescent="0.25">
      <c r="A424" s="3">
        <v>45526</v>
      </c>
      <c r="B424" s="1">
        <v>2024001572</v>
      </c>
      <c r="C424" s="1" t="s">
        <v>298</v>
      </c>
      <c r="D424" s="5">
        <v>4825600</v>
      </c>
      <c r="E424" s="1">
        <v>12983807</v>
      </c>
      <c r="F424" s="1" t="s">
        <v>299</v>
      </c>
      <c r="G424" s="1" t="s">
        <v>9</v>
      </c>
    </row>
    <row r="425" spans="1:7" ht="14.25" customHeight="1" x14ac:dyDescent="0.25">
      <c r="A425" s="3">
        <v>45526</v>
      </c>
      <c r="B425" s="1">
        <v>2024001573</v>
      </c>
      <c r="C425" s="1" t="s">
        <v>26</v>
      </c>
      <c r="D425" s="5">
        <v>6000000</v>
      </c>
      <c r="E425" s="1">
        <v>1085292185</v>
      </c>
      <c r="F425" s="1" t="s">
        <v>27</v>
      </c>
      <c r="G425" s="1" t="s">
        <v>9</v>
      </c>
    </row>
    <row r="426" spans="1:7" ht="14.25" customHeight="1" x14ac:dyDescent="0.25">
      <c r="A426" s="3">
        <v>45526</v>
      </c>
      <c r="B426" s="1">
        <v>2024001575</v>
      </c>
      <c r="C426" s="1" t="s">
        <v>300</v>
      </c>
      <c r="D426" s="5">
        <v>2000000</v>
      </c>
      <c r="E426" s="1">
        <v>1085325718</v>
      </c>
      <c r="F426" s="1" t="s">
        <v>301</v>
      </c>
      <c r="G426" s="1" t="s">
        <v>9</v>
      </c>
    </row>
    <row r="427" spans="1:7" ht="14.25" customHeight="1" x14ac:dyDescent="0.25">
      <c r="A427" s="3">
        <v>45526</v>
      </c>
      <c r="B427" s="1">
        <v>2024001576</v>
      </c>
      <c r="C427" s="1" t="s">
        <v>300</v>
      </c>
      <c r="D427" s="5">
        <v>2000000</v>
      </c>
      <c r="E427" s="1">
        <v>1085325718</v>
      </c>
      <c r="F427" s="1" t="s">
        <v>301</v>
      </c>
      <c r="G427" s="1" t="s">
        <v>9</v>
      </c>
    </row>
    <row r="428" spans="1:7" ht="14.25" customHeight="1" x14ac:dyDescent="0.25">
      <c r="A428" s="3">
        <v>45526</v>
      </c>
      <c r="B428" s="1">
        <v>2024001577</v>
      </c>
      <c r="C428" s="1" t="s">
        <v>302</v>
      </c>
      <c r="D428" s="5">
        <v>2000000</v>
      </c>
      <c r="E428" s="1">
        <v>1085251468</v>
      </c>
      <c r="F428" s="1" t="s">
        <v>303</v>
      </c>
      <c r="G428" s="1" t="s">
        <v>9</v>
      </c>
    </row>
    <row r="429" spans="1:7" ht="14.25" customHeight="1" x14ac:dyDescent="0.25">
      <c r="A429" s="3">
        <v>45526</v>
      </c>
      <c r="B429" s="1">
        <v>2024001578</v>
      </c>
      <c r="C429" s="1" t="s">
        <v>70</v>
      </c>
      <c r="D429" s="5">
        <v>2000000</v>
      </c>
      <c r="E429" s="1">
        <v>59314601</v>
      </c>
      <c r="F429" s="1" t="s">
        <v>71</v>
      </c>
      <c r="G429" s="1" t="s">
        <v>9</v>
      </c>
    </row>
    <row r="430" spans="1:7" ht="14.25" customHeight="1" x14ac:dyDescent="0.25">
      <c r="A430" s="3">
        <v>45526</v>
      </c>
      <c r="B430" s="1">
        <v>2024001579</v>
      </c>
      <c r="C430" s="1" t="s">
        <v>34</v>
      </c>
      <c r="D430" s="5">
        <v>2000000</v>
      </c>
      <c r="E430" s="1">
        <v>1085331508</v>
      </c>
      <c r="F430" s="1" t="s">
        <v>35</v>
      </c>
      <c r="G430" s="1" t="s">
        <v>9</v>
      </c>
    </row>
    <row r="431" spans="1:7" ht="14.25" customHeight="1" x14ac:dyDescent="0.25">
      <c r="A431" s="3">
        <v>45526</v>
      </c>
      <c r="B431" s="1">
        <v>2024001581</v>
      </c>
      <c r="C431" s="1" t="s">
        <v>304</v>
      </c>
      <c r="D431" s="5">
        <v>2000000</v>
      </c>
      <c r="E431" s="1">
        <v>1086016308</v>
      </c>
      <c r="F431" s="1" t="s">
        <v>305</v>
      </c>
      <c r="G431" s="1" t="s">
        <v>9</v>
      </c>
    </row>
    <row r="432" spans="1:7" ht="14.25" customHeight="1" x14ac:dyDescent="0.25">
      <c r="A432" s="3">
        <v>45526</v>
      </c>
      <c r="B432" s="1">
        <v>2024001583</v>
      </c>
      <c r="C432" s="1" t="s">
        <v>306</v>
      </c>
      <c r="D432" s="5">
        <v>2000000</v>
      </c>
      <c r="E432" s="1">
        <v>1085310465</v>
      </c>
      <c r="F432" s="1" t="s">
        <v>307</v>
      </c>
      <c r="G432" s="1" t="s">
        <v>9</v>
      </c>
    </row>
    <row r="433" spans="1:7" ht="14.25" customHeight="1" x14ac:dyDescent="0.25">
      <c r="A433" s="3">
        <v>45530</v>
      </c>
      <c r="B433" s="1">
        <v>2024001599</v>
      </c>
      <c r="C433" s="1" t="s">
        <v>308</v>
      </c>
      <c r="D433" s="5">
        <v>7500000</v>
      </c>
      <c r="E433" s="1">
        <v>12961407</v>
      </c>
      <c r="F433" s="1" t="s">
        <v>309</v>
      </c>
      <c r="G433" s="1" t="s">
        <v>9</v>
      </c>
    </row>
    <row r="434" spans="1:7" ht="14.25" customHeight="1" x14ac:dyDescent="0.25">
      <c r="A434" s="3">
        <v>45530</v>
      </c>
      <c r="B434" s="1">
        <v>2024001600</v>
      </c>
      <c r="C434" s="1" t="s">
        <v>310</v>
      </c>
      <c r="D434" s="5">
        <v>6000000</v>
      </c>
      <c r="E434" s="1">
        <v>59836926</v>
      </c>
      <c r="F434" s="1" t="s">
        <v>311</v>
      </c>
      <c r="G434" s="1" t="s">
        <v>9</v>
      </c>
    </row>
    <row r="435" spans="1:7" ht="14.25" customHeight="1" x14ac:dyDescent="0.25">
      <c r="A435" s="3">
        <v>45530</v>
      </c>
      <c r="B435" s="1">
        <v>2024001601</v>
      </c>
      <c r="C435" s="1" t="s">
        <v>312</v>
      </c>
      <c r="D435" s="5">
        <v>2000000</v>
      </c>
      <c r="E435" s="1">
        <v>36757715</v>
      </c>
      <c r="F435" s="1" t="s">
        <v>313</v>
      </c>
      <c r="G435" s="1" t="s">
        <v>9</v>
      </c>
    </row>
    <row r="436" spans="1:7" ht="14.25" customHeight="1" x14ac:dyDescent="0.25">
      <c r="A436" s="3">
        <v>45530</v>
      </c>
      <c r="B436" s="1">
        <v>2024001602</v>
      </c>
      <c r="C436" s="1" t="s">
        <v>314</v>
      </c>
      <c r="D436" s="5">
        <v>2000000</v>
      </c>
      <c r="E436" s="1">
        <v>1085337465</v>
      </c>
      <c r="F436" s="1" t="s">
        <v>315</v>
      </c>
      <c r="G436" s="1" t="s">
        <v>9</v>
      </c>
    </row>
    <row r="437" spans="1:7" ht="14.25" customHeight="1" x14ac:dyDescent="0.25">
      <c r="A437" s="3">
        <v>45530</v>
      </c>
      <c r="B437" s="1">
        <v>2024001603</v>
      </c>
      <c r="C437" s="1" t="s">
        <v>316</v>
      </c>
      <c r="D437" s="5">
        <v>2000000</v>
      </c>
      <c r="E437" s="1">
        <v>1193265831</v>
      </c>
      <c r="F437" s="1" t="s">
        <v>317</v>
      </c>
      <c r="G437" s="1" t="s">
        <v>9</v>
      </c>
    </row>
    <row r="438" spans="1:7" ht="14.25" customHeight="1" x14ac:dyDescent="0.25">
      <c r="A438" s="3">
        <v>45530</v>
      </c>
      <c r="B438" s="1">
        <v>2024001604</v>
      </c>
      <c r="C438" s="1" t="s">
        <v>318</v>
      </c>
      <c r="D438" s="5">
        <v>2000000</v>
      </c>
      <c r="E438" s="1">
        <v>1081052090</v>
      </c>
      <c r="F438" s="1" t="s">
        <v>319</v>
      </c>
      <c r="G438" s="1" t="s">
        <v>9</v>
      </c>
    </row>
    <row r="439" spans="1:7" ht="14.25" customHeight="1" x14ac:dyDescent="0.25">
      <c r="A439" s="3">
        <v>45530</v>
      </c>
      <c r="B439" s="1">
        <v>2024001605</v>
      </c>
      <c r="C439" s="1" t="s">
        <v>30</v>
      </c>
      <c r="D439" s="5">
        <v>6000000</v>
      </c>
      <c r="E439" s="1">
        <v>1085253062</v>
      </c>
      <c r="F439" s="1" t="s">
        <v>31</v>
      </c>
      <c r="G439" s="1" t="s">
        <v>9</v>
      </c>
    </row>
    <row r="440" spans="1:7" ht="14.25" customHeight="1" x14ac:dyDescent="0.25">
      <c r="A440" s="3">
        <v>45530</v>
      </c>
      <c r="B440" s="1">
        <v>2024001606</v>
      </c>
      <c r="C440" s="1" t="s">
        <v>320</v>
      </c>
      <c r="D440" s="5">
        <v>2000000</v>
      </c>
      <c r="E440" s="1">
        <v>1085347540</v>
      </c>
      <c r="F440" s="1" t="s">
        <v>321</v>
      </c>
      <c r="G440" s="1" t="s">
        <v>9</v>
      </c>
    </row>
    <row r="441" spans="1:7" ht="14.25" customHeight="1" x14ac:dyDescent="0.25">
      <c r="A441" s="3">
        <v>45530</v>
      </c>
      <c r="B441" s="1">
        <v>2024001607</v>
      </c>
      <c r="C441" s="1" t="s">
        <v>28</v>
      </c>
      <c r="D441" s="5">
        <v>4750000</v>
      </c>
      <c r="E441" s="1">
        <v>1085324546</v>
      </c>
      <c r="F441" s="1" t="s">
        <v>29</v>
      </c>
      <c r="G441" s="1" t="s">
        <v>9</v>
      </c>
    </row>
    <row r="442" spans="1:7" ht="14.25" customHeight="1" x14ac:dyDescent="0.25">
      <c r="A442" s="3">
        <v>45531</v>
      </c>
      <c r="B442" s="1">
        <v>2024001610</v>
      </c>
      <c r="C442" s="1" t="s">
        <v>322</v>
      </c>
      <c r="D442" s="5">
        <v>2625000</v>
      </c>
      <c r="E442" s="1">
        <v>1085904098</v>
      </c>
      <c r="F442" s="1" t="s">
        <v>323</v>
      </c>
      <c r="G442" s="1" t="s">
        <v>9</v>
      </c>
    </row>
    <row r="443" spans="1:7" ht="14.25" customHeight="1" x14ac:dyDescent="0.25">
      <c r="A443" s="3">
        <v>45531</v>
      </c>
      <c r="B443" s="1">
        <v>2024001613</v>
      </c>
      <c r="C443" s="1" t="s">
        <v>324</v>
      </c>
      <c r="D443" s="5">
        <v>2000000</v>
      </c>
      <c r="E443" s="1">
        <v>1085290651</v>
      </c>
      <c r="F443" s="1" t="s">
        <v>325</v>
      </c>
      <c r="G443" s="1" t="s">
        <v>9</v>
      </c>
    </row>
    <row r="444" spans="1:7" ht="14.25" customHeight="1" x14ac:dyDescent="0.25">
      <c r="A444" s="3">
        <v>45531</v>
      </c>
      <c r="B444" s="1">
        <v>2024001614</v>
      </c>
      <c r="C444" s="1" t="s">
        <v>326</v>
      </c>
      <c r="D444" s="5">
        <v>2000000</v>
      </c>
      <c r="E444" s="1">
        <v>1085314075</v>
      </c>
      <c r="F444" s="1" t="s">
        <v>327</v>
      </c>
      <c r="G444" s="1" t="s">
        <v>9</v>
      </c>
    </row>
    <row r="445" spans="1:7" ht="14.25" customHeight="1" x14ac:dyDescent="0.25">
      <c r="A445" s="3">
        <v>45531</v>
      </c>
      <c r="B445" s="1">
        <v>2024001615</v>
      </c>
      <c r="C445" s="1" t="s">
        <v>328</v>
      </c>
      <c r="D445" s="5">
        <v>6000000</v>
      </c>
      <c r="E445" s="1">
        <v>97470681</v>
      </c>
      <c r="F445" s="1" t="s">
        <v>329</v>
      </c>
      <c r="G445" s="1" t="s">
        <v>9</v>
      </c>
    </row>
    <row r="446" spans="1:7" ht="14.25" customHeight="1" x14ac:dyDescent="0.25">
      <c r="A446" s="3">
        <v>45531</v>
      </c>
      <c r="B446" s="1">
        <v>2024001616</v>
      </c>
      <c r="C446" s="1" t="s">
        <v>38</v>
      </c>
      <c r="D446" s="5">
        <v>2000000</v>
      </c>
      <c r="E446" s="1">
        <v>1193385397</v>
      </c>
      <c r="F446" s="1" t="s">
        <v>39</v>
      </c>
      <c r="G446" s="1" t="s">
        <v>9</v>
      </c>
    </row>
    <row r="447" spans="1:7" ht="14.25" customHeight="1" x14ac:dyDescent="0.25">
      <c r="A447" s="3">
        <v>45531</v>
      </c>
      <c r="B447" s="1">
        <v>2024001617</v>
      </c>
      <c r="C447" s="1" t="s">
        <v>58</v>
      </c>
      <c r="D447" s="5">
        <v>2000000</v>
      </c>
      <c r="E447" s="1">
        <v>1081272025</v>
      </c>
      <c r="F447" s="1" t="s">
        <v>59</v>
      </c>
      <c r="G447" s="1" t="s">
        <v>9</v>
      </c>
    </row>
    <row r="448" spans="1:7" ht="14.25" customHeight="1" x14ac:dyDescent="0.25">
      <c r="A448" s="3">
        <v>45531</v>
      </c>
      <c r="B448" s="1">
        <v>2024001618</v>
      </c>
      <c r="C448" s="1" t="s">
        <v>330</v>
      </c>
      <c r="D448" s="5">
        <v>2000000</v>
      </c>
      <c r="E448" s="1">
        <v>1085313463</v>
      </c>
      <c r="F448" s="1" t="s">
        <v>331</v>
      </c>
      <c r="G448" s="1" t="s">
        <v>9</v>
      </c>
    </row>
    <row r="449" spans="1:7" ht="14.25" customHeight="1" x14ac:dyDescent="0.25">
      <c r="A449" s="3">
        <v>45531</v>
      </c>
      <c r="B449" s="1">
        <v>2024001619</v>
      </c>
      <c r="C449" s="1" t="s">
        <v>332</v>
      </c>
      <c r="D449" s="5">
        <v>4825600</v>
      </c>
      <c r="E449" s="1">
        <v>1085269530</v>
      </c>
      <c r="F449" s="1" t="s">
        <v>333</v>
      </c>
      <c r="G449" s="1" t="s">
        <v>9</v>
      </c>
    </row>
    <row r="450" spans="1:7" ht="14.25" customHeight="1" x14ac:dyDescent="0.25">
      <c r="A450" s="3">
        <v>45531</v>
      </c>
      <c r="B450" s="1">
        <v>2024001620</v>
      </c>
      <c r="C450" s="1" t="s">
        <v>334</v>
      </c>
      <c r="D450" s="5">
        <v>2000000</v>
      </c>
      <c r="E450" s="1">
        <v>1085261053</v>
      </c>
      <c r="F450" s="1" t="s">
        <v>335</v>
      </c>
      <c r="G450" s="1" t="s">
        <v>9</v>
      </c>
    </row>
    <row r="451" spans="1:7" ht="14.25" customHeight="1" x14ac:dyDescent="0.25">
      <c r="A451" s="3">
        <v>45531</v>
      </c>
      <c r="B451" s="1">
        <v>2024001621</v>
      </c>
      <c r="C451" s="1" t="s">
        <v>336</v>
      </c>
      <c r="D451" s="5">
        <v>6000000</v>
      </c>
      <c r="E451" s="1">
        <v>1010010954</v>
      </c>
      <c r="F451" s="1" t="s">
        <v>337</v>
      </c>
      <c r="G451" s="1" t="s">
        <v>9</v>
      </c>
    </row>
    <row r="452" spans="1:7" ht="14.25" customHeight="1" x14ac:dyDescent="0.25">
      <c r="A452" s="3">
        <v>45531</v>
      </c>
      <c r="B452" s="1">
        <v>2024001622</v>
      </c>
      <c r="C452" s="1" t="s">
        <v>338</v>
      </c>
      <c r="D452" s="5">
        <v>2000000</v>
      </c>
      <c r="E452" s="1">
        <v>1081273343</v>
      </c>
      <c r="F452" s="1" t="s">
        <v>339</v>
      </c>
      <c r="G452" s="1" t="s">
        <v>9</v>
      </c>
    </row>
    <row r="453" spans="1:7" ht="14.25" customHeight="1" x14ac:dyDescent="0.25">
      <c r="A453" s="3">
        <v>45531</v>
      </c>
      <c r="B453" s="1">
        <v>2024001623</v>
      </c>
      <c r="C453" s="1" t="s">
        <v>340</v>
      </c>
      <c r="D453" s="5">
        <v>2000000</v>
      </c>
      <c r="E453" s="1">
        <v>36759281</v>
      </c>
      <c r="F453" s="1" t="s">
        <v>341</v>
      </c>
      <c r="G453" s="1" t="s">
        <v>9</v>
      </c>
    </row>
    <row r="454" spans="1:7" ht="14.25" customHeight="1" x14ac:dyDescent="0.25">
      <c r="A454" s="3">
        <v>45531</v>
      </c>
      <c r="B454" s="1">
        <v>2024001624</v>
      </c>
      <c r="C454" s="1" t="s">
        <v>342</v>
      </c>
      <c r="D454" s="5">
        <v>6000000</v>
      </c>
      <c r="E454" s="1">
        <v>36954410</v>
      </c>
      <c r="F454" s="1" t="s">
        <v>343</v>
      </c>
      <c r="G454" s="1" t="s">
        <v>9</v>
      </c>
    </row>
    <row r="455" spans="1:7" ht="14.25" customHeight="1" x14ac:dyDescent="0.25">
      <c r="A455" s="3">
        <v>45532</v>
      </c>
      <c r="B455" s="1">
        <v>2024001625</v>
      </c>
      <c r="C455" s="1" t="s">
        <v>344</v>
      </c>
      <c r="D455" s="5">
        <v>2000000</v>
      </c>
      <c r="E455" s="1">
        <v>27309586</v>
      </c>
      <c r="F455" s="1" t="s">
        <v>345</v>
      </c>
      <c r="G455" s="1" t="s">
        <v>9</v>
      </c>
    </row>
    <row r="456" spans="1:7" ht="14.25" customHeight="1" x14ac:dyDescent="0.25">
      <c r="A456" s="3">
        <v>45532</v>
      </c>
      <c r="B456" s="1">
        <v>2024001626</v>
      </c>
      <c r="C456" s="1" t="s">
        <v>346</v>
      </c>
      <c r="D456" s="5">
        <v>2000000</v>
      </c>
      <c r="E456" s="1">
        <v>1004535115</v>
      </c>
      <c r="F456" s="1" t="s">
        <v>347</v>
      </c>
      <c r="G456" s="1" t="s">
        <v>9</v>
      </c>
    </row>
    <row r="457" spans="1:7" ht="14.25" customHeight="1" x14ac:dyDescent="0.25">
      <c r="A457" s="3">
        <v>45532</v>
      </c>
      <c r="B457" s="1">
        <v>2024001628</v>
      </c>
      <c r="C457" s="1" t="s">
        <v>348</v>
      </c>
      <c r="D457" s="5">
        <v>2000000</v>
      </c>
      <c r="E457" s="1">
        <v>27285974</v>
      </c>
      <c r="F457" s="1" t="s">
        <v>349</v>
      </c>
      <c r="G457" s="1" t="s">
        <v>9</v>
      </c>
    </row>
    <row r="458" spans="1:7" ht="14.25" customHeight="1" x14ac:dyDescent="0.25">
      <c r="A458" s="3">
        <v>45532</v>
      </c>
      <c r="B458" s="1">
        <v>2024001629</v>
      </c>
      <c r="C458" s="1" t="s">
        <v>350</v>
      </c>
      <c r="D458" s="5">
        <v>4750000</v>
      </c>
      <c r="E458" s="1">
        <v>1233192618</v>
      </c>
      <c r="F458" s="1" t="s">
        <v>351</v>
      </c>
      <c r="G458" s="1" t="s">
        <v>9</v>
      </c>
    </row>
    <row r="459" spans="1:7" ht="14.25" customHeight="1" x14ac:dyDescent="0.25">
      <c r="A459" s="3">
        <v>45532</v>
      </c>
      <c r="B459" s="1">
        <v>2024001630</v>
      </c>
      <c r="C459" s="1" t="s">
        <v>94</v>
      </c>
      <c r="D459" s="5">
        <v>4750000</v>
      </c>
      <c r="E459" s="1">
        <v>1087413951</v>
      </c>
      <c r="F459" s="1" t="s">
        <v>95</v>
      </c>
      <c r="G459" s="1" t="s">
        <v>9</v>
      </c>
    </row>
    <row r="460" spans="1:7" ht="14.25" customHeight="1" x14ac:dyDescent="0.25">
      <c r="A460" s="3">
        <v>45532</v>
      </c>
      <c r="B460" s="1">
        <v>2024001632</v>
      </c>
      <c r="C460" s="1" t="s">
        <v>352</v>
      </c>
      <c r="D460" s="5">
        <v>2000000</v>
      </c>
      <c r="E460" s="1">
        <v>1081592303</v>
      </c>
      <c r="F460" s="1" t="s">
        <v>353</v>
      </c>
      <c r="G460" s="1" t="s">
        <v>9</v>
      </c>
    </row>
    <row r="461" spans="1:7" ht="14.25" customHeight="1" x14ac:dyDescent="0.25">
      <c r="A461" s="3">
        <v>45532</v>
      </c>
      <c r="B461" s="1">
        <v>2024001633</v>
      </c>
      <c r="C461" s="1" t="s">
        <v>86</v>
      </c>
      <c r="D461" s="5">
        <v>2000000</v>
      </c>
      <c r="E461" s="1">
        <v>1233189234</v>
      </c>
      <c r="F461" s="1" t="s">
        <v>87</v>
      </c>
      <c r="G461" s="1" t="s">
        <v>9</v>
      </c>
    </row>
    <row r="462" spans="1:7" ht="14.25" customHeight="1" x14ac:dyDescent="0.25">
      <c r="A462" s="3">
        <v>45532</v>
      </c>
      <c r="B462" s="1">
        <v>2024001634</v>
      </c>
      <c r="C462" s="1" t="s">
        <v>354</v>
      </c>
      <c r="D462" s="5">
        <v>4750000</v>
      </c>
      <c r="E462" s="1">
        <v>1085318684</v>
      </c>
      <c r="F462" s="1" t="s">
        <v>355</v>
      </c>
      <c r="G462" s="1" t="s">
        <v>9</v>
      </c>
    </row>
    <row r="463" spans="1:7" ht="14.25" customHeight="1" x14ac:dyDescent="0.25">
      <c r="A463" s="3">
        <v>45532</v>
      </c>
      <c r="B463" s="1">
        <v>2024001636</v>
      </c>
      <c r="C463" s="1" t="s">
        <v>356</v>
      </c>
      <c r="D463" s="5">
        <v>2000000</v>
      </c>
      <c r="E463" s="1">
        <v>27090145</v>
      </c>
      <c r="F463" s="1" t="s">
        <v>357</v>
      </c>
      <c r="G463" s="1" t="s">
        <v>9</v>
      </c>
    </row>
    <row r="464" spans="1:7" ht="14.25" customHeight="1" x14ac:dyDescent="0.25">
      <c r="A464" s="3">
        <v>45532</v>
      </c>
      <c r="B464" s="1">
        <v>2024001637</v>
      </c>
      <c r="C464" s="1" t="s">
        <v>358</v>
      </c>
      <c r="D464" s="5">
        <v>7500000</v>
      </c>
      <c r="E464" s="1">
        <v>1085345430</v>
      </c>
      <c r="F464" s="1" t="s">
        <v>359</v>
      </c>
      <c r="G464" s="1" t="s">
        <v>9</v>
      </c>
    </row>
    <row r="465" spans="1:7" ht="14.25" customHeight="1" x14ac:dyDescent="0.25">
      <c r="A465" s="3">
        <v>45532</v>
      </c>
      <c r="B465" s="1">
        <v>2024001638</v>
      </c>
      <c r="C465" s="1" t="s">
        <v>360</v>
      </c>
      <c r="D465" s="5">
        <v>7500000</v>
      </c>
      <c r="E465" s="1">
        <v>7603662</v>
      </c>
      <c r="F465" s="1" t="s">
        <v>361</v>
      </c>
      <c r="G465" s="1" t="s">
        <v>9</v>
      </c>
    </row>
    <row r="466" spans="1:7" ht="14.25" customHeight="1" x14ac:dyDescent="0.25">
      <c r="A466" s="3">
        <v>45532</v>
      </c>
      <c r="B466" s="1">
        <v>2024001639</v>
      </c>
      <c r="C466" s="1" t="s">
        <v>42</v>
      </c>
      <c r="D466" s="5">
        <v>7500000</v>
      </c>
      <c r="E466" s="1">
        <v>87065647</v>
      </c>
      <c r="F466" s="1" t="s">
        <v>43</v>
      </c>
      <c r="G466" s="1" t="s">
        <v>9</v>
      </c>
    </row>
    <row r="467" spans="1:7" ht="14.25" customHeight="1" x14ac:dyDescent="0.25">
      <c r="A467" s="3">
        <v>45532</v>
      </c>
      <c r="B467" s="1">
        <v>2024001641</v>
      </c>
      <c r="C467" s="1" t="s">
        <v>152</v>
      </c>
      <c r="D467" s="5">
        <v>2000000</v>
      </c>
      <c r="E467" s="1">
        <v>1144206777</v>
      </c>
      <c r="F467" s="1" t="s">
        <v>153</v>
      </c>
      <c r="G467" s="1" t="s">
        <v>9</v>
      </c>
    </row>
    <row r="468" spans="1:7" ht="14.25" customHeight="1" x14ac:dyDescent="0.25">
      <c r="A468" s="3">
        <v>45532</v>
      </c>
      <c r="B468" s="1">
        <v>2024001642</v>
      </c>
      <c r="C468" s="1" t="s">
        <v>40</v>
      </c>
      <c r="D468" s="5">
        <v>7500000</v>
      </c>
      <c r="E468" s="1">
        <v>1085336362</v>
      </c>
      <c r="F468" s="1" t="s">
        <v>41</v>
      </c>
      <c r="G468" s="1" t="s">
        <v>9</v>
      </c>
    </row>
    <row r="469" spans="1:7" ht="14.25" customHeight="1" x14ac:dyDescent="0.25">
      <c r="A469" s="3">
        <v>45533</v>
      </c>
      <c r="B469" s="1">
        <v>2024001646</v>
      </c>
      <c r="C469" s="1" t="s">
        <v>362</v>
      </c>
      <c r="D469" s="5">
        <v>4825600</v>
      </c>
      <c r="E469" s="1">
        <v>1085321943</v>
      </c>
      <c r="F469" s="1" t="s">
        <v>363</v>
      </c>
      <c r="G469" s="1" t="s">
        <v>9</v>
      </c>
    </row>
    <row r="470" spans="1:7" ht="14.25" customHeight="1" x14ac:dyDescent="0.25">
      <c r="A470" s="3">
        <v>45533</v>
      </c>
      <c r="B470" s="1">
        <v>2024001647</v>
      </c>
      <c r="C470" s="1" t="s">
        <v>364</v>
      </c>
      <c r="D470" s="5">
        <v>2000000</v>
      </c>
      <c r="E470" s="1">
        <v>1004726758</v>
      </c>
      <c r="F470" s="1" t="s">
        <v>365</v>
      </c>
      <c r="G470" s="1" t="s">
        <v>9</v>
      </c>
    </row>
    <row r="471" spans="1:7" ht="14.25" customHeight="1" x14ac:dyDescent="0.25">
      <c r="A471" s="3">
        <v>45533</v>
      </c>
      <c r="B471" s="1">
        <v>2024001648</v>
      </c>
      <c r="C471" s="1" t="s">
        <v>366</v>
      </c>
      <c r="D471" s="5">
        <v>2000000</v>
      </c>
      <c r="E471" s="1">
        <v>1004508436</v>
      </c>
      <c r="F471" s="1" t="s">
        <v>367</v>
      </c>
      <c r="G471" s="1" t="s">
        <v>9</v>
      </c>
    </row>
    <row r="472" spans="1:7" ht="14.25" customHeight="1" x14ac:dyDescent="0.25">
      <c r="A472" s="3">
        <v>45533</v>
      </c>
      <c r="B472" s="1">
        <v>2024001649</v>
      </c>
      <c r="C472" s="1" t="s">
        <v>368</v>
      </c>
      <c r="D472" s="5">
        <v>2000000</v>
      </c>
      <c r="E472" s="1">
        <v>1085338135</v>
      </c>
      <c r="F472" s="1" t="s">
        <v>369</v>
      </c>
      <c r="G472" s="1" t="s">
        <v>9</v>
      </c>
    </row>
    <row r="473" spans="1:7" ht="14.25" customHeight="1" x14ac:dyDescent="0.25">
      <c r="A473" s="3">
        <v>45533</v>
      </c>
      <c r="B473" s="1">
        <v>2024001650</v>
      </c>
      <c r="C473" s="1" t="s">
        <v>370</v>
      </c>
      <c r="D473" s="5">
        <v>2000000</v>
      </c>
      <c r="E473" s="1">
        <v>1085269090</v>
      </c>
      <c r="F473" s="1" t="s">
        <v>371</v>
      </c>
      <c r="G473" s="1" t="s">
        <v>9</v>
      </c>
    </row>
    <row r="474" spans="1:7" ht="14.25" customHeight="1" x14ac:dyDescent="0.25">
      <c r="A474" s="3">
        <v>45537</v>
      </c>
      <c r="B474" s="1">
        <v>2024001654</v>
      </c>
      <c r="C474" s="1" t="s">
        <v>192</v>
      </c>
      <c r="D474" s="5">
        <v>7500000</v>
      </c>
      <c r="E474" s="1">
        <v>1126004086</v>
      </c>
      <c r="F474" s="1" t="s">
        <v>193</v>
      </c>
      <c r="G474" s="1" t="s">
        <v>9</v>
      </c>
    </row>
    <row r="475" spans="1:7" ht="14.25" customHeight="1" x14ac:dyDescent="0.25">
      <c r="A475" s="3">
        <v>45537</v>
      </c>
      <c r="B475" s="1">
        <v>2024001665</v>
      </c>
      <c r="C475" s="1" t="s">
        <v>112</v>
      </c>
      <c r="D475" s="5">
        <v>6000000</v>
      </c>
      <c r="E475" s="1">
        <v>1004213964</v>
      </c>
      <c r="F475" s="1" t="s">
        <v>113</v>
      </c>
      <c r="G475" s="1" t="s">
        <v>9</v>
      </c>
    </row>
    <row r="476" spans="1:7" ht="14.25" customHeight="1" x14ac:dyDescent="0.25">
      <c r="A476" s="3">
        <v>45537</v>
      </c>
      <c r="B476" s="1">
        <v>2024001670</v>
      </c>
      <c r="C476" s="1" t="s">
        <v>372</v>
      </c>
      <c r="D476" s="5">
        <v>2000000</v>
      </c>
      <c r="E476" s="1">
        <v>59311646</v>
      </c>
      <c r="F476" s="1" t="s">
        <v>373</v>
      </c>
      <c r="G476" s="1" t="s">
        <v>9</v>
      </c>
    </row>
    <row r="477" spans="1:7" ht="14.25" customHeight="1" x14ac:dyDescent="0.25">
      <c r="A477" s="3">
        <v>45538</v>
      </c>
      <c r="B477" s="1">
        <v>2024001685</v>
      </c>
      <c r="C477" s="1" t="s">
        <v>54</v>
      </c>
      <c r="D477" s="5">
        <v>6000000</v>
      </c>
      <c r="E477" s="1">
        <v>1085246134</v>
      </c>
      <c r="F477" s="1" t="s">
        <v>55</v>
      </c>
      <c r="G477" s="1" t="s">
        <v>9</v>
      </c>
    </row>
    <row r="478" spans="1:7" ht="14.25" customHeight="1" x14ac:dyDescent="0.25">
      <c r="A478" s="3">
        <v>45538</v>
      </c>
      <c r="B478" s="1">
        <v>2024001686</v>
      </c>
      <c r="C478" s="1" t="s">
        <v>374</v>
      </c>
      <c r="D478" s="5">
        <v>2000000</v>
      </c>
      <c r="E478" s="1">
        <v>1085289798</v>
      </c>
      <c r="F478" s="1" t="s">
        <v>375</v>
      </c>
      <c r="G478" s="1" t="s">
        <v>9</v>
      </c>
    </row>
    <row r="479" spans="1:7" ht="14.25" customHeight="1" x14ac:dyDescent="0.25">
      <c r="A479" s="3">
        <v>45538</v>
      </c>
      <c r="B479" s="1">
        <v>2024001687</v>
      </c>
      <c r="C479" s="1" t="s">
        <v>212</v>
      </c>
      <c r="D479" s="5">
        <v>2000000</v>
      </c>
      <c r="E479" s="1">
        <v>5930737</v>
      </c>
      <c r="F479" s="1" t="s">
        <v>213</v>
      </c>
      <c r="G479" s="1" t="s">
        <v>9</v>
      </c>
    </row>
    <row r="480" spans="1:7" ht="14.25" customHeight="1" x14ac:dyDescent="0.25">
      <c r="A480" s="3">
        <v>45538</v>
      </c>
      <c r="B480" s="1">
        <v>2024001688</v>
      </c>
      <c r="C480" s="1" t="s">
        <v>376</v>
      </c>
      <c r="D480" s="5">
        <v>4825600</v>
      </c>
      <c r="E480" s="1">
        <v>37082349</v>
      </c>
      <c r="F480" s="1" t="s">
        <v>377</v>
      </c>
      <c r="G480" s="1" t="s">
        <v>9</v>
      </c>
    </row>
    <row r="481" spans="1:7" ht="14.25" customHeight="1" x14ac:dyDescent="0.25">
      <c r="A481" s="3">
        <v>45539</v>
      </c>
      <c r="B481" s="1">
        <v>2024001694</v>
      </c>
      <c r="C481" s="1" t="s">
        <v>56</v>
      </c>
      <c r="D481" s="5">
        <v>4825600</v>
      </c>
      <c r="E481" s="1">
        <v>1193385736</v>
      </c>
      <c r="F481" s="1" t="s">
        <v>57</v>
      </c>
      <c r="G481" s="1" t="s">
        <v>9</v>
      </c>
    </row>
    <row r="482" spans="1:7" ht="14.25" customHeight="1" x14ac:dyDescent="0.25">
      <c r="A482" s="3">
        <v>45539</v>
      </c>
      <c r="B482" s="1">
        <v>2024001695</v>
      </c>
      <c r="C482" s="1" t="s">
        <v>226</v>
      </c>
      <c r="D482" s="5">
        <v>2000000</v>
      </c>
      <c r="E482" s="1">
        <v>1085338575</v>
      </c>
      <c r="F482" s="1" t="s">
        <v>227</v>
      </c>
      <c r="G482" s="1" t="s">
        <v>9</v>
      </c>
    </row>
    <row r="483" spans="1:7" ht="14.25" customHeight="1" x14ac:dyDescent="0.25">
      <c r="A483" s="3">
        <v>45539</v>
      </c>
      <c r="B483" s="1">
        <v>2024001696</v>
      </c>
      <c r="C483" s="1" t="s">
        <v>72</v>
      </c>
      <c r="D483" s="5">
        <v>2000000</v>
      </c>
      <c r="E483" s="1">
        <v>1085323101</v>
      </c>
      <c r="F483" s="1" t="s">
        <v>73</v>
      </c>
      <c r="G483" s="1" t="s">
        <v>9</v>
      </c>
    </row>
    <row r="484" spans="1:7" ht="14.25" customHeight="1" x14ac:dyDescent="0.25">
      <c r="A484" s="3">
        <v>45539</v>
      </c>
      <c r="B484" s="1">
        <v>2024001697</v>
      </c>
      <c r="C484" s="1" t="s">
        <v>90</v>
      </c>
      <c r="D484" s="5">
        <v>4750000</v>
      </c>
      <c r="E484" s="1">
        <v>1085263018</v>
      </c>
      <c r="F484" s="1" t="s">
        <v>91</v>
      </c>
      <c r="G484" s="1" t="s">
        <v>9</v>
      </c>
    </row>
    <row r="485" spans="1:7" ht="14.25" customHeight="1" x14ac:dyDescent="0.25">
      <c r="A485" s="3">
        <v>45539</v>
      </c>
      <c r="B485" s="1">
        <v>2024001698</v>
      </c>
      <c r="C485" s="1" t="s">
        <v>50</v>
      </c>
      <c r="D485" s="5">
        <v>2000000</v>
      </c>
      <c r="E485" s="1">
        <v>12974849</v>
      </c>
      <c r="F485" s="1" t="s">
        <v>51</v>
      </c>
      <c r="G485" s="1" t="s">
        <v>9</v>
      </c>
    </row>
    <row r="486" spans="1:7" ht="14.25" customHeight="1" x14ac:dyDescent="0.25">
      <c r="A486" s="3">
        <v>45539</v>
      </c>
      <c r="B486" s="1">
        <v>2024001699</v>
      </c>
      <c r="C486" s="1" t="s">
        <v>378</v>
      </c>
      <c r="D486" s="5">
        <v>7500000</v>
      </c>
      <c r="E486" s="1">
        <v>1085332934</v>
      </c>
      <c r="F486" s="1" t="s">
        <v>379</v>
      </c>
      <c r="G486" s="1" t="s">
        <v>9</v>
      </c>
    </row>
    <row r="487" spans="1:7" ht="14.25" customHeight="1" x14ac:dyDescent="0.25">
      <c r="A487" s="3">
        <v>45539</v>
      </c>
      <c r="B487" s="1">
        <v>2024001700</v>
      </c>
      <c r="C487" s="1" t="s">
        <v>60</v>
      </c>
      <c r="D487" s="5">
        <v>7500000</v>
      </c>
      <c r="E487" s="1">
        <v>1085321192</v>
      </c>
      <c r="F487" s="1" t="s">
        <v>61</v>
      </c>
      <c r="G487" s="1" t="s">
        <v>9</v>
      </c>
    </row>
    <row r="488" spans="1:7" ht="14.25" customHeight="1" x14ac:dyDescent="0.25">
      <c r="A488" s="3">
        <v>45539</v>
      </c>
      <c r="B488" s="1">
        <v>2024001701</v>
      </c>
      <c r="C488" s="1" t="s">
        <v>14</v>
      </c>
      <c r="D488" s="5">
        <v>4825600</v>
      </c>
      <c r="E488" s="1">
        <v>1085338534</v>
      </c>
      <c r="F488" s="1" t="s">
        <v>15</v>
      </c>
      <c r="G488" s="1" t="s">
        <v>9</v>
      </c>
    </row>
    <row r="489" spans="1:7" ht="14.25" customHeight="1" x14ac:dyDescent="0.25">
      <c r="A489" s="3">
        <v>45539</v>
      </c>
      <c r="B489" s="1">
        <v>2024001702</v>
      </c>
      <c r="C489" s="1" t="s">
        <v>106</v>
      </c>
      <c r="D489" s="5">
        <v>2000000</v>
      </c>
      <c r="E489" s="1">
        <v>36758143</v>
      </c>
      <c r="F489" s="1" t="s">
        <v>107</v>
      </c>
      <c r="G489" s="1" t="s">
        <v>9</v>
      </c>
    </row>
    <row r="490" spans="1:7" ht="14.25" customHeight="1" x14ac:dyDescent="0.25">
      <c r="A490" s="3">
        <v>45539</v>
      </c>
      <c r="B490" s="1">
        <v>2024001703</v>
      </c>
      <c r="C490" s="1" t="s">
        <v>108</v>
      </c>
      <c r="D490" s="5">
        <v>2000000</v>
      </c>
      <c r="E490" s="1">
        <v>1004232508</v>
      </c>
      <c r="F490" s="1" t="s">
        <v>109</v>
      </c>
      <c r="G490" s="1" t="s">
        <v>9</v>
      </c>
    </row>
    <row r="491" spans="1:7" ht="14.25" customHeight="1" x14ac:dyDescent="0.25">
      <c r="A491" s="3">
        <v>45539</v>
      </c>
      <c r="B491" s="1">
        <v>2024001704</v>
      </c>
      <c r="C491" s="1" t="s">
        <v>46</v>
      </c>
      <c r="D491" s="5">
        <v>4750000</v>
      </c>
      <c r="E491" s="1">
        <v>1087414586</v>
      </c>
      <c r="F491" s="1" t="s">
        <v>47</v>
      </c>
      <c r="G491" s="1" t="s">
        <v>9</v>
      </c>
    </row>
    <row r="492" spans="1:7" ht="14.25" customHeight="1" x14ac:dyDescent="0.25">
      <c r="A492" s="3">
        <v>45539</v>
      </c>
      <c r="B492" s="1">
        <v>2024001705</v>
      </c>
      <c r="C492" s="1" t="s">
        <v>380</v>
      </c>
      <c r="D492" s="5">
        <v>2000000</v>
      </c>
      <c r="E492" s="1">
        <v>1085324107</v>
      </c>
      <c r="F492" s="1" t="s">
        <v>381</v>
      </c>
      <c r="G492" s="1" t="s">
        <v>9</v>
      </c>
    </row>
    <row r="493" spans="1:7" ht="14.25" customHeight="1" x14ac:dyDescent="0.25">
      <c r="A493" s="3">
        <v>45539</v>
      </c>
      <c r="B493" s="1">
        <v>2024001706</v>
      </c>
      <c r="C493" s="1" t="s">
        <v>382</v>
      </c>
      <c r="D493" s="5">
        <v>2000000</v>
      </c>
      <c r="E493" s="1">
        <v>36753698</v>
      </c>
      <c r="F493" s="1" t="s">
        <v>383</v>
      </c>
      <c r="G493" s="1" t="s">
        <v>9</v>
      </c>
    </row>
    <row r="494" spans="1:7" ht="14.25" customHeight="1" x14ac:dyDescent="0.25">
      <c r="A494" s="3">
        <v>45539</v>
      </c>
      <c r="B494" s="1">
        <v>2024001707</v>
      </c>
      <c r="C494" s="1" t="s">
        <v>160</v>
      </c>
      <c r="D494" s="5">
        <v>7500000</v>
      </c>
      <c r="E494" s="1">
        <v>1085304670</v>
      </c>
      <c r="F494" s="1" t="s">
        <v>161</v>
      </c>
      <c r="G494" s="1" t="s">
        <v>9</v>
      </c>
    </row>
    <row r="495" spans="1:7" ht="14.25" customHeight="1" x14ac:dyDescent="0.25">
      <c r="A495" s="3">
        <v>45539</v>
      </c>
      <c r="B495" s="1">
        <v>2024001708</v>
      </c>
      <c r="C495" s="1" t="s">
        <v>228</v>
      </c>
      <c r="D495" s="5">
        <v>2000000</v>
      </c>
      <c r="E495" s="1">
        <v>1193271854</v>
      </c>
      <c r="F495" s="1" t="s">
        <v>229</v>
      </c>
      <c r="G495" s="1" t="s">
        <v>9</v>
      </c>
    </row>
    <row r="496" spans="1:7" ht="14.25" customHeight="1" x14ac:dyDescent="0.25">
      <c r="A496" s="3">
        <v>45539</v>
      </c>
      <c r="B496" s="1">
        <v>2024001709</v>
      </c>
      <c r="C496" s="1" t="s">
        <v>48</v>
      </c>
      <c r="D496" s="5">
        <v>6000000</v>
      </c>
      <c r="E496" s="1">
        <v>27097289</v>
      </c>
      <c r="F496" s="1" t="s">
        <v>49</v>
      </c>
      <c r="G496" s="1" t="s">
        <v>9</v>
      </c>
    </row>
    <row r="497" spans="1:7" ht="14.25" customHeight="1" x14ac:dyDescent="0.25">
      <c r="A497" s="3">
        <v>45539</v>
      </c>
      <c r="B497" s="1">
        <v>2024001710</v>
      </c>
      <c r="C497" s="1" t="s">
        <v>68</v>
      </c>
      <c r="D497" s="5">
        <v>7500000</v>
      </c>
      <c r="E497" s="1">
        <v>80765093</v>
      </c>
      <c r="F497" s="1" t="s">
        <v>69</v>
      </c>
      <c r="G497" s="1" t="s">
        <v>9</v>
      </c>
    </row>
    <row r="498" spans="1:7" ht="14.25" customHeight="1" x14ac:dyDescent="0.25">
      <c r="A498" s="3">
        <v>45539</v>
      </c>
      <c r="B498" s="1">
        <v>2024001711</v>
      </c>
      <c r="C498" s="1" t="s">
        <v>82</v>
      </c>
      <c r="D498" s="5">
        <v>7500000</v>
      </c>
      <c r="E498" s="1">
        <v>1085329230</v>
      </c>
      <c r="F498" s="1" t="s">
        <v>83</v>
      </c>
      <c r="G498" s="1" t="s">
        <v>9</v>
      </c>
    </row>
    <row r="499" spans="1:7" ht="14.25" customHeight="1" x14ac:dyDescent="0.25">
      <c r="A499" s="3">
        <v>45540</v>
      </c>
      <c r="B499" s="1">
        <v>2024001716</v>
      </c>
      <c r="C499" s="1" t="s">
        <v>18</v>
      </c>
      <c r="D499" s="5">
        <v>6000000</v>
      </c>
      <c r="E499" s="1">
        <v>1089242085</v>
      </c>
      <c r="F499" s="1" t="s">
        <v>19</v>
      </c>
      <c r="G499" s="1" t="s">
        <v>9</v>
      </c>
    </row>
    <row r="500" spans="1:7" ht="14.25" customHeight="1" x14ac:dyDescent="0.25">
      <c r="A500" s="3">
        <v>45540</v>
      </c>
      <c r="B500" s="1">
        <v>2024001718</v>
      </c>
      <c r="C500" s="1" t="s">
        <v>384</v>
      </c>
      <c r="D500" s="5">
        <v>6000000</v>
      </c>
      <c r="E500" s="1">
        <v>1085286476</v>
      </c>
      <c r="F500" s="1" t="s">
        <v>385</v>
      </c>
      <c r="G500" s="1" t="s">
        <v>9</v>
      </c>
    </row>
    <row r="501" spans="1:7" ht="14.25" customHeight="1" x14ac:dyDescent="0.25">
      <c r="A501" s="3">
        <v>45540</v>
      </c>
      <c r="B501" s="1">
        <v>2024001719</v>
      </c>
      <c r="C501" s="1" t="s">
        <v>96</v>
      </c>
      <c r="D501" s="5">
        <v>2000000</v>
      </c>
      <c r="E501" s="1">
        <v>59178610</v>
      </c>
      <c r="F501" s="1" t="s">
        <v>97</v>
      </c>
      <c r="G501" s="1" t="s">
        <v>9</v>
      </c>
    </row>
    <row r="502" spans="1:7" ht="14.25" customHeight="1" x14ac:dyDescent="0.25">
      <c r="A502" s="3">
        <v>45540</v>
      </c>
      <c r="B502" s="1">
        <v>2024001720</v>
      </c>
      <c r="C502" s="1" t="s">
        <v>386</v>
      </c>
      <c r="D502" s="5">
        <v>2000000</v>
      </c>
      <c r="E502" s="1">
        <v>1030606749</v>
      </c>
      <c r="F502" s="1" t="s">
        <v>387</v>
      </c>
      <c r="G502" s="1" t="s">
        <v>9</v>
      </c>
    </row>
    <row r="503" spans="1:7" ht="14.25" customHeight="1" x14ac:dyDescent="0.25">
      <c r="A503" s="3">
        <v>45540</v>
      </c>
      <c r="B503" s="1">
        <v>2024001721</v>
      </c>
      <c r="C503" s="1" t="s">
        <v>272</v>
      </c>
      <c r="D503" s="5">
        <v>4825600</v>
      </c>
      <c r="E503" s="1">
        <v>1085332406</v>
      </c>
      <c r="F503" s="1" t="s">
        <v>273</v>
      </c>
      <c r="G503" s="1" t="s">
        <v>9</v>
      </c>
    </row>
    <row r="504" spans="1:7" ht="14.25" customHeight="1" x14ac:dyDescent="0.25">
      <c r="A504" s="3">
        <v>45540</v>
      </c>
      <c r="B504" s="1">
        <v>2024001728</v>
      </c>
      <c r="C504" s="1" t="s">
        <v>388</v>
      </c>
      <c r="D504" s="5">
        <v>6000000</v>
      </c>
      <c r="E504" s="1">
        <v>1085289928</v>
      </c>
      <c r="F504" s="1" t="s">
        <v>389</v>
      </c>
      <c r="G504" s="1" t="s">
        <v>9</v>
      </c>
    </row>
    <row r="505" spans="1:7" ht="14.25" customHeight="1" x14ac:dyDescent="0.25">
      <c r="A505" s="3">
        <v>45540</v>
      </c>
      <c r="B505" s="1">
        <v>2024001729</v>
      </c>
      <c r="C505" s="1" t="s">
        <v>130</v>
      </c>
      <c r="D505" s="5">
        <v>4825600</v>
      </c>
      <c r="E505" s="1">
        <v>1087643211</v>
      </c>
      <c r="F505" s="1" t="s">
        <v>131</v>
      </c>
      <c r="G505" s="1" t="s">
        <v>9</v>
      </c>
    </row>
    <row r="506" spans="1:7" ht="14.25" customHeight="1" x14ac:dyDescent="0.25">
      <c r="A506" s="3">
        <v>45540</v>
      </c>
      <c r="B506" s="1">
        <v>2024001731</v>
      </c>
      <c r="C506" s="1" t="s">
        <v>66</v>
      </c>
      <c r="D506" s="5">
        <v>2000000</v>
      </c>
      <c r="E506" s="1">
        <v>1193265360</v>
      </c>
      <c r="F506" s="1" t="s">
        <v>67</v>
      </c>
      <c r="G506" s="1" t="s">
        <v>9</v>
      </c>
    </row>
    <row r="507" spans="1:7" ht="14.25" customHeight="1" x14ac:dyDescent="0.25">
      <c r="A507" s="3">
        <v>45540</v>
      </c>
      <c r="B507" s="1">
        <v>2024001732</v>
      </c>
      <c r="C507" s="1" t="s">
        <v>120</v>
      </c>
      <c r="D507" s="5">
        <v>2000000</v>
      </c>
      <c r="E507" s="1">
        <v>59834953</v>
      </c>
      <c r="F507" s="1" t="s">
        <v>121</v>
      </c>
      <c r="G507" s="1" t="s">
        <v>9</v>
      </c>
    </row>
    <row r="508" spans="1:7" ht="14.25" customHeight="1" x14ac:dyDescent="0.25">
      <c r="A508" s="3">
        <v>45540</v>
      </c>
      <c r="B508" s="1">
        <v>2024001734</v>
      </c>
      <c r="C508" s="1" t="s">
        <v>240</v>
      </c>
      <c r="D508" s="5">
        <v>4825600</v>
      </c>
      <c r="E508" s="1">
        <v>1085289739</v>
      </c>
      <c r="F508" s="1" t="s">
        <v>241</v>
      </c>
      <c r="G508" s="1" t="s">
        <v>9</v>
      </c>
    </row>
    <row r="509" spans="1:7" ht="14.25" customHeight="1" x14ac:dyDescent="0.25">
      <c r="A509" s="3">
        <v>45540</v>
      </c>
      <c r="B509" s="1">
        <v>2024001735</v>
      </c>
      <c r="C509" s="1" t="s">
        <v>216</v>
      </c>
      <c r="D509" s="5">
        <v>6000000</v>
      </c>
      <c r="E509" s="1">
        <v>27109314</v>
      </c>
      <c r="F509" s="1" t="s">
        <v>217</v>
      </c>
      <c r="G509" s="1" t="s">
        <v>9</v>
      </c>
    </row>
    <row r="510" spans="1:7" ht="14.25" customHeight="1" x14ac:dyDescent="0.25">
      <c r="A510" s="3">
        <v>45540</v>
      </c>
      <c r="B510" s="1">
        <v>2024001736</v>
      </c>
      <c r="C510" s="1" t="s">
        <v>390</v>
      </c>
      <c r="D510" s="5">
        <v>4750000</v>
      </c>
      <c r="E510" s="1">
        <v>36953206</v>
      </c>
      <c r="F510" s="1" t="s">
        <v>391</v>
      </c>
      <c r="G510" s="1" t="s">
        <v>9</v>
      </c>
    </row>
    <row r="511" spans="1:7" ht="14.25" customHeight="1" x14ac:dyDescent="0.25">
      <c r="A511" s="3">
        <v>45540</v>
      </c>
      <c r="B511" s="1">
        <v>2024001737</v>
      </c>
      <c r="C511" s="1" t="s">
        <v>168</v>
      </c>
      <c r="D511" s="5">
        <v>4750000</v>
      </c>
      <c r="E511" s="1">
        <v>1085273424</v>
      </c>
      <c r="F511" s="1" t="s">
        <v>169</v>
      </c>
      <c r="G511" s="1" t="s">
        <v>9</v>
      </c>
    </row>
    <row r="512" spans="1:7" ht="14.25" customHeight="1" x14ac:dyDescent="0.25">
      <c r="A512" s="3">
        <v>45540</v>
      </c>
      <c r="B512" s="1">
        <v>2024001738</v>
      </c>
      <c r="C512" s="1" t="s">
        <v>392</v>
      </c>
      <c r="D512" s="5">
        <v>7500000</v>
      </c>
      <c r="E512" s="1">
        <v>1085320661</v>
      </c>
      <c r="F512" s="1" t="s">
        <v>393</v>
      </c>
      <c r="G512" s="1" t="s">
        <v>9</v>
      </c>
    </row>
    <row r="513" spans="1:7" ht="14.25" customHeight="1" x14ac:dyDescent="0.25">
      <c r="A513" s="3">
        <v>45540</v>
      </c>
      <c r="B513" s="1">
        <v>2024001739</v>
      </c>
      <c r="C513" s="1" t="s">
        <v>144</v>
      </c>
      <c r="D513" s="5">
        <v>6000000</v>
      </c>
      <c r="E513" s="1">
        <v>59837608</v>
      </c>
      <c r="F513" s="1" t="s">
        <v>145</v>
      </c>
      <c r="G513" s="1" t="s">
        <v>9</v>
      </c>
    </row>
    <row r="514" spans="1:7" ht="14.25" customHeight="1" x14ac:dyDescent="0.25">
      <c r="A514" s="3">
        <v>45541</v>
      </c>
      <c r="B514" s="1">
        <v>2024001749</v>
      </c>
      <c r="C514" s="1" t="s">
        <v>394</v>
      </c>
      <c r="D514" s="5">
        <v>2000000</v>
      </c>
      <c r="E514" s="1">
        <v>59837416</v>
      </c>
      <c r="F514" s="1" t="s">
        <v>395</v>
      </c>
      <c r="G514" s="1" t="s">
        <v>9</v>
      </c>
    </row>
    <row r="515" spans="1:7" ht="14.25" customHeight="1" x14ac:dyDescent="0.25">
      <c r="A515" s="3">
        <v>45541</v>
      </c>
      <c r="B515" s="1">
        <v>2024001750</v>
      </c>
      <c r="C515" s="1" t="s">
        <v>186</v>
      </c>
      <c r="D515" s="5">
        <v>2000000</v>
      </c>
      <c r="E515" s="1">
        <v>1085296353</v>
      </c>
      <c r="F515" s="1" t="s">
        <v>187</v>
      </c>
      <c r="G515" s="1" t="s">
        <v>9</v>
      </c>
    </row>
    <row r="516" spans="1:7" ht="14.25" customHeight="1" x14ac:dyDescent="0.25">
      <c r="A516" s="3">
        <v>45541</v>
      </c>
      <c r="B516" s="1">
        <v>2024001751</v>
      </c>
      <c r="C516" s="1" t="s">
        <v>126</v>
      </c>
      <c r="D516" s="5">
        <v>4750000</v>
      </c>
      <c r="E516" s="1">
        <v>59312865</v>
      </c>
      <c r="F516" s="1" t="s">
        <v>127</v>
      </c>
      <c r="G516" s="1" t="s">
        <v>9</v>
      </c>
    </row>
    <row r="517" spans="1:7" ht="14.25" customHeight="1" x14ac:dyDescent="0.25">
      <c r="A517" s="3">
        <v>45541</v>
      </c>
      <c r="B517" s="1">
        <v>2024001753</v>
      </c>
      <c r="C517" s="1" t="s">
        <v>132</v>
      </c>
      <c r="D517" s="5">
        <v>4825600</v>
      </c>
      <c r="E517" s="1">
        <v>87062845</v>
      </c>
      <c r="F517" s="1" t="s">
        <v>133</v>
      </c>
      <c r="G517" s="1" t="s">
        <v>9</v>
      </c>
    </row>
    <row r="518" spans="1:7" ht="14.25" customHeight="1" x14ac:dyDescent="0.25">
      <c r="A518" s="3">
        <v>45541</v>
      </c>
      <c r="B518" s="1">
        <v>2024001754</v>
      </c>
      <c r="C518" s="1" t="s">
        <v>396</v>
      </c>
      <c r="D518" s="5">
        <v>2000000</v>
      </c>
      <c r="E518" s="1">
        <v>1004635031</v>
      </c>
      <c r="F518" s="1" t="s">
        <v>397</v>
      </c>
      <c r="G518" s="1" t="s">
        <v>9</v>
      </c>
    </row>
    <row r="519" spans="1:7" ht="14.25" customHeight="1" x14ac:dyDescent="0.25">
      <c r="A519" s="3">
        <v>45541</v>
      </c>
      <c r="B519" s="1">
        <v>2024001755</v>
      </c>
      <c r="C519" s="1" t="s">
        <v>310</v>
      </c>
      <c r="D519" s="5">
        <v>6000000</v>
      </c>
      <c r="E519" s="1">
        <v>59836926</v>
      </c>
      <c r="F519" s="1" t="s">
        <v>311</v>
      </c>
      <c r="G519" s="1" t="s">
        <v>9</v>
      </c>
    </row>
    <row r="520" spans="1:7" ht="14.25" customHeight="1" x14ac:dyDescent="0.25">
      <c r="A520" s="3">
        <v>45541</v>
      </c>
      <c r="B520" s="1">
        <v>2024001756</v>
      </c>
      <c r="C520" s="1" t="s">
        <v>176</v>
      </c>
      <c r="D520" s="5">
        <v>4825600</v>
      </c>
      <c r="E520" s="1">
        <v>27087851</v>
      </c>
      <c r="F520" s="1" t="s">
        <v>177</v>
      </c>
      <c r="G520" s="1" t="s">
        <v>9</v>
      </c>
    </row>
    <row r="521" spans="1:7" ht="14.25" customHeight="1" x14ac:dyDescent="0.25">
      <c r="A521" s="3">
        <v>45541</v>
      </c>
      <c r="B521" s="1">
        <v>2024001757</v>
      </c>
      <c r="C521" s="1" t="s">
        <v>84</v>
      </c>
      <c r="D521" s="5">
        <v>2000000</v>
      </c>
      <c r="E521" s="1">
        <v>1085327701</v>
      </c>
      <c r="F521" s="1" t="s">
        <v>85</v>
      </c>
      <c r="G521" s="1" t="s">
        <v>9</v>
      </c>
    </row>
    <row r="522" spans="1:7" ht="14.25" customHeight="1" x14ac:dyDescent="0.25">
      <c r="A522" s="3">
        <v>45541</v>
      </c>
      <c r="B522" s="1">
        <v>2024001758</v>
      </c>
      <c r="C522" s="1" t="s">
        <v>136</v>
      </c>
      <c r="D522" s="5">
        <v>7500000</v>
      </c>
      <c r="E522" s="1">
        <v>1151934571</v>
      </c>
      <c r="F522" s="1" t="s">
        <v>137</v>
      </c>
      <c r="G522" s="1" t="s">
        <v>9</v>
      </c>
    </row>
    <row r="523" spans="1:7" ht="14.25" customHeight="1" x14ac:dyDescent="0.25">
      <c r="A523" s="3">
        <v>45541</v>
      </c>
      <c r="B523" s="1">
        <v>2024001760</v>
      </c>
      <c r="C523" s="1" t="s">
        <v>398</v>
      </c>
      <c r="D523" s="5">
        <v>2000000</v>
      </c>
      <c r="E523" s="1">
        <v>98392455</v>
      </c>
      <c r="F523" s="1" t="s">
        <v>399</v>
      </c>
      <c r="G523" s="1" t="s">
        <v>9</v>
      </c>
    </row>
    <row r="524" spans="1:7" ht="14.25" customHeight="1" x14ac:dyDescent="0.25">
      <c r="A524" s="3">
        <v>45545</v>
      </c>
      <c r="B524" s="1">
        <v>2024001781</v>
      </c>
      <c r="C524" s="1" t="s">
        <v>76</v>
      </c>
      <c r="D524" s="5">
        <v>2000000</v>
      </c>
      <c r="E524" s="1">
        <v>1086362994</v>
      </c>
      <c r="F524" s="1" t="s">
        <v>77</v>
      </c>
      <c r="G524" s="1" t="s">
        <v>9</v>
      </c>
    </row>
    <row r="525" spans="1:7" ht="14.25" customHeight="1" x14ac:dyDescent="0.25">
      <c r="A525" s="3">
        <v>45545</v>
      </c>
      <c r="B525" s="1">
        <v>2024001782</v>
      </c>
      <c r="C525" s="1" t="s">
        <v>102</v>
      </c>
      <c r="D525" s="5">
        <v>2000000</v>
      </c>
      <c r="E525" s="1">
        <v>59813323</v>
      </c>
      <c r="F525" s="1" t="s">
        <v>103</v>
      </c>
      <c r="G525" s="1" t="s">
        <v>9</v>
      </c>
    </row>
    <row r="526" spans="1:7" ht="14.25" customHeight="1" x14ac:dyDescent="0.25">
      <c r="A526" s="3">
        <v>45545</v>
      </c>
      <c r="B526" s="1">
        <v>2024001783</v>
      </c>
      <c r="C526" s="1" t="s">
        <v>10</v>
      </c>
      <c r="D526" s="5">
        <v>2000000</v>
      </c>
      <c r="E526" s="1">
        <v>1085317833</v>
      </c>
      <c r="F526" s="1" t="s">
        <v>11</v>
      </c>
      <c r="G526" s="1" t="s">
        <v>9</v>
      </c>
    </row>
    <row r="527" spans="1:7" ht="14.25" customHeight="1" x14ac:dyDescent="0.25">
      <c r="A527" s="3">
        <v>45545</v>
      </c>
      <c r="B527" s="1">
        <v>2024001784</v>
      </c>
      <c r="C527" s="1" t="s">
        <v>116</v>
      </c>
      <c r="D527" s="5">
        <v>6000000</v>
      </c>
      <c r="E527" s="1">
        <v>1085275879</v>
      </c>
      <c r="F527" s="1" t="s">
        <v>117</v>
      </c>
      <c r="G527" s="1" t="s">
        <v>9</v>
      </c>
    </row>
    <row r="528" spans="1:7" ht="14.25" customHeight="1" x14ac:dyDescent="0.25">
      <c r="A528" s="3">
        <v>45545</v>
      </c>
      <c r="B528" s="1">
        <v>2024001785</v>
      </c>
      <c r="C528" s="1" t="s">
        <v>62</v>
      </c>
      <c r="D528" s="5">
        <v>7500000</v>
      </c>
      <c r="E528" s="1">
        <v>1006946167</v>
      </c>
      <c r="F528" s="1" t="s">
        <v>63</v>
      </c>
      <c r="G528" s="1" t="s">
        <v>9</v>
      </c>
    </row>
    <row r="529" spans="1:7" ht="14.25" customHeight="1" x14ac:dyDescent="0.25">
      <c r="A529" s="3">
        <v>45545</v>
      </c>
      <c r="B529" s="1">
        <v>2024001786</v>
      </c>
      <c r="C529" s="1" t="s">
        <v>266</v>
      </c>
      <c r="D529" s="5">
        <v>4750000</v>
      </c>
      <c r="E529" s="1">
        <v>1193383306</v>
      </c>
      <c r="F529" s="1" t="s">
        <v>267</v>
      </c>
      <c r="G529" s="1" t="s">
        <v>9</v>
      </c>
    </row>
    <row r="530" spans="1:7" ht="14.25" customHeight="1" x14ac:dyDescent="0.25">
      <c r="A530" s="3">
        <v>45545</v>
      </c>
      <c r="B530" s="1">
        <v>2024001787</v>
      </c>
      <c r="C530" s="1" t="s">
        <v>236</v>
      </c>
      <c r="D530" s="5">
        <v>2000000</v>
      </c>
      <c r="E530" s="1">
        <v>1004234290</v>
      </c>
      <c r="F530" s="1" t="s">
        <v>237</v>
      </c>
      <c r="G530" s="1" t="s">
        <v>9</v>
      </c>
    </row>
    <row r="531" spans="1:7" ht="14.25" customHeight="1" x14ac:dyDescent="0.25">
      <c r="A531" s="3">
        <v>45546</v>
      </c>
      <c r="B531" s="1">
        <v>2024001792</v>
      </c>
      <c r="C531" s="1" t="s">
        <v>92</v>
      </c>
      <c r="D531" s="5">
        <v>4825600</v>
      </c>
      <c r="E531" s="1">
        <v>1085291221</v>
      </c>
      <c r="F531" s="1" t="s">
        <v>93</v>
      </c>
      <c r="G531" s="1" t="s">
        <v>9</v>
      </c>
    </row>
    <row r="532" spans="1:7" ht="14.25" customHeight="1" x14ac:dyDescent="0.25">
      <c r="A532" s="3">
        <v>45546</v>
      </c>
      <c r="B532" s="1">
        <v>2024001794</v>
      </c>
      <c r="C532" s="1" t="s">
        <v>400</v>
      </c>
      <c r="D532" s="5">
        <v>7500000</v>
      </c>
      <c r="E532" s="1">
        <v>1085296958</v>
      </c>
      <c r="F532" s="1" t="s">
        <v>401</v>
      </c>
      <c r="G532" s="1" t="s">
        <v>9</v>
      </c>
    </row>
    <row r="533" spans="1:7" ht="14.25" customHeight="1" x14ac:dyDescent="0.25">
      <c r="A533" s="3">
        <v>45546</v>
      </c>
      <c r="B533" s="1">
        <v>2024001796</v>
      </c>
      <c r="C533" s="1" t="s">
        <v>264</v>
      </c>
      <c r="D533" s="5">
        <v>2000000</v>
      </c>
      <c r="E533" s="1">
        <v>1010085543</v>
      </c>
      <c r="F533" s="1" t="s">
        <v>265</v>
      </c>
      <c r="G533" s="1" t="s">
        <v>9</v>
      </c>
    </row>
    <row r="534" spans="1:7" ht="14.25" customHeight="1" x14ac:dyDescent="0.25">
      <c r="A534" s="3">
        <v>45546</v>
      </c>
      <c r="B534" s="1">
        <v>2024001797</v>
      </c>
      <c r="C534" s="1" t="s">
        <v>402</v>
      </c>
      <c r="D534" s="5">
        <v>2000000</v>
      </c>
      <c r="E534" s="1">
        <v>1004410201</v>
      </c>
      <c r="F534" s="1" t="s">
        <v>403</v>
      </c>
      <c r="G534" s="1" t="s">
        <v>9</v>
      </c>
    </row>
    <row r="535" spans="1:7" ht="14.25" customHeight="1" x14ac:dyDescent="0.25">
      <c r="A535" s="3">
        <v>45546</v>
      </c>
      <c r="B535" s="1">
        <v>2024001798</v>
      </c>
      <c r="C535" s="1" t="s">
        <v>134</v>
      </c>
      <c r="D535" s="5">
        <v>4750000</v>
      </c>
      <c r="E535" s="1">
        <v>59821282</v>
      </c>
      <c r="F535" s="1" t="s">
        <v>135</v>
      </c>
      <c r="G535" s="1" t="s">
        <v>9</v>
      </c>
    </row>
    <row r="536" spans="1:7" ht="14.25" customHeight="1" x14ac:dyDescent="0.25">
      <c r="A536" s="3">
        <v>45546</v>
      </c>
      <c r="B536" s="1">
        <v>2024001799</v>
      </c>
      <c r="C536" s="1" t="s">
        <v>404</v>
      </c>
      <c r="D536" s="5">
        <v>2000000</v>
      </c>
      <c r="E536" s="1">
        <v>1085288636</v>
      </c>
      <c r="F536" s="1" t="s">
        <v>405</v>
      </c>
      <c r="G536" s="1" t="s">
        <v>9</v>
      </c>
    </row>
    <row r="537" spans="1:7" ht="14.25" customHeight="1" x14ac:dyDescent="0.25">
      <c r="A537" s="3">
        <v>45546</v>
      </c>
      <c r="B537" s="1">
        <v>2024001800</v>
      </c>
      <c r="C537" s="1" t="s">
        <v>64</v>
      </c>
      <c r="D537" s="5">
        <v>2000000</v>
      </c>
      <c r="E537" s="1">
        <v>59310524</v>
      </c>
      <c r="F537" s="1" t="s">
        <v>65</v>
      </c>
      <c r="G537" s="1" t="s">
        <v>9</v>
      </c>
    </row>
    <row r="538" spans="1:7" ht="14.25" customHeight="1" x14ac:dyDescent="0.25">
      <c r="A538" s="3">
        <v>45546</v>
      </c>
      <c r="B538" s="1">
        <v>2024001801</v>
      </c>
      <c r="C538" s="1" t="s">
        <v>156</v>
      </c>
      <c r="D538" s="5">
        <v>7500000</v>
      </c>
      <c r="E538" s="1">
        <v>12961661</v>
      </c>
      <c r="F538" s="1" t="s">
        <v>157</v>
      </c>
      <c r="G538" s="1" t="s">
        <v>9</v>
      </c>
    </row>
    <row r="539" spans="1:7" ht="14.25" customHeight="1" x14ac:dyDescent="0.25">
      <c r="A539" s="3">
        <v>45546</v>
      </c>
      <c r="B539" s="1">
        <v>2024001802</v>
      </c>
      <c r="C539" s="1" t="s">
        <v>164</v>
      </c>
      <c r="D539" s="14">
        <v>124950000</v>
      </c>
      <c r="E539" s="1">
        <v>900633448</v>
      </c>
      <c r="F539" s="1" t="s">
        <v>165</v>
      </c>
      <c r="G539" s="1" t="s">
        <v>9</v>
      </c>
    </row>
    <row r="540" spans="1:7" ht="14.25" customHeight="1" x14ac:dyDescent="0.25">
      <c r="A540" s="3">
        <v>45546</v>
      </c>
      <c r="B540" s="1">
        <v>2024001803</v>
      </c>
      <c r="C540" s="1" t="s">
        <v>406</v>
      </c>
      <c r="D540" s="5">
        <v>2000000</v>
      </c>
      <c r="E540" s="1">
        <v>59311233</v>
      </c>
      <c r="F540" s="1" t="s">
        <v>407</v>
      </c>
      <c r="G540" s="1" t="s">
        <v>9</v>
      </c>
    </row>
    <row r="541" spans="1:7" ht="14.25" customHeight="1" x14ac:dyDescent="0.25">
      <c r="A541" s="3">
        <v>45546</v>
      </c>
      <c r="B541" s="1">
        <v>2024001804</v>
      </c>
      <c r="C541" s="1" t="s">
        <v>408</v>
      </c>
      <c r="D541" s="5">
        <v>2000000</v>
      </c>
      <c r="E541" s="1">
        <v>1193224810</v>
      </c>
      <c r="F541" s="1" t="s">
        <v>409</v>
      </c>
      <c r="G541" s="1" t="s">
        <v>9</v>
      </c>
    </row>
    <row r="542" spans="1:7" ht="14.25" customHeight="1" x14ac:dyDescent="0.25">
      <c r="A542" s="3">
        <v>45546</v>
      </c>
      <c r="B542" s="1">
        <v>2024001805</v>
      </c>
      <c r="C542" s="1" t="s">
        <v>190</v>
      </c>
      <c r="D542" s="5">
        <v>2000000</v>
      </c>
      <c r="E542" s="1">
        <v>1193218691</v>
      </c>
      <c r="F542" s="1" t="s">
        <v>191</v>
      </c>
      <c r="G542" s="1" t="s">
        <v>9</v>
      </c>
    </row>
    <row r="543" spans="1:7" ht="14.25" customHeight="1" x14ac:dyDescent="0.25">
      <c r="A543" s="3">
        <v>45546</v>
      </c>
      <c r="B543" s="1">
        <v>2024001806</v>
      </c>
      <c r="C543" s="1" t="s">
        <v>222</v>
      </c>
      <c r="D543" s="5">
        <v>4750000</v>
      </c>
      <c r="E543" s="1">
        <v>87060703</v>
      </c>
      <c r="F543" s="1" t="s">
        <v>223</v>
      </c>
      <c r="G543" s="1" t="s">
        <v>9</v>
      </c>
    </row>
    <row r="544" spans="1:7" ht="14.25" customHeight="1" x14ac:dyDescent="0.25">
      <c r="A544" s="3">
        <v>45546</v>
      </c>
      <c r="B544" s="1">
        <v>2024001807</v>
      </c>
      <c r="C544" s="1" t="s">
        <v>150</v>
      </c>
      <c r="D544" s="5">
        <v>4750000</v>
      </c>
      <c r="E544" s="1">
        <v>59824313</v>
      </c>
      <c r="F544" s="1" t="s">
        <v>151</v>
      </c>
      <c r="G544" s="1" t="s">
        <v>9</v>
      </c>
    </row>
    <row r="545" spans="1:7" ht="14.25" customHeight="1" x14ac:dyDescent="0.25">
      <c r="A545" s="3">
        <v>45547</v>
      </c>
      <c r="B545" s="1">
        <v>2024001813</v>
      </c>
      <c r="C545" s="1" t="s">
        <v>410</v>
      </c>
      <c r="D545" s="5">
        <v>4000000</v>
      </c>
      <c r="E545" s="1">
        <v>36757213</v>
      </c>
      <c r="F545" s="1" t="s">
        <v>411</v>
      </c>
      <c r="G545" s="1" t="s">
        <v>9</v>
      </c>
    </row>
    <row r="546" spans="1:7" ht="14.25" customHeight="1" x14ac:dyDescent="0.25">
      <c r="A546" s="3">
        <v>45547</v>
      </c>
      <c r="B546" s="1">
        <v>2024001815</v>
      </c>
      <c r="C546" s="1" t="s">
        <v>204</v>
      </c>
      <c r="D546" s="5">
        <v>2000000</v>
      </c>
      <c r="E546" s="1">
        <v>13072447</v>
      </c>
      <c r="F546" s="1" t="s">
        <v>205</v>
      </c>
      <c r="G546" s="1" t="s">
        <v>9</v>
      </c>
    </row>
    <row r="547" spans="1:7" ht="14.25" customHeight="1" x14ac:dyDescent="0.25">
      <c r="A547" s="3">
        <v>45547</v>
      </c>
      <c r="B547" s="1">
        <v>2024001816</v>
      </c>
      <c r="C547" s="1" t="s">
        <v>52</v>
      </c>
      <c r="D547" s="5">
        <v>4825600</v>
      </c>
      <c r="E547" s="1">
        <v>30733517</v>
      </c>
      <c r="F547" s="1" t="s">
        <v>53</v>
      </c>
      <c r="G547" s="1" t="s">
        <v>9</v>
      </c>
    </row>
    <row r="548" spans="1:7" ht="14.25" customHeight="1" x14ac:dyDescent="0.25">
      <c r="A548" s="3">
        <v>45547</v>
      </c>
      <c r="B548" s="1">
        <v>2024001817</v>
      </c>
      <c r="C548" s="1" t="s">
        <v>20</v>
      </c>
      <c r="D548" s="5">
        <v>7500000</v>
      </c>
      <c r="E548" s="1">
        <v>1089244511</v>
      </c>
      <c r="F548" s="1" t="s">
        <v>21</v>
      </c>
      <c r="G548" s="1" t="s">
        <v>9</v>
      </c>
    </row>
    <row r="549" spans="1:7" ht="14.25" customHeight="1" x14ac:dyDescent="0.25">
      <c r="A549" s="3">
        <v>45547</v>
      </c>
      <c r="B549" s="1">
        <v>2024001818</v>
      </c>
      <c r="C549" s="1" t="s">
        <v>412</v>
      </c>
      <c r="D549" s="5">
        <v>2000000</v>
      </c>
      <c r="E549" s="1">
        <v>1004215136</v>
      </c>
      <c r="F549" s="1" t="s">
        <v>413</v>
      </c>
      <c r="G549" s="1" t="s">
        <v>9</v>
      </c>
    </row>
    <row r="550" spans="1:7" ht="14.25" customHeight="1" x14ac:dyDescent="0.25">
      <c r="A550" s="3">
        <v>45547</v>
      </c>
      <c r="B550" s="1">
        <v>2024001819</v>
      </c>
      <c r="C550" s="1" t="s">
        <v>238</v>
      </c>
      <c r="D550" s="5">
        <v>7500000</v>
      </c>
      <c r="E550" s="1">
        <v>1233189066</v>
      </c>
      <c r="F550" s="1" t="s">
        <v>239</v>
      </c>
      <c r="G550" s="1" t="s">
        <v>9</v>
      </c>
    </row>
    <row r="551" spans="1:7" ht="14.25" customHeight="1" x14ac:dyDescent="0.25">
      <c r="A551" s="3">
        <v>45547</v>
      </c>
      <c r="B551" s="1">
        <v>2024001820</v>
      </c>
      <c r="C551" s="1" t="s">
        <v>188</v>
      </c>
      <c r="D551" s="5">
        <v>2000000</v>
      </c>
      <c r="E551" s="1">
        <v>1081595853</v>
      </c>
      <c r="F551" s="1" t="s">
        <v>189</v>
      </c>
      <c r="G551" s="1" t="s">
        <v>9</v>
      </c>
    </row>
    <row r="552" spans="1:7" ht="14.25" customHeight="1" x14ac:dyDescent="0.25">
      <c r="A552" s="3">
        <v>45547</v>
      </c>
      <c r="B552" s="1">
        <v>2024001821</v>
      </c>
      <c r="C552" s="1" t="s">
        <v>200</v>
      </c>
      <c r="D552" s="5">
        <v>2000000</v>
      </c>
      <c r="E552" s="1">
        <v>1085300095</v>
      </c>
      <c r="F552" s="1" t="s">
        <v>201</v>
      </c>
      <c r="G552" s="1" t="s">
        <v>9</v>
      </c>
    </row>
    <row r="553" spans="1:7" ht="14.25" customHeight="1" x14ac:dyDescent="0.25">
      <c r="A553" s="3">
        <v>45547</v>
      </c>
      <c r="B553" s="1">
        <v>2024001822</v>
      </c>
      <c r="C553" s="1" t="s">
        <v>44</v>
      </c>
      <c r="D553" s="5">
        <v>2000000</v>
      </c>
      <c r="E553" s="1">
        <v>1007356378</v>
      </c>
      <c r="F553" s="1" t="s">
        <v>45</v>
      </c>
      <c r="G553" s="1" t="s">
        <v>9</v>
      </c>
    </row>
    <row r="554" spans="1:7" ht="14.25" customHeight="1" x14ac:dyDescent="0.25">
      <c r="A554" s="3">
        <v>45548</v>
      </c>
      <c r="B554" s="1">
        <v>2024001823</v>
      </c>
      <c r="C554" s="1" t="s">
        <v>282</v>
      </c>
      <c r="D554" s="5">
        <v>2000000</v>
      </c>
      <c r="E554" s="1">
        <v>1085327836</v>
      </c>
      <c r="F554" s="1" t="s">
        <v>283</v>
      </c>
      <c r="G554" s="1" t="s">
        <v>9</v>
      </c>
    </row>
    <row r="555" spans="1:7" ht="14.25" customHeight="1" x14ac:dyDescent="0.25">
      <c r="A555" s="3">
        <v>45548</v>
      </c>
      <c r="B555" s="1">
        <v>2024001824</v>
      </c>
      <c r="C555" s="1" t="s">
        <v>278</v>
      </c>
      <c r="D555" s="5">
        <v>2000000</v>
      </c>
      <c r="E555" s="1">
        <v>1233189896</v>
      </c>
      <c r="F555" s="1" t="s">
        <v>279</v>
      </c>
      <c r="G555" s="1" t="s">
        <v>9</v>
      </c>
    </row>
    <row r="556" spans="1:7" ht="14.25" customHeight="1" x14ac:dyDescent="0.25">
      <c r="A556" s="3">
        <v>45548</v>
      </c>
      <c r="B556" s="1">
        <v>2024001825</v>
      </c>
      <c r="C556" s="1" t="s">
        <v>276</v>
      </c>
      <c r="D556" s="5">
        <v>2000000</v>
      </c>
      <c r="E556" s="1">
        <v>1192717330</v>
      </c>
      <c r="F556" s="1" t="s">
        <v>277</v>
      </c>
      <c r="G556" s="1" t="s">
        <v>9</v>
      </c>
    </row>
    <row r="557" spans="1:7" ht="14.25" customHeight="1" x14ac:dyDescent="0.25">
      <c r="A557" s="3">
        <v>45548</v>
      </c>
      <c r="B557" s="1">
        <v>2024001826</v>
      </c>
      <c r="C557" s="1" t="s">
        <v>202</v>
      </c>
      <c r="D557" s="5">
        <v>2000000</v>
      </c>
      <c r="E557" s="1">
        <v>27211504</v>
      </c>
      <c r="F557" s="1" t="s">
        <v>203</v>
      </c>
      <c r="G557" s="1" t="s">
        <v>9</v>
      </c>
    </row>
    <row r="558" spans="1:7" ht="14.25" customHeight="1" x14ac:dyDescent="0.25">
      <c r="A558" s="3">
        <v>45548</v>
      </c>
      <c r="B558" s="1">
        <v>2024001827</v>
      </c>
      <c r="C558" s="1" t="s">
        <v>170</v>
      </c>
      <c r="D558" s="5">
        <v>2000000</v>
      </c>
      <c r="E558" s="1">
        <v>69028150</v>
      </c>
      <c r="F558" s="1" t="s">
        <v>171</v>
      </c>
      <c r="G558" s="1" t="s">
        <v>9</v>
      </c>
    </row>
    <row r="559" spans="1:7" ht="14.25" customHeight="1" x14ac:dyDescent="0.25">
      <c r="A559" s="3">
        <v>45548</v>
      </c>
      <c r="B559" s="1">
        <v>2024001828</v>
      </c>
      <c r="C559" s="1" t="s">
        <v>208</v>
      </c>
      <c r="D559" s="5">
        <v>2000000</v>
      </c>
      <c r="E559" s="1">
        <v>1010082397</v>
      </c>
      <c r="F559" s="1" t="s">
        <v>209</v>
      </c>
      <c r="G559" s="1" t="s">
        <v>9</v>
      </c>
    </row>
    <row r="560" spans="1:7" ht="14.25" customHeight="1" x14ac:dyDescent="0.25">
      <c r="A560" s="3">
        <v>45548</v>
      </c>
      <c r="B560" s="1">
        <v>2024001829</v>
      </c>
      <c r="C560" s="1" t="s">
        <v>210</v>
      </c>
      <c r="D560" s="5">
        <v>2000000</v>
      </c>
      <c r="E560" s="1">
        <v>1080040858</v>
      </c>
      <c r="F560" s="1" t="s">
        <v>211</v>
      </c>
      <c r="G560" s="1" t="s">
        <v>9</v>
      </c>
    </row>
    <row r="561" spans="1:7" ht="14.25" customHeight="1" x14ac:dyDescent="0.25">
      <c r="A561" s="3">
        <v>45551</v>
      </c>
      <c r="B561" s="1">
        <v>2024001830</v>
      </c>
      <c r="C561" s="1" t="s">
        <v>114</v>
      </c>
      <c r="D561" s="5">
        <v>2000000</v>
      </c>
      <c r="E561" s="1">
        <v>1085266584</v>
      </c>
      <c r="F561" s="1" t="s">
        <v>115</v>
      </c>
      <c r="G561" s="1" t="s">
        <v>9</v>
      </c>
    </row>
    <row r="562" spans="1:7" ht="14.25" customHeight="1" x14ac:dyDescent="0.25">
      <c r="A562" s="3">
        <v>45551</v>
      </c>
      <c r="B562" s="1">
        <v>2024001831</v>
      </c>
      <c r="C562" s="1" t="s">
        <v>74</v>
      </c>
      <c r="D562" s="5">
        <v>2000000</v>
      </c>
      <c r="E562" s="1">
        <v>1085286742</v>
      </c>
      <c r="F562" s="1" t="s">
        <v>75</v>
      </c>
      <c r="G562" s="1" t="s">
        <v>9</v>
      </c>
    </row>
    <row r="563" spans="1:7" ht="14.25" customHeight="1" x14ac:dyDescent="0.25">
      <c r="A563" s="3">
        <v>45551</v>
      </c>
      <c r="B563" s="1">
        <v>2024001832</v>
      </c>
      <c r="C563" s="1" t="s">
        <v>98</v>
      </c>
      <c r="D563" s="5">
        <v>4825600</v>
      </c>
      <c r="E563" s="1">
        <v>1085337969</v>
      </c>
      <c r="F563" s="1" t="s">
        <v>99</v>
      </c>
      <c r="G563" s="1" t="s">
        <v>9</v>
      </c>
    </row>
    <row r="564" spans="1:7" ht="14.25" customHeight="1" x14ac:dyDescent="0.25">
      <c r="A564" s="3">
        <v>45551</v>
      </c>
      <c r="B564" s="1">
        <v>2024001833</v>
      </c>
      <c r="C564" s="1" t="s">
        <v>100</v>
      </c>
      <c r="D564" s="5">
        <v>2000000</v>
      </c>
      <c r="E564" s="1">
        <v>13070330</v>
      </c>
      <c r="F564" s="1" t="s">
        <v>101</v>
      </c>
      <c r="G564" s="1" t="s">
        <v>9</v>
      </c>
    </row>
    <row r="565" spans="1:7" ht="14.25" customHeight="1" x14ac:dyDescent="0.25">
      <c r="A565" s="3">
        <v>45551</v>
      </c>
      <c r="B565" s="1">
        <v>2024001834</v>
      </c>
      <c r="C565" s="1" t="s">
        <v>260</v>
      </c>
      <c r="D565" s="5">
        <v>6000000</v>
      </c>
      <c r="E565" s="1">
        <v>59820414</v>
      </c>
      <c r="F565" s="1" t="s">
        <v>261</v>
      </c>
      <c r="G565" s="1" t="s">
        <v>9</v>
      </c>
    </row>
    <row r="566" spans="1:7" ht="14.25" customHeight="1" x14ac:dyDescent="0.25">
      <c r="A566" s="3">
        <v>45551</v>
      </c>
      <c r="B566" s="1">
        <v>2024001835</v>
      </c>
      <c r="C566" s="1" t="s">
        <v>182</v>
      </c>
      <c r="D566" s="5">
        <v>2000000</v>
      </c>
      <c r="E566" s="1">
        <v>98382500</v>
      </c>
      <c r="F566" s="1" t="s">
        <v>183</v>
      </c>
      <c r="G566" s="1" t="s">
        <v>9</v>
      </c>
    </row>
    <row r="567" spans="1:7" ht="14.25" customHeight="1" x14ac:dyDescent="0.25">
      <c r="A567" s="3">
        <v>45551</v>
      </c>
      <c r="B567" s="1">
        <v>2024001836</v>
      </c>
      <c r="C567" s="1" t="s">
        <v>180</v>
      </c>
      <c r="D567" s="5">
        <v>2000000</v>
      </c>
      <c r="E567" s="1">
        <v>59828916</v>
      </c>
      <c r="F567" s="1" t="s">
        <v>181</v>
      </c>
      <c r="G567" s="1" t="s">
        <v>9</v>
      </c>
    </row>
    <row r="568" spans="1:7" ht="14.25" customHeight="1" x14ac:dyDescent="0.25">
      <c r="A568" s="3">
        <v>45551</v>
      </c>
      <c r="B568" s="1">
        <v>2024001837</v>
      </c>
      <c r="C568" s="1" t="s">
        <v>250</v>
      </c>
      <c r="D568" s="5">
        <v>2000000</v>
      </c>
      <c r="E568" s="1">
        <v>1085271641</v>
      </c>
      <c r="F568" s="1" t="s">
        <v>251</v>
      </c>
      <c r="G568" s="1" t="s">
        <v>9</v>
      </c>
    </row>
    <row r="569" spans="1:7" ht="14.25" customHeight="1" x14ac:dyDescent="0.25">
      <c r="A569" s="3">
        <v>45551</v>
      </c>
      <c r="B569" s="1">
        <v>2024001838</v>
      </c>
      <c r="C569" s="1" t="s">
        <v>414</v>
      </c>
      <c r="D569" s="5">
        <v>4750000</v>
      </c>
      <c r="E569" s="1">
        <v>59816986</v>
      </c>
      <c r="F569" s="1" t="s">
        <v>415</v>
      </c>
      <c r="G569" s="1" t="s">
        <v>9</v>
      </c>
    </row>
    <row r="570" spans="1:7" ht="14.25" customHeight="1" x14ac:dyDescent="0.25">
      <c r="A570" s="3">
        <v>45551</v>
      </c>
      <c r="B570" s="1">
        <v>2024001839</v>
      </c>
      <c r="C570" s="1" t="s">
        <v>104</v>
      </c>
      <c r="D570" s="5">
        <v>4750000</v>
      </c>
      <c r="E570" s="1">
        <v>1085303067</v>
      </c>
      <c r="F570" s="1" t="s">
        <v>105</v>
      </c>
      <c r="G570" s="1" t="s">
        <v>9</v>
      </c>
    </row>
    <row r="571" spans="1:7" ht="14.25" customHeight="1" x14ac:dyDescent="0.25">
      <c r="A571" s="3">
        <v>45551</v>
      </c>
      <c r="B571" s="1">
        <v>2024001840</v>
      </c>
      <c r="C571" s="1" t="s">
        <v>178</v>
      </c>
      <c r="D571" s="5">
        <v>2000000</v>
      </c>
      <c r="E571" s="1">
        <v>1085250095</v>
      </c>
      <c r="F571" s="1" t="s">
        <v>179</v>
      </c>
      <c r="G571" s="1" t="s">
        <v>9</v>
      </c>
    </row>
    <row r="572" spans="1:7" ht="14.25" customHeight="1" x14ac:dyDescent="0.25">
      <c r="A572" s="3">
        <v>45551</v>
      </c>
      <c r="B572" s="1">
        <v>2024001841</v>
      </c>
      <c r="C572" s="1" t="s">
        <v>416</v>
      </c>
      <c r="D572" s="5">
        <v>2000000</v>
      </c>
      <c r="E572" s="1">
        <v>1085302942</v>
      </c>
      <c r="F572" s="1" t="s">
        <v>417</v>
      </c>
      <c r="G572" s="1" t="s">
        <v>9</v>
      </c>
    </row>
    <row r="573" spans="1:7" ht="14.25" customHeight="1" x14ac:dyDescent="0.25">
      <c r="A573" s="3">
        <v>45552</v>
      </c>
      <c r="B573" s="1">
        <v>2024001844</v>
      </c>
      <c r="C573" s="1" t="s">
        <v>162</v>
      </c>
      <c r="D573" s="5">
        <v>7500000</v>
      </c>
      <c r="E573" s="1">
        <v>1193202097</v>
      </c>
      <c r="F573" s="1" t="s">
        <v>163</v>
      </c>
      <c r="G573" s="1" t="s">
        <v>9</v>
      </c>
    </row>
    <row r="574" spans="1:7" ht="14.25" customHeight="1" x14ac:dyDescent="0.25">
      <c r="A574" s="3">
        <v>45552</v>
      </c>
      <c r="B574" s="1">
        <v>2024001845</v>
      </c>
      <c r="C574" s="1" t="s">
        <v>288</v>
      </c>
      <c r="D574" s="5">
        <v>2000000</v>
      </c>
      <c r="E574" s="1">
        <v>1004709928</v>
      </c>
      <c r="F574" s="1" t="s">
        <v>289</v>
      </c>
      <c r="G574" s="1" t="s">
        <v>9</v>
      </c>
    </row>
    <row r="575" spans="1:7" ht="14.25" customHeight="1" x14ac:dyDescent="0.25">
      <c r="A575" s="3">
        <v>45552</v>
      </c>
      <c r="B575" s="1">
        <v>2024001846</v>
      </c>
      <c r="C575" s="1" t="s">
        <v>374</v>
      </c>
      <c r="D575" s="5">
        <v>2000000</v>
      </c>
      <c r="E575" s="1">
        <v>1085289798</v>
      </c>
      <c r="F575" s="1" t="s">
        <v>375</v>
      </c>
      <c r="G575" s="1" t="s">
        <v>9</v>
      </c>
    </row>
    <row r="576" spans="1:7" ht="14.25" customHeight="1" x14ac:dyDescent="0.25">
      <c r="A576" s="3">
        <v>45552</v>
      </c>
      <c r="B576" s="1">
        <v>2024001847</v>
      </c>
      <c r="C576" s="1" t="s">
        <v>206</v>
      </c>
      <c r="D576" s="5">
        <v>2000000</v>
      </c>
      <c r="E576" s="1">
        <v>1004135064</v>
      </c>
      <c r="F576" s="1" t="s">
        <v>207</v>
      </c>
      <c r="G576" s="1" t="s">
        <v>9</v>
      </c>
    </row>
    <row r="577" spans="1:7" ht="14.25" customHeight="1" x14ac:dyDescent="0.25">
      <c r="A577" s="3">
        <v>45552</v>
      </c>
      <c r="B577" s="1">
        <v>2024001852</v>
      </c>
      <c r="C577" s="1" t="s">
        <v>88</v>
      </c>
      <c r="D577" s="5">
        <v>6000000</v>
      </c>
      <c r="E577" s="1">
        <v>1085337232</v>
      </c>
      <c r="F577" s="1" t="s">
        <v>89</v>
      </c>
      <c r="G577" s="1" t="s">
        <v>9</v>
      </c>
    </row>
    <row r="578" spans="1:7" ht="14.25" customHeight="1" x14ac:dyDescent="0.25">
      <c r="A578" s="3">
        <v>45552</v>
      </c>
      <c r="B578" s="1">
        <v>2024001853</v>
      </c>
      <c r="C578" s="1" t="s">
        <v>318</v>
      </c>
      <c r="D578" s="5">
        <v>2000000</v>
      </c>
      <c r="E578" s="1">
        <v>1081052090</v>
      </c>
      <c r="F578" s="1" t="s">
        <v>319</v>
      </c>
      <c r="G578" s="1" t="s">
        <v>9</v>
      </c>
    </row>
    <row r="579" spans="1:7" ht="14.25" customHeight="1" x14ac:dyDescent="0.25">
      <c r="A579" s="3">
        <v>45552</v>
      </c>
      <c r="B579" s="1">
        <v>2024001854</v>
      </c>
      <c r="C579" s="1" t="s">
        <v>418</v>
      </c>
      <c r="D579" s="5">
        <v>2000000</v>
      </c>
      <c r="E579" s="1">
        <v>1085260568</v>
      </c>
      <c r="F579" s="1" t="s">
        <v>419</v>
      </c>
      <c r="G579" s="1" t="s">
        <v>9</v>
      </c>
    </row>
    <row r="580" spans="1:7" ht="14.25" customHeight="1" x14ac:dyDescent="0.25">
      <c r="A580" s="3">
        <v>45552</v>
      </c>
      <c r="B580" s="1">
        <v>2024001855</v>
      </c>
      <c r="C580" s="1" t="s">
        <v>308</v>
      </c>
      <c r="D580" s="5">
        <v>7500000</v>
      </c>
      <c r="E580" s="1">
        <v>12961407</v>
      </c>
      <c r="F580" s="1" t="s">
        <v>309</v>
      </c>
      <c r="G580" s="1" t="s">
        <v>9</v>
      </c>
    </row>
    <row r="581" spans="1:7" ht="14.25" customHeight="1" x14ac:dyDescent="0.25">
      <c r="A581" s="3">
        <v>45552</v>
      </c>
      <c r="B581" s="1">
        <v>2024001856</v>
      </c>
      <c r="C581" s="1" t="s">
        <v>140</v>
      </c>
      <c r="D581" s="5">
        <v>4825600</v>
      </c>
      <c r="E581" s="1">
        <v>59314451</v>
      </c>
      <c r="F581" s="1" t="s">
        <v>141</v>
      </c>
      <c r="G581" s="1" t="s">
        <v>9</v>
      </c>
    </row>
    <row r="582" spans="1:7" ht="14.25" customHeight="1" x14ac:dyDescent="0.25">
      <c r="A582" s="3">
        <v>45552</v>
      </c>
      <c r="B582" s="1">
        <v>2024001857</v>
      </c>
      <c r="C582" s="1" t="s">
        <v>280</v>
      </c>
      <c r="D582" s="5">
        <v>2000000</v>
      </c>
      <c r="E582" s="1">
        <v>59830219</v>
      </c>
      <c r="F582" s="1" t="s">
        <v>281</v>
      </c>
      <c r="G582" s="1" t="s">
        <v>9</v>
      </c>
    </row>
    <row r="583" spans="1:7" ht="14.25" customHeight="1" x14ac:dyDescent="0.25">
      <c r="A583" s="3">
        <v>45552</v>
      </c>
      <c r="B583" s="1">
        <v>2024001858</v>
      </c>
      <c r="C583" s="1" t="s">
        <v>146</v>
      </c>
      <c r="D583" s="5">
        <v>2000000</v>
      </c>
      <c r="E583" s="1">
        <v>1085255972</v>
      </c>
      <c r="F583" s="1" t="s">
        <v>147</v>
      </c>
      <c r="G583" s="1" t="s">
        <v>9</v>
      </c>
    </row>
    <row r="584" spans="1:7" ht="14.25" customHeight="1" x14ac:dyDescent="0.25">
      <c r="A584" s="3">
        <v>45552</v>
      </c>
      <c r="B584" s="1">
        <v>2024001859</v>
      </c>
      <c r="C584" s="1" t="s">
        <v>370</v>
      </c>
      <c r="D584" s="5">
        <v>2000000</v>
      </c>
      <c r="E584" s="1">
        <v>1085269090</v>
      </c>
      <c r="F584" s="1" t="s">
        <v>371</v>
      </c>
      <c r="G584" s="1" t="s">
        <v>9</v>
      </c>
    </row>
    <row r="585" spans="1:7" ht="14.25" customHeight="1" x14ac:dyDescent="0.25">
      <c r="A585" s="3">
        <v>45552</v>
      </c>
      <c r="B585" s="1">
        <v>2024001860</v>
      </c>
      <c r="C585" s="1" t="s">
        <v>256</v>
      </c>
      <c r="D585" s="5">
        <v>2000000</v>
      </c>
      <c r="E585" s="1">
        <v>37087268</v>
      </c>
      <c r="F585" s="1" t="s">
        <v>257</v>
      </c>
      <c r="G585" s="1" t="s">
        <v>9</v>
      </c>
    </row>
    <row r="586" spans="1:7" ht="14.25" customHeight="1" x14ac:dyDescent="0.25">
      <c r="A586" s="3">
        <v>45553</v>
      </c>
      <c r="B586" s="1">
        <v>2024001861</v>
      </c>
      <c r="C586" s="1" t="s">
        <v>174</v>
      </c>
      <c r="D586" s="5">
        <v>4825600</v>
      </c>
      <c r="E586" s="1">
        <v>1085283723</v>
      </c>
      <c r="F586" s="1" t="s">
        <v>175</v>
      </c>
      <c r="G586" s="1" t="s">
        <v>9</v>
      </c>
    </row>
    <row r="587" spans="1:7" ht="14.25" customHeight="1" x14ac:dyDescent="0.25">
      <c r="A587" s="3">
        <v>45553</v>
      </c>
      <c r="B587" s="1">
        <v>2024001862</v>
      </c>
      <c r="C587" s="1" t="s">
        <v>420</v>
      </c>
      <c r="D587" s="5">
        <v>7500000</v>
      </c>
      <c r="E587" s="1">
        <v>1088599676</v>
      </c>
      <c r="F587" s="1" t="s">
        <v>421</v>
      </c>
      <c r="G587" s="1" t="s">
        <v>9</v>
      </c>
    </row>
    <row r="588" spans="1:7" ht="14.25" customHeight="1" x14ac:dyDescent="0.25">
      <c r="A588" s="3">
        <v>45553</v>
      </c>
      <c r="B588" s="1">
        <v>2024001863</v>
      </c>
      <c r="C588" s="1" t="s">
        <v>118</v>
      </c>
      <c r="D588" s="5">
        <v>2000000</v>
      </c>
      <c r="E588" s="1">
        <v>37084285</v>
      </c>
      <c r="F588" s="1" t="s">
        <v>119</v>
      </c>
      <c r="G588" s="1" t="s">
        <v>9</v>
      </c>
    </row>
    <row r="589" spans="1:7" ht="14.25" customHeight="1" x14ac:dyDescent="0.25">
      <c r="A589" s="3">
        <v>45553</v>
      </c>
      <c r="B589" s="1">
        <v>2024001864</v>
      </c>
      <c r="C589" s="1" t="s">
        <v>290</v>
      </c>
      <c r="D589" s="5">
        <v>2000000</v>
      </c>
      <c r="E589" s="1">
        <v>1085344082</v>
      </c>
      <c r="F589" s="1" t="s">
        <v>291</v>
      </c>
      <c r="G589" s="1" t="s">
        <v>9</v>
      </c>
    </row>
    <row r="590" spans="1:7" ht="14.25" customHeight="1" x14ac:dyDescent="0.25">
      <c r="A590" s="3">
        <v>45553</v>
      </c>
      <c r="B590" s="1">
        <v>2024001865</v>
      </c>
      <c r="C590" s="1" t="s">
        <v>244</v>
      </c>
      <c r="D590" s="5">
        <v>4825600</v>
      </c>
      <c r="E590" s="1">
        <v>30732782</v>
      </c>
      <c r="F590" s="1" t="s">
        <v>245</v>
      </c>
      <c r="G590" s="1" t="s">
        <v>9</v>
      </c>
    </row>
    <row r="591" spans="1:7" ht="14.25" customHeight="1" x14ac:dyDescent="0.25">
      <c r="A591" s="3">
        <v>45553</v>
      </c>
      <c r="B591" s="1">
        <v>2024001866</v>
      </c>
      <c r="C591" s="1" t="s">
        <v>248</v>
      </c>
      <c r="D591" s="5">
        <v>4750000</v>
      </c>
      <c r="E591" s="1">
        <v>1085330309</v>
      </c>
      <c r="F591" s="1" t="s">
        <v>249</v>
      </c>
      <c r="G591" s="1" t="s">
        <v>9</v>
      </c>
    </row>
    <row r="592" spans="1:7" ht="14.25" customHeight="1" x14ac:dyDescent="0.25">
      <c r="A592" s="3">
        <v>45553</v>
      </c>
      <c r="B592" s="1">
        <v>2024001867</v>
      </c>
      <c r="C592" s="1" t="s">
        <v>184</v>
      </c>
      <c r="D592" s="5">
        <v>2000000</v>
      </c>
      <c r="E592" s="1">
        <v>87070661</v>
      </c>
      <c r="F592" s="1" t="s">
        <v>185</v>
      </c>
      <c r="G592" s="1" t="s">
        <v>9</v>
      </c>
    </row>
    <row r="593" spans="1:7" ht="14.25" customHeight="1" x14ac:dyDescent="0.25">
      <c r="A593" s="3">
        <v>45553</v>
      </c>
      <c r="B593" s="1">
        <v>2024001868</v>
      </c>
      <c r="C593" s="1" t="s">
        <v>232</v>
      </c>
      <c r="D593" s="5">
        <v>2000000</v>
      </c>
      <c r="E593" s="1">
        <v>1014857280</v>
      </c>
      <c r="F593" s="1" t="s">
        <v>233</v>
      </c>
      <c r="G593" s="1" t="s">
        <v>9</v>
      </c>
    </row>
    <row r="594" spans="1:7" ht="14.25" customHeight="1" x14ac:dyDescent="0.25">
      <c r="A594" s="3">
        <v>45553</v>
      </c>
      <c r="B594" s="1">
        <v>2024001869</v>
      </c>
      <c r="C594" s="1" t="s">
        <v>252</v>
      </c>
      <c r="D594" s="5">
        <v>4750000</v>
      </c>
      <c r="E594" s="1">
        <v>1087422930</v>
      </c>
      <c r="F594" s="1" t="s">
        <v>253</v>
      </c>
      <c r="G594" s="1" t="s">
        <v>9</v>
      </c>
    </row>
    <row r="595" spans="1:7" ht="14.25" customHeight="1" x14ac:dyDescent="0.25">
      <c r="A595" s="3">
        <v>45553</v>
      </c>
      <c r="B595" s="1">
        <v>2024001870</v>
      </c>
      <c r="C595" s="1" t="s">
        <v>230</v>
      </c>
      <c r="D595" s="5">
        <v>7500000</v>
      </c>
      <c r="E595" s="1">
        <v>1085335767</v>
      </c>
      <c r="F595" s="1" t="s">
        <v>231</v>
      </c>
      <c r="G595" s="1" t="s">
        <v>9</v>
      </c>
    </row>
    <row r="596" spans="1:7" ht="14.25" customHeight="1" x14ac:dyDescent="0.25">
      <c r="A596" s="3">
        <v>45553</v>
      </c>
      <c r="B596" s="1">
        <v>2024001873</v>
      </c>
      <c r="C596" s="1" t="s">
        <v>356</v>
      </c>
      <c r="D596" s="5">
        <v>2000000</v>
      </c>
      <c r="E596" s="1">
        <v>27090145</v>
      </c>
      <c r="F596" s="1" t="s">
        <v>357</v>
      </c>
      <c r="G596" s="1" t="s">
        <v>9</v>
      </c>
    </row>
    <row r="597" spans="1:7" ht="14.25" customHeight="1" x14ac:dyDescent="0.25">
      <c r="A597" s="3">
        <v>45553</v>
      </c>
      <c r="B597" s="1">
        <v>2024001874</v>
      </c>
      <c r="C597" s="1" t="s">
        <v>300</v>
      </c>
      <c r="D597" s="5">
        <v>2000000</v>
      </c>
      <c r="E597" s="1">
        <v>1085325718</v>
      </c>
      <c r="F597" s="1" t="s">
        <v>301</v>
      </c>
      <c r="G597" s="1" t="s">
        <v>9</v>
      </c>
    </row>
    <row r="598" spans="1:7" ht="14.25" customHeight="1" x14ac:dyDescent="0.25">
      <c r="A598" s="3">
        <v>45553</v>
      </c>
      <c r="B598" s="1">
        <v>2024001875</v>
      </c>
      <c r="C598" s="1" t="s">
        <v>254</v>
      </c>
      <c r="D598" s="5">
        <v>2000000</v>
      </c>
      <c r="E598" s="1">
        <v>1085330237</v>
      </c>
      <c r="F598" s="1" t="s">
        <v>255</v>
      </c>
      <c r="G598" s="1" t="s">
        <v>9</v>
      </c>
    </row>
    <row r="599" spans="1:7" ht="14.25" customHeight="1" x14ac:dyDescent="0.25">
      <c r="A599" s="3">
        <v>45553</v>
      </c>
      <c r="B599" s="1">
        <v>2024001876</v>
      </c>
      <c r="C599" s="1" t="s">
        <v>128</v>
      </c>
      <c r="D599" s="5">
        <v>4825600</v>
      </c>
      <c r="E599" s="1">
        <v>59310145</v>
      </c>
      <c r="F599" s="1" t="s">
        <v>129</v>
      </c>
      <c r="G599" s="1" t="s">
        <v>9</v>
      </c>
    </row>
    <row r="600" spans="1:7" ht="14.25" customHeight="1" x14ac:dyDescent="0.25">
      <c r="A600" s="3">
        <v>45553</v>
      </c>
      <c r="B600" s="1">
        <v>2024001877</v>
      </c>
      <c r="C600" s="1" t="s">
        <v>78</v>
      </c>
      <c r="D600" s="5">
        <v>2000000</v>
      </c>
      <c r="E600" s="1">
        <v>1085326198</v>
      </c>
      <c r="F600" s="1" t="s">
        <v>79</v>
      </c>
      <c r="G600" s="1" t="s">
        <v>9</v>
      </c>
    </row>
    <row r="601" spans="1:7" ht="14.25" customHeight="1" x14ac:dyDescent="0.25">
      <c r="A601" s="3">
        <v>45553</v>
      </c>
      <c r="B601" s="1">
        <v>2024001878</v>
      </c>
      <c r="C601" s="1" t="s">
        <v>154</v>
      </c>
      <c r="D601" s="5">
        <v>4750000</v>
      </c>
      <c r="E601" s="1">
        <v>1085293619</v>
      </c>
      <c r="F601" s="1" t="s">
        <v>155</v>
      </c>
      <c r="G601" s="1" t="s">
        <v>9</v>
      </c>
    </row>
    <row r="602" spans="1:7" ht="14.25" customHeight="1" x14ac:dyDescent="0.25">
      <c r="A602" s="3">
        <v>45553</v>
      </c>
      <c r="B602" s="1">
        <v>2024001879</v>
      </c>
      <c r="C602" s="1" t="s">
        <v>218</v>
      </c>
      <c r="D602" s="5">
        <v>2000000</v>
      </c>
      <c r="E602" s="1">
        <v>1010113730</v>
      </c>
      <c r="F602" s="1" t="s">
        <v>219</v>
      </c>
      <c r="G602" s="1" t="s">
        <v>9</v>
      </c>
    </row>
    <row r="603" spans="1:7" ht="14.25" customHeight="1" x14ac:dyDescent="0.25">
      <c r="A603" s="3">
        <v>45553</v>
      </c>
      <c r="B603" s="1">
        <v>2024001880</v>
      </c>
      <c r="C603" s="1" t="s">
        <v>306</v>
      </c>
      <c r="D603" s="5">
        <v>2000000</v>
      </c>
      <c r="E603" s="1">
        <v>1085310465</v>
      </c>
      <c r="F603" s="1" t="s">
        <v>307</v>
      </c>
      <c r="G603" s="1" t="s">
        <v>9</v>
      </c>
    </row>
    <row r="604" spans="1:7" ht="14.25" customHeight="1" x14ac:dyDescent="0.25">
      <c r="A604" s="3">
        <v>45553</v>
      </c>
      <c r="B604" s="1">
        <v>2024001881</v>
      </c>
      <c r="C604" s="1" t="s">
        <v>302</v>
      </c>
      <c r="D604" s="5">
        <v>2000000</v>
      </c>
      <c r="E604" s="1">
        <v>1085251468</v>
      </c>
      <c r="F604" s="1" t="s">
        <v>303</v>
      </c>
      <c r="G604" s="1" t="s">
        <v>9</v>
      </c>
    </row>
    <row r="605" spans="1:7" ht="14.25" customHeight="1" x14ac:dyDescent="0.25">
      <c r="A605" s="3">
        <v>45553</v>
      </c>
      <c r="B605" s="1">
        <v>2024001882</v>
      </c>
      <c r="C605" s="1" t="s">
        <v>194</v>
      </c>
      <c r="D605" s="5">
        <v>2000000</v>
      </c>
      <c r="E605" s="1">
        <v>1085316191</v>
      </c>
      <c r="F605" s="1" t="s">
        <v>195</v>
      </c>
      <c r="G605" s="1" t="s">
        <v>9</v>
      </c>
    </row>
    <row r="606" spans="1:7" ht="14.25" customHeight="1" x14ac:dyDescent="0.25">
      <c r="A606" s="3">
        <v>45553</v>
      </c>
      <c r="B606" s="1">
        <v>2024001883</v>
      </c>
      <c r="C606" s="1" t="s">
        <v>270</v>
      </c>
      <c r="D606" s="5">
        <v>2000000</v>
      </c>
      <c r="E606" s="1">
        <v>36757522</v>
      </c>
      <c r="F606" s="1" t="s">
        <v>271</v>
      </c>
      <c r="G606" s="1" t="s">
        <v>9</v>
      </c>
    </row>
    <row r="607" spans="1:7" ht="14.25" customHeight="1" x14ac:dyDescent="0.25">
      <c r="A607" s="3">
        <v>45553</v>
      </c>
      <c r="B607" s="1">
        <v>2024001884</v>
      </c>
      <c r="C607" s="1" t="s">
        <v>338</v>
      </c>
      <c r="D607" s="5">
        <v>2000000</v>
      </c>
      <c r="E607" s="1">
        <v>1081273343</v>
      </c>
      <c r="F607" s="1" t="s">
        <v>339</v>
      </c>
      <c r="G607" s="1" t="s">
        <v>9</v>
      </c>
    </row>
    <row r="608" spans="1:7" ht="14.25" customHeight="1" x14ac:dyDescent="0.25">
      <c r="A608" s="3">
        <v>45554</v>
      </c>
      <c r="B608" s="1">
        <v>2024001885</v>
      </c>
      <c r="C608" s="1" t="s">
        <v>242</v>
      </c>
      <c r="D608" s="5">
        <v>2000000</v>
      </c>
      <c r="E608" s="1">
        <v>1137624011</v>
      </c>
      <c r="F608" s="1" t="s">
        <v>243</v>
      </c>
      <c r="G608" s="1" t="s">
        <v>9</v>
      </c>
    </row>
    <row r="609" spans="1:7" ht="14.25" customHeight="1" x14ac:dyDescent="0.25">
      <c r="A609" s="3">
        <v>45554</v>
      </c>
      <c r="B609" s="1">
        <v>2024001886</v>
      </c>
      <c r="C609" s="1" t="s">
        <v>286</v>
      </c>
      <c r="D609" s="5">
        <v>2000000</v>
      </c>
      <c r="E609" s="1">
        <v>1085338232</v>
      </c>
      <c r="F609" s="1" t="s">
        <v>287</v>
      </c>
      <c r="G609" s="1" t="s">
        <v>9</v>
      </c>
    </row>
    <row r="610" spans="1:7" ht="14.25" customHeight="1" x14ac:dyDescent="0.25">
      <c r="A610" s="3">
        <v>45554</v>
      </c>
      <c r="B610" s="1">
        <v>2024001887</v>
      </c>
      <c r="C610" s="1" t="s">
        <v>372</v>
      </c>
      <c r="D610" s="5">
        <v>2000000</v>
      </c>
      <c r="E610" s="1">
        <v>59311646</v>
      </c>
      <c r="F610" s="1" t="s">
        <v>373</v>
      </c>
      <c r="G610" s="1" t="s">
        <v>9</v>
      </c>
    </row>
    <row r="611" spans="1:7" ht="14.25" customHeight="1" x14ac:dyDescent="0.25">
      <c r="A611" s="3">
        <v>45554</v>
      </c>
      <c r="B611" s="1">
        <v>2024001888</v>
      </c>
      <c r="C611" s="1" t="s">
        <v>316</v>
      </c>
      <c r="D611" s="5">
        <v>2000000</v>
      </c>
      <c r="E611" s="1">
        <v>1193265831</v>
      </c>
      <c r="F611" s="1" t="s">
        <v>317</v>
      </c>
      <c r="G611" s="1" t="s">
        <v>9</v>
      </c>
    </row>
    <row r="612" spans="1:7" ht="14.25" customHeight="1" x14ac:dyDescent="0.25">
      <c r="A612" s="3">
        <v>45554</v>
      </c>
      <c r="B612" s="1">
        <v>2024001889</v>
      </c>
      <c r="C612" s="1" t="s">
        <v>422</v>
      </c>
      <c r="D612" s="5">
        <v>2000000</v>
      </c>
      <c r="E612" s="1">
        <v>12751390</v>
      </c>
      <c r="F612" s="1" t="s">
        <v>423</v>
      </c>
      <c r="G612" s="1" t="s">
        <v>9</v>
      </c>
    </row>
    <row r="613" spans="1:7" ht="14.25" customHeight="1" x14ac:dyDescent="0.25">
      <c r="A613" s="3">
        <v>45554</v>
      </c>
      <c r="B613" s="1">
        <v>2024001890</v>
      </c>
      <c r="C613" s="1" t="s">
        <v>124</v>
      </c>
      <c r="D613" s="5">
        <v>6000000</v>
      </c>
      <c r="E613" s="1">
        <v>36951002</v>
      </c>
      <c r="F613" s="1" t="s">
        <v>125</v>
      </c>
      <c r="G613" s="1" t="s">
        <v>9</v>
      </c>
    </row>
    <row r="614" spans="1:7" ht="14.25" customHeight="1" x14ac:dyDescent="0.25">
      <c r="A614" s="3">
        <v>45555</v>
      </c>
      <c r="B614" s="1">
        <v>2024001898</v>
      </c>
      <c r="C614" s="1" t="s">
        <v>424</v>
      </c>
      <c r="D614" s="5">
        <v>6000000</v>
      </c>
      <c r="E614" s="1">
        <v>79724257</v>
      </c>
      <c r="F614" s="1" t="s">
        <v>425</v>
      </c>
      <c r="G614" s="1" t="s">
        <v>9</v>
      </c>
    </row>
    <row r="615" spans="1:7" ht="14.25" customHeight="1" x14ac:dyDescent="0.25">
      <c r="A615" s="3">
        <v>45555</v>
      </c>
      <c r="B615" s="1">
        <v>2024001906</v>
      </c>
      <c r="C615" s="1" t="s">
        <v>268</v>
      </c>
      <c r="D615" s="5">
        <v>64141827</v>
      </c>
      <c r="E615" s="1">
        <v>900994364</v>
      </c>
      <c r="F615" s="1" t="s">
        <v>269</v>
      </c>
      <c r="G615" s="1" t="s">
        <v>9</v>
      </c>
    </row>
    <row r="616" spans="1:7" ht="14.25" customHeight="1" x14ac:dyDescent="0.25">
      <c r="A616" s="3">
        <v>45558</v>
      </c>
      <c r="B616" s="1">
        <v>2024001920</v>
      </c>
      <c r="C616" s="1" t="s">
        <v>172</v>
      </c>
      <c r="D616" s="5">
        <v>2000000</v>
      </c>
      <c r="E616" s="1">
        <v>59833702</v>
      </c>
      <c r="F616" s="1" t="s">
        <v>173</v>
      </c>
      <c r="G616" s="1" t="s">
        <v>9</v>
      </c>
    </row>
    <row r="617" spans="1:7" ht="14.25" customHeight="1" x14ac:dyDescent="0.25">
      <c r="A617" s="3">
        <v>45558</v>
      </c>
      <c r="B617" s="1">
        <v>2024001921</v>
      </c>
      <c r="C617" s="1" t="s">
        <v>330</v>
      </c>
      <c r="D617" s="5">
        <v>2000000</v>
      </c>
      <c r="E617" s="1">
        <v>1085313463</v>
      </c>
      <c r="F617" s="1" t="s">
        <v>331</v>
      </c>
      <c r="G617" s="1" t="s">
        <v>9</v>
      </c>
    </row>
    <row r="618" spans="1:7" ht="14.25" customHeight="1" x14ac:dyDescent="0.25">
      <c r="A618" s="3">
        <v>45558</v>
      </c>
      <c r="B618" s="1">
        <v>2024001922</v>
      </c>
      <c r="C618" s="1" t="s">
        <v>362</v>
      </c>
      <c r="D618" s="5">
        <v>4825600</v>
      </c>
      <c r="E618" s="1">
        <v>1085321943</v>
      </c>
      <c r="F618" s="1" t="s">
        <v>363</v>
      </c>
      <c r="G618" s="1" t="s">
        <v>9</v>
      </c>
    </row>
    <row r="619" spans="1:7" ht="14.25" customHeight="1" x14ac:dyDescent="0.25">
      <c r="A619" s="3">
        <v>45558</v>
      </c>
      <c r="B619" s="1">
        <v>2024001923</v>
      </c>
      <c r="C619" s="1" t="s">
        <v>348</v>
      </c>
      <c r="D619" s="5">
        <v>2000000</v>
      </c>
      <c r="E619" s="1">
        <v>27285974</v>
      </c>
      <c r="F619" s="1" t="s">
        <v>349</v>
      </c>
      <c r="G619" s="1" t="s">
        <v>9</v>
      </c>
    </row>
    <row r="620" spans="1:7" ht="14.25" customHeight="1" x14ac:dyDescent="0.25">
      <c r="A620" s="3">
        <v>45558</v>
      </c>
      <c r="B620" s="1">
        <v>2024001924</v>
      </c>
      <c r="C620" s="1" t="s">
        <v>220</v>
      </c>
      <c r="D620" s="5">
        <v>4750000</v>
      </c>
      <c r="E620" s="1">
        <v>1085345772</v>
      </c>
      <c r="F620" s="1" t="s">
        <v>221</v>
      </c>
      <c r="G620" s="1" t="s">
        <v>9</v>
      </c>
    </row>
    <row r="621" spans="1:7" ht="14.25" customHeight="1" x14ac:dyDescent="0.25">
      <c r="A621" s="3">
        <v>45558</v>
      </c>
      <c r="B621" s="1">
        <v>2024001925</v>
      </c>
      <c r="C621" s="1" t="s">
        <v>292</v>
      </c>
      <c r="D621" s="5">
        <v>2000000</v>
      </c>
      <c r="E621" s="1">
        <v>1085330079</v>
      </c>
      <c r="F621" s="1" t="s">
        <v>293</v>
      </c>
      <c r="G621" s="1" t="s">
        <v>9</v>
      </c>
    </row>
    <row r="622" spans="1:7" ht="14.25" customHeight="1" x14ac:dyDescent="0.25">
      <c r="A622" s="3">
        <v>45558</v>
      </c>
      <c r="B622" s="1">
        <v>2024001926</v>
      </c>
      <c r="C622" s="1" t="s">
        <v>426</v>
      </c>
      <c r="D622" s="5">
        <v>2000000</v>
      </c>
      <c r="E622" s="1">
        <v>1085318688</v>
      </c>
      <c r="F622" s="1" t="s">
        <v>427</v>
      </c>
      <c r="G622" s="1" t="s">
        <v>9</v>
      </c>
    </row>
    <row r="623" spans="1:7" ht="14.25" customHeight="1" x14ac:dyDescent="0.25">
      <c r="A623" s="3">
        <v>45558</v>
      </c>
      <c r="B623" s="1">
        <v>2024001927</v>
      </c>
      <c r="C623" s="1" t="s">
        <v>148</v>
      </c>
      <c r="D623" s="5">
        <v>2000000</v>
      </c>
      <c r="E623" s="1">
        <v>1085339190</v>
      </c>
      <c r="F623" s="1" t="s">
        <v>149</v>
      </c>
      <c r="G623" s="1" t="s">
        <v>9</v>
      </c>
    </row>
    <row r="624" spans="1:7" ht="14.25" customHeight="1" x14ac:dyDescent="0.25">
      <c r="A624" s="3">
        <v>45558</v>
      </c>
      <c r="B624" s="1">
        <v>2024001928</v>
      </c>
      <c r="C624" s="1" t="s">
        <v>262</v>
      </c>
      <c r="D624" s="5">
        <v>2000000</v>
      </c>
      <c r="E624" s="1">
        <v>36752202</v>
      </c>
      <c r="F624" s="1" t="s">
        <v>263</v>
      </c>
      <c r="G624" s="1" t="s">
        <v>9</v>
      </c>
    </row>
    <row r="625" spans="1:7" ht="14.25" customHeight="1" x14ac:dyDescent="0.25">
      <c r="A625" s="3">
        <v>45558</v>
      </c>
      <c r="B625" s="1">
        <v>2024001929</v>
      </c>
      <c r="C625" s="1" t="s">
        <v>24</v>
      </c>
      <c r="D625" s="5">
        <v>6000000</v>
      </c>
      <c r="E625" s="1">
        <v>37013610</v>
      </c>
      <c r="F625" s="1" t="s">
        <v>25</v>
      </c>
      <c r="G625" s="1" t="s">
        <v>9</v>
      </c>
    </row>
    <row r="626" spans="1:7" ht="14.25" customHeight="1" x14ac:dyDescent="0.25">
      <c r="A626" s="3">
        <v>45558</v>
      </c>
      <c r="B626" s="1">
        <v>2024001930</v>
      </c>
      <c r="C626" s="1" t="s">
        <v>158</v>
      </c>
      <c r="D626" s="5">
        <v>7500000</v>
      </c>
      <c r="E626" s="1">
        <v>37087120</v>
      </c>
      <c r="F626" s="1" t="s">
        <v>159</v>
      </c>
      <c r="G626" s="1" t="s">
        <v>9</v>
      </c>
    </row>
    <row r="627" spans="1:7" ht="14.25" customHeight="1" x14ac:dyDescent="0.25">
      <c r="A627" s="3">
        <v>45558</v>
      </c>
      <c r="B627" s="1">
        <v>2024001931</v>
      </c>
      <c r="C627" s="1" t="s">
        <v>234</v>
      </c>
      <c r="D627" s="5">
        <v>4750000</v>
      </c>
      <c r="E627" s="1">
        <v>1085318201</v>
      </c>
      <c r="F627" s="1" t="s">
        <v>235</v>
      </c>
      <c r="G627" s="1" t="s">
        <v>9</v>
      </c>
    </row>
    <row r="628" spans="1:7" ht="14.25" customHeight="1" x14ac:dyDescent="0.25">
      <c r="A628" s="3">
        <v>45558</v>
      </c>
      <c r="B628" s="1">
        <v>2024001932</v>
      </c>
      <c r="C628" s="1" t="s">
        <v>294</v>
      </c>
      <c r="D628" s="5">
        <v>4825600</v>
      </c>
      <c r="E628" s="1">
        <v>1088730712</v>
      </c>
      <c r="F628" s="1" t="s">
        <v>295</v>
      </c>
      <c r="G628" s="1" t="s">
        <v>9</v>
      </c>
    </row>
    <row r="629" spans="1:7" ht="14.25" customHeight="1" x14ac:dyDescent="0.25">
      <c r="A629" s="3">
        <v>45559</v>
      </c>
      <c r="B629" s="1">
        <v>2024001934</v>
      </c>
      <c r="C629" s="1" t="s">
        <v>214</v>
      </c>
      <c r="D629" s="5">
        <v>2000000</v>
      </c>
      <c r="E629" s="1">
        <v>1085327677</v>
      </c>
      <c r="F629" s="1" t="s">
        <v>215</v>
      </c>
      <c r="G629" s="1" t="s">
        <v>9</v>
      </c>
    </row>
    <row r="630" spans="1:7" ht="14.25" customHeight="1" x14ac:dyDescent="0.25">
      <c r="A630" s="3">
        <v>45559</v>
      </c>
      <c r="B630" s="1">
        <v>2024001935</v>
      </c>
      <c r="C630" s="1" t="s">
        <v>224</v>
      </c>
      <c r="D630" s="5">
        <v>2000000</v>
      </c>
      <c r="E630" s="1">
        <v>12750863</v>
      </c>
      <c r="F630" s="1" t="s">
        <v>225</v>
      </c>
      <c r="G630" s="1" t="s">
        <v>9</v>
      </c>
    </row>
    <row r="631" spans="1:7" ht="14.25" customHeight="1" x14ac:dyDescent="0.25">
      <c r="A631" s="3">
        <v>45559</v>
      </c>
      <c r="B631" s="1">
        <v>2024001936</v>
      </c>
      <c r="C631" s="1" t="s">
        <v>314</v>
      </c>
      <c r="D631" s="5">
        <v>2000000</v>
      </c>
      <c r="E631" s="1">
        <v>1085337465</v>
      </c>
      <c r="F631" s="1" t="s">
        <v>315</v>
      </c>
      <c r="G631" s="1" t="s">
        <v>9</v>
      </c>
    </row>
    <row r="632" spans="1:7" ht="14.25" customHeight="1" x14ac:dyDescent="0.25">
      <c r="A632" s="3">
        <v>45559</v>
      </c>
      <c r="B632" s="1">
        <v>2024001937</v>
      </c>
      <c r="C632" s="1" t="s">
        <v>196</v>
      </c>
      <c r="D632" s="5">
        <v>2000000</v>
      </c>
      <c r="E632" s="1">
        <v>1089243630</v>
      </c>
      <c r="F632" s="1" t="s">
        <v>197</v>
      </c>
      <c r="G632" s="1" t="s">
        <v>9</v>
      </c>
    </row>
    <row r="633" spans="1:7" ht="14.25" customHeight="1" x14ac:dyDescent="0.25">
      <c r="A633" s="3">
        <v>45559</v>
      </c>
      <c r="B633" s="1">
        <v>2024001938</v>
      </c>
      <c r="C633" s="1" t="s">
        <v>326</v>
      </c>
      <c r="D633" s="5">
        <v>2000000</v>
      </c>
      <c r="E633" s="1">
        <v>1085314075</v>
      </c>
      <c r="F633" s="1" t="s">
        <v>327</v>
      </c>
      <c r="G633" s="1" t="s">
        <v>9</v>
      </c>
    </row>
    <row r="634" spans="1:7" ht="14.25" customHeight="1" x14ac:dyDescent="0.25">
      <c r="A634" s="3">
        <v>45559</v>
      </c>
      <c r="B634" s="1">
        <v>2024001939</v>
      </c>
      <c r="C634" s="1" t="s">
        <v>40</v>
      </c>
      <c r="D634" s="5">
        <v>7500000</v>
      </c>
      <c r="E634" s="1">
        <v>1085336362</v>
      </c>
      <c r="F634" s="1" t="s">
        <v>41</v>
      </c>
      <c r="G634" s="1" t="s">
        <v>9</v>
      </c>
    </row>
    <row r="635" spans="1:7" ht="14.25" customHeight="1" x14ac:dyDescent="0.25">
      <c r="A635" s="3">
        <v>45559</v>
      </c>
      <c r="B635" s="1">
        <v>2024001941</v>
      </c>
      <c r="C635" s="1" t="s">
        <v>320</v>
      </c>
      <c r="D635" s="5">
        <v>2000000</v>
      </c>
      <c r="E635" s="1">
        <v>1085347540</v>
      </c>
      <c r="F635" s="1" t="s">
        <v>321</v>
      </c>
      <c r="G635" s="1" t="s">
        <v>9</v>
      </c>
    </row>
    <row r="636" spans="1:7" ht="14.25" customHeight="1" x14ac:dyDescent="0.25">
      <c r="A636" s="3">
        <v>45559</v>
      </c>
      <c r="B636" s="1">
        <v>2024001942</v>
      </c>
      <c r="C636" s="1" t="s">
        <v>344</v>
      </c>
      <c r="D636" s="5">
        <v>2000000</v>
      </c>
      <c r="E636" s="1">
        <v>27309586</v>
      </c>
      <c r="F636" s="1" t="s">
        <v>345</v>
      </c>
      <c r="G636" s="1" t="s">
        <v>9</v>
      </c>
    </row>
    <row r="637" spans="1:7" ht="14.25" customHeight="1" x14ac:dyDescent="0.25">
      <c r="A637" s="3">
        <v>45559</v>
      </c>
      <c r="B637" s="1">
        <v>2024001943</v>
      </c>
      <c r="C637" s="1" t="s">
        <v>304</v>
      </c>
      <c r="D637" s="5">
        <v>2000000</v>
      </c>
      <c r="E637" s="1">
        <v>1086016308</v>
      </c>
      <c r="F637" s="1" t="s">
        <v>305</v>
      </c>
      <c r="G637" s="1" t="s">
        <v>9</v>
      </c>
    </row>
    <row r="638" spans="1:7" ht="14.25" customHeight="1" x14ac:dyDescent="0.25">
      <c r="A638" s="3">
        <v>45559</v>
      </c>
      <c r="B638" s="1">
        <v>2024001944</v>
      </c>
      <c r="C638" s="1" t="s">
        <v>428</v>
      </c>
      <c r="D638" s="5">
        <v>4750000</v>
      </c>
      <c r="E638" s="1">
        <v>1085260497</v>
      </c>
      <c r="F638" s="1" t="s">
        <v>429</v>
      </c>
      <c r="G638" s="1" t="s">
        <v>9</v>
      </c>
    </row>
    <row r="639" spans="1:7" ht="14.25" customHeight="1" x14ac:dyDescent="0.25">
      <c r="A639" s="3">
        <v>45559</v>
      </c>
      <c r="B639" s="1">
        <v>2024001945</v>
      </c>
      <c r="C639" s="1" t="s">
        <v>284</v>
      </c>
      <c r="D639" s="5">
        <v>2000000</v>
      </c>
      <c r="E639" s="1">
        <v>27094521</v>
      </c>
      <c r="F639" s="1" t="s">
        <v>285</v>
      </c>
      <c r="G639" s="1" t="s">
        <v>9</v>
      </c>
    </row>
    <row r="640" spans="1:7" ht="14.25" customHeight="1" x14ac:dyDescent="0.25">
      <c r="A640" s="3">
        <v>45561</v>
      </c>
      <c r="B640" s="1">
        <v>2024001953</v>
      </c>
      <c r="C640" s="1" t="s">
        <v>274</v>
      </c>
      <c r="D640" s="5">
        <v>4825600</v>
      </c>
      <c r="E640" s="1">
        <v>1085321578</v>
      </c>
      <c r="F640" s="1" t="s">
        <v>275</v>
      </c>
      <c r="G640" s="1" t="s">
        <v>9</v>
      </c>
    </row>
    <row r="641" spans="1:7" ht="14.25" customHeight="1" x14ac:dyDescent="0.25">
      <c r="A641" s="3">
        <v>45561</v>
      </c>
      <c r="B641" s="1">
        <v>2024001954</v>
      </c>
      <c r="C641" s="1" t="s">
        <v>430</v>
      </c>
      <c r="D641" s="5">
        <v>2000000</v>
      </c>
      <c r="E641" s="1">
        <v>1081053820</v>
      </c>
      <c r="F641" s="1" t="s">
        <v>431</v>
      </c>
      <c r="G641" s="1" t="s">
        <v>9</v>
      </c>
    </row>
    <row r="642" spans="1:7" ht="14.25" customHeight="1" x14ac:dyDescent="0.25">
      <c r="A642" s="3">
        <v>45561</v>
      </c>
      <c r="B642" s="1">
        <v>2024001955</v>
      </c>
      <c r="C642" s="1" t="s">
        <v>38</v>
      </c>
      <c r="D642" s="5">
        <v>2000000</v>
      </c>
      <c r="E642" s="1">
        <v>1193385397</v>
      </c>
      <c r="F642" s="1" t="s">
        <v>39</v>
      </c>
      <c r="G642" s="1" t="s">
        <v>9</v>
      </c>
    </row>
    <row r="643" spans="1:7" ht="14.25" customHeight="1" x14ac:dyDescent="0.25">
      <c r="A643" s="3">
        <v>45561</v>
      </c>
      <c r="B643" s="1">
        <v>2024001956</v>
      </c>
      <c r="C643" s="1" t="s">
        <v>34</v>
      </c>
      <c r="D643" s="5">
        <v>2000000</v>
      </c>
      <c r="E643" s="1">
        <v>1085331508</v>
      </c>
      <c r="F643" s="1" t="s">
        <v>35</v>
      </c>
      <c r="G643" s="1" t="s">
        <v>9</v>
      </c>
    </row>
    <row r="644" spans="1:7" ht="14.25" customHeight="1" x14ac:dyDescent="0.25">
      <c r="A644" s="3">
        <v>45561</v>
      </c>
      <c r="B644" s="1">
        <v>2024001957</v>
      </c>
      <c r="C644" s="1" t="s">
        <v>32</v>
      </c>
      <c r="D644" s="5">
        <v>2000000</v>
      </c>
      <c r="E644" s="1">
        <v>1085252263</v>
      </c>
      <c r="F644" s="1" t="s">
        <v>33</v>
      </c>
      <c r="G644" s="1" t="s">
        <v>9</v>
      </c>
    </row>
    <row r="645" spans="1:7" ht="14.25" customHeight="1" x14ac:dyDescent="0.25">
      <c r="A645" s="3">
        <v>45561</v>
      </c>
      <c r="B645" s="1">
        <v>2024001958</v>
      </c>
      <c r="C645" s="1" t="s">
        <v>30</v>
      </c>
      <c r="D645" s="5">
        <v>6000000</v>
      </c>
      <c r="E645" s="1">
        <v>1085253062</v>
      </c>
      <c r="F645" s="1" t="s">
        <v>31</v>
      </c>
      <c r="G645" s="1" t="s">
        <v>9</v>
      </c>
    </row>
    <row r="646" spans="1:7" ht="14.25" customHeight="1" x14ac:dyDescent="0.25">
      <c r="A646" s="3">
        <v>45561</v>
      </c>
      <c r="B646" s="1">
        <v>2024001959</v>
      </c>
      <c r="C646" s="1" t="s">
        <v>336</v>
      </c>
      <c r="D646" s="5">
        <v>6000000</v>
      </c>
      <c r="E646" s="1">
        <v>1010010954</v>
      </c>
      <c r="F646" s="1" t="s">
        <v>337</v>
      </c>
      <c r="G646" s="1" t="s">
        <v>9</v>
      </c>
    </row>
    <row r="647" spans="1:7" ht="14.25" customHeight="1" x14ac:dyDescent="0.25">
      <c r="A647" s="3">
        <v>45561</v>
      </c>
      <c r="B647" s="1">
        <v>2024001960</v>
      </c>
      <c r="C647" s="1" t="s">
        <v>346</v>
      </c>
      <c r="D647" s="5">
        <v>2000000</v>
      </c>
      <c r="E647" s="1">
        <v>1004535115</v>
      </c>
      <c r="F647" s="1" t="s">
        <v>347</v>
      </c>
      <c r="G647" s="1" t="s">
        <v>9</v>
      </c>
    </row>
    <row r="648" spans="1:7" ht="14.25" customHeight="1" x14ac:dyDescent="0.25">
      <c r="A648" s="3">
        <v>45561</v>
      </c>
      <c r="B648" s="1">
        <v>2024001961</v>
      </c>
      <c r="C648" s="1" t="s">
        <v>298</v>
      </c>
      <c r="D648" s="5">
        <v>4825600</v>
      </c>
      <c r="E648" s="1">
        <v>12983807</v>
      </c>
      <c r="F648" s="1" t="s">
        <v>299</v>
      </c>
      <c r="G648" s="1" t="s">
        <v>9</v>
      </c>
    </row>
    <row r="649" spans="1:7" ht="14.25" customHeight="1" x14ac:dyDescent="0.25">
      <c r="A649" s="3">
        <v>45561</v>
      </c>
      <c r="B649" s="1">
        <v>2024001962</v>
      </c>
      <c r="C649" s="1" t="s">
        <v>350</v>
      </c>
      <c r="D649" s="5">
        <v>4750000</v>
      </c>
      <c r="E649" s="1">
        <v>1233192618</v>
      </c>
      <c r="F649" s="1" t="s">
        <v>351</v>
      </c>
      <c r="G649" s="1" t="s">
        <v>9</v>
      </c>
    </row>
    <row r="650" spans="1:7" ht="14.25" customHeight="1" x14ac:dyDescent="0.25">
      <c r="A650" s="3">
        <v>45561</v>
      </c>
      <c r="B650" s="1">
        <v>2024001963</v>
      </c>
      <c r="C650" s="1" t="s">
        <v>70</v>
      </c>
      <c r="D650" s="5">
        <v>2000000</v>
      </c>
      <c r="E650" s="1">
        <v>59314601</v>
      </c>
      <c r="F650" s="1" t="s">
        <v>71</v>
      </c>
      <c r="G650" s="1" t="s">
        <v>9</v>
      </c>
    </row>
    <row r="651" spans="1:7" ht="14.25" customHeight="1" x14ac:dyDescent="0.25">
      <c r="A651" s="3">
        <v>45561</v>
      </c>
      <c r="B651" s="1">
        <v>2024001964</v>
      </c>
      <c r="C651" s="1" t="s">
        <v>324</v>
      </c>
      <c r="D651" s="5">
        <v>2000000</v>
      </c>
      <c r="E651" s="1">
        <v>1085290651</v>
      </c>
      <c r="F651" s="1" t="s">
        <v>325</v>
      </c>
      <c r="G651" s="1" t="s">
        <v>9</v>
      </c>
    </row>
    <row r="652" spans="1:7" ht="14.25" customHeight="1" x14ac:dyDescent="0.25">
      <c r="A652" s="3">
        <v>45561</v>
      </c>
      <c r="B652" s="1">
        <v>2024001965</v>
      </c>
      <c r="C652" s="1" t="s">
        <v>296</v>
      </c>
      <c r="D652" s="5">
        <v>2000000</v>
      </c>
      <c r="E652" s="1">
        <v>59830040</v>
      </c>
      <c r="F652" s="1" t="s">
        <v>297</v>
      </c>
      <c r="G652" s="1" t="s">
        <v>9</v>
      </c>
    </row>
    <row r="653" spans="1:7" ht="14.25" customHeight="1" x14ac:dyDescent="0.25">
      <c r="A653" s="3">
        <v>45561</v>
      </c>
      <c r="B653" s="1">
        <v>2024001966</v>
      </c>
      <c r="C653" s="1" t="s">
        <v>138</v>
      </c>
      <c r="D653" s="5">
        <v>2000000</v>
      </c>
      <c r="E653" s="1">
        <v>1085295383</v>
      </c>
      <c r="F653" s="1" t="s">
        <v>139</v>
      </c>
      <c r="G653" s="1" t="s">
        <v>9</v>
      </c>
    </row>
    <row r="654" spans="1:7" ht="14.25" customHeight="1" x14ac:dyDescent="0.25">
      <c r="A654" s="3">
        <v>45561</v>
      </c>
      <c r="B654" s="1">
        <v>2024001967</v>
      </c>
      <c r="C654" s="1" t="s">
        <v>334</v>
      </c>
      <c r="D654" s="5">
        <v>2000000</v>
      </c>
      <c r="E654" s="1">
        <v>1085261053</v>
      </c>
      <c r="F654" s="1" t="s">
        <v>335</v>
      </c>
      <c r="G654" s="1" t="s">
        <v>9</v>
      </c>
    </row>
    <row r="655" spans="1:7" ht="14.25" customHeight="1" x14ac:dyDescent="0.25">
      <c r="A655" s="3">
        <v>45561</v>
      </c>
      <c r="B655" s="1">
        <v>2024001968</v>
      </c>
      <c r="C655" s="1" t="s">
        <v>342</v>
      </c>
      <c r="D655" s="5">
        <v>6000000</v>
      </c>
      <c r="E655" s="1">
        <v>36954410</v>
      </c>
      <c r="F655" s="1" t="s">
        <v>343</v>
      </c>
      <c r="G655" s="1" t="s">
        <v>9</v>
      </c>
    </row>
    <row r="656" spans="1:7" ht="14.25" customHeight="1" x14ac:dyDescent="0.25">
      <c r="A656" s="3">
        <v>45561</v>
      </c>
      <c r="B656" s="1">
        <v>2024001969</v>
      </c>
      <c r="C656" s="1" t="s">
        <v>36</v>
      </c>
      <c r="D656" s="5">
        <v>2000000</v>
      </c>
      <c r="E656" s="1">
        <v>27087122</v>
      </c>
      <c r="F656" s="1" t="s">
        <v>37</v>
      </c>
      <c r="G656" s="1" t="s">
        <v>9</v>
      </c>
    </row>
    <row r="657" spans="1:7" ht="14.25" customHeight="1" x14ac:dyDescent="0.25">
      <c r="A657" s="3">
        <v>45561</v>
      </c>
      <c r="B657" s="1">
        <v>2024001970</v>
      </c>
      <c r="C657" s="1" t="s">
        <v>312</v>
      </c>
      <c r="D657" s="5">
        <v>2000000</v>
      </c>
      <c r="E657" s="1">
        <v>36757715</v>
      </c>
      <c r="F657" s="1" t="s">
        <v>313</v>
      </c>
      <c r="G657" s="1" t="s">
        <v>9</v>
      </c>
    </row>
    <row r="658" spans="1:7" ht="14.25" customHeight="1" x14ac:dyDescent="0.25">
      <c r="A658" s="3">
        <v>45561</v>
      </c>
      <c r="B658" s="1">
        <v>2024001971</v>
      </c>
      <c r="C658" s="1" t="s">
        <v>122</v>
      </c>
      <c r="D658" s="5">
        <v>2000000</v>
      </c>
      <c r="E658" s="1">
        <v>1004592366</v>
      </c>
      <c r="F658" s="1" t="s">
        <v>123</v>
      </c>
      <c r="G658" s="1" t="s">
        <v>9</v>
      </c>
    </row>
    <row r="659" spans="1:7" ht="14.25" customHeight="1" x14ac:dyDescent="0.25">
      <c r="A659" s="3">
        <v>45561</v>
      </c>
      <c r="B659" s="1">
        <v>2024001972</v>
      </c>
      <c r="C659" s="1" t="s">
        <v>360</v>
      </c>
      <c r="D659" s="5">
        <v>7500000</v>
      </c>
      <c r="E659" s="1">
        <v>7603662</v>
      </c>
      <c r="F659" s="1" t="s">
        <v>361</v>
      </c>
      <c r="G659" s="1" t="s">
        <v>9</v>
      </c>
    </row>
    <row r="660" spans="1:7" ht="14.25" customHeight="1" x14ac:dyDescent="0.25">
      <c r="A660" s="3">
        <v>45561</v>
      </c>
      <c r="B660" s="1">
        <v>2024001976</v>
      </c>
      <c r="C660" s="1" t="s">
        <v>110</v>
      </c>
      <c r="D660" s="5">
        <v>2000000</v>
      </c>
      <c r="E660" s="1">
        <v>1085286725</v>
      </c>
      <c r="F660" s="1" t="s">
        <v>111</v>
      </c>
      <c r="G660" s="1" t="s">
        <v>9</v>
      </c>
    </row>
    <row r="661" spans="1:7" ht="14.25" customHeight="1" x14ac:dyDescent="0.25">
      <c r="A661" s="3">
        <v>45561</v>
      </c>
      <c r="B661" s="1">
        <v>2024001977</v>
      </c>
      <c r="C661" s="1" t="s">
        <v>112</v>
      </c>
      <c r="D661" s="5">
        <v>6000000</v>
      </c>
      <c r="E661" s="1">
        <v>1004213964</v>
      </c>
      <c r="F661" s="1" t="s">
        <v>113</v>
      </c>
      <c r="G661" s="1" t="s">
        <v>9</v>
      </c>
    </row>
    <row r="662" spans="1:7" ht="14.25" customHeight="1" x14ac:dyDescent="0.25">
      <c r="A662" s="3">
        <v>45561</v>
      </c>
      <c r="B662" s="1">
        <v>2024001978</v>
      </c>
      <c r="C662" s="1" t="s">
        <v>354</v>
      </c>
      <c r="D662" s="5">
        <v>4750000</v>
      </c>
      <c r="E662" s="1">
        <v>1085318684</v>
      </c>
      <c r="F662" s="1" t="s">
        <v>355</v>
      </c>
      <c r="G662" s="1" t="s">
        <v>9</v>
      </c>
    </row>
    <row r="663" spans="1:7" ht="14.25" customHeight="1" x14ac:dyDescent="0.25">
      <c r="A663" s="3">
        <v>45561</v>
      </c>
      <c r="B663" s="1">
        <v>2024001979</v>
      </c>
      <c r="C663" s="1" t="s">
        <v>42</v>
      </c>
      <c r="D663" s="5">
        <v>7500000</v>
      </c>
      <c r="E663" s="1">
        <v>87065647</v>
      </c>
      <c r="F663" s="1" t="s">
        <v>43</v>
      </c>
      <c r="G663" s="1" t="s">
        <v>9</v>
      </c>
    </row>
    <row r="664" spans="1:7" ht="14.25" customHeight="1" x14ac:dyDescent="0.25">
      <c r="A664" s="3">
        <v>45561</v>
      </c>
      <c r="B664" s="1">
        <v>2024001980</v>
      </c>
      <c r="C664" s="1" t="s">
        <v>142</v>
      </c>
      <c r="D664" s="5">
        <v>6000000</v>
      </c>
      <c r="E664" s="1">
        <v>1085254626</v>
      </c>
      <c r="F664" s="1" t="s">
        <v>143</v>
      </c>
      <c r="G664" s="1" t="s">
        <v>9</v>
      </c>
    </row>
    <row r="665" spans="1:7" ht="14.25" customHeight="1" x14ac:dyDescent="0.25">
      <c r="A665" s="3">
        <v>45561</v>
      </c>
      <c r="B665" s="1">
        <v>2024001981</v>
      </c>
      <c r="C665" s="1" t="s">
        <v>258</v>
      </c>
      <c r="D665" s="5">
        <v>2000000</v>
      </c>
      <c r="E665" s="1">
        <v>1085320930</v>
      </c>
      <c r="F665" s="1" t="s">
        <v>259</v>
      </c>
      <c r="G665" s="1" t="s">
        <v>9</v>
      </c>
    </row>
    <row r="666" spans="1:7" ht="14.25" customHeight="1" x14ac:dyDescent="0.25">
      <c r="A666" s="3">
        <v>45561</v>
      </c>
      <c r="B666" s="1">
        <v>2024001982</v>
      </c>
      <c r="C666" s="1" t="s">
        <v>86</v>
      </c>
      <c r="D666" s="5">
        <v>2000000</v>
      </c>
      <c r="E666" s="1">
        <v>1233189234</v>
      </c>
      <c r="F666" s="1" t="s">
        <v>87</v>
      </c>
      <c r="G666" s="1" t="s">
        <v>9</v>
      </c>
    </row>
    <row r="667" spans="1:7" ht="14.25" customHeight="1" x14ac:dyDescent="0.25">
      <c r="A667" s="3">
        <v>45561</v>
      </c>
      <c r="B667" s="1">
        <v>2024001983</v>
      </c>
      <c r="C667" s="1" t="s">
        <v>28</v>
      </c>
      <c r="D667" s="5">
        <v>4750000</v>
      </c>
      <c r="E667" s="1">
        <v>1085324546</v>
      </c>
      <c r="F667" s="1" t="s">
        <v>29</v>
      </c>
      <c r="G667" s="1" t="s">
        <v>9</v>
      </c>
    </row>
    <row r="668" spans="1:7" ht="14.25" customHeight="1" x14ac:dyDescent="0.25">
      <c r="A668" s="3">
        <v>45561</v>
      </c>
      <c r="B668" s="1">
        <v>2024001984</v>
      </c>
      <c r="C668" s="1" t="s">
        <v>72</v>
      </c>
      <c r="D668" s="5">
        <v>2000000</v>
      </c>
      <c r="E668" s="1">
        <v>1085323101</v>
      </c>
      <c r="F668" s="1" t="s">
        <v>73</v>
      </c>
      <c r="G668" s="1" t="s">
        <v>9</v>
      </c>
    </row>
    <row r="669" spans="1:7" ht="14.25" customHeight="1" x14ac:dyDescent="0.25">
      <c r="A669" s="3">
        <v>45565</v>
      </c>
      <c r="B669" s="1">
        <v>2024001993</v>
      </c>
      <c r="C669" s="1" t="s">
        <v>80</v>
      </c>
      <c r="D669" s="5">
        <v>2000000</v>
      </c>
      <c r="E669" s="1">
        <v>1088799034</v>
      </c>
      <c r="F669" s="1" t="s">
        <v>81</v>
      </c>
      <c r="G669" s="1" t="s">
        <v>9</v>
      </c>
    </row>
    <row r="670" spans="1:7" ht="14.25" customHeight="1" x14ac:dyDescent="0.25">
      <c r="A670" s="3">
        <v>45565</v>
      </c>
      <c r="B670" s="1">
        <v>2024001994</v>
      </c>
      <c r="C670" s="1" t="s">
        <v>310</v>
      </c>
      <c r="D670" s="5">
        <v>6000000</v>
      </c>
      <c r="E670" s="1">
        <v>59836926</v>
      </c>
      <c r="F670" s="1" t="s">
        <v>311</v>
      </c>
      <c r="G670" s="1" t="s">
        <v>9</v>
      </c>
    </row>
    <row r="671" spans="1:7" ht="14.25" customHeight="1" x14ac:dyDescent="0.25">
      <c r="A671" s="3">
        <v>45565</v>
      </c>
      <c r="B671" s="1">
        <v>2024001995</v>
      </c>
      <c r="C671" s="1" t="s">
        <v>340</v>
      </c>
      <c r="D671" s="5">
        <v>2000000</v>
      </c>
      <c r="E671" s="1">
        <v>36759281</v>
      </c>
      <c r="F671" s="1" t="s">
        <v>341</v>
      </c>
      <c r="G671" s="1" t="s">
        <v>9</v>
      </c>
    </row>
    <row r="672" spans="1:7" ht="14.25" customHeight="1" x14ac:dyDescent="0.25">
      <c r="A672" s="3">
        <v>45565</v>
      </c>
      <c r="B672" s="1">
        <v>2024001996</v>
      </c>
      <c r="C672" s="1" t="s">
        <v>432</v>
      </c>
      <c r="D672" s="5">
        <v>9506000</v>
      </c>
      <c r="E672" s="1">
        <v>1061696504</v>
      </c>
      <c r="F672" s="1" t="s">
        <v>433</v>
      </c>
      <c r="G672" s="1" t="s">
        <v>9</v>
      </c>
    </row>
    <row r="673" spans="1:7" ht="14.25" customHeight="1" x14ac:dyDescent="0.25">
      <c r="A673" s="3">
        <v>45566</v>
      </c>
      <c r="B673" s="1">
        <v>2024002002</v>
      </c>
      <c r="C673" s="1" t="s">
        <v>90</v>
      </c>
      <c r="D673" s="5">
        <v>4750000</v>
      </c>
      <c r="E673" s="1">
        <v>1085263018</v>
      </c>
      <c r="F673" s="1" t="s">
        <v>91</v>
      </c>
      <c r="G673" s="1" t="s">
        <v>9</v>
      </c>
    </row>
    <row r="674" spans="1:7" ht="14.25" customHeight="1" x14ac:dyDescent="0.25">
      <c r="A674" s="3">
        <v>45566</v>
      </c>
      <c r="B674" s="1">
        <v>2024002003</v>
      </c>
      <c r="C674" s="1" t="s">
        <v>328</v>
      </c>
      <c r="D674" s="5">
        <v>6000000</v>
      </c>
      <c r="E674" s="1">
        <v>97470681</v>
      </c>
      <c r="F674" s="1" t="s">
        <v>329</v>
      </c>
      <c r="G674" s="1" t="s">
        <v>9</v>
      </c>
    </row>
    <row r="675" spans="1:7" ht="14.25" customHeight="1" x14ac:dyDescent="0.25">
      <c r="A675" s="3">
        <v>45566</v>
      </c>
      <c r="B675" s="1">
        <v>2024002005</v>
      </c>
      <c r="C675" s="1" t="s">
        <v>58</v>
      </c>
      <c r="D675" s="5">
        <v>2000000</v>
      </c>
      <c r="E675" s="1">
        <v>1081272025</v>
      </c>
      <c r="F675" s="1" t="s">
        <v>59</v>
      </c>
      <c r="G675" s="1" t="s">
        <v>9</v>
      </c>
    </row>
    <row r="676" spans="1:7" ht="14.25" customHeight="1" x14ac:dyDescent="0.25">
      <c r="A676" s="3">
        <v>45566</v>
      </c>
      <c r="B676" s="1">
        <v>2024002006</v>
      </c>
      <c r="C676" s="1" t="s">
        <v>94</v>
      </c>
      <c r="D676" s="5">
        <v>4750000</v>
      </c>
      <c r="E676" s="1">
        <v>1087413951</v>
      </c>
      <c r="F676" s="1" t="s">
        <v>95</v>
      </c>
      <c r="G676" s="1" t="s">
        <v>9</v>
      </c>
    </row>
    <row r="677" spans="1:7" ht="14.25" customHeight="1" x14ac:dyDescent="0.25">
      <c r="A677" s="3">
        <v>45567</v>
      </c>
      <c r="B677" s="1">
        <v>2024002009</v>
      </c>
      <c r="C677" s="1" t="s">
        <v>108</v>
      </c>
      <c r="D677" s="5">
        <v>2000000</v>
      </c>
      <c r="E677" s="1">
        <v>1004232508</v>
      </c>
      <c r="F677" s="1" t="s">
        <v>109</v>
      </c>
      <c r="G677" s="1" t="s">
        <v>9</v>
      </c>
    </row>
    <row r="678" spans="1:7" ht="14.25" customHeight="1" x14ac:dyDescent="0.25">
      <c r="A678" s="3">
        <v>45567</v>
      </c>
      <c r="B678" s="1">
        <v>2024002011</v>
      </c>
      <c r="C678" s="1" t="s">
        <v>66</v>
      </c>
      <c r="D678" s="5">
        <v>2000000</v>
      </c>
      <c r="E678" s="1">
        <v>1193265360</v>
      </c>
      <c r="F678" s="1" t="s">
        <v>67</v>
      </c>
      <c r="G678" s="1" t="s">
        <v>9</v>
      </c>
    </row>
    <row r="679" spans="1:7" ht="14.25" customHeight="1" x14ac:dyDescent="0.25">
      <c r="A679" s="3">
        <v>45567</v>
      </c>
      <c r="B679" s="1">
        <v>2024002012</v>
      </c>
      <c r="C679" s="1" t="s">
        <v>50</v>
      </c>
      <c r="D679" s="5">
        <v>2000000</v>
      </c>
      <c r="E679" s="1">
        <v>12974849</v>
      </c>
      <c r="F679" s="1" t="s">
        <v>51</v>
      </c>
      <c r="G679" s="1" t="s">
        <v>9</v>
      </c>
    </row>
    <row r="680" spans="1:7" ht="14.25" customHeight="1" x14ac:dyDescent="0.25">
      <c r="A680" s="3">
        <v>45567</v>
      </c>
      <c r="B680" s="1">
        <v>2024002014</v>
      </c>
      <c r="C680" s="1" t="s">
        <v>246</v>
      </c>
      <c r="D680" s="5">
        <v>4825600</v>
      </c>
      <c r="E680" s="1">
        <v>1085267184</v>
      </c>
      <c r="F680" s="1" t="s">
        <v>247</v>
      </c>
      <c r="G680" s="1" t="s">
        <v>9</v>
      </c>
    </row>
    <row r="681" spans="1:7" ht="14.25" customHeight="1" x14ac:dyDescent="0.25">
      <c r="A681" s="3">
        <v>45568</v>
      </c>
      <c r="B681" s="1">
        <v>2024002029</v>
      </c>
      <c r="C681" s="1" t="s">
        <v>222</v>
      </c>
      <c r="D681" s="5">
        <v>4750000</v>
      </c>
      <c r="E681" s="1">
        <v>87060703</v>
      </c>
      <c r="F681" s="1" t="s">
        <v>223</v>
      </c>
      <c r="G681" s="1" t="s">
        <v>9</v>
      </c>
    </row>
    <row r="682" spans="1:7" ht="14.25" customHeight="1" x14ac:dyDescent="0.25">
      <c r="A682" s="3">
        <v>45568</v>
      </c>
      <c r="B682" s="1">
        <v>2024002030</v>
      </c>
      <c r="C682" s="1" t="s">
        <v>106</v>
      </c>
      <c r="D682" s="5">
        <v>2000000</v>
      </c>
      <c r="E682" s="1">
        <v>36758143</v>
      </c>
      <c r="F682" s="1" t="s">
        <v>107</v>
      </c>
      <c r="G682" s="1" t="s">
        <v>9</v>
      </c>
    </row>
    <row r="683" spans="1:7" ht="14.25" customHeight="1" x14ac:dyDescent="0.25">
      <c r="A683" s="3">
        <v>45568</v>
      </c>
      <c r="B683" s="1">
        <v>2024002031</v>
      </c>
      <c r="C683" s="1" t="s">
        <v>130</v>
      </c>
      <c r="D683" s="5">
        <v>4825600</v>
      </c>
      <c r="E683" s="1">
        <v>1087643211</v>
      </c>
      <c r="F683" s="1" t="s">
        <v>131</v>
      </c>
      <c r="G683" s="1" t="s">
        <v>9</v>
      </c>
    </row>
    <row r="684" spans="1:7" ht="14.25" customHeight="1" x14ac:dyDescent="0.25">
      <c r="A684" s="3">
        <v>45573</v>
      </c>
      <c r="B684" s="1">
        <v>2024002068</v>
      </c>
      <c r="C684" s="1" t="s">
        <v>172</v>
      </c>
      <c r="D684" s="5">
        <v>2000000</v>
      </c>
      <c r="E684" s="1">
        <v>59833702</v>
      </c>
      <c r="F684" s="1" t="s">
        <v>173</v>
      </c>
      <c r="G684" s="1" t="s">
        <v>9</v>
      </c>
    </row>
    <row r="685" spans="1:7" ht="14.25" customHeight="1" x14ac:dyDescent="0.25">
      <c r="A685" s="3">
        <v>45573</v>
      </c>
      <c r="B685" s="1">
        <v>2024002069</v>
      </c>
      <c r="C685" s="1" t="s">
        <v>198</v>
      </c>
      <c r="D685" s="5">
        <v>2000000</v>
      </c>
      <c r="E685" s="1">
        <v>30737741</v>
      </c>
      <c r="F685" s="1" t="s">
        <v>199</v>
      </c>
      <c r="G685" s="1" t="s">
        <v>9</v>
      </c>
    </row>
    <row r="686" spans="1:7" ht="14.25" customHeight="1" x14ac:dyDescent="0.25">
      <c r="A686" s="3">
        <v>45573</v>
      </c>
      <c r="B686" s="1">
        <v>2024002070</v>
      </c>
      <c r="C686" s="1" t="s">
        <v>332</v>
      </c>
      <c r="D686" s="5">
        <v>4825600</v>
      </c>
      <c r="E686" s="1">
        <v>1085269530</v>
      </c>
      <c r="F686" s="1" t="s">
        <v>333</v>
      </c>
      <c r="G686" s="1" t="s">
        <v>9</v>
      </c>
    </row>
    <row r="687" spans="1:7" ht="14.25" customHeight="1" x14ac:dyDescent="0.25">
      <c r="A687" s="3">
        <v>45573</v>
      </c>
      <c r="B687" s="1">
        <v>2024002071</v>
      </c>
      <c r="C687" s="1" t="s">
        <v>364</v>
      </c>
      <c r="D687" s="5">
        <v>2000000</v>
      </c>
      <c r="E687" s="1">
        <v>1004726758</v>
      </c>
      <c r="F687" s="1" t="s">
        <v>365</v>
      </c>
      <c r="G687" s="1" t="s">
        <v>9</v>
      </c>
    </row>
    <row r="688" spans="1:7" ht="14.25" customHeight="1" x14ac:dyDescent="0.25">
      <c r="A688" s="3">
        <v>45573</v>
      </c>
      <c r="B688" s="1">
        <v>2024002072</v>
      </c>
      <c r="C688" s="1" t="s">
        <v>382</v>
      </c>
      <c r="D688" s="5">
        <v>2000000</v>
      </c>
      <c r="E688" s="1">
        <v>36753698</v>
      </c>
      <c r="F688" s="1" t="s">
        <v>383</v>
      </c>
      <c r="G688" s="1" t="s">
        <v>9</v>
      </c>
    </row>
    <row r="689" spans="1:7" ht="14.25" customHeight="1" x14ac:dyDescent="0.25">
      <c r="A689" s="3">
        <v>45573</v>
      </c>
      <c r="B689" s="1">
        <v>2024002074</v>
      </c>
      <c r="C689" s="1" t="s">
        <v>368</v>
      </c>
      <c r="D689" s="5">
        <v>2000000</v>
      </c>
      <c r="E689" s="1">
        <v>1085338135</v>
      </c>
      <c r="F689" s="1" t="s">
        <v>369</v>
      </c>
      <c r="G689" s="1" t="s">
        <v>9</v>
      </c>
    </row>
    <row r="690" spans="1:7" ht="14.25" customHeight="1" x14ac:dyDescent="0.25">
      <c r="A690" s="3">
        <v>45573</v>
      </c>
      <c r="B690" s="1">
        <v>2024002075</v>
      </c>
      <c r="C690" s="1" t="s">
        <v>152</v>
      </c>
      <c r="D690" s="5">
        <v>2000000</v>
      </c>
      <c r="E690" s="1">
        <v>1144206777</v>
      </c>
      <c r="F690" s="1" t="s">
        <v>153</v>
      </c>
      <c r="G690" s="1" t="s">
        <v>9</v>
      </c>
    </row>
    <row r="691" spans="1:7" ht="14.25" customHeight="1" x14ac:dyDescent="0.25">
      <c r="A691" s="3">
        <v>45573</v>
      </c>
      <c r="B691" s="1">
        <v>2024002076</v>
      </c>
      <c r="C691" s="1" t="s">
        <v>228</v>
      </c>
      <c r="D691" s="5">
        <v>2000000</v>
      </c>
      <c r="E691" s="1">
        <v>1193271854</v>
      </c>
      <c r="F691" s="1" t="s">
        <v>229</v>
      </c>
      <c r="G691" s="1" t="s">
        <v>9</v>
      </c>
    </row>
    <row r="692" spans="1:7" ht="14.25" customHeight="1" x14ac:dyDescent="0.25">
      <c r="A692" s="3">
        <v>45573</v>
      </c>
      <c r="B692" s="1">
        <v>2024002077</v>
      </c>
      <c r="C692" s="1" t="s">
        <v>418</v>
      </c>
      <c r="D692" s="5">
        <v>2000000</v>
      </c>
      <c r="E692" s="1">
        <v>1085260568</v>
      </c>
      <c r="F692" s="1" t="s">
        <v>419</v>
      </c>
      <c r="G692" s="1" t="s">
        <v>9</v>
      </c>
    </row>
    <row r="693" spans="1:7" ht="14.25" customHeight="1" x14ac:dyDescent="0.25">
      <c r="A693" s="3">
        <v>45573</v>
      </c>
      <c r="B693" s="1">
        <v>2024002081</v>
      </c>
      <c r="C693" s="1" t="s">
        <v>140</v>
      </c>
      <c r="D693" s="5">
        <v>4825600</v>
      </c>
      <c r="E693" s="1">
        <v>59314451</v>
      </c>
      <c r="F693" s="1" t="s">
        <v>141</v>
      </c>
      <c r="G693" s="1" t="s">
        <v>9</v>
      </c>
    </row>
    <row r="694" spans="1:7" ht="14.25" customHeight="1" x14ac:dyDescent="0.25">
      <c r="A694" s="3">
        <v>45573</v>
      </c>
      <c r="B694" s="1">
        <v>2024002082</v>
      </c>
      <c r="C694" s="1" t="s">
        <v>26</v>
      </c>
      <c r="D694" s="5">
        <v>6000000</v>
      </c>
      <c r="E694" s="1">
        <v>1085292185</v>
      </c>
      <c r="F694" s="1" t="s">
        <v>27</v>
      </c>
      <c r="G694" s="1" t="s">
        <v>9</v>
      </c>
    </row>
    <row r="695" spans="1:7" ht="14.25" customHeight="1" x14ac:dyDescent="0.25">
      <c r="A695" s="3">
        <v>45573</v>
      </c>
      <c r="B695" s="1">
        <v>2024002083</v>
      </c>
      <c r="C695" s="1" t="s">
        <v>390</v>
      </c>
      <c r="D695" s="5">
        <v>4750000</v>
      </c>
      <c r="E695" s="1">
        <v>36953206</v>
      </c>
      <c r="F695" s="1" t="s">
        <v>391</v>
      </c>
      <c r="G695" s="1" t="s">
        <v>9</v>
      </c>
    </row>
    <row r="696" spans="1:7" ht="14.25" customHeight="1" x14ac:dyDescent="0.25">
      <c r="A696" s="3">
        <v>45574</v>
      </c>
      <c r="B696" s="1">
        <v>2024002084</v>
      </c>
      <c r="C696" s="1" t="s">
        <v>212</v>
      </c>
      <c r="D696" s="5">
        <v>2000000</v>
      </c>
      <c r="E696" s="1">
        <v>5930737</v>
      </c>
      <c r="F696" s="1" t="s">
        <v>213</v>
      </c>
      <c r="G696" s="1" t="s">
        <v>9</v>
      </c>
    </row>
    <row r="697" spans="1:7" ht="14.25" customHeight="1" x14ac:dyDescent="0.25">
      <c r="A697" s="3">
        <v>45573</v>
      </c>
      <c r="B697" s="1">
        <v>2024002085</v>
      </c>
      <c r="C697" s="1" t="s">
        <v>60</v>
      </c>
      <c r="D697" s="5">
        <v>7500000</v>
      </c>
      <c r="E697" s="1">
        <v>1085321192</v>
      </c>
      <c r="F697" s="1" t="s">
        <v>61</v>
      </c>
      <c r="G697" s="1" t="s">
        <v>9</v>
      </c>
    </row>
    <row r="698" spans="1:7" ht="14.25" customHeight="1" x14ac:dyDescent="0.25">
      <c r="A698" s="3">
        <v>45573</v>
      </c>
      <c r="B698" s="1">
        <v>2024002086</v>
      </c>
      <c r="C698" s="1" t="s">
        <v>216</v>
      </c>
      <c r="D698" s="5">
        <v>6000000</v>
      </c>
      <c r="E698" s="1">
        <v>27109314</v>
      </c>
      <c r="F698" s="1" t="s">
        <v>217</v>
      </c>
      <c r="G698" s="1" t="s">
        <v>9</v>
      </c>
    </row>
    <row r="699" spans="1:7" ht="14.25" customHeight="1" x14ac:dyDescent="0.25">
      <c r="A699" s="3">
        <v>45574</v>
      </c>
      <c r="B699" s="1">
        <v>2024002087</v>
      </c>
      <c r="C699" s="1" t="s">
        <v>48</v>
      </c>
      <c r="D699" s="5">
        <v>6000000</v>
      </c>
      <c r="E699" s="1">
        <v>27097289</v>
      </c>
      <c r="F699" s="1" t="s">
        <v>49</v>
      </c>
      <c r="G699" s="1" t="s">
        <v>9</v>
      </c>
    </row>
    <row r="700" spans="1:7" ht="14.25" customHeight="1" x14ac:dyDescent="0.25">
      <c r="A700" s="3">
        <v>45573</v>
      </c>
      <c r="B700" s="1">
        <v>2024002088</v>
      </c>
      <c r="C700" s="1" t="s">
        <v>22</v>
      </c>
      <c r="D700" s="5">
        <v>4750000</v>
      </c>
      <c r="E700" s="1">
        <v>1085325342</v>
      </c>
      <c r="F700" s="1" t="s">
        <v>23</v>
      </c>
      <c r="G700" s="1" t="s">
        <v>9</v>
      </c>
    </row>
    <row r="701" spans="1:7" ht="14.25" customHeight="1" x14ac:dyDescent="0.25">
      <c r="A701" s="3">
        <v>45573</v>
      </c>
      <c r="B701" s="1">
        <v>2024002089</v>
      </c>
      <c r="C701" s="1" t="s">
        <v>88</v>
      </c>
      <c r="D701" s="5">
        <v>6000000</v>
      </c>
      <c r="E701" s="1">
        <v>1085337232</v>
      </c>
      <c r="F701" s="1" t="s">
        <v>89</v>
      </c>
      <c r="G701" s="1" t="s">
        <v>9</v>
      </c>
    </row>
    <row r="702" spans="1:7" ht="14.25" customHeight="1" x14ac:dyDescent="0.25">
      <c r="A702" s="3">
        <v>45573</v>
      </c>
      <c r="B702" s="1">
        <v>2024002090</v>
      </c>
      <c r="C702" s="1" t="s">
        <v>424</v>
      </c>
      <c r="D702" s="5">
        <v>6000000</v>
      </c>
      <c r="E702" s="1">
        <v>79724257</v>
      </c>
      <c r="F702" s="1" t="s">
        <v>425</v>
      </c>
      <c r="G702" s="1" t="s">
        <v>9</v>
      </c>
    </row>
    <row r="703" spans="1:7" ht="14.25" customHeight="1" x14ac:dyDescent="0.25">
      <c r="A703" s="3">
        <v>45573</v>
      </c>
      <c r="B703" s="1">
        <v>2024002091</v>
      </c>
      <c r="C703" s="1" t="s">
        <v>184</v>
      </c>
      <c r="D703" s="5">
        <v>2000000</v>
      </c>
      <c r="E703" s="1">
        <v>87070661</v>
      </c>
      <c r="F703" s="1" t="s">
        <v>185</v>
      </c>
      <c r="G703" s="1" t="s">
        <v>9</v>
      </c>
    </row>
    <row r="704" spans="1:7" ht="14.25" customHeight="1" x14ac:dyDescent="0.25">
      <c r="A704" s="3">
        <v>45573</v>
      </c>
      <c r="B704" s="1">
        <v>2024002092</v>
      </c>
      <c r="C704" s="1" t="s">
        <v>136</v>
      </c>
      <c r="D704" s="5">
        <v>7500000</v>
      </c>
      <c r="E704" s="1">
        <v>1151934571</v>
      </c>
      <c r="F704" s="1" t="s">
        <v>137</v>
      </c>
      <c r="G704" s="1" t="s">
        <v>9</v>
      </c>
    </row>
    <row r="705" spans="1:7" ht="14.25" customHeight="1" x14ac:dyDescent="0.25">
      <c r="A705" s="3">
        <v>45573</v>
      </c>
      <c r="B705" s="1">
        <v>2024002094</v>
      </c>
      <c r="C705" s="1" t="s">
        <v>308</v>
      </c>
      <c r="D705" s="5">
        <v>7500000</v>
      </c>
      <c r="E705" s="1">
        <v>12961407</v>
      </c>
      <c r="F705" s="1" t="s">
        <v>309</v>
      </c>
      <c r="G705" s="1" t="s">
        <v>9</v>
      </c>
    </row>
    <row r="706" spans="1:7" ht="14.25" customHeight="1" x14ac:dyDescent="0.25">
      <c r="A706" s="3">
        <v>45574</v>
      </c>
      <c r="B706" s="1">
        <v>2024002114</v>
      </c>
      <c r="C706" s="1" t="s">
        <v>266</v>
      </c>
      <c r="D706" s="5">
        <v>4750000</v>
      </c>
      <c r="E706" s="1">
        <v>1193383306</v>
      </c>
      <c r="F706" s="1" t="s">
        <v>267</v>
      </c>
      <c r="G706" s="1" t="s">
        <v>9</v>
      </c>
    </row>
    <row r="707" spans="1:7" ht="14.25" customHeight="1" x14ac:dyDescent="0.25">
      <c r="A707" s="3">
        <v>45574</v>
      </c>
      <c r="B707" s="1">
        <v>2024002115</v>
      </c>
      <c r="C707" s="1" t="s">
        <v>352</v>
      </c>
      <c r="D707" s="5">
        <v>2000000</v>
      </c>
      <c r="E707" s="1">
        <v>1081592303</v>
      </c>
      <c r="F707" s="1" t="s">
        <v>353</v>
      </c>
      <c r="G707" s="1" t="s">
        <v>9</v>
      </c>
    </row>
    <row r="708" spans="1:7" ht="14.25" customHeight="1" x14ac:dyDescent="0.25">
      <c r="A708" s="3">
        <v>45574</v>
      </c>
      <c r="B708" s="1">
        <v>2024002116</v>
      </c>
      <c r="C708" s="1" t="s">
        <v>62</v>
      </c>
      <c r="D708" s="5">
        <v>7500000</v>
      </c>
      <c r="E708" s="1">
        <v>1006946167</v>
      </c>
      <c r="F708" s="1" t="s">
        <v>63</v>
      </c>
      <c r="G708" s="1" t="s">
        <v>9</v>
      </c>
    </row>
    <row r="709" spans="1:7" ht="14.25" customHeight="1" x14ac:dyDescent="0.25">
      <c r="A709" s="3">
        <v>45574</v>
      </c>
      <c r="B709" s="1">
        <v>2024002117</v>
      </c>
      <c r="C709" s="1" t="s">
        <v>226</v>
      </c>
      <c r="D709" s="5">
        <v>2000000</v>
      </c>
      <c r="E709" s="1">
        <v>1085338575</v>
      </c>
      <c r="F709" s="1" t="s">
        <v>227</v>
      </c>
      <c r="G709" s="1" t="s">
        <v>9</v>
      </c>
    </row>
    <row r="710" spans="1:7" ht="14.25" customHeight="1" x14ac:dyDescent="0.25">
      <c r="A710" s="3">
        <v>45574</v>
      </c>
      <c r="B710" s="1">
        <v>2024002118</v>
      </c>
      <c r="C710" s="1" t="s">
        <v>64</v>
      </c>
      <c r="D710" s="5">
        <v>2000000</v>
      </c>
      <c r="E710" s="1">
        <v>59310524</v>
      </c>
      <c r="F710" s="1" t="s">
        <v>65</v>
      </c>
      <c r="G710" s="1" t="s">
        <v>9</v>
      </c>
    </row>
    <row r="711" spans="1:7" ht="14.25" customHeight="1" x14ac:dyDescent="0.25">
      <c r="A711" s="3">
        <v>45576</v>
      </c>
      <c r="B711" s="1">
        <v>2024002119</v>
      </c>
      <c r="C711" s="1" t="s">
        <v>424</v>
      </c>
      <c r="D711" s="5">
        <v>6000000</v>
      </c>
      <c r="E711" s="1">
        <v>79724257</v>
      </c>
      <c r="F711" s="1" t="s">
        <v>425</v>
      </c>
      <c r="G711" s="1" t="s">
        <v>9</v>
      </c>
    </row>
    <row r="712" spans="1:7" ht="14.25" customHeight="1" x14ac:dyDescent="0.25">
      <c r="A712" s="3">
        <v>45575</v>
      </c>
      <c r="B712" s="1">
        <v>2024002126</v>
      </c>
      <c r="C712" s="1" t="s">
        <v>164</v>
      </c>
      <c r="D712" s="14">
        <v>39900000</v>
      </c>
      <c r="E712" s="1">
        <v>900633448</v>
      </c>
      <c r="F712" s="1" t="s">
        <v>165</v>
      </c>
      <c r="G712" s="1" t="s">
        <v>9</v>
      </c>
    </row>
    <row r="713" spans="1:7" ht="14.25" customHeight="1" x14ac:dyDescent="0.25">
      <c r="A713" s="3">
        <v>45576</v>
      </c>
      <c r="B713" s="1">
        <v>2024002130</v>
      </c>
      <c r="C713" s="1" t="s">
        <v>96</v>
      </c>
      <c r="D713" s="5">
        <v>2000000</v>
      </c>
      <c r="E713" s="1">
        <v>59178610</v>
      </c>
      <c r="F713" s="1" t="s">
        <v>97</v>
      </c>
      <c r="G713" s="1" t="s">
        <v>9</v>
      </c>
    </row>
    <row r="714" spans="1:7" ht="14.25" customHeight="1" x14ac:dyDescent="0.25">
      <c r="A714" s="3">
        <v>45576</v>
      </c>
      <c r="B714" s="1">
        <v>2024002131</v>
      </c>
      <c r="C714" s="1" t="s">
        <v>252</v>
      </c>
      <c r="D714" s="5">
        <v>4750000</v>
      </c>
      <c r="E714" s="1">
        <v>1087422930</v>
      </c>
      <c r="F714" s="1" t="s">
        <v>253</v>
      </c>
      <c r="G714" s="1" t="s">
        <v>9</v>
      </c>
    </row>
    <row r="715" spans="1:7" ht="14.25" customHeight="1" x14ac:dyDescent="0.25">
      <c r="A715" s="3">
        <v>45576</v>
      </c>
      <c r="B715" s="1">
        <v>2024002132</v>
      </c>
      <c r="C715" s="1" t="s">
        <v>240</v>
      </c>
      <c r="D715" s="5">
        <v>4825600</v>
      </c>
      <c r="E715" s="1">
        <v>1085289739</v>
      </c>
      <c r="F715" s="1" t="s">
        <v>241</v>
      </c>
      <c r="G715" s="1" t="s">
        <v>9</v>
      </c>
    </row>
    <row r="716" spans="1:7" ht="14.25" customHeight="1" x14ac:dyDescent="0.25">
      <c r="A716" s="3">
        <v>45580</v>
      </c>
      <c r="B716" s="1">
        <v>2024002136</v>
      </c>
      <c r="C716" s="1" t="s">
        <v>102</v>
      </c>
      <c r="D716" s="5">
        <v>2000000</v>
      </c>
      <c r="E716" s="1">
        <v>59813323</v>
      </c>
      <c r="F716" s="1" t="s">
        <v>103</v>
      </c>
      <c r="G716" s="1" t="s">
        <v>9</v>
      </c>
    </row>
    <row r="717" spans="1:7" ht="14.25" customHeight="1" x14ac:dyDescent="0.25">
      <c r="A717" s="3">
        <v>45580</v>
      </c>
      <c r="B717" s="1">
        <v>2024002137</v>
      </c>
      <c r="C717" s="1" t="s">
        <v>54</v>
      </c>
      <c r="D717" s="5">
        <v>6000000</v>
      </c>
      <c r="E717" s="1">
        <v>1085246134</v>
      </c>
      <c r="F717" s="1" t="s">
        <v>55</v>
      </c>
      <c r="G717" s="1" t="s">
        <v>9</v>
      </c>
    </row>
    <row r="718" spans="1:7" ht="14.25" customHeight="1" x14ac:dyDescent="0.25">
      <c r="A718" s="3">
        <v>45582</v>
      </c>
      <c r="B718" s="1">
        <v>2024002143</v>
      </c>
      <c r="C718" s="1" t="s">
        <v>434</v>
      </c>
      <c r="D718" s="5">
        <v>7500000</v>
      </c>
      <c r="E718" s="1">
        <v>1193279435</v>
      </c>
      <c r="F718" s="1" t="s">
        <v>435</v>
      </c>
      <c r="G718" s="1" t="s">
        <v>9</v>
      </c>
    </row>
    <row r="719" spans="1:7" ht="14.25" customHeight="1" x14ac:dyDescent="0.25">
      <c r="A719" s="3">
        <v>45582</v>
      </c>
      <c r="B719" s="1">
        <v>2024002144</v>
      </c>
      <c r="C719" s="1" t="s">
        <v>436</v>
      </c>
      <c r="D719" s="5">
        <v>6000000</v>
      </c>
      <c r="E719" s="1">
        <v>1085248939</v>
      </c>
      <c r="F719" s="1" t="s">
        <v>437</v>
      </c>
      <c r="G719" s="1" t="s">
        <v>9</v>
      </c>
    </row>
    <row r="720" spans="1:7" ht="14.25" customHeight="1" x14ac:dyDescent="0.25">
      <c r="A720" s="3">
        <v>45582</v>
      </c>
      <c r="B720" s="1">
        <v>2024002145</v>
      </c>
      <c r="C720" s="1" t="s">
        <v>436</v>
      </c>
      <c r="D720" s="5">
        <v>6000000</v>
      </c>
      <c r="E720" s="1">
        <v>1085248939</v>
      </c>
      <c r="F720" s="1" t="s">
        <v>437</v>
      </c>
      <c r="G720" s="1" t="s">
        <v>9</v>
      </c>
    </row>
    <row r="721" spans="1:7" ht="14.25" customHeight="1" x14ac:dyDescent="0.25">
      <c r="A721" s="3">
        <v>45582</v>
      </c>
      <c r="B721" s="1">
        <v>2024002146</v>
      </c>
      <c r="C721" s="1" t="s">
        <v>436</v>
      </c>
      <c r="D721" s="5">
        <v>6000000</v>
      </c>
      <c r="E721" s="1">
        <v>1085248939</v>
      </c>
      <c r="F721" s="1" t="s">
        <v>437</v>
      </c>
      <c r="G721" s="1" t="s">
        <v>9</v>
      </c>
    </row>
    <row r="722" spans="1:7" ht="14.25" customHeight="1" x14ac:dyDescent="0.25">
      <c r="A722" s="3">
        <v>45582</v>
      </c>
      <c r="B722" s="1">
        <v>2024002147</v>
      </c>
      <c r="C722" s="1" t="s">
        <v>358</v>
      </c>
      <c r="D722" s="5">
        <v>7500000</v>
      </c>
      <c r="E722" s="1">
        <v>1085345430</v>
      </c>
      <c r="F722" s="1" t="s">
        <v>359</v>
      </c>
      <c r="G722" s="1" t="s">
        <v>9</v>
      </c>
    </row>
    <row r="723" spans="1:7" ht="14.25" customHeight="1" x14ac:dyDescent="0.25">
      <c r="A723" s="3">
        <v>45582</v>
      </c>
      <c r="B723" s="1">
        <v>2024002148</v>
      </c>
      <c r="C723" s="1" t="s">
        <v>232</v>
      </c>
      <c r="D723" s="5">
        <v>2000000</v>
      </c>
      <c r="E723" s="1">
        <v>1014857280</v>
      </c>
      <c r="F723" s="1" t="s">
        <v>233</v>
      </c>
      <c r="G723" s="1" t="s">
        <v>9</v>
      </c>
    </row>
    <row r="724" spans="1:7" ht="14.25" customHeight="1" x14ac:dyDescent="0.25">
      <c r="A724" s="3">
        <v>45582</v>
      </c>
      <c r="B724" s="1">
        <v>2024002153</v>
      </c>
      <c r="C724" s="1" t="s">
        <v>366</v>
      </c>
      <c r="D724" s="5">
        <v>2000000</v>
      </c>
      <c r="E724" s="1">
        <v>1004508436</v>
      </c>
      <c r="F724" s="1" t="s">
        <v>367</v>
      </c>
      <c r="G724" s="1" t="s">
        <v>9</v>
      </c>
    </row>
    <row r="725" spans="1:7" ht="14.25" customHeight="1" x14ac:dyDescent="0.25">
      <c r="A725" s="3">
        <v>45582</v>
      </c>
      <c r="B725" s="1">
        <v>2024002154</v>
      </c>
      <c r="C725" s="1" t="s">
        <v>300</v>
      </c>
      <c r="D725" s="5">
        <v>2000000</v>
      </c>
      <c r="E725" s="1">
        <v>1085325718</v>
      </c>
      <c r="F725" s="1" t="s">
        <v>301</v>
      </c>
      <c r="G725" s="1" t="s">
        <v>9</v>
      </c>
    </row>
    <row r="726" spans="1:7" ht="14.25" customHeight="1" x14ac:dyDescent="0.25">
      <c r="A726" s="3">
        <v>45587</v>
      </c>
      <c r="B726" s="1">
        <v>2024002211</v>
      </c>
      <c r="C726" s="1" t="s">
        <v>166</v>
      </c>
      <c r="D726" s="5">
        <v>733333.33</v>
      </c>
      <c r="E726" s="1">
        <v>1081052552</v>
      </c>
      <c r="F726" s="1" t="s">
        <v>167</v>
      </c>
      <c r="G726" s="1" t="s">
        <v>9</v>
      </c>
    </row>
    <row r="727" spans="1:7" ht="14.25" customHeight="1" x14ac:dyDescent="0.25">
      <c r="A727" s="3">
        <v>45588</v>
      </c>
      <c r="B727" s="1">
        <v>2024002213</v>
      </c>
      <c r="C727" s="1" t="s">
        <v>76</v>
      </c>
      <c r="D727" s="5">
        <v>2000000</v>
      </c>
      <c r="E727" s="1">
        <v>1086362994</v>
      </c>
      <c r="F727" s="1" t="s">
        <v>77</v>
      </c>
      <c r="G727" s="1" t="s">
        <v>9</v>
      </c>
    </row>
    <row r="728" spans="1:7" ht="14.25" customHeight="1" x14ac:dyDescent="0.25">
      <c r="A728" s="3">
        <v>45594</v>
      </c>
      <c r="B728" s="4">
        <v>2024002292</v>
      </c>
      <c r="C728" s="4" t="s">
        <v>598</v>
      </c>
      <c r="D728" s="5">
        <v>106805500</v>
      </c>
      <c r="E728" s="4">
        <v>900994364</v>
      </c>
      <c r="F728" s="4" t="s">
        <v>269</v>
      </c>
      <c r="G728" t="s">
        <v>565</v>
      </c>
    </row>
    <row r="729" spans="1:7" ht="14.25" customHeight="1" x14ac:dyDescent="0.25">
      <c r="A729" s="3">
        <v>45595</v>
      </c>
      <c r="B729" s="1">
        <v>2024002306</v>
      </c>
      <c r="C729" s="1" t="s">
        <v>380</v>
      </c>
      <c r="D729" s="5">
        <v>2000000</v>
      </c>
      <c r="E729" s="1">
        <v>1085324107</v>
      </c>
      <c r="F729" s="1" t="s">
        <v>381</v>
      </c>
      <c r="G729" s="1" t="s">
        <v>9</v>
      </c>
    </row>
    <row r="730" spans="1:7" ht="14.25" customHeight="1" x14ac:dyDescent="0.25">
      <c r="A730" s="3">
        <v>45595</v>
      </c>
      <c r="B730" s="1">
        <v>2024002307</v>
      </c>
      <c r="C730" s="1" t="s">
        <v>380</v>
      </c>
      <c r="D730" s="5">
        <v>1000000</v>
      </c>
      <c r="E730" s="1">
        <v>1085324107</v>
      </c>
      <c r="F730" s="1" t="s">
        <v>381</v>
      </c>
      <c r="G730" s="1" t="s">
        <v>9</v>
      </c>
    </row>
    <row r="731" spans="1:7" ht="14.25" customHeight="1" x14ac:dyDescent="0.25">
      <c r="A731" s="3">
        <v>45604</v>
      </c>
      <c r="B731" s="4">
        <v>2024002372</v>
      </c>
      <c r="C731" s="4" t="s">
        <v>599</v>
      </c>
      <c r="D731" s="5">
        <v>7540000</v>
      </c>
      <c r="E731" s="4">
        <v>1085304670</v>
      </c>
      <c r="F731" s="4" t="s">
        <v>161</v>
      </c>
      <c r="G731" t="s">
        <v>565</v>
      </c>
    </row>
    <row r="732" spans="1:7" ht="14.25" customHeight="1" x14ac:dyDescent="0.25">
      <c r="A732" s="3">
        <v>45609</v>
      </c>
      <c r="B732" s="4">
        <v>2024002374</v>
      </c>
      <c r="C732" s="4" t="s">
        <v>600</v>
      </c>
      <c r="D732" s="5">
        <v>6000000</v>
      </c>
      <c r="E732" s="4">
        <v>59820414</v>
      </c>
      <c r="F732" s="4" t="s">
        <v>261</v>
      </c>
      <c r="G732" t="s">
        <v>565</v>
      </c>
    </row>
    <row r="733" spans="1:7" ht="14.25" customHeight="1" x14ac:dyDescent="0.25">
      <c r="A733" s="3">
        <v>45610</v>
      </c>
      <c r="B733" s="4">
        <v>2024002398</v>
      </c>
      <c r="C733" s="4" t="s">
        <v>601</v>
      </c>
      <c r="D733" s="5">
        <v>6000000</v>
      </c>
      <c r="E733" s="4">
        <v>27097289</v>
      </c>
      <c r="F733" s="4" t="s">
        <v>49</v>
      </c>
      <c r="G733" t="s">
        <v>565</v>
      </c>
    </row>
    <row r="734" spans="1:7" ht="14.25" customHeight="1" x14ac:dyDescent="0.25">
      <c r="A734" s="3">
        <v>45610</v>
      </c>
      <c r="B734" s="4">
        <v>2024002400</v>
      </c>
      <c r="C734" s="4" t="s">
        <v>602</v>
      </c>
      <c r="D734" s="5">
        <v>7540000</v>
      </c>
      <c r="E734" s="4">
        <v>1151934571</v>
      </c>
      <c r="F734" s="4" t="s">
        <v>137</v>
      </c>
      <c r="G734" t="s">
        <v>565</v>
      </c>
    </row>
    <row r="735" spans="1:7" ht="14.25" customHeight="1" x14ac:dyDescent="0.25">
      <c r="A735" s="3">
        <v>45610</v>
      </c>
      <c r="B735" s="4">
        <v>2024002401</v>
      </c>
      <c r="C735" s="4" t="s">
        <v>603</v>
      </c>
      <c r="D735" s="5">
        <v>6000000</v>
      </c>
      <c r="E735" s="4">
        <v>1085286476</v>
      </c>
      <c r="F735" s="4" t="s">
        <v>385</v>
      </c>
      <c r="G735" t="s">
        <v>565</v>
      </c>
    </row>
    <row r="736" spans="1:7" ht="14.25" customHeight="1" x14ac:dyDescent="0.25">
      <c r="A736" s="3">
        <v>45610</v>
      </c>
      <c r="B736" s="4">
        <v>2024002404</v>
      </c>
      <c r="C736" s="4" t="s">
        <v>604</v>
      </c>
      <c r="D736" s="5">
        <v>7540000</v>
      </c>
      <c r="E736" s="4">
        <v>1085336362</v>
      </c>
      <c r="F736" s="4" t="s">
        <v>41</v>
      </c>
      <c r="G736" t="s">
        <v>565</v>
      </c>
    </row>
    <row r="737" spans="1:7" ht="14.25" customHeight="1" x14ac:dyDescent="0.25">
      <c r="A737" s="3">
        <v>45610</v>
      </c>
      <c r="B737" s="4">
        <v>2024002406</v>
      </c>
      <c r="C737" s="4" t="s">
        <v>605</v>
      </c>
      <c r="D737" s="5">
        <v>3000000</v>
      </c>
      <c r="E737" s="4">
        <v>1085326198</v>
      </c>
      <c r="F737" s="4" t="s">
        <v>79</v>
      </c>
      <c r="G737" t="s">
        <v>565</v>
      </c>
    </row>
    <row r="738" spans="1:7" ht="14.25" customHeight="1" x14ac:dyDescent="0.25">
      <c r="A738" s="3">
        <v>45610</v>
      </c>
      <c r="B738" s="4">
        <v>2024002407</v>
      </c>
      <c r="C738" s="4" t="s">
        <v>606</v>
      </c>
      <c r="D738" s="5">
        <v>3000000</v>
      </c>
      <c r="E738" s="4">
        <v>1088799034</v>
      </c>
      <c r="F738" s="4" t="s">
        <v>81</v>
      </c>
      <c r="G738" t="s">
        <v>565</v>
      </c>
    </row>
    <row r="739" spans="1:7" ht="14.25" customHeight="1" x14ac:dyDescent="0.25">
      <c r="A739" s="3">
        <v>45610</v>
      </c>
      <c r="B739" s="4">
        <v>2024002408</v>
      </c>
      <c r="C739" s="4" t="s">
        <v>607</v>
      </c>
      <c r="D739" s="5">
        <v>3000000</v>
      </c>
      <c r="E739" s="4">
        <v>1085295383</v>
      </c>
      <c r="F739" s="4" t="s">
        <v>139</v>
      </c>
      <c r="G739" t="s">
        <v>565</v>
      </c>
    </row>
    <row r="740" spans="1:7" ht="14.25" customHeight="1" x14ac:dyDescent="0.25">
      <c r="A740" s="3">
        <v>45610</v>
      </c>
      <c r="B740" s="4">
        <v>2024002410</v>
      </c>
      <c r="C740" s="4" t="s">
        <v>608</v>
      </c>
      <c r="D740" s="5">
        <v>3000000</v>
      </c>
      <c r="E740" s="4">
        <v>1085331508</v>
      </c>
      <c r="F740" s="4" t="s">
        <v>35</v>
      </c>
      <c r="G740" t="s">
        <v>565</v>
      </c>
    </row>
    <row r="741" spans="1:7" ht="14.25" customHeight="1" x14ac:dyDescent="0.25">
      <c r="A741" s="3">
        <v>45610</v>
      </c>
      <c r="B741" s="4">
        <v>2024002411</v>
      </c>
      <c r="C741" s="4" t="s">
        <v>609</v>
      </c>
      <c r="D741" s="5">
        <v>6000000</v>
      </c>
      <c r="E741" s="4">
        <v>1085275879</v>
      </c>
      <c r="F741" s="4" t="s">
        <v>117</v>
      </c>
      <c r="G741" t="s">
        <v>565</v>
      </c>
    </row>
    <row r="742" spans="1:7" ht="14.25" customHeight="1" x14ac:dyDescent="0.25">
      <c r="A742" s="3">
        <v>45610</v>
      </c>
      <c r="B742" s="4">
        <v>2024002415</v>
      </c>
      <c r="C742" s="4" t="s">
        <v>610</v>
      </c>
      <c r="D742" s="5">
        <v>6000000</v>
      </c>
      <c r="E742" s="4">
        <v>1085254626</v>
      </c>
      <c r="F742" s="4" t="s">
        <v>143</v>
      </c>
      <c r="G742" t="s">
        <v>565</v>
      </c>
    </row>
    <row r="743" spans="1:7" ht="14.25" customHeight="1" x14ac:dyDescent="0.25">
      <c r="A743" s="3">
        <v>45610</v>
      </c>
      <c r="B743" s="4">
        <v>2024002416</v>
      </c>
      <c r="C743" s="4" t="s">
        <v>611</v>
      </c>
      <c r="D743" s="5">
        <v>3000000</v>
      </c>
      <c r="E743" s="4">
        <v>1085261053</v>
      </c>
      <c r="F743" s="4" t="s">
        <v>335</v>
      </c>
      <c r="G743" t="s">
        <v>565</v>
      </c>
    </row>
    <row r="744" spans="1:7" ht="14.25" customHeight="1" x14ac:dyDescent="0.25">
      <c r="A744" s="3">
        <v>45610</v>
      </c>
      <c r="B744" s="4">
        <v>2024002417</v>
      </c>
      <c r="C744" s="4" t="s">
        <v>612</v>
      </c>
      <c r="D744" s="5">
        <v>4750000</v>
      </c>
      <c r="E744" s="4">
        <v>27087475</v>
      </c>
      <c r="F744" s="4" t="s">
        <v>571</v>
      </c>
      <c r="G744" t="s">
        <v>565</v>
      </c>
    </row>
    <row r="745" spans="1:7" ht="14.25" customHeight="1" x14ac:dyDescent="0.25">
      <c r="A745" s="3">
        <v>45610</v>
      </c>
      <c r="B745" s="4">
        <v>2024002418</v>
      </c>
      <c r="C745" s="4" t="s">
        <v>613</v>
      </c>
      <c r="D745" s="5">
        <v>6000000</v>
      </c>
      <c r="E745" s="4">
        <v>1085313872</v>
      </c>
      <c r="F745" s="4" t="s">
        <v>614</v>
      </c>
      <c r="G745" t="s">
        <v>565</v>
      </c>
    </row>
    <row r="746" spans="1:7" ht="14.25" customHeight="1" x14ac:dyDescent="0.25">
      <c r="A746" s="3">
        <v>45611</v>
      </c>
      <c r="B746" s="4">
        <v>2024002427</v>
      </c>
      <c r="C746" s="4" t="s">
        <v>615</v>
      </c>
      <c r="D746" s="5">
        <v>9853200</v>
      </c>
      <c r="E746" s="4">
        <v>830004892</v>
      </c>
      <c r="F746" s="4" t="s">
        <v>616</v>
      </c>
      <c r="G746" t="s">
        <v>565</v>
      </c>
    </row>
    <row r="747" spans="1:7" ht="14.25" customHeight="1" x14ac:dyDescent="0.25">
      <c r="A747" s="3">
        <v>45614</v>
      </c>
      <c r="B747" s="4">
        <v>2024002440</v>
      </c>
      <c r="C747" s="4" t="s">
        <v>617</v>
      </c>
      <c r="D747" s="5">
        <v>6000000</v>
      </c>
      <c r="E747" s="4">
        <v>1082748420</v>
      </c>
      <c r="F747" s="4" t="s">
        <v>450</v>
      </c>
      <c r="G747" t="s">
        <v>565</v>
      </c>
    </row>
    <row r="748" spans="1:7" ht="14.25" customHeight="1" x14ac:dyDescent="0.25">
      <c r="A748" s="3">
        <v>45614</v>
      </c>
      <c r="B748" s="4">
        <v>2024002441</v>
      </c>
      <c r="C748" s="4" t="s">
        <v>618</v>
      </c>
      <c r="D748" s="5">
        <v>6000000</v>
      </c>
      <c r="E748" s="4">
        <v>1085320275</v>
      </c>
      <c r="F748" s="4" t="s">
        <v>619</v>
      </c>
      <c r="G748" t="s">
        <v>565</v>
      </c>
    </row>
    <row r="749" spans="1:7" ht="14.25" customHeight="1" x14ac:dyDescent="0.25">
      <c r="A749" s="3">
        <v>45614</v>
      </c>
      <c r="B749" s="4">
        <v>2024002442</v>
      </c>
      <c r="C749" s="4" t="s">
        <v>620</v>
      </c>
      <c r="D749" s="5">
        <v>4825000</v>
      </c>
      <c r="E749" s="4">
        <v>1085273986</v>
      </c>
      <c r="F749" s="4" t="s">
        <v>621</v>
      </c>
      <c r="G749" t="s">
        <v>565</v>
      </c>
    </row>
    <row r="750" spans="1:7" ht="14.25" customHeight="1" x14ac:dyDescent="0.25">
      <c r="A750" s="3">
        <v>45614</v>
      </c>
      <c r="B750" s="4">
        <v>2024002443</v>
      </c>
      <c r="C750" s="4" t="s">
        <v>622</v>
      </c>
      <c r="D750" s="5">
        <v>4825000</v>
      </c>
      <c r="E750" s="4">
        <v>1085283723</v>
      </c>
      <c r="F750" s="4" t="s">
        <v>175</v>
      </c>
      <c r="G750" t="s">
        <v>565</v>
      </c>
    </row>
    <row r="751" spans="1:7" ht="14.25" customHeight="1" x14ac:dyDescent="0.25">
      <c r="A751" s="3">
        <v>45614</v>
      </c>
      <c r="B751" s="4">
        <v>2024002444</v>
      </c>
      <c r="C751" s="4" t="s">
        <v>623</v>
      </c>
      <c r="D751" s="5">
        <v>4750000</v>
      </c>
      <c r="E751" s="4">
        <v>1085260497</v>
      </c>
      <c r="F751" s="4" t="s">
        <v>429</v>
      </c>
      <c r="G751" t="s">
        <v>565</v>
      </c>
    </row>
    <row r="752" spans="1:7" ht="14.25" customHeight="1" x14ac:dyDescent="0.25">
      <c r="A752" s="3">
        <v>45614</v>
      </c>
      <c r="B752" s="4">
        <v>2024002445</v>
      </c>
      <c r="C752" s="4" t="s">
        <v>624</v>
      </c>
      <c r="D752" s="5">
        <v>4825000</v>
      </c>
      <c r="E752" s="4">
        <v>37082349</v>
      </c>
      <c r="F752" s="4" t="s">
        <v>377</v>
      </c>
      <c r="G752" t="s">
        <v>565</v>
      </c>
    </row>
    <row r="753" spans="1:7" ht="14.25" customHeight="1" x14ac:dyDescent="0.25">
      <c r="A753" s="3">
        <v>45614</v>
      </c>
      <c r="B753" s="4">
        <v>2024002446</v>
      </c>
      <c r="C753" s="4" t="s">
        <v>625</v>
      </c>
      <c r="D753" s="5">
        <v>4750000</v>
      </c>
      <c r="E753" s="4">
        <v>1085263018</v>
      </c>
      <c r="F753" s="4" t="s">
        <v>91</v>
      </c>
      <c r="G753" t="s">
        <v>565</v>
      </c>
    </row>
    <row r="754" spans="1:7" ht="14.25" customHeight="1" x14ac:dyDescent="0.25">
      <c r="A754" s="3">
        <v>45614</v>
      </c>
      <c r="B754" s="4">
        <v>2024002447</v>
      </c>
      <c r="C754" s="4" t="s">
        <v>626</v>
      </c>
      <c r="D754" s="5">
        <v>4825000</v>
      </c>
      <c r="E754" s="4">
        <v>1085338534</v>
      </c>
      <c r="F754" s="4" t="s">
        <v>15</v>
      </c>
      <c r="G754" t="s">
        <v>565</v>
      </c>
    </row>
    <row r="755" spans="1:7" ht="14.25" customHeight="1" x14ac:dyDescent="0.25">
      <c r="A755" s="3">
        <v>45614</v>
      </c>
      <c r="B755" s="4">
        <v>2024002448</v>
      </c>
      <c r="C755" s="4" t="s">
        <v>627</v>
      </c>
      <c r="D755" s="5">
        <v>3000000</v>
      </c>
      <c r="E755" s="4">
        <v>1085271641</v>
      </c>
      <c r="F755" s="4" t="s">
        <v>251</v>
      </c>
      <c r="G755" t="s">
        <v>565</v>
      </c>
    </row>
    <row r="756" spans="1:7" ht="14.25" customHeight="1" x14ac:dyDescent="0.25">
      <c r="A756" s="3">
        <v>45614</v>
      </c>
      <c r="B756" s="4">
        <v>2024002449</v>
      </c>
      <c r="C756" s="4" t="s">
        <v>628</v>
      </c>
      <c r="D756" s="5">
        <v>3000000</v>
      </c>
      <c r="E756" s="4">
        <v>1192717330</v>
      </c>
      <c r="F756" s="4" t="s">
        <v>277</v>
      </c>
      <c r="G756" t="s">
        <v>565</v>
      </c>
    </row>
    <row r="757" spans="1:7" ht="14.25" customHeight="1" x14ac:dyDescent="0.25">
      <c r="A757" s="3">
        <v>45614</v>
      </c>
      <c r="B757" s="4">
        <v>2024002450</v>
      </c>
      <c r="C757" s="4" t="s">
        <v>629</v>
      </c>
      <c r="D757" s="5">
        <v>2500000</v>
      </c>
      <c r="E757" s="4">
        <v>27211504</v>
      </c>
      <c r="F757" s="4" t="s">
        <v>203</v>
      </c>
      <c r="G757" t="s">
        <v>565</v>
      </c>
    </row>
    <row r="758" spans="1:7" ht="14.25" customHeight="1" x14ac:dyDescent="0.25">
      <c r="A758" s="3">
        <v>45614</v>
      </c>
      <c r="B758" s="4">
        <v>2024002451</v>
      </c>
      <c r="C758" s="4" t="s">
        <v>630</v>
      </c>
      <c r="D758" s="5">
        <v>3000000</v>
      </c>
      <c r="E758" s="4">
        <v>1004635031</v>
      </c>
      <c r="F758" s="4" t="s">
        <v>397</v>
      </c>
      <c r="G758" t="s">
        <v>565</v>
      </c>
    </row>
    <row r="759" spans="1:7" ht="14.25" customHeight="1" x14ac:dyDescent="0.25">
      <c r="A759" s="3">
        <v>45614</v>
      </c>
      <c r="B759" s="4">
        <v>2024002452</v>
      </c>
      <c r="C759" s="4" t="s">
        <v>631</v>
      </c>
      <c r="D759" s="5">
        <v>6000000</v>
      </c>
      <c r="E759" s="4">
        <v>1085246134</v>
      </c>
      <c r="F759" s="4" t="s">
        <v>55</v>
      </c>
      <c r="G759" t="s">
        <v>565</v>
      </c>
    </row>
    <row r="760" spans="1:7" ht="14.25" customHeight="1" x14ac:dyDescent="0.25">
      <c r="A760" s="3">
        <v>45614</v>
      </c>
      <c r="B760" s="4">
        <v>2024002453</v>
      </c>
      <c r="C760" s="4" t="s">
        <v>632</v>
      </c>
      <c r="D760" s="5">
        <v>6000000</v>
      </c>
      <c r="E760" s="4">
        <v>36951002</v>
      </c>
      <c r="F760" s="4" t="s">
        <v>125</v>
      </c>
      <c r="G760" t="s">
        <v>565</v>
      </c>
    </row>
    <row r="761" spans="1:7" ht="14.25" customHeight="1" x14ac:dyDescent="0.25">
      <c r="A761" s="3">
        <v>45614</v>
      </c>
      <c r="B761" s="4">
        <v>2024002454</v>
      </c>
      <c r="C761" s="4" t="s">
        <v>633</v>
      </c>
      <c r="D761" s="5">
        <v>7540000</v>
      </c>
      <c r="E761" s="4">
        <v>36950112</v>
      </c>
      <c r="F761" s="4" t="s">
        <v>634</v>
      </c>
      <c r="G761" t="s">
        <v>565</v>
      </c>
    </row>
    <row r="762" spans="1:7" ht="14.25" customHeight="1" x14ac:dyDescent="0.25">
      <c r="A762" s="3">
        <v>45615</v>
      </c>
      <c r="B762" s="4">
        <v>2024002458</v>
      </c>
      <c r="C762" s="4" t="s">
        <v>635</v>
      </c>
      <c r="D762" s="5">
        <v>30171550</v>
      </c>
      <c r="E762" s="4">
        <v>900633448</v>
      </c>
      <c r="F762" s="4" t="s">
        <v>165</v>
      </c>
      <c r="G762" t="s">
        <v>565</v>
      </c>
    </row>
    <row r="763" spans="1:7" ht="14.25" customHeight="1" x14ac:dyDescent="0.25">
      <c r="A763" s="3">
        <v>45615</v>
      </c>
      <c r="B763" s="4">
        <v>2024002459</v>
      </c>
      <c r="C763" s="4" t="s">
        <v>636</v>
      </c>
      <c r="D763" s="5">
        <v>32976500</v>
      </c>
      <c r="E763" s="4">
        <v>900633448</v>
      </c>
      <c r="F763" s="4" t="s">
        <v>165</v>
      </c>
      <c r="G763" t="s">
        <v>565</v>
      </c>
    </row>
    <row r="764" spans="1:7" ht="14.25" customHeight="1" x14ac:dyDescent="0.25">
      <c r="A764" s="3">
        <v>45615</v>
      </c>
      <c r="B764" s="4">
        <v>2024002461</v>
      </c>
      <c r="C764" s="4" t="s">
        <v>637</v>
      </c>
      <c r="D764" s="5">
        <v>40641250</v>
      </c>
      <c r="E764" s="4">
        <v>900633448</v>
      </c>
      <c r="F764" s="4" t="s">
        <v>165</v>
      </c>
      <c r="G764" t="s">
        <v>565</v>
      </c>
    </row>
    <row r="765" spans="1:7" ht="14.25" customHeight="1" x14ac:dyDescent="0.25">
      <c r="A765" s="3">
        <v>45615</v>
      </c>
      <c r="B765" s="4">
        <v>2024002462</v>
      </c>
      <c r="C765" s="4" t="s">
        <v>638</v>
      </c>
      <c r="D765" s="5">
        <v>6000000</v>
      </c>
      <c r="E765" s="4">
        <v>1010010954</v>
      </c>
      <c r="F765" s="4" t="s">
        <v>337</v>
      </c>
      <c r="G765" t="s">
        <v>565</v>
      </c>
    </row>
    <row r="766" spans="1:7" ht="14.25" customHeight="1" x14ac:dyDescent="0.25">
      <c r="A766" s="3">
        <v>45615</v>
      </c>
      <c r="B766" s="4">
        <v>2024002463</v>
      </c>
      <c r="C766" s="4" t="s">
        <v>639</v>
      </c>
      <c r="D766" s="5">
        <v>3000000</v>
      </c>
      <c r="E766" s="4">
        <v>36757522</v>
      </c>
      <c r="F766" s="4" t="s">
        <v>271</v>
      </c>
      <c r="G766" t="s">
        <v>565</v>
      </c>
    </row>
    <row r="767" spans="1:7" ht="14.25" customHeight="1" x14ac:dyDescent="0.25">
      <c r="A767" s="3">
        <v>45615</v>
      </c>
      <c r="B767" s="4">
        <v>2024002464</v>
      </c>
      <c r="C767" s="4" t="s">
        <v>640</v>
      </c>
      <c r="D767" s="5">
        <v>3000000</v>
      </c>
      <c r="E767" s="4">
        <v>1004592366</v>
      </c>
      <c r="F767" s="4" t="s">
        <v>123</v>
      </c>
      <c r="G767" t="s">
        <v>565</v>
      </c>
    </row>
    <row r="768" spans="1:7" ht="14.25" customHeight="1" x14ac:dyDescent="0.25">
      <c r="A768" s="3">
        <v>45615</v>
      </c>
      <c r="B768" s="4">
        <v>2024002465</v>
      </c>
      <c r="C768" s="4" t="s">
        <v>641</v>
      </c>
      <c r="D768" s="5">
        <v>2500000</v>
      </c>
      <c r="E768" s="4">
        <v>1085251468</v>
      </c>
      <c r="F768" s="4" t="s">
        <v>303</v>
      </c>
      <c r="G768" t="s">
        <v>565</v>
      </c>
    </row>
    <row r="769" spans="1:7" ht="14.25" customHeight="1" x14ac:dyDescent="0.25">
      <c r="A769" s="3">
        <v>45615</v>
      </c>
      <c r="B769" s="4">
        <v>2024002466</v>
      </c>
      <c r="C769" s="4" t="s">
        <v>642</v>
      </c>
      <c r="D769" s="5">
        <v>1800000</v>
      </c>
      <c r="E769" s="4">
        <v>1085292185</v>
      </c>
      <c r="F769" s="4" t="s">
        <v>27</v>
      </c>
      <c r="G769" t="s">
        <v>565</v>
      </c>
    </row>
    <row r="770" spans="1:7" ht="14.25" customHeight="1" x14ac:dyDescent="0.25">
      <c r="A770" s="3">
        <v>45615</v>
      </c>
      <c r="B770" s="4">
        <v>2024002467</v>
      </c>
      <c r="C770" s="4" t="s">
        <v>643</v>
      </c>
      <c r="D770" s="5">
        <v>3000000</v>
      </c>
      <c r="E770" s="4">
        <v>1004232508</v>
      </c>
      <c r="F770" s="4" t="s">
        <v>109</v>
      </c>
      <c r="G770" t="s">
        <v>565</v>
      </c>
    </row>
    <row r="771" spans="1:7" ht="14.25" customHeight="1" x14ac:dyDescent="0.25">
      <c r="A771" s="3">
        <v>45615</v>
      </c>
      <c r="B771" s="4">
        <v>2024002468</v>
      </c>
      <c r="C771" s="4" t="s">
        <v>644</v>
      </c>
      <c r="D771" s="5">
        <v>27667150</v>
      </c>
      <c r="E771" s="4">
        <v>900633448</v>
      </c>
      <c r="F771" s="4" t="s">
        <v>165</v>
      </c>
      <c r="G771" t="s">
        <v>565</v>
      </c>
    </row>
    <row r="772" spans="1:7" ht="14.25" customHeight="1" x14ac:dyDescent="0.25">
      <c r="A772" s="3">
        <v>45615</v>
      </c>
      <c r="B772" s="4">
        <v>2024002469</v>
      </c>
      <c r="C772" s="4" t="s">
        <v>645</v>
      </c>
      <c r="D772" s="5">
        <v>7540000</v>
      </c>
      <c r="E772" s="4">
        <v>1085320661</v>
      </c>
      <c r="F772" s="4" t="s">
        <v>393</v>
      </c>
      <c r="G772" t="s">
        <v>565</v>
      </c>
    </row>
    <row r="773" spans="1:7" ht="14.25" customHeight="1" x14ac:dyDescent="0.25">
      <c r="A773" s="3">
        <v>45615</v>
      </c>
      <c r="B773" s="4">
        <v>2024002470</v>
      </c>
      <c r="C773" s="4" t="s">
        <v>646</v>
      </c>
      <c r="D773" s="5">
        <v>7540000</v>
      </c>
      <c r="E773" s="4">
        <v>1085332934</v>
      </c>
      <c r="F773" s="4" t="s">
        <v>379</v>
      </c>
      <c r="G773" t="s">
        <v>565</v>
      </c>
    </row>
    <row r="774" spans="1:7" ht="14.25" customHeight="1" x14ac:dyDescent="0.25">
      <c r="A774" s="3">
        <v>45615</v>
      </c>
      <c r="B774" s="4">
        <v>2024002471</v>
      </c>
      <c r="C774" s="4" t="s">
        <v>647</v>
      </c>
      <c r="D774" s="5">
        <v>4825000</v>
      </c>
      <c r="E774" s="4">
        <v>12748383</v>
      </c>
      <c r="F774" s="4" t="s">
        <v>447</v>
      </c>
      <c r="G774" t="s">
        <v>565</v>
      </c>
    </row>
    <row r="775" spans="1:7" ht="14.25" customHeight="1" x14ac:dyDescent="0.25">
      <c r="A775" s="3">
        <v>45615</v>
      </c>
      <c r="B775" s="4">
        <v>2024002472</v>
      </c>
      <c r="C775" s="4" t="s">
        <v>648</v>
      </c>
      <c r="D775" s="5">
        <v>4825000</v>
      </c>
      <c r="E775" s="4">
        <v>30732782</v>
      </c>
      <c r="F775" s="4" t="s">
        <v>245</v>
      </c>
      <c r="G775" t="s">
        <v>565</v>
      </c>
    </row>
    <row r="776" spans="1:7" ht="14.25" customHeight="1" x14ac:dyDescent="0.25">
      <c r="A776" s="3">
        <v>45615</v>
      </c>
      <c r="B776" s="4">
        <v>2024002475</v>
      </c>
      <c r="C776" s="4" t="s">
        <v>649</v>
      </c>
      <c r="D776" s="5">
        <v>9891756</v>
      </c>
      <c r="E776" s="4">
        <v>900414376</v>
      </c>
      <c r="F776" s="4" t="s">
        <v>650</v>
      </c>
      <c r="G776" t="s">
        <v>565</v>
      </c>
    </row>
    <row r="777" spans="1:7" ht="14.25" customHeight="1" x14ac:dyDescent="0.25">
      <c r="A777" s="3">
        <v>45615</v>
      </c>
      <c r="B777" s="4">
        <v>2024002476</v>
      </c>
      <c r="C777" s="4" t="s">
        <v>651</v>
      </c>
      <c r="D777" s="5">
        <v>13508223.119999999</v>
      </c>
      <c r="E777" s="4">
        <v>900441119</v>
      </c>
      <c r="F777" s="4" t="s">
        <v>652</v>
      </c>
      <c r="G777" t="s">
        <v>565</v>
      </c>
    </row>
    <row r="778" spans="1:7" ht="14.25" customHeight="1" x14ac:dyDescent="0.25">
      <c r="A778" s="3">
        <v>45615</v>
      </c>
      <c r="B778" s="4">
        <v>2024002477</v>
      </c>
      <c r="C778" s="4" t="s">
        <v>653</v>
      </c>
      <c r="D778" s="5">
        <v>36842400</v>
      </c>
      <c r="E778" s="4">
        <v>890312452</v>
      </c>
      <c r="F778" s="4" t="s">
        <v>654</v>
      </c>
      <c r="G778" t="s">
        <v>565</v>
      </c>
    </row>
    <row r="779" spans="1:7" ht="14.25" customHeight="1" x14ac:dyDescent="0.25">
      <c r="A779" s="3">
        <v>45615</v>
      </c>
      <c r="B779" s="4">
        <v>2024002478</v>
      </c>
      <c r="C779" s="4" t="s">
        <v>655</v>
      </c>
      <c r="D779" s="5">
        <v>2403324</v>
      </c>
      <c r="E779" s="4">
        <v>901181781</v>
      </c>
      <c r="F779" s="4" t="s">
        <v>656</v>
      </c>
      <c r="G779" t="s">
        <v>565</v>
      </c>
    </row>
    <row r="780" spans="1:7" ht="14.25" customHeight="1" x14ac:dyDescent="0.25">
      <c r="A780" s="3">
        <v>45616</v>
      </c>
      <c r="B780" s="4">
        <v>2024002479</v>
      </c>
      <c r="C780" s="4" t="s">
        <v>657</v>
      </c>
      <c r="D780" s="5">
        <v>3000000</v>
      </c>
      <c r="E780" s="4">
        <v>1081052746</v>
      </c>
      <c r="F780" s="4" t="s">
        <v>658</v>
      </c>
      <c r="G780" t="s">
        <v>565</v>
      </c>
    </row>
    <row r="781" spans="1:7" ht="14.25" customHeight="1" x14ac:dyDescent="0.25">
      <c r="A781" s="3">
        <v>45616</v>
      </c>
      <c r="B781" s="4">
        <v>2024002480</v>
      </c>
      <c r="C781" s="4" t="s">
        <v>659</v>
      </c>
      <c r="D781" s="5">
        <v>3000000</v>
      </c>
      <c r="E781" s="4">
        <v>59178610</v>
      </c>
      <c r="F781" s="4" t="s">
        <v>97</v>
      </c>
      <c r="G781" t="s">
        <v>565</v>
      </c>
    </row>
    <row r="782" spans="1:7" ht="14.25" customHeight="1" x14ac:dyDescent="0.25">
      <c r="A782" s="3">
        <v>45616</v>
      </c>
      <c r="B782" s="4">
        <v>2024002481</v>
      </c>
      <c r="C782" s="4" t="s">
        <v>660</v>
      </c>
      <c r="D782" s="5">
        <v>7540000</v>
      </c>
      <c r="E782" s="4">
        <v>1085329230</v>
      </c>
      <c r="F782" s="4" t="s">
        <v>83</v>
      </c>
      <c r="G782" t="s">
        <v>565</v>
      </c>
    </row>
    <row r="783" spans="1:7" ht="14.25" customHeight="1" x14ac:dyDescent="0.25">
      <c r="A783" s="3">
        <v>45616</v>
      </c>
      <c r="B783" s="4">
        <v>2024002482</v>
      </c>
      <c r="C783" s="4" t="s">
        <v>661</v>
      </c>
      <c r="D783" s="5">
        <v>6000000</v>
      </c>
      <c r="E783" s="4">
        <v>59837608</v>
      </c>
      <c r="F783" s="4" t="s">
        <v>145</v>
      </c>
      <c r="G783" t="s">
        <v>565</v>
      </c>
    </row>
    <row r="784" spans="1:7" ht="14.25" customHeight="1" x14ac:dyDescent="0.25">
      <c r="A784" s="3">
        <v>45616</v>
      </c>
      <c r="B784" s="4">
        <v>2024002483</v>
      </c>
      <c r="C784" s="4" t="s">
        <v>642</v>
      </c>
      <c r="D784" s="5">
        <v>6000000</v>
      </c>
      <c r="E784" s="4">
        <v>1085292185</v>
      </c>
      <c r="F784" s="4" t="s">
        <v>27</v>
      </c>
      <c r="G784" t="s">
        <v>565</v>
      </c>
    </row>
    <row r="785" spans="1:7" ht="14.25" customHeight="1" x14ac:dyDescent="0.25">
      <c r="A785" s="3">
        <v>45616</v>
      </c>
      <c r="B785" s="4">
        <v>2024002484</v>
      </c>
      <c r="C785" s="4" t="s">
        <v>662</v>
      </c>
      <c r="D785" s="5">
        <v>2500000</v>
      </c>
      <c r="E785" s="4">
        <v>1085330079</v>
      </c>
      <c r="F785" s="4" t="s">
        <v>293</v>
      </c>
      <c r="G785" t="s">
        <v>565</v>
      </c>
    </row>
    <row r="786" spans="1:7" ht="14.25" customHeight="1" x14ac:dyDescent="0.25">
      <c r="A786" s="3">
        <v>45616</v>
      </c>
      <c r="B786" s="4">
        <v>2024002485</v>
      </c>
      <c r="C786" s="4" t="s">
        <v>663</v>
      </c>
      <c r="D786" s="5">
        <v>4750000</v>
      </c>
      <c r="E786" s="4">
        <v>1085303067</v>
      </c>
      <c r="F786" s="4" t="s">
        <v>105</v>
      </c>
      <c r="G786" t="s">
        <v>565</v>
      </c>
    </row>
    <row r="787" spans="1:7" ht="14.25" customHeight="1" x14ac:dyDescent="0.25">
      <c r="A787" s="3">
        <v>45616</v>
      </c>
      <c r="B787" s="4">
        <v>2024002486</v>
      </c>
      <c r="C787" s="4" t="s">
        <v>664</v>
      </c>
      <c r="D787" s="5">
        <v>4750000</v>
      </c>
      <c r="E787" s="4">
        <v>59821282</v>
      </c>
      <c r="F787" s="4" t="s">
        <v>135</v>
      </c>
      <c r="G787" t="s">
        <v>565</v>
      </c>
    </row>
    <row r="788" spans="1:7" ht="14.25" customHeight="1" x14ac:dyDescent="0.25">
      <c r="A788" s="3">
        <v>45616</v>
      </c>
      <c r="B788" s="4">
        <v>2024002487</v>
      </c>
      <c r="C788" s="4" t="s">
        <v>665</v>
      </c>
      <c r="D788" s="5">
        <v>3000000</v>
      </c>
      <c r="E788" s="4">
        <v>1085327701</v>
      </c>
      <c r="F788" s="4" t="s">
        <v>85</v>
      </c>
      <c r="G788" t="s">
        <v>565</v>
      </c>
    </row>
    <row r="789" spans="1:7" ht="14.25" customHeight="1" x14ac:dyDescent="0.25">
      <c r="A789" s="3">
        <v>45616</v>
      </c>
      <c r="B789" s="4">
        <v>2024002488</v>
      </c>
      <c r="C789" s="4" t="s">
        <v>666</v>
      </c>
      <c r="D789" s="5">
        <v>2500000</v>
      </c>
      <c r="E789" s="4">
        <v>12974849</v>
      </c>
      <c r="F789" s="4" t="s">
        <v>51</v>
      </c>
      <c r="G789" t="s">
        <v>565</v>
      </c>
    </row>
    <row r="790" spans="1:7" ht="14.25" customHeight="1" x14ac:dyDescent="0.25">
      <c r="A790" s="3">
        <v>45617</v>
      </c>
      <c r="B790" s="4">
        <v>2024002496</v>
      </c>
      <c r="C790" s="4" t="s">
        <v>667</v>
      </c>
      <c r="D790" s="5">
        <v>31498000</v>
      </c>
      <c r="E790" s="4">
        <v>31498000</v>
      </c>
      <c r="F790" s="4" t="s">
        <v>668</v>
      </c>
      <c r="G790" t="s">
        <v>565</v>
      </c>
    </row>
    <row r="791" spans="1:7" ht="14.25" customHeight="1" x14ac:dyDescent="0.25">
      <c r="A791" s="3">
        <v>45618</v>
      </c>
      <c r="B791" s="4">
        <v>2024002501</v>
      </c>
      <c r="C791" s="4" t="s">
        <v>669</v>
      </c>
      <c r="D791" s="5">
        <v>6000000</v>
      </c>
      <c r="E791" s="4">
        <v>1193223736</v>
      </c>
      <c r="F791" s="4" t="s">
        <v>670</v>
      </c>
      <c r="G791" t="s">
        <v>565</v>
      </c>
    </row>
    <row r="792" spans="1:7" ht="14.25" customHeight="1" x14ac:dyDescent="0.25">
      <c r="A792" s="3">
        <v>45618</v>
      </c>
      <c r="B792" s="4">
        <v>2024002502</v>
      </c>
      <c r="C792" s="4" t="s">
        <v>671</v>
      </c>
      <c r="D792" s="5">
        <v>6000000</v>
      </c>
      <c r="E792" s="4">
        <v>1004213964</v>
      </c>
      <c r="F792" s="4" t="s">
        <v>113</v>
      </c>
      <c r="G792" t="s">
        <v>565</v>
      </c>
    </row>
    <row r="793" spans="1:7" ht="14.25" customHeight="1" x14ac:dyDescent="0.25">
      <c r="A793" s="3">
        <v>45618</v>
      </c>
      <c r="B793" s="4">
        <v>2024002503</v>
      </c>
      <c r="C793" s="4" t="s">
        <v>672</v>
      </c>
      <c r="D793" s="5">
        <v>4750000</v>
      </c>
      <c r="E793" s="4">
        <v>1087413951</v>
      </c>
      <c r="F793" s="4" t="s">
        <v>95</v>
      </c>
      <c r="G793" t="s">
        <v>565</v>
      </c>
    </row>
    <row r="794" spans="1:7" ht="14.25" customHeight="1" x14ac:dyDescent="0.25">
      <c r="A794" s="3">
        <v>45618</v>
      </c>
      <c r="B794" s="4">
        <v>2024002504</v>
      </c>
      <c r="C794" s="4" t="s">
        <v>673</v>
      </c>
      <c r="D794" s="5">
        <v>2500000</v>
      </c>
      <c r="E794" s="4">
        <v>12750863</v>
      </c>
      <c r="F794" s="4" t="s">
        <v>225</v>
      </c>
      <c r="G794" t="s">
        <v>565</v>
      </c>
    </row>
    <row r="795" spans="1:7" ht="14.25" customHeight="1" x14ac:dyDescent="0.25">
      <c r="A795" s="3">
        <v>45618</v>
      </c>
      <c r="B795" s="4">
        <v>2024002505</v>
      </c>
      <c r="C795" s="4" t="s">
        <v>674</v>
      </c>
      <c r="D795" s="5">
        <v>3000000</v>
      </c>
      <c r="E795" s="4">
        <v>27285974</v>
      </c>
      <c r="F795" s="4" t="s">
        <v>349</v>
      </c>
      <c r="G795" t="s">
        <v>565</v>
      </c>
    </row>
    <row r="796" spans="1:7" ht="14.25" customHeight="1" x14ac:dyDescent="0.25">
      <c r="A796" s="3">
        <v>45618</v>
      </c>
      <c r="B796" s="4">
        <v>2024002506</v>
      </c>
      <c r="C796" s="4" t="s">
        <v>675</v>
      </c>
      <c r="D796" s="5">
        <v>3000000</v>
      </c>
      <c r="E796" s="4">
        <v>59830040</v>
      </c>
      <c r="F796" s="4" t="s">
        <v>297</v>
      </c>
      <c r="G796" t="s">
        <v>565</v>
      </c>
    </row>
    <row r="797" spans="1:7" ht="14.25" customHeight="1" x14ac:dyDescent="0.25">
      <c r="A797" s="3">
        <v>45618</v>
      </c>
      <c r="B797" s="4">
        <v>2024002507</v>
      </c>
      <c r="C797" s="4" t="s">
        <v>676</v>
      </c>
      <c r="D797" s="5">
        <v>4750000</v>
      </c>
      <c r="E797" s="4">
        <v>1085293619</v>
      </c>
      <c r="F797" s="4" t="s">
        <v>155</v>
      </c>
      <c r="G797" t="s">
        <v>565</v>
      </c>
    </row>
    <row r="798" spans="1:7" ht="14.25" customHeight="1" x14ac:dyDescent="0.25">
      <c r="A798" s="3">
        <v>45618</v>
      </c>
      <c r="B798" s="4">
        <v>2024002508</v>
      </c>
      <c r="C798" s="4" t="s">
        <v>677</v>
      </c>
      <c r="D798" s="5">
        <v>3000000</v>
      </c>
      <c r="E798" s="4">
        <v>1137624011</v>
      </c>
      <c r="F798" s="4" t="s">
        <v>243</v>
      </c>
      <c r="G798" t="s">
        <v>565</v>
      </c>
    </row>
    <row r="799" spans="1:7" ht="14.25" customHeight="1" x14ac:dyDescent="0.25">
      <c r="A799" s="3">
        <v>45618</v>
      </c>
      <c r="B799" s="4">
        <v>2024002509</v>
      </c>
      <c r="C799" s="4" t="s">
        <v>678</v>
      </c>
      <c r="D799" s="5">
        <v>3000000</v>
      </c>
      <c r="E799" s="4">
        <v>36954407</v>
      </c>
      <c r="F799" s="4" t="s">
        <v>679</v>
      </c>
      <c r="G799" t="s">
        <v>565</v>
      </c>
    </row>
    <row r="800" spans="1:7" ht="14.25" customHeight="1" x14ac:dyDescent="0.25">
      <c r="A800" s="3">
        <v>45618</v>
      </c>
      <c r="B800" s="4">
        <v>2024002510</v>
      </c>
      <c r="C800" s="4" t="s">
        <v>680</v>
      </c>
      <c r="D800" s="5">
        <v>3000000</v>
      </c>
      <c r="E800" s="4">
        <v>1085290651</v>
      </c>
      <c r="F800" s="4" t="s">
        <v>325</v>
      </c>
      <c r="G800" t="s">
        <v>565</v>
      </c>
    </row>
    <row r="801" spans="1:7" ht="14.25" customHeight="1" x14ac:dyDescent="0.25">
      <c r="A801" s="3">
        <v>45618</v>
      </c>
      <c r="B801" s="4">
        <v>2024002511</v>
      </c>
      <c r="C801" s="4" t="s">
        <v>681</v>
      </c>
      <c r="D801" s="5">
        <v>3000000</v>
      </c>
      <c r="E801" s="4">
        <v>1085325325</v>
      </c>
      <c r="F801" s="4" t="s">
        <v>682</v>
      </c>
      <c r="G801" t="s">
        <v>565</v>
      </c>
    </row>
    <row r="802" spans="1:7" ht="14.25" customHeight="1" x14ac:dyDescent="0.25">
      <c r="A802" s="3">
        <v>45618</v>
      </c>
      <c r="B802" s="4">
        <v>2024002512</v>
      </c>
      <c r="C802" s="4" t="s">
        <v>683</v>
      </c>
      <c r="D802" s="5">
        <v>4825000</v>
      </c>
      <c r="E802" s="4">
        <v>1193385736</v>
      </c>
      <c r="F802" s="4" t="s">
        <v>57</v>
      </c>
      <c r="G802" t="s">
        <v>565</v>
      </c>
    </row>
    <row r="803" spans="1:7" ht="14.25" customHeight="1" x14ac:dyDescent="0.25">
      <c r="A803" s="3">
        <v>45618</v>
      </c>
      <c r="B803" s="4">
        <v>2024002513</v>
      </c>
      <c r="C803" s="4" t="s">
        <v>684</v>
      </c>
      <c r="D803" s="5">
        <v>3000000</v>
      </c>
      <c r="E803" s="4">
        <v>59310524</v>
      </c>
      <c r="F803" s="4" t="s">
        <v>65</v>
      </c>
      <c r="G803" t="s">
        <v>565</v>
      </c>
    </row>
    <row r="804" spans="1:7" ht="14.25" customHeight="1" x14ac:dyDescent="0.25">
      <c r="A804" s="3">
        <v>45621</v>
      </c>
      <c r="B804" s="4">
        <v>2024002514</v>
      </c>
      <c r="C804" s="4" t="s">
        <v>685</v>
      </c>
      <c r="D804" s="5">
        <v>6000000</v>
      </c>
      <c r="E804" s="4">
        <v>1089242085</v>
      </c>
      <c r="F804" s="4" t="s">
        <v>19</v>
      </c>
      <c r="G804" t="s">
        <v>565</v>
      </c>
    </row>
    <row r="805" spans="1:7" ht="14.25" customHeight="1" x14ac:dyDescent="0.25">
      <c r="A805" s="3">
        <v>45621</v>
      </c>
      <c r="B805" s="4">
        <v>2024002515</v>
      </c>
      <c r="C805" s="4" t="s">
        <v>686</v>
      </c>
      <c r="D805" s="5">
        <v>3000000</v>
      </c>
      <c r="E805" s="4">
        <v>1085288636</v>
      </c>
      <c r="F805" s="4" t="s">
        <v>405</v>
      </c>
      <c r="G805" t="s">
        <v>565</v>
      </c>
    </row>
    <row r="806" spans="1:7" ht="14.25" customHeight="1" x14ac:dyDescent="0.25">
      <c r="A806" s="3">
        <v>45621</v>
      </c>
      <c r="B806" s="4">
        <v>2024002516</v>
      </c>
      <c r="C806" s="4" t="s">
        <v>687</v>
      </c>
      <c r="D806" s="5">
        <v>3000000</v>
      </c>
      <c r="E806" s="4">
        <v>1080040858</v>
      </c>
      <c r="F806" s="4" t="s">
        <v>211</v>
      </c>
      <c r="G806" t="s">
        <v>565</v>
      </c>
    </row>
    <row r="807" spans="1:7" ht="14.25" customHeight="1" x14ac:dyDescent="0.25">
      <c r="A807" s="3">
        <v>45621</v>
      </c>
      <c r="B807" s="4">
        <v>2024002517</v>
      </c>
      <c r="C807" s="4" t="s">
        <v>688</v>
      </c>
      <c r="D807" s="5">
        <v>3000000</v>
      </c>
      <c r="E807" s="4">
        <v>1010082397</v>
      </c>
      <c r="F807" s="4" t="s">
        <v>209</v>
      </c>
      <c r="G807" t="s">
        <v>565</v>
      </c>
    </row>
    <row r="808" spans="1:7" ht="14.25" customHeight="1" x14ac:dyDescent="0.25">
      <c r="A808" s="3">
        <v>45621</v>
      </c>
      <c r="B808" s="4">
        <v>2024002518</v>
      </c>
      <c r="C808" s="4" t="s">
        <v>689</v>
      </c>
      <c r="D808" s="5">
        <v>3000000</v>
      </c>
      <c r="E808" s="4">
        <v>1004135064</v>
      </c>
      <c r="F808" s="4" t="s">
        <v>207</v>
      </c>
      <c r="G808" t="s">
        <v>565</v>
      </c>
    </row>
    <row r="809" spans="1:7" ht="14.25" customHeight="1" x14ac:dyDescent="0.25">
      <c r="A809" s="3">
        <v>45621</v>
      </c>
      <c r="B809" s="4">
        <v>2024002519</v>
      </c>
      <c r="C809" s="4" t="s">
        <v>690</v>
      </c>
      <c r="D809" s="5">
        <v>2500000</v>
      </c>
      <c r="E809" s="4">
        <v>1081595853</v>
      </c>
      <c r="F809" s="4" t="s">
        <v>189</v>
      </c>
      <c r="G809" t="s">
        <v>565</v>
      </c>
    </row>
    <row r="810" spans="1:7" ht="14.25" customHeight="1" x14ac:dyDescent="0.25">
      <c r="A810" s="3">
        <v>45621</v>
      </c>
      <c r="B810" s="1">
        <v>2024002520</v>
      </c>
      <c r="C810" s="1" t="s">
        <v>439</v>
      </c>
      <c r="D810" s="5">
        <v>4825000</v>
      </c>
      <c r="E810" s="1">
        <v>1088730712</v>
      </c>
      <c r="F810" s="1" t="s">
        <v>295</v>
      </c>
      <c r="G810" s="1" t="s">
        <v>9</v>
      </c>
    </row>
    <row r="811" spans="1:7" ht="14.25" customHeight="1" x14ac:dyDescent="0.25">
      <c r="A811" s="3">
        <v>45621</v>
      </c>
      <c r="B811" s="4">
        <v>2024002521</v>
      </c>
      <c r="C811" s="4" t="s">
        <v>691</v>
      </c>
      <c r="D811" s="5">
        <v>3000000</v>
      </c>
      <c r="E811" s="4">
        <v>1030606749</v>
      </c>
      <c r="F811" s="4" t="s">
        <v>387</v>
      </c>
      <c r="G811" t="s">
        <v>565</v>
      </c>
    </row>
    <row r="812" spans="1:7" ht="14.25" customHeight="1" x14ac:dyDescent="0.25">
      <c r="A812" s="3">
        <v>45621</v>
      </c>
      <c r="B812" s="4">
        <v>2024002522</v>
      </c>
      <c r="C812" s="4" t="s">
        <v>692</v>
      </c>
      <c r="D812" s="5">
        <v>3000000</v>
      </c>
      <c r="E812" s="4">
        <v>1085275473</v>
      </c>
      <c r="F812" s="4" t="s">
        <v>693</v>
      </c>
      <c r="G812" t="s">
        <v>565</v>
      </c>
    </row>
    <row r="813" spans="1:7" ht="14.25" customHeight="1" x14ac:dyDescent="0.25">
      <c r="A813" s="3">
        <v>45621</v>
      </c>
      <c r="B813" s="4">
        <v>2024002523</v>
      </c>
      <c r="C813" s="4" t="s">
        <v>694</v>
      </c>
      <c r="D813" s="5">
        <v>2500000</v>
      </c>
      <c r="E813" s="4">
        <v>1085338232</v>
      </c>
      <c r="F813" s="4" t="s">
        <v>287</v>
      </c>
      <c r="G813" t="s">
        <v>565</v>
      </c>
    </row>
    <row r="814" spans="1:7" ht="14.25" customHeight="1" x14ac:dyDescent="0.25">
      <c r="A814" s="3">
        <v>45621</v>
      </c>
      <c r="B814" s="4">
        <v>2024002524</v>
      </c>
      <c r="C814" s="4" t="s">
        <v>695</v>
      </c>
      <c r="D814" s="5">
        <v>3000000</v>
      </c>
      <c r="E814" s="4">
        <v>59837416</v>
      </c>
      <c r="F814" s="4" t="s">
        <v>395</v>
      </c>
      <c r="G814" t="s">
        <v>565</v>
      </c>
    </row>
    <row r="815" spans="1:7" ht="14.25" customHeight="1" x14ac:dyDescent="0.25">
      <c r="A815" s="3">
        <v>45621</v>
      </c>
      <c r="B815" s="4">
        <v>2024002526</v>
      </c>
      <c r="C815" s="4" t="s">
        <v>696</v>
      </c>
      <c r="D815" s="5">
        <v>4825000</v>
      </c>
      <c r="E815" s="4">
        <v>59310145</v>
      </c>
      <c r="F815" s="4" t="s">
        <v>129</v>
      </c>
      <c r="G815" t="s">
        <v>565</v>
      </c>
    </row>
    <row r="816" spans="1:7" ht="14.25" customHeight="1" x14ac:dyDescent="0.25">
      <c r="A816" s="3">
        <v>45621</v>
      </c>
      <c r="B816" s="4">
        <v>2024002527</v>
      </c>
      <c r="C816" s="4" t="s">
        <v>697</v>
      </c>
      <c r="D816" s="5">
        <v>7540000</v>
      </c>
      <c r="E816" s="4">
        <v>37087120</v>
      </c>
      <c r="F816" s="4" t="s">
        <v>159</v>
      </c>
      <c r="G816" t="s">
        <v>565</v>
      </c>
    </row>
    <row r="817" spans="1:7" ht="14.25" customHeight="1" x14ac:dyDescent="0.25">
      <c r="A817" s="3">
        <v>45621</v>
      </c>
      <c r="B817" s="4">
        <v>2024002529</v>
      </c>
      <c r="C817" s="4" t="s">
        <v>698</v>
      </c>
      <c r="D817" s="5">
        <v>2500000</v>
      </c>
      <c r="E817" s="4">
        <v>36753698</v>
      </c>
      <c r="F817" s="4" t="s">
        <v>383</v>
      </c>
      <c r="G817" t="s">
        <v>565</v>
      </c>
    </row>
    <row r="818" spans="1:7" ht="14.25" customHeight="1" x14ac:dyDescent="0.25">
      <c r="A818" s="3">
        <v>45621</v>
      </c>
      <c r="B818" s="4">
        <v>2024002531</v>
      </c>
      <c r="C818" s="4" t="s">
        <v>699</v>
      </c>
      <c r="D818" s="5">
        <v>7540000</v>
      </c>
      <c r="E818" s="4">
        <v>1085321192</v>
      </c>
      <c r="F818" s="4" t="s">
        <v>61</v>
      </c>
      <c r="G818" t="s">
        <v>565</v>
      </c>
    </row>
    <row r="819" spans="1:7" ht="14.25" customHeight="1" x14ac:dyDescent="0.25">
      <c r="A819" s="3">
        <v>45621</v>
      </c>
      <c r="B819" s="4">
        <v>2024002532</v>
      </c>
      <c r="C819" s="4" t="s">
        <v>700</v>
      </c>
      <c r="D819" s="5">
        <v>800000</v>
      </c>
      <c r="E819" s="4">
        <v>1085315209</v>
      </c>
      <c r="F819" s="4" t="s">
        <v>701</v>
      </c>
      <c r="G819" t="s">
        <v>565</v>
      </c>
    </row>
    <row r="820" spans="1:7" ht="14.25" customHeight="1" x14ac:dyDescent="0.25">
      <c r="A820" s="3">
        <v>45621</v>
      </c>
      <c r="B820" s="4">
        <v>2024002534</v>
      </c>
      <c r="C820" s="4" t="s">
        <v>702</v>
      </c>
      <c r="D820" s="5">
        <v>4825000</v>
      </c>
      <c r="E820" s="4">
        <v>1085289739</v>
      </c>
      <c r="F820" s="4" t="s">
        <v>241</v>
      </c>
      <c r="G820" t="s">
        <v>565</v>
      </c>
    </row>
    <row r="821" spans="1:7" ht="14.25" customHeight="1" x14ac:dyDescent="0.25">
      <c r="A821" s="3">
        <v>45621</v>
      </c>
      <c r="B821" s="4">
        <v>2024002539</v>
      </c>
      <c r="C821" s="4" t="s">
        <v>703</v>
      </c>
      <c r="D821" s="5">
        <v>3000000</v>
      </c>
      <c r="E821" s="4">
        <v>1233191675</v>
      </c>
      <c r="F821" s="4" t="s">
        <v>523</v>
      </c>
      <c r="G821" t="s">
        <v>565</v>
      </c>
    </row>
    <row r="822" spans="1:7" ht="14.25" customHeight="1" x14ac:dyDescent="0.25">
      <c r="A822" s="3">
        <v>45621</v>
      </c>
      <c r="B822" s="4">
        <v>2024002541</v>
      </c>
      <c r="C822" s="4" t="s">
        <v>704</v>
      </c>
      <c r="D822" s="5">
        <v>4750000</v>
      </c>
      <c r="E822" s="4">
        <v>36759759</v>
      </c>
      <c r="F822" s="4" t="s">
        <v>705</v>
      </c>
      <c r="G822" t="s">
        <v>565</v>
      </c>
    </row>
    <row r="823" spans="1:7" ht="14.25" customHeight="1" x14ac:dyDescent="0.25">
      <c r="A823" s="3">
        <v>45621</v>
      </c>
      <c r="B823" s="4">
        <v>2024002542</v>
      </c>
      <c r="C823" s="4" t="s">
        <v>706</v>
      </c>
      <c r="D823" s="5">
        <v>7500000</v>
      </c>
      <c r="E823" s="4">
        <v>1088599676</v>
      </c>
      <c r="F823" s="4" t="s">
        <v>421</v>
      </c>
      <c r="G823" t="s">
        <v>565</v>
      </c>
    </row>
    <row r="824" spans="1:7" ht="14.25" customHeight="1" x14ac:dyDescent="0.25">
      <c r="A824" s="3">
        <v>45621</v>
      </c>
      <c r="B824" s="4">
        <v>2024002545</v>
      </c>
      <c r="C824" s="4" t="s">
        <v>707</v>
      </c>
      <c r="D824" s="5">
        <v>3000000</v>
      </c>
      <c r="E824" s="4">
        <v>1085269090</v>
      </c>
      <c r="F824" s="4" t="s">
        <v>371</v>
      </c>
      <c r="G824" t="s">
        <v>565</v>
      </c>
    </row>
    <row r="825" spans="1:7" ht="14.25" customHeight="1" x14ac:dyDescent="0.25">
      <c r="A825" s="3">
        <v>45621</v>
      </c>
      <c r="B825" s="4">
        <v>2024002547</v>
      </c>
      <c r="C825" s="4" t="s">
        <v>708</v>
      </c>
      <c r="D825" s="5">
        <v>4750000</v>
      </c>
      <c r="E825" s="4">
        <v>1085330309</v>
      </c>
      <c r="F825" s="4" t="s">
        <v>249</v>
      </c>
      <c r="G825" t="s">
        <v>565</v>
      </c>
    </row>
    <row r="826" spans="1:7" ht="14.25" customHeight="1" x14ac:dyDescent="0.25">
      <c r="A826" s="3">
        <v>45621</v>
      </c>
      <c r="B826" s="4">
        <v>2024002548</v>
      </c>
      <c r="C826" s="4" t="s">
        <v>709</v>
      </c>
      <c r="D826" s="5">
        <v>4750000</v>
      </c>
      <c r="E826" s="4">
        <v>1087414586</v>
      </c>
      <c r="F826" s="4" t="s">
        <v>47</v>
      </c>
      <c r="G826" t="s">
        <v>565</v>
      </c>
    </row>
    <row r="827" spans="1:7" ht="14.25" customHeight="1" x14ac:dyDescent="0.25">
      <c r="A827" s="3">
        <v>45621</v>
      </c>
      <c r="B827" s="4">
        <v>2024002550</v>
      </c>
      <c r="C827" s="4" t="s">
        <v>710</v>
      </c>
      <c r="D827" s="5">
        <v>3000000</v>
      </c>
      <c r="E827" s="4">
        <v>37084285</v>
      </c>
      <c r="F827" s="4" t="s">
        <v>119</v>
      </c>
      <c r="G827" t="s">
        <v>565</v>
      </c>
    </row>
    <row r="828" spans="1:7" ht="14.25" customHeight="1" x14ac:dyDescent="0.25">
      <c r="A828" s="3">
        <v>45621</v>
      </c>
      <c r="B828" s="4">
        <v>2024002551</v>
      </c>
      <c r="C828" s="4" t="s">
        <v>711</v>
      </c>
      <c r="D828" s="5">
        <v>3000000</v>
      </c>
      <c r="E828" s="4">
        <v>36758143</v>
      </c>
      <c r="F828" s="4" t="s">
        <v>107</v>
      </c>
      <c r="G828" t="s">
        <v>565</v>
      </c>
    </row>
    <row r="829" spans="1:7" ht="14.25" customHeight="1" x14ac:dyDescent="0.25">
      <c r="A829" s="3">
        <v>45621</v>
      </c>
      <c r="B829" s="4">
        <v>2024002552</v>
      </c>
      <c r="C829" s="4" t="s">
        <v>568</v>
      </c>
      <c r="D829" s="5">
        <v>2500000</v>
      </c>
      <c r="E829" s="4">
        <v>1193265831</v>
      </c>
      <c r="F829" s="4" t="s">
        <v>317</v>
      </c>
      <c r="G829" t="s">
        <v>565</v>
      </c>
    </row>
    <row r="830" spans="1:7" ht="14.25" customHeight="1" x14ac:dyDescent="0.25">
      <c r="A830" s="3">
        <v>45621</v>
      </c>
      <c r="B830" s="4">
        <v>2024002553</v>
      </c>
      <c r="C830" s="4" t="s">
        <v>712</v>
      </c>
      <c r="D830" s="5">
        <v>7540000</v>
      </c>
      <c r="E830" s="4">
        <v>1233192708</v>
      </c>
      <c r="F830" s="4" t="s">
        <v>591</v>
      </c>
      <c r="G830" t="s">
        <v>565</v>
      </c>
    </row>
    <row r="831" spans="1:7" ht="14.25" customHeight="1" x14ac:dyDescent="0.25">
      <c r="A831" s="3">
        <v>45621</v>
      </c>
      <c r="B831" s="4">
        <v>2024002554</v>
      </c>
      <c r="C831" s="4" t="s">
        <v>713</v>
      </c>
      <c r="D831" s="5">
        <v>3000000</v>
      </c>
      <c r="E831" s="4">
        <v>1086328142</v>
      </c>
      <c r="F831" s="4" t="s">
        <v>470</v>
      </c>
      <c r="G831" t="s">
        <v>565</v>
      </c>
    </row>
    <row r="832" spans="1:7" ht="14.25" customHeight="1" x14ac:dyDescent="0.25">
      <c r="A832" s="3">
        <v>45621</v>
      </c>
      <c r="B832" s="4">
        <v>2024002555</v>
      </c>
      <c r="C832" s="4" t="s">
        <v>714</v>
      </c>
      <c r="D832" s="5">
        <v>4750000</v>
      </c>
      <c r="E832" s="4">
        <v>59824313</v>
      </c>
      <c r="F832" s="4" t="s">
        <v>151</v>
      </c>
      <c r="G832" t="s">
        <v>565</v>
      </c>
    </row>
    <row r="833" spans="1:7" ht="14.25" customHeight="1" x14ac:dyDescent="0.25">
      <c r="A833" s="3">
        <v>45621</v>
      </c>
      <c r="B833" s="4">
        <v>2024002556</v>
      </c>
      <c r="C833" s="4" t="s">
        <v>715</v>
      </c>
      <c r="D833" s="5">
        <v>3000000</v>
      </c>
      <c r="E833" s="4">
        <v>1085318688</v>
      </c>
      <c r="F833" s="4" t="s">
        <v>427</v>
      </c>
      <c r="G833" t="s">
        <v>565</v>
      </c>
    </row>
    <row r="834" spans="1:7" ht="14.25" customHeight="1" x14ac:dyDescent="0.25">
      <c r="A834" s="3">
        <v>45621</v>
      </c>
      <c r="B834" s="4">
        <v>2024002557</v>
      </c>
      <c r="C834" s="4" t="s">
        <v>716</v>
      </c>
      <c r="D834" s="5">
        <v>3000000</v>
      </c>
      <c r="E834" s="4">
        <v>1085339190</v>
      </c>
      <c r="F834" s="4" t="s">
        <v>149</v>
      </c>
      <c r="G834" t="s">
        <v>565</v>
      </c>
    </row>
    <row r="835" spans="1:7" ht="14.25" customHeight="1" x14ac:dyDescent="0.25">
      <c r="A835" s="3">
        <v>45621</v>
      </c>
      <c r="B835" s="4">
        <v>2024002558</v>
      </c>
      <c r="C835" s="4" t="s">
        <v>717</v>
      </c>
      <c r="D835" s="5">
        <v>3000000</v>
      </c>
      <c r="E835" s="4">
        <v>1007403454</v>
      </c>
      <c r="F835" s="4" t="s">
        <v>718</v>
      </c>
      <c r="G835" t="s">
        <v>565</v>
      </c>
    </row>
    <row r="836" spans="1:7" ht="14.25" customHeight="1" x14ac:dyDescent="0.25">
      <c r="A836" s="3">
        <v>45621</v>
      </c>
      <c r="B836" s="4">
        <v>2024002559</v>
      </c>
      <c r="C836" s="4" t="s">
        <v>719</v>
      </c>
      <c r="D836" s="5">
        <v>2500000</v>
      </c>
      <c r="E836" s="4">
        <v>27094521</v>
      </c>
      <c r="F836" s="4" t="s">
        <v>285</v>
      </c>
      <c r="G836" t="s">
        <v>565</v>
      </c>
    </row>
    <row r="837" spans="1:7" ht="14.25" customHeight="1" x14ac:dyDescent="0.25">
      <c r="A837" s="3">
        <v>45621</v>
      </c>
      <c r="B837" s="4">
        <v>2024002560</v>
      </c>
      <c r="C837" s="4" t="s">
        <v>720</v>
      </c>
      <c r="D837" s="5">
        <v>4825000</v>
      </c>
      <c r="E837" s="4">
        <v>87062845</v>
      </c>
      <c r="F837" s="4" t="s">
        <v>133</v>
      </c>
      <c r="G837" t="s">
        <v>565</v>
      </c>
    </row>
    <row r="838" spans="1:7" ht="14.25" customHeight="1" x14ac:dyDescent="0.25">
      <c r="A838" s="3">
        <v>45621</v>
      </c>
      <c r="B838" s="4">
        <v>2024002561</v>
      </c>
      <c r="C838" s="4" t="s">
        <v>721</v>
      </c>
      <c r="D838" s="5">
        <v>2500000</v>
      </c>
      <c r="E838" s="4">
        <v>1004535115</v>
      </c>
      <c r="F838" s="4" t="s">
        <v>347</v>
      </c>
      <c r="G838" t="s">
        <v>565</v>
      </c>
    </row>
    <row r="839" spans="1:7" ht="14.25" customHeight="1" x14ac:dyDescent="0.25">
      <c r="A839" s="3">
        <v>45621</v>
      </c>
      <c r="B839" s="4">
        <v>2024002562</v>
      </c>
      <c r="C839" s="4" t="s">
        <v>722</v>
      </c>
      <c r="D839" s="5">
        <v>3000000</v>
      </c>
      <c r="E839" s="4">
        <v>1086329609</v>
      </c>
      <c r="F839" s="4" t="s">
        <v>443</v>
      </c>
      <c r="G839" t="s">
        <v>565</v>
      </c>
    </row>
    <row r="840" spans="1:7" ht="14.25" customHeight="1" x14ac:dyDescent="0.25">
      <c r="A840" s="3">
        <v>45621</v>
      </c>
      <c r="B840" s="4">
        <v>2024002563</v>
      </c>
      <c r="C840" s="4" t="s">
        <v>723</v>
      </c>
      <c r="D840" s="5">
        <v>3000000</v>
      </c>
      <c r="E840" s="4">
        <v>1080046034</v>
      </c>
      <c r="F840" s="4" t="s">
        <v>724</v>
      </c>
      <c r="G840" t="s">
        <v>565</v>
      </c>
    </row>
    <row r="841" spans="1:7" ht="14.25" customHeight="1" x14ac:dyDescent="0.25">
      <c r="A841" s="3">
        <v>45621</v>
      </c>
      <c r="B841" s="4">
        <v>2024002564</v>
      </c>
      <c r="C841" s="4" t="s">
        <v>725</v>
      </c>
      <c r="D841" s="5">
        <v>4825000</v>
      </c>
      <c r="E841" s="4">
        <v>27088141</v>
      </c>
      <c r="F841" s="4" t="s">
        <v>515</v>
      </c>
      <c r="G841" t="s">
        <v>565</v>
      </c>
    </row>
    <row r="842" spans="1:7" ht="14.25" customHeight="1" x14ac:dyDescent="0.25">
      <c r="A842" s="3">
        <v>45621</v>
      </c>
      <c r="B842" s="4">
        <v>2024002565</v>
      </c>
      <c r="C842" s="4" t="s">
        <v>726</v>
      </c>
      <c r="D842" s="5">
        <v>2500000</v>
      </c>
      <c r="E842" s="4">
        <v>1085314075</v>
      </c>
      <c r="F842" s="4" t="s">
        <v>327</v>
      </c>
      <c r="G842" t="s">
        <v>565</v>
      </c>
    </row>
    <row r="843" spans="1:7" ht="14.25" customHeight="1" x14ac:dyDescent="0.25">
      <c r="A843" s="3">
        <v>45621</v>
      </c>
      <c r="B843" s="4">
        <v>2024002566</v>
      </c>
      <c r="C843" s="4" t="s">
        <v>727</v>
      </c>
      <c r="D843" s="5">
        <v>2500000</v>
      </c>
      <c r="E843" s="4">
        <v>1085310465</v>
      </c>
      <c r="F843" s="4" t="s">
        <v>307</v>
      </c>
      <c r="G843" t="s">
        <v>565</v>
      </c>
    </row>
    <row r="844" spans="1:7" ht="14.25" customHeight="1" x14ac:dyDescent="0.25">
      <c r="A844" s="3">
        <v>45621</v>
      </c>
      <c r="B844" s="4">
        <v>2024002568</v>
      </c>
      <c r="C844" s="4" t="s">
        <v>728</v>
      </c>
      <c r="D844" s="5">
        <v>3000000</v>
      </c>
      <c r="E844" s="4">
        <v>1010113730</v>
      </c>
      <c r="F844" s="4" t="s">
        <v>219</v>
      </c>
      <c r="G844" t="s">
        <v>565</v>
      </c>
    </row>
    <row r="845" spans="1:7" ht="14.25" customHeight="1" x14ac:dyDescent="0.25">
      <c r="A845" s="3">
        <v>45621</v>
      </c>
      <c r="B845" s="4">
        <v>2024002569</v>
      </c>
      <c r="C845" s="4" t="s">
        <v>729</v>
      </c>
      <c r="D845" s="5">
        <v>1250000</v>
      </c>
      <c r="E845" s="4">
        <v>1085335069</v>
      </c>
      <c r="F845" s="4" t="s">
        <v>730</v>
      </c>
      <c r="G845" t="s">
        <v>565</v>
      </c>
    </row>
    <row r="846" spans="1:7" ht="14.25" customHeight="1" x14ac:dyDescent="0.25">
      <c r="A846" s="3">
        <v>45621</v>
      </c>
      <c r="B846" s="4">
        <v>2024002570</v>
      </c>
      <c r="C846" s="4" t="s">
        <v>731</v>
      </c>
      <c r="D846" s="5">
        <v>916300</v>
      </c>
      <c r="E846" s="4">
        <v>1131085946</v>
      </c>
      <c r="F846" s="4" t="s">
        <v>732</v>
      </c>
      <c r="G846" t="s">
        <v>565</v>
      </c>
    </row>
    <row r="847" spans="1:7" ht="14.25" customHeight="1" x14ac:dyDescent="0.25">
      <c r="A847" s="3">
        <v>45621</v>
      </c>
      <c r="B847" s="4">
        <v>2024002571</v>
      </c>
      <c r="C847" s="4" t="s">
        <v>733</v>
      </c>
      <c r="D847" s="5">
        <v>3000000</v>
      </c>
      <c r="E847" s="4">
        <v>1085327677</v>
      </c>
      <c r="F847" s="4" t="s">
        <v>215</v>
      </c>
      <c r="G847" t="s">
        <v>565</v>
      </c>
    </row>
    <row r="848" spans="1:7" ht="14.25" customHeight="1" x14ac:dyDescent="0.25">
      <c r="A848" s="3">
        <v>45621</v>
      </c>
      <c r="B848" s="4">
        <v>2024002572</v>
      </c>
      <c r="C848" s="4" t="s">
        <v>734</v>
      </c>
      <c r="D848" s="5">
        <v>4750000</v>
      </c>
      <c r="E848" s="4">
        <v>1085343783</v>
      </c>
      <c r="F848" s="4" t="s">
        <v>735</v>
      </c>
      <c r="G848" t="s">
        <v>565</v>
      </c>
    </row>
    <row r="849" spans="1:7" ht="14.25" customHeight="1" x14ac:dyDescent="0.25">
      <c r="A849" s="3">
        <v>45621</v>
      </c>
      <c r="B849" s="4">
        <v>2024002573</v>
      </c>
      <c r="C849" s="4" t="s">
        <v>736</v>
      </c>
      <c r="D849" s="5">
        <v>6000000</v>
      </c>
      <c r="E849" s="4">
        <v>36954410</v>
      </c>
      <c r="F849" s="4" t="s">
        <v>343</v>
      </c>
      <c r="G849" t="s">
        <v>565</v>
      </c>
    </row>
    <row r="850" spans="1:7" ht="14.25" customHeight="1" x14ac:dyDescent="0.25">
      <c r="A850" s="3">
        <v>45621</v>
      </c>
      <c r="B850" s="4">
        <v>2024002574</v>
      </c>
      <c r="C850" s="4" t="s">
        <v>737</v>
      </c>
      <c r="D850" s="5">
        <v>6000000</v>
      </c>
      <c r="E850" s="4">
        <v>1085248939</v>
      </c>
      <c r="F850" s="4" t="s">
        <v>437</v>
      </c>
      <c r="G850" t="s">
        <v>565</v>
      </c>
    </row>
    <row r="851" spans="1:7" ht="14.25" customHeight="1" x14ac:dyDescent="0.25">
      <c r="A851" s="3">
        <v>45621</v>
      </c>
      <c r="B851" s="4">
        <v>2024002575</v>
      </c>
      <c r="C851" s="4" t="s">
        <v>738</v>
      </c>
      <c r="D851" s="5">
        <v>3000000</v>
      </c>
      <c r="E851" s="4">
        <v>1004726758</v>
      </c>
      <c r="F851" s="4" t="s">
        <v>365</v>
      </c>
      <c r="G851" t="s">
        <v>565</v>
      </c>
    </row>
    <row r="852" spans="1:7" ht="14.25" customHeight="1" x14ac:dyDescent="0.25">
      <c r="A852" s="3">
        <v>45621</v>
      </c>
      <c r="B852" s="4">
        <v>2024002576</v>
      </c>
      <c r="C852" s="4" t="s">
        <v>739</v>
      </c>
      <c r="D852" s="5">
        <v>2500000</v>
      </c>
      <c r="E852" s="4">
        <v>27090145</v>
      </c>
      <c r="F852" s="4" t="s">
        <v>357</v>
      </c>
      <c r="G852" t="s">
        <v>565</v>
      </c>
    </row>
    <row r="853" spans="1:7" ht="14.25" customHeight="1" x14ac:dyDescent="0.25">
      <c r="A853" s="3">
        <v>45621</v>
      </c>
      <c r="B853" s="4">
        <v>2024002577</v>
      </c>
      <c r="C853" s="4" t="s">
        <v>740</v>
      </c>
      <c r="D853" s="5">
        <v>6000000</v>
      </c>
      <c r="E853" s="4">
        <v>37013610</v>
      </c>
      <c r="F853" s="4" t="s">
        <v>25</v>
      </c>
      <c r="G853" t="s">
        <v>565</v>
      </c>
    </row>
    <row r="854" spans="1:7" ht="14.25" customHeight="1" x14ac:dyDescent="0.25">
      <c r="A854" s="3">
        <v>45621</v>
      </c>
      <c r="B854" s="4">
        <v>2024002578</v>
      </c>
      <c r="C854" s="4" t="s">
        <v>741</v>
      </c>
      <c r="D854" s="5">
        <v>800000</v>
      </c>
      <c r="E854" s="4">
        <v>1085317833</v>
      </c>
      <c r="F854" s="4" t="s">
        <v>11</v>
      </c>
      <c r="G854" t="s">
        <v>565</v>
      </c>
    </row>
    <row r="855" spans="1:7" ht="14.25" customHeight="1" x14ac:dyDescent="0.25">
      <c r="A855" s="3">
        <v>45621</v>
      </c>
      <c r="B855" s="4">
        <v>2024002579</v>
      </c>
      <c r="C855" s="4" t="s">
        <v>742</v>
      </c>
      <c r="D855" s="5">
        <v>3000000</v>
      </c>
      <c r="E855" s="4">
        <v>1004709928</v>
      </c>
      <c r="F855" s="4" t="s">
        <v>289</v>
      </c>
      <c r="G855" t="s">
        <v>565</v>
      </c>
    </row>
    <row r="856" spans="1:7" ht="14.25" customHeight="1" x14ac:dyDescent="0.25">
      <c r="A856" s="3">
        <v>45621</v>
      </c>
      <c r="B856" s="4">
        <v>2024002580</v>
      </c>
      <c r="C856" s="4" t="s">
        <v>743</v>
      </c>
      <c r="D856" s="5">
        <v>7540000</v>
      </c>
      <c r="E856" s="4">
        <v>1085345430</v>
      </c>
      <c r="F856" s="4" t="s">
        <v>359</v>
      </c>
      <c r="G856" t="s">
        <v>565</v>
      </c>
    </row>
    <row r="857" spans="1:7" ht="14.25" customHeight="1" x14ac:dyDescent="0.25">
      <c r="A857" s="3">
        <v>45621</v>
      </c>
      <c r="B857" s="4">
        <v>2024002581</v>
      </c>
      <c r="C857" s="4" t="s">
        <v>744</v>
      </c>
      <c r="D857" s="5">
        <v>7540000</v>
      </c>
      <c r="E857" s="4">
        <v>1085293105</v>
      </c>
      <c r="F857" s="4" t="s">
        <v>745</v>
      </c>
      <c r="G857" t="s">
        <v>565</v>
      </c>
    </row>
    <row r="858" spans="1:7" ht="14.25" customHeight="1" x14ac:dyDescent="0.25">
      <c r="A858" s="3">
        <v>45621</v>
      </c>
      <c r="B858" s="4">
        <v>2024002582</v>
      </c>
      <c r="C858" s="4" t="s">
        <v>746</v>
      </c>
      <c r="D858" s="5">
        <v>7540000</v>
      </c>
      <c r="E858" s="4">
        <v>1233191998</v>
      </c>
      <c r="F858" s="4" t="s">
        <v>747</v>
      </c>
      <c r="G858" t="s">
        <v>565</v>
      </c>
    </row>
    <row r="859" spans="1:7" ht="14.25" customHeight="1" x14ac:dyDescent="0.25">
      <c r="A859" s="3">
        <v>45621</v>
      </c>
      <c r="B859" s="4">
        <v>2024002583</v>
      </c>
      <c r="C859" s="4" t="s">
        <v>748</v>
      </c>
      <c r="D859" s="5">
        <v>7540000</v>
      </c>
      <c r="E859" s="4">
        <v>1085344794</v>
      </c>
      <c r="F859" s="4" t="s">
        <v>749</v>
      </c>
      <c r="G859" t="s">
        <v>565</v>
      </c>
    </row>
    <row r="860" spans="1:7" ht="14.25" customHeight="1" x14ac:dyDescent="0.25">
      <c r="A860" s="3">
        <v>45621</v>
      </c>
      <c r="B860" s="4">
        <v>2024002584</v>
      </c>
      <c r="C860" s="4" t="s">
        <v>750</v>
      </c>
      <c r="D860" s="5">
        <v>7540000</v>
      </c>
      <c r="E860" s="4">
        <v>7603662</v>
      </c>
      <c r="F860" s="4" t="s">
        <v>361</v>
      </c>
      <c r="G860" t="s">
        <v>565</v>
      </c>
    </row>
    <row r="861" spans="1:7" ht="14.25" customHeight="1" x14ac:dyDescent="0.25">
      <c r="A861" s="3">
        <v>45621</v>
      </c>
      <c r="B861" s="4">
        <v>2024002585</v>
      </c>
      <c r="C861" s="4" t="s">
        <v>751</v>
      </c>
      <c r="D861" s="5">
        <v>4750000</v>
      </c>
      <c r="E861" s="4">
        <v>1233192618</v>
      </c>
      <c r="F861" s="4" t="s">
        <v>351</v>
      </c>
      <c r="G861" t="s">
        <v>565</v>
      </c>
    </row>
    <row r="862" spans="1:7" ht="14.25" customHeight="1" x14ac:dyDescent="0.25">
      <c r="A862" s="3">
        <v>45622</v>
      </c>
      <c r="B862" s="4">
        <v>2024002615</v>
      </c>
      <c r="C862" s="4" t="s">
        <v>752</v>
      </c>
      <c r="D862" s="5">
        <v>7540000</v>
      </c>
      <c r="E862" s="4">
        <v>1233189066</v>
      </c>
      <c r="F862" s="4" t="s">
        <v>239</v>
      </c>
      <c r="G862" t="s">
        <v>565</v>
      </c>
    </row>
    <row r="863" spans="1:7" ht="14.25" customHeight="1" x14ac:dyDescent="0.25">
      <c r="A863" s="3">
        <v>45622</v>
      </c>
      <c r="B863" s="4">
        <v>2024002624</v>
      </c>
      <c r="C863" s="4" t="s">
        <v>753</v>
      </c>
      <c r="D863" s="5">
        <v>3000000</v>
      </c>
      <c r="E863" s="4">
        <v>1085272140</v>
      </c>
      <c r="F863" s="4" t="s">
        <v>754</v>
      </c>
      <c r="G863" t="s">
        <v>565</v>
      </c>
    </row>
    <row r="864" spans="1:7" ht="14.25" customHeight="1" x14ac:dyDescent="0.25">
      <c r="A864" s="3">
        <v>45622</v>
      </c>
      <c r="B864" s="4">
        <v>2024002625</v>
      </c>
      <c r="C864" s="4" t="s">
        <v>755</v>
      </c>
      <c r="D864" s="5">
        <v>3000000</v>
      </c>
      <c r="E864" s="4">
        <v>1085347540</v>
      </c>
      <c r="F864" s="4" t="s">
        <v>321</v>
      </c>
      <c r="G864" t="s">
        <v>565</v>
      </c>
    </row>
    <row r="865" spans="1:7" ht="14.25" customHeight="1" x14ac:dyDescent="0.25">
      <c r="A865" s="3">
        <v>45622</v>
      </c>
      <c r="B865" s="4">
        <v>2024002627</v>
      </c>
      <c r="C865" s="4" t="s">
        <v>756</v>
      </c>
      <c r="D865" s="5">
        <v>6000000</v>
      </c>
      <c r="E865" s="4">
        <v>36757221</v>
      </c>
      <c r="F865" s="4" t="s">
        <v>453</v>
      </c>
      <c r="G865" t="s">
        <v>565</v>
      </c>
    </row>
    <row r="866" spans="1:7" ht="14.25" customHeight="1" x14ac:dyDescent="0.25">
      <c r="A866" s="3">
        <v>45622</v>
      </c>
      <c r="B866" s="4">
        <v>2024002628</v>
      </c>
      <c r="C866" s="4" t="s">
        <v>757</v>
      </c>
      <c r="D866" s="5">
        <v>3000000</v>
      </c>
      <c r="E866" s="4">
        <v>1085309422</v>
      </c>
      <c r="F866" s="4" t="s">
        <v>758</v>
      </c>
      <c r="G866" t="s">
        <v>565</v>
      </c>
    </row>
    <row r="867" spans="1:7" ht="14.25" customHeight="1" x14ac:dyDescent="0.25">
      <c r="A867" s="3">
        <v>45622</v>
      </c>
      <c r="B867" s="4">
        <v>2024002630</v>
      </c>
      <c r="C867" s="4" t="s">
        <v>759</v>
      </c>
      <c r="D867" s="5">
        <v>6000000</v>
      </c>
      <c r="E867" s="4">
        <v>1085253062</v>
      </c>
      <c r="F867" s="4" t="s">
        <v>31</v>
      </c>
      <c r="G867" t="s">
        <v>565</v>
      </c>
    </row>
    <row r="868" spans="1:7" ht="14.25" customHeight="1" x14ac:dyDescent="0.25">
      <c r="A868" s="3">
        <v>45622</v>
      </c>
      <c r="B868" s="4">
        <v>2024002631</v>
      </c>
      <c r="C868" s="4" t="s">
        <v>760</v>
      </c>
      <c r="D868" s="5">
        <v>3000000</v>
      </c>
      <c r="E868" s="4">
        <v>1004535234</v>
      </c>
      <c r="F868" s="4" t="s">
        <v>507</v>
      </c>
      <c r="G868" t="s">
        <v>565</v>
      </c>
    </row>
    <row r="869" spans="1:7" ht="14.25" customHeight="1" x14ac:dyDescent="0.25">
      <c r="A869" s="3">
        <v>45622</v>
      </c>
      <c r="B869" s="4">
        <v>2024002632</v>
      </c>
      <c r="C869" s="4" t="s">
        <v>761</v>
      </c>
      <c r="D869" s="5">
        <v>7540000</v>
      </c>
      <c r="E869" s="4">
        <v>1006946167</v>
      </c>
      <c r="F869" s="4" t="s">
        <v>63</v>
      </c>
      <c r="G869" t="s">
        <v>565</v>
      </c>
    </row>
    <row r="870" spans="1:7" ht="14.25" customHeight="1" x14ac:dyDescent="0.25">
      <c r="A870" s="3">
        <v>45622</v>
      </c>
      <c r="B870" s="4">
        <v>2024002633</v>
      </c>
      <c r="C870" s="4" t="s">
        <v>762</v>
      </c>
      <c r="D870" s="5">
        <v>2500000</v>
      </c>
      <c r="E870" s="4">
        <v>36757715</v>
      </c>
      <c r="F870" s="4" t="s">
        <v>313</v>
      </c>
      <c r="G870" t="s">
        <v>565</v>
      </c>
    </row>
    <row r="871" spans="1:7" ht="14.25" customHeight="1" x14ac:dyDescent="0.25">
      <c r="A871" s="3">
        <v>45622</v>
      </c>
      <c r="B871" s="4">
        <v>2024002635</v>
      </c>
      <c r="C871" s="4" t="s">
        <v>763</v>
      </c>
      <c r="D871" s="5">
        <v>3000000</v>
      </c>
      <c r="E871" s="4">
        <v>36752202</v>
      </c>
      <c r="F871" s="4" t="s">
        <v>263</v>
      </c>
      <c r="G871" t="s">
        <v>565</v>
      </c>
    </row>
    <row r="872" spans="1:7" ht="14.25" customHeight="1" x14ac:dyDescent="0.25">
      <c r="A872" s="3">
        <v>45622</v>
      </c>
      <c r="B872" s="4">
        <v>2024002636</v>
      </c>
      <c r="C872" s="4" t="s">
        <v>764</v>
      </c>
      <c r="D872" s="5">
        <v>3000000</v>
      </c>
      <c r="E872" s="4">
        <v>36757213</v>
      </c>
      <c r="F872" s="4" t="s">
        <v>411</v>
      </c>
      <c r="G872" t="s">
        <v>565</v>
      </c>
    </row>
    <row r="873" spans="1:7" ht="14.25" customHeight="1" x14ac:dyDescent="0.25">
      <c r="A873" s="3">
        <v>45622</v>
      </c>
      <c r="B873" s="4">
        <v>2024002637</v>
      </c>
      <c r="C873" s="4" t="s">
        <v>765</v>
      </c>
      <c r="D873" s="5">
        <v>916300</v>
      </c>
      <c r="E873" s="4">
        <v>59821968</v>
      </c>
      <c r="F873" s="4" t="s">
        <v>766</v>
      </c>
      <c r="G873" t="s">
        <v>565</v>
      </c>
    </row>
    <row r="874" spans="1:7" ht="14.25" customHeight="1" x14ac:dyDescent="0.25">
      <c r="A874" s="15">
        <v>45622</v>
      </c>
      <c r="B874" s="16">
        <v>2024002638</v>
      </c>
      <c r="C874" s="16" t="s">
        <v>767</v>
      </c>
      <c r="D874" s="6">
        <v>4750000</v>
      </c>
      <c r="E874" s="16">
        <v>59651018</v>
      </c>
      <c r="F874" s="16" t="s">
        <v>493</v>
      </c>
      <c r="G874" t="s">
        <v>565</v>
      </c>
    </row>
    <row r="875" spans="1:7" ht="14.25" customHeight="1" x14ac:dyDescent="0.25">
      <c r="A875" s="3">
        <v>45622</v>
      </c>
      <c r="B875" s="4">
        <v>2024002639</v>
      </c>
      <c r="C875" s="4" t="s">
        <v>768</v>
      </c>
      <c r="D875" s="5">
        <v>3000000</v>
      </c>
      <c r="E875" s="4">
        <v>59314601</v>
      </c>
      <c r="F875" s="4" t="s">
        <v>71</v>
      </c>
      <c r="G875" t="s">
        <v>565</v>
      </c>
    </row>
    <row r="876" spans="1:7" ht="14.25" customHeight="1" x14ac:dyDescent="0.25">
      <c r="A876" s="3">
        <v>45622</v>
      </c>
      <c r="B876" s="4">
        <v>2024002640</v>
      </c>
      <c r="C876" s="4" t="s">
        <v>769</v>
      </c>
      <c r="D876" s="5">
        <v>800000</v>
      </c>
      <c r="E876" s="4">
        <v>1089846829</v>
      </c>
      <c r="F876" s="4" t="s">
        <v>770</v>
      </c>
      <c r="G876" t="s">
        <v>565</v>
      </c>
    </row>
    <row r="877" spans="1:7" ht="14.25" customHeight="1" x14ac:dyDescent="0.25">
      <c r="A877" s="3">
        <v>45622</v>
      </c>
      <c r="B877" s="4">
        <v>2024002641</v>
      </c>
      <c r="C877" s="4" t="s">
        <v>771</v>
      </c>
      <c r="D877" s="5">
        <v>2500000</v>
      </c>
      <c r="E877" s="4">
        <v>1085327836</v>
      </c>
      <c r="F877" s="4" t="s">
        <v>283</v>
      </c>
      <c r="G877" t="s">
        <v>565</v>
      </c>
    </row>
    <row r="878" spans="1:7" ht="14.25" customHeight="1" x14ac:dyDescent="0.25">
      <c r="A878" s="3">
        <v>45622</v>
      </c>
      <c r="B878" s="4">
        <v>2024002642</v>
      </c>
      <c r="C878" s="4" t="s">
        <v>772</v>
      </c>
      <c r="D878" s="5">
        <v>3000000</v>
      </c>
      <c r="E878" s="4">
        <v>1081592303</v>
      </c>
      <c r="F878" s="4" t="s">
        <v>353</v>
      </c>
      <c r="G878" t="s">
        <v>565</v>
      </c>
    </row>
    <row r="879" spans="1:7" ht="14.25" customHeight="1" x14ac:dyDescent="0.25">
      <c r="A879" s="3">
        <v>45622</v>
      </c>
      <c r="B879" s="4">
        <v>2024002643</v>
      </c>
      <c r="C879" s="4" t="s">
        <v>773</v>
      </c>
      <c r="D879" s="5">
        <v>4825000</v>
      </c>
      <c r="E879" s="4">
        <v>1085267184</v>
      </c>
      <c r="F879" s="4" t="s">
        <v>247</v>
      </c>
      <c r="G879" t="s">
        <v>565</v>
      </c>
    </row>
    <row r="880" spans="1:7" ht="14.25" customHeight="1" x14ac:dyDescent="0.25">
      <c r="A880" s="3">
        <v>45622</v>
      </c>
      <c r="B880" s="4">
        <v>2024002644</v>
      </c>
      <c r="C880" s="4" t="s">
        <v>774</v>
      </c>
      <c r="D880" s="5">
        <v>3000000</v>
      </c>
      <c r="E880" s="4">
        <v>1081272025</v>
      </c>
      <c r="F880" s="4" t="s">
        <v>59</v>
      </c>
      <c r="G880" t="s">
        <v>565</v>
      </c>
    </row>
    <row r="881" spans="1:7" ht="14.25" customHeight="1" x14ac:dyDescent="0.25">
      <c r="A881" s="3">
        <v>45622</v>
      </c>
      <c r="B881" s="4">
        <v>2024002645</v>
      </c>
      <c r="C881" s="4" t="s">
        <v>775</v>
      </c>
      <c r="D881" s="5">
        <v>3000000</v>
      </c>
      <c r="E881" s="4">
        <v>1193385397</v>
      </c>
      <c r="F881" s="4" t="s">
        <v>39</v>
      </c>
      <c r="G881" t="s">
        <v>565</v>
      </c>
    </row>
    <row r="882" spans="1:7" ht="14.25" customHeight="1" x14ac:dyDescent="0.25">
      <c r="A882" s="3">
        <v>45622</v>
      </c>
      <c r="B882" s="4">
        <v>2024002646</v>
      </c>
      <c r="C882" s="4" t="s">
        <v>776</v>
      </c>
      <c r="D882" s="5">
        <v>3000000</v>
      </c>
      <c r="E882" s="4">
        <v>1233189234</v>
      </c>
      <c r="F882" s="4" t="s">
        <v>87</v>
      </c>
      <c r="G882" t="s">
        <v>565</v>
      </c>
    </row>
    <row r="883" spans="1:7" ht="14.25" customHeight="1" x14ac:dyDescent="0.25">
      <c r="A883" s="3">
        <v>45622</v>
      </c>
      <c r="B883" s="4">
        <v>2024002647</v>
      </c>
      <c r="C883" s="4" t="s">
        <v>777</v>
      </c>
      <c r="D883" s="5">
        <v>3000000</v>
      </c>
      <c r="E883" s="4">
        <v>1144206777</v>
      </c>
      <c r="F883" s="4" t="s">
        <v>153</v>
      </c>
      <c r="G883" t="s">
        <v>565</v>
      </c>
    </row>
    <row r="884" spans="1:7" ht="14.25" customHeight="1" x14ac:dyDescent="0.25">
      <c r="A884" s="3">
        <v>45622</v>
      </c>
      <c r="B884" s="4">
        <v>2024002648</v>
      </c>
      <c r="C884" s="4" t="s">
        <v>778</v>
      </c>
      <c r="D884" s="5">
        <v>3000000</v>
      </c>
      <c r="E884" s="4">
        <v>1085324685</v>
      </c>
      <c r="F884" s="4" t="s">
        <v>779</v>
      </c>
      <c r="G884" t="s">
        <v>565</v>
      </c>
    </row>
    <row r="885" spans="1:7" ht="14.25" customHeight="1" x14ac:dyDescent="0.25">
      <c r="A885" s="3">
        <v>45622</v>
      </c>
      <c r="B885" s="4">
        <v>2024002649</v>
      </c>
      <c r="C885" s="4" t="s">
        <v>780</v>
      </c>
      <c r="D885" s="5">
        <v>4825000</v>
      </c>
      <c r="E885" s="4">
        <v>1085311814</v>
      </c>
      <c r="F885" s="4" t="s">
        <v>781</v>
      </c>
      <c r="G885" t="s">
        <v>565</v>
      </c>
    </row>
    <row r="886" spans="1:7" ht="14.25" customHeight="1" x14ac:dyDescent="0.25">
      <c r="A886" s="3">
        <v>45622</v>
      </c>
      <c r="B886" s="4">
        <v>2024002650</v>
      </c>
      <c r="C886" s="4" t="s">
        <v>782</v>
      </c>
      <c r="D886" s="5">
        <v>1100000</v>
      </c>
      <c r="E886" s="4">
        <v>59833899</v>
      </c>
      <c r="F886" s="4" t="s">
        <v>467</v>
      </c>
      <c r="G886" t="s">
        <v>565</v>
      </c>
    </row>
    <row r="887" spans="1:7" ht="14.25" customHeight="1" x14ac:dyDescent="0.25">
      <c r="A887" s="3">
        <v>45622</v>
      </c>
      <c r="B887" s="4">
        <v>2024002651</v>
      </c>
      <c r="C887" s="4" t="s">
        <v>783</v>
      </c>
      <c r="D887" s="5">
        <v>2500000</v>
      </c>
      <c r="E887" s="4">
        <v>1233189896</v>
      </c>
      <c r="F887" s="4" t="s">
        <v>279</v>
      </c>
      <c r="G887" t="s">
        <v>565</v>
      </c>
    </row>
    <row r="888" spans="1:7" ht="14.25" customHeight="1" x14ac:dyDescent="0.25">
      <c r="A888" s="3">
        <v>45622</v>
      </c>
      <c r="B888" s="4">
        <v>2024002652</v>
      </c>
      <c r="C888" s="4" t="s">
        <v>784</v>
      </c>
      <c r="D888" s="5">
        <v>3000000</v>
      </c>
      <c r="E888" s="4">
        <v>1085319295</v>
      </c>
      <c r="F888" s="4" t="s">
        <v>785</v>
      </c>
      <c r="G888" t="s">
        <v>565</v>
      </c>
    </row>
    <row r="889" spans="1:7" ht="14.25" customHeight="1" x14ac:dyDescent="0.25">
      <c r="A889" s="3">
        <v>45622</v>
      </c>
      <c r="B889" s="4">
        <v>2024002653</v>
      </c>
      <c r="C889" s="4" t="s">
        <v>786</v>
      </c>
      <c r="D889" s="5">
        <v>3000000</v>
      </c>
      <c r="E889" s="4">
        <v>69028150</v>
      </c>
      <c r="F889" s="4" t="s">
        <v>171</v>
      </c>
      <c r="G889" t="s">
        <v>565</v>
      </c>
    </row>
    <row r="890" spans="1:7" ht="14.25" customHeight="1" x14ac:dyDescent="0.25">
      <c r="A890" s="3">
        <v>45622</v>
      </c>
      <c r="B890" s="4">
        <v>2024002654</v>
      </c>
      <c r="C890" s="4" t="s">
        <v>787</v>
      </c>
      <c r="D890" s="5">
        <v>4750000</v>
      </c>
      <c r="E890" s="4">
        <v>1085324546</v>
      </c>
      <c r="F890" s="4" t="s">
        <v>29</v>
      </c>
      <c r="G890" t="s">
        <v>565</v>
      </c>
    </row>
    <row r="891" spans="1:7" ht="14.25" customHeight="1" x14ac:dyDescent="0.25">
      <c r="A891" s="3">
        <v>45622</v>
      </c>
      <c r="B891" s="4">
        <v>2024002655</v>
      </c>
      <c r="C891" s="4" t="s">
        <v>788</v>
      </c>
      <c r="D891" s="5">
        <v>3000000</v>
      </c>
      <c r="E891" s="4">
        <v>1193265360</v>
      </c>
      <c r="F891" s="4" t="s">
        <v>67</v>
      </c>
      <c r="G891" t="s">
        <v>565</v>
      </c>
    </row>
    <row r="892" spans="1:7" ht="14.25" customHeight="1" x14ac:dyDescent="0.25">
      <c r="A892" s="3">
        <v>45623</v>
      </c>
      <c r="B892" s="4">
        <v>2024002656</v>
      </c>
      <c r="C892" s="4" t="s">
        <v>789</v>
      </c>
      <c r="D892" s="5">
        <v>3000000</v>
      </c>
      <c r="E892" s="4">
        <v>1086362994</v>
      </c>
      <c r="F892" s="4" t="s">
        <v>77</v>
      </c>
      <c r="G892" t="s">
        <v>565</v>
      </c>
    </row>
    <row r="893" spans="1:7" ht="14.25" customHeight="1" x14ac:dyDescent="0.25">
      <c r="A893" s="3">
        <v>45623</v>
      </c>
      <c r="B893" s="4">
        <v>2024002658</v>
      </c>
      <c r="C893" s="4" t="s">
        <v>790</v>
      </c>
      <c r="D893" s="5">
        <v>7540000</v>
      </c>
      <c r="E893" s="4">
        <v>1085329980</v>
      </c>
      <c r="F893" s="4" t="s">
        <v>791</v>
      </c>
      <c r="G893" t="s">
        <v>565</v>
      </c>
    </row>
    <row r="894" spans="1:7" ht="14.25" customHeight="1" x14ac:dyDescent="0.25">
      <c r="A894" s="3">
        <v>45623</v>
      </c>
      <c r="B894" s="4">
        <v>2024002659</v>
      </c>
      <c r="C894" s="4" t="s">
        <v>792</v>
      </c>
      <c r="D894" s="5">
        <v>3000000</v>
      </c>
      <c r="E894" s="4">
        <v>59588823</v>
      </c>
      <c r="F894" s="4" t="s">
        <v>793</v>
      </c>
      <c r="G894" t="s">
        <v>565</v>
      </c>
    </row>
    <row r="895" spans="1:7" ht="14.25" customHeight="1" x14ac:dyDescent="0.25">
      <c r="A895" s="3">
        <v>45623</v>
      </c>
      <c r="B895" s="4">
        <v>2024002660</v>
      </c>
      <c r="C895" s="4" t="s">
        <v>794</v>
      </c>
      <c r="D895" s="5">
        <v>7540000</v>
      </c>
      <c r="E895" s="4">
        <v>1193202097</v>
      </c>
      <c r="F895" s="4" t="s">
        <v>163</v>
      </c>
      <c r="G895" t="s">
        <v>565</v>
      </c>
    </row>
    <row r="896" spans="1:7" ht="14.25" customHeight="1" x14ac:dyDescent="0.25">
      <c r="A896" s="3">
        <v>45623</v>
      </c>
      <c r="B896" s="4">
        <v>2024002661</v>
      </c>
      <c r="C896" s="4" t="s">
        <v>795</v>
      </c>
      <c r="D896" s="5">
        <v>3000000</v>
      </c>
      <c r="E896" s="4">
        <v>1007356378</v>
      </c>
      <c r="F896" s="4" t="s">
        <v>45</v>
      </c>
      <c r="G896" t="s">
        <v>565</v>
      </c>
    </row>
    <row r="897" spans="1:7" ht="14.25" customHeight="1" x14ac:dyDescent="0.25">
      <c r="A897" s="3">
        <v>45623</v>
      </c>
      <c r="B897" s="4">
        <v>2024002662</v>
      </c>
      <c r="C897" s="4" t="s">
        <v>796</v>
      </c>
      <c r="D897" s="5">
        <v>3000000</v>
      </c>
      <c r="E897" s="4">
        <v>59311295</v>
      </c>
      <c r="F897" s="4" t="s">
        <v>797</v>
      </c>
      <c r="G897" t="s">
        <v>565</v>
      </c>
    </row>
    <row r="898" spans="1:7" ht="14.25" customHeight="1" x14ac:dyDescent="0.25">
      <c r="A898" s="3">
        <v>45623</v>
      </c>
      <c r="B898" s="4">
        <v>2024002663</v>
      </c>
      <c r="C898" s="4" t="s">
        <v>798</v>
      </c>
      <c r="D898" s="5">
        <v>6000000</v>
      </c>
      <c r="E898" s="4">
        <v>27109314</v>
      </c>
      <c r="F898" s="4" t="s">
        <v>217</v>
      </c>
      <c r="G898" t="s">
        <v>565</v>
      </c>
    </row>
    <row r="899" spans="1:7" ht="14.25" customHeight="1" x14ac:dyDescent="0.25">
      <c r="A899" s="3">
        <v>45623</v>
      </c>
      <c r="B899" s="4">
        <v>2024002664</v>
      </c>
      <c r="C899" s="4" t="s">
        <v>799</v>
      </c>
      <c r="D899" s="5">
        <v>2500000</v>
      </c>
      <c r="E899" s="4">
        <v>1085320930</v>
      </c>
      <c r="F899" s="4" t="s">
        <v>259</v>
      </c>
      <c r="G899" t="s">
        <v>565</v>
      </c>
    </row>
    <row r="900" spans="1:7" ht="14.25" customHeight="1" x14ac:dyDescent="0.25">
      <c r="A900" s="3">
        <v>45623</v>
      </c>
      <c r="B900" s="4">
        <v>2024002665</v>
      </c>
      <c r="C900" s="4" t="s">
        <v>800</v>
      </c>
      <c r="D900" s="5">
        <v>3000000</v>
      </c>
      <c r="E900" s="4">
        <v>59833702</v>
      </c>
      <c r="F900" s="4" t="s">
        <v>173</v>
      </c>
      <c r="G900" t="s">
        <v>565</v>
      </c>
    </row>
    <row r="901" spans="1:7" ht="14.25" customHeight="1" x14ac:dyDescent="0.25">
      <c r="A901" s="3">
        <v>45623</v>
      </c>
      <c r="B901" s="4">
        <v>2024002666</v>
      </c>
      <c r="C901" s="4" t="s">
        <v>801</v>
      </c>
      <c r="D901" s="5">
        <v>1250000</v>
      </c>
      <c r="E901" s="4">
        <v>12994466</v>
      </c>
      <c r="F901" s="4" t="s">
        <v>802</v>
      </c>
      <c r="G901" t="s">
        <v>565</v>
      </c>
    </row>
    <row r="902" spans="1:7" ht="14.25" customHeight="1" x14ac:dyDescent="0.25">
      <c r="A902" s="3">
        <v>45623</v>
      </c>
      <c r="B902" s="4">
        <v>2024002667</v>
      </c>
      <c r="C902" s="4" t="s">
        <v>803</v>
      </c>
      <c r="D902" s="5">
        <v>7540000</v>
      </c>
      <c r="E902" s="4">
        <v>80765093</v>
      </c>
      <c r="F902" s="4" t="s">
        <v>69</v>
      </c>
      <c r="G902" t="s">
        <v>565</v>
      </c>
    </row>
    <row r="903" spans="1:7" ht="14.25" customHeight="1" x14ac:dyDescent="0.25">
      <c r="A903" s="3">
        <v>45623</v>
      </c>
      <c r="B903" s="4">
        <v>2024002668</v>
      </c>
      <c r="C903" s="4" t="s">
        <v>804</v>
      </c>
      <c r="D903" s="5">
        <v>3000000</v>
      </c>
      <c r="E903" s="4">
        <v>1089243630</v>
      </c>
      <c r="F903" s="4" t="s">
        <v>197</v>
      </c>
      <c r="G903" t="s">
        <v>565</v>
      </c>
    </row>
    <row r="904" spans="1:7" ht="14.25" customHeight="1" x14ac:dyDescent="0.25">
      <c r="A904" s="3">
        <v>45623</v>
      </c>
      <c r="B904" s="4">
        <v>2024002669</v>
      </c>
      <c r="C904" s="4" t="s">
        <v>805</v>
      </c>
      <c r="D904" s="5">
        <v>3000000</v>
      </c>
      <c r="E904" s="4">
        <v>59834953</v>
      </c>
      <c r="F904" s="4" t="s">
        <v>121</v>
      </c>
      <c r="G904" t="s">
        <v>565</v>
      </c>
    </row>
    <row r="905" spans="1:7" ht="14.25" customHeight="1" x14ac:dyDescent="0.25">
      <c r="A905" s="3">
        <v>45623</v>
      </c>
      <c r="B905" s="4">
        <v>2024002670</v>
      </c>
      <c r="C905" s="4" t="s">
        <v>806</v>
      </c>
      <c r="D905" s="5">
        <v>4750000</v>
      </c>
      <c r="E905" s="4">
        <v>1085345772</v>
      </c>
      <c r="F905" s="4" t="s">
        <v>221</v>
      </c>
      <c r="G905" t="s">
        <v>565</v>
      </c>
    </row>
    <row r="906" spans="1:7" ht="14.25" customHeight="1" x14ac:dyDescent="0.25">
      <c r="A906" s="3">
        <v>45623</v>
      </c>
      <c r="B906" s="4">
        <v>2024002671</v>
      </c>
      <c r="C906" s="4" t="s">
        <v>807</v>
      </c>
      <c r="D906" s="5">
        <v>2500000</v>
      </c>
      <c r="E906" s="4">
        <v>37087268</v>
      </c>
      <c r="F906" s="4" t="s">
        <v>257</v>
      </c>
      <c r="G906" t="s">
        <v>565</v>
      </c>
    </row>
    <row r="907" spans="1:7" ht="14.25" customHeight="1" x14ac:dyDescent="0.25">
      <c r="A907" s="3">
        <v>45623</v>
      </c>
      <c r="B907" s="4">
        <v>2024002672</v>
      </c>
      <c r="C907" s="4" t="s">
        <v>808</v>
      </c>
      <c r="D907" s="5">
        <v>3000000</v>
      </c>
      <c r="E907" s="4">
        <v>1085330237</v>
      </c>
      <c r="F907" s="4" t="s">
        <v>255</v>
      </c>
      <c r="G907" t="s">
        <v>565</v>
      </c>
    </row>
    <row r="908" spans="1:7" ht="14.25" customHeight="1" x14ac:dyDescent="0.25">
      <c r="A908" s="3">
        <v>45624</v>
      </c>
      <c r="B908" s="4">
        <v>2024002692</v>
      </c>
      <c r="C908" s="4" t="s">
        <v>809</v>
      </c>
      <c r="D908" s="5">
        <v>2500000</v>
      </c>
      <c r="E908" s="4">
        <v>59830219</v>
      </c>
      <c r="F908" s="4" t="s">
        <v>281</v>
      </c>
      <c r="G908" t="s">
        <v>565</v>
      </c>
    </row>
    <row r="909" spans="1:7" ht="14.25" customHeight="1" x14ac:dyDescent="0.25">
      <c r="A909" s="3">
        <v>45624</v>
      </c>
      <c r="B909" s="4">
        <v>2024002693</v>
      </c>
      <c r="C909" s="4" t="s">
        <v>810</v>
      </c>
      <c r="D909" s="5">
        <v>4825000</v>
      </c>
      <c r="E909" s="4">
        <v>1085337969</v>
      </c>
      <c r="F909" s="4" t="s">
        <v>99</v>
      </c>
      <c r="G909" t="s">
        <v>565</v>
      </c>
    </row>
    <row r="910" spans="1:7" ht="14.25" customHeight="1" x14ac:dyDescent="0.25">
      <c r="A910" s="3">
        <v>45624</v>
      </c>
      <c r="B910" s="4">
        <v>2024002695</v>
      </c>
      <c r="C910" s="4" t="s">
        <v>811</v>
      </c>
      <c r="D910" s="5">
        <v>3000000</v>
      </c>
      <c r="E910" s="4">
        <v>1085296353</v>
      </c>
      <c r="F910" s="4" t="s">
        <v>187</v>
      </c>
      <c r="G910" t="s">
        <v>565</v>
      </c>
    </row>
    <row r="911" spans="1:7" ht="14.25" customHeight="1" x14ac:dyDescent="0.25">
      <c r="A911" s="3">
        <v>45624</v>
      </c>
      <c r="B911" s="4">
        <v>2024002696</v>
      </c>
      <c r="C911" s="4" t="s">
        <v>812</v>
      </c>
      <c r="D911" s="5">
        <v>4750000</v>
      </c>
      <c r="E911" s="4">
        <v>59816986</v>
      </c>
      <c r="F911" s="4" t="s">
        <v>415</v>
      </c>
      <c r="G911" t="s">
        <v>565</v>
      </c>
    </row>
    <row r="912" spans="1:7" ht="14.25" customHeight="1" x14ac:dyDescent="0.25">
      <c r="A912" s="3">
        <v>45624</v>
      </c>
      <c r="B912" s="4">
        <v>2024002697</v>
      </c>
      <c r="C912" s="4" t="s">
        <v>813</v>
      </c>
      <c r="D912" s="5">
        <v>2200000</v>
      </c>
      <c r="E912" s="4">
        <v>1131085780</v>
      </c>
      <c r="F912" s="4" t="s">
        <v>814</v>
      </c>
      <c r="G912" t="s">
        <v>565</v>
      </c>
    </row>
    <row r="913" spans="1:7" ht="14.25" customHeight="1" x14ac:dyDescent="0.25">
      <c r="A913" s="3">
        <v>45624</v>
      </c>
      <c r="B913" s="4">
        <v>2024002698</v>
      </c>
      <c r="C913" s="4" t="s">
        <v>815</v>
      </c>
      <c r="D913" s="5">
        <v>6000000</v>
      </c>
      <c r="E913" s="4">
        <v>59836926</v>
      </c>
      <c r="F913" s="4" t="s">
        <v>311</v>
      </c>
      <c r="G913" t="s">
        <v>565</v>
      </c>
    </row>
    <row r="914" spans="1:7" ht="14.25" customHeight="1" x14ac:dyDescent="0.25">
      <c r="A914" s="3">
        <v>45624</v>
      </c>
      <c r="B914" s="4">
        <v>2024002700</v>
      </c>
      <c r="C914" s="4" t="s">
        <v>816</v>
      </c>
      <c r="D914" s="5">
        <v>4750000</v>
      </c>
      <c r="E914" s="4">
        <v>87060703</v>
      </c>
      <c r="F914" s="4" t="s">
        <v>223</v>
      </c>
      <c r="G914" t="s">
        <v>565</v>
      </c>
    </row>
    <row r="915" spans="1:7" ht="14.25" customHeight="1" x14ac:dyDescent="0.25">
      <c r="A915" s="3">
        <v>45624</v>
      </c>
      <c r="B915" s="4">
        <v>2024002702</v>
      </c>
      <c r="C915" s="4" t="s">
        <v>817</v>
      </c>
      <c r="D915" s="5">
        <v>3000000</v>
      </c>
      <c r="E915" s="4">
        <v>1085252263</v>
      </c>
      <c r="F915" s="4" t="s">
        <v>33</v>
      </c>
      <c r="G915" t="s">
        <v>565</v>
      </c>
    </row>
    <row r="916" spans="1:7" ht="14.25" customHeight="1" x14ac:dyDescent="0.25">
      <c r="A916" s="3">
        <v>45624</v>
      </c>
      <c r="B916" s="4">
        <v>2024002704</v>
      </c>
      <c r="C916" s="4" t="s">
        <v>818</v>
      </c>
      <c r="D916" s="5">
        <v>3000000</v>
      </c>
      <c r="E916" s="4">
        <v>27082649</v>
      </c>
      <c r="F916" s="4" t="s">
        <v>595</v>
      </c>
      <c r="G916" t="s">
        <v>565</v>
      </c>
    </row>
    <row r="917" spans="1:7" ht="14.25" customHeight="1" x14ac:dyDescent="0.25">
      <c r="A917" s="3">
        <v>45624</v>
      </c>
      <c r="B917" s="4">
        <v>2024002705</v>
      </c>
      <c r="C917" s="4" t="s">
        <v>819</v>
      </c>
      <c r="D917" s="5">
        <v>4825000</v>
      </c>
      <c r="E917" s="4">
        <v>1081595485</v>
      </c>
      <c r="F917" s="4" t="s">
        <v>820</v>
      </c>
      <c r="G917" t="s">
        <v>565</v>
      </c>
    </row>
    <row r="918" spans="1:7" ht="14.25" customHeight="1" x14ac:dyDescent="0.25">
      <c r="A918" s="3">
        <v>45624</v>
      </c>
      <c r="B918" s="4">
        <v>2024002707</v>
      </c>
      <c r="C918" s="4" t="s">
        <v>821</v>
      </c>
      <c r="D918" s="5">
        <v>3000000</v>
      </c>
      <c r="E918" s="4">
        <v>1085255972</v>
      </c>
      <c r="F918" s="4" t="s">
        <v>147</v>
      </c>
      <c r="G918" t="s">
        <v>565</v>
      </c>
    </row>
    <row r="919" spans="1:7" ht="14.25" customHeight="1" x14ac:dyDescent="0.25">
      <c r="A919" s="3">
        <v>45624</v>
      </c>
      <c r="B919" s="4">
        <v>2024002708</v>
      </c>
      <c r="C919" s="4" t="s">
        <v>822</v>
      </c>
      <c r="D919" s="5">
        <v>3000000</v>
      </c>
      <c r="E919" s="4">
        <v>98382500</v>
      </c>
      <c r="F919" s="4" t="s">
        <v>183</v>
      </c>
      <c r="G919" t="s">
        <v>565</v>
      </c>
    </row>
    <row r="920" spans="1:7" ht="14.25" customHeight="1" x14ac:dyDescent="0.25">
      <c r="A920" s="3">
        <v>45624</v>
      </c>
      <c r="B920" s="4">
        <v>2024002709</v>
      </c>
      <c r="C920" s="4" t="s">
        <v>823</v>
      </c>
      <c r="D920" s="5">
        <v>4750000</v>
      </c>
      <c r="E920" s="4">
        <v>59312865</v>
      </c>
      <c r="F920" s="4" t="s">
        <v>127</v>
      </c>
      <c r="G920" t="s">
        <v>565</v>
      </c>
    </row>
    <row r="921" spans="1:7" ht="14.25" customHeight="1" x14ac:dyDescent="0.25">
      <c r="A921" s="3">
        <v>45624</v>
      </c>
      <c r="B921" s="4">
        <v>2024002710</v>
      </c>
      <c r="C921" s="4" t="s">
        <v>824</v>
      </c>
      <c r="D921" s="5">
        <v>4825000</v>
      </c>
      <c r="E921" s="4">
        <v>1085321943</v>
      </c>
      <c r="F921" s="4" t="s">
        <v>363</v>
      </c>
      <c r="G921" t="s">
        <v>565</v>
      </c>
    </row>
    <row r="922" spans="1:7" ht="14.25" customHeight="1" x14ac:dyDescent="0.25">
      <c r="A922" s="3">
        <v>45624</v>
      </c>
      <c r="B922" s="4">
        <v>2024002711</v>
      </c>
      <c r="C922" s="4" t="s">
        <v>825</v>
      </c>
      <c r="D922" s="5">
        <v>3000000</v>
      </c>
      <c r="E922" s="4">
        <v>1085313463</v>
      </c>
      <c r="F922" s="4" t="s">
        <v>331</v>
      </c>
      <c r="G922" t="s">
        <v>565</v>
      </c>
    </row>
    <row r="923" spans="1:7" ht="14.25" customHeight="1" x14ac:dyDescent="0.25">
      <c r="A923" s="3">
        <v>45624</v>
      </c>
      <c r="B923" s="4">
        <v>2024002713</v>
      </c>
      <c r="C923" s="4" t="s">
        <v>826</v>
      </c>
      <c r="D923" s="5">
        <v>2500000</v>
      </c>
      <c r="E923" s="4">
        <v>59311646</v>
      </c>
      <c r="F923" s="4" t="s">
        <v>373</v>
      </c>
      <c r="G923" t="s">
        <v>565</v>
      </c>
    </row>
    <row r="924" spans="1:7" ht="14.25" customHeight="1" x14ac:dyDescent="0.25">
      <c r="A924" s="3">
        <v>45624</v>
      </c>
      <c r="B924" s="4">
        <v>2024002714</v>
      </c>
      <c r="C924" s="4" t="s">
        <v>827</v>
      </c>
      <c r="D924" s="5">
        <v>6000000</v>
      </c>
      <c r="E924" s="4">
        <v>27097745</v>
      </c>
      <c r="F924" s="4" t="s">
        <v>828</v>
      </c>
      <c r="G924" t="s">
        <v>565</v>
      </c>
    </row>
    <row r="925" spans="1:7" ht="14.25" customHeight="1" x14ac:dyDescent="0.25">
      <c r="A925" s="3">
        <v>45624</v>
      </c>
      <c r="B925" s="4">
        <v>2024002715</v>
      </c>
      <c r="C925" s="4" t="s">
        <v>829</v>
      </c>
      <c r="D925" s="5">
        <v>3000000</v>
      </c>
      <c r="E925" s="4">
        <v>1085286742</v>
      </c>
      <c r="F925" s="4" t="s">
        <v>75</v>
      </c>
      <c r="G925" t="s">
        <v>565</v>
      </c>
    </row>
    <row r="926" spans="1:7" ht="14.25" customHeight="1" x14ac:dyDescent="0.25">
      <c r="A926" s="3">
        <v>45625</v>
      </c>
      <c r="B926" s="4">
        <v>2024002718</v>
      </c>
      <c r="C926" s="4" t="s">
        <v>830</v>
      </c>
      <c r="D926" s="5">
        <v>2500000</v>
      </c>
      <c r="E926" s="4">
        <v>1085289798</v>
      </c>
      <c r="F926" s="4" t="s">
        <v>375</v>
      </c>
      <c r="G926" t="s">
        <v>565</v>
      </c>
    </row>
    <row r="927" spans="1:7" ht="14.25" customHeight="1" x14ac:dyDescent="0.25">
      <c r="A927" s="3">
        <v>45625</v>
      </c>
      <c r="B927" s="4">
        <v>2024002719</v>
      </c>
      <c r="C927" s="4" t="s">
        <v>831</v>
      </c>
      <c r="D927" s="5">
        <v>3000000</v>
      </c>
      <c r="E927" s="4">
        <v>27087122</v>
      </c>
      <c r="F927" s="4" t="s">
        <v>37</v>
      </c>
      <c r="G927" t="s">
        <v>565</v>
      </c>
    </row>
    <row r="928" spans="1:7" ht="14.25" customHeight="1" x14ac:dyDescent="0.25">
      <c r="A928" s="3">
        <v>45625</v>
      </c>
      <c r="B928" s="4">
        <v>2024002720</v>
      </c>
      <c r="C928" s="4" t="s">
        <v>832</v>
      </c>
      <c r="D928" s="5">
        <v>3000000</v>
      </c>
      <c r="E928" s="4">
        <v>59311233</v>
      </c>
      <c r="F928" s="4" t="s">
        <v>833</v>
      </c>
      <c r="G928" t="s">
        <v>565</v>
      </c>
    </row>
    <row r="929" spans="1:7" ht="14.25" customHeight="1" x14ac:dyDescent="0.25">
      <c r="A929" s="3">
        <v>45625</v>
      </c>
      <c r="B929" s="4">
        <v>2024002721</v>
      </c>
      <c r="C929" s="4" t="s">
        <v>834</v>
      </c>
      <c r="D929" s="5">
        <v>7540000</v>
      </c>
      <c r="E929" s="4">
        <v>1085335767</v>
      </c>
      <c r="F929" s="4" t="s">
        <v>231</v>
      </c>
      <c r="G929" t="s">
        <v>565</v>
      </c>
    </row>
    <row r="930" spans="1:7" ht="14.25" customHeight="1" x14ac:dyDescent="0.25">
      <c r="A930" s="3">
        <v>45625</v>
      </c>
      <c r="B930" s="4">
        <v>2024002722</v>
      </c>
      <c r="C930" s="4" t="s">
        <v>835</v>
      </c>
      <c r="D930" s="5">
        <v>3000000</v>
      </c>
      <c r="E930" s="4">
        <v>1081276146</v>
      </c>
      <c r="F930" s="4" t="s">
        <v>836</v>
      </c>
      <c r="G930" t="s">
        <v>565</v>
      </c>
    </row>
    <row r="931" spans="1:7" ht="14.25" customHeight="1" x14ac:dyDescent="0.25">
      <c r="A931" s="3">
        <v>45625</v>
      </c>
      <c r="B931" s="4">
        <v>2024002723</v>
      </c>
      <c r="C931" s="4" t="s">
        <v>837</v>
      </c>
      <c r="D931" s="5">
        <v>2500000</v>
      </c>
      <c r="E931" s="4">
        <v>27309586</v>
      </c>
      <c r="F931" s="4" t="s">
        <v>345</v>
      </c>
      <c r="G931" t="s">
        <v>565</v>
      </c>
    </row>
    <row r="932" spans="1:7" ht="14.25" customHeight="1" x14ac:dyDescent="0.25">
      <c r="A932" s="3">
        <v>45625</v>
      </c>
      <c r="B932" s="4">
        <v>2024002724</v>
      </c>
      <c r="C932" s="4" t="s">
        <v>838</v>
      </c>
      <c r="D932" s="5">
        <v>3000000</v>
      </c>
      <c r="E932" s="4">
        <v>59310433</v>
      </c>
      <c r="F932" s="4" t="s">
        <v>839</v>
      </c>
      <c r="G932" t="s">
        <v>565</v>
      </c>
    </row>
    <row r="933" spans="1:7" ht="14.25" customHeight="1" x14ac:dyDescent="0.25">
      <c r="A933" s="3">
        <v>45625</v>
      </c>
      <c r="B933" s="4">
        <v>2024002725</v>
      </c>
      <c r="C933" s="4" t="s">
        <v>840</v>
      </c>
      <c r="D933" s="5">
        <v>3000000</v>
      </c>
      <c r="E933" s="4">
        <v>1233188273</v>
      </c>
      <c r="F933" s="4" t="s">
        <v>473</v>
      </c>
      <c r="G933" t="s">
        <v>565</v>
      </c>
    </row>
    <row r="934" spans="1:7" ht="14.25" customHeight="1" x14ac:dyDescent="0.25">
      <c r="A934" s="3">
        <v>45625</v>
      </c>
      <c r="B934" s="4">
        <v>2024002726</v>
      </c>
      <c r="C934" s="4" t="s">
        <v>841</v>
      </c>
      <c r="D934" s="5">
        <v>4825000</v>
      </c>
      <c r="E934" s="4">
        <v>1085265622</v>
      </c>
      <c r="F934" s="4" t="s">
        <v>460</v>
      </c>
      <c r="G934" t="s">
        <v>565</v>
      </c>
    </row>
    <row r="935" spans="1:7" ht="14.25" customHeight="1" x14ac:dyDescent="0.25">
      <c r="A935" s="3">
        <v>45625</v>
      </c>
      <c r="B935" s="4">
        <v>2024002727</v>
      </c>
      <c r="C935" s="4" t="s">
        <v>842</v>
      </c>
      <c r="D935" s="5">
        <v>3000000</v>
      </c>
      <c r="E935" s="4">
        <v>1010085543</v>
      </c>
      <c r="F935" s="4" t="s">
        <v>265</v>
      </c>
      <c r="G935" t="s">
        <v>565</v>
      </c>
    </row>
    <row r="936" spans="1:7" ht="14.25" customHeight="1" x14ac:dyDescent="0.25">
      <c r="A936" s="3">
        <v>45625</v>
      </c>
      <c r="B936" s="4">
        <v>2024002728</v>
      </c>
      <c r="C936" s="4" t="s">
        <v>843</v>
      </c>
      <c r="D936" s="5">
        <v>4825000</v>
      </c>
      <c r="E936" s="4">
        <v>1085321578</v>
      </c>
      <c r="F936" s="4" t="s">
        <v>275</v>
      </c>
      <c r="G936" t="s">
        <v>565</v>
      </c>
    </row>
    <row r="937" spans="1:7" ht="14.25" customHeight="1" x14ac:dyDescent="0.25">
      <c r="A937" s="3">
        <v>45625</v>
      </c>
      <c r="B937" s="4">
        <v>2024002729</v>
      </c>
      <c r="C937" s="4" t="s">
        <v>844</v>
      </c>
      <c r="D937" s="5">
        <v>6000000</v>
      </c>
      <c r="E937" s="4">
        <v>1085254153</v>
      </c>
      <c r="F937" s="4" t="s">
        <v>845</v>
      </c>
      <c r="G937" t="s">
        <v>565</v>
      </c>
    </row>
    <row r="938" spans="1:7" ht="14.25" customHeight="1" x14ac:dyDescent="0.25">
      <c r="A938" s="3">
        <v>45625</v>
      </c>
      <c r="B938" s="4">
        <v>2024002730</v>
      </c>
      <c r="C938" s="4" t="s">
        <v>846</v>
      </c>
      <c r="D938" s="5">
        <v>4825000</v>
      </c>
      <c r="E938" s="4">
        <v>1085269530</v>
      </c>
      <c r="F938" s="4" t="s">
        <v>333</v>
      </c>
      <c r="G938" t="s">
        <v>565</v>
      </c>
    </row>
    <row r="939" spans="1:7" ht="14.25" customHeight="1" x14ac:dyDescent="0.25">
      <c r="A939" s="3">
        <v>45625</v>
      </c>
      <c r="B939" s="4">
        <v>2024002731</v>
      </c>
      <c r="C939" s="4" t="s">
        <v>847</v>
      </c>
      <c r="D939" s="5">
        <v>2412500</v>
      </c>
      <c r="E939" s="4">
        <v>1085324891</v>
      </c>
      <c r="F939" s="4" t="s">
        <v>509</v>
      </c>
      <c r="G939" t="s">
        <v>565</v>
      </c>
    </row>
    <row r="940" spans="1:7" ht="14.25" customHeight="1" x14ac:dyDescent="0.25">
      <c r="A940" s="3">
        <v>45625</v>
      </c>
      <c r="B940" s="4">
        <v>2024002732</v>
      </c>
      <c r="C940" s="4" t="s">
        <v>848</v>
      </c>
      <c r="D940" s="5">
        <v>3000000</v>
      </c>
      <c r="E940" s="4">
        <v>1004299312</v>
      </c>
      <c r="F940" s="4" t="s">
        <v>849</v>
      </c>
      <c r="G940" t="s">
        <v>565</v>
      </c>
    </row>
    <row r="941" spans="1:7" ht="14.25" customHeight="1" x14ac:dyDescent="0.25">
      <c r="A941" s="3">
        <v>45625</v>
      </c>
      <c r="B941" s="4">
        <v>2024002733</v>
      </c>
      <c r="C941" s="4" t="s">
        <v>850</v>
      </c>
      <c r="D941" s="5">
        <v>3000000</v>
      </c>
      <c r="E941" s="4">
        <v>1004215136</v>
      </c>
      <c r="F941" s="4" t="s">
        <v>413</v>
      </c>
      <c r="G941" t="s">
        <v>565</v>
      </c>
    </row>
    <row r="942" spans="1:7" ht="14.25" customHeight="1" x14ac:dyDescent="0.25">
      <c r="A942" s="3">
        <v>45625</v>
      </c>
      <c r="B942" s="4">
        <v>2024002734</v>
      </c>
      <c r="C942" s="4" t="s">
        <v>851</v>
      </c>
      <c r="D942" s="5">
        <v>3000000</v>
      </c>
      <c r="E942" s="4">
        <v>1085344082</v>
      </c>
      <c r="F942" s="4" t="s">
        <v>291</v>
      </c>
      <c r="G942" t="s">
        <v>565</v>
      </c>
    </row>
    <row r="943" spans="1:7" ht="14.25" customHeight="1" x14ac:dyDescent="0.25">
      <c r="A943" s="3">
        <v>45625</v>
      </c>
      <c r="B943" s="4">
        <v>2024002735</v>
      </c>
      <c r="C943" s="4" t="s">
        <v>852</v>
      </c>
      <c r="D943" s="5">
        <v>2500000</v>
      </c>
      <c r="E943" s="4">
        <v>1085337465</v>
      </c>
      <c r="F943" s="4" t="s">
        <v>315</v>
      </c>
      <c r="G943" t="s">
        <v>565</v>
      </c>
    </row>
    <row r="944" spans="1:7" ht="14.25" customHeight="1" x14ac:dyDescent="0.25">
      <c r="A944" s="3">
        <v>45625</v>
      </c>
      <c r="B944" s="4">
        <v>2024002736</v>
      </c>
      <c r="C944" s="4" t="s">
        <v>853</v>
      </c>
      <c r="D944" s="5">
        <v>4825000</v>
      </c>
      <c r="E944" s="4">
        <v>1087643211</v>
      </c>
      <c r="F944" s="4" t="s">
        <v>131</v>
      </c>
      <c r="G944" t="s">
        <v>565</v>
      </c>
    </row>
    <row r="945" spans="1:7" ht="14.25" customHeight="1" x14ac:dyDescent="0.25">
      <c r="A945" s="3">
        <v>45625</v>
      </c>
      <c r="B945" s="4">
        <v>2024002737</v>
      </c>
      <c r="C945" s="4" t="s">
        <v>854</v>
      </c>
      <c r="D945" s="5">
        <v>3000000</v>
      </c>
      <c r="E945" s="4">
        <v>1085266584</v>
      </c>
      <c r="F945" s="4" t="s">
        <v>115</v>
      </c>
      <c r="G945" t="s">
        <v>565</v>
      </c>
    </row>
    <row r="946" spans="1:7" ht="14.25" customHeight="1" x14ac:dyDescent="0.25">
      <c r="A946" s="3">
        <v>45625</v>
      </c>
      <c r="B946" s="4">
        <v>2024002738</v>
      </c>
      <c r="C946" s="4" t="s">
        <v>855</v>
      </c>
      <c r="D946" s="5">
        <v>4750000</v>
      </c>
      <c r="E946" s="4">
        <v>1193383306</v>
      </c>
      <c r="F946" s="4" t="s">
        <v>267</v>
      </c>
      <c r="G946" t="s">
        <v>565</v>
      </c>
    </row>
    <row r="947" spans="1:7" ht="14.25" customHeight="1" x14ac:dyDescent="0.25">
      <c r="A947" s="3">
        <v>45625</v>
      </c>
      <c r="B947" s="4">
        <v>2024002739</v>
      </c>
      <c r="C947" s="4" t="s">
        <v>856</v>
      </c>
      <c r="D947" s="5">
        <v>2500000</v>
      </c>
      <c r="E947" s="4">
        <v>1086016308</v>
      </c>
      <c r="F947" s="4" t="s">
        <v>305</v>
      </c>
      <c r="G947" t="s">
        <v>565</v>
      </c>
    </row>
    <row r="948" spans="1:7" ht="14.25" customHeight="1" x14ac:dyDescent="0.25">
      <c r="A948" s="3">
        <v>45625</v>
      </c>
      <c r="B948" s="4">
        <v>2024002740</v>
      </c>
      <c r="C948" s="4" t="s">
        <v>857</v>
      </c>
      <c r="D948" s="5">
        <v>1250000</v>
      </c>
      <c r="E948" s="4">
        <v>37082480</v>
      </c>
      <c r="F948" s="4" t="s">
        <v>858</v>
      </c>
      <c r="G948" t="s">
        <v>565</v>
      </c>
    </row>
    <row r="949" spans="1:7" ht="14.25" customHeight="1" x14ac:dyDescent="0.25">
      <c r="A949" s="3">
        <v>45625</v>
      </c>
      <c r="B949" s="4">
        <v>2024002741</v>
      </c>
      <c r="C949" s="4" t="s">
        <v>859</v>
      </c>
      <c r="D949" s="5">
        <v>3000000</v>
      </c>
      <c r="E949" s="4">
        <v>1014857280</v>
      </c>
      <c r="F949" s="4" t="s">
        <v>233</v>
      </c>
      <c r="G949" t="s">
        <v>565</v>
      </c>
    </row>
    <row r="950" spans="1:7" ht="14.25" customHeight="1" x14ac:dyDescent="0.25">
      <c r="A950" s="3">
        <v>45625</v>
      </c>
      <c r="B950" s="4">
        <v>2024002742</v>
      </c>
      <c r="C950" s="4" t="s">
        <v>860</v>
      </c>
      <c r="D950" s="5">
        <v>6000000</v>
      </c>
      <c r="E950" s="4">
        <v>1085337232</v>
      </c>
      <c r="F950" s="4" t="s">
        <v>89</v>
      </c>
      <c r="G950" t="s">
        <v>565</v>
      </c>
    </row>
    <row r="951" spans="1:7" ht="14.25" customHeight="1" x14ac:dyDescent="0.25">
      <c r="A951" s="3">
        <v>45625</v>
      </c>
      <c r="B951" s="4">
        <v>2024002743</v>
      </c>
      <c r="C951" s="4" t="s">
        <v>861</v>
      </c>
      <c r="D951" s="5">
        <v>3000000</v>
      </c>
      <c r="E951" s="4">
        <v>1193271854</v>
      </c>
      <c r="F951" s="4" t="s">
        <v>229</v>
      </c>
      <c r="G951" t="s">
        <v>565</v>
      </c>
    </row>
    <row r="952" spans="1:7" ht="14.25" customHeight="1" x14ac:dyDescent="0.25">
      <c r="A952" s="3">
        <v>45625</v>
      </c>
      <c r="B952" s="4">
        <v>2024002744</v>
      </c>
      <c r="C952" s="4" t="s">
        <v>862</v>
      </c>
      <c r="D952" s="5">
        <v>3000000</v>
      </c>
      <c r="E952" s="4">
        <v>1085300095</v>
      </c>
      <c r="F952" s="4" t="s">
        <v>201</v>
      </c>
      <c r="G952" t="s">
        <v>565</v>
      </c>
    </row>
    <row r="953" spans="1:7" ht="14.25" customHeight="1" x14ac:dyDescent="0.25">
      <c r="A953" s="3">
        <v>45625</v>
      </c>
      <c r="B953" s="4">
        <v>2024002745</v>
      </c>
      <c r="C953" s="4" t="s">
        <v>863</v>
      </c>
      <c r="D953" s="5">
        <v>7540000</v>
      </c>
      <c r="E953" s="4">
        <v>1085255870</v>
      </c>
      <c r="F953" s="4" t="s">
        <v>864</v>
      </c>
      <c r="G953" t="s">
        <v>565</v>
      </c>
    </row>
    <row r="954" spans="1:7" ht="14.25" customHeight="1" x14ac:dyDescent="0.25">
      <c r="A954" s="3">
        <v>45625</v>
      </c>
      <c r="B954" s="4">
        <v>2024002746</v>
      </c>
      <c r="C954" s="4" t="s">
        <v>865</v>
      </c>
      <c r="D954" s="5">
        <v>1250000</v>
      </c>
      <c r="E954" s="4">
        <v>1085281545</v>
      </c>
      <c r="F954" s="4" t="s">
        <v>866</v>
      </c>
      <c r="G954" t="s">
        <v>565</v>
      </c>
    </row>
    <row r="955" spans="1:7" ht="14.25" customHeight="1" x14ac:dyDescent="0.25">
      <c r="A955" s="3">
        <v>45625</v>
      </c>
      <c r="B955" s="4">
        <v>2024002747</v>
      </c>
      <c r="C955" s="4" t="s">
        <v>867</v>
      </c>
      <c r="D955" s="5">
        <v>4825000</v>
      </c>
      <c r="E955" s="4">
        <v>1085291221</v>
      </c>
      <c r="F955" s="4" t="s">
        <v>93</v>
      </c>
      <c r="G955" t="s">
        <v>565</v>
      </c>
    </row>
    <row r="956" spans="1:7" ht="14.25" customHeight="1" x14ac:dyDescent="0.25">
      <c r="A956" s="3">
        <v>45625</v>
      </c>
      <c r="B956" s="4">
        <v>2024002748</v>
      </c>
      <c r="C956" s="4" t="s">
        <v>868</v>
      </c>
      <c r="D956" s="5">
        <v>4825000</v>
      </c>
      <c r="E956" s="4">
        <v>30733517</v>
      </c>
      <c r="F956" s="4" t="s">
        <v>53</v>
      </c>
      <c r="G956" t="s">
        <v>565</v>
      </c>
    </row>
    <row r="957" spans="1:7" ht="14.25" customHeight="1" x14ac:dyDescent="0.25">
      <c r="A957" s="3">
        <v>45625</v>
      </c>
      <c r="B957" s="4">
        <v>2024002749</v>
      </c>
      <c r="C957" s="4" t="s">
        <v>869</v>
      </c>
      <c r="D957" s="5">
        <v>3000000</v>
      </c>
      <c r="E957" s="4">
        <v>1004410201</v>
      </c>
      <c r="F957" s="4" t="s">
        <v>403</v>
      </c>
      <c r="G957" t="s">
        <v>565</v>
      </c>
    </row>
    <row r="958" spans="1:7" ht="14.25" customHeight="1" x14ac:dyDescent="0.25">
      <c r="A958" s="3">
        <v>45625</v>
      </c>
      <c r="B958" s="4">
        <v>2024002750</v>
      </c>
      <c r="C958" s="4" t="s">
        <v>870</v>
      </c>
      <c r="D958" s="5">
        <v>2500000</v>
      </c>
      <c r="E958" s="4">
        <v>1081273343</v>
      </c>
      <c r="F958" s="4" t="s">
        <v>339</v>
      </c>
      <c r="G958" t="s">
        <v>565</v>
      </c>
    </row>
    <row r="959" spans="1:7" ht="14.25" customHeight="1" x14ac:dyDescent="0.25">
      <c r="A959" s="3">
        <v>45629</v>
      </c>
      <c r="B959" s="4">
        <v>2024002757</v>
      </c>
      <c r="C959" s="4" t="s">
        <v>871</v>
      </c>
      <c r="D959" s="5">
        <v>7540000</v>
      </c>
      <c r="E959" s="4">
        <v>12961407</v>
      </c>
      <c r="F959" s="4" t="s">
        <v>309</v>
      </c>
      <c r="G959" t="s">
        <v>565</v>
      </c>
    </row>
    <row r="960" spans="1:7" ht="14.25" customHeight="1" x14ac:dyDescent="0.25">
      <c r="A960" s="3">
        <v>45629</v>
      </c>
      <c r="B960" s="4">
        <v>2024002758</v>
      </c>
      <c r="C960" s="4" t="s">
        <v>872</v>
      </c>
      <c r="D960" s="5">
        <v>3000000</v>
      </c>
      <c r="E960" s="4">
        <v>1085250095</v>
      </c>
      <c r="F960" s="4" t="s">
        <v>179</v>
      </c>
      <c r="G960" t="s">
        <v>565</v>
      </c>
    </row>
    <row r="961" spans="1:7" ht="14.25" customHeight="1" x14ac:dyDescent="0.25">
      <c r="A961" s="3">
        <v>45629</v>
      </c>
      <c r="B961" s="4">
        <v>2024002759</v>
      </c>
      <c r="C961" s="4" t="s">
        <v>873</v>
      </c>
      <c r="D961" s="5">
        <v>4750000</v>
      </c>
      <c r="E961" s="4">
        <v>1085318201</v>
      </c>
      <c r="F961" s="4" t="s">
        <v>235</v>
      </c>
      <c r="G961" t="s">
        <v>565</v>
      </c>
    </row>
    <row r="962" spans="1:7" ht="14.25" customHeight="1" x14ac:dyDescent="0.25">
      <c r="A962" s="3">
        <v>45629</v>
      </c>
      <c r="B962" s="4">
        <v>2024002760</v>
      </c>
      <c r="C962" s="4" t="s">
        <v>874</v>
      </c>
      <c r="D962" s="5">
        <v>800000</v>
      </c>
      <c r="E962" s="4">
        <v>27088197</v>
      </c>
      <c r="F962" s="4" t="s">
        <v>875</v>
      </c>
      <c r="G962" t="s">
        <v>565</v>
      </c>
    </row>
    <row r="963" spans="1:7" ht="14.25" customHeight="1" x14ac:dyDescent="0.25">
      <c r="A963" s="3">
        <v>45629</v>
      </c>
      <c r="B963" s="4">
        <v>2024002761</v>
      </c>
      <c r="C963" s="4" t="s">
        <v>876</v>
      </c>
      <c r="D963" s="5">
        <v>4825000</v>
      </c>
      <c r="E963" s="4">
        <v>59314451</v>
      </c>
      <c r="F963" s="4" t="s">
        <v>141</v>
      </c>
      <c r="G963" t="s">
        <v>565</v>
      </c>
    </row>
    <row r="964" spans="1:7" ht="14.25" customHeight="1" x14ac:dyDescent="0.25">
      <c r="A964" s="3">
        <v>45629</v>
      </c>
      <c r="B964" s="4">
        <v>2024002777</v>
      </c>
      <c r="C964" s="4" t="s">
        <v>877</v>
      </c>
      <c r="D964" s="5">
        <v>3000000</v>
      </c>
      <c r="E964" s="4">
        <v>87070661</v>
      </c>
      <c r="F964" s="4" t="s">
        <v>185</v>
      </c>
      <c r="G964" t="s">
        <v>565</v>
      </c>
    </row>
    <row r="965" spans="1:7" ht="14.25" customHeight="1" x14ac:dyDescent="0.25">
      <c r="A965" s="3">
        <v>45629</v>
      </c>
      <c r="B965" s="4">
        <v>2024002778</v>
      </c>
      <c r="C965" s="4" t="s">
        <v>878</v>
      </c>
      <c r="D965" s="5">
        <v>3000000</v>
      </c>
      <c r="E965" s="4">
        <v>1085338575</v>
      </c>
      <c r="F965" s="4" t="s">
        <v>227</v>
      </c>
      <c r="G965" t="s">
        <v>565</v>
      </c>
    </row>
    <row r="966" spans="1:7" ht="14.25" customHeight="1" x14ac:dyDescent="0.25">
      <c r="A966" s="3">
        <v>45629</v>
      </c>
      <c r="B966" s="4">
        <v>2024002779</v>
      </c>
      <c r="C966" s="4" t="s">
        <v>879</v>
      </c>
      <c r="D966" s="5">
        <v>2500000</v>
      </c>
      <c r="E966" s="4">
        <v>30737741</v>
      </c>
      <c r="F966" s="4" t="s">
        <v>199</v>
      </c>
      <c r="G966" t="s">
        <v>565</v>
      </c>
    </row>
    <row r="967" spans="1:7" ht="14.25" customHeight="1" x14ac:dyDescent="0.25">
      <c r="A967" s="3">
        <v>45629</v>
      </c>
      <c r="B967" s="4">
        <v>2024002780</v>
      </c>
      <c r="C967" s="4" t="s">
        <v>880</v>
      </c>
      <c r="D967" s="5">
        <v>3000000</v>
      </c>
      <c r="E967" s="4">
        <v>1085323101</v>
      </c>
      <c r="F967" s="4" t="s">
        <v>73</v>
      </c>
      <c r="G967" t="s">
        <v>565</v>
      </c>
    </row>
    <row r="968" spans="1:7" ht="14.25" customHeight="1" x14ac:dyDescent="0.25">
      <c r="A968" s="3">
        <v>45629</v>
      </c>
      <c r="B968" s="4">
        <v>2024002781</v>
      </c>
      <c r="C968" s="4" t="s">
        <v>881</v>
      </c>
      <c r="D968" s="5">
        <v>4750000</v>
      </c>
      <c r="E968" s="4">
        <v>1085318684</v>
      </c>
      <c r="F968" s="4" t="s">
        <v>355</v>
      </c>
      <c r="G968" t="s">
        <v>565</v>
      </c>
    </row>
    <row r="969" spans="1:7" ht="14.25" customHeight="1" x14ac:dyDescent="0.25">
      <c r="A969" s="3">
        <v>45629</v>
      </c>
      <c r="B969" s="4">
        <v>2024002782</v>
      </c>
      <c r="C969" s="4" t="s">
        <v>882</v>
      </c>
      <c r="D969" s="5">
        <v>3000000</v>
      </c>
      <c r="E969" s="4">
        <v>5930737</v>
      </c>
      <c r="F969" s="4" t="s">
        <v>213</v>
      </c>
      <c r="G969" t="s">
        <v>565</v>
      </c>
    </row>
    <row r="970" spans="1:7" ht="14.25" customHeight="1" x14ac:dyDescent="0.25">
      <c r="A970" s="3">
        <v>45629</v>
      </c>
      <c r="B970" s="4">
        <v>2024002783</v>
      </c>
      <c r="C970" s="4" t="s">
        <v>883</v>
      </c>
      <c r="D970" s="5">
        <v>3000000</v>
      </c>
      <c r="E970" s="4">
        <v>37083086</v>
      </c>
      <c r="F970" s="4" t="s">
        <v>884</v>
      </c>
      <c r="G970" t="s">
        <v>565</v>
      </c>
    </row>
    <row r="971" spans="1:7" ht="14.25" customHeight="1" x14ac:dyDescent="0.25">
      <c r="A971" s="3">
        <v>45629</v>
      </c>
      <c r="B971" s="4">
        <v>2024002784</v>
      </c>
      <c r="C971" s="4" t="s">
        <v>885</v>
      </c>
      <c r="D971" s="5">
        <v>3000000</v>
      </c>
      <c r="E971" s="4">
        <v>1084224968</v>
      </c>
      <c r="F971" s="4" t="s">
        <v>886</v>
      </c>
      <c r="G971" t="s">
        <v>565</v>
      </c>
    </row>
    <row r="972" spans="1:7" ht="14.25" customHeight="1" x14ac:dyDescent="0.25">
      <c r="A972" s="3">
        <v>45629</v>
      </c>
      <c r="B972" s="4">
        <v>2024002785</v>
      </c>
      <c r="C972" s="4" t="s">
        <v>887</v>
      </c>
      <c r="D972" s="5">
        <v>3000000</v>
      </c>
      <c r="E972" s="4">
        <v>1004234290</v>
      </c>
      <c r="F972" s="4" t="s">
        <v>237</v>
      </c>
      <c r="G972" t="s">
        <v>565</v>
      </c>
    </row>
    <row r="973" spans="1:7" ht="14.25" customHeight="1" x14ac:dyDescent="0.25">
      <c r="A973" s="3">
        <v>45629</v>
      </c>
      <c r="B973" s="4">
        <v>2024002786</v>
      </c>
      <c r="C973" s="4" t="s">
        <v>888</v>
      </c>
      <c r="D973" s="5">
        <v>3770000</v>
      </c>
      <c r="E973" s="4">
        <v>1233193882</v>
      </c>
      <c r="F973" s="4" t="s">
        <v>889</v>
      </c>
      <c r="G973" t="s">
        <v>565</v>
      </c>
    </row>
    <row r="974" spans="1:7" ht="14.25" customHeight="1" x14ac:dyDescent="0.25">
      <c r="A974" s="3">
        <v>45629</v>
      </c>
      <c r="B974" s="4">
        <v>2024002787</v>
      </c>
      <c r="C974" s="4" t="s">
        <v>890</v>
      </c>
      <c r="D974" s="5">
        <v>3000000</v>
      </c>
      <c r="E974" s="4">
        <v>1085277516</v>
      </c>
      <c r="F974" s="4" t="s">
        <v>891</v>
      </c>
      <c r="G974" t="s">
        <v>565</v>
      </c>
    </row>
    <row r="975" spans="1:7" ht="14.25" customHeight="1" x14ac:dyDescent="0.25">
      <c r="A975" s="3">
        <v>45629</v>
      </c>
      <c r="B975" s="4">
        <v>2024002788</v>
      </c>
      <c r="C975" s="4" t="s">
        <v>892</v>
      </c>
      <c r="D975" s="5">
        <v>3000000</v>
      </c>
      <c r="E975" s="4">
        <v>13070330</v>
      </c>
      <c r="F975" s="4" t="s">
        <v>101</v>
      </c>
      <c r="G975" t="s">
        <v>565</v>
      </c>
    </row>
    <row r="976" spans="1:7" ht="14.25" customHeight="1" x14ac:dyDescent="0.25">
      <c r="A976" s="3">
        <v>45629</v>
      </c>
      <c r="B976" s="4">
        <v>2024002789</v>
      </c>
      <c r="C976" s="4" t="s">
        <v>893</v>
      </c>
      <c r="D976" s="5">
        <v>6000000</v>
      </c>
      <c r="E976" s="4">
        <v>97470681</v>
      </c>
      <c r="F976" s="4" t="s">
        <v>329</v>
      </c>
      <c r="G976" t="s">
        <v>565</v>
      </c>
    </row>
    <row r="977" spans="1:7" ht="14.25" customHeight="1" x14ac:dyDescent="0.25">
      <c r="A977" s="3">
        <v>45629</v>
      </c>
      <c r="B977" s="4">
        <v>2024002790</v>
      </c>
      <c r="C977" s="4" t="s">
        <v>894</v>
      </c>
      <c r="D977" s="5">
        <v>6000000</v>
      </c>
      <c r="E977" s="4">
        <v>1085272491</v>
      </c>
      <c r="F977" s="4" t="s">
        <v>895</v>
      </c>
      <c r="G977" t="s">
        <v>565</v>
      </c>
    </row>
    <row r="978" spans="1:7" ht="14.25" customHeight="1" x14ac:dyDescent="0.25">
      <c r="A978" s="3">
        <v>45630</v>
      </c>
      <c r="B978" s="4">
        <v>2024002795</v>
      </c>
      <c r="C978" s="4" t="s">
        <v>896</v>
      </c>
      <c r="D978" s="5">
        <v>4825000</v>
      </c>
      <c r="E978" s="4">
        <v>59310622</v>
      </c>
      <c r="F978" s="4" t="s">
        <v>897</v>
      </c>
      <c r="G978" t="s">
        <v>565</v>
      </c>
    </row>
    <row r="979" spans="1:7" ht="14.25" customHeight="1" x14ac:dyDescent="0.25">
      <c r="A979" s="3">
        <v>45630</v>
      </c>
      <c r="B979" s="4">
        <v>2024002796</v>
      </c>
      <c r="C979" s="4" t="s">
        <v>898</v>
      </c>
      <c r="D979" s="5">
        <v>4750000</v>
      </c>
      <c r="E979" s="4">
        <v>1085325342</v>
      </c>
      <c r="F979" s="4" t="s">
        <v>23</v>
      </c>
      <c r="G979" t="s">
        <v>565</v>
      </c>
    </row>
    <row r="980" spans="1:7" ht="14.25" customHeight="1" x14ac:dyDescent="0.25">
      <c r="A980" s="3">
        <v>45630</v>
      </c>
      <c r="B980" s="4">
        <v>2024002797</v>
      </c>
      <c r="C980" s="4" t="s">
        <v>899</v>
      </c>
      <c r="D980" s="5">
        <v>4750000</v>
      </c>
      <c r="E980" s="4">
        <v>36950073</v>
      </c>
      <c r="F980" s="4" t="s">
        <v>900</v>
      </c>
      <c r="G980" t="s">
        <v>565</v>
      </c>
    </row>
    <row r="981" spans="1:7" ht="14.25" customHeight="1" x14ac:dyDescent="0.25">
      <c r="A981" s="3">
        <v>45630</v>
      </c>
      <c r="B981" s="4">
        <v>2024002798</v>
      </c>
      <c r="C981" s="4" t="s">
        <v>901</v>
      </c>
      <c r="D981" s="5">
        <v>1500000</v>
      </c>
      <c r="E981" s="4">
        <v>1004235479</v>
      </c>
      <c r="F981" s="4" t="s">
        <v>477</v>
      </c>
      <c r="G981" t="s">
        <v>565</v>
      </c>
    </row>
    <row r="982" spans="1:7" ht="14.25" customHeight="1" x14ac:dyDescent="0.25">
      <c r="A982" s="3">
        <v>45630</v>
      </c>
      <c r="B982" s="4">
        <v>2024002799</v>
      </c>
      <c r="C982" s="4" t="s">
        <v>902</v>
      </c>
      <c r="D982" s="5">
        <v>3000000</v>
      </c>
      <c r="E982" s="4">
        <v>1080043348</v>
      </c>
      <c r="F982" s="4" t="s">
        <v>903</v>
      </c>
      <c r="G982" t="s">
        <v>565</v>
      </c>
    </row>
    <row r="983" spans="1:7" ht="14.25" customHeight="1" x14ac:dyDescent="0.25">
      <c r="A983" s="3">
        <v>45630</v>
      </c>
      <c r="B983" s="4">
        <v>2024002800</v>
      </c>
      <c r="C983" s="4" t="s">
        <v>904</v>
      </c>
      <c r="D983" s="5">
        <v>3000000</v>
      </c>
      <c r="E983" s="4">
        <v>1193224810</v>
      </c>
      <c r="F983" s="4" t="s">
        <v>409</v>
      </c>
      <c r="G983" t="s">
        <v>565</v>
      </c>
    </row>
    <row r="984" spans="1:7" ht="14.25" customHeight="1" x14ac:dyDescent="0.25">
      <c r="A984" s="3">
        <v>45630</v>
      </c>
      <c r="B984" s="4">
        <v>2024002801</v>
      </c>
      <c r="C984" s="4" t="s">
        <v>905</v>
      </c>
      <c r="D984" s="5">
        <v>3000000</v>
      </c>
      <c r="E984" s="4">
        <v>1085302942</v>
      </c>
      <c r="F984" s="4" t="s">
        <v>417</v>
      </c>
      <c r="G984" t="s">
        <v>565</v>
      </c>
    </row>
    <row r="985" spans="1:7" ht="14.25" customHeight="1" x14ac:dyDescent="0.25">
      <c r="A985" s="3">
        <v>45630</v>
      </c>
      <c r="B985" s="4">
        <v>2024002802</v>
      </c>
      <c r="C985" s="4" t="s">
        <v>906</v>
      </c>
      <c r="D985" s="5">
        <v>1500000</v>
      </c>
      <c r="E985" s="4">
        <v>1004216993</v>
      </c>
      <c r="F985" s="4" t="s">
        <v>511</v>
      </c>
      <c r="G985" t="s">
        <v>565</v>
      </c>
    </row>
    <row r="986" spans="1:7" ht="14.25" customHeight="1" x14ac:dyDescent="0.25">
      <c r="A986" s="3">
        <v>45630</v>
      </c>
      <c r="B986" s="4">
        <v>2024002803</v>
      </c>
      <c r="C986" s="4" t="s">
        <v>907</v>
      </c>
      <c r="D986" s="5">
        <v>3000000</v>
      </c>
      <c r="E986" s="4">
        <v>1004131723</v>
      </c>
      <c r="F986" s="4" t="s">
        <v>908</v>
      </c>
      <c r="G986" t="s">
        <v>565</v>
      </c>
    </row>
    <row r="987" spans="1:7" ht="14.25" customHeight="1" x14ac:dyDescent="0.25">
      <c r="A987" s="3">
        <v>45630</v>
      </c>
      <c r="B987" s="4">
        <v>2024002804</v>
      </c>
      <c r="C987" s="4" t="s">
        <v>909</v>
      </c>
      <c r="D987" s="5">
        <v>7540000</v>
      </c>
      <c r="E987" s="4">
        <v>1085312978</v>
      </c>
      <c r="F987" s="4" t="s">
        <v>910</v>
      </c>
      <c r="G987" t="s">
        <v>565</v>
      </c>
    </row>
    <row r="988" spans="1:7" ht="14.25" customHeight="1" x14ac:dyDescent="0.25">
      <c r="A988" s="3">
        <v>45630</v>
      </c>
      <c r="B988" s="4">
        <v>2024002805</v>
      </c>
      <c r="C988" s="4" t="s">
        <v>911</v>
      </c>
      <c r="D988" s="5">
        <v>2500000</v>
      </c>
      <c r="E988" s="4">
        <v>13072447</v>
      </c>
      <c r="F988" s="4" t="s">
        <v>205</v>
      </c>
      <c r="G988" t="s">
        <v>565</v>
      </c>
    </row>
    <row r="989" spans="1:7" ht="14.25" customHeight="1" x14ac:dyDescent="0.25">
      <c r="A989" s="3">
        <v>45630</v>
      </c>
      <c r="B989" s="4">
        <v>2024002806</v>
      </c>
      <c r="C989" s="4" t="s">
        <v>912</v>
      </c>
      <c r="D989" s="5">
        <v>2500000</v>
      </c>
      <c r="E989" s="4">
        <v>1085338135</v>
      </c>
      <c r="F989" s="4" t="s">
        <v>369</v>
      </c>
      <c r="G989" t="s">
        <v>565</v>
      </c>
    </row>
    <row r="990" spans="1:7" ht="14.25" customHeight="1" x14ac:dyDescent="0.25">
      <c r="A990" s="3">
        <v>45630</v>
      </c>
      <c r="B990" s="4">
        <v>2024002807</v>
      </c>
      <c r="C990" s="4" t="s">
        <v>913</v>
      </c>
      <c r="D990" s="5">
        <v>4750000</v>
      </c>
      <c r="E990" s="4">
        <v>36953206</v>
      </c>
      <c r="F990" s="4" t="s">
        <v>391</v>
      </c>
      <c r="G990" t="s">
        <v>565</v>
      </c>
    </row>
    <row r="991" spans="1:7" ht="14.25" customHeight="1" x14ac:dyDescent="0.25">
      <c r="A991" s="3">
        <v>45630</v>
      </c>
      <c r="B991" s="4">
        <v>2024002810</v>
      </c>
      <c r="C991" s="4" t="s">
        <v>609</v>
      </c>
      <c r="D991" s="5">
        <v>6000000</v>
      </c>
      <c r="E991" s="4">
        <v>1085275879</v>
      </c>
      <c r="F991" s="4" t="s">
        <v>117</v>
      </c>
      <c r="G991" t="s">
        <v>565</v>
      </c>
    </row>
    <row r="992" spans="1:7" ht="14.25" customHeight="1" x14ac:dyDescent="0.25">
      <c r="A992" s="3">
        <v>45631</v>
      </c>
      <c r="B992" s="4">
        <v>2024002815</v>
      </c>
      <c r="C992" s="4" t="s">
        <v>914</v>
      </c>
      <c r="D992" s="5">
        <v>4750000</v>
      </c>
      <c r="E992" s="4">
        <v>1018492767</v>
      </c>
      <c r="F992" s="4" t="s">
        <v>915</v>
      </c>
      <c r="G992" t="s">
        <v>565</v>
      </c>
    </row>
    <row r="993" spans="1:7" ht="14.25" customHeight="1" x14ac:dyDescent="0.25">
      <c r="A993" s="3">
        <v>45631</v>
      </c>
      <c r="B993" s="4">
        <v>2024002821</v>
      </c>
      <c r="C993" s="4" t="s">
        <v>916</v>
      </c>
      <c r="D993" s="5">
        <v>3000000</v>
      </c>
      <c r="E993" s="4">
        <v>30743783</v>
      </c>
      <c r="F993" s="4" t="s">
        <v>504</v>
      </c>
      <c r="G993" t="s">
        <v>565</v>
      </c>
    </row>
    <row r="994" spans="1:7" ht="14.25" customHeight="1" x14ac:dyDescent="0.25">
      <c r="A994" s="3">
        <v>45631</v>
      </c>
      <c r="B994" s="4">
        <v>2024002822</v>
      </c>
      <c r="C994" s="4" t="s">
        <v>917</v>
      </c>
      <c r="D994" s="5">
        <v>7540000</v>
      </c>
      <c r="E994" s="4">
        <v>87940284</v>
      </c>
      <c r="F994" s="4" t="s">
        <v>918</v>
      </c>
      <c r="G994" t="s">
        <v>565</v>
      </c>
    </row>
    <row r="995" spans="1:7" ht="14.25" customHeight="1" x14ac:dyDescent="0.25">
      <c r="A995" s="3">
        <v>45631</v>
      </c>
      <c r="B995" s="4">
        <v>2024002823</v>
      </c>
      <c r="C995" s="4" t="s">
        <v>919</v>
      </c>
      <c r="D995" s="5">
        <v>3000000</v>
      </c>
      <c r="E995" s="4">
        <v>1085260568</v>
      </c>
      <c r="F995" s="4" t="s">
        <v>419</v>
      </c>
      <c r="G995" t="s">
        <v>565</v>
      </c>
    </row>
    <row r="996" spans="1:7" ht="14.25" customHeight="1" x14ac:dyDescent="0.25">
      <c r="A996" s="3">
        <v>45631</v>
      </c>
      <c r="B996" s="4">
        <v>2024002824</v>
      </c>
      <c r="C996" s="4" t="s">
        <v>920</v>
      </c>
      <c r="D996" s="5">
        <v>7540000</v>
      </c>
      <c r="E996" s="4">
        <v>1085300619</v>
      </c>
      <c r="F996" s="4" t="s">
        <v>921</v>
      </c>
      <c r="G996" t="s">
        <v>565</v>
      </c>
    </row>
    <row r="997" spans="1:7" ht="15" customHeight="1" x14ac:dyDescent="0.25">
      <c r="A997" s="3">
        <v>45631</v>
      </c>
      <c r="B997" s="4">
        <v>2024002825</v>
      </c>
      <c r="C997" s="4" t="s">
        <v>922</v>
      </c>
      <c r="D997" s="5">
        <v>3000000</v>
      </c>
      <c r="E997" s="4">
        <v>1193218691</v>
      </c>
      <c r="F997" s="4" t="s">
        <v>191</v>
      </c>
      <c r="G997" t="s">
        <v>565</v>
      </c>
    </row>
    <row r="998" spans="1:7" ht="15" customHeight="1" x14ac:dyDescent="0.25">
      <c r="A998" s="3">
        <v>45631</v>
      </c>
      <c r="B998" s="4">
        <v>2024002826</v>
      </c>
      <c r="C998" s="4" t="s">
        <v>923</v>
      </c>
      <c r="D998" s="5">
        <v>3000000</v>
      </c>
      <c r="E998" s="4">
        <v>1085310350</v>
      </c>
      <c r="F998" s="4" t="s">
        <v>924</v>
      </c>
      <c r="G998" t="s">
        <v>565</v>
      </c>
    </row>
    <row r="999" spans="1:7" ht="15" customHeight="1" x14ac:dyDescent="0.25">
      <c r="A999" s="3">
        <v>45631</v>
      </c>
      <c r="B999" s="4">
        <v>2024002827</v>
      </c>
      <c r="C999" s="4" t="s">
        <v>925</v>
      </c>
      <c r="D999" s="5">
        <v>2412500</v>
      </c>
      <c r="E999" s="4">
        <v>1004508471</v>
      </c>
      <c r="F999" s="4" t="s">
        <v>926</v>
      </c>
      <c r="G999" t="s">
        <v>565</v>
      </c>
    </row>
    <row r="1000" spans="1:7" ht="15" customHeight="1" x14ac:dyDescent="0.25">
      <c r="A1000" s="3">
        <v>45631</v>
      </c>
      <c r="B1000" s="4">
        <v>2024002828</v>
      </c>
      <c r="C1000" s="4" t="s">
        <v>927</v>
      </c>
      <c r="D1000" s="5">
        <v>4750000</v>
      </c>
      <c r="E1000" s="4">
        <v>1086332188</v>
      </c>
      <c r="F1000" s="4" t="s">
        <v>928</v>
      </c>
      <c r="G1000" t="s">
        <v>565</v>
      </c>
    </row>
    <row r="1001" spans="1:7" ht="15" customHeight="1" x14ac:dyDescent="0.25">
      <c r="A1001" s="3">
        <v>45631</v>
      </c>
      <c r="B1001" s="4">
        <v>2024002831</v>
      </c>
      <c r="C1001" s="4" t="s">
        <v>929</v>
      </c>
      <c r="D1001" s="5">
        <v>7540000</v>
      </c>
      <c r="E1001" s="4">
        <v>87065647</v>
      </c>
      <c r="F1001" s="4" t="s">
        <v>43</v>
      </c>
      <c r="G1001" t="s">
        <v>565</v>
      </c>
    </row>
    <row r="1002" spans="1:7" ht="15" customHeight="1" x14ac:dyDescent="0.25">
      <c r="A1002" s="3">
        <v>45631</v>
      </c>
      <c r="B1002" s="4">
        <v>2024002832</v>
      </c>
      <c r="C1002" s="4" t="s">
        <v>804</v>
      </c>
      <c r="D1002" s="5">
        <v>3000000</v>
      </c>
      <c r="E1002" s="4">
        <v>1089243630</v>
      </c>
      <c r="F1002" s="4" t="s">
        <v>197</v>
      </c>
      <c r="G1002" t="s">
        <v>565</v>
      </c>
    </row>
    <row r="1003" spans="1:7" ht="15" customHeight="1" x14ac:dyDescent="0.25">
      <c r="A1003" s="3">
        <v>45631</v>
      </c>
      <c r="B1003" s="4">
        <v>2024002833</v>
      </c>
      <c r="C1003" s="4" t="s">
        <v>930</v>
      </c>
      <c r="D1003" s="5">
        <v>3000000</v>
      </c>
      <c r="E1003" s="4">
        <v>1085322676</v>
      </c>
      <c r="F1003" s="4" t="s">
        <v>931</v>
      </c>
      <c r="G1003" t="s">
        <v>565</v>
      </c>
    </row>
    <row r="1004" spans="1:7" ht="15" customHeight="1" x14ac:dyDescent="0.25">
      <c r="A1004" s="3">
        <v>45631</v>
      </c>
      <c r="B1004" s="4">
        <v>2024002834</v>
      </c>
      <c r="C1004" s="4" t="s">
        <v>932</v>
      </c>
      <c r="D1004" s="5">
        <v>7540000</v>
      </c>
      <c r="E1004" s="4">
        <v>1085296958</v>
      </c>
      <c r="F1004" s="4" t="s">
        <v>401</v>
      </c>
      <c r="G1004" t="s">
        <v>565</v>
      </c>
    </row>
    <row r="1005" spans="1:7" ht="15" customHeight="1" x14ac:dyDescent="0.25">
      <c r="A1005" s="3">
        <v>45632</v>
      </c>
      <c r="B1005" s="4">
        <v>2024002915</v>
      </c>
      <c r="C1005" s="4" t="s">
        <v>639</v>
      </c>
      <c r="D1005" s="5">
        <v>3000000</v>
      </c>
      <c r="E1005" s="4">
        <v>36757522</v>
      </c>
      <c r="F1005" s="4" t="s">
        <v>271</v>
      </c>
      <c r="G1005" t="s">
        <v>565</v>
      </c>
    </row>
    <row r="1006" spans="1:7" ht="15" customHeight="1" x14ac:dyDescent="0.25">
      <c r="A1006" s="3">
        <v>45632</v>
      </c>
      <c r="B1006" s="4">
        <v>2024002916</v>
      </c>
      <c r="C1006" s="4" t="s">
        <v>933</v>
      </c>
      <c r="D1006" s="5">
        <v>3000000</v>
      </c>
      <c r="E1006" s="4">
        <v>1085325718</v>
      </c>
      <c r="F1006" s="4" t="s">
        <v>301</v>
      </c>
      <c r="G1006" t="s">
        <v>565</v>
      </c>
    </row>
    <row r="1007" spans="1:7" ht="15" customHeight="1" x14ac:dyDescent="0.25">
      <c r="A1007" s="3">
        <v>45632</v>
      </c>
      <c r="B1007" s="4">
        <v>2024002917</v>
      </c>
      <c r="C1007" s="4" t="s">
        <v>934</v>
      </c>
      <c r="D1007" s="5">
        <v>4825000</v>
      </c>
      <c r="E1007" s="4">
        <v>27087851</v>
      </c>
      <c r="F1007" s="4" t="s">
        <v>177</v>
      </c>
      <c r="G1007" t="s">
        <v>565</v>
      </c>
    </row>
    <row r="1008" spans="1:7" ht="15" customHeight="1" x14ac:dyDescent="0.25">
      <c r="A1008" s="3">
        <v>45632</v>
      </c>
      <c r="B1008" s="4">
        <v>2024002919</v>
      </c>
      <c r="C1008" s="4" t="s">
        <v>935</v>
      </c>
      <c r="D1008" s="5">
        <v>3000000</v>
      </c>
      <c r="E1008" s="4">
        <v>59828916</v>
      </c>
      <c r="F1008" s="4" t="s">
        <v>181</v>
      </c>
      <c r="G1008" t="s">
        <v>565</v>
      </c>
    </row>
    <row r="1009" spans="1:7" ht="15" customHeight="1" x14ac:dyDescent="0.25">
      <c r="A1009" s="3">
        <v>45632</v>
      </c>
      <c r="B1009" s="4">
        <v>2024002920</v>
      </c>
      <c r="C1009" s="4" t="s">
        <v>936</v>
      </c>
      <c r="D1009" s="5">
        <v>7540000</v>
      </c>
      <c r="E1009" s="4">
        <v>79800150</v>
      </c>
      <c r="F1009" s="4" t="s">
        <v>937</v>
      </c>
      <c r="G1009" t="s">
        <v>565</v>
      </c>
    </row>
    <row r="1010" spans="1:7" ht="15" customHeight="1" x14ac:dyDescent="0.25">
      <c r="A1010" s="3">
        <v>45632</v>
      </c>
      <c r="B1010" s="4">
        <v>2024002921</v>
      </c>
      <c r="C1010" s="4" t="s">
        <v>938</v>
      </c>
      <c r="D1010" s="5">
        <v>2090400</v>
      </c>
      <c r="E1010" s="4">
        <v>52048780</v>
      </c>
      <c r="F1010" s="4" t="s">
        <v>939</v>
      </c>
      <c r="G1010" t="s">
        <v>565</v>
      </c>
    </row>
    <row r="1011" spans="1:7" ht="15" customHeight="1" x14ac:dyDescent="0.25">
      <c r="A1011" s="3">
        <v>45632</v>
      </c>
      <c r="B1011" s="4">
        <v>2024002922</v>
      </c>
      <c r="C1011" s="4" t="s">
        <v>750</v>
      </c>
      <c r="D1011" s="5">
        <v>7540000</v>
      </c>
      <c r="E1011" s="4">
        <v>7603662</v>
      </c>
      <c r="F1011" s="4" t="s">
        <v>361</v>
      </c>
      <c r="G1011" t="s">
        <v>565</v>
      </c>
    </row>
    <row r="1012" spans="1:7" ht="15" customHeight="1" x14ac:dyDescent="0.25">
      <c r="A1012" s="3">
        <v>45632</v>
      </c>
      <c r="B1012" s="4">
        <v>2024002923</v>
      </c>
      <c r="C1012" s="4" t="s">
        <v>696</v>
      </c>
      <c r="D1012" s="5">
        <v>4825000</v>
      </c>
      <c r="E1012" s="4">
        <v>59310145</v>
      </c>
      <c r="F1012" s="4" t="s">
        <v>129</v>
      </c>
      <c r="G1012" t="s">
        <v>565</v>
      </c>
    </row>
    <row r="1013" spans="1:7" ht="15" customHeight="1" x14ac:dyDescent="0.25">
      <c r="A1013" s="3">
        <v>45632</v>
      </c>
      <c r="B1013" s="4">
        <v>2024002924</v>
      </c>
      <c r="C1013" s="4" t="s">
        <v>862</v>
      </c>
      <c r="D1013" s="5">
        <v>3000000</v>
      </c>
      <c r="E1013" s="4">
        <v>1085300095</v>
      </c>
      <c r="F1013" s="4" t="s">
        <v>201</v>
      </c>
      <c r="G1013" t="s">
        <v>565</v>
      </c>
    </row>
    <row r="1014" spans="1:7" ht="15" customHeight="1" x14ac:dyDescent="0.25">
      <c r="A1014" s="3">
        <v>45632</v>
      </c>
      <c r="B1014" s="4">
        <v>2024002925</v>
      </c>
      <c r="C1014" s="4" t="s">
        <v>710</v>
      </c>
      <c r="D1014" s="5">
        <v>3000000</v>
      </c>
      <c r="E1014" s="4">
        <v>37084285</v>
      </c>
      <c r="F1014" s="4" t="s">
        <v>119</v>
      </c>
      <c r="G1014" t="s">
        <v>565</v>
      </c>
    </row>
    <row r="1015" spans="1:7" ht="15" customHeight="1" x14ac:dyDescent="0.25">
      <c r="A1015" s="3">
        <v>45632</v>
      </c>
      <c r="B1015" s="4">
        <v>2024002926</v>
      </c>
      <c r="C1015" s="4" t="s">
        <v>776</v>
      </c>
      <c r="D1015" s="5">
        <v>3000000</v>
      </c>
      <c r="E1015" s="4">
        <v>1233189234</v>
      </c>
      <c r="F1015" s="4" t="s">
        <v>87</v>
      </c>
      <c r="G1015" t="s">
        <v>565</v>
      </c>
    </row>
    <row r="1016" spans="1:7" ht="15" customHeight="1" x14ac:dyDescent="0.25">
      <c r="A1016" s="3">
        <v>45632</v>
      </c>
      <c r="B1016" s="4">
        <v>2024002927</v>
      </c>
      <c r="C1016" s="4" t="s">
        <v>821</v>
      </c>
      <c r="D1016" s="5">
        <v>3000000</v>
      </c>
      <c r="E1016" s="4">
        <v>1085255972</v>
      </c>
      <c r="F1016" s="4" t="s">
        <v>147</v>
      </c>
      <c r="G1016" t="s">
        <v>565</v>
      </c>
    </row>
    <row r="1017" spans="1:7" ht="15" customHeight="1" x14ac:dyDescent="0.25">
      <c r="A1017" s="3">
        <v>45632</v>
      </c>
      <c r="B1017" s="4">
        <v>2024002928</v>
      </c>
      <c r="C1017" s="4" t="s">
        <v>689</v>
      </c>
      <c r="D1017" s="5">
        <v>3000000</v>
      </c>
      <c r="E1017" s="4">
        <v>1004135064</v>
      </c>
      <c r="F1017" s="4" t="s">
        <v>207</v>
      </c>
      <c r="G1017" t="s">
        <v>565</v>
      </c>
    </row>
    <row r="1018" spans="1:7" ht="15" customHeight="1" x14ac:dyDescent="0.25">
      <c r="A1018" s="3">
        <v>45632</v>
      </c>
      <c r="B1018" s="4">
        <v>2024002929</v>
      </c>
      <c r="C1018" s="4" t="s">
        <v>687</v>
      </c>
      <c r="D1018" s="5">
        <v>3000000</v>
      </c>
      <c r="E1018" s="4">
        <v>1080040858</v>
      </c>
      <c r="F1018" s="4" t="s">
        <v>211</v>
      </c>
      <c r="G1018" t="s">
        <v>565</v>
      </c>
    </row>
    <row r="1019" spans="1:7" ht="15" customHeight="1" x14ac:dyDescent="0.25">
      <c r="A1019" s="3">
        <v>45632</v>
      </c>
      <c r="B1019" s="4">
        <v>2024002930</v>
      </c>
      <c r="C1019" s="4" t="s">
        <v>688</v>
      </c>
      <c r="D1019" s="5">
        <v>3000000</v>
      </c>
      <c r="E1019" s="4">
        <v>1010082397</v>
      </c>
      <c r="F1019" s="4" t="s">
        <v>209</v>
      </c>
      <c r="G1019" t="s">
        <v>565</v>
      </c>
    </row>
    <row r="1020" spans="1:7" ht="15" customHeight="1" x14ac:dyDescent="0.25">
      <c r="A1020" s="3">
        <v>45632</v>
      </c>
      <c r="B1020" s="4">
        <v>2024002931</v>
      </c>
      <c r="C1020" s="4" t="s">
        <v>940</v>
      </c>
      <c r="D1020" s="5">
        <v>3000000</v>
      </c>
      <c r="E1020" s="4">
        <v>59813323</v>
      </c>
      <c r="F1020" s="4" t="s">
        <v>103</v>
      </c>
      <c r="G1020" t="s">
        <v>565</v>
      </c>
    </row>
    <row r="1021" spans="1:7" ht="15" customHeight="1" x14ac:dyDescent="0.25">
      <c r="A1021" s="3">
        <v>45632</v>
      </c>
      <c r="B1021" s="4">
        <v>2024002932</v>
      </c>
      <c r="C1021" s="4" t="s">
        <v>941</v>
      </c>
      <c r="D1021" s="5">
        <v>4825000</v>
      </c>
      <c r="E1021" s="4">
        <v>1085332406</v>
      </c>
      <c r="F1021" s="4" t="s">
        <v>273</v>
      </c>
      <c r="G1021" t="s">
        <v>565</v>
      </c>
    </row>
    <row r="1022" spans="1:7" ht="15" customHeight="1" x14ac:dyDescent="0.25">
      <c r="A1022" s="3">
        <v>45632</v>
      </c>
      <c r="B1022" s="4">
        <v>2024002933</v>
      </c>
      <c r="C1022" s="4" t="s">
        <v>673</v>
      </c>
      <c r="D1022" s="5">
        <v>2500000</v>
      </c>
      <c r="E1022" s="4">
        <v>12750863</v>
      </c>
      <c r="F1022" s="4" t="s">
        <v>225</v>
      </c>
      <c r="G1022" t="s">
        <v>565</v>
      </c>
    </row>
    <row r="1023" spans="1:7" ht="15" customHeight="1" x14ac:dyDescent="0.25">
      <c r="A1023" s="3">
        <v>45632</v>
      </c>
      <c r="B1023" s="4">
        <v>2024002935</v>
      </c>
      <c r="C1023" s="4" t="s">
        <v>648</v>
      </c>
      <c r="D1023" s="5">
        <v>4825000</v>
      </c>
      <c r="E1023" s="4">
        <v>30732782</v>
      </c>
      <c r="F1023" s="4" t="s">
        <v>245</v>
      </c>
      <c r="G1023" t="s">
        <v>565</v>
      </c>
    </row>
    <row r="1024" spans="1:7" ht="15" customHeight="1" x14ac:dyDescent="0.25">
      <c r="A1024" s="3">
        <v>45632</v>
      </c>
      <c r="B1024" s="4">
        <v>2024002936</v>
      </c>
      <c r="C1024" s="4" t="s">
        <v>611</v>
      </c>
      <c r="D1024" s="5">
        <v>3000000</v>
      </c>
      <c r="E1024" s="4">
        <v>1085261053</v>
      </c>
      <c r="F1024" s="4" t="s">
        <v>335</v>
      </c>
      <c r="G1024" t="s">
        <v>565</v>
      </c>
    </row>
    <row r="1025" spans="1:7" ht="15" customHeight="1" x14ac:dyDescent="0.25">
      <c r="A1025" s="3">
        <v>45632</v>
      </c>
      <c r="B1025" s="4">
        <v>2024002938</v>
      </c>
      <c r="C1025" s="4" t="s">
        <v>686</v>
      </c>
      <c r="D1025" s="5">
        <v>3000000</v>
      </c>
      <c r="E1025" s="4">
        <v>1085288636</v>
      </c>
      <c r="F1025" s="4" t="s">
        <v>405</v>
      </c>
      <c r="G1025" t="s">
        <v>565</v>
      </c>
    </row>
    <row r="1026" spans="1:7" ht="15" customHeight="1" x14ac:dyDescent="0.25">
      <c r="A1026" s="3">
        <v>45632</v>
      </c>
      <c r="B1026" s="4">
        <v>2024002939</v>
      </c>
      <c r="C1026" s="4" t="s">
        <v>942</v>
      </c>
      <c r="D1026" s="5">
        <v>4825000</v>
      </c>
      <c r="E1026" s="4">
        <v>1086755334</v>
      </c>
      <c r="F1026" s="4" t="s">
        <v>943</v>
      </c>
      <c r="G1026" t="s">
        <v>565</v>
      </c>
    </row>
    <row r="1027" spans="1:7" ht="15" customHeight="1" x14ac:dyDescent="0.25">
      <c r="A1027" s="3">
        <v>45632</v>
      </c>
      <c r="B1027" s="4">
        <v>2024002940</v>
      </c>
      <c r="C1027" s="4" t="s">
        <v>944</v>
      </c>
      <c r="D1027" s="5">
        <v>2500000</v>
      </c>
      <c r="E1027" s="4">
        <v>36759281</v>
      </c>
      <c r="F1027" s="4" t="s">
        <v>341</v>
      </c>
      <c r="G1027" t="s">
        <v>565</v>
      </c>
    </row>
    <row r="1028" spans="1:7" ht="15" customHeight="1" x14ac:dyDescent="0.25">
      <c r="A1028" s="3">
        <v>45632</v>
      </c>
      <c r="B1028" s="4">
        <v>2024002941</v>
      </c>
      <c r="C1028" s="4" t="s">
        <v>945</v>
      </c>
      <c r="D1028" s="5">
        <v>4825000</v>
      </c>
      <c r="E1028" s="4">
        <v>98260088</v>
      </c>
      <c r="F1028" s="4" t="s">
        <v>946</v>
      </c>
      <c r="G1028" t="s">
        <v>565</v>
      </c>
    </row>
    <row r="1029" spans="1:7" ht="15" customHeight="1" x14ac:dyDescent="0.25">
      <c r="A1029" s="3">
        <v>45632</v>
      </c>
      <c r="B1029" s="4">
        <v>2024002942</v>
      </c>
      <c r="C1029" s="4" t="s">
        <v>759</v>
      </c>
      <c r="D1029" s="5">
        <v>6000000</v>
      </c>
      <c r="E1029" s="4">
        <v>1085253062</v>
      </c>
      <c r="F1029" s="4" t="s">
        <v>31</v>
      </c>
      <c r="G1029" t="s">
        <v>565</v>
      </c>
    </row>
    <row r="1030" spans="1:7" ht="15" customHeight="1" x14ac:dyDescent="0.25">
      <c r="A1030" s="3">
        <v>45632</v>
      </c>
      <c r="B1030" s="4">
        <v>2024002943</v>
      </c>
      <c r="C1030" s="4" t="s">
        <v>861</v>
      </c>
      <c r="D1030" s="5">
        <v>3000000</v>
      </c>
      <c r="E1030" s="4">
        <v>1193271854</v>
      </c>
      <c r="F1030" s="4" t="s">
        <v>229</v>
      </c>
      <c r="G1030" t="s">
        <v>565</v>
      </c>
    </row>
    <row r="1031" spans="1:7" ht="15" customHeight="1" x14ac:dyDescent="0.25">
      <c r="A1031" s="3">
        <v>45632</v>
      </c>
      <c r="B1031" s="4">
        <v>2024002944</v>
      </c>
      <c r="C1031" s="4" t="s">
        <v>859</v>
      </c>
      <c r="D1031" s="5">
        <v>3000000</v>
      </c>
      <c r="E1031" s="4">
        <v>1014857280</v>
      </c>
      <c r="F1031" s="4" t="s">
        <v>233</v>
      </c>
      <c r="G1031" t="s">
        <v>565</v>
      </c>
    </row>
    <row r="1032" spans="1:7" ht="15" customHeight="1" x14ac:dyDescent="0.25">
      <c r="A1032" s="3">
        <v>45632</v>
      </c>
      <c r="B1032" s="4">
        <v>2024002945</v>
      </c>
      <c r="C1032" s="4" t="s">
        <v>772</v>
      </c>
      <c r="D1032" s="5">
        <v>3000000</v>
      </c>
      <c r="E1032" s="4">
        <v>1081592303</v>
      </c>
      <c r="F1032" s="4" t="s">
        <v>353</v>
      </c>
      <c r="G1032" t="s">
        <v>565</v>
      </c>
    </row>
    <row r="1033" spans="1:7" ht="15" customHeight="1" x14ac:dyDescent="0.25">
      <c r="A1033" s="3">
        <v>45632</v>
      </c>
      <c r="B1033" s="4">
        <v>2024002946</v>
      </c>
      <c r="C1033" s="4" t="s">
        <v>665</v>
      </c>
      <c r="D1033" s="5">
        <v>3000000</v>
      </c>
      <c r="E1033" s="4">
        <v>1085327701</v>
      </c>
      <c r="F1033" s="4" t="s">
        <v>85</v>
      </c>
      <c r="G1033" t="s">
        <v>565</v>
      </c>
    </row>
    <row r="1034" spans="1:7" ht="15" customHeight="1" x14ac:dyDescent="0.25">
      <c r="A1034" s="3">
        <v>45632</v>
      </c>
      <c r="B1034" s="4">
        <v>2024002947</v>
      </c>
      <c r="C1034" s="4" t="s">
        <v>640</v>
      </c>
      <c r="D1034" s="5">
        <v>3000000</v>
      </c>
      <c r="E1034" s="4">
        <v>1004592366</v>
      </c>
      <c r="F1034" s="4" t="s">
        <v>123</v>
      </c>
      <c r="G1034" t="s">
        <v>565</v>
      </c>
    </row>
    <row r="1035" spans="1:7" ht="15" customHeight="1" x14ac:dyDescent="0.25">
      <c r="A1035" s="3">
        <v>45635</v>
      </c>
      <c r="B1035" s="4">
        <v>2024002950</v>
      </c>
      <c r="C1035" s="4" t="s">
        <v>695</v>
      </c>
      <c r="D1035" s="5">
        <v>3000000</v>
      </c>
      <c r="E1035" s="4">
        <v>59837416</v>
      </c>
      <c r="F1035" s="4" t="s">
        <v>395</v>
      </c>
      <c r="G1035" t="s">
        <v>565</v>
      </c>
    </row>
    <row r="1036" spans="1:7" ht="15" customHeight="1" x14ac:dyDescent="0.25">
      <c r="A1036" s="3">
        <v>45635</v>
      </c>
      <c r="B1036" s="4">
        <v>2024002951</v>
      </c>
      <c r="C1036" s="4" t="s">
        <v>676</v>
      </c>
      <c r="D1036" s="5">
        <v>4750000</v>
      </c>
      <c r="E1036" s="4">
        <v>1085293619</v>
      </c>
      <c r="F1036" s="4" t="s">
        <v>155</v>
      </c>
      <c r="G1036" t="s">
        <v>565</v>
      </c>
    </row>
    <row r="1037" spans="1:7" ht="15" customHeight="1" x14ac:dyDescent="0.25">
      <c r="A1037" s="3">
        <v>45635</v>
      </c>
      <c r="B1037" s="4">
        <v>2024002952</v>
      </c>
      <c r="C1037" s="4" t="s">
        <v>767</v>
      </c>
      <c r="D1037" s="5">
        <v>4750000</v>
      </c>
      <c r="E1037" s="4">
        <v>59651018</v>
      </c>
      <c r="F1037" s="4" t="s">
        <v>493</v>
      </c>
      <c r="G1037" t="s">
        <v>565</v>
      </c>
    </row>
    <row r="1038" spans="1:7" ht="15" customHeight="1" x14ac:dyDescent="0.25">
      <c r="A1038" s="3">
        <v>45635</v>
      </c>
      <c r="B1038" s="4">
        <v>2024002953</v>
      </c>
      <c r="C1038" s="4" t="s">
        <v>694</v>
      </c>
      <c r="D1038" s="5">
        <v>2500000</v>
      </c>
      <c r="E1038" s="4">
        <v>1085338232</v>
      </c>
      <c r="F1038" s="4" t="s">
        <v>287</v>
      </c>
      <c r="G1038" t="s">
        <v>565</v>
      </c>
    </row>
    <row r="1039" spans="1:7" ht="15" customHeight="1" x14ac:dyDescent="0.25">
      <c r="A1039" s="3">
        <v>45635</v>
      </c>
      <c r="B1039" s="4">
        <v>2024002954</v>
      </c>
      <c r="C1039" s="4" t="s">
        <v>599</v>
      </c>
      <c r="D1039" s="5">
        <v>7540000</v>
      </c>
      <c r="E1039" s="4">
        <v>1085304670</v>
      </c>
      <c r="F1039" s="4" t="s">
        <v>161</v>
      </c>
      <c r="G1039" t="s">
        <v>565</v>
      </c>
    </row>
    <row r="1040" spans="1:7" ht="15" customHeight="1" x14ac:dyDescent="0.25">
      <c r="A1040" s="3">
        <v>45635</v>
      </c>
      <c r="B1040" s="4">
        <v>2024002955</v>
      </c>
      <c r="C1040" s="4" t="s">
        <v>741</v>
      </c>
      <c r="D1040" s="5">
        <v>3000000</v>
      </c>
      <c r="E1040" s="4">
        <v>1085317833</v>
      </c>
      <c r="F1040" s="4" t="s">
        <v>11</v>
      </c>
      <c r="G1040" t="s">
        <v>565</v>
      </c>
    </row>
    <row r="1041" spans="1:7" ht="15" customHeight="1" x14ac:dyDescent="0.25">
      <c r="A1041" s="3">
        <v>45635</v>
      </c>
      <c r="B1041" s="4">
        <v>2024002956</v>
      </c>
      <c r="C1041" s="4" t="s">
        <v>691</v>
      </c>
      <c r="D1041" s="5">
        <v>3000000</v>
      </c>
      <c r="E1041" s="4">
        <v>1030606749</v>
      </c>
      <c r="F1041" s="4" t="s">
        <v>387</v>
      </c>
      <c r="G1041" t="s">
        <v>565</v>
      </c>
    </row>
    <row r="1042" spans="1:7" ht="15" customHeight="1" x14ac:dyDescent="0.25">
      <c r="A1042" s="3">
        <v>45635</v>
      </c>
      <c r="B1042" s="4">
        <v>2024002957</v>
      </c>
      <c r="C1042" s="4" t="s">
        <v>708</v>
      </c>
      <c r="D1042" s="5">
        <v>4750000</v>
      </c>
      <c r="E1042" s="4">
        <v>1085330309</v>
      </c>
      <c r="F1042" s="4" t="s">
        <v>249</v>
      </c>
      <c r="G1042" t="s">
        <v>565</v>
      </c>
    </row>
    <row r="1043" spans="1:7" ht="15" customHeight="1" x14ac:dyDescent="0.25">
      <c r="A1043" s="3">
        <v>45635</v>
      </c>
      <c r="B1043" s="4">
        <v>2024002958</v>
      </c>
      <c r="C1043" s="4" t="s">
        <v>925</v>
      </c>
      <c r="D1043" s="5">
        <v>4825000</v>
      </c>
      <c r="E1043" s="4">
        <v>1004508471</v>
      </c>
      <c r="F1043" s="4" t="s">
        <v>926</v>
      </c>
      <c r="G1043" t="s">
        <v>565</v>
      </c>
    </row>
    <row r="1044" spans="1:7" ht="15" customHeight="1" x14ac:dyDescent="0.25">
      <c r="A1044" s="3">
        <v>45635</v>
      </c>
      <c r="B1044" s="4">
        <v>2024002959</v>
      </c>
      <c r="C1044" s="4" t="s">
        <v>933</v>
      </c>
      <c r="D1044" s="5">
        <v>3000000</v>
      </c>
      <c r="E1044" s="4">
        <v>1085325718</v>
      </c>
      <c r="F1044" s="4" t="s">
        <v>301</v>
      </c>
      <c r="G1044" t="s">
        <v>565</v>
      </c>
    </row>
    <row r="1045" spans="1:7" ht="15" customHeight="1" x14ac:dyDescent="0.25">
      <c r="A1045" s="3">
        <v>45635</v>
      </c>
      <c r="B1045" s="4">
        <v>2024002960</v>
      </c>
      <c r="C1045" s="4" t="s">
        <v>683</v>
      </c>
      <c r="D1045" s="5">
        <v>4825000</v>
      </c>
      <c r="E1045" s="4">
        <v>1193385736</v>
      </c>
      <c r="F1045" s="4" t="s">
        <v>57</v>
      </c>
      <c r="G1045" t="s">
        <v>565</v>
      </c>
    </row>
    <row r="1046" spans="1:7" ht="15" customHeight="1" x14ac:dyDescent="0.25">
      <c r="A1046" s="3">
        <v>45635</v>
      </c>
      <c r="B1046" s="4">
        <v>2024002961</v>
      </c>
      <c r="C1046" s="4" t="s">
        <v>874</v>
      </c>
      <c r="D1046" s="5">
        <v>3000000</v>
      </c>
      <c r="E1046" s="4">
        <v>27088197</v>
      </c>
      <c r="F1046" s="4" t="s">
        <v>875</v>
      </c>
      <c r="G1046" t="s">
        <v>565</v>
      </c>
    </row>
    <row r="1047" spans="1:7" ht="15" customHeight="1" x14ac:dyDescent="0.25">
      <c r="A1047" s="3">
        <v>45635</v>
      </c>
      <c r="B1047" s="4">
        <v>2024002962</v>
      </c>
      <c r="C1047" s="4" t="s">
        <v>947</v>
      </c>
      <c r="D1047" s="5">
        <v>6000000</v>
      </c>
      <c r="E1047" s="4">
        <v>1085266036</v>
      </c>
      <c r="F1047" s="4" t="s">
        <v>948</v>
      </c>
      <c r="G1047" t="s">
        <v>565</v>
      </c>
    </row>
    <row r="1048" spans="1:7" ht="15" customHeight="1" x14ac:dyDescent="0.25">
      <c r="A1048" s="3">
        <v>45635</v>
      </c>
      <c r="B1048" s="4">
        <v>2024002964</v>
      </c>
      <c r="C1048" s="4" t="s">
        <v>773</v>
      </c>
      <c r="D1048" s="5">
        <v>4825000</v>
      </c>
      <c r="E1048" s="4">
        <v>1085267184</v>
      </c>
      <c r="F1048" s="4" t="s">
        <v>247</v>
      </c>
      <c r="G1048" t="s">
        <v>565</v>
      </c>
    </row>
    <row r="1049" spans="1:7" ht="15" customHeight="1" x14ac:dyDescent="0.25">
      <c r="A1049" s="3">
        <v>45635</v>
      </c>
      <c r="B1049" s="4">
        <v>2024002965</v>
      </c>
      <c r="C1049" s="4" t="s">
        <v>949</v>
      </c>
      <c r="D1049" s="5">
        <v>800000</v>
      </c>
      <c r="E1049" s="4">
        <v>1081272318</v>
      </c>
      <c r="F1049" s="4" t="s">
        <v>950</v>
      </c>
      <c r="G1049" t="s">
        <v>565</v>
      </c>
    </row>
    <row r="1050" spans="1:7" ht="15" customHeight="1" x14ac:dyDescent="0.25">
      <c r="A1050" s="3">
        <v>45635</v>
      </c>
      <c r="B1050" s="4">
        <v>2024002966</v>
      </c>
      <c r="C1050" s="4" t="s">
        <v>847</v>
      </c>
      <c r="D1050" s="5">
        <v>4825000</v>
      </c>
      <c r="E1050" s="4">
        <v>1085324891</v>
      </c>
      <c r="F1050" s="4" t="s">
        <v>509</v>
      </c>
      <c r="G1050" t="s">
        <v>565</v>
      </c>
    </row>
    <row r="1051" spans="1:7" ht="15" customHeight="1" x14ac:dyDescent="0.25">
      <c r="A1051" s="3">
        <v>45635</v>
      </c>
      <c r="B1051" s="4">
        <v>2024002967</v>
      </c>
      <c r="C1051" s="4" t="s">
        <v>771</v>
      </c>
      <c r="D1051" s="5">
        <v>2500000</v>
      </c>
      <c r="E1051" s="4">
        <v>1085327836</v>
      </c>
      <c r="F1051" s="4" t="s">
        <v>283</v>
      </c>
      <c r="G1051" t="s">
        <v>565</v>
      </c>
    </row>
    <row r="1052" spans="1:7" ht="15" customHeight="1" x14ac:dyDescent="0.25">
      <c r="A1052" s="3">
        <v>45635</v>
      </c>
      <c r="B1052" s="4">
        <v>2024002968</v>
      </c>
      <c r="C1052" s="4" t="s">
        <v>763</v>
      </c>
      <c r="D1052" s="5">
        <v>3000000</v>
      </c>
      <c r="E1052" s="4">
        <v>36752202</v>
      </c>
      <c r="F1052" s="4" t="s">
        <v>263</v>
      </c>
      <c r="G1052" t="s">
        <v>565</v>
      </c>
    </row>
    <row r="1053" spans="1:7" ht="15" customHeight="1" x14ac:dyDescent="0.25">
      <c r="A1053" s="3">
        <v>45635</v>
      </c>
      <c r="B1053" s="4">
        <v>2024002969</v>
      </c>
      <c r="C1053" s="4" t="s">
        <v>783</v>
      </c>
      <c r="D1053" s="5">
        <v>2500000</v>
      </c>
      <c r="E1053" s="4">
        <v>1233189896</v>
      </c>
      <c r="F1053" s="4" t="s">
        <v>279</v>
      </c>
      <c r="G1053" t="s">
        <v>565</v>
      </c>
    </row>
    <row r="1054" spans="1:7" ht="15" customHeight="1" x14ac:dyDescent="0.25">
      <c r="A1054" s="3">
        <v>45635</v>
      </c>
      <c r="B1054" s="4">
        <v>2024002970</v>
      </c>
      <c r="C1054" s="4" t="s">
        <v>685</v>
      </c>
      <c r="D1054" s="5">
        <v>6000000</v>
      </c>
      <c r="E1054" s="4">
        <v>1089242085</v>
      </c>
      <c r="F1054" s="4" t="s">
        <v>19</v>
      </c>
      <c r="G1054" t="s">
        <v>565</v>
      </c>
    </row>
    <row r="1055" spans="1:7" ht="15" customHeight="1" x14ac:dyDescent="0.25">
      <c r="A1055" s="3">
        <v>45635</v>
      </c>
      <c r="B1055" s="4">
        <v>2024002971</v>
      </c>
      <c r="C1055" s="4" t="s">
        <v>951</v>
      </c>
      <c r="D1055" s="5">
        <v>7540000</v>
      </c>
      <c r="E1055" s="4">
        <v>1085251158</v>
      </c>
      <c r="F1055" s="4" t="s">
        <v>952</v>
      </c>
      <c r="G1055" t="s">
        <v>565</v>
      </c>
    </row>
    <row r="1056" spans="1:7" ht="15" customHeight="1" x14ac:dyDescent="0.25">
      <c r="A1056" s="3">
        <v>45635</v>
      </c>
      <c r="B1056" s="4">
        <v>2024002972</v>
      </c>
      <c r="C1056" s="4" t="s">
        <v>733</v>
      </c>
      <c r="D1056" s="5">
        <v>3000000</v>
      </c>
      <c r="E1056" s="4">
        <v>1085327677</v>
      </c>
      <c r="F1056" s="4" t="s">
        <v>215</v>
      </c>
      <c r="G1056" t="s">
        <v>565</v>
      </c>
    </row>
    <row r="1057" spans="1:7" ht="15" customHeight="1" x14ac:dyDescent="0.25">
      <c r="A1057" s="3">
        <v>45635</v>
      </c>
      <c r="B1057" s="4">
        <v>2024002973</v>
      </c>
      <c r="C1057" s="4" t="s">
        <v>727</v>
      </c>
      <c r="D1057" s="5">
        <v>2500000</v>
      </c>
      <c r="E1057" s="4">
        <v>1085310465</v>
      </c>
      <c r="F1057" s="4" t="s">
        <v>307</v>
      </c>
      <c r="G1057" t="s">
        <v>565</v>
      </c>
    </row>
    <row r="1058" spans="1:7" ht="15" customHeight="1" x14ac:dyDescent="0.25">
      <c r="A1058" s="3">
        <v>45635</v>
      </c>
      <c r="B1058" s="4">
        <v>2024002974</v>
      </c>
      <c r="C1058" s="4" t="s">
        <v>794</v>
      </c>
      <c r="D1058" s="5">
        <v>7540000</v>
      </c>
      <c r="E1058" s="4">
        <v>1193202097</v>
      </c>
      <c r="F1058" s="4" t="s">
        <v>163</v>
      </c>
      <c r="G1058" t="s">
        <v>565</v>
      </c>
    </row>
    <row r="1059" spans="1:7" ht="15" customHeight="1" x14ac:dyDescent="0.25">
      <c r="A1059" s="3">
        <v>45635</v>
      </c>
      <c r="B1059" s="4">
        <v>2024002975</v>
      </c>
      <c r="C1059" s="4" t="s">
        <v>953</v>
      </c>
      <c r="D1059" s="5">
        <v>6000000</v>
      </c>
      <c r="E1059" s="4">
        <v>1087420025</v>
      </c>
      <c r="F1059" s="4" t="s">
        <v>954</v>
      </c>
      <c r="G1059" t="s">
        <v>565</v>
      </c>
    </row>
    <row r="1060" spans="1:7" ht="15" customHeight="1" x14ac:dyDescent="0.25">
      <c r="A1060" s="3">
        <v>45635</v>
      </c>
      <c r="B1060" s="4">
        <v>2024002976</v>
      </c>
      <c r="C1060" s="4" t="s">
        <v>738</v>
      </c>
      <c r="D1060" s="5">
        <v>3000000</v>
      </c>
      <c r="E1060" s="4">
        <v>1004726758</v>
      </c>
      <c r="F1060" s="4" t="s">
        <v>365</v>
      </c>
      <c r="G1060" t="s">
        <v>565</v>
      </c>
    </row>
    <row r="1061" spans="1:7" ht="15" customHeight="1" x14ac:dyDescent="0.25">
      <c r="A1061" s="3">
        <v>45635</v>
      </c>
      <c r="B1061" s="4">
        <v>2024002981</v>
      </c>
      <c r="C1061" s="4" t="s">
        <v>806</v>
      </c>
      <c r="D1061" s="5">
        <v>4750000</v>
      </c>
      <c r="E1061" s="4">
        <v>1085345772</v>
      </c>
      <c r="F1061" s="4" t="s">
        <v>221</v>
      </c>
      <c r="G1061" t="s">
        <v>565</v>
      </c>
    </row>
    <row r="1062" spans="1:7" ht="15" customHeight="1" x14ac:dyDescent="0.25">
      <c r="A1062" s="3">
        <v>45635</v>
      </c>
      <c r="B1062" s="4">
        <v>2024002982</v>
      </c>
      <c r="C1062" s="4" t="s">
        <v>955</v>
      </c>
      <c r="D1062" s="5">
        <v>2500000</v>
      </c>
      <c r="E1062" s="4">
        <v>36950441</v>
      </c>
      <c r="F1062" s="4" t="s">
        <v>956</v>
      </c>
      <c r="G1062" t="s">
        <v>565</v>
      </c>
    </row>
    <row r="1063" spans="1:7" ht="15" customHeight="1" x14ac:dyDescent="0.25">
      <c r="A1063" s="3">
        <v>45636</v>
      </c>
      <c r="B1063" s="4">
        <v>2024002985</v>
      </c>
      <c r="C1063" s="4" t="s">
        <v>957</v>
      </c>
      <c r="D1063" s="5">
        <v>2733600</v>
      </c>
      <c r="E1063" s="4">
        <v>31324345</v>
      </c>
      <c r="F1063" s="4" t="s">
        <v>958</v>
      </c>
      <c r="G1063" t="s">
        <v>565</v>
      </c>
    </row>
    <row r="1064" spans="1:7" ht="15" customHeight="1" x14ac:dyDescent="0.25">
      <c r="A1064" s="3">
        <v>45636</v>
      </c>
      <c r="B1064" s="4">
        <v>2024002986</v>
      </c>
      <c r="C1064" s="4" t="s">
        <v>752</v>
      </c>
      <c r="D1064" s="5">
        <v>7540000</v>
      </c>
      <c r="E1064" s="4">
        <v>1233189066</v>
      </c>
      <c r="F1064" s="4" t="s">
        <v>239</v>
      </c>
      <c r="G1064" t="s">
        <v>565</v>
      </c>
    </row>
    <row r="1065" spans="1:7" ht="15" customHeight="1" x14ac:dyDescent="0.25">
      <c r="A1065" s="3">
        <v>45636</v>
      </c>
      <c r="B1065" s="4">
        <v>2024002995</v>
      </c>
      <c r="C1065" s="4" t="s">
        <v>959</v>
      </c>
      <c r="D1065" s="5">
        <v>3000000</v>
      </c>
      <c r="E1065" s="4">
        <v>1085286725</v>
      </c>
      <c r="F1065" s="4" t="s">
        <v>111</v>
      </c>
      <c r="G1065" t="s">
        <v>565</v>
      </c>
    </row>
    <row r="1066" spans="1:7" ht="15" customHeight="1" x14ac:dyDescent="0.25">
      <c r="A1066" s="3">
        <v>45636</v>
      </c>
      <c r="B1066" s="4">
        <v>2024002996</v>
      </c>
      <c r="C1066" s="4" t="s">
        <v>795</v>
      </c>
      <c r="D1066" s="5">
        <v>3000000</v>
      </c>
      <c r="E1066" s="4">
        <v>1007356378</v>
      </c>
      <c r="F1066" s="4" t="s">
        <v>45</v>
      </c>
      <c r="G1066" t="s">
        <v>565</v>
      </c>
    </row>
    <row r="1067" spans="1:7" ht="15" customHeight="1" x14ac:dyDescent="0.25">
      <c r="A1067" s="3">
        <v>45636</v>
      </c>
      <c r="B1067" s="4">
        <v>2024002997</v>
      </c>
      <c r="C1067" s="4" t="s">
        <v>831</v>
      </c>
      <c r="D1067" s="5">
        <v>3000000</v>
      </c>
      <c r="E1067" s="4">
        <v>27087122</v>
      </c>
      <c r="F1067" s="4" t="s">
        <v>37</v>
      </c>
      <c r="G1067" t="s">
        <v>565</v>
      </c>
    </row>
    <row r="1068" spans="1:7" ht="15" customHeight="1" x14ac:dyDescent="0.25">
      <c r="A1068" s="3">
        <v>45636</v>
      </c>
      <c r="B1068" s="4">
        <v>2024002998</v>
      </c>
      <c r="C1068" s="4" t="s">
        <v>662</v>
      </c>
      <c r="D1068" s="5">
        <v>2500000</v>
      </c>
      <c r="E1068" s="4">
        <v>1085330079</v>
      </c>
      <c r="F1068" s="4" t="s">
        <v>293</v>
      </c>
      <c r="G1068" t="s">
        <v>565</v>
      </c>
    </row>
    <row r="1069" spans="1:7" ht="15" customHeight="1" x14ac:dyDescent="0.25">
      <c r="A1069" s="3">
        <v>45636</v>
      </c>
      <c r="B1069" s="4">
        <v>2024002999</v>
      </c>
      <c r="C1069" s="4" t="s">
        <v>706</v>
      </c>
      <c r="D1069" s="5">
        <v>7500000</v>
      </c>
      <c r="E1069" s="4">
        <v>1088599676</v>
      </c>
      <c r="F1069" s="4" t="s">
        <v>421</v>
      </c>
      <c r="G1069" t="s">
        <v>565</v>
      </c>
    </row>
    <row r="1070" spans="1:7" ht="15" customHeight="1" x14ac:dyDescent="0.25">
      <c r="A1070" s="3">
        <v>45636</v>
      </c>
      <c r="B1070" s="4">
        <v>2024003001</v>
      </c>
      <c r="C1070" s="4" t="s">
        <v>960</v>
      </c>
      <c r="D1070" s="5">
        <v>4750000</v>
      </c>
      <c r="E1070" s="4">
        <v>1233188873</v>
      </c>
      <c r="F1070" s="4" t="s">
        <v>961</v>
      </c>
      <c r="G1070" t="s">
        <v>565</v>
      </c>
    </row>
    <row r="1071" spans="1:7" ht="15" customHeight="1" x14ac:dyDescent="0.25">
      <c r="A1071" s="3">
        <v>45636</v>
      </c>
      <c r="B1071" s="4">
        <v>2024003002</v>
      </c>
      <c r="C1071" s="4" t="s">
        <v>962</v>
      </c>
      <c r="D1071" s="5">
        <v>3000000</v>
      </c>
      <c r="E1071" s="4">
        <v>1081272656</v>
      </c>
      <c r="F1071" s="4" t="s">
        <v>963</v>
      </c>
      <c r="G1071" t="s">
        <v>565</v>
      </c>
    </row>
    <row r="1072" spans="1:7" ht="15" customHeight="1" x14ac:dyDescent="0.25">
      <c r="A1072" s="3">
        <v>45637</v>
      </c>
      <c r="B1072" s="4">
        <v>2024003004</v>
      </c>
      <c r="C1072" s="4" t="s">
        <v>869</v>
      </c>
      <c r="D1072" s="5">
        <v>3000000</v>
      </c>
      <c r="E1072" s="4">
        <v>1004410201</v>
      </c>
      <c r="F1072" s="4" t="s">
        <v>403</v>
      </c>
      <c r="G1072" t="s">
        <v>565</v>
      </c>
    </row>
    <row r="1073" spans="1:7" ht="15" customHeight="1" x14ac:dyDescent="0.25">
      <c r="A1073" s="3">
        <v>45637</v>
      </c>
      <c r="B1073" s="4">
        <v>2024003005</v>
      </c>
      <c r="C1073" s="4" t="s">
        <v>644</v>
      </c>
      <c r="D1073" s="5">
        <v>55861750</v>
      </c>
      <c r="E1073" s="4">
        <v>900633448</v>
      </c>
      <c r="F1073" s="4" t="s">
        <v>165</v>
      </c>
      <c r="G1073" t="s">
        <v>565</v>
      </c>
    </row>
    <row r="1074" spans="1:7" ht="15" customHeight="1" x14ac:dyDescent="0.25">
      <c r="A1074" s="3">
        <v>45637</v>
      </c>
      <c r="B1074" s="4">
        <v>2024003006</v>
      </c>
      <c r="C1074" s="4" t="s">
        <v>635</v>
      </c>
      <c r="D1074" s="5">
        <v>85878450</v>
      </c>
      <c r="E1074" s="4">
        <v>900633448</v>
      </c>
      <c r="F1074" s="4" t="s">
        <v>165</v>
      </c>
      <c r="G1074" t="s">
        <v>565</v>
      </c>
    </row>
    <row r="1075" spans="1:7" ht="15" customHeight="1" x14ac:dyDescent="0.25">
      <c r="A1075" s="3">
        <v>45637</v>
      </c>
      <c r="B1075" s="4">
        <v>2024003007</v>
      </c>
      <c r="C1075" s="4" t="s">
        <v>830</v>
      </c>
      <c r="D1075" s="5">
        <v>2500000</v>
      </c>
      <c r="E1075" s="4">
        <v>1085289798</v>
      </c>
      <c r="F1075" s="4" t="s">
        <v>375</v>
      </c>
      <c r="G1075" t="s">
        <v>565</v>
      </c>
    </row>
    <row r="1076" spans="1:7" ht="15" customHeight="1" x14ac:dyDescent="0.25">
      <c r="A1076" s="3">
        <v>45637</v>
      </c>
      <c r="B1076" s="4">
        <v>2024003008</v>
      </c>
      <c r="C1076" s="4" t="s">
        <v>636</v>
      </c>
      <c r="D1076" s="5">
        <v>63773500</v>
      </c>
      <c r="E1076" s="4">
        <v>900633448</v>
      </c>
      <c r="F1076" s="4" t="s">
        <v>165</v>
      </c>
      <c r="G1076" t="s">
        <v>565</v>
      </c>
    </row>
    <row r="1077" spans="1:7" ht="15" customHeight="1" x14ac:dyDescent="0.25">
      <c r="A1077" s="3">
        <v>45637</v>
      </c>
      <c r="B1077" s="4">
        <v>2024003009</v>
      </c>
      <c r="C1077" s="4" t="s">
        <v>736</v>
      </c>
      <c r="D1077" s="5">
        <v>6000000</v>
      </c>
      <c r="E1077" s="4">
        <v>36954410</v>
      </c>
      <c r="F1077" s="4" t="s">
        <v>343</v>
      </c>
      <c r="G1077" t="s">
        <v>565</v>
      </c>
    </row>
    <row r="1078" spans="1:7" ht="15" customHeight="1" x14ac:dyDescent="0.25">
      <c r="A1078" s="3">
        <v>45637</v>
      </c>
      <c r="B1078" s="4">
        <v>2024003010</v>
      </c>
      <c r="C1078" s="4" t="s">
        <v>637</v>
      </c>
      <c r="D1078" s="5">
        <v>87508750</v>
      </c>
      <c r="E1078" s="4">
        <v>900633448</v>
      </c>
      <c r="F1078" s="4" t="s">
        <v>165</v>
      </c>
      <c r="G1078" t="s">
        <v>565</v>
      </c>
    </row>
    <row r="1079" spans="1:7" ht="15" customHeight="1" x14ac:dyDescent="0.25">
      <c r="A1079" s="3">
        <v>45637</v>
      </c>
      <c r="B1079" s="4">
        <v>2024003011</v>
      </c>
      <c r="C1079" s="4" t="s">
        <v>748</v>
      </c>
      <c r="D1079" s="5">
        <v>7540000</v>
      </c>
      <c r="E1079" s="4">
        <v>1085344794</v>
      </c>
      <c r="F1079" s="4" t="s">
        <v>749</v>
      </c>
      <c r="G1079" t="s">
        <v>565</v>
      </c>
    </row>
    <row r="1080" spans="1:7" ht="15" customHeight="1" x14ac:dyDescent="0.25">
      <c r="A1080" s="3">
        <v>45637</v>
      </c>
      <c r="B1080" s="4">
        <v>2024003012</v>
      </c>
      <c r="C1080" s="4" t="s">
        <v>885</v>
      </c>
      <c r="D1080" s="5">
        <v>3000000</v>
      </c>
      <c r="E1080" s="4">
        <v>1084224968</v>
      </c>
      <c r="F1080" s="4" t="s">
        <v>886</v>
      </c>
      <c r="G1080" t="s">
        <v>565</v>
      </c>
    </row>
    <row r="1081" spans="1:7" ht="15" customHeight="1" x14ac:dyDescent="0.25">
      <c r="A1081" s="3">
        <v>45637</v>
      </c>
      <c r="B1081" s="4">
        <v>2024003013</v>
      </c>
      <c r="C1081" s="4" t="s">
        <v>598</v>
      </c>
      <c r="D1081" s="5">
        <v>106164667</v>
      </c>
      <c r="E1081" s="4">
        <v>900994364</v>
      </c>
      <c r="F1081" s="4" t="s">
        <v>269</v>
      </c>
      <c r="G1081" t="s">
        <v>565</v>
      </c>
    </row>
    <row r="1082" spans="1:7" ht="15" customHeight="1" x14ac:dyDescent="0.25">
      <c r="A1082" s="3">
        <v>45637</v>
      </c>
      <c r="B1082" s="4">
        <v>2024003014</v>
      </c>
      <c r="C1082" s="4" t="s">
        <v>657</v>
      </c>
      <c r="D1082" s="5">
        <v>3000000</v>
      </c>
      <c r="E1082" s="4">
        <v>1081052746</v>
      </c>
      <c r="F1082" s="4" t="s">
        <v>658</v>
      </c>
      <c r="G1082" t="s">
        <v>565</v>
      </c>
    </row>
    <row r="1083" spans="1:7" ht="15" customHeight="1" x14ac:dyDescent="0.25">
      <c r="A1083" s="3">
        <v>45637</v>
      </c>
      <c r="B1083" s="4">
        <v>2024003016</v>
      </c>
      <c r="C1083" s="4" t="s">
        <v>744</v>
      </c>
      <c r="D1083" s="5">
        <v>7540000</v>
      </c>
      <c r="E1083" s="4">
        <v>1085293105</v>
      </c>
      <c r="F1083" s="4" t="s">
        <v>745</v>
      </c>
      <c r="G1083" t="s">
        <v>565</v>
      </c>
    </row>
    <row r="1084" spans="1:7" ht="15" customHeight="1" x14ac:dyDescent="0.25">
      <c r="A1084" s="3">
        <v>45637</v>
      </c>
      <c r="B1084" s="4">
        <v>2024003017</v>
      </c>
      <c r="C1084" s="4" t="s">
        <v>809</v>
      </c>
      <c r="D1084" s="5">
        <v>2500000</v>
      </c>
      <c r="E1084" s="4">
        <v>59830219</v>
      </c>
      <c r="F1084" s="4" t="s">
        <v>281</v>
      </c>
      <c r="G1084" t="s">
        <v>565</v>
      </c>
    </row>
    <row r="1085" spans="1:7" ht="15" customHeight="1" x14ac:dyDescent="0.25">
      <c r="A1085" s="3">
        <v>45637</v>
      </c>
      <c r="B1085" s="4">
        <v>2024003018</v>
      </c>
      <c r="C1085" s="4" t="s">
        <v>964</v>
      </c>
      <c r="D1085" s="5">
        <v>7540000</v>
      </c>
      <c r="E1085" s="4">
        <v>1085291725</v>
      </c>
      <c r="F1085" s="4" t="s">
        <v>965</v>
      </c>
      <c r="G1085" t="s">
        <v>565</v>
      </c>
    </row>
    <row r="1086" spans="1:7" ht="15" customHeight="1" x14ac:dyDescent="0.25">
      <c r="A1086" s="3">
        <v>45637</v>
      </c>
      <c r="B1086" s="4">
        <v>2024003019</v>
      </c>
      <c r="C1086" s="4" t="s">
        <v>916</v>
      </c>
      <c r="D1086" s="5">
        <v>3000000</v>
      </c>
      <c r="E1086" s="4">
        <v>30743783</v>
      </c>
      <c r="F1086" s="4" t="s">
        <v>504</v>
      </c>
      <c r="G1086" t="s">
        <v>565</v>
      </c>
    </row>
    <row r="1087" spans="1:7" ht="15" customHeight="1" x14ac:dyDescent="0.25">
      <c r="A1087" s="3">
        <v>45637</v>
      </c>
      <c r="B1087" s="4">
        <v>2024003020</v>
      </c>
      <c r="C1087" s="4" t="s">
        <v>715</v>
      </c>
      <c r="D1087" s="5">
        <v>3000000</v>
      </c>
      <c r="E1087" s="4">
        <v>1085318688</v>
      </c>
      <c r="F1087" s="4" t="s">
        <v>427</v>
      </c>
      <c r="G1087" t="s">
        <v>565</v>
      </c>
    </row>
    <row r="1088" spans="1:7" ht="15" customHeight="1" x14ac:dyDescent="0.25">
      <c r="A1088" s="3">
        <v>45637</v>
      </c>
      <c r="B1088" s="4">
        <v>2024003021</v>
      </c>
      <c r="C1088" s="4" t="s">
        <v>716</v>
      </c>
      <c r="D1088" s="5">
        <v>3000000</v>
      </c>
      <c r="E1088" s="4">
        <v>1085339190</v>
      </c>
      <c r="F1088" s="4" t="s">
        <v>149</v>
      </c>
      <c r="G1088" t="s">
        <v>565</v>
      </c>
    </row>
    <row r="1089" spans="1:7" ht="15" customHeight="1" x14ac:dyDescent="0.25">
      <c r="A1089" s="3">
        <v>45637</v>
      </c>
      <c r="B1089" s="4">
        <v>2024003022</v>
      </c>
      <c r="C1089" s="4" t="s">
        <v>801</v>
      </c>
      <c r="D1089" s="5">
        <v>2500000</v>
      </c>
      <c r="E1089" s="4">
        <v>12994466</v>
      </c>
      <c r="F1089" s="4" t="s">
        <v>802</v>
      </c>
      <c r="G1089" t="s">
        <v>565</v>
      </c>
    </row>
    <row r="1090" spans="1:7" ht="15" customHeight="1" x14ac:dyDescent="0.25">
      <c r="A1090" s="3">
        <v>45637</v>
      </c>
      <c r="B1090" s="4">
        <v>2024003023</v>
      </c>
      <c r="C1090" s="4" t="s">
        <v>892</v>
      </c>
      <c r="D1090" s="5">
        <v>3000000</v>
      </c>
      <c r="E1090" s="4">
        <v>13070330</v>
      </c>
      <c r="F1090" s="4" t="s">
        <v>101</v>
      </c>
      <c r="G1090" t="s">
        <v>565</v>
      </c>
    </row>
    <row r="1091" spans="1:7" ht="15" customHeight="1" x14ac:dyDescent="0.25">
      <c r="A1091" s="3">
        <v>45637</v>
      </c>
      <c r="B1091" s="4">
        <v>2024003024</v>
      </c>
      <c r="C1091" s="4" t="s">
        <v>714</v>
      </c>
      <c r="D1091" s="5">
        <v>4750000</v>
      </c>
      <c r="E1091" s="4">
        <v>59824313</v>
      </c>
      <c r="F1091" s="4" t="s">
        <v>151</v>
      </c>
      <c r="G1091" t="s">
        <v>565</v>
      </c>
    </row>
    <row r="1092" spans="1:7" ht="15" customHeight="1" x14ac:dyDescent="0.25">
      <c r="A1092" s="3">
        <v>45637</v>
      </c>
      <c r="B1092" s="4">
        <v>2024003025</v>
      </c>
      <c r="C1092" s="4" t="s">
        <v>704</v>
      </c>
      <c r="D1092" s="5">
        <v>4750000</v>
      </c>
      <c r="E1092" s="4">
        <v>36759759</v>
      </c>
      <c r="F1092" s="4" t="s">
        <v>705</v>
      </c>
      <c r="G1092" t="s">
        <v>565</v>
      </c>
    </row>
    <row r="1093" spans="1:7" ht="15" customHeight="1" x14ac:dyDescent="0.25">
      <c r="A1093" s="3">
        <v>45637</v>
      </c>
      <c r="B1093" s="4">
        <v>2024003026</v>
      </c>
      <c r="C1093" s="4" t="s">
        <v>853</v>
      </c>
      <c r="D1093" s="5">
        <v>4825000</v>
      </c>
      <c r="E1093" s="4">
        <v>1087643211</v>
      </c>
      <c r="F1093" s="4" t="s">
        <v>131</v>
      </c>
      <c r="G1093" t="s">
        <v>565</v>
      </c>
    </row>
    <row r="1094" spans="1:7" ht="15" customHeight="1" x14ac:dyDescent="0.25">
      <c r="A1094" s="3">
        <v>45637</v>
      </c>
      <c r="B1094" s="4">
        <v>2024003027</v>
      </c>
      <c r="C1094" s="4" t="s">
        <v>774</v>
      </c>
      <c r="D1094" s="5">
        <v>3000000</v>
      </c>
      <c r="E1094" s="4">
        <v>1081272025</v>
      </c>
      <c r="F1094" s="4" t="s">
        <v>59</v>
      </c>
      <c r="G1094" t="s">
        <v>565</v>
      </c>
    </row>
    <row r="1095" spans="1:7" ht="15" customHeight="1" x14ac:dyDescent="0.25">
      <c r="A1095" s="3">
        <v>45637</v>
      </c>
      <c r="B1095" s="4">
        <v>2024003028</v>
      </c>
      <c r="C1095" s="4" t="s">
        <v>775</v>
      </c>
      <c r="D1095" s="5">
        <v>3000000</v>
      </c>
      <c r="E1095" s="4">
        <v>1193385397</v>
      </c>
      <c r="F1095" s="4" t="s">
        <v>39</v>
      </c>
      <c r="G1095" t="s">
        <v>565</v>
      </c>
    </row>
    <row r="1096" spans="1:7" ht="15" customHeight="1" x14ac:dyDescent="0.25">
      <c r="A1096" s="3">
        <v>45637</v>
      </c>
      <c r="B1096" s="4">
        <v>2024003029</v>
      </c>
      <c r="C1096" s="4" t="s">
        <v>816</v>
      </c>
      <c r="D1096" s="5">
        <v>4750000</v>
      </c>
      <c r="E1096" s="4">
        <v>87060703</v>
      </c>
      <c r="F1096" s="4" t="s">
        <v>223</v>
      </c>
      <c r="G1096" t="s">
        <v>565</v>
      </c>
    </row>
    <row r="1097" spans="1:7" ht="15" customHeight="1" x14ac:dyDescent="0.25">
      <c r="A1097" s="3">
        <v>45637</v>
      </c>
      <c r="B1097" s="4">
        <v>2024003030</v>
      </c>
      <c r="C1097" s="4" t="s">
        <v>610</v>
      </c>
      <c r="D1097" s="5">
        <v>6000000</v>
      </c>
      <c r="E1097" s="4">
        <v>1085254626</v>
      </c>
      <c r="F1097" s="4" t="s">
        <v>143</v>
      </c>
      <c r="G1097" t="s">
        <v>565</v>
      </c>
    </row>
    <row r="1098" spans="1:7" ht="15" customHeight="1" x14ac:dyDescent="0.25">
      <c r="A1098" s="3">
        <v>45637</v>
      </c>
      <c r="B1098" s="4">
        <v>2024003031</v>
      </c>
      <c r="C1098" s="4" t="s">
        <v>646</v>
      </c>
      <c r="D1098" s="5">
        <v>7540000</v>
      </c>
      <c r="E1098" s="4">
        <v>1085332934</v>
      </c>
      <c r="F1098" s="4" t="s">
        <v>379</v>
      </c>
      <c r="G1098" t="s">
        <v>565</v>
      </c>
    </row>
    <row r="1099" spans="1:7" ht="15" customHeight="1" x14ac:dyDescent="0.25">
      <c r="A1099" s="3">
        <v>45637</v>
      </c>
      <c r="B1099" s="4">
        <v>2024003032</v>
      </c>
      <c r="C1099" s="4" t="s">
        <v>811</v>
      </c>
      <c r="D1099" s="5">
        <v>3000000</v>
      </c>
      <c r="E1099" s="4">
        <v>1085296353</v>
      </c>
      <c r="F1099" s="4" t="s">
        <v>187</v>
      </c>
      <c r="G1099" t="s">
        <v>565</v>
      </c>
    </row>
    <row r="1100" spans="1:7" ht="15" customHeight="1" x14ac:dyDescent="0.25">
      <c r="A1100" s="3">
        <v>45637</v>
      </c>
      <c r="B1100" s="4">
        <v>2024003033</v>
      </c>
      <c r="C1100" s="4" t="s">
        <v>709</v>
      </c>
      <c r="D1100" s="5">
        <v>4750000</v>
      </c>
      <c r="E1100" s="4">
        <v>1087414586</v>
      </c>
      <c r="F1100" s="4" t="s">
        <v>47</v>
      </c>
      <c r="G1100" t="s">
        <v>565</v>
      </c>
    </row>
    <row r="1101" spans="1:7" ht="15" customHeight="1" x14ac:dyDescent="0.25">
      <c r="A1101" s="3">
        <v>45637</v>
      </c>
      <c r="B1101" s="4">
        <v>2024003034</v>
      </c>
      <c r="C1101" s="4" t="s">
        <v>953</v>
      </c>
      <c r="D1101" s="5">
        <v>6000000</v>
      </c>
      <c r="E1101" s="4">
        <v>1087420025</v>
      </c>
      <c r="F1101" s="4" t="s">
        <v>954</v>
      </c>
      <c r="G1101" t="s">
        <v>565</v>
      </c>
    </row>
    <row r="1102" spans="1:7" ht="15" customHeight="1" x14ac:dyDescent="0.25">
      <c r="A1102" s="3">
        <v>45637</v>
      </c>
      <c r="B1102" s="4">
        <v>2024003035</v>
      </c>
      <c r="C1102" s="4" t="s">
        <v>888</v>
      </c>
      <c r="D1102" s="5">
        <v>7540000</v>
      </c>
      <c r="E1102" s="4">
        <v>1233193882</v>
      </c>
      <c r="F1102" s="4" t="s">
        <v>889</v>
      </c>
      <c r="G1102" t="s">
        <v>565</v>
      </c>
    </row>
    <row r="1103" spans="1:7" ht="15" customHeight="1" x14ac:dyDescent="0.25">
      <c r="A1103" s="3">
        <v>45637</v>
      </c>
      <c r="B1103" s="4">
        <v>2024003036</v>
      </c>
      <c r="C1103" s="4" t="s">
        <v>907</v>
      </c>
      <c r="D1103" s="5">
        <v>6000000</v>
      </c>
      <c r="E1103" s="4">
        <v>1004131723</v>
      </c>
      <c r="F1103" s="4" t="s">
        <v>908</v>
      </c>
      <c r="G1103" t="s">
        <v>565</v>
      </c>
    </row>
    <row r="1104" spans="1:7" ht="15" customHeight="1" x14ac:dyDescent="0.25">
      <c r="A1104" s="3">
        <v>45637</v>
      </c>
      <c r="B1104" s="4">
        <v>2024003040</v>
      </c>
      <c r="C1104" s="4" t="s">
        <v>607</v>
      </c>
      <c r="D1104" s="5">
        <v>3000000</v>
      </c>
      <c r="E1104" s="4">
        <v>1085295383</v>
      </c>
      <c r="F1104" s="4" t="s">
        <v>139</v>
      </c>
      <c r="G1104" t="s">
        <v>565</v>
      </c>
    </row>
    <row r="1105" spans="1:7" ht="15" customHeight="1" x14ac:dyDescent="0.25">
      <c r="A1105" s="3">
        <v>45637</v>
      </c>
      <c r="B1105" s="4">
        <v>2024003041</v>
      </c>
      <c r="C1105" s="4" t="s">
        <v>604</v>
      </c>
      <c r="D1105" s="5">
        <v>7540000</v>
      </c>
      <c r="E1105" s="4">
        <v>1085336362</v>
      </c>
      <c r="F1105" s="4" t="s">
        <v>41</v>
      </c>
      <c r="G1105" t="s">
        <v>565</v>
      </c>
    </row>
    <row r="1106" spans="1:7" ht="15" customHeight="1" x14ac:dyDescent="0.25">
      <c r="A1106" s="3">
        <v>45637</v>
      </c>
      <c r="B1106" s="4">
        <v>2024003042</v>
      </c>
      <c r="C1106" s="4" t="s">
        <v>734</v>
      </c>
      <c r="D1106" s="5">
        <v>4750000</v>
      </c>
      <c r="E1106" s="4">
        <v>1085343783</v>
      </c>
      <c r="F1106" s="4" t="s">
        <v>735</v>
      </c>
      <c r="G1106" t="s">
        <v>565</v>
      </c>
    </row>
    <row r="1107" spans="1:7" ht="15" customHeight="1" x14ac:dyDescent="0.25">
      <c r="A1107" s="3">
        <v>45637</v>
      </c>
      <c r="B1107" s="4">
        <v>2024003043</v>
      </c>
      <c r="C1107" s="4" t="s">
        <v>966</v>
      </c>
      <c r="D1107" s="5">
        <v>7540000</v>
      </c>
      <c r="E1107" s="4">
        <v>1085315800</v>
      </c>
      <c r="F1107" s="4" t="s">
        <v>967</v>
      </c>
      <c r="G1107" t="s">
        <v>565</v>
      </c>
    </row>
    <row r="1108" spans="1:7" ht="15" customHeight="1" x14ac:dyDescent="0.25">
      <c r="A1108" s="3">
        <v>45637</v>
      </c>
      <c r="B1108" s="4">
        <v>2024003044</v>
      </c>
      <c r="C1108" s="4" t="s">
        <v>968</v>
      </c>
      <c r="D1108" s="5">
        <v>7540000</v>
      </c>
      <c r="E1108" s="4">
        <v>1085327344</v>
      </c>
      <c r="F1108" s="4" t="s">
        <v>969</v>
      </c>
      <c r="G1108" t="s">
        <v>565</v>
      </c>
    </row>
    <row r="1109" spans="1:7" ht="15" customHeight="1" x14ac:dyDescent="0.25">
      <c r="A1109" s="3">
        <v>45637</v>
      </c>
      <c r="B1109" s="4">
        <v>2024003045</v>
      </c>
      <c r="C1109" s="4" t="s">
        <v>970</v>
      </c>
      <c r="D1109" s="5">
        <v>7540000</v>
      </c>
      <c r="E1109" s="4">
        <v>1085317791</v>
      </c>
      <c r="F1109" s="4" t="s">
        <v>971</v>
      </c>
      <c r="G1109" t="s">
        <v>565</v>
      </c>
    </row>
    <row r="1110" spans="1:7" ht="15" customHeight="1" x14ac:dyDescent="0.25">
      <c r="A1110" s="3">
        <v>45637</v>
      </c>
      <c r="B1110" s="4">
        <v>2024003046</v>
      </c>
      <c r="C1110" s="4" t="s">
        <v>972</v>
      </c>
      <c r="D1110" s="5">
        <v>4750000</v>
      </c>
      <c r="E1110" s="4">
        <v>59824800</v>
      </c>
      <c r="F1110" s="4" t="s">
        <v>973</v>
      </c>
      <c r="G1110" t="s">
        <v>565</v>
      </c>
    </row>
    <row r="1111" spans="1:7" ht="15" customHeight="1" x14ac:dyDescent="0.25">
      <c r="A1111" s="3">
        <v>45637</v>
      </c>
      <c r="B1111" s="4">
        <v>2024003047</v>
      </c>
      <c r="C1111" s="4" t="s">
        <v>974</v>
      </c>
      <c r="D1111" s="5">
        <v>6000000</v>
      </c>
      <c r="E1111" s="4">
        <v>79724257</v>
      </c>
      <c r="F1111" s="4" t="s">
        <v>425</v>
      </c>
      <c r="G1111" t="s">
        <v>565</v>
      </c>
    </row>
    <row r="1112" spans="1:7" ht="15" customHeight="1" x14ac:dyDescent="0.25">
      <c r="A1112" s="3">
        <v>45637</v>
      </c>
      <c r="B1112" s="4">
        <v>2024003048</v>
      </c>
      <c r="C1112" s="4" t="s">
        <v>975</v>
      </c>
      <c r="D1112" s="5">
        <v>916300</v>
      </c>
      <c r="E1112" s="4">
        <v>1085268450</v>
      </c>
      <c r="F1112" s="4" t="s">
        <v>976</v>
      </c>
      <c r="G1112" t="s">
        <v>565</v>
      </c>
    </row>
    <row r="1113" spans="1:7" ht="15" customHeight="1" x14ac:dyDescent="0.25">
      <c r="A1113" s="3">
        <v>45637</v>
      </c>
      <c r="B1113" s="4">
        <v>2024003049</v>
      </c>
      <c r="C1113" s="4" t="s">
        <v>944</v>
      </c>
      <c r="D1113" s="5">
        <v>2500000</v>
      </c>
      <c r="E1113" s="4">
        <v>36759281</v>
      </c>
      <c r="F1113" s="4" t="s">
        <v>341</v>
      </c>
      <c r="G1113" t="s">
        <v>565</v>
      </c>
    </row>
    <row r="1114" spans="1:7" ht="15" customHeight="1" x14ac:dyDescent="0.25">
      <c r="A1114" s="3">
        <v>45637</v>
      </c>
      <c r="B1114" s="4">
        <v>2024003050</v>
      </c>
      <c r="C1114" s="4" t="s">
        <v>977</v>
      </c>
      <c r="D1114" s="5">
        <v>4825000</v>
      </c>
      <c r="E1114" s="4">
        <v>59177204</v>
      </c>
      <c r="F1114" s="4" t="s">
        <v>978</v>
      </c>
      <c r="G1114" t="s">
        <v>565</v>
      </c>
    </row>
    <row r="1115" spans="1:7" ht="15" customHeight="1" x14ac:dyDescent="0.25">
      <c r="A1115" s="3">
        <v>45637</v>
      </c>
      <c r="B1115" s="4">
        <v>2024003051</v>
      </c>
      <c r="C1115" s="4" t="s">
        <v>979</v>
      </c>
      <c r="D1115" s="5">
        <v>4825000</v>
      </c>
      <c r="E1115" s="4">
        <v>1085306723</v>
      </c>
      <c r="F1115" s="4" t="s">
        <v>980</v>
      </c>
      <c r="G1115" t="s">
        <v>565</v>
      </c>
    </row>
    <row r="1116" spans="1:7" ht="15" customHeight="1" x14ac:dyDescent="0.25">
      <c r="A1116" s="3">
        <v>45637</v>
      </c>
      <c r="B1116" s="4">
        <v>2024003052</v>
      </c>
      <c r="C1116" s="4" t="s">
        <v>890</v>
      </c>
      <c r="D1116" s="5">
        <v>3000000</v>
      </c>
      <c r="E1116" s="4">
        <v>1085277516</v>
      </c>
      <c r="F1116" s="4" t="s">
        <v>891</v>
      </c>
      <c r="G1116" t="s">
        <v>565</v>
      </c>
    </row>
    <row r="1117" spans="1:7" ht="15" customHeight="1" x14ac:dyDescent="0.25">
      <c r="A1117" s="3">
        <v>45637</v>
      </c>
      <c r="B1117" s="4">
        <v>2024003053</v>
      </c>
      <c r="C1117" s="4" t="s">
        <v>692</v>
      </c>
      <c r="D1117" s="5">
        <v>3000000</v>
      </c>
      <c r="E1117" s="4">
        <v>1085275473</v>
      </c>
      <c r="F1117" s="4" t="s">
        <v>693</v>
      </c>
      <c r="G1117" t="s">
        <v>565</v>
      </c>
    </row>
    <row r="1118" spans="1:7" ht="15" customHeight="1" x14ac:dyDescent="0.25">
      <c r="A1118" s="3">
        <v>45637</v>
      </c>
      <c r="B1118" s="4">
        <v>2024003054</v>
      </c>
      <c r="C1118" s="4" t="s">
        <v>930</v>
      </c>
      <c r="D1118" s="5">
        <v>3000000</v>
      </c>
      <c r="E1118" s="4">
        <v>1085322676</v>
      </c>
      <c r="F1118" s="4" t="s">
        <v>931</v>
      </c>
      <c r="G1118" t="s">
        <v>565</v>
      </c>
    </row>
    <row r="1119" spans="1:7" ht="15" customHeight="1" x14ac:dyDescent="0.25">
      <c r="A1119" s="3">
        <v>45637</v>
      </c>
      <c r="B1119" s="4">
        <v>2024003055</v>
      </c>
      <c r="C1119" s="4" t="s">
        <v>675</v>
      </c>
      <c r="D1119" s="5">
        <v>3000000</v>
      </c>
      <c r="E1119" s="4">
        <v>59830040</v>
      </c>
      <c r="F1119" s="4" t="s">
        <v>297</v>
      </c>
      <c r="G1119" t="s">
        <v>565</v>
      </c>
    </row>
    <row r="1120" spans="1:7" ht="15" customHeight="1" x14ac:dyDescent="0.25">
      <c r="A1120" s="3">
        <v>45637</v>
      </c>
      <c r="B1120" s="4">
        <v>2024003056</v>
      </c>
      <c r="C1120" s="4" t="s">
        <v>778</v>
      </c>
      <c r="D1120" s="5">
        <v>3000000</v>
      </c>
      <c r="E1120" s="4">
        <v>1085324685</v>
      </c>
      <c r="F1120" s="4" t="s">
        <v>779</v>
      </c>
      <c r="G1120" t="s">
        <v>565</v>
      </c>
    </row>
    <row r="1121" spans="1:7" ht="15" customHeight="1" x14ac:dyDescent="0.25">
      <c r="A1121" s="3">
        <v>45637</v>
      </c>
      <c r="B1121" s="4">
        <v>2024003057</v>
      </c>
      <c r="C1121" s="4" t="s">
        <v>923</v>
      </c>
      <c r="D1121" s="5">
        <v>3000000</v>
      </c>
      <c r="E1121" s="4">
        <v>1085310350</v>
      </c>
      <c r="F1121" s="4" t="s">
        <v>924</v>
      </c>
      <c r="G1121" t="s">
        <v>565</v>
      </c>
    </row>
    <row r="1122" spans="1:7" ht="15" customHeight="1" x14ac:dyDescent="0.25">
      <c r="A1122" s="3">
        <v>45638</v>
      </c>
      <c r="B1122" s="4">
        <v>2024003058</v>
      </c>
      <c r="C1122" s="4" t="s">
        <v>742</v>
      </c>
      <c r="D1122" s="5">
        <v>3000000</v>
      </c>
      <c r="E1122" s="4">
        <v>1004709928</v>
      </c>
      <c r="F1122" s="4" t="s">
        <v>289</v>
      </c>
      <c r="G1122" t="s">
        <v>565</v>
      </c>
    </row>
    <row r="1123" spans="1:7" ht="15" customHeight="1" x14ac:dyDescent="0.25">
      <c r="A1123" s="3">
        <v>45638</v>
      </c>
      <c r="B1123" s="4">
        <v>2024003059</v>
      </c>
      <c r="C1123" s="4" t="s">
        <v>981</v>
      </c>
      <c r="D1123" s="5">
        <v>2200000</v>
      </c>
      <c r="E1123" s="4">
        <v>1233193716</v>
      </c>
      <c r="F1123" s="4" t="s">
        <v>597</v>
      </c>
      <c r="G1123" t="s">
        <v>565</v>
      </c>
    </row>
    <row r="1124" spans="1:7" ht="15" customHeight="1" x14ac:dyDescent="0.25">
      <c r="A1124" s="3">
        <v>45638</v>
      </c>
      <c r="B1124" s="4">
        <v>2024003060</v>
      </c>
      <c r="C1124" s="4" t="s">
        <v>919</v>
      </c>
      <c r="D1124" s="5">
        <v>3000000</v>
      </c>
      <c r="E1124" s="4">
        <v>1085260568</v>
      </c>
      <c r="F1124" s="4" t="s">
        <v>419</v>
      </c>
      <c r="G1124" t="s">
        <v>565</v>
      </c>
    </row>
    <row r="1125" spans="1:7" ht="15" customHeight="1" x14ac:dyDescent="0.25">
      <c r="A1125" s="3">
        <v>45638</v>
      </c>
      <c r="B1125" s="4">
        <v>2024003061</v>
      </c>
      <c r="C1125" s="4" t="s">
        <v>982</v>
      </c>
      <c r="D1125" s="5">
        <v>7540000</v>
      </c>
      <c r="E1125" s="4">
        <v>1085262570</v>
      </c>
      <c r="F1125" s="4" t="s">
        <v>983</v>
      </c>
      <c r="G1125" t="s">
        <v>565</v>
      </c>
    </row>
    <row r="1126" spans="1:7" ht="15" customHeight="1" x14ac:dyDescent="0.25">
      <c r="A1126" s="3">
        <v>45638</v>
      </c>
      <c r="B1126" s="4">
        <v>2024003062</v>
      </c>
      <c r="C1126" s="4" t="s">
        <v>857</v>
      </c>
      <c r="D1126" s="5">
        <v>2500000</v>
      </c>
      <c r="E1126" s="4">
        <v>37082480</v>
      </c>
      <c r="F1126" s="4" t="s">
        <v>858</v>
      </c>
      <c r="G1126" t="s">
        <v>565</v>
      </c>
    </row>
    <row r="1127" spans="1:7" ht="15" customHeight="1" x14ac:dyDescent="0.25">
      <c r="A1127" s="3">
        <v>45638</v>
      </c>
      <c r="B1127" s="4">
        <v>2024003063</v>
      </c>
      <c r="C1127" s="4" t="s">
        <v>720</v>
      </c>
      <c r="D1127" s="5">
        <v>4825000</v>
      </c>
      <c r="E1127" s="4">
        <v>87062845</v>
      </c>
      <c r="F1127" s="4" t="s">
        <v>133</v>
      </c>
      <c r="G1127" t="s">
        <v>565</v>
      </c>
    </row>
    <row r="1128" spans="1:7" ht="15" customHeight="1" x14ac:dyDescent="0.25">
      <c r="A1128" s="3">
        <v>45638</v>
      </c>
      <c r="B1128" s="4">
        <v>2024003064</v>
      </c>
      <c r="C1128" s="4" t="s">
        <v>860</v>
      </c>
      <c r="D1128" s="5">
        <v>6000000</v>
      </c>
      <c r="E1128" s="4">
        <v>1085337232</v>
      </c>
      <c r="F1128" s="4" t="s">
        <v>89</v>
      </c>
      <c r="G1128" t="s">
        <v>565</v>
      </c>
    </row>
    <row r="1129" spans="1:7" ht="15" customHeight="1" x14ac:dyDescent="0.25">
      <c r="A1129" s="3">
        <v>45638</v>
      </c>
      <c r="B1129" s="4">
        <v>2024003065</v>
      </c>
      <c r="C1129" s="4" t="s">
        <v>739</v>
      </c>
      <c r="D1129" s="5">
        <v>2500000</v>
      </c>
      <c r="E1129" s="4">
        <v>27090145</v>
      </c>
      <c r="F1129" s="4" t="s">
        <v>357</v>
      </c>
      <c r="G1129" t="s">
        <v>565</v>
      </c>
    </row>
    <row r="1130" spans="1:7" ht="15" customHeight="1" x14ac:dyDescent="0.25">
      <c r="A1130" s="3">
        <v>45638</v>
      </c>
      <c r="B1130" s="4">
        <v>2024003066</v>
      </c>
      <c r="C1130" s="4" t="s">
        <v>834</v>
      </c>
      <c r="D1130" s="5">
        <v>7540000</v>
      </c>
      <c r="E1130" s="4">
        <v>1085335767</v>
      </c>
      <c r="F1130" s="4" t="s">
        <v>231</v>
      </c>
      <c r="G1130" t="s">
        <v>565</v>
      </c>
    </row>
    <row r="1131" spans="1:7" ht="15" customHeight="1" x14ac:dyDescent="0.25">
      <c r="A1131" s="3">
        <v>45638</v>
      </c>
      <c r="B1131" s="4">
        <v>2024003067</v>
      </c>
      <c r="C1131" s="4" t="s">
        <v>601</v>
      </c>
      <c r="D1131" s="5">
        <v>6000000</v>
      </c>
      <c r="E1131" s="4">
        <v>27097289</v>
      </c>
      <c r="F1131" s="4" t="s">
        <v>49</v>
      </c>
      <c r="G1131" t="s">
        <v>565</v>
      </c>
    </row>
    <row r="1132" spans="1:7" ht="15" customHeight="1" x14ac:dyDescent="0.25">
      <c r="A1132" s="3">
        <v>45638</v>
      </c>
      <c r="B1132" s="4">
        <v>2024003068</v>
      </c>
      <c r="C1132" s="4" t="s">
        <v>867</v>
      </c>
      <c r="D1132" s="5">
        <v>4825000</v>
      </c>
      <c r="E1132" s="4">
        <v>1085291221</v>
      </c>
      <c r="F1132" s="4" t="s">
        <v>93</v>
      </c>
      <c r="G1132" t="s">
        <v>565</v>
      </c>
    </row>
    <row r="1133" spans="1:7" ht="15" customHeight="1" x14ac:dyDescent="0.25">
      <c r="A1133" s="3">
        <v>45638</v>
      </c>
      <c r="B1133" s="4">
        <v>2024003069</v>
      </c>
      <c r="C1133" s="4" t="s">
        <v>608</v>
      </c>
      <c r="D1133" s="5">
        <v>3000000</v>
      </c>
      <c r="E1133" s="4">
        <v>1085331508</v>
      </c>
      <c r="F1133" s="4" t="s">
        <v>35</v>
      </c>
      <c r="G1133" t="s">
        <v>565</v>
      </c>
    </row>
    <row r="1134" spans="1:7" ht="15" customHeight="1" x14ac:dyDescent="0.25">
      <c r="A1134" s="3">
        <v>45638</v>
      </c>
      <c r="B1134" s="4">
        <v>2024003070</v>
      </c>
      <c r="C1134" s="4" t="s">
        <v>602</v>
      </c>
      <c r="D1134" s="5">
        <v>7540000</v>
      </c>
      <c r="E1134" s="4">
        <v>1151934571</v>
      </c>
      <c r="F1134" s="4" t="s">
        <v>137</v>
      </c>
      <c r="G1134" t="s">
        <v>565</v>
      </c>
    </row>
    <row r="1135" spans="1:7" ht="15" customHeight="1" x14ac:dyDescent="0.25">
      <c r="A1135" s="3">
        <v>45638</v>
      </c>
      <c r="B1135" s="4">
        <v>2024003071</v>
      </c>
      <c r="C1135" s="4" t="s">
        <v>984</v>
      </c>
      <c r="D1135" s="5">
        <v>2733600</v>
      </c>
      <c r="E1135" s="4">
        <v>59835376</v>
      </c>
      <c r="F1135" s="4" t="s">
        <v>985</v>
      </c>
      <c r="G1135" t="s">
        <v>565</v>
      </c>
    </row>
    <row r="1136" spans="1:7" ht="15" customHeight="1" x14ac:dyDescent="0.25">
      <c r="A1136" s="3">
        <v>45638</v>
      </c>
      <c r="B1136" s="4">
        <v>2024003072</v>
      </c>
      <c r="C1136" s="4" t="s">
        <v>674</v>
      </c>
      <c r="D1136" s="5">
        <v>3000000</v>
      </c>
      <c r="E1136" s="4">
        <v>27285974</v>
      </c>
      <c r="F1136" s="4" t="s">
        <v>349</v>
      </c>
      <c r="G1136" t="s">
        <v>565</v>
      </c>
    </row>
    <row r="1137" spans="1:7" ht="15" customHeight="1" x14ac:dyDescent="0.25">
      <c r="A1137" s="3">
        <v>45638</v>
      </c>
      <c r="B1137" s="4">
        <v>2024003078</v>
      </c>
      <c r="C1137" s="4" t="s">
        <v>986</v>
      </c>
      <c r="D1137" s="5">
        <v>3000000</v>
      </c>
      <c r="E1137" s="4">
        <v>1086222977</v>
      </c>
      <c r="F1137" s="4" t="s">
        <v>987</v>
      </c>
      <c r="G1137" t="s">
        <v>565</v>
      </c>
    </row>
    <row r="1138" spans="1:7" ht="15" customHeight="1" x14ac:dyDescent="0.25">
      <c r="A1138" s="3">
        <v>45638</v>
      </c>
      <c r="B1138" s="4">
        <v>2024003079</v>
      </c>
      <c r="C1138" s="4" t="s">
        <v>666</v>
      </c>
      <c r="D1138" s="5">
        <v>2500000</v>
      </c>
      <c r="E1138" s="4">
        <v>12974849</v>
      </c>
      <c r="F1138" s="4" t="s">
        <v>51</v>
      </c>
      <c r="G1138" t="s">
        <v>565</v>
      </c>
    </row>
    <row r="1139" spans="1:7" ht="15" customHeight="1" x14ac:dyDescent="0.25">
      <c r="A1139" s="3">
        <v>45638</v>
      </c>
      <c r="B1139" s="4">
        <v>2024003080</v>
      </c>
      <c r="C1139" s="4" t="s">
        <v>988</v>
      </c>
      <c r="D1139" s="5">
        <v>3000000</v>
      </c>
      <c r="E1139" s="4">
        <v>1085255829</v>
      </c>
      <c r="F1139" s="4" t="s">
        <v>989</v>
      </c>
      <c r="G1139" t="s">
        <v>565</v>
      </c>
    </row>
    <row r="1140" spans="1:7" ht="15" customHeight="1" x14ac:dyDescent="0.25">
      <c r="A1140" s="3">
        <v>45638</v>
      </c>
      <c r="B1140" s="4">
        <v>2024003081</v>
      </c>
      <c r="C1140" s="4" t="s">
        <v>990</v>
      </c>
      <c r="D1140" s="5">
        <v>600000</v>
      </c>
      <c r="E1140" s="4">
        <v>1085283703</v>
      </c>
      <c r="F1140" s="4" t="s">
        <v>991</v>
      </c>
      <c r="G1140" t="s">
        <v>565</v>
      </c>
    </row>
    <row r="1141" spans="1:7" ht="15" customHeight="1" x14ac:dyDescent="0.25">
      <c r="A1141" s="3">
        <v>45638</v>
      </c>
      <c r="B1141" s="4">
        <v>2024003082</v>
      </c>
      <c r="C1141" s="4" t="s">
        <v>723</v>
      </c>
      <c r="D1141" s="5">
        <v>3000000</v>
      </c>
      <c r="E1141" s="4">
        <v>1080046034</v>
      </c>
      <c r="F1141" s="4" t="s">
        <v>724</v>
      </c>
      <c r="G1141" t="s">
        <v>565</v>
      </c>
    </row>
    <row r="1142" spans="1:7" ht="15" customHeight="1" x14ac:dyDescent="0.25">
      <c r="A1142" s="3">
        <v>45638</v>
      </c>
      <c r="B1142" s="4">
        <v>2024003083</v>
      </c>
      <c r="C1142" s="4" t="s">
        <v>725</v>
      </c>
      <c r="D1142" s="5">
        <v>4825000</v>
      </c>
      <c r="E1142" s="4">
        <v>27088141</v>
      </c>
      <c r="F1142" s="4" t="s">
        <v>515</v>
      </c>
      <c r="G1142" t="s">
        <v>565</v>
      </c>
    </row>
    <row r="1143" spans="1:7" ht="15" customHeight="1" x14ac:dyDescent="0.25">
      <c r="A1143" s="3">
        <v>45638</v>
      </c>
      <c r="B1143" s="4">
        <v>2024003084</v>
      </c>
      <c r="C1143" s="4" t="s">
        <v>713</v>
      </c>
      <c r="D1143" s="5">
        <v>3000000</v>
      </c>
      <c r="E1143" s="4">
        <v>1086328142</v>
      </c>
      <c r="F1143" s="4" t="s">
        <v>470</v>
      </c>
      <c r="G1143" t="s">
        <v>565</v>
      </c>
    </row>
    <row r="1144" spans="1:7" ht="15" customHeight="1" x14ac:dyDescent="0.25">
      <c r="A1144" s="3">
        <v>45638</v>
      </c>
      <c r="B1144" s="4">
        <v>2024003085</v>
      </c>
      <c r="C1144" s="4" t="s">
        <v>796</v>
      </c>
      <c r="D1144" s="5">
        <v>3000000</v>
      </c>
      <c r="E1144" s="4">
        <v>59311295</v>
      </c>
      <c r="F1144" s="4" t="s">
        <v>797</v>
      </c>
      <c r="G1144" t="s">
        <v>565</v>
      </c>
    </row>
    <row r="1145" spans="1:7" ht="15" customHeight="1" x14ac:dyDescent="0.25">
      <c r="A1145" s="3">
        <v>45638</v>
      </c>
      <c r="B1145" s="4">
        <v>2024003086</v>
      </c>
      <c r="C1145" s="4" t="s">
        <v>726</v>
      </c>
      <c r="D1145" s="5">
        <v>2500000</v>
      </c>
      <c r="E1145" s="4">
        <v>1085314075</v>
      </c>
      <c r="F1145" s="4" t="s">
        <v>327</v>
      </c>
      <c r="G1145" t="s">
        <v>565</v>
      </c>
    </row>
    <row r="1146" spans="1:7" ht="15" customHeight="1" x14ac:dyDescent="0.25">
      <c r="A1146" s="3">
        <v>45638</v>
      </c>
      <c r="B1146" s="4">
        <v>2024003087</v>
      </c>
      <c r="C1146" s="4" t="s">
        <v>617</v>
      </c>
      <c r="D1146" s="5">
        <v>6000000</v>
      </c>
      <c r="E1146" s="4">
        <v>1082748420</v>
      </c>
      <c r="F1146" s="4" t="s">
        <v>450</v>
      </c>
      <c r="G1146" t="s">
        <v>565</v>
      </c>
    </row>
    <row r="1147" spans="1:7" ht="15" customHeight="1" x14ac:dyDescent="0.25">
      <c r="A1147" s="3">
        <v>45638</v>
      </c>
      <c r="B1147" s="4">
        <v>2024003088</v>
      </c>
      <c r="C1147" s="4" t="s">
        <v>627</v>
      </c>
      <c r="D1147" s="5">
        <v>3000000</v>
      </c>
      <c r="E1147" s="4">
        <v>1085271641</v>
      </c>
      <c r="F1147" s="4" t="s">
        <v>251</v>
      </c>
      <c r="G1147" t="s">
        <v>565</v>
      </c>
    </row>
    <row r="1148" spans="1:7" ht="15" customHeight="1" x14ac:dyDescent="0.25">
      <c r="A1148" s="3">
        <v>45638</v>
      </c>
      <c r="B1148" s="4">
        <v>2024003089</v>
      </c>
      <c r="C1148" s="4" t="s">
        <v>643</v>
      </c>
      <c r="D1148" s="5">
        <v>3000000</v>
      </c>
      <c r="E1148" s="4">
        <v>1004232508</v>
      </c>
      <c r="F1148" s="4" t="s">
        <v>109</v>
      </c>
      <c r="G1148" t="s">
        <v>565</v>
      </c>
    </row>
    <row r="1149" spans="1:7" ht="15" customHeight="1" x14ac:dyDescent="0.25">
      <c r="A1149" s="3">
        <v>45638</v>
      </c>
      <c r="B1149" s="4">
        <v>2024003093</v>
      </c>
      <c r="C1149" s="4" t="s">
        <v>922</v>
      </c>
      <c r="D1149" s="5">
        <v>3000000</v>
      </c>
      <c r="E1149" s="4">
        <v>1193218691</v>
      </c>
      <c r="F1149" s="4" t="s">
        <v>191</v>
      </c>
      <c r="G1149" t="s">
        <v>565</v>
      </c>
    </row>
    <row r="1150" spans="1:7" ht="15" customHeight="1" x14ac:dyDescent="0.25">
      <c r="A1150" s="3">
        <v>45638</v>
      </c>
      <c r="B1150" s="4">
        <v>2024003094</v>
      </c>
      <c r="C1150" s="4" t="s">
        <v>848</v>
      </c>
      <c r="D1150" s="5">
        <v>3000000</v>
      </c>
      <c r="E1150" s="4">
        <v>1004299312</v>
      </c>
      <c r="F1150" s="4" t="s">
        <v>849</v>
      </c>
      <c r="G1150" t="s">
        <v>565</v>
      </c>
    </row>
    <row r="1151" spans="1:7" ht="15" customHeight="1" x14ac:dyDescent="0.25">
      <c r="A1151" s="3">
        <v>45638</v>
      </c>
      <c r="B1151" s="4">
        <v>2024003095</v>
      </c>
      <c r="C1151" s="4" t="s">
        <v>870</v>
      </c>
      <c r="D1151" s="5">
        <v>2500000</v>
      </c>
      <c r="E1151" s="4">
        <v>1081273343</v>
      </c>
      <c r="F1151" s="4" t="s">
        <v>339</v>
      </c>
      <c r="G1151" t="s">
        <v>565</v>
      </c>
    </row>
    <row r="1152" spans="1:7" ht="15" customHeight="1" x14ac:dyDescent="0.25">
      <c r="A1152" s="3">
        <v>45638</v>
      </c>
      <c r="B1152" s="4">
        <v>2024003097</v>
      </c>
      <c r="C1152" s="4" t="s">
        <v>761</v>
      </c>
      <c r="D1152" s="5">
        <v>7540000</v>
      </c>
      <c r="E1152" s="4">
        <v>1006946167</v>
      </c>
      <c r="F1152" s="4" t="s">
        <v>63</v>
      </c>
      <c r="G1152" t="s">
        <v>565</v>
      </c>
    </row>
    <row r="1153" spans="1:7" ht="15" customHeight="1" x14ac:dyDescent="0.25">
      <c r="A1153" s="3">
        <v>45638</v>
      </c>
      <c r="B1153" s="4">
        <v>2024003098</v>
      </c>
      <c r="C1153" s="4" t="s">
        <v>787</v>
      </c>
      <c r="D1153" s="5">
        <v>4750000</v>
      </c>
      <c r="E1153" s="4">
        <v>1085324546</v>
      </c>
      <c r="F1153" s="4" t="s">
        <v>29</v>
      </c>
      <c r="G1153" t="s">
        <v>565</v>
      </c>
    </row>
    <row r="1154" spans="1:7" ht="15" customHeight="1" x14ac:dyDescent="0.25">
      <c r="A1154" s="3">
        <v>45638</v>
      </c>
      <c r="B1154" s="4">
        <v>2024003099</v>
      </c>
      <c r="C1154" s="4" t="s">
        <v>846</v>
      </c>
      <c r="D1154" s="5">
        <v>4825000</v>
      </c>
      <c r="E1154" s="4">
        <v>1085269530</v>
      </c>
      <c r="F1154" s="4" t="s">
        <v>333</v>
      </c>
      <c r="G1154" t="s">
        <v>565</v>
      </c>
    </row>
    <row r="1155" spans="1:7" ht="15" customHeight="1" x14ac:dyDescent="0.25">
      <c r="A1155" s="3">
        <v>45638</v>
      </c>
      <c r="B1155" s="4">
        <v>2024003101</v>
      </c>
      <c r="C1155" s="4" t="s">
        <v>768</v>
      </c>
      <c r="D1155" s="5">
        <v>3000000</v>
      </c>
      <c r="E1155" s="4">
        <v>59314601</v>
      </c>
      <c r="F1155" s="4" t="s">
        <v>71</v>
      </c>
      <c r="G1155" t="s">
        <v>565</v>
      </c>
    </row>
    <row r="1156" spans="1:7" ht="15" customHeight="1" x14ac:dyDescent="0.25">
      <c r="A1156" s="3">
        <v>45638</v>
      </c>
      <c r="B1156" s="4">
        <v>2024003102</v>
      </c>
      <c r="C1156" s="4" t="s">
        <v>628</v>
      </c>
      <c r="D1156" s="5">
        <v>3000000</v>
      </c>
      <c r="E1156" s="4">
        <v>1192717330</v>
      </c>
      <c r="F1156" s="4" t="s">
        <v>277</v>
      </c>
      <c r="G1156" t="s">
        <v>565</v>
      </c>
    </row>
    <row r="1157" spans="1:7" ht="15" customHeight="1" x14ac:dyDescent="0.25">
      <c r="A1157" s="3">
        <v>45638</v>
      </c>
      <c r="B1157" s="4">
        <v>2024003103</v>
      </c>
      <c r="C1157" s="4" t="s">
        <v>633</v>
      </c>
      <c r="D1157" s="5">
        <v>7540000</v>
      </c>
      <c r="E1157" s="4">
        <v>36950112</v>
      </c>
      <c r="F1157" s="4" t="s">
        <v>634</v>
      </c>
      <c r="G1157" t="s">
        <v>565</v>
      </c>
    </row>
    <row r="1158" spans="1:7" ht="15" customHeight="1" x14ac:dyDescent="0.25">
      <c r="A1158" s="3">
        <v>45638</v>
      </c>
      <c r="B1158" s="4">
        <v>2024003104</v>
      </c>
      <c r="C1158" s="4" t="s">
        <v>711</v>
      </c>
      <c r="D1158" s="5">
        <v>3000000</v>
      </c>
      <c r="E1158" s="4">
        <v>36758143</v>
      </c>
      <c r="F1158" s="4" t="s">
        <v>107</v>
      </c>
      <c r="G1158" t="s">
        <v>565</v>
      </c>
    </row>
    <row r="1159" spans="1:7" ht="15" customHeight="1" x14ac:dyDescent="0.25">
      <c r="A1159" s="3">
        <v>45638</v>
      </c>
      <c r="B1159" s="4">
        <v>2024003105</v>
      </c>
      <c r="C1159" s="4" t="s">
        <v>677</v>
      </c>
      <c r="D1159" s="5">
        <v>3000000</v>
      </c>
      <c r="E1159" s="4">
        <v>1137624011</v>
      </c>
      <c r="F1159" s="4" t="s">
        <v>243</v>
      </c>
      <c r="G1159" t="s">
        <v>565</v>
      </c>
    </row>
    <row r="1160" spans="1:7" ht="15" customHeight="1" x14ac:dyDescent="0.25">
      <c r="A1160" s="3">
        <v>45638</v>
      </c>
      <c r="B1160" s="4">
        <v>2024003106</v>
      </c>
      <c r="C1160" s="4" t="s">
        <v>751</v>
      </c>
      <c r="D1160" s="5">
        <v>4750000</v>
      </c>
      <c r="E1160" s="4">
        <v>1233192618</v>
      </c>
      <c r="F1160" s="4" t="s">
        <v>351</v>
      </c>
      <c r="G1160" t="s">
        <v>565</v>
      </c>
    </row>
    <row r="1161" spans="1:7" ht="15" customHeight="1" x14ac:dyDescent="0.25">
      <c r="A1161" s="3">
        <v>45638</v>
      </c>
      <c r="B1161" s="4">
        <v>2024003107</v>
      </c>
      <c r="C1161" s="4" t="s">
        <v>699</v>
      </c>
      <c r="D1161" s="5">
        <v>7540000</v>
      </c>
      <c r="E1161" s="4">
        <v>1085321192</v>
      </c>
      <c r="F1161" s="4" t="s">
        <v>61</v>
      </c>
      <c r="G1161" t="s">
        <v>565</v>
      </c>
    </row>
    <row r="1162" spans="1:7" ht="15" customHeight="1" x14ac:dyDescent="0.25">
      <c r="A1162" s="3">
        <v>45638</v>
      </c>
      <c r="B1162" s="4">
        <v>2024003108</v>
      </c>
      <c r="C1162" s="4" t="s">
        <v>743</v>
      </c>
      <c r="D1162" s="5">
        <v>7540000</v>
      </c>
      <c r="E1162" s="4">
        <v>1085345430</v>
      </c>
      <c r="F1162" s="4" t="s">
        <v>359</v>
      </c>
      <c r="G1162" t="s">
        <v>565</v>
      </c>
    </row>
    <row r="1163" spans="1:7" ht="15" customHeight="1" x14ac:dyDescent="0.25">
      <c r="A1163" s="3">
        <v>45638</v>
      </c>
      <c r="B1163" s="4">
        <v>2024003109</v>
      </c>
      <c r="C1163" s="4" t="s">
        <v>612</v>
      </c>
      <c r="D1163" s="5">
        <v>4750000</v>
      </c>
      <c r="E1163" s="4">
        <v>27087475</v>
      </c>
      <c r="F1163" s="4" t="s">
        <v>571</v>
      </c>
      <c r="G1163" t="s">
        <v>565</v>
      </c>
    </row>
    <row r="1164" spans="1:7" ht="15" customHeight="1" x14ac:dyDescent="0.25">
      <c r="A1164" s="3">
        <v>45638</v>
      </c>
      <c r="B1164" s="4">
        <v>2024003110</v>
      </c>
      <c r="C1164" s="4" t="s">
        <v>631</v>
      </c>
      <c r="D1164" s="5">
        <v>6000000</v>
      </c>
      <c r="E1164" s="4">
        <v>1085246134</v>
      </c>
      <c r="F1164" s="4" t="s">
        <v>55</v>
      </c>
      <c r="G1164" t="s">
        <v>565</v>
      </c>
    </row>
    <row r="1165" spans="1:7" ht="15" customHeight="1" x14ac:dyDescent="0.25">
      <c r="A1165" s="3">
        <v>45638</v>
      </c>
      <c r="B1165" s="4">
        <v>2024003111</v>
      </c>
      <c r="C1165" s="4" t="s">
        <v>823</v>
      </c>
      <c r="D1165" s="5">
        <v>4750000</v>
      </c>
      <c r="E1165" s="4">
        <v>59312865</v>
      </c>
      <c r="F1165" s="4" t="s">
        <v>127</v>
      </c>
      <c r="G1165" t="s">
        <v>565</v>
      </c>
    </row>
    <row r="1166" spans="1:7" ht="15" customHeight="1" x14ac:dyDescent="0.25">
      <c r="A1166" s="3">
        <v>45638</v>
      </c>
      <c r="B1166" s="4">
        <v>2024003112</v>
      </c>
      <c r="C1166" s="4" t="s">
        <v>669</v>
      </c>
      <c r="D1166" s="5">
        <v>6000000</v>
      </c>
      <c r="E1166" s="4">
        <v>1193223736</v>
      </c>
      <c r="F1166" s="4" t="s">
        <v>670</v>
      </c>
      <c r="G1166" t="s">
        <v>565</v>
      </c>
    </row>
    <row r="1167" spans="1:7" ht="15" customHeight="1" x14ac:dyDescent="0.25">
      <c r="A1167" s="3">
        <v>45638</v>
      </c>
      <c r="B1167" s="4">
        <v>2024003113</v>
      </c>
      <c r="C1167" s="4" t="s">
        <v>740</v>
      </c>
      <c r="D1167" s="5">
        <v>6000000</v>
      </c>
      <c r="E1167" s="4">
        <v>37013610</v>
      </c>
      <c r="F1167" s="4" t="s">
        <v>25</v>
      </c>
      <c r="G1167" t="s">
        <v>565</v>
      </c>
    </row>
    <row r="1168" spans="1:7" ht="15" customHeight="1" x14ac:dyDescent="0.25">
      <c r="A1168" s="3">
        <v>45638</v>
      </c>
      <c r="B1168" s="4">
        <v>2024003114</v>
      </c>
      <c r="C1168" s="4" t="s">
        <v>824</v>
      </c>
      <c r="D1168" s="5">
        <v>4825000</v>
      </c>
      <c r="E1168" s="4">
        <v>1085321943</v>
      </c>
      <c r="F1168" s="4" t="s">
        <v>363</v>
      </c>
      <c r="G1168" t="s">
        <v>565</v>
      </c>
    </row>
    <row r="1169" spans="1:7" ht="15" customHeight="1" x14ac:dyDescent="0.25">
      <c r="A1169" s="3">
        <v>45638</v>
      </c>
      <c r="B1169" s="4">
        <v>2024003115</v>
      </c>
      <c r="C1169" s="4" t="s">
        <v>737</v>
      </c>
      <c r="D1169" s="5">
        <v>6000000</v>
      </c>
      <c r="E1169" s="4">
        <v>1085248939</v>
      </c>
      <c r="F1169" s="4" t="s">
        <v>437</v>
      </c>
      <c r="G1169" t="s">
        <v>565</v>
      </c>
    </row>
    <row r="1170" spans="1:7" ht="15" customHeight="1" x14ac:dyDescent="0.25">
      <c r="A1170" s="3">
        <v>45638</v>
      </c>
      <c r="B1170" s="4">
        <v>2024003116</v>
      </c>
      <c r="C1170" s="4" t="s">
        <v>600</v>
      </c>
      <c r="D1170" s="5">
        <v>6000000</v>
      </c>
      <c r="E1170" s="4">
        <v>59820414</v>
      </c>
      <c r="F1170" s="4" t="s">
        <v>261</v>
      </c>
      <c r="G1170" t="s">
        <v>565</v>
      </c>
    </row>
    <row r="1171" spans="1:7" ht="15" customHeight="1" x14ac:dyDescent="0.25">
      <c r="A1171" s="3">
        <v>45638</v>
      </c>
      <c r="B1171" s="4">
        <v>2024003117</v>
      </c>
      <c r="C1171" s="4" t="s">
        <v>765</v>
      </c>
      <c r="D1171" s="5">
        <v>2500000</v>
      </c>
      <c r="E1171" s="4">
        <v>59821968</v>
      </c>
      <c r="F1171" s="4" t="s">
        <v>766</v>
      </c>
      <c r="G1171" t="s">
        <v>565</v>
      </c>
    </row>
    <row r="1172" spans="1:7" ht="15" customHeight="1" x14ac:dyDescent="0.25">
      <c r="A1172" s="3">
        <v>45638</v>
      </c>
      <c r="B1172" s="4">
        <v>2024003118</v>
      </c>
      <c r="C1172" s="4" t="s">
        <v>684</v>
      </c>
      <c r="D1172" s="5">
        <v>3000000</v>
      </c>
      <c r="E1172" s="4">
        <v>59310524</v>
      </c>
      <c r="F1172" s="4" t="s">
        <v>992</v>
      </c>
      <c r="G1172" t="s">
        <v>565</v>
      </c>
    </row>
    <row r="1173" spans="1:7" ht="15" customHeight="1" x14ac:dyDescent="0.25">
      <c r="A1173" s="3">
        <v>45639</v>
      </c>
      <c r="B1173" s="4">
        <v>2024003120</v>
      </c>
      <c r="C1173" s="4" t="s">
        <v>719</v>
      </c>
      <c r="D1173" s="5">
        <v>2500000</v>
      </c>
      <c r="E1173" s="4">
        <v>27094521</v>
      </c>
      <c r="F1173" s="4" t="s">
        <v>285</v>
      </c>
      <c r="G1173" t="s">
        <v>565</v>
      </c>
    </row>
    <row r="1174" spans="1:7" ht="15" customHeight="1" x14ac:dyDescent="0.25">
      <c r="A1174" s="3">
        <v>45639</v>
      </c>
      <c r="B1174" s="4">
        <v>2024003121</v>
      </c>
      <c r="C1174" s="4" t="s">
        <v>993</v>
      </c>
      <c r="D1174" s="5">
        <v>3000000</v>
      </c>
      <c r="E1174" s="4">
        <v>1004508436</v>
      </c>
      <c r="F1174" s="4" t="s">
        <v>367</v>
      </c>
      <c r="G1174" t="s">
        <v>565</v>
      </c>
    </row>
    <row r="1175" spans="1:7" ht="15" customHeight="1" x14ac:dyDescent="0.25">
      <c r="A1175" s="3">
        <v>45639</v>
      </c>
      <c r="B1175" s="4">
        <v>2024003122</v>
      </c>
      <c r="C1175" s="4" t="s">
        <v>994</v>
      </c>
      <c r="D1175" s="5">
        <v>1416100</v>
      </c>
      <c r="E1175" s="4">
        <v>1085312811</v>
      </c>
      <c r="F1175" s="4" t="s">
        <v>995</v>
      </c>
      <c r="G1175" t="s">
        <v>565</v>
      </c>
    </row>
    <row r="1176" spans="1:7" ht="15" customHeight="1" x14ac:dyDescent="0.25">
      <c r="A1176" s="3">
        <v>45639</v>
      </c>
      <c r="B1176" s="4">
        <v>2024003123</v>
      </c>
      <c r="C1176" s="4" t="s">
        <v>680</v>
      </c>
      <c r="D1176" s="5">
        <v>3000000</v>
      </c>
      <c r="E1176" s="4">
        <v>1085290651</v>
      </c>
      <c r="F1176" s="4" t="s">
        <v>325</v>
      </c>
      <c r="G1176" t="s">
        <v>565</v>
      </c>
    </row>
    <row r="1177" spans="1:7" ht="15" customHeight="1" x14ac:dyDescent="0.25">
      <c r="A1177" s="3">
        <v>45639</v>
      </c>
      <c r="B1177" s="4">
        <v>2024003124</v>
      </c>
      <c r="C1177" s="4" t="s">
        <v>996</v>
      </c>
      <c r="D1177" s="5">
        <v>3000000</v>
      </c>
      <c r="E1177" s="4">
        <v>98391531</v>
      </c>
      <c r="F1177" s="4" t="s">
        <v>499</v>
      </c>
      <c r="G1177" t="s">
        <v>565</v>
      </c>
    </row>
    <row r="1178" spans="1:7" ht="15" customHeight="1" x14ac:dyDescent="0.25">
      <c r="A1178" s="3">
        <v>45639</v>
      </c>
      <c r="B1178" s="4">
        <v>2024003125</v>
      </c>
      <c r="C1178" s="4" t="s">
        <v>997</v>
      </c>
      <c r="D1178" s="5">
        <v>4750000</v>
      </c>
      <c r="E1178" s="4">
        <v>1085264667</v>
      </c>
      <c r="F1178" s="4" t="s">
        <v>464</v>
      </c>
      <c r="G1178" t="s">
        <v>565</v>
      </c>
    </row>
    <row r="1179" spans="1:7" ht="15" customHeight="1" x14ac:dyDescent="0.25">
      <c r="A1179" s="3">
        <v>45639</v>
      </c>
      <c r="B1179" s="4">
        <v>2024003126</v>
      </c>
      <c r="C1179" s="4" t="s">
        <v>998</v>
      </c>
      <c r="D1179" s="5">
        <v>2500000</v>
      </c>
      <c r="E1179" s="4">
        <v>1085318898</v>
      </c>
      <c r="F1179" s="4" t="s">
        <v>517</v>
      </c>
      <c r="G1179" t="s">
        <v>565</v>
      </c>
    </row>
    <row r="1180" spans="1:7" ht="15" customHeight="1" x14ac:dyDescent="0.25">
      <c r="A1180" s="3">
        <v>45639</v>
      </c>
      <c r="B1180" s="4">
        <v>2024003127</v>
      </c>
      <c r="C1180" s="4" t="s">
        <v>999</v>
      </c>
      <c r="D1180" s="5">
        <v>600000</v>
      </c>
      <c r="E1180" s="4">
        <v>59313539</v>
      </c>
      <c r="F1180" s="4" t="s">
        <v>1000</v>
      </c>
      <c r="G1180" t="s">
        <v>565</v>
      </c>
    </row>
    <row r="1181" spans="1:7" ht="15" customHeight="1" x14ac:dyDescent="0.25">
      <c r="A1181" s="3">
        <v>45639</v>
      </c>
      <c r="B1181" s="4">
        <v>2024003128</v>
      </c>
      <c r="C1181" s="4" t="s">
        <v>1001</v>
      </c>
      <c r="D1181" s="5">
        <v>3000000</v>
      </c>
      <c r="E1181" s="4">
        <v>1081053820</v>
      </c>
      <c r="F1181" s="4" t="s">
        <v>431</v>
      </c>
      <c r="G1181" t="s">
        <v>565</v>
      </c>
    </row>
    <row r="1182" spans="1:7" ht="15" customHeight="1" x14ac:dyDescent="0.25">
      <c r="A1182" s="3">
        <v>45639</v>
      </c>
      <c r="B1182" s="4">
        <v>2024003129</v>
      </c>
      <c r="C1182" s="4" t="s">
        <v>700</v>
      </c>
      <c r="D1182" s="5">
        <v>3000000</v>
      </c>
      <c r="E1182" s="4">
        <v>1085315209</v>
      </c>
      <c r="F1182" s="4" t="s">
        <v>701</v>
      </c>
      <c r="G1182" t="s">
        <v>565</v>
      </c>
    </row>
    <row r="1183" spans="1:7" ht="15" customHeight="1" x14ac:dyDescent="0.25">
      <c r="A1183" s="3">
        <v>45639</v>
      </c>
      <c r="B1183" s="4">
        <v>2024003130</v>
      </c>
      <c r="C1183" s="4" t="s">
        <v>731</v>
      </c>
      <c r="D1183" s="5">
        <v>2500000</v>
      </c>
      <c r="E1183" s="4">
        <v>1131085946</v>
      </c>
      <c r="F1183" s="4" t="s">
        <v>732</v>
      </c>
      <c r="G1183" t="s">
        <v>565</v>
      </c>
    </row>
    <row r="1184" spans="1:7" ht="15" customHeight="1" x14ac:dyDescent="0.25">
      <c r="A1184" s="3">
        <v>45639</v>
      </c>
      <c r="B1184" s="4">
        <v>2024003131</v>
      </c>
      <c r="C1184" s="4" t="s">
        <v>1002</v>
      </c>
      <c r="D1184" s="5">
        <v>1082900</v>
      </c>
      <c r="E1184" s="4">
        <v>36951530</v>
      </c>
      <c r="F1184" s="4" t="s">
        <v>1003</v>
      </c>
      <c r="G1184" t="s">
        <v>565</v>
      </c>
    </row>
    <row r="1185" spans="1:7" ht="15" customHeight="1" x14ac:dyDescent="0.25">
      <c r="A1185" s="3">
        <v>45639</v>
      </c>
      <c r="B1185" s="4">
        <v>2024003132</v>
      </c>
      <c r="C1185" s="4" t="s">
        <v>842</v>
      </c>
      <c r="D1185" s="5">
        <v>3000000</v>
      </c>
      <c r="E1185" s="4">
        <v>1010085543</v>
      </c>
      <c r="F1185" s="4" t="s">
        <v>265</v>
      </c>
      <c r="G1185" t="s">
        <v>565</v>
      </c>
    </row>
    <row r="1186" spans="1:7" ht="15" customHeight="1" x14ac:dyDescent="0.25">
      <c r="A1186" s="3">
        <v>45639</v>
      </c>
      <c r="B1186" s="4">
        <v>2024003134</v>
      </c>
      <c r="C1186" s="4" t="s">
        <v>788</v>
      </c>
      <c r="D1186" s="5">
        <v>3000000</v>
      </c>
      <c r="E1186" s="4">
        <v>1193265360</v>
      </c>
      <c r="F1186" s="4" t="s">
        <v>67</v>
      </c>
      <c r="G1186" t="s">
        <v>565</v>
      </c>
    </row>
    <row r="1187" spans="1:7" ht="15" customHeight="1" x14ac:dyDescent="0.25">
      <c r="A1187" s="3">
        <v>45639</v>
      </c>
      <c r="B1187" s="4">
        <v>2024003135</v>
      </c>
      <c r="C1187" s="4" t="s">
        <v>835</v>
      </c>
      <c r="D1187" s="5">
        <v>3000000</v>
      </c>
      <c r="E1187" s="4">
        <v>1081276146</v>
      </c>
      <c r="F1187" s="4" t="s">
        <v>836</v>
      </c>
      <c r="G1187" t="s">
        <v>565</v>
      </c>
    </row>
    <row r="1188" spans="1:7" ht="15" customHeight="1" x14ac:dyDescent="0.25">
      <c r="A1188" s="3">
        <v>45639</v>
      </c>
      <c r="B1188" s="4">
        <v>2024003136</v>
      </c>
      <c r="C1188" s="4" t="s">
        <v>844</v>
      </c>
      <c r="D1188" s="5">
        <v>6000000</v>
      </c>
      <c r="E1188" s="4">
        <v>1085254153</v>
      </c>
      <c r="F1188" s="4" t="s">
        <v>845</v>
      </c>
      <c r="G1188" t="s">
        <v>565</v>
      </c>
    </row>
    <row r="1189" spans="1:7" ht="15" customHeight="1" x14ac:dyDescent="0.25">
      <c r="A1189" s="3">
        <v>45639</v>
      </c>
      <c r="B1189" s="4">
        <v>2024003138</v>
      </c>
      <c r="C1189" s="4" t="s">
        <v>940</v>
      </c>
      <c r="D1189" s="5">
        <v>3000000</v>
      </c>
      <c r="E1189" s="4">
        <v>59813323</v>
      </c>
      <c r="F1189" s="4" t="s">
        <v>103</v>
      </c>
      <c r="G1189" t="s">
        <v>565</v>
      </c>
    </row>
    <row r="1190" spans="1:7" ht="15" customHeight="1" x14ac:dyDescent="0.25">
      <c r="A1190" s="3">
        <v>45639</v>
      </c>
      <c r="B1190" s="4">
        <v>2024003139</v>
      </c>
      <c r="C1190" s="4" t="s">
        <v>663</v>
      </c>
      <c r="D1190" s="5">
        <v>4750000</v>
      </c>
      <c r="E1190" s="4">
        <v>1085303067</v>
      </c>
      <c r="F1190" s="4" t="s">
        <v>105</v>
      </c>
      <c r="G1190" t="s">
        <v>565</v>
      </c>
    </row>
    <row r="1191" spans="1:7" ht="15" customHeight="1" x14ac:dyDescent="0.25">
      <c r="A1191" s="3">
        <v>45639</v>
      </c>
      <c r="B1191" s="4">
        <v>2024003140</v>
      </c>
      <c r="C1191" s="4" t="s">
        <v>769</v>
      </c>
      <c r="D1191" s="5">
        <v>3000000</v>
      </c>
      <c r="E1191" s="4">
        <v>1089846829</v>
      </c>
      <c r="F1191" s="4" t="s">
        <v>770</v>
      </c>
      <c r="G1191" t="s">
        <v>565</v>
      </c>
    </row>
    <row r="1192" spans="1:7" ht="15" customHeight="1" x14ac:dyDescent="0.25">
      <c r="A1192" s="3">
        <v>45639</v>
      </c>
      <c r="B1192" s="4">
        <v>2024003141</v>
      </c>
      <c r="C1192" s="4" t="s">
        <v>729</v>
      </c>
      <c r="D1192" s="5">
        <v>2500000</v>
      </c>
      <c r="E1192" s="4">
        <v>1085335069</v>
      </c>
      <c r="F1192" s="4" t="s">
        <v>730</v>
      </c>
      <c r="G1192" t="s">
        <v>565</v>
      </c>
    </row>
    <row r="1193" spans="1:7" ht="15" customHeight="1" x14ac:dyDescent="0.25">
      <c r="A1193" s="3">
        <v>45639</v>
      </c>
      <c r="B1193" s="4">
        <v>2024003142</v>
      </c>
      <c r="C1193" s="4" t="s">
        <v>777</v>
      </c>
      <c r="D1193" s="5">
        <v>3000000</v>
      </c>
      <c r="E1193" s="4">
        <v>1144206777</v>
      </c>
      <c r="F1193" s="4" t="s">
        <v>153</v>
      </c>
      <c r="G1193" t="s">
        <v>565</v>
      </c>
    </row>
    <row r="1194" spans="1:7" ht="15" customHeight="1" x14ac:dyDescent="0.25">
      <c r="A1194" s="3">
        <v>45639</v>
      </c>
      <c r="B1194" s="4">
        <v>2024003144</v>
      </c>
      <c r="C1194" s="4" t="s">
        <v>681</v>
      </c>
      <c r="D1194" s="5">
        <v>3000000</v>
      </c>
      <c r="E1194" s="4">
        <v>1085325325</v>
      </c>
      <c r="F1194" s="4" t="s">
        <v>682</v>
      </c>
      <c r="G1194" t="s">
        <v>565</v>
      </c>
    </row>
    <row r="1195" spans="1:7" ht="15" customHeight="1" x14ac:dyDescent="0.25">
      <c r="A1195" s="3">
        <v>45639</v>
      </c>
      <c r="B1195" s="4">
        <v>2024003145</v>
      </c>
      <c r="C1195" s="4" t="s">
        <v>1004</v>
      </c>
      <c r="D1195" s="5">
        <v>6000000</v>
      </c>
      <c r="E1195" s="4">
        <v>59825948</v>
      </c>
      <c r="F1195" s="4" t="s">
        <v>1005</v>
      </c>
      <c r="G1195" t="s">
        <v>565</v>
      </c>
    </row>
    <row r="1196" spans="1:7" ht="15" customHeight="1" x14ac:dyDescent="0.25">
      <c r="A1196" s="3">
        <v>45639</v>
      </c>
      <c r="B1196" s="4">
        <v>2024003146</v>
      </c>
      <c r="C1196" s="4" t="s">
        <v>1006</v>
      </c>
      <c r="D1196" s="5">
        <v>1416100</v>
      </c>
      <c r="E1196" s="4">
        <v>36754171</v>
      </c>
      <c r="F1196" s="4" t="s">
        <v>1007</v>
      </c>
      <c r="G1196" t="s">
        <v>565</v>
      </c>
    </row>
    <row r="1197" spans="1:7" ht="15" customHeight="1" x14ac:dyDescent="0.25">
      <c r="A1197" s="3">
        <v>45639</v>
      </c>
      <c r="B1197" s="4">
        <v>2024003147</v>
      </c>
      <c r="C1197" s="4" t="s">
        <v>786</v>
      </c>
      <c r="D1197" s="5">
        <v>3000000</v>
      </c>
      <c r="E1197" s="4">
        <v>69028150</v>
      </c>
      <c r="F1197" s="4" t="s">
        <v>171</v>
      </c>
      <c r="G1197" t="s">
        <v>565</v>
      </c>
    </row>
    <row r="1198" spans="1:7" ht="15" customHeight="1" x14ac:dyDescent="0.25">
      <c r="A1198" s="3">
        <v>45639</v>
      </c>
      <c r="B1198" s="4">
        <v>2024003148</v>
      </c>
      <c r="C1198" s="4" t="s">
        <v>1008</v>
      </c>
      <c r="D1198" s="5">
        <v>3000000</v>
      </c>
      <c r="E1198" s="4">
        <v>1085265947</v>
      </c>
      <c r="F1198" s="4" t="s">
        <v>1009</v>
      </c>
      <c r="G1198" t="s">
        <v>565</v>
      </c>
    </row>
    <row r="1199" spans="1:7" ht="15" customHeight="1" x14ac:dyDescent="0.25">
      <c r="A1199" s="3">
        <v>45639</v>
      </c>
      <c r="B1199" s="4">
        <v>2024003149</v>
      </c>
      <c r="C1199" s="4" t="s">
        <v>1010</v>
      </c>
      <c r="D1199" s="5">
        <v>3000000</v>
      </c>
      <c r="E1199" s="4">
        <v>1004131976</v>
      </c>
      <c r="F1199" s="4" t="s">
        <v>1011</v>
      </c>
      <c r="G1199" t="s">
        <v>565</v>
      </c>
    </row>
    <row r="1200" spans="1:7" ht="15" customHeight="1" x14ac:dyDescent="0.25">
      <c r="A1200" s="3">
        <v>45639</v>
      </c>
      <c r="B1200" s="4">
        <v>2024003150</v>
      </c>
      <c r="C1200" s="4" t="s">
        <v>1012</v>
      </c>
      <c r="D1200" s="5">
        <v>4825000</v>
      </c>
      <c r="E1200" s="4">
        <v>1085289539</v>
      </c>
      <c r="F1200" s="4" t="s">
        <v>1013</v>
      </c>
      <c r="G1200" t="s">
        <v>565</v>
      </c>
    </row>
    <row r="1201" spans="1:7" ht="15" customHeight="1" x14ac:dyDescent="0.25">
      <c r="A1201" s="3">
        <v>45639</v>
      </c>
      <c r="B1201" s="4">
        <v>2024003151</v>
      </c>
      <c r="C1201" s="4" t="s">
        <v>764</v>
      </c>
      <c r="D1201" s="5">
        <v>3000000</v>
      </c>
      <c r="E1201" s="4">
        <v>36757213</v>
      </c>
      <c r="F1201" s="4" t="s">
        <v>411</v>
      </c>
      <c r="G1201" t="s">
        <v>565</v>
      </c>
    </row>
    <row r="1202" spans="1:7" ht="15" customHeight="1" x14ac:dyDescent="0.25">
      <c r="A1202" s="3">
        <v>45639</v>
      </c>
      <c r="B1202" s="4">
        <v>2024003152</v>
      </c>
      <c r="C1202" s="4" t="s">
        <v>664</v>
      </c>
      <c r="D1202" s="5">
        <v>4750000</v>
      </c>
      <c r="E1202" s="4">
        <v>59821282</v>
      </c>
      <c r="F1202" s="4" t="s">
        <v>135</v>
      </c>
      <c r="G1202" t="s">
        <v>565</v>
      </c>
    </row>
    <row r="1203" spans="1:7" ht="15" customHeight="1" x14ac:dyDescent="0.25">
      <c r="A1203" s="3">
        <v>45639</v>
      </c>
      <c r="B1203" s="4">
        <v>2024003153</v>
      </c>
      <c r="C1203" s="4" t="s">
        <v>855</v>
      </c>
      <c r="D1203" s="5">
        <v>4750000</v>
      </c>
      <c r="E1203" s="4">
        <v>1193383306</v>
      </c>
      <c r="F1203" s="4" t="s">
        <v>267</v>
      </c>
      <c r="G1203" t="s">
        <v>565</v>
      </c>
    </row>
    <row r="1204" spans="1:7" ht="15" customHeight="1" x14ac:dyDescent="0.25">
      <c r="A1204" s="3">
        <v>45639</v>
      </c>
      <c r="B1204" s="4">
        <v>2024003154</v>
      </c>
      <c r="C1204" s="4" t="s">
        <v>852</v>
      </c>
      <c r="D1204" s="5">
        <v>2500000</v>
      </c>
      <c r="E1204" s="4">
        <v>1085337465</v>
      </c>
      <c r="F1204" s="4" t="s">
        <v>315</v>
      </c>
      <c r="G1204" t="s">
        <v>565</v>
      </c>
    </row>
    <row r="1205" spans="1:7" ht="15" customHeight="1" x14ac:dyDescent="0.25">
      <c r="A1205" s="3">
        <v>45639</v>
      </c>
      <c r="B1205" s="4">
        <v>2024003155</v>
      </c>
      <c r="C1205" s="4" t="s">
        <v>659</v>
      </c>
      <c r="D1205" s="5">
        <v>3000000</v>
      </c>
      <c r="E1205" s="4">
        <v>59178610</v>
      </c>
      <c r="F1205" s="4" t="s">
        <v>97</v>
      </c>
      <c r="G1205" t="s">
        <v>565</v>
      </c>
    </row>
    <row r="1206" spans="1:7" ht="15" customHeight="1" x14ac:dyDescent="0.25">
      <c r="A1206" s="3">
        <v>45639</v>
      </c>
      <c r="B1206" s="4">
        <v>2024003156</v>
      </c>
      <c r="C1206" s="4" t="s">
        <v>678</v>
      </c>
      <c r="D1206" s="5">
        <v>3000000</v>
      </c>
      <c r="E1206" s="4">
        <v>36954407</v>
      </c>
      <c r="F1206" s="4" t="s">
        <v>679</v>
      </c>
      <c r="G1206" t="s">
        <v>565</v>
      </c>
    </row>
    <row r="1207" spans="1:7" ht="15" customHeight="1" x14ac:dyDescent="0.25">
      <c r="A1207" s="3">
        <v>45639</v>
      </c>
      <c r="B1207" s="4">
        <v>2024003157</v>
      </c>
      <c r="C1207" s="4" t="s">
        <v>818</v>
      </c>
      <c r="D1207" s="5">
        <v>3000000</v>
      </c>
      <c r="E1207" s="4">
        <v>27082649</v>
      </c>
      <c r="F1207" s="4" t="s">
        <v>595</v>
      </c>
      <c r="G1207" t="s">
        <v>565</v>
      </c>
    </row>
    <row r="1208" spans="1:7" ht="15" customHeight="1" x14ac:dyDescent="0.25">
      <c r="A1208" s="3">
        <v>45639</v>
      </c>
      <c r="B1208" s="4">
        <v>2024003158</v>
      </c>
      <c r="C1208" s="4" t="s">
        <v>932</v>
      </c>
      <c r="D1208" s="5">
        <v>7540000</v>
      </c>
      <c r="E1208" s="4">
        <v>1085296958</v>
      </c>
      <c r="F1208" s="4" t="s">
        <v>401</v>
      </c>
      <c r="G1208" t="s">
        <v>565</v>
      </c>
    </row>
    <row r="1209" spans="1:7" ht="15" customHeight="1" x14ac:dyDescent="0.25">
      <c r="A1209" s="3">
        <v>45642</v>
      </c>
      <c r="B1209" s="4">
        <v>2024003159</v>
      </c>
      <c r="C1209" s="4" t="s">
        <v>941</v>
      </c>
      <c r="D1209" s="5">
        <v>4825000</v>
      </c>
      <c r="E1209" s="4">
        <v>1085332406</v>
      </c>
      <c r="F1209" s="4" t="s">
        <v>273</v>
      </c>
      <c r="G1209" t="s">
        <v>565</v>
      </c>
    </row>
    <row r="1210" spans="1:7" ht="15" customHeight="1" x14ac:dyDescent="0.25">
      <c r="A1210" s="3">
        <v>45642</v>
      </c>
      <c r="B1210" s="4">
        <v>2024003160</v>
      </c>
      <c r="C1210" s="4" t="s">
        <v>1014</v>
      </c>
      <c r="D1210" s="5">
        <v>916300</v>
      </c>
      <c r="E1210" s="4">
        <v>30736949</v>
      </c>
      <c r="F1210" s="4" t="s">
        <v>557</v>
      </c>
      <c r="G1210" t="s">
        <v>565</v>
      </c>
    </row>
    <row r="1211" spans="1:7" ht="15" customHeight="1" x14ac:dyDescent="0.25">
      <c r="A1211" s="3">
        <v>45642</v>
      </c>
      <c r="B1211" s="4">
        <v>2024003161</v>
      </c>
      <c r="C1211" s="4" t="s">
        <v>1014</v>
      </c>
      <c r="D1211" s="5">
        <v>2500000</v>
      </c>
      <c r="E1211" s="4">
        <v>30736949</v>
      </c>
      <c r="F1211" s="4" t="s">
        <v>557</v>
      </c>
      <c r="G1211" t="s">
        <v>565</v>
      </c>
    </row>
    <row r="1212" spans="1:7" ht="15" customHeight="1" x14ac:dyDescent="0.25">
      <c r="A1212" s="3">
        <v>45642</v>
      </c>
      <c r="B1212" s="4">
        <v>2024003162</v>
      </c>
      <c r="C1212" s="4" t="s">
        <v>1015</v>
      </c>
      <c r="D1212" s="5">
        <v>804000</v>
      </c>
      <c r="E1212" s="4">
        <v>1080900817</v>
      </c>
      <c r="F1212" s="4" t="s">
        <v>1016</v>
      </c>
      <c r="G1212" t="s">
        <v>565</v>
      </c>
    </row>
    <row r="1213" spans="1:7" ht="15" customHeight="1" x14ac:dyDescent="0.25">
      <c r="A1213" s="3">
        <v>45642</v>
      </c>
      <c r="B1213" s="4">
        <v>2024003163</v>
      </c>
      <c r="C1213" s="4" t="s">
        <v>1017</v>
      </c>
      <c r="D1213" s="5">
        <v>7540000</v>
      </c>
      <c r="E1213" s="4">
        <v>1193279435</v>
      </c>
      <c r="F1213" s="4" t="s">
        <v>435</v>
      </c>
      <c r="G1213" t="s">
        <v>565</v>
      </c>
    </row>
    <row r="1214" spans="1:7" ht="15" customHeight="1" x14ac:dyDescent="0.25">
      <c r="A1214" s="3">
        <v>45642</v>
      </c>
      <c r="B1214" s="4">
        <v>2024003164</v>
      </c>
      <c r="C1214" s="4" t="s">
        <v>929</v>
      </c>
      <c r="D1214" s="5">
        <v>7540000</v>
      </c>
      <c r="E1214" s="4">
        <v>87065647</v>
      </c>
      <c r="F1214" s="4" t="s">
        <v>43</v>
      </c>
      <c r="G1214" t="s">
        <v>565</v>
      </c>
    </row>
    <row r="1215" spans="1:7" ht="15" customHeight="1" x14ac:dyDescent="0.25">
      <c r="A1215" s="3">
        <v>45642</v>
      </c>
      <c r="B1215" s="4">
        <v>2024003165</v>
      </c>
      <c r="C1215" s="4" t="s">
        <v>803</v>
      </c>
      <c r="D1215" s="5">
        <v>7540000</v>
      </c>
      <c r="E1215" s="4">
        <v>80765093</v>
      </c>
      <c r="F1215" s="4" t="s">
        <v>69</v>
      </c>
      <c r="G1215" t="s">
        <v>565</v>
      </c>
    </row>
    <row r="1216" spans="1:7" ht="15" customHeight="1" x14ac:dyDescent="0.25">
      <c r="A1216" s="3">
        <v>45642</v>
      </c>
      <c r="B1216" s="4">
        <v>2024003166</v>
      </c>
      <c r="C1216" s="4" t="s">
        <v>746</v>
      </c>
      <c r="D1216" s="5">
        <v>7540000</v>
      </c>
      <c r="E1216" s="4">
        <v>1233191998</v>
      </c>
      <c r="F1216" s="4" t="s">
        <v>747</v>
      </c>
      <c r="G1216" t="s">
        <v>565</v>
      </c>
    </row>
    <row r="1217" spans="1:7" ht="15" customHeight="1" x14ac:dyDescent="0.25">
      <c r="A1217" s="3">
        <v>45642</v>
      </c>
      <c r="B1217" s="4">
        <v>2024003167</v>
      </c>
      <c r="C1217" s="4" t="s">
        <v>661</v>
      </c>
      <c r="D1217" s="5">
        <v>6000000</v>
      </c>
      <c r="E1217" s="4">
        <v>59837608</v>
      </c>
      <c r="F1217" s="4" t="s">
        <v>145</v>
      </c>
      <c r="G1217" t="s">
        <v>565</v>
      </c>
    </row>
    <row r="1218" spans="1:7" ht="15" customHeight="1" x14ac:dyDescent="0.25">
      <c r="A1218" s="3">
        <v>45642</v>
      </c>
      <c r="B1218" s="4">
        <v>2024003168</v>
      </c>
      <c r="C1218" s="4" t="s">
        <v>894</v>
      </c>
      <c r="D1218" s="5">
        <v>6000000</v>
      </c>
      <c r="E1218" s="4">
        <v>1085272491</v>
      </c>
      <c r="F1218" s="4" t="s">
        <v>895</v>
      </c>
      <c r="G1218" t="s">
        <v>565</v>
      </c>
    </row>
    <row r="1219" spans="1:7" ht="15" customHeight="1" x14ac:dyDescent="0.25">
      <c r="A1219" s="3">
        <v>45642</v>
      </c>
      <c r="B1219" s="4">
        <v>2024003169</v>
      </c>
      <c r="C1219" s="4" t="s">
        <v>913</v>
      </c>
      <c r="D1219" s="5">
        <v>4750000</v>
      </c>
      <c r="E1219" s="4">
        <v>36953206</v>
      </c>
      <c r="F1219" s="4" t="s">
        <v>391</v>
      </c>
      <c r="G1219" t="s">
        <v>565</v>
      </c>
    </row>
    <row r="1220" spans="1:7" ht="15" customHeight="1" x14ac:dyDescent="0.25">
      <c r="A1220" s="3">
        <v>45642</v>
      </c>
      <c r="B1220" s="4">
        <v>2024003170</v>
      </c>
      <c r="C1220" s="4" t="s">
        <v>638</v>
      </c>
      <c r="D1220" s="5">
        <v>6000000</v>
      </c>
      <c r="E1220" s="4">
        <v>1010010954</v>
      </c>
      <c r="F1220" s="4" t="s">
        <v>337</v>
      </c>
      <c r="G1220" t="s">
        <v>565</v>
      </c>
    </row>
    <row r="1221" spans="1:7" ht="15" customHeight="1" x14ac:dyDescent="0.25">
      <c r="A1221" s="3">
        <v>45642</v>
      </c>
      <c r="B1221" s="4">
        <v>2024003171</v>
      </c>
      <c r="C1221" s="4" t="s">
        <v>808</v>
      </c>
      <c r="D1221" s="5">
        <v>3000000</v>
      </c>
      <c r="E1221" s="4">
        <v>1085330237</v>
      </c>
      <c r="F1221" s="4" t="s">
        <v>255</v>
      </c>
      <c r="G1221" t="s">
        <v>565</v>
      </c>
    </row>
    <row r="1222" spans="1:7" ht="15" customHeight="1" x14ac:dyDescent="0.25">
      <c r="A1222" s="3">
        <v>45642</v>
      </c>
      <c r="B1222" s="4">
        <v>2024003172</v>
      </c>
      <c r="C1222" s="4" t="s">
        <v>805</v>
      </c>
      <c r="D1222" s="5">
        <v>3000000</v>
      </c>
      <c r="E1222" s="4">
        <v>59834953</v>
      </c>
      <c r="F1222" s="4" t="s">
        <v>121</v>
      </c>
      <c r="G1222" t="s">
        <v>565</v>
      </c>
    </row>
    <row r="1223" spans="1:7" ht="15" customHeight="1" x14ac:dyDescent="0.25">
      <c r="A1223" s="3">
        <v>45642</v>
      </c>
      <c r="B1223" s="4">
        <v>2024003173</v>
      </c>
      <c r="C1223" s="4" t="s">
        <v>810</v>
      </c>
      <c r="D1223" s="5">
        <v>4825000</v>
      </c>
      <c r="E1223" s="4">
        <v>1085337969</v>
      </c>
      <c r="F1223" s="4" t="s">
        <v>99</v>
      </c>
      <c r="G1223" t="s">
        <v>565</v>
      </c>
    </row>
    <row r="1224" spans="1:7" ht="15" customHeight="1" x14ac:dyDescent="0.25">
      <c r="A1224" s="3">
        <v>45642</v>
      </c>
      <c r="B1224" s="4">
        <v>2024003174</v>
      </c>
      <c r="C1224" s="4" t="s">
        <v>914</v>
      </c>
      <c r="D1224" s="5">
        <v>4750000</v>
      </c>
      <c r="E1224" s="4">
        <v>1018492767</v>
      </c>
      <c r="F1224" s="4" t="s">
        <v>915</v>
      </c>
      <c r="G1224" t="s">
        <v>565</v>
      </c>
    </row>
    <row r="1225" spans="1:7" ht="15" customHeight="1" x14ac:dyDescent="0.25">
      <c r="A1225" s="3">
        <v>45642</v>
      </c>
      <c r="B1225" s="4">
        <v>2024003175</v>
      </c>
      <c r="C1225" s="4" t="s">
        <v>1018</v>
      </c>
      <c r="D1225" s="5">
        <v>2500000</v>
      </c>
      <c r="E1225" s="4">
        <v>1081052090</v>
      </c>
      <c r="F1225" s="4" t="s">
        <v>319</v>
      </c>
      <c r="G1225" t="s">
        <v>565</v>
      </c>
    </row>
    <row r="1226" spans="1:7" ht="15" customHeight="1" x14ac:dyDescent="0.25">
      <c r="A1226" s="3">
        <v>45642</v>
      </c>
      <c r="B1226" s="4">
        <v>2024003176</v>
      </c>
      <c r="C1226" s="4" t="s">
        <v>1019</v>
      </c>
      <c r="D1226" s="5">
        <v>1416100</v>
      </c>
      <c r="E1226" s="4">
        <v>12990231</v>
      </c>
      <c r="F1226" s="4" t="s">
        <v>1020</v>
      </c>
      <c r="G1226" t="s">
        <v>565</v>
      </c>
    </row>
    <row r="1227" spans="1:7" ht="15" customHeight="1" x14ac:dyDescent="0.25">
      <c r="A1227" s="3">
        <v>45642</v>
      </c>
      <c r="B1227" s="4">
        <v>2024003177</v>
      </c>
      <c r="C1227" s="4" t="s">
        <v>622</v>
      </c>
      <c r="D1227" s="5">
        <v>4825000</v>
      </c>
      <c r="E1227" s="4">
        <v>1085283723</v>
      </c>
      <c r="F1227" s="4" t="s">
        <v>175</v>
      </c>
      <c r="G1227" t="s">
        <v>565</v>
      </c>
    </row>
    <row r="1228" spans="1:7" ht="15" customHeight="1" x14ac:dyDescent="0.25">
      <c r="A1228" s="3">
        <v>45642</v>
      </c>
      <c r="B1228" s="4">
        <v>2024003178</v>
      </c>
      <c r="C1228" s="4" t="s">
        <v>902</v>
      </c>
      <c r="D1228" s="5">
        <v>3000000</v>
      </c>
      <c r="E1228" s="4">
        <v>1080043348</v>
      </c>
      <c r="F1228" s="4" t="s">
        <v>903</v>
      </c>
      <c r="G1228" t="s">
        <v>565</v>
      </c>
    </row>
    <row r="1229" spans="1:7" ht="15" customHeight="1" x14ac:dyDescent="0.25">
      <c r="A1229" s="3">
        <v>45642</v>
      </c>
      <c r="B1229" s="4">
        <v>2024003179</v>
      </c>
      <c r="C1229" s="4" t="s">
        <v>620</v>
      </c>
      <c r="D1229" s="5">
        <v>4825000</v>
      </c>
      <c r="E1229" s="4">
        <v>1085273986</v>
      </c>
      <c r="F1229" s="4" t="s">
        <v>621</v>
      </c>
      <c r="G1229" t="s">
        <v>565</v>
      </c>
    </row>
    <row r="1230" spans="1:7" ht="15" customHeight="1" x14ac:dyDescent="0.25">
      <c r="A1230" s="3">
        <v>45642</v>
      </c>
      <c r="B1230" s="4">
        <v>2024003180</v>
      </c>
      <c r="C1230" s="4" t="s">
        <v>883</v>
      </c>
      <c r="D1230" s="5">
        <v>3000000</v>
      </c>
      <c r="E1230" s="4">
        <v>37083086</v>
      </c>
      <c r="F1230" s="4" t="s">
        <v>884</v>
      </c>
      <c r="G1230" t="s">
        <v>565</v>
      </c>
    </row>
    <row r="1231" spans="1:7" ht="15" customHeight="1" x14ac:dyDescent="0.25">
      <c r="A1231" s="3">
        <v>45642</v>
      </c>
      <c r="B1231" s="4">
        <v>2024003181</v>
      </c>
      <c r="C1231" s="4" t="s">
        <v>626</v>
      </c>
      <c r="D1231" s="5">
        <v>4825000</v>
      </c>
      <c r="E1231" s="4">
        <v>1085338534</v>
      </c>
      <c r="F1231" s="4" t="s">
        <v>15</v>
      </c>
      <c r="G1231" t="s">
        <v>565</v>
      </c>
    </row>
    <row r="1232" spans="1:7" ht="15" customHeight="1" x14ac:dyDescent="0.25">
      <c r="A1232" s="3">
        <v>45642</v>
      </c>
      <c r="B1232" s="4">
        <v>2024003182</v>
      </c>
      <c r="C1232" s="4" t="s">
        <v>605</v>
      </c>
      <c r="D1232" s="5">
        <v>3000000</v>
      </c>
      <c r="E1232" s="4">
        <v>1085326198</v>
      </c>
      <c r="F1232" s="4" t="s">
        <v>79</v>
      </c>
      <c r="G1232" t="s">
        <v>565</v>
      </c>
    </row>
    <row r="1233" spans="1:7" ht="15" customHeight="1" x14ac:dyDescent="0.25">
      <c r="A1233" s="3">
        <v>45642</v>
      </c>
      <c r="B1233" s="4">
        <v>2024003183</v>
      </c>
      <c r="C1233" s="4" t="s">
        <v>904</v>
      </c>
      <c r="D1233" s="5">
        <v>3000000</v>
      </c>
      <c r="E1233" s="4">
        <v>1193224810</v>
      </c>
      <c r="F1233" s="4" t="s">
        <v>409</v>
      </c>
      <c r="G1233" t="s">
        <v>565</v>
      </c>
    </row>
    <row r="1234" spans="1:7" ht="15" customHeight="1" x14ac:dyDescent="0.25">
      <c r="A1234" s="3">
        <v>45642</v>
      </c>
      <c r="B1234" s="4">
        <v>2024003184</v>
      </c>
      <c r="C1234" s="4" t="s">
        <v>632</v>
      </c>
      <c r="D1234" s="5">
        <v>6000000</v>
      </c>
      <c r="E1234" s="4">
        <v>36951002</v>
      </c>
      <c r="F1234" s="4" t="s">
        <v>125</v>
      </c>
      <c r="G1234" t="s">
        <v>565</v>
      </c>
    </row>
    <row r="1235" spans="1:7" ht="15" customHeight="1" x14ac:dyDescent="0.25">
      <c r="A1235" s="3">
        <v>45642</v>
      </c>
      <c r="B1235" s="4">
        <v>2024003186</v>
      </c>
      <c r="C1235" s="4" t="s">
        <v>630</v>
      </c>
      <c r="D1235" s="5">
        <v>3000000</v>
      </c>
      <c r="E1235" s="4">
        <v>1004635031</v>
      </c>
      <c r="F1235" s="4" t="s">
        <v>397</v>
      </c>
      <c r="G1235" t="s">
        <v>565</v>
      </c>
    </row>
    <row r="1236" spans="1:7" ht="15" customHeight="1" x14ac:dyDescent="0.25">
      <c r="A1236" s="3">
        <v>45642</v>
      </c>
      <c r="B1236" s="4">
        <v>2024003187</v>
      </c>
      <c r="C1236" s="4" t="s">
        <v>690</v>
      </c>
      <c r="D1236" s="5">
        <v>2500000</v>
      </c>
      <c r="E1236" s="4">
        <v>1081595853</v>
      </c>
      <c r="F1236" s="4" t="s">
        <v>189</v>
      </c>
      <c r="G1236" t="s">
        <v>565</v>
      </c>
    </row>
    <row r="1237" spans="1:7" ht="15" customHeight="1" x14ac:dyDescent="0.25">
      <c r="A1237" s="3">
        <v>45642</v>
      </c>
      <c r="B1237" s="4">
        <v>2024003188</v>
      </c>
      <c r="C1237" s="4" t="s">
        <v>887</v>
      </c>
      <c r="D1237" s="5">
        <v>3000000</v>
      </c>
      <c r="E1237" s="4">
        <v>1004234290</v>
      </c>
      <c r="F1237" s="4" t="s">
        <v>237</v>
      </c>
      <c r="G1237" t="s">
        <v>565</v>
      </c>
    </row>
    <row r="1238" spans="1:7" ht="15" customHeight="1" x14ac:dyDescent="0.25">
      <c r="A1238" s="3">
        <v>45642</v>
      </c>
      <c r="B1238" s="4">
        <v>2024003189</v>
      </c>
      <c r="C1238" s="4" t="s">
        <v>854</v>
      </c>
      <c r="D1238" s="5">
        <v>3000000</v>
      </c>
      <c r="E1238" s="4">
        <v>1085266584</v>
      </c>
      <c r="F1238" s="4" t="s">
        <v>115</v>
      </c>
      <c r="G1238" t="s">
        <v>565</v>
      </c>
    </row>
    <row r="1239" spans="1:7" ht="15" customHeight="1" x14ac:dyDescent="0.25">
      <c r="A1239" s="3">
        <v>45642</v>
      </c>
      <c r="B1239" s="4">
        <v>2024003190</v>
      </c>
      <c r="C1239" s="4" t="s">
        <v>865</v>
      </c>
      <c r="D1239" s="5">
        <v>2500000</v>
      </c>
      <c r="E1239" s="4">
        <v>1085281545</v>
      </c>
      <c r="F1239" s="4" t="s">
        <v>866</v>
      </c>
      <c r="G1239" t="s">
        <v>565</v>
      </c>
    </row>
    <row r="1240" spans="1:7" ht="15" customHeight="1" x14ac:dyDescent="0.25">
      <c r="A1240" s="3">
        <v>45642</v>
      </c>
      <c r="B1240" s="4">
        <v>2024003191</v>
      </c>
      <c r="C1240" s="4" t="s">
        <v>838</v>
      </c>
      <c r="D1240" s="5">
        <v>3000000</v>
      </c>
      <c r="E1240" s="4">
        <v>59310433</v>
      </c>
      <c r="F1240" s="4" t="s">
        <v>839</v>
      </c>
      <c r="G1240" t="s">
        <v>565</v>
      </c>
    </row>
    <row r="1241" spans="1:7" ht="15" customHeight="1" x14ac:dyDescent="0.25">
      <c r="A1241" s="3">
        <v>45642</v>
      </c>
      <c r="B1241" s="4">
        <v>2024003192</v>
      </c>
      <c r="C1241" s="4" t="s">
        <v>1021</v>
      </c>
      <c r="D1241" s="5">
        <v>804000</v>
      </c>
      <c r="E1241" s="4">
        <v>1085319572</v>
      </c>
      <c r="F1241" s="4" t="s">
        <v>1022</v>
      </c>
      <c r="G1241" t="s">
        <v>565</v>
      </c>
    </row>
    <row r="1242" spans="1:7" ht="15" customHeight="1" x14ac:dyDescent="0.25">
      <c r="A1242" s="3">
        <v>45642</v>
      </c>
      <c r="B1242" s="4">
        <v>2024003193</v>
      </c>
      <c r="C1242" s="4" t="s">
        <v>728</v>
      </c>
      <c r="D1242" s="5">
        <v>3000000</v>
      </c>
      <c r="E1242" s="4">
        <v>1010113730</v>
      </c>
      <c r="F1242" s="4" t="s">
        <v>219</v>
      </c>
      <c r="G1242" t="s">
        <v>565</v>
      </c>
    </row>
    <row r="1243" spans="1:7" ht="15" customHeight="1" x14ac:dyDescent="0.25">
      <c r="A1243" s="3">
        <v>45642</v>
      </c>
      <c r="B1243" s="4">
        <v>2024003194</v>
      </c>
      <c r="C1243" s="4" t="s">
        <v>564</v>
      </c>
      <c r="D1243" s="5">
        <v>3000000</v>
      </c>
      <c r="E1243" s="4">
        <v>1085324107</v>
      </c>
      <c r="F1243" s="4" t="s">
        <v>381</v>
      </c>
      <c r="G1243" t="s">
        <v>565</v>
      </c>
    </row>
    <row r="1244" spans="1:7" ht="15" customHeight="1" x14ac:dyDescent="0.25">
      <c r="A1244" s="3">
        <v>45642</v>
      </c>
      <c r="B1244" s="4">
        <v>2024003195</v>
      </c>
      <c r="C1244" s="4" t="s">
        <v>807</v>
      </c>
      <c r="D1244" s="5">
        <v>2500000</v>
      </c>
      <c r="E1244" s="4">
        <v>37087268</v>
      </c>
      <c r="F1244" s="4" t="s">
        <v>257</v>
      </c>
      <c r="G1244" t="s">
        <v>565</v>
      </c>
    </row>
    <row r="1245" spans="1:7" ht="15" customHeight="1" x14ac:dyDescent="0.25">
      <c r="A1245" s="3">
        <v>45642</v>
      </c>
      <c r="B1245" s="4">
        <v>2024003196</v>
      </c>
      <c r="C1245" s="4" t="s">
        <v>822</v>
      </c>
      <c r="D1245" s="5">
        <v>3000000</v>
      </c>
      <c r="E1245" s="4">
        <v>98382500</v>
      </c>
      <c r="F1245" s="4" t="s">
        <v>183</v>
      </c>
      <c r="G1245" t="s">
        <v>565</v>
      </c>
    </row>
    <row r="1246" spans="1:7" ht="15" customHeight="1" x14ac:dyDescent="0.25">
      <c r="A1246" s="3">
        <v>45642</v>
      </c>
      <c r="B1246" s="4">
        <v>2024003198</v>
      </c>
      <c r="C1246" s="4" t="s">
        <v>712</v>
      </c>
      <c r="D1246" s="5">
        <v>7540000</v>
      </c>
      <c r="E1246" s="4">
        <v>1233192708</v>
      </c>
      <c r="F1246" s="4" t="s">
        <v>591</v>
      </c>
      <c r="G1246" t="s">
        <v>565</v>
      </c>
    </row>
    <row r="1247" spans="1:7" ht="15" customHeight="1" x14ac:dyDescent="0.25">
      <c r="A1247" s="3">
        <v>45642</v>
      </c>
      <c r="B1247" s="4">
        <v>2024003199</v>
      </c>
      <c r="C1247" s="4" t="s">
        <v>762</v>
      </c>
      <c r="D1247" s="5">
        <v>2500000</v>
      </c>
      <c r="E1247" s="4">
        <v>36757715</v>
      </c>
      <c r="F1247" s="4" t="s">
        <v>313</v>
      </c>
      <c r="G1247" t="s">
        <v>565</v>
      </c>
    </row>
    <row r="1248" spans="1:7" ht="15" customHeight="1" x14ac:dyDescent="0.25">
      <c r="A1248" s="3">
        <v>45642</v>
      </c>
      <c r="B1248" s="4">
        <v>2024003200</v>
      </c>
      <c r="C1248" s="4" t="s">
        <v>1023</v>
      </c>
      <c r="D1248" s="5">
        <v>2500000</v>
      </c>
      <c r="E1248" s="4">
        <v>36757507</v>
      </c>
      <c r="F1248" s="4" t="s">
        <v>1024</v>
      </c>
      <c r="G1248" t="s">
        <v>565</v>
      </c>
    </row>
    <row r="1249" spans="1:7" ht="15" customHeight="1" x14ac:dyDescent="0.25">
      <c r="A1249" s="3">
        <v>45642</v>
      </c>
      <c r="B1249" s="4">
        <v>2024003201</v>
      </c>
      <c r="C1249" s="4" t="s">
        <v>613</v>
      </c>
      <c r="D1249" s="5">
        <v>6000000</v>
      </c>
      <c r="E1249" s="4">
        <v>1085313872</v>
      </c>
      <c r="F1249" s="4" t="s">
        <v>614</v>
      </c>
      <c r="G1249" t="s">
        <v>565</v>
      </c>
    </row>
    <row r="1250" spans="1:7" ht="15" customHeight="1" x14ac:dyDescent="0.25">
      <c r="A1250" s="3">
        <v>45642</v>
      </c>
      <c r="B1250" s="4">
        <v>2024003202</v>
      </c>
      <c r="C1250" s="4" t="s">
        <v>1025</v>
      </c>
      <c r="D1250" s="5">
        <v>3000000</v>
      </c>
      <c r="E1250" s="4">
        <v>37083324</v>
      </c>
      <c r="F1250" s="4" t="s">
        <v>485</v>
      </c>
      <c r="G1250" t="s">
        <v>565</v>
      </c>
    </row>
    <row r="1251" spans="1:7" ht="15" customHeight="1" x14ac:dyDescent="0.25">
      <c r="A1251" s="3">
        <v>45642</v>
      </c>
      <c r="B1251" s="4">
        <v>2024003203</v>
      </c>
      <c r="C1251" s="4" t="s">
        <v>841</v>
      </c>
      <c r="D1251" s="5">
        <v>4825000</v>
      </c>
      <c r="E1251" s="4">
        <v>1085265622</v>
      </c>
      <c r="F1251" s="4" t="s">
        <v>460</v>
      </c>
      <c r="G1251" t="s">
        <v>565</v>
      </c>
    </row>
    <row r="1252" spans="1:7" ht="15" customHeight="1" x14ac:dyDescent="0.25">
      <c r="A1252" s="3">
        <v>45642</v>
      </c>
      <c r="B1252" s="4">
        <v>2024003204</v>
      </c>
      <c r="C1252" s="4" t="s">
        <v>905</v>
      </c>
      <c r="D1252" s="5">
        <v>3000000</v>
      </c>
      <c r="E1252" s="4">
        <v>1085302942</v>
      </c>
      <c r="F1252" s="4" t="s">
        <v>417</v>
      </c>
      <c r="G1252" t="s">
        <v>565</v>
      </c>
    </row>
    <row r="1253" spans="1:7" ht="15" customHeight="1" x14ac:dyDescent="0.25">
      <c r="A1253" s="3">
        <v>45642</v>
      </c>
      <c r="B1253" s="4">
        <v>2024003205</v>
      </c>
      <c r="C1253" s="4" t="s">
        <v>645</v>
      </c>
      <c r="D1253" s="5">
        <v>7540000</v>
      </c>
      <c r="E1253" s="4">
        <v>1085320661</v>
      </c>
      <c r="F1253" s="4" t="s">
        <v>393</v>
      </c>
      <c r="G1253" t="s">
        <v>565</v>
      </c>
    </row>
    <row r="1254" spans="1:7" ht="15" customHeight="1" x14ac:dyDescent="0.25">
      <c r="A1254" s="3">
        <v>45642</v>
      </c>
      <c r="B1254" s="4">
        <v>2024003207</v>
      </c>
      <c r="C1254" s="4" t="s">
        <v>697</v>
      </c>
      <c r="D1254" s="5">
        <v>7540000</v>
      </c>
      <c r="E1254" s="4">
        <v>37087120</v>
      </c>
      <c r="F1254" s="4" t="s">
        <v>159</v>
      </c>
      <c r="G1254" t="s">
        <v>565</v>
      </c>
    </row>
    <row r="1255" spans="1:7" ht="15" customHeight="1" x14ac:dyDescent="0.25">
      <c r="A1255" s="3">
        <v>45642</v>
      </c>
      <c r="B1255" s="4">
        <v>2024003208</v>
      </c>
      <c r="C1255" s="4" t="s">
        <v>647</v>
      </c>
      <c r="D1255" s="5">
        <v>4825000</v>
      </c>
      <c r="E1255" s="4">
        <v>12748383</v>
      </c>
      <c r="F1255" s="4" t="s">
        <v>447</v>
      </c>
      <c r="G1255" t="s">
        <v>565</v>
      </c>
    </row>
    <row r="1256" spans="1:7" ht="15" customHeight="1" x14ac:dyDescent="0.25">
      <c r="A1256" s="3">
        <v>45642</v>
      </c>
      <c r="B1256" s="4">
        <v>2024003209</v>
      </c>
      <c r="C1256" s="4" t="s">
        <v>707</v>
      </c>
      <c r="D1256" s="5">
        <v>3000000</v>
      </c>
      <c r="E1256" s="4">
        <v>1085269090</v>
      </c>
      <c r="F1256" s="4" t="s">
        <v>371</v>
      </c>
      <c r="G1256" t="s">
        <v>565</v>
      </c>
    </row>
    <row r="1257" spans="1:7" ht="15" customHeight="1" x14ac:dyDescent="0.25">
      <c r="A1257" s="3">
        <v>45642</v>
      </c>
      <c r="B1257" s="4">
        <v>2024003210</v>
      </c>
      <c r="C1257" s="4" t="s">
        <v>1026</v>
      </c>
      <c r="D1257" s="5">
        <v>833000</v>
      </c>
      <c r="E1257" s="4">
        <v>1085254615</v>
      </c>
      <c r="F1257" s="4" t="s">
        <v>1027</v>
      </c>
      <c r="G1257" t="s">
        <v>565</v>
      </c>
    </row>
    <row r="1258" spans="1:7" ht="15" customHeight="1" x14ac:dyDescent="0.25">
      <c r="A1258" s="3">
        <v>45642</v>
      </c>
      <c r="B1258" s="4">
        <v>2024003211</v>
      </c>
      <c r="C1258" s="4" t="s">
        <v>753</v>
      </c>
      <c r="D1258" s="5">
        <v>3000000</v>
      </c>
      <c r="E1258" s="4">
        <v>1085272140</v>
      </c>
      <c r="F1258" s="4" t="s">
        <v>754</v>
      </c>
      <c r="G1258" t="s">
        <v>565</v>
      </c>
    </row>
    <row r="1259" spans="1:7" ht="15" customHeight="1" x14ac:dyDescent="0.25">
      <c r="A1259" s="3">
        <v>45642</v>
      </c>
      <c r="B1259" s="4">
        <v>2024003212</v>
      </c>
      <c r="C1259" s="4" t="s">
        <v>721</v>
      </c>
      <c r="D1259" s="5">
        <v>2500000</v>
      </c>
      <c r="E1259" s="4">
        <v>1004535115</v>
      </c>
      <c r="F1259" s="4" t="s">
        <v>347</v>
      </c>
      <c r="G1259" t="s">
        <v>565</v>
      </c>
    </row>
    <row r="1260" spans="1:7" ht="15" customHeight="1" x14ac:dyDescent="0.25">
      <c r="A1260" s="3">
        <v>45642</v>
      </c>
      <c r="B1260" s="4">
        <v>2024003213</v>
      </c>
      <c r="C1260" s="4" t="s">
        <v>799</v>
      </c>
      <c r="D1260" s="5">
        <v>2500000</v>
      </c>
      <c r="E1260" s="4">
        <v>1085320930</v>
      </c>
      <c r="F1260" s="4" t="s">
        <v>259</v>
      </c>
      <c r="G1260" t="s">
        <v>565</v>
      </c>
    </row>
    <row r="1261" spans="1:7" ht="15" customHeight="1" x14ac:dyDescent="0.25">
      <c r="A1261" s="3">
        <v>45642</v>
      </c>
      <c r="B1261" s="4">
        <v>2024003214</v>
      </c>
      <c r="C1261" s="4" t="s">
        <v>606</v>
      </c>
      <c r="D1261" s="5">
        <v>3000000</v>
      </c>
      <c r="E1261" s="4">
        <v>1088799034</v>
      </c>
      <c r="F1261" s="4" t="s">
        <v>81</v>
      </c>
      <c r="G1261" t="s">
        <v>565</v>
      </c>
    </row>
    <row r="1262" spans="1:7" ht="15" customHeight="1" x14ac:dyDescent="0.25">
      <c r="A1262" s="3">
        <v>45642</v>
      </c>
      <c r="B1262" s="4">
        <v>2024003215</v>
      </c>
      <c r="C1262" s="4" t="s">
        <v>881</v>
      </c>
      <c r="D1262" s="5">
        <v>4750000</v>
      </c>
      <c r="E1262" s="4">
        <v>1085318684</v>
      </c>
      <c r="F1262" s="4" t="s">
        <v>355</v>
      </c>
      <c r="G1262" t="s">
        <v>565</v>
      </c>
    </row>
    <row r="1263" spans="1:7" ht="15" customHeight="1" x14ac:dyDescent="0.25">
      <c r="A1263" s="3">
        <v>45642</v>
      </c>
      <c r="B1263" s="4">
        <v>2024003217</v>
      </c>
      <c r="C1263" s="4" t="s">
        <v>882</v>
      </c>
      <c r="D1263" s="5">
        <v>3000000</v>
      </c>
      <c r="E1263" s="4">
        <v>5930737</v>
      </c>
      <c r="F1263" s="4" t="s">
        <v>213</v>
      </c>
      <c r="G1263" t="s">
        <v>565</v>
      </c>
    </row>
    <row r="1264" spans="1:7" ht="15" customHeight="1" x14ac:dyDescent="0.25">
      <c r="A1264" s="3">
        <v>45642</v>
      </c>
      <c r="B1264" s="4">
        <v>2024003218</v>
      </c>
      <c r="C1264" s="4" t="s">
        <v>880</v>
      </c>
      <c r="D1264" s="5">
        <v>3000000</v>
      </c>
      <c r="E1264" s="4">
        <v>1085323101</v>
      </c>
      <c r="F1264" s="4" t="s">
        <v>73</v>
      </c>
      <c r="G1264" t="s">
        <v>565</v>
      </c>
    </row>
    <row r="1265" spans="1:7" ht="15" customHeight="1" x14ac:dyDescent="0.25">
      <c r="A1265" s="3">
        <v>45642</v>
      </c>
      <c r="B1265" s="4">
        <v>2024003219</v>
      </c>
      <c r="C1265" s="4" t="s">
        <v>877</v>
      </c>
      <c r="D1265" s="5">
        <v>3000000</v>
      </c>
      <c r="E1265" s="4">
        <v>87070661</v>
      </c>
      <c r="F1265" s="4" t="s">
        <v>185</v>
      </c>
      <c r="G1265" t="s">
        <v>565</v>
      </c>
    </row>
    <row r="1266" spans="1:7" ht="15" customHeight="1" x14ac:dyDescent="0.25">
      <c r="A1266" s="3">
        <v>45642</v>
      </c>
      <c r="B1266" s="4">
        <v>2024003220</v>
      </c>
      <c r="C1266" s="4" t="s">
        <v>879</v>
      </c>
      <c r="D1266" s="5">
        <v>2500000</v>
      </c>
      <c r="E1266" s="4">
        <v>30737741</v>
      </c>
      <c r="F1266" s="4" t="s">
        <v>199</v>
      </c>
      <c r="G1266" t="s">
        <v>565</v>
      </c>
    </row>
    <row r="1267" spans="1:7" ht="15" customHeight="1" x14ac:dyDescent="0.25">
      <c r="A1267" s="3">
        <v>45642</v>
      </c>
      <c r="B1267" s="1">
        <v>2024003221</v>
      </c>
      <c r="C1267" s="1" t="s">
        <v>439</v>
      </c>
      <c r="D1267" s="5">
        <v>4825000</v>
      </c>
      <c r="E1267" s="1">
        <v>1088730712</v>
      </c>
      <c r="F1267" s="1" t="s">
        <v>295</v>
      </c>
      <c r="G1267" s="1" t="s">
        <v>9</v>
      </c>
    </row>
    <row r="1268" spans="1:7" ht="15" customHeight="1" x14ac:dyDescent="0.25">
      <c r="A1268" s="3">
        <v>45642</v>
      </c>
      <c r="B1268" s="4">
        <v>2024003222</v>
      </c>
      <c r="C1268" s="4" t="s">
        <v>1028</v>
      </c>
      <c r="D1268" s="5">
        <v>1416100</v>
      </c>
      <c r="E1268" s="4">
        <v>12996869</v>
      </c>
      <c r="F1268" s="4" t="s">
        <v>1029</v>
      </c>
      <c r="G1268" t="s">
        <v>565</v>
      </c>
    </row>
    <row r="1269" spans="1:7" ht="15" customHeight="1" x14ac:dyDescent="0.25">
      <c r="A1269" s="3">
        <v>45642</v>
      </c>
      <c r="B1269" s="4">
        <v>2024003223</v>
      </c>
      <c r="C1269" s="4" t="s">
        <v>856</v>
      </c>
      <c r="D1269" s="5">
        <v>2500000</v>
      </c>
      <c r="E1269" s="4">
        <v>1086016308</v>
      </c>
      <c r="F1269" s="4" t="s">
        <v>305</v>
      </c>
      <c r="G1269" t="s">
        <v>565</v>
      </c>
    </row>
    <row r="1270" spans="1:7" ht="15" customHeight="1" x14ac:dyDescent="0.25">
      <c r="A1270" s="3">
        <v>45642</v>
      </c>
      <c r="B1270" s="4">
        <v>2024003225</v>
      </c>
      <c r="C1270" s="4" t="s">
        <v>756</v>
      </c>
      <c r="D1270" s="5">
        <v>6000000</v>
      </c>
      <c r="E1270" s="4">
        <v>36757221</v>
      </c>
      <c r="F1270" s="4" t="s">
        <v>453</v>
      </c>
      <c r="G1270" t="s">
        <v>565</v>
      </c>
    </row>
    <row r="1271" spans="1:7" ht="15" customHeight="1" x14ac:dyDescent="0.25">
      <c r="A1271" s="3">
        <v>45642</v>
      </c>
      <c r="B1271" s="4">
        <v>2024003226</v>
      </c>
      <c r="C1271" s="4" t="s">
        <v>798</v>
      </c>
      <c r="D1271" s="5">
        <v>6000000</v>
      </c>
      <c r="E1271" s="4">
        <v>27109314</v>
      </c>
      <c r="F1271" s="4" t="s">
        <v>217</v>
      </c>
      <c r="G1271" t="s">
        <v>565</v>
      </c>
    </row>
    <row r="1272" spans="1:7" ht="15" customHeight="1" x14ac:dyDescent="0.25">
      <c r="A1272" s="3">
        <v>45642</v>
      </c>
      <c r="B1272" s="4">
        <v>2024003228</v>
      </c>
      <c r="C1272" s="4" t="s">
        <v>618</v>
      </c>
      <c r="D1272" s="5">
        <v>6000000</v>
      </c>
      <c r="E1272" s="4">
        <v>1085320275</v>
      </c>
      <c r="F1272" s="4" t="s">
        <v>619</v>
      </c>
      <c r="G1272" t="s">
        <v>565</v>
      </c>
    </row>
    <row r="1273" spans="1:7" ht="15" customHeight="1" x14ac:dyDescent="0.25">
      <c r="A1273" s="3">
        <v>45642</v>
      </c>
      <c r="B1273" s="4">
        <v>2024003229</v>
      </c>
      <c r="C1273" s="4" t="s">
        <v>757</v>
      </c>
      <c r="D1273" s="5">
        <v>3000000</v>
      </c>
      <c r="E1273" s="4">
        <v>1085309422</v>
      </c>
      <c r="F1273" s="4" t="s">
        <v>758</v>
      </c>
      <c r="G1273" t="s">
        <v>565</v>
      </c>
    </row>
    <row r="1274" spans="1:7" ht="15" customHeight="1" x14ac:dyDescent="0.25">
      <c r="A1274" s="3">
        <v>45642</v>
      </c>
      <c r="B1274" s="4">
        <v>2024003230</v>
      </c>
      <c r="C1274" s="4" t="s">
        <v>629</v>
      </c>
      <c r="D1274" s="5">
        <v>2500000</v>
      </c>
      <c r="E1274" s="4">
        <v>27211504</v>
      </c>
      <c r="F1274" s="4" t="s">
        <v>203</v>
      </c>
      <c r="G1274" t="s">
        <v>565</v>
      </c>
    </row>
    <row r="1275" spans="1:7" ht="15" customHeight="1" x14ac:dyDescent="0.25">
      <c r="A1275" s="3">
        <v>45642</v>
      </c>
      <c r="B1275" s="4">
        <v>2024003232</v>
      </c>
      <c r="C1275" s="4" t="s">
        <v>641</v>
      </c>
      <c r="D1275" s="5">
        <v>2500000</v>
      </c>
      <c r="E1275" s="4">
        <v>1085251468</v>
      </c>
      <c r="F1275" s="4" t="s">
        <v>303</v>
      </c>
      <c r="G1275" t="s">
        <v>565</v>
      </c>
    </row>
    <row r="1276" spans="1:7" ht="15" customHeight="1" x14ac:dyDescent="0.25">
      <c r="A1276" s="3">
        <v>45642</v>
      </c>
      <c r="B1276" s="4">
        <v>2024003233</v>
      </c>
      <c r="C1276" s="4" t="s">
        <v>642</v>
      </c>
      <c r="D1276" s="5">
        <v>6000000</v>
      </c>
      <c r="E1276" s="4">
        <v>1085292185</v>
      </c>
      <c r="F1276" s="4" t="s">
        <v>27</v>
      </c>
      <c r="G1276" t="s">
        <v>565</v>
      </c>
    </row>
    <row r="1277" spans="1:7" ht="15" customHeight="1" x14ac:dyDescent="0.25">
      <c r="A1277" s="3">
        <v>45642</v>
      </c>
      <c r="B1277" s="4">
        <v>2024003234</v>
      </c>
      <c r="C1277" s="4" t="s">
        <v>935</v>
      </c>
      <c r="D1277" s="5">
        <v>3000000</v>
      </c>
      <c r="E1277" s="4">
        <v>59828916</v>
      </c>
      <c r="F1277" s="4" t="s">
        <v>181</v>
      </c>
      <c r="G1277" t="s">
        <v>565</v>
      </c>
    </row>
    <row r="1278" spans="1:7" ht="15" customHeight="1" x14ac:dyDescent="0.25">
      <c r="A1278" s="3">
        <v>45642</v>
      </c>
      <c r="B1278" s="4">
        <v>2024003235</v>
      </c>
      <c r="C1278" s="4" t="s">
        <v>901</v>
      </c>
      <c r="D1278" s="5">
        <v>3000000</v>
      </c>
      <c r="E1278" s="4">
        <v>1004235479</v>
      </c>
      <c r="F1278" s="4" t="s">
        <v>477</v>
      </c>
      <c r="G1278" t="s">
        <v>565</v>
      </c>
    </row>
    <row r="1279" spans="1:7" ht="15" customHeight="1" x14ac:dyDescent="0.25">
      <c r="A1279" s="3">
        <v>45642</v>
      </c>
      <c r="B1279" s="4">
        <v>2024003236</v>
      </c>
      <c r="C1279" s="4" t="s">
        <v>934</v>
      </c>
      <c r="D1279" s="5">
        <v>4825000</v>
      </c>
      <c r="E1279" s="4">
        <v>27087851</v>
      </c>
      <c r="F1279" s="4" t="s">
        <v>177</v>
      </c>
      <c r="G1279" t="s">
        <v>565</v>
      </c>
    </row>
    <row r="1280" spans="1:7" ht="15" customHeight="1" x14ac:dyDescent="0.25">
      <c r="A1280" s="3">
        <v>45642</v>
      </c>
      <c r="B1280" s="4">
        <v>2024003237</v>
      </c>
      <c r="C1280" s="4" t="s">
        <v>826</v>
      </c>
      <c r="D1280" s="5">
        <v>2500000</v>
      </c>
      <c r="E1280" s="4">
        <v>59311646</v>
      </c>
      <c r="F1280" s="4" t="s">
        <v>373</v>
      </c>
      <c r="G1280" t="s">
        <v>565</v>
      </c>
    </row>
    <row r="1281" spans="1:7" ht="15" customHeight="1" x14ac:dyDescent="0.25">
      <c r="A1281" s="3">
        <v>45643</v>
      </c>
      <c r="B1281" s="4">
        <v>2024003240</v>
      </c>
      <c r="C1281" s="4" t="s">
        <v>832</v>
      </c>
      <c r="D1281" s="5">
        <v>3000000</v>
      </c>
      <c r="E1281" s="4">
        <v>59311233</v>
      </c>
      <c r="F1281" s="4" t="s">
        <v>833</v>
      </c>
      <c r="G1281" t="s">
        <v>565</v>
      </c>
    </row>
    <row r="1282" spans="1:7" ht="15" customHeight="1" x14ac:dyDescent="0.25">
      <c r="A1282" s="3">
        <v>45643</v>
      </c>
      <c r="B1282" s="4">
        <v>2024003241</v>
      </c>
      <c r="C1282" s="4" t="s">
        <v>825</v>
      </c>
      <c r="D1282" s="5">
        <v>3000000</v>
      </c>
      <c r="E1282" s="4">
        <v>1085313463</v>
      </c>
      <c r="F1282" s="4" t="s">
        <v>331</v>
      </c>
      <c r="G1282" t="s">
        <v>565</v>
      </c>
    </row>
    <row r="1283" spans="1:7" ht="15" customHeight="1" x14ac:dyDescent="0.25">
      <c r="A1283" s="3">
        <v>45643</v>
      </c>
      <c r="B1283" s="4">
        <v>2024003242</v>
      </c>
      <c r="C1283" s="4" t="s">
        <v>909</v>
      </c>
      <c r="D1283" s="5">
        <v>7540000</v>
      </c>
      <c r="E1283" s="4">
        <v>1085312978</v>
      </c>
      <c r="F1283" s="4" t="s">
        <v>910</v>
      </c>
      <c r="G1283" t="s">
        <v>565</v>
      </c>
    </row>
    <row r="1284" spans="1:7" ht="15" customHeight="1" x14ac:dyDescent="0.25">
      <c r="A1284" s="3">
        <v>45643</v>
      </c>
      <c r="B1284" s="4">
        <v>2024003243</v>
      </c>
      <c r="C1284" s="4" t="s">
        <v>623</v>
      </c>
      <c r="D1284" s="5">
        <v>4750000</v>
      </c>
      <c r="E1284" s="4">
        <v>1085260497</v>
      </c>
      <c r="F1284" s="4" t="s">
        <v>429</v>
      </c>
      <c r="G1284" t="s">
        <v>565</v>
      </c>
    </row>
    <row r="1285" spans="1:7" ht="15" customHeight="1" x14ac:dyDescent="0.25">
      <c r="A1285" s="3">
        <v>45643</v>
      </c>
      <c r="B1285" s="4">
        <v>2024003245</v>
      </c>
      <c r="C1285" s="4" t="s">
        <v>760</v>
      </c>
      <c r="D1285" s="5">
        <v>3000000</v>
      </c>
      <c r="E1285" s="4">
        <v>1004535234</v>
      </c>
      <c r="F1285" s="4" t="s">
        <v>507</v>
      </c>
      <c r="G1285" t="s">
        <v>565</v>
      </c>
    </row>
    <row r="1286" spans="1:7" ht="15" customHeight="1" x14ac:dyDescent="0.25">
      <c r="A1286" s="3">
        <v>45643</v>
      </c>
      <c r="B1286" s="4">
        <v>2024003246</v>
      </c>
      <c r="C1286" s="4" t="s">
        <v>703</v>
      </c>
      <c r="D1286" s="5">
        <v>3000000</v>
      </c>
      <c r="E1286" s="4">
        <v>1233191675</v>
      </c>
      <c r="F1286" s="4" t="s">
        <v>523</v>
      </c>
      <c r="G1286" t="s">
        <v>565</v>
      </c>
    </row>
    <row r="1287" spans="1:7" ht="15" customHeight="1" x14ac:dyDescent="0.25">
      <c r="A1287" s="3">
        <v>45643</v>
      </c>
      <c r="B1287" s="4">
        <v>2024003247</v>
      </c>
      <c r="C1287" s="4" t="s">
        <v>782</v>
      </c>
      <c r="D1287" s="5">
        <v>3000000</v>
      </c>
      <c r="E1287" s="4">
        <v>59833899</v>
      </c>
      <c r="F1287" s="4" t="s">
        <v>467</v>
      </c>
      <c r="G1287" t="s">
        <v>565</v>
      </c>
    </row>
    <row r="1288" spans="1:7" ht="15" customHeight="1" x14ac:dyDescent="0.25">
      <c r="A1288" s="3">
        <v>45643</v>
      </c>
      <c r="B1288" s="4">
        <v>2024003248</v>
      </c>
      <c r="C1288" s="4" t="s">
        <v>671</v>
      </c>
      <c r="D1288" s="5">
        <v>6000000</v>
      </c>
      <c r="E1288" s="4">
        <v>1004213964</v>
      </c>
      <c r="F1288" s="4" t="s">
        <v>113</v>
      </c>
      <c r="G1288" t="s">
        <v>565</v>
      </c>
    </row>
    <row r="1289" spans="1:7" ht="15" customHeight="1" x14ac:dyDescent="0.25">
      <c r="A1289" s="3">
        <v>45643</v>
      </c>
      <c r="B1289" s="4">
        <v>2024003249</v>
      </c>
      <c r="C1289" s="4" t="s">
        <v>817</v>
      </c>
      <c r="D1289" s="5">
        <v>3000000</v>
      </c>
      <c r="E1289" s="4">
        <v>1085252263</v>
      </c>
      <c r="F1289" s="4" t="s">
        <v>33</v>
      </c>
      <c r="G1289" t="s">
        <v>565</v>
      </c>
    </row>
    <row r="1290" spans="1:7" ht="15" customHeight="1" x14ac:dyDescent="0.25">
      <c r="A1290" s="3">
        <v>45643</v>
      </c>
      <c r="B1290" s="4">
        <v>2024003250</v>
      </c>
      <c r="C1290" s="4" t="s">
        <v>755</v>
      </c>
      <c r="D1290" s="5">
        <v>3000000</v>
      </c>
      <c r="E1290" s="4">
        <v>1085347540</v>
      </c>
      <c r="F1290" s="4" t="s">
        <v>321</v>
      </c>
      <c r="G1290" t="s">
        <v>565</v>
      </c>
    </row>
    <row r="1291" spans="1:7" ht="15" customHeight="1" x14ac:dyDescent="0.25">
      <c r="A1291" s="3">
        <v>45643</v>
      </c>
      <c r="B1291" s="4">
        <v>2024003251</v>
      </c>
      <c r="C1291" s="4" t="s">
        <v>722</v>
      </c>
      <c r="D1291" s="5">
        <v>3000000</v>
      </c>
      <c r="E1291" s="4">
        <v>1086329609</v>
      </c>
      <c r="F1291" s="4" t="s">
        <v>443</v>
      </c>
      <c r="G1291" t="s">
        <v>565</v>
      </c>
    </row>
    <row r="1292" spans="1:7" ht="15" customHeight="1" x14ac:dyDescent="0.25">
      <c r="A1292" s="3">
        <v>45643</v>
      </c>
      <c r="B1292" s="4">
        <v>2024003252</v>
      </c>
      <c r="C1292" s="4" t="s">
        <v>843</v>
      </c>
      <c r="D1292" s="5">
        <v>4825000</v>
      </c>
      <c r="E1292" s="4">
        <v>1085321578</v>
      </c>
      <c r="F1292" s="4" t="s">
        <v>275</v>
      </c>
      <c r="G1292" t="s">
        <v>565</v>
      </c>
    </row>
    <row r="1293" spans="1:7" ht="15" customHeight="1" x14ac:dyDescent="0.25">
      <c r="A1293" s="3">
        <v>45643</v>
      </c>
      <c r="B1293" s="4">
        <v>2024003253</v>
      </c>
      <c r="C1293" s="4" t="s">
        <v>789</v>
      </c>
      <c r="D1293" s="5">
        <v>3000000</v>
      </c>
      <c r="E1293" s="4">
        <v>1086362994</v>
      </c>
      <c r="F1293" s="4" t="s">
        <v>77</v>
      </c>
      <c r="G1293" t="s">
        <v>565</v>
      </c>
    </row>
    <row r="1294" spans="1:7" ht="15" customHeight="1" x14ac:dyDescent="0.25">
      <c r="A1294" s="3">
        <v>45643</v>
      </c>
      <c r="B1294" s="4">
        <v>2024003254</v>
      </c>
      <c r="C1294" s="4" t="s">
        <v>906</v>
      </c>
      <c r="D1294" s="5">
        <v>3000000</v>
      </c>
      <c r="E1294" s="4">
        <v>1004216993</v>
      </c>
      <c r="F1294" s="4" t="s">
        <v>511</v>
      </c>
      <c r="G1294" t="s">
        <v>565</v>
      </c>
    </row>
    <row r="1295" spans="1:7" ht="15" customHeight="1" x14ac:dyDescent="0.25">
      <c r="A1295" s="3">
        <v>45643</v>
      </c>
      <c r="B1295" s="4">
        <v>2024003255</v>
      </c>
      <c r="C1295" s="4" t="s">
        <v>702</v>
      </c>
      <c r="D1295" s="5">
        <v>4825000</v>
      </c>
      <c r="E1295" s="4">
        <v>1085289739</v>
      </c>
      <c r="F1295" s="4" t="s">
        <v>241</v>
      </c>
      <c r="G1295" t="s">
        <v>565</v>
      </c>
    </row>
    <row r="1296" spans="1:7" ht="15" customHeight="1" x14ac:dyDescent="0.25">
      <c r="A1296" s="3">
        <v>45643</v>
      </c>
      <c r="B1296" s="4">
        <v>2024003256</v>
      </c>
      <c r="C1296" s="4" t="s">
        <v>1030</v>
      </c>
      <c r="D1296" s="5">
        <v>2090400</v>
      </c>
      <c r="E1296" s="4">
        <v>1085322873</v>
      </c>
      <c r="F1296" s="4" t="s">
        <v>1031</v>
      </c>
      <c r="G1296" t="s">
        <v>565</v>
      </c>
    </row>
    <row r="1297" spans="1:7" ht="15" customHeight="1" x14ac:dyDescent="0.25">
      <c r="A1297" s="3">
        <v>45643</v>
      </c>
      <c r="B1297" s="4">
        <v>2024003257</v>
      </c>
      <c r="C1297" s="4" t="s">
        <v>660</v>
      </c>
      <c r="D1297" s="5">
        <v>7540000</v>
      </c>
      <c r="E1297" s="4">
        <v>1085329230</v>
      </c>
      <c r="F1297" s="4" t="s">
        <v>83</v>
      </c>
      <c r="G1297" t="s">
        <v>565</v>
      </c>
    </row>
    <row r="1298" spans="1:7" ht="15" customHeight="1" x14ac:dyDescent="0.25">
      <c r="A1298" s="3">
        <v>45643</v>
      </c>
      <c r="B1298" s="4">
        <v>2024003258</v>
      </c>
      <c r="C1298" s="4" t="s">
        <v>871</v>
      </c>
      <c r="D1298" s="5">
        <v>7540000</v>
      </c>
      <c r="E1298" s="4">
        <v>12961407</v>
      </c>
      <c r="F1298" s="4" t="s">
        <v>309</v>
      </c>
      <c r="G1298" t="s">
        <v>565</v>
      </c>
    </row>
    <row r="1299" spans="1:7" ht="15" customHeight="1" x14ac:dyDescent="0.25">
      <c r="A1299" s="3">
        <v>45643</v>
      </c>
      <c r="B1299" s="4">
        <v>2024003259</v>
      </c>
      <c r="C1299" s="4" t="s">
        <v>1032</v>
      </c>
      <c r="D1299" s="5">
        <v>1700000</v>
      </c>
      <c r="E1299" s="4">
        <v>1004598784</v>
      </c>
      <c r="F1299" s="4" t="s">
        <v>552</v>
      </c>
      <c r="G1299" t="s">
        <v>565</v>
      </c>
    </row>
    <row r="1300" spans="1:7" ht="15" customHeight="1" x14ac:dyDescent="0.25">
      <c r="A1300" s="3">
        <v>45643</v>
      </c>
      <c r="B1300" s="4">
        <v>2024003260</v>
      </c>
      <c r="C1300" s="4" t="s">
        <v>603</v>
      </c>
      <c r="D1300" s="5">
        <v>6000000</v>
      </c>
      <c r="E1300" s="4">
        <v>1085286476</v>
      </c>
      <c r="F1300" s="4" t="s">
        <v>385</v>
      </c>
      <c r="G1300" t="s">
        <v>565</v>
      </c>
    </row>
    <row r="1301" spans="1:7" ht="15" customHeight="1" x14ac:dyDescent="0.25">
      <c r="A1301" s="3">
        <v>45643</v>
      </c>
      <c r="B1301" s="4">
        <v>2024003261</v>
      </c>
      <c r="C1301" s="4" t="s">
        <v>790</v>
      </c>
      <c r="D1301" s="5">
        <v>7540000</v>
      </c>
      <c r="E1301" s="4">
        <v>1085329980</v>
      </c>
      <c r="F1301" s="4" t="s">
        <v>791</v>
      </c>
      <c r="G1301" t="s">
        <v>565</v>
      </c>
    </row>
    <row r="1302" spans="1:7" ht="15" customHeight="1" x14ac:dyDescent="0.25">
      <c r="A1302" s="3">
        <v>45643</v>
      </c>
      <c r="B1302" s="4">
        <v>2024003262</v>
      </c>
      <c r="C1302" s="4" t="s">
        <v>863</v>
      </c>
      <c r="D1302" s="5">
        <v>7540000</v>
      </c>
      <c r="E1302" s="4">
        <v>1085255870</v>
      </c>
      <c r="F1302" s="4" t="s">
        <v>864</v>
      </c>
      <c r="G1302" t="s">
        <v>565</v>
      </c>
    </row>
    <row r="1303" spans="1:7" ht="15" customHeight="1" x14ac:dyDescent="0.25">
      <c r="A1303" s="3">
        <v>45643</v>
      </c>
      <c r="B1303" s="4">
        <v>2024003263</v>
      </c>
      <c r="C1303" s="4" t="s">
        <v>899</v>
      </c>
      <c r="D1303" s="5">
        <v>4750000</v>
      </c>
      <c r="E1303" s="4">
        <v>36950073</v>
      </c>
      <c r="F1303" s="4" t="s">
        <v>900</v>
      </c>
      <c r="G1303" t="s">
        <v>565</v>
      </c>
    </row>
    <row r="1304" spans="1:7" ht="15" customHeight="1" x14ac:dyDescent="0.25">
      <c r="A1304" s="3">
        <v>45643</v>
      </c>
      <c r="B1304" s="4">
        <v>2024003264</v>
      </c>
      <c r="C1304" s="4" t="s">
        <v>800</v>
      </c>
      <c r="D1304" s="5">
        <v>3000000</v>
      </c>
      <c r="E1304" s="4">
        <v>59833702</v>
      </c>
      <c r="F1304" s="4" t="s">
        <v>173</v>
      </c>
      <c r="G1304" t="s">
        <v>565</v>
      </c>
    </row>
    <row r="1305" spans="1:7" ht="15" customHeight="1" x14ac:dyDescent="0.25">
      <c r="A1305" s="3">
        <v>45643</v>
      </c>
      <c r="B1305" s="4">
        <v>2024003265</v>
      </c>
      <c r="C1305" s="4" t="s">
        <v>837</v>
      </c>
      <c r="D1305" s="5">
        <v>2500000</v>
      </c>
      <c r="E1305" s="4">
        <v>27309586</v>
      </c>
      <c r="F1305" s="4" t="s">
        <v>345</v>
      </c>
      <c r="G1305" t="s">
        <v>565</v>
      </c>
    </row>
    <row r="1306" spans="1:7" ht="15" customHeight="1" x14ac:dyDescent="0.25">
      <c r="A1306" s="3">
        <v>45643</v>
      </c>
      <c r="B1306" s="4">
        <v>2024003266</v>
      </c>
      <c r="C1306" s="4" t="s">
        <v>625</v>
      </c>
      <c r="D1306" s="5">
        <v>4750000</v>
      </c>
      <c r="E1306" s="4">
        <v>1085263018</v>
      </c>
      <c r="F1306" s="4" t="s">
        <v>91</v>
      </c>
      <c r="G1306" t="s">
        <v>565</v>
      </c>
    </row>
    <row r="1307" spans="1:7" ht="15" customHeight="1" x14ac:dyDescent="0.25">
      <c r="A1307" s="3">
        <v>45643</v>
      </c>
      <c r="B1307" s="4">
        <v>2024003267</v>
      </c>
      <c r="C1307" s="4" t="s">
        <v>1033</v>
      </c>
      <c r="D1307" s="5">
        <v>1416100</v>
      </c>
      <c r="E1307" s="4">
        <v>1088729401</v>
      </c>
      <c r="F1307" s="4" t="s">
        <v>543</v>
      </c>
      <c r="G1307" t="s">
        <v>565</v>
      </c>
    </row>
    <row r="1308" spans="1:7" ht="15" customHeight="1" x14ac:dyDescent="0.25">
      <c r="A1308" s="3">
        <v>45643</v>
      </c>
      <c r="B1308" s="4">
        <v>2024003268</v>
      </c>
      <c r="C1308" s="4" t="s">
        <v>996</v>
      </c>
      <c r="D1308" s="5">
        <v>3000000</v>
      </c>
      <c r="E1308" s="4">
        <v>98391531</v>
      </c>
      <c r="F1308" s="4" t="s">
        <v>499</v>
      </c>
      <c r="G1308" t="s">
        <v>565</v>
      </c>
    </row>
    <row r="1309" spans="1:7" ht="15" customHeight="1" x14ac:dyDescent="0.25">
      <c r="A1309" s="3">
        <v>45643</v>
      </c>
      <c r="B1309" s="4">
        <v>2024003269</v>
      </c>
      <c r="C1309" s="4" t="s">
        <v>1034</v>
      </c>
      <c r="D1309" s="5">
        <v>1700000</v>
      </c>
      <c r="E1309" s="4">
        <v>1085297914</v>
      </c>
      <c r="F1309" s="4" t="s">
        <v>1035</v>
      </c>
      <c r="G1309" t="s">
        <v>565</v>
      </c>
    </row>
    <row r="1310" spans="1:7" ht="15" customHeight="1" x14ac:dyDescent="0.25">
      <c r="A1310" s="3">
        <v>45643</v>
      </c>
      <c r="B1310" s="4">
        <v>2024003270</v>
      </c>
      <c r="C1310" s="4" t="s">
        <v>1036</v>
      </c>
      <c r="D1310" s="5">
        <v>3000000</v>
      </c>
      <c r="E1310" s="4">
        <v>27388522</v>
      </c>
      <c r="F1310" s="4" t="s">
        <v>525</v>
      </c>
      <c r="G1310" t="s">
        <v>565</v>
      </c>
    </row>
    <row r="1311" spans="1:7" ht="15" customHeight="1" x14ac:dyDescent="0.25">
      <c r="A1311" s="3">
        <v>45643</v>
      </c>
      <c r="B1311" s="4">
        <v>2024003271</v>
      </c>
      <c r="C1311" s="4" t="s">
        <v>717</v>
      </c>
      <c r="D1311" s="5">
        <v>3000000</v>
      </c>
      <c r="E1311" s="4">
        <v>1007403454</v>
      </c>
      <c r="F1311" s="4" t="s">
        <v>718</v>
      </c>
      <c r="G1311" t="s">
        <v>565</v>
      </c>
    </row>
    <row r="1312" spans="1:7" ht="15" customHeight="1" x14ac:dyDescent="0.25">
      <c r="A1312" s="3">
        <v>45643</v>
      </c>
      <c r="B1312" s="4">
        <v>2024003272</v>
      </c>
      <c r="C1312" s="4" t="s">
        <v>1037</v>
      </c>
      <c r="D1312" s="5">
        <v>4750000</v>
      </c>
      <c r="E1312" s="4">
        <v>1085325540</v>
      </c>
      <c r="F1312" s="4" t="s">
        <v>1038</v>
      </c>
      <c r="G1312" t="s">
        <v>565</v>
      </c>
    </row>
    <row r="1313" spans="1:7" ht="15" customHeight="1" x14ac:dyDescent="0.25">
      <c r="A1313" s="3">
        <v>45643</v>
      </c>
      <c r="B1313" s="4">
        <v>2024003273</v>
      </c>
      <c r="C1313" s="4" t="s">
        <v>566</v>
      </c>
      <c r="D1313" s="5">
        <v>1100000</v>
      </c>
      <c r="E1313" s="4">
        <v>1193035720</v>
      </c>
      <c r="F1313" s="4" t="s">
        <v>567</v>
      </c>
      <c r="G1313" t="s">
        <v>565</v>
      </c>
    </row>
    <row r="1314" spans="1:7" ht="15" customHeight="1" x14ac:dyDescent="0.25">
      <c r="A1314" s="3">
        <v>45643</v>
      </c>
      <c r="B1314" s="4">
        <v>2024003275</v>
      </c>
      <c r="C1314" s="4" t="s">
        <v>949</v>
      </c>
      <c r="D1314" s="5">
        <v>3000000</v>
      </c>
      <c r="E1314" s="4">
        <v>1081272318</v>
      </c>
      <c r="F1314" s="4" t="s">
        <v>950</v>
      </c>
      <c r="G1314" t="s">
        <v>565</v>
      </c>
    </row>
    <row r="1315" spans="1:7" ht="15" customHeight="1" x14ac:dyDescent="0.25">
      <c r="A1315" s="3">
        <v>45643</v>
      </c>
      <c r="B1315" s="4">
        <v>2024003277</v>
      </c>
      <c r="C1315" s="4" t="s">
        <v>1039</v>
      </c>
      <c r="D1315" s="5">
        <v>4750000</v>
      </c>
      <c r="E1315" s="4">
        <v>1087422930</v>
      </c>
      <c r="F1315" s="4" t="s">
        <v>253</v>
      </c>
      <c r="G1315" t="s">
        <v>565</v>
      </c>
    </row>
    <row r="1316" spans="1:7" ht="15" customHeight="1" x14ac:dyDescent="0.25">
      <c r="A1316" s="3">
        <v>45643</v>
      </c>
      <c r="B1316" s="4">
        <v>2024003280</v>
      </c>
      <c r="C1316" s="4" t="s">
        <v>1039</v>
      </c>
      <c r="D1316" s="5">
        <v>4750000</v>
      </c>
      <c r="E1316" s="4">
        <v>1087422930</v>
      </c>
      <c r="F1316" s="4" t="s">
        <v>253</v>
      </c>
      <c r="G1316" t="s">
        <v>565</v>
      </c>
    </row>
    <row r="1317" spans="1:7" ht="15" customHeight="1" x14ac:dyDescent="0.25">
      <c r="A1317" s="3">
        <v>45643</v>
      </c>
      <c r="B1317" s="4">
        <v>2024003286</v>
      </c>
      <c r="C1317" s="4" t="s">
        <v>981</v>
      </c>
      <c r="D1317" s="5">
        <v>6000000</v>
      </c>
      <c r="E1317" s="4">
        <v>1233193716</v>
      </c>
      <c r="F1317" s="4" t="s">
        <v>597</v>
      </c>
      <c r="G1317" t="s">
        <v>565</v>
      </c>
    </row>
    <row r="1318" spans="1:7" ht="15" customHeight="1" x14ac:dyDescent="0.25">
      <c r="A1318" s="3">
        <v>45643</v>
      </c>
      <c r="B1318" s="4">
        <v>2024003295</v>
      </c>
      <c r="C1318" s="4" t="s">
        <v>698</v>
      </c>
      <c r="D1318" s="5">
        <v>2500000</v>
      </c>
      <c r="E1318" s="4">
        <v>36753698</v>
      </c>
      <c r="F1318" s="4" t="s">
        <v>383</v>
      </c>
      <c r="G1318" t="s">
        <v>565</v>
      </c>
    </row>
    <row r="1319" spans="1:7" ht="15" customHeight="1" x14ac:dyDescent="0.25">
      <c r="A1319" s="3">
        <v>45643</v>
      </c>
      <c r="B1319" s="4">
        <v>2024003297</v>
      </c>
      <c r="C1319" s="4" t="s">
        <v>1040</v>
      </c>
      <c r="D1319" s="5">
        <v>4750000</v>
      </c>
      <c r="E1319" s="4">
        <v>1067940322</v>
      </c>
      <c r="F1319" s="4" t="s">
        <v>1041</v>
      </c>
      <c r="G1319" t="s">
        <v>565</v>
      </c>
    </row>
    <row r="1320" spans="1:7" ht="15" customHeight="1" x14ac:dyDescent="0.25">
      <c r="A1320" s="3">
        <v>45643</v>
      </c>
      <c r="B1320" s="4">
        <v>2024003299</v>
      </c>
      <c r="C1320" s="4" t="s">
        <v>1001</v>
      </c>
      <c r="D1320" s="5">
        <v>3000000</v>
      </c>
      <c r="E1320" s="4">
        <v>1081053820</v>
      </c>
      <c r="F1320" s="4" t="s">
        <v>431</v>
      </c>
      <c r="G1320" t="s">
        <v>565</v>
      </c>
    </row>
    <row r="1321" spans="1:7" ht="15" customHeight="1" x14ac:dyDescent="0.25">
      <c r="A1321" s="3">
        <v>45643</v>
      </c>
      <c r="B1321" s="1">
        <v>2024003301</v>
      </c>
      <c r="C1321" s="1" t="s">
        <v>166</v>
      </c>
      <c r="D1321" s="5">
        <v>1000000</v>
      </c>
      <c r="E1321" s="1">
        <v>1081052552</v>
      </c>
      <c r="F1321" s="1" t="s">
        <v>167</v>
      </c>
      <c r="G1321" s="1" t="s">
        <v>9</v>
      </c>
    </row>
    <row r="1322" spans="1:7" ht="15" customHeight="1" x14ac:dyDescent="0.25">
      <c r="A1322" s="3">
        <v>45643</v>
      </c>
      <c r="B1322" s="4">
        <v>2024003302</v>
      </c>
      <c r="C1322" s="4" t="s">
        <v>624</v>
      </c>
      <c r="D1322" s="5">
        <v>4825000</v>
      </c>
      <c r="E1322" s="4">
        <v>37082349</v>
      </c>
      <c r="F1322" s="4" t="s">
        <v>377</v>
      </c>
      <c r="G1322" t="s">
        <v>565</v>
      </c>
    </row>
    <row r="1323" spans="1:7" ht="15" customHeight="1" x14ac:dyDescent="0.25">
      <c r="A1323" s="3">
        <v>45643</v>
      </c>
      <c r="B1323" s="4">
        <v>2024003304</v>
      </c>
      <c r="C1323" s="4" t="s">
        <v>872</v>
      </c>
      <c r="D1323" s="5">
        <v>3000000</v>
      </c>
      <c r="E1323" s="4">
        <v>1085250095</v>
      </c>
      <c r="F1323" s="4" t="s">
        <v>179</v>
      </c>
      <c r="G1323" t="s">
        <v>565</v>
      </c>
    </row>
    <row r="1324" spans="1:7" ht="15" customHeight="1" x14ac:dyDescent="0.25">
      <c r="A1324" s="3">
        <v>45643</v>
      </c>
      <c r="B1324" s="4">
        <v>2024003307</v>
      </c>
      <c r="C1324" s="4" t="s">
        <v>827</v>
      </c>
      <c r="D1324" s="5">
        <v>6000000</v>
      </c>
      <c r="E1324" s="4">
        <v>27097745</v>
      </c>
      <c r="F1324" s="4" t="s">
        <v>828</v>
      </c>
      <c r="G1324" t="s">
        <v>565</v>
      </c>
    </row>
    <row r="1325" spans="1:7" ht="15" customHeight="1" x14ac:dyDescent="0.25">
      <c r="A1325" s="3">
        <v>45643</v>
      </c>
      <c r="B1325" s="4">
        <v>2024003309</v>
      </c>
      <c r="C1325" s="4" t="s">
        <v>1042</v>
      </c>
      <c r="D1325" s="5">
        <v>1300000</v>
      </c>
      <c r="E1325" s="4">
        <v>1088733625</v>
      </c>
      <c r="F1325" s="4" t="s">
        <v>559</v>
      </c>
      <c r="G1325" t="s">
        <v>565</v>
      </c>
    </row>
    <row r="1326" spans="1:7" ht="15" customHeight="1" x14ac:dyDescent="0.25">
      <c r="A1326" s="3">
        <v>45643</v>
      </c>
      <c r="B1326" s="4">
        <v>2024003311</v>
      </c>
      <c r="C1326" s="4" t="s">
        <v>784</v>
      </c>
      <c r="D1326" s="5">
        <v>3000000</v>
      </c>
      <c r="E1326" s="4">
        <v>1085319295</v>
      </c>
      <c r="F1326" s="4" t="s">
        <v>785</v>
      </c>
      <c r="G1326" t="s">
        <v>565</v>
      </c>
    </row>
    <row r="1327" spans="1:7" ht="15" customHeight="1" x14ac:dyDescent="0.25">
      <c r="A1327" s="3">
        <v>45643</v>
      </c>
      <c r="B1327" s="4">
        <v>2024003355</v>
      </c>
      <c r="C1327" s="4" t="s">
        <v>1043</v>
      </c>
      <c r="D1327" s="5">
        <v>4825000</v>
      </c>
      <c r="E1327" s="4">
        <v>12983807</v>
      </c>
      <c r="F1327" s="4" t="s">
        <v>299</v>
      </c>
      <c r="G1327" t="s">
        <v>565</v>
      </c>
    </row>
    <row r="1328" spans="1:7" ht="15" customHeight="1" x14ac:dyDescent="0.25">
      <c r="A1328" s="3">
        <v>45643</v>
      </c>
      <c r="B1328" s="4">
        <v>2024003356</v>
      </c>
      <c r="C1328" s="4" t="s">
        <v>1044</v>
      </c>
      <c r="D1328" s="5">
        <v>1082900</v>
      </c>
      <c r="E1328" s="4">
        <v>30722194</v>
      </c>
      <c r="F1328" s="4" t="s">
        <v>1045</v>
      </c>
      <c r="G1328" t="s">
        <v>565</v>
      </c>
    </row>
    <row r="1329" spans="1:7" ht="15" customHeight="1" x14ac:dyDescent="0.25">
      <c r="A1329" s="3">
        <v>45643</v>
      </c>
      <c r="B1329" s="4">
        <v>2024003357</v>
      </c>
      <c r="C1329" s="4" t="s">
        <v>851</v>
      </c>
      <c r="D1329" s="5">
        <v>3000000</v>
      </c>
      <c r="E1329" s="4">
        <v>1085344082</v>
      </c>
      <c r="F1329" s="4" t="s">
        <v>291</v>
      </c>
      <c r="G1329" t="s">
        <v>565</v>
      </c>
    </row>
    <row r="1330" spans="1:7" ht="15" customHeight="1" x14ac:dyDescent="0.25">
      <c r="A1330" s="3">
        <v>45643</v>
      </c>
      <c r="B1330" s="4">
        <v>2024003358</v>
      </c>
      <c r="C1330" s="4" t="s">
        <v>672</v>
      </c>
      <c r="D1330" s="5">
        <v>4750000</v>
      </c>
      <c r="E1330" s="4">
        <v>1087413951</v>
      </c>
      <c r="F1330" s="4" t="s">
        <v>95</v>
      </c>
      <c r="G1330" t="s">
        <v>565</v>
      </c>
    </row>
    <row r="1331" spans="1:7" ht="15" customHeight="1" x14ac:dyDescent="0.25">
      <c r="A1331" s="3">
        <v>45643</v>
      </c>
      <c r="B1331" s="4">
        <v>2024003359</v>
      </c>
      <c r="C1331" s="4" t="s">
        <v>1046</v>
      </c>
      <c r="D1331" s="5">
        <v>4750000</v>
      </c>
      <c r="E1331" s="4">
        <v>1085326561</v>
      </c>
      <c r="F1331" s="4" t="s">
        <v>1047</v>
      </c>
      <c r="G1331" t="s">
        <v>565</v>
      </c>
    </row>
    <row r="1332" spans="1:7" ht="15" customHeight="1" x14ac:dyDescent="0.25">
      <c r="A1332" s="3">
        <v>45643</v>
      </c>
      <c r="B1332" s="4">
        <v>2024003360</v>
      </c>
      <c r="C1332" s="4" t="s">
        <v>829</v>
      </c>
      <c r="D1332" s="5">
        <v>2100000</v>
      </c>
      <c r="E1332" s="4">
        <v>1085286742</v>
      </c>
      <c r="F1332" s="4" t="s">
        <v>75</v>
      </c>
      <c r="G1332" t="s">
        <v>565</v>
      </c>
    </row>
    <row r="1333" spans="1:7" ht="15" customHeight="1" x14ac:dyDescent="0.25">
      <c r="A1333" s="3">
        <v>45643</v>
      </c>
      <c r="B1333" s="4">
        <v>2024003361</v>
      </c>
      <c r="C1333" s="4" t="s">
        <v>850</v>
      </c>
      <c r="D1333" s="5">
        <v>3000000</v>
      </c>
      <c r="E1333" s="4">
        <v>1004215136</v>
      </c>
      <c r="F1333" s="4" t="s">
        <v>413</v>
      </c>
      <c r="G1333" t="s">
        <v>565</v>
      </c>
    </row>
    <row r="1334" spans="1:7" ht="15" customHeight="1" x14ac:dyDescent="0.25">
      <c r="A1334" s="3">
        <v>45643</v>
      </c>
      <c r="B1334" s="4">
        <v>2024003362</v>
      </c>
      <c r="C1334" s="4" t="s">
        <v>813</v>
      </c>
      <c r="D1334" s="5">
        <v>6000000</v>
      </c>
      <c r="E1334" s="4">
        <v>1131085780</v>
      </c>
      <c r="F1334" s="4" t="s">
        <v>814</v>
      </c>
      <c r="G1334" t="s">
        <v>565</v>
      </c>
    </row>
    <row r="1335" spans="1:7" ht="15" customHeight="1" x14ac:dyDescent="0.25">
      <c r="A1335" s="3">
        <v>45643</v>
      </c>
      <c r="B1335" s="4">
        <v>2024003363</v>
      </c>
      <c r="C1335" s="4" t="s">
        <v>1048</v>
      </c>
      <c r="D1335" s="5">
        <v>2500000</v>
      </c>
      <c r="E1335" s="4">
        <v>1085324252</v>
      </c>
      <c r="F1335" s="4" t="s">
        <v>1049</v>
      </c>
      <c r="G1335" t="s">
        <v>565</v>
      </c>
    </row>
    <row r="1336" spans="1:7" ht="15" customHeight="1" x14ac:dyDescent="0.25">
      <c r="A1336" s="3">
        <v>45643</v>
      </c>
      <c r="B1336" s="4">
        <v>2024003364</v>
      </c>
      <c r="C1336" s="4" t="s">
        <v>1050</v>
      </c>
      <c r="D1336" s="5">
        <v>4750000</v>
      </c>
      <c r="E1336" s="4">
        <v>1085313870</v>
      </c>
      <c r="F1336" s="4" t="s">
        <v>513</v>
      </c>
      <c r="G1336" t="s">
        <v>565</v>
      </c>
    </row>
    <row r="1337" spans="1:7" ht="15" customHeight="1" x14ac:dyDescent="0.25">
      <c r="A1337" s="3">
        <v>45643</v>
      </c>
      <c r="B1337" s="4">
        <v>2024003365</v>
      </c>
      <c r="C1337" s="4" t="s">
        <v>1051</v>
      </c>
      <c r="D1337" s="5">
        <v>2691100</v>
      </c>
      <c r="E1337" s="4">
        <v>1085334685</v>
      </c>
      <c r="F1337" s="4" t="s">
        <v>1052</v>
      </c>
      <c r="G1337" t="s">
        <v>565</v>
      </c>
    </row>
    <row r="1338" spans="1:7" ht="15" customHeight="1" x14ac:dyDescent="0.25">
      <c r="A1338" s="3">
        <v>45643</v>
      </c>
      <c r="B1338" s="4">
        <v>2024003366</v>
      </c>
      <c r="C1338" s="4" t="s">
        <v>840</v>
      </c>
      <c r="D1338" s="5">
        <v>3000000</v>
      </c>
      <c r="E1338" s="4">
        <v>1233188273</v>
      </c>
      <c r="F1338" s="4" t="s">
        <v>473</v>
      </c>
      <c r="G1338" t="s">
        <v>565</v>
      </c>
    </row>
    <row r="1339" spans="1:7" ht="15" customHeight="1" x14ac:dyDescent="0.25">
      <c r="A1339" s="3">
        <v>45643</v>
      </c>
      <c r="B1339" s="4">
        <v>2024003367</v>
      </c>
      <c r="C1339" s="4" t="s">
        <v>878</v>
      </c>
      <c r="D1339" s="5">
        <v>3000000</v>
      </c>
      <c r="E1339" s="4">
        <v>1085338575</v>
      </c>
      <c r="F1339" s="4" t="s">
        <v>227</v>
      </c>
      <c r="G1339" t="s">
        <v>565</v>
      </c>
    </row>
    <row r="1340" spans="1:7" ht="15" customHeight="1" x14ac:dyDescent="0.25">
      <c r="A1340" s="3">
        <v>45643</v>
      </c>
      <c r="B1340" s="4">
        <v>2024003368</v>
      </c>
      <c r="C1340" s="4" t="s">
        <v>792</v>
      </c>
      <c r="D1340" s="5">
        <v>6000000</v>
      </c>
      <c r="E1340" s="4">
        <v>59588823</v>
      </c>
      <c r="F1340" s="4" t="s">
        <v>793</v>
      </c>
      <c r="G1340" t="s">
        <v>565</v>
      </c>
    </row>
    <row r="1341" spans="1:7" ht="15" customHeight="1" x14ac:dyDescent="0.25">
      <c r="A1341" s="3">
        <v>45643</v>
      </c>
      <c r="B1341" s="4">
        <v>2024003369</v>
      </c>
      <c r="C1341" s="4" t="s">
        <v>868</v>
      </c>
      <c r="D1341" s="5">
        <v>4825000</v>
      </c>
      <c r="E1341" s="4">
        <v>30733517</v>
      </c>
      <c r="F1341" s="4" t="s">
        <v>53</v>
      </c>
      <c r="G1341" t="s">
        <v>565</v>
      </c>
    </row>
    <row r="1342" spans="1:7" ht="15" customHeight="1" x14ac:dyDescent="0.25">
      <c r="A1342" s="3">
        <v>45643</v>
      </c>
      <c r="B1342" s="4">
        <v>2024003370</v>
      </c>
      <c r="C1342" s="4" t="s">
        <v>911</v>
      </c>
      <c r="D1342" s="5">
        <v>2500000</v>
      </c>
      <c r="E1342" s="4">
        <v>13072447</v>
      </c>
      <c r="F1342" s="4" t="s">
        <v>205</v>
      </c>
      <c r="G1342" t="s">
        <v>565</v>
      </c>
    </row>
    <row r="1343" spans="1:7" ht="15" customHeight="1" x14ac:dyDescent="0.25">
      <c r="A1343" s="3">
        <v>45643</v>
      </c>
      <c r="B1343" s="4">
        <v>2024003371</v>
      </c>
      <c r="C1343" s="4" t="s">
        <v>912</v>
      </c>
      <c r="D1343" s="5">
        <v>2500000</v>
      </c>
      <c r="E1343" s="4">
        <v>1085338135</v>
      </c>
      <c r="F1343" s="4" t="s">
        <v>369</v>
      </c>
      <c r="G1343" t="s">
        <v>565</v>
      </c>
    </row>
    <row r="1344" spans="1:7" ht="15" customHeight="1" x14ac:dyDescent="0.25">
      <c r="A1344" s="3">
        <v>45643</v>
      </c>
      <c r="B1344" s="4">
        <v>2024003372</v>
      </c>
      <c r="C1344" s="4" t="s">
        <v>896</v>
      </c>
      <c r="D1344" s="5">
        <v>4825000</v>
      </c>
      <c r="E1344" s="4">
        <v>59310622</v>
      </c>
      <c r="F1344" s="4" t="s">
        <v>897</v>
      </c>
      <c r="G1344" t="s">
        <v>565</v>
      </c>
    </row>
    <row r="1345" spans="1:7" ht="15" customHeight="1" x14ac:dyDescent="0.25">
      <c r="A1345" s="3">
        <v>45643</v>
      </c>
      <c r="B1345" s="4">
        <v>2024003373</v>
      </c>
      <c r="C1345" s="4" t="s">
        <v>974</v>
      </c>
      <c r="D1345" s="5">
        <v>6000000</v>
      </c>
      <c r="E1345" s="4">
        <v>79724257</v>
      </c>
      <c r="F1345" s="4" t="s">
        <v>425</v>
      </c>
      <c r="G1345" t="s">
        <v>565</v>
      </c>
    </row>
    <row r="1346" spans="1:7" ht="15" customHeight="1" x14ac:dyDescent="0.25">
      <c r="A1346" s="3">
        <v>45645</v>
      </c>
      <c r="B1346" s="4">
        <v>2024003381</v>
      </c>
      <c r="C1346" s="4" t="s">
        <v>934</v>
      </c>
      <c r="D1346" s="5">
        <v>4825000</v>
      </c>
      <c r="E1346" s="4">
        <v>27087851</v>
      </c>
      <c r="F1346" s="4" t="s">
        <v>177</v>
      </c>
      <c r="G1346" t="s">
        <v>565</v>
      </c>
    </row>
    <row r="1347" spans="1:7" ht="15" customHeight="1" x14ac:dyDescent="0.25">
      <c r="A1347" s="3">
        <v>45645</v>
      </c>
      <c r="B1347" s="4">
        <v>2024003382</v>
      </c>
      <c r="C1347" s="4" t="s">
        <v>689</v>
      </c>
      <c r="D1347" s="5">
        <v>3000000</v>
      </c>
      <c r="E1347" s="4">
        <v>1004135064</v>
      </c>
      <c r="F1347" s="4" t="s">
        <v>207</v>
      </c>
      <c r="G1347" t="s">
        <v>565</v>
      </c>
    </row>
    <row r="1348" spans="1:7" ht="15" customHeight="1" x14ac:dyDescent="0.25">
      <c r="A1348" s="3">
        <v>45645</v>
      </c>
      <c r="B1348" s="4">
        <v>2024003383</v>
      </c>
      <c r="C1348" s="4" t="s">
        <v>694</v>
      </c>
      <c r="D1348" s="5">
        <v>2500000</v>
      </c>
      <c r="E1348" s="4">
        <v>1085338232</v>
      </c>
      <c r="F1348" s="4" t="s">
        <v>287</v>
      </c>
      <c r="G1348" t="s">
        <v>565</v>
      </c>
    </row>
    <row r="1349" spans="1:7" ht="15" customHeight="1" x14ac:dyDescent="0.25">
      <c r="A1349" s="3">
        <v>45645</v>
      </c>
      <c r="B1349" s="4">
        <v>2024003385</v>
      </c>
      <c r="C1349" s="4" t="s">
        <v>696</v>
      </c>
      <c r="D1349" s="5">
        <v>4825000</v>
      </c>
      <c r="E1349" s="4">
        <v>59310145</v>
      </c>
      <c r="F1349" s="4" t="s">
        <v>129</v>
      </c>
      <c r="G1349" t="s">
        <v>565</v>
      </c>
    </row>
    <row r="1350" spans="1:7" ht="15" customHeight="1" x14ac:dyDescent="0.25">
      <c r="A1350" s="3">
        <v>45645</v>
      </c>
      <c r="B1350" s="4">
        <v>2024003386</v>
      </c>
      <c r="C1350" s="4" t="s">
        <v>683</v>
      </c>
      <c r="D1350" s="5">
        <v>4825000</v>
      </c>
      <c r="E1350" s="4">
        <v>1193385736</v>
      </c>
      <c r="F1350" s="4" t="s">
        <v>57</v>
      </c>
      <c r="G1350" t="s">
        <v>565</v>
      </c>
    </row>
    <row r="1351" spans="1:7" ht="15" customHeight="1" x14ac:dyDescent="0.25">
      <c r="A1351" s="3">
        <v>45645</v>
      </c>
      <c r="B1351" s="4">
        <v>2024003387</v>
      </c>
      <c r="C1351" s="4" t="s">
        <v>920</v>
      </c>
      <c r="D1351" s="5">
        <v>7540000</v>
      </c>
      <c r="E1351" s="4">
        <v>1085300619</v>
      </c>
      <c r="F1351" s="4" t="s">
        <v>921</v>
      </c>
      <c r="G1351" t="s">
        <v>565</v>
      </c>
    </row>
    <row r="1352" spans="1:7" ht="15" customHeight="1" x14ac:dyDescent="0.25">
      <c r="A1352" s="3">
        <v>45645</v>
      </c>
      <c r="B1352" s="4">
        <v>2024003388</v>
      </c>
      <c r="C1352" s="4" t="s">
        <v>927</v>
      </c>
      <c r="D1352" s="5">
        <v>4750000</v>
      </c>
      <c r="E1352" s="4">
        <v>1086332188</v>
      </c>
      <c r="F1352" s="4" t="s">
        <v>928</v>
      </c>
      <c r="G1352" t="s">
        <v>565</v>
      </c>
    </row>
    <row r="1353" spans="1:7" ht="15" customHeight="1" x14ac:dyDescent="0.25">
      <c r="A1353" s="3">
        <v>45645</v>
      </c>
      <c r="B1353" s="4">
        <v>2024003390</v>
      </c>
      <c r="C1353" s="4" t="s">
        <v>609</v>
      </c>
      <c r="D1353" s="5">
        <v>6000000</v>
      </c>
      <c r="E1353" s="4">
        <v>1085275879</v>
      </c>
      <c r="F1353" s="4" t="s">
        <v>117</v>
      </c>
      <c r="G1353" t="s">
        <v>565</v>
      </c>
    </row>
    <row r="1354" spans="1:7" ht="15" customHeight="1" x14ac:dyDescent="0.25">
      <c r="A1354" s="3">
        <v>45645</v>
      </c>
      <c r="B1354" s="4">
        <v>2024003391</v>
      </c>
      <c r="C1354" s="4" t="s">
        <v>852</v>
      </c>
      <c r="D1354" s="5">
        <v>2500000</v>
      </c>
      <c r="E1354" s="4">
        <v>1085337465</v>
      </c>
      <c r="F1354" s="4" t="s">
        <v>315</v>
      </c>
      <c r="G1354" t="s">
        <v>565</v>
      </c>
    </row>
    <row r="1355" spans="1:7" ht="15" customHeight="1" x14ac:dyDescent="0.25">
      <c r="A1355" s="3">
        <v>45645</v>
      </c>
      <c r="B1355" s="4">
        <v>2024003392</v>
      </c>
      <c r="C1355" s="4" t="s">
        <v>739</v>
      </c>
      <c r="D1355" s="5">
        <v>2500000</v>
      </c>
      <c r="E1355" s="4">
        <v>27090145</v>
      </c>
      <c r="F1355" s="4" t="s">
        <v>357</v>
      </c>
      <c r="G1355" t="s">
        <v>565</v>
      </c>
    </row>
    <row r="1356" spans="1:7" ht="15" customHeight="1" x14ac:dyDescent="0.25">
      <c r="A1356" s="3">
        <v>45645</v>
      </c>
      <c r="B1356" s="4">
        <v>2024003393</v>
      </c>
      <c r="C1356" s="4" t="s">
        <v>695</v>
      </c>
      <c r="D1356" s="5">
        <v>3000000</v>
      </c>
      <c r="E1356" s="4">
        <v>59837416</v>
      </c>
      <c r="F1356" s="4" t="s">
        <v>395</v>
      </c>
      <c r="G1356" t="s">
        <v>565</v>
      </c>
    </row>
    <row r="1357" spans="1:7" ht="15" customHeight="1" x14ac:dyDescent="0.25">
      <c r="A1357" s="3">
        <v>45645</v>
      </c>
      <c r="B1357" s="4">
        <v>2024003394</v>
      </c>
      <c r="C1357" s="4" t="s">
        <v>761</v>
      </c>
      <c r="D1357" s="5">
        <v>7540000</v>
      </c>
      <c r="E1357" s="4">
        <v>1006946167</v>
      </c>
      <c r="F1357" s="4" t="s">
        <v>63</v>
      </c>
      <c r="G1357" t="s">
        <v>565</v>
      </c>
    </row>
    <row r="1358" spans="1:7" ht="15" customHeight="1" x14ac:dyDescent="0.25">
      <c r="A1358" s="3">
        <v>45645</v>
      </c>
      <c r="B1358" s="4">
        <v>2024003395</v>
      </c>
      <c r="C1358" s="4" t="s">
        <v>847</v>
      </c>
      <c r="D1358" s="5">
        <v>4825000</v>
      </c>
      <c r="E1358" s="4">
        <v>1085324891</v>
      </c>
      <c r="F1358" s="4" t="s">
        <v>509</v>
      </c>
      <c r="G1358" t="s">
        <v>565</v>
      </c>
    </row>
    <row r="1359" spans="1:7" ht="15" customHeight="1" x14ac:dyDescent="0.25">
      <c r="A1359" s="3">
        <v>45645</v>
      </c>
      <c r="B1359" s="4">
        <v>2024003396</v>
      </c>
      <c r="C1359" s="4" t="s">
        <v>870</v>
      </c>
      <c r="D1359" s="5">
        <v>2500000</v>
      </c>
      <c r="E1359" s="4">
        <v>1081273343</v>
      </c>
      <c r="F1359" s="4" t="s">
        <v>339</v>
      </c>
      <c r="G1359" t="s">
        <v>565</v>
      </c>
    </row>
    <row r="1360" spans="1:7" ht="15" customHeight="1" x14ac:dyDescent="0.25">
      <c r="A1360" s="3">
        <v>45645</v>
      </c>
      <c r="B1360" s="4">
        <v>2024003397</v>
      </c>
      <c r="C1360" s="4" t="s">
        <v>1053</v>
      </c>
      <c r="D1360" s="5">
        <v>600000</v>
      </c>
      <c r="E1360" s="4">
        <v>87030128</v>
      </c>
      <c r="F1360" s="4" t="s">
        <v>1054</v>
      </c>
      <c r="G1360" t="s">
        <v>565</v>
      </c>
    </row>
    <row r="1361" spans="1:7" ht="15" customHeight="1" x14ac:dyDescent="0.25">
      <c r="A1361" s="3">
        <v>45645</v>
      </c>
      <c r="B1361" s="4">
        <v>2024003398</v>
      </c>
      <c r="C1361" s="4" t="s">
        <v>1053</v>
      </c>
      <c r="D1361" s="5">
        <v>3000000</v>
      </c>
      <c r="E1361" s="4">
        <v>87030128</v>
      </c>
      <c r="F1361" s="4" t="s">
        <v>1054</v>
      </c>
      <c r="G1361" t="s">
        <v>565</v>
      </c>
    </row>
    <row r="1362" spans="1:7" ht="15" customHeight="1" x14ac:dyDescent="0.25">
      <c r="A1362" s="3">
        <v>45645</v>
      </c>
      <c r="B1362" s="4">
        <v>2024003399</v>
      </c>
      <c r="C1362" s="4" t="s">
        <v>659</v>
      </c>
      <c r="D1362" s="5">
        <v>3000000</v>
      </c>
      <c r="E1362" s="4">
        <v>59178610</v>
      </c>
      <c r="F1362" s="4" t="s">
        <v>97</v>
      </c>
      <c r="G1362" t="s">
        <v>565</v>
      </c>
    </row>
    <row r="1363" spans="1:7" ht="15" customHeight="1" x14ac:dyDescent="0.25">
      <c r="A1363" s="3">
        <v>45645</v>
      </c>
      <c r="B1363" s="4">
        <v>2024003400</v>
      </c>
      <c r="C1363" s="4" t="s">
        <v>830</v>
      </c>
      <c r="D1363" s="5">
        <v>2500000</v>
      </c>
      <c r="E1363" s="4">
        <v>1085289798</v>
      </c>
      <c r="F1363" s="4" t="s">
        <v>375</v>
      </c>
      <c r="G1363" t="s">
        <v>565</v>
      </c>
    </row>
    <row r="1364" spans="1:7" ht="15" customHeight="1" x14ac:dyDescent="0.25">
      <c r="A1364" s="3">
        <v>45645</v>
      </c>
      <c r="B1364" s="4">
        <v>2024003401</v>
      </c>
      <c r="C1364" s="4" t="s">
        <v>676</v>
      </c>
      <c r="D1364" s="5">
        <v>4750000</v>
      </c>
      <c r="E1364" s="4">
        <v>1085293619</v>
      </c>
      <c r="F1364" s="4" t="s">
        <v>155</v>
      </c>
      <c r="G1364" t="s">
        <v>565</v>
      </c>
    </row>
    <row r="1365" spans="1:7" ht="15" customHeight="1" x14ac:dyDescent="0.25">
      <c r="A1365" s="3">
        <v>45645</v>
      </c>
      <c r="B1365" s="4">
        <v>2024003402</v>
      </c>
      <c r="C1365" s="4" t="s">
        <v>1055</v>
      </c>
      <c r="D1365" s="5">
        <v>1500000</v>
      </c>
      <c r="E1365" s="4">
        <v>1085346528</v>
      </c>
      <c r="F1365" s="4" t="s">
        <v>1056</v>
      </c>
      <c r="G1365" t="s">
        <v>565</v>
      </c>
    </row>
    <row r="1366" spans="1:7" ht="15" customHeight="1" x14ac:dyDescent="0.25">
      <c r="A1366" s="3">
        <v>45645</v>
      </c>
      <c r="B1366" s="4">
        <v>2024003403</v>
      </c>
      <c r="C1366" s="4" t="s">
        <v>1055</v>
      </c>
      <c r="D1366" s="5">
        <v>3000000</v>
      </c>
      <c r="E1366" s="4">
        <v>1085346528</v>
      </c>
      <c r="F1366" s="4" t="s">
        <v>1056</v>
      </c>
      <c r="G1366" t="s">
        <v>565</v>
      </c>
    </row>
    <row r="1367" spans="1:7" ht="15" customHeight="1" x14ac:dyDescent="0.25">
      <c r="A1367" s="3">
        <v>45645</v>
      </c>
      <c r="B1367" s="4">
        <v>2024003404</v>
      </c>
      <c r="C1367" s="4" t="s">
        <v>1057</v>
      </c>
      <c r="D1367" s="5">
        <v>1000000</v>
      </c>
      <c r="E1367" s="4">
        <v>1004437571</v>
      </c>
      <c r="F1367" s="4" t="s">
        <v>580</v>
      </c>
      <c r="G1367" t="s">
        <v>565</v>
      </c>
    </row>
    <row r="1368" spans="1:7" ht="15" customHeight="1" x14ac:dyDescent="0.25">
      <c r="A1368" s="3">
        <v>45645</v>
      </c>
      <c r="B1368" s="4">
        <v>2024003405</v>
      </c>
      <c r="C1368" s="4" t="s">
        <v>959</v>
      </c>
      <c r="D1368" s="5">
        <v>3000000</v>
      </c>
      <c r="E1368" s="4">
        <v>1085286725</v>
      </c>
      <c r="F1368" s="4" t="s">
        <v>111</v>
      </c>
      <c r="G1368" t="s">
        <v>565</v>
      </c>
    </row>
    <row r="1369" spans="1:7" ht="15" customHeight="1" x14ac:dyDescent="0.25">
      <c r="A1369" s="3">
        <v>45645</v>
      </c>
      <c r="B1369" s="4">
        <v>2024003406</v>
      </c>
      <c r="C1369" s="4" t="s">
        <v>1058</v>
      </c>
      <c r="D1369" s="5">
        <v>4750000</v>
      </c>
      <c r="E1369" s="4">
        <v>1085245714</v>
      </c>
      <c r="F1369" s="4" t="s">
        <v>1059</v>
      </c>
      <c r="G1369" t="s">
        <v>565</v>
      </c>
    </row>
    <row r="1370" spans="1:7" ht="15" customHeight="1" x14ac:dyDescent="0.25">
      <c r="A1370" s="3">
        <v>45645</v>
      </c>
      <c r="B1370" s="4">
        <v>2024003408</v>
      </c>
      <c r="C1370" s="4" t="s">
        <v>819</v>
      </c>
      <c r="D1370" s="5">
        <v>4825000</v>
      </c>
      <c r="E1370" s="4">
        <v>1081595485</v>
      </c>
      <c r="F1370" s="4" t="s">
        <v>820</v>
      </c>
      <c r="G1370" t="s">
        <v>565</v>
      </c>
    </row>
    <row r="1371" spans="1:7" ht="15" customHeight="1" x14ac:dyDescent="0.25">
      <c r="A1371" s="3">
        <v>45645</v>
      </c>
      <c r="B1371" s="4">
        <v>2024003410</v>
      </c>
      <c r="C1371" s="4" t="s">
        <v>936</v>
      </c>
      <c r="D1371" s="5">
        <v>7540000</v>
      </c>
      <c r="E1371" s="4">
        <v>79800150</v>
      </c>
      <c r="F1371" s="4" t="s">
        <v>937</v>
      </c>
      <c r="G1371" t="s">
        <v>565</v>
      </c>
    </row>
    <row r="1372" spans="1:7" ht="15" customHeight="1" x14ac:dyDescent="0.25">
      <c r="A1372" s="3">
        <v>45645</v>
      </c>
      <c r="B1372" s="4">
        <v>2024003412</v>
      </c>
      <c r="C1372" s="4" t="s">
        <v>1060</v>
      </c>
      <c r="D1372" s="5">
        <v>600000</v>
      </c>
      <c r="E1372" s="4">
        <v>13069881</v>
      </c>
      <c r="F1372" s="4" t="s">
        <v>546</v>
      </c>
      <c r="G1372" t="s">
        <v>565</v>
      </c>
    </row>
    <row r="1373" spans="1:7" ht="15" customHeight="1" x14ac:dyDescent="0.25">
      <c r="A1373" s="3">
        <v>45645</v>
      </c>
      <c r="B1373" s="4">
        <v>2024003414</v>
      </c>
      <c r="C1373" s="4" t="s">
        <v>815</v>
      </c>
      <c r="D1373" s="5">
        <v>6000000</v>
      </c>
      <c r="E1373" s="4">
        <v>59836926</v>
      </c>
      <c r="F1373" s="4" t="s">
        <v>311</v>
      </c>
      <c r="G1373" t="s">
        <v>565</v>
      </c>
    </row>
    <row r="1374" spans="1:7" ht="15" customHeight="1" x14ac:dyDescent="0.25">
      <c r="A1374" s="3">
        <v>45645</v>
      </c>
      <c r="B1374" s="4">
        <v>2024003416</v>
      </c>
      <c r="C1374" s="4" t="s">
        <v>1018</v>
      </c>
      <c r="D1374" s="5">
        <v>2500000</v>
      </c>
      <c r="E1374" s="4">
        <v>1081052090</v>
      </c>
      <c r="F1374" s="4" t="s">
        <v>319</v>
      </c>
      <c r="G1374" t="s">
        <v>565</v>
      </c>
    </row>
    <row r="1375" spans="1:7" ht="15" customHeight="1" x14ac:dyDescent="0.25">
      <c r="A1375" s="3">
        <v>45645</v>
      </c>
      <c r="B1375" s="4">
        <v>2024003418</v>
      </c>
      <c r="C1375" s="4" t="s">
        <v>1061</v>
      </c>
      <c r="D1375" s="5">
        <v>1200000</v>
      </c>
      <c r="E1375" s="4">
        <v>1084228089</v>
      </c>
      <c r="F1375" s="4" t="s">
        <v>1062</v>
      </c>
      <c r="G1375" t="s">
        <v>565</v>
      </c>
    </row>
    <row r="1376" spans="1:7" ht="15" customHeight="1" x14ac:dyDescent="0.25">
      <c r="A1376" s="3">
        <v>45645</v>
      </c>
      <c r="B1376" s="4">
        <v>2024003419</v>
      </c>
      <c r="C1376" s="4" t="s">
        <v>917</v>
      </c>
      <c r="D1376" s="5">
        <v>7540000</v>
      </c>
      <c r="E1376" s="4">
        <v>87940284</v>
      </c>
      <c r="F1376" s="4" t="s">
        <v>918</v>
      </c>
      <c r="G1376" t="s">
        <v>565</v>
      </c>
    </row>
    <row r="1377" spans="1:7" ht="15" customHeight="1" x14ac:dyDescent="0.25">
      <c r="A1377" s="3">
        <v>45645</v>
      </c>
      <c r="B1377" s="4">
        <v>2024003420</v>
      </c>
      <c r="C1377" s="4" t="s">
        <v>1017</v>
      </c>
      <c r="D1377" s="5">
        <v>7540000</v>
      </c>
      <c r="E1377" s="4">
        <v>1193279435</v>
      </c>
      <c r="F1377" s="4" t="s">
        <v>435</v>
      </c>
      <c r="G1377" t="s">
        <v>565</v>
      </c>
    </row>
    <row r="1378" spans="1:7" ht="15" customHeight="1" x14ac:dyDescent="0.25">
      <c r="A1378" s="3">
        <v>45646</v>
      </c>
      <c r="B1378" s="4">
        <v>2024003433</v>
      </c>
      <c r="C1378" s="4" t="s">
        <v>759</v>
      </c>
      <c r="D1378" s="5">
        <v>6000000</v>
      </c>
      <c r="E1378" s="4">
        <v>1085253062</v>
      </c>
      <c r="F1378" s="4" t="s">
        <v>31</v>
      </c>
      <c r="G1378" t="s">
        <v>565</v>
      </c>
    </row>
    <row r="1379" spans="1:7" ht="15" customHeight="1" x14ac:dyDescent="0.25">
      <c r="A1379" s="3">
        <v>45646</v>
      </c>
      <c r="B1379" s="4">
        <v>2024003435</v>
      </c>
      <c r="C1379" s="4" t="s">
        <v>640</v>
      </c>
      <c r="D1379" s="5">
        <v>3000000</v>
      </c>
      <c r="E1379" s="4">
        <v>1004592366</v>
      </c>
      <c r="F1379" s="4" t="s">
        <v>123</v>
      </c>
      <c r="G1379" t="s">
        <v>565</v>
      </c>
    </row>
    <row r="1380" spans="1:7" ht="15" customHeight="1" x14ac:dyDescent="0.25">
      <c r="A1380" s="3">
        <v>45646</v>
      </c>
      <c r="B1380" s="4">
        <v>2024003439</v>
      </c>
      <c r="C1380" s="4" t="s">
        <v>643</v>
      </c>
      <c r="D1380" s="5">
        <v>3000000</v>
      </c>
      <c r="E1380" s="4">
        <v>1004232508</v>
      </c>
      <c r="F1380" s="4" t="s">
        <v>109</v>
      </c>
      <c r="G1380" t="s">
        <v>565</v>
      </c>
    </row>
    <row r="1381" spans="1:7" ht="15" customHeight="1" x14ac:dyDescent="0.25">
      <c r="A1381" s="3">
        <v>45646</v>
      </c>
      <c r="B1381" s="4">
        <v>2024003443</v>
      </c>
      <c r="C1381" s="4" t="s">
        <v>933</v>
      </c>
      <c r="D1381" s="5">
        <v>3000000</v>
      </c>
      <c r="E1381" s="4">
        <v>1085325718</v>
      </c>
      <c r="F1381" s="4" t="s">
        <v>301</v>
      </c>
      <c r="G1381" t="s">
        <v>565</v>
      </c>
    </row>
    <row r="1382" spans="1:7" ht="15" customHeight="1" x14ac:dyDescent="0.25">
      <c r="A1382" s="3">
        <v>45646</v>
      </c>
      <c r="B1382" s="4">
        <v>2024003446</v>
      </c>
      <c r="C1382" s="4" t="s">
        <v>854</v>
      </c>
      <c r="D1382" s="5">
        <v>3000000</v>
      </c>
      <c r="E1382" s="4">
        <v>1085266584</v>
      </c>
      <c r="F1382" s="4" t="s">
        <v>115</v>
      </c>
      <c r="G1382" t="s">
        <v>565</v>
      </c>
    </row>
    <row r="1383" spans="1:7" ht="15" customHeight="1" x14ac:dyDescent="0.25">
      <c r="A1383" s="3">
        <v>45646</v>
      </c>
      <c r="B1383" s="4">
        <v>2024003449</v>
      </c>
      <c r="C1383" s="4" t="s">
        <v>610</v>
      </c>
      <c r="D1383" s="5">
        <v>6000000</v>
      </c>
      <c r="E1383" s="4">
        <v>1085254626</v>
      </c>
      <c r="F1383" s="4" t="s">
        <v>143</v>
      </c>
      <c r="G1383" t="s">
        <v>565</v>
      </c>
    </row>
    <row r="1384" spans="1:7" ht="15" customHeight="1" x14ac:dyDescent="0.25">
      <c r="A1384" s="3">
        <v>45646</v>
      </c>
      <c r="B1384" s="4">
        <v>2024003453</v>
      </c>
      <c r="C1384" s="4" t="s">
        <v>1010</v>
      </c>
      <c r="D1384" s="5">
        <v>3000000</v>
      </c>
      <c r="E1384" s="4">
        <v>1004131976</v>
      </c>
      <c r="F1384" s="4" t="s">
        <v>1011</v>
      </c>
      <c r="G1384" t="s">
        <v>565</v>
      </c>
    </row>
    <row r="1385" spans="1:7" ht="15" customHeight="1" x14ac:dyDescent="0.25">
      <c r="A1385" s="3">
        <v>45649</v>
      </c>
      <c r="B1385" s="4">
        <v>2024003483</v>
      </c>
      <c r="C1385" s="4" t="s">
        <v>1046</v>
      </c>
      <c r="D1385" s="5">
        <v>4750000</v>
      </c>
      <c r="E1385" s="4">
        <v>1085326561</v>
      </c>
      <c r="F1385" s="4" t="s">
        <v>1047</v>
      </c>
      <c r="G1385" t="s">
        <v>565</v>
      </c>
    </row>
    <row r="1386" spans="1:7" ht="15" customHeight="1" x14ac:dyDescent="0.25">
      <c r="A1386" s="3">
        <v>45649</v>
      </c>
      <c r="B1386" s="4">
        <v>2024003484</v>
      </c>
      <c r="C1386" s="4" t="s">
        <v>746</v>
      </c>
      <c r="D1386" s="5">
        <v>7540000</v>
      </c>
      <c r="E1386" s="4">
        <v>1233191998</v>
      </c>
      <c r="F1386" s="4" t="s">
        <v>747</v>
      </c>
      <c r="G1386" t="s">
        <v>565</v>
      </c>
    </row>
    <row r="1387" spans="1:7" ht="15" customHeight="1" x14ac:dyDescent="0.25">
      <c r="A1387" s="3">
        <v>45649</v>
      </c>
      <c r="B1387" s="4">
        <v>2024003485</v>
      </c>
      <c r="C1387" s="4" t="s">
        <v>916</v>
      </c>
      <c r="D1387" s="5">
        <v>3000000</v>
      </c>
      <c r="E1387" s="4">
        <v>30743783</v>
      </c>
      <c r="F1387" s="4" t="s">
        <v>504</v>
      </c>
      <c r="G1387" t="s">
        <v>565</v>
      </c>
    </row>
    <row r="1388" spans="1:7" ht="15" customHeight="1" x14ac:dyDescent="0.25">
      <c r="A1388" s="3">
        <v>45649</v>
      </c>
      <c r="B1388" s="4">
        <v>2024003486</v>
      </c>
      <c r="C1388" s="4" t="s">
        <v>1040</v>
      </c>
      <c r="D1388" s="5">
        <v>4750000</v>
      </c>
      <c r="E1388" s="4">
        <v>1067940322</v>
      </c>
      <c r="F1388" s="4" t="s">
        <v>1041</v>
      </c>
      <c r="G1388" t="s">
        <v>565</v>
      </c>
    </row>
    <row r="1389" spans="1:7" ht="15" customHeight="1" x14ac:dyDescent="0.25">
      <c r="A1389" s="3">
        <v>45649</v>
      </c>
      <c r="B1389" s="4">
        <v>2024003487</v>
      </c>
      <c r="C1389" s="4" t="s">
        <v>860</v>
      </c>
      <c r="D1389" s="5">
        <v>6000000</v>
      </c>
      <c r="E1389" s="4">
        <v>1085337232</v>
      </c>
      <c r="F1389" s="4" t="s">
        <v>89</v>
      </c>
      <c r="G1389" t="s">
        <v>565</v>
      </c>
    </row>
    <row r="1390" spans="1:7" ht="15" customHeight="1" x14ac:dyDescent="0.25">
      <c r="A1390" s="3">
        <v>45649</v>
      </c>
      <c r="B1390" s="4">
        <v>2024003488</v>
      </c>
      <c r="C1390" s="4" t="s">
        <v>861</v>
      </c>
      <c r="D1390" s="5">
        <v>3000000</v>
      </c>
      <c r="E1390" s="4">
        <v>1193271854</v>
      </c>
      <c r="F1390" s="4" t="s">
        <v>229</v>
      </c>
      <c r="G1390" t="s">
        <v>565</v>
      </c>
    </row>
    <row r="1391" spans="1:7" ht="15" customHeight="1" x14ac:dyDescent="0.25">
      <c r="A1391" s="3">
        <v>45649</v>
      </c>
      <c r="B1391" s="4">
        <v>2024003490</v>
      </c>
      <c r="C1391" s="4" t="s">
        <v>661</v>
      </c>
      <c r="D1391" s="5">
        <v>6000000</v>
      </c>
      <c r="E1391" s="4">
        <v>59837608</v>
      </c>
      <c r="F1391" s="4" t="s">
        <v>145</v>
      </c>
      <c r="G1391" t="s">
        <v>565</v>
      </c>
    </row>
    <row r="1392" spans="1:7" ht="15" customHeight="1" x14ac:dyDescent="0.25">
      <c r="A1392" s="3">
        <v>45649</v>
      </c>
      <c r="B1392" s="4">
        <v>2024003492</v>
      </c>
      <c r="C1392" s="4" t="s">
        <v>923</v>
      </c>
      <c r="D1392" s="5">
        <v>3000000</v>
      </c>
      <c r="E1392" s="4">
        <v>1085310350</v>
      </c>
      <c r="F1392" s="4" t="s">
        <v>924</v>
      </c>
      <c r="G1392" t="s">
        <v>565</v>
      </c>
    </row>
    <row r="1393" spans="1:7" ht="15" customHeight="1" x14ac:dyDescent="0.25">
      <c r="A1393" s="3">
        <v>45649</v>
      </c>
      <c r="B1393" s="4">
        <v>2024003494</v>
      </c>
      <c r="C1393" s="4" t="s">
        <v>960</v>
      </c>
      <c r="D1393" s="5">
        <v>4750000</v>
      </c>
      <c r="E1393" s="4">
        <v>1233188873</v>
      </c>
      <c r="F1393" s="4" t="s">
        <v>961</v>
      </c>
      <c r="G1393" t="s">
        <v>565</v>
      </c>
    </row>
    <row r="1394" spans="1:7" ht="15" customHeight="1" x14ac:dyDescent="0.25">
      <c r="A1394" s="3">
        <v>45649</v>
      </c>
      <c r="B1394" s="4">
        <v>2024003495</v>
      </c>
      <c r="C1394" s="4" t="s">
        <v>688</v>
      </c>
      <c r="D1394" s="5">
        <v>3000000</v>
      </c>
      <c r="E1394" s="4">
        <v>1010082397</v>
      </c>
      <c r="F1394" s="4" t="s">
        <v>209</v>
      </c>
      <c r="G1394" t="s">
        <v>565</v>
      </c>
    </row>
    <row r="1395" spans="1:7" ht="15" customHeight="1" x14ac:dyDescent="0.25">
      <c r="A1395" s="3">
        <v>45649</v>
      </c>
      <c r="B1395" s="4">
        <v>2024003497</v>
      </c>
      <c r="C1395" s="4" t="s">
        <v>600</v>
      </c>
      <c r="D1395" s="5">
        <v>6000000</v>
      </c>
      <c r="E1395" s="4">
        <v>59820414</v>
      </c>
      <c r="F1395" s="4" t="s">
        <v>261</v>
      </c>
      <c r="G1395" t="s">
        <v>565</v>
      </c>
    </row>
    <row r="1396" spans="1:7" ht="15" customHeight="1" x14ac:dyDescent="0.25">
      <c r="A1396" s="3">
        <v>45649</v>
      </c>
      <c r="B1396" s="4">
        <v>2024003498</v>
      </c>
      <c r="C1396" s="4" t="s">
        <v>1033</v>
      </c>
      <c r="D1396" s="5">
        <v>2500000</v>
      </c>
      <c r="E1396" s="4">
        <v>1088729401</v>
      </c>
      <c r="F1396" s="4" t="s">
        <v>543</v>
      </c>
      <c r="G1396" t="s">
        <v>565</v>
      </c>
    </row>
    <row r="1397" spans="1:7" ht="15" customHeight="1" x14ac:dyDescent="0.25">
      <c r="A1397" s="3">
        <v>45649</v>
      </c>
      <c r="B1397" s="4">
        <v>2024003500</v>
      </c>
      <c r="C1397" s="4" t="s">
        <v>764</v>
      </c>
      <c r="D1397" s="5">
        <v>3000000</v>
      </c>
      <c r="E1397" s="4">
        <v>36757213</v>
      </c>
      <c r="F1397" s="4" t="s">
        <v>411</v>
      </c>
      <c r="G1397" t="s">
        <v>565</v>
      </c>
    </row>
    <row r="1398" spans="1:7" ht="15" customHeight="1" x14ac:dyDescent="0.25">
      <c r="A1398" s="3">
        <v>45649</v>
      </c>
      <c r="B1398" s="4">
        <v>2024003501</v>
      </c>
      <c r="C1398" s="4" t="s">
        <v>675</v>
      </c>
      <c r="D1398" s="5">
        <v>3000000</v>
      </c>
      <c r="E1398" s="4">
        <v>59830040</v>
      </c>
      <c r="F1398" s="4" t="s">
        <v>297</v>
      </c>
      <c r="G1398" t="s">
        <v>565</v>
      </c>
    </row>
    <row r="1399" spans="1:7" ht="15" customHeight="1" x14ac:dyDescent="0.25">
      <c r="A1399" s="3">
        <v>45649</v>
      </c>
      <c r="B1399" s="4">
        <v>2024003502</v>
      </c>
      <c r="C1399" s="4" t="s">
        <v>674</v>
      </c>
      <c r="D1399" s="5">
        <v>3000000</v>
      </c>
      <c r="E1399" s="4">
        <v>27285974</v>
      </c>
      <c r="F1399" s="4" t="s">
        <v>349</v>
      </c>
      <c r="G1399" t="s">
        <v>565</v>
      </c>
    </row>
    <row r="1400" spans="1:7" ht="15" customHeight="1" x14ac:dyDescent="0.25">
      <c r="A1400" s="3">
        <v>45649</v>
      </c>
      <c r="B1400" s="4">
        <v>2024003504</v>
      </c>
      <c r="C1400" s="4" t="s">
        <v>842</v>
      </c>
      <c r="D1400" s="5">
        <v>3000000</v>
      </c>
      <c r="E1400" s="4">
        <v>1010085543</v>
      </c>
      <c r="F1400" s="4" t="s">
        <v>265</v>
      </c>
      <c r="G1400" t="s">
        <v>565</v>
      </c>
    </row>
    <row r="1401" spans="1:7" ht="15" customHeight="1" x14ac:dyDescent="0.25">
      <c r="A1401" s="3">
        <v>45649</v>
      </c>
      <c r="B1401" s="4">
        <v>2024003505</v>
      </c>
      <c r="C1401" s="4" t="s">
        <v>686</v>
      </c>
      <c r="D1401" s="5">
        <v>3000000</v>
      </c>
      <c r="E1401" s="4">
        <v>1085288636</v>
      </c>
      <c r="F1401" s="4" t="s">
        <v>405</v>
      </c>
      <c r="G1401" t="s">
        <v>565</v>
      </c>
    </row>
    <row r="1402" spans="1:7" ht="15" customHeight="1" x14ac:dyDescent="0.25">
      <c r="A1402" s="3">
        <v>45649</v>
      </c>
      <c r="B1402" s="4">
        <v>2024003506</v>
      </c>
      <c r="C1402" s="4" t="s">
        <v>777</v>
      </c>
      <c r="D1402" s="5">
        <v>3000000</v>
      </c>
      <c r="E1402" s="4">
        <v>1144206777</v>
      </c>
      <c r="F1402" s="4" t="s">
        <v>153</v>
      </c>
      <c r="G1402" t="s">
        <v>565</v>
      </c>
    </row>
    <row r="1403" spans="1:7" ht="15" customHeight="1" x14ac:dyDescent="0.25">
      <c r="A1403" s="3">
        <v>45649</v>
      </c>
      <c r="B1403" s="4">
        <v>2024003507</v>
      </c>
      <c r="C1403" s="4" t="s">
        <v>972</v>
      </c>
      <c r="D1403" s="5">
        <v>4750000</v>
      </c>
      <c r="E1403" s="4">
        <v>59824800</v>
      </c>
      <c r="F1403" s="4" t="s">
        <v>973</v>
      </c>
      <c r="G1403" t="s">
        <v>565</v>
      </c>
    </row>
    <row r="1404" spans="1:7" ht="15" customHeight="1" x14ac:dyDescent="0.25">
      <c r="A1404" s="3">
        <v>45649</v>
      </c>
      <c r="B1404" s="4">
        <v>2024003509</v>
      </c>
      <c r="C1404" s="4" t="s">
        <v>769</v>
      </c>
      <c r="D1404" s="5">
        <v>3000000</v>
      </c>
      <c r="E1404" s="4">
        <v>1089846829</v>
      </c>
      <c r="F1404" s="4" t="s">
        <v>770</v>
      </c>
      <c r="G1404" t="s">
        <v>565</v>
      </c>
    </row>
    <row r="1405" spans="1:7" ht="15" customHeight="1" x14ac:dyDescent="0.25">
      <c r="A1405" s="3">
        <v>45649</v>
      </c>
      <c r="B1405" s="4">
        <v>2024003510</v>
      </c>
      <c r="C1405" s="4" t="s">
        <v>818</v>
      </c>
      <c r="D1405" s="5">
        <v>3000000</v>
      </c>
      <c r="E1405" s="4">
        <v>27082649</v>
      </c>
      <c r="F1405" s="4" t="s">
        <v>595</v>
      </c>
      <c r="G1405" t="s">
        <v>565</v>
      </c>
    </row>
    <row r="1406" spans="1:7" ht="15" customHeight="1" x14ac:dyDescent="0.25">
      <c r="A1406" s="3">
        <v>45649</v>
      </c>
      <c r="B1406" s="4">
        <v>2024003512</v>
      </c>
      <c r="C1406" s="4" t="s">
        <v>711</v>
      </c>
      <c r="D1406" s="5">
        <v>3000000</v>
      </c>
      <c r="E1406" s="4">
        <v>36758143</v>
      </c>
      <c r="F1406" s="4" t="s">
        <v>107</v>
      </c>
      <c r="G1406" t="s">
        <v>565</v>
      </c>
    </row>
    <row r="1407" spans="1:7" ht="15" customHeight="1" x14ac:dyDescent="0.25">
      <c r="A1407" s="3">
        <v>45649</v>
      </c>
      <c r="B1407" s="4">
        <v>2024003514</v>
      </c>
      <c r="C1407" s="4" t="s">
        <v>867</v>
      </c>
      <c r="D1407" s="5">
        <v>4825000</v>
      </c>
      <c r="E1407" s="4">
        <v>1085291221</v>
      </c>
      <c r="F1407" s="4" t="s">
        <v>93</v>
      </c>
      <c r="G1407" t="s">
        <v>565</v>
      </c>
    </row>
    <row r="1408" spans="1:7" ht="15" customHeight="1" x14ac:dyDescent="0.25">
      <c r="A1408" s="3">
        <v>45649</v>
      </c>
      <c r="B1408" s="4">
        <v>2024003516</v>
      </c>
      <c r="C1408" s="4" t="s">
        <v>638</v>
      </c>
      <c r="D1408" s="5">
        <v>6000000</v>
      </c>
      <c r="E1408" s="4">
        <v>1010010954</v>
      </c>
      <c r="F1408" s="4" t="s">
        <v>337</v>
      </c>
      <c r="G1408" t="s">
        <v>565</v>
      </c>
    </row>
    <row r="1409" spans="1:7" ht="15" customHeight="1" x14ac:dyDescent="0.25">
      <c r="A1409" s="3">
        <v>45649</v>
      </c>
      <c r="B1409" s="4">
        <v>2024003518</v>
      </c>
      <c r="C1409" s="4" t="s">
        <v>804</v>
      </c>
      <c r="D1409" s="5">
        <v>3000000</v>
      </c>
      <c r="E1409" s="4">
        <v>1089243630</v>
      </c>
      <c r="F1409" s="4" t="s">
        <v>197</v>
      </c>
      <c r="G1409" t="s">
        <v>565</v>
      </c>
    </row>
    <row r="1410" spans="1:7" ht="15" customHeight="1" x14ac:dyDescent="0.25">
      <c r="A1410" s="3">
        <v>45649</v>
      </c>
      <c r="B1410" s="4">
        <v>2024003520</v>
      </c>
      <c r="C1410" s="4" t="s">
        <v>673</v>
      </c>
      <c r="D1410" s="5">
        <v>2500000</v>
      </c>
      <c r="E1410" s="4">
        <v>12750863</v>
      </c>
      <c r="F1410" s="4" t="s">
        <v>225</v>
      </c>
      <c r="G1410" t="s">
        <v>565</v>
      </c>
    </row>
    <row r="1411" spans="1:7" ht="15" customHeight="1" x14ac:dyDescent="0.25">
      <c r="A1411" s="3">
        <v>45649</v>
      </c>
      <c r="B1411" s="4">
        <v>2024003521</v>
      </c>
      <c r="C1411" s="4" t="s">
        <v>687</v>
      </c>
      <c r="D1411" s="5">
        <v>3000000</v>
      </c>
      <c r="E1411" s="4">
        <v>1080040858</v>
      </c>
      <c r="F1411" s="4" t="s">
        <v>211</v>
      </c>
      <c r="G1411" t="s">
        <v>565</v>
      </c>
    </row>
    <row r="1412" spans="1:7" ht="15" customHeight="1" x14ac:dyDescent="0.25">
      <c r="A1412" s="3">
        <v>45649</v>
      </c>
      <c r="B1412" s="4">
        <v>2024003522</v>
      </c>
      <c r="C1412" s="4" t="s">
        <v>893</v>
      </c>
      <c r="D1412" s="5">
        <v>6000000</v>
      </c>
      <c r="E1412" s="4">
        <v>97470681</v>
      </c>
      <c r="F1412" s="4" t="s">
        <v>329</v>
      </c>
      <c r="G1412" t="s">
        <v>565</v>
      </c>
    </row>
    <row r="1413" spans="1:7" ht="15" customHeight="1" x14ac:dyDescent="0.25">
      <c r="A1413" s="3">
        <v>45649</v>
      </c>
      <c r="B1413" s="4">
        <v>2024003523</v>
      </c>
      <c r="C1413" s="4" t="s">
        <v>855</v>
      </c>
      <c r="D1413" s="5">
        <v>4750000</v>
      </c>
      <c r="E1413" s="4">
        <v>1193383306</v>
      </c>
      <c r="F1413" s="4" t="s">
        <v>267</v>
      </c>
      <c r="G1413" t="s">
        <v>565</v>
      </c>
    </row>
    <row r="1414" spans="1:7" ht="15" customHeight="1" x14ac:dyDescent="0.25">
      <c r="A1414" s="3">
        <v>45649</v>
      </c>
      <c r="B1414" s="4">
        <v>2024003524</v>
      </c>
      <c r="C1414" s="4" t="s">
        <v>767</v>
      </c>
      <c r="D1414" s="5">
        <v>4750000</v>
      </c>
      <c r="E1414" s="4">
        <v>59651018</v>
      </c>
      <c r="F1414" s="4" t="s">
        <v>493</v>
      </c>
      <c r="G1414" t="s">
        <v>565</v>
      </c>
    </row>
    <row r="1415" spans="1:7" ht="15" customHeight="1" x14ac:dyDescent="0.25">
      <c r="A1415" s="3">
        <v>45649</v>
      </c>
      <c r="B1415" s="4">
        <v>2024003528</v>
      </c>
      <c r="C1415" s="4" t="s">
        <v>913</v>
      </c>
      <c r="D1415" s="5">
        <v>4750000</v>
      </c>
      <c r="E1415" s="4">
        <v>36953206</v>
      </c>
      <c r="F1415" s="4" t="s">
        <v>391</v>
      </c>
      <c r="G1415" t="s">
        <v>565</v>
      </c>
    </row>
    <row r="1416" spans="1:7" ht="15" customHeight="1" x14ac:dyDescent="0.25">
      <c r="A1416" s="3">
        <v>45649</v>
      </c>
      <c r="B1416" s="4">
        <v>2024003531</v>
      </c>
      <c r="C1416" s="4" t="s">
        <v>620</v>
      </c>
      <c r="D1416" s="5">
        <v>4825000</v>
      </c>
      <c r="E1416" s="4">
        <v>1085273986</v>
      </c>
      <c r="F1416" s="4" t="s">
        <v>621</v>
      </c>
      <c r="G1416" t="s">
        <v>565</v>
      </c>
    </row>
    <row r="1417" spans="1:7" ht="15" customHeight="1" x14ac:dyDescent="0.25">
      <c r="A1417" s="3">
        <v>45649</v>
      </c>
      <c r="B1417" s="4">
        <v>2024003533</v>
      </c>
      <c r="C1417" s="4" t="s">
        <v>631</v>
      </c>
      <c r="D1417" s="5">
        <v>6000000</v>
      </c>
      <c r="E1417" s="4">
        <v>1085246134</v>
      </c>
      <c r="F1417" s="4" t="s">
        <v>55</v>
      </c>
      <c r="G1417" t="s">
        <v>565</v>
      </c>
    </row>
    <row r="1418" spans="1:7" ht="15" customHeight="1" x14ac:dyDescent="0.25">
      <c r="A1418" s="3">
        <v>45649</v>
      </c>
      <c r="B1418" s="4">
        <v>2024003534</v>
      </c>
      <c r="C1418" s="4" t="s">
        <v>665</v>
      </c>
      <c r="D1418" s="5">
        <v>3000000</v>
      </c>
      <c r="E1418" s="4">
        <v>1085327701</v>
      </c>
      <c r="F1418" s="4" t="s">
        <v>85</v>
      </c>
      <c r="G1418" t="s">
        <v>565</v>
      </c>
    </row>
    <row r="1419" spans="1:7" ht="15" customHeight="1" x14ac:dyDescent="0.25">
      <c r="A1419" s="3">
        <v>45649</v>
      </c>
      <c r="B1419" s="4">
        <v>2024003535</v>
      </c>
      <c r="C1419" s="4" t="s">
        <v>622</v>
      </c>
      <c r="D1419" s="5">
        <v>4825000</v>
      </c>
      <c r="E1419" s="4">
        <v>1085283723</v>
      </c>
      <c r="F1419" s="4" t="s">
        <v>175</v>
      </c>
      <c r="G1419" t="s">
        <v>565</v>
      </c>
    </row>
    <row r="1420" spans="1:7" ht="15" customHeight="1" x14ac:dyDescent="0.25">
      <c r="A1420" s="3">
        <v>45649</v>
      </c>
      <c r="B1420" s="4">
        <v>2024003536</v>
      </c>
      <c r="C1420" s="4" t="s">
        <v>789</v>
      </c>
      <c r="D1420" s="5">
        <v>3000000</v>
      </c>
      <c r="E1420" s="4">
        <v>1086362994</v>
      </c>
      <c r="F1420" s="4" t="s">
        <v>77</v>
      </c>
      <c r="G1420" t="s">
        <v>565</v>
      </c>
    </row>
    <row r="1421" spans="1:7" ht="15" customHeight="1" x14ac:dyDescent="0.25">
      <c r="A1421" s="3">
        <v>45649</v>
      </c>
      <c r="B1421" s="4">
        <v>2024003537</v>
      </c>
      <c r="C1421" s="4" t="s">
        <v>805</v>
      </c>
      <c r="D1421" s="5">
        <v>3000000</v>
      </c>
      <c r="E1421" s="4">
        <v>59834953</v>
      </c>
      <c r="F1421" s="4" t="s">
        <v>121</v>
      </c>
      <c r="G1421" t="s">
        <v>565</v>
      </c>
    </row>
    <row r="1422" spans="1:7" ht="15" customHeight="1" x14ac:dyDescent="0.25">
      <c r="A1422" s="3">
        <v>45649</v>
      </c>
      <c r="B1422" s="4">
        <v>2024003538</v>
      </c>
      <c r="C1422" s="4" t="s">
        <v>868</v>
      </c>
      <c r="D1422" s="5">
        <v>4825000</v>
      </c>
      <c r="E1422" s="4">
        <v>30733517</v>
      </c>
      <c r="F1422" s="4" t="s">
        <v>53</v>
      </c>
      <c r="G1422" t="s">
        <v>565</v>
      </c>
    </row>
    <row r="1423" spans="1:7" ht="15" customHeight="1" x14ac:dyDescent="0.25">
      <c r="A1423" s="3">
        <v>45649</v>
      </c>
      <c r="B1423" s="4">
        <v>2024003539</v>
      </c>
      <c r="C1423" s="4" t="s">
        <v>776</v>
      </c>
      <c r="D1423" s="5">
        <v>3000000</v>
      </c>
      <c r="E1423" s="4">
        <v>1233189234</v>
      </c>
      <c r="F1423" s="4" t="s">
        <v>87</v>
      </c>
      <c r="G1423" t="s">
        <v>565</v>
      </c>
    </row>
    <row r="1424" spans="1:7" ht="15" customHeight="1" x14ac:dyDescent="0.25">
      <c r="A1424" s="3">
        <v>45649</v>
      </c>
      <c r="B1424" s="4">
        <v>2024003540</v>
      </c>
      <c r="C1424" s="4" t="s">
        <v>970</v>
      </c>
      <c r="D1424" s="5">
        <v>7540000</v>
      </c>
      <c r="E1424" s="4">
        <v>1085317791</v>
      </c>
      <c r="F1424" s="4" t="s">
        <v>971</v>
      </c>
      <c r="G1424" t="s">
        <v>565</v>
      </c>
    </row>
    <row r="1425" spans="1:7" ht="15" customHeight="1" x14ac:dyDescent="0.25">
      <c r="A1425" s="3">
        <v>45649</v>
      </c>
      <c r="B1425" s="4">
        <v>2024003541</v>
      </c>
      <c r="C1425" s="4" t="s">
        <v>775</v>
      </c>
      <c r="D1425" s="5">
        <v>3000000</v>
      </c>
      <c r="E1425" s="4">
        <v>1193385397</v>
      </c>
      <c r="F1425" s="4" t="s">
        <v>39</v>
      </c>
      <c r="G1425" t="s">
        <v>565</v>
      </c>
    </row>
    <row r="1426" spans="1:7" ht="15" customHeight="1" x14ac:dyDescent="0.25">
      <c r="A1426" s="3">
        <v>45649</v>
      </c>
      <c r="B1426" s="4">
        <v>2024003542</v>
      </c>
      <c r="C1426" s="4" t="s">
        <v>710</v>
      </c>
      <c r="D1426" s="5">
        <v>3000000</v>
      </c>
      <c r="E1426" s="4">
        <v>37084285</v>
      </c>
      <c r="F1426" s="4" t="s">
        <v>119</v>
      </c>
      <c r="G1426" t="s">
        <v>565</v>
      </c>
    </row>
    <row r="1427" spans="1:7" ht="15" customHeight="1" x14ac:dyDescent="0.25">
      <c r="A1427" s="3">
        <v>45649</v>
      </c>
      <c r="B1427" s="4">
        <v>2024003543</v>
      </c>
      <c r="C1427" s="4" t="s">
        <v>955</v>
      </c>
      <c r="D1427" s="5">
        <v>2500000</v>
      </c>
      <c r="E1427" s="4">
        <v>36950441</v>
      </c>
      <c r="F1427" s="4" t="s">
        <v>956</v>
      </c>
      <c r="G1427" t="s">
        <v>565</v>
      </c>
    </row>
    <row r="1428" spans="1:7" ht="15" customHeight="1" x14ac:dyDescent="0.25">
      <c r="A1428" s="3">
        <v>45649</v>
      </c>
      <c r="B1428" s="4">
        <v>2024003544</v>
      </c>
      <c r="C1428" s="4" t="s">
        <v>1063</v>
      </c>
      <c r="D1428" s="5">
        <v>6000000</v>
      </c>
      <c r="E1428" s="4">
        <v>27321605</v>
      </c>
      <c r="F1428" s="4" t="s">
        <v>1064</v>
      </c>
      <c r="G1428" t="s">
        <v>565</v>
      </c>
    </row>
    <row r="1429" spans="1:7" ht="15" customHeight="1" x14ac:dyDescent="0.25">
      <c r="A1429" s="3">
        <v>45649</v>
      </c>
      <c r="B1429" s="4">
        <v>2024003545</v>
      </c>
      <c r="C1429" s="4" t="s">
        <v>750</v>
      </c>
      <c r="D1429" s="5">
        <v>7540000</v>
      </c>
      <c r="E1429" s="4">
        <v>7603662</v>
      </c>
      <c r="F1429" s="4" t="s">
        <v>361</v>
      </c>
      <c r="G1429" t="s">
        <v>565</v>
      </c>
    </row>
    <row r="1430" spans="1:7" ht="15" customHeight="1" x14ac:dyDescent="0.25">
      <c r="A1430" s="3">
        <v>45649</v>
      </c>
      <c r="B1430" s="4">
        <v>2024003546</v>
      </c>
      <c r="C1430" s="4" t="s">
        <v>1065</v>
      </c>
      <c r="D1430" s="5">
        <v>499800</v>
      </c>
      <c r="E1430" s="4">
        <v>1085321176</v>
      </c>
      <c r="F1430" s="4" t="s">
        <v>1066</v>
      </c>
      <c r="G1430" t="s">
        <v>565</v>
      </c>
    </row>
    <row r="1431" spans="1:7" ht="15" customHeight="1" x14ac:dyDescent="0.25">
      <c r="A1431" s="3">
        <v>45649</v>
      </c>
      <c r="B1431" s="4">
        <v>2024003547</v>
      </c>
      <c r="C1431" s="4" t="s">
        <v>1065</v>
      </c>
      <c r="D1431" s="5">
        <v>2500000</v>
      </c>
      <c r="E1431" s="4">
        <v>1085321176</v>
      </c>
      <c r="F1431" s="4" t="s">
        <v>1066</v>
      </c>
      <c r="G1431" t="s">
        <v>565</v>
      </c>
    </row>
    <row r="1432" spans="1:7" ht="15" customHeight="1" x14ac:dyDescent="0.25">
      <c r="A1432" s="3">
        <v>45649</v>
      </c>
      <c r="B1432" s="4">
        <v>2024003548</v>
      </c>
      <c r="C1432" s="4" t="s">
        <v>1067</v>
      </c>
      <c r="D1432" s="5">
        <v>3000000</v>
      </c>
      <c r="E1432" s="4">
        <v>1004232315</v>
      </c>
      <c r="F1432" s="4" t="s">
        <v>1068</v>
      </c>
      <c r="G1432" t="s">
        <v>565</v>
      </c>
    </row>
    <row r="1433" spans="1:7" ht="15" customHeight="1" x14ac:dyDescent="0.25">
      <c r="A1433" s="3">
        <v>45649</v>
      </c>
      <c r="B1433" s="4">
        <v>2024003549</v>
      </c>
      <c r="C1433" s="4" t="s">
        <v>671</v>
      </c>
      <c r="D1433" s="5">
        <v>6000000</v>
      </c>
      <c r="E1433" s="4">
        <v>1004213964</v>
      </c>
      <c r="F1433" s="4" t="s">
        <v>113</v>
      </c>
      <c r="G1433" t="s">
        <v>565</v>
      </c>
    </row>
    <row r="1434" spans="1:7" ht="15" customHeight="1" x14ac:dyDescent="0.25">
      <c r="A1434" s="3">
        <v>45649</v>
      </c>
      <c r="B1434" s="4">
        <v>2024003550</v>
      </c>
      <c r="C1434" s="4" t="s">
        <v>677</v>
      </c>
      <c r="D1434" s="5">
        <v>3000000</v>
      </c>
      <c r="E1434" s="4">
        <v>1137624011</v>
      </c>
      <c r="F1434" s="4" t="s">
        <v>243</v>
      </c>
      <c r="G1434" t="s">
        <v>565</v>
      </c>
    </row>
    <row r="1435" spans="1:7" ht="15" customHeight="1" x14ac:dyDescent="0.25">
      <c r="A1435" s="3">
        <v>45649</v>
      </c>
      <c r="B1435" s="4">
        <v>2024003551</v>
      </c>
      <c r="C1435" s="4" t="s">
        <v>810</v>
      </c>
      <c r="D1435" s="5">
        <v>4825000</v>
      </c>
      <c r="E1435" s="4">
        <v>1085337969</v>
      </c>
      <c r="F1435" s="4" t="s">
        <v>99</v>
      </c>
      <c r="G1435" t="s">
        <v>565</v>
      </c>
    </row>
    <row r="1436" spans="1:7" ht="15" customHeight="1" x14ac:dyDescent="0.25">
      <c r="A1436" s="3">
        <v>45649</v>
      </c>
      <c r="B1436" s="4">
        <v>2024003552</v>
      </c>
      <c r="C1436" s="4" t="s">
        <v>772</v>
      </c>
      <c r="D1436" s="5">
        <v>3000000</v>
      </c>
      <c r="E1436" s="4">
        <v>1081592303</v>
      </c>
      <c r="F1436" s="4" t="s">
        <v>353</v>
      </c>
      <c r="G1436" t="s">
        <v>565</v>
      </c>
    </row>
    <row r="1437" spans="1:7" ht="15" customHeight="1" x14ac:dyDescent="0.25">
      <c r="A1437" s="3">
        <v>45649</v>
      </c>
      <c r="B1437" s="4">
        <v>2024003553</v>
      </c>
      <c r="C1437" s="4" t="s">
        <v>982</v>
      </c>
      <c r="D1437" s="5">
        <v>7540000</v>
      </c>
      <c r="E1437" s="4">
        <v>1085262570</v>
      </c>
      <c r="F1437" s="4" t="s">
        <v>983</v>
      </c>
      <c r="G1437" t="s">
        <v>565</v>
      </c>
    </row>
    <row r="1438" spans="1:7" ht="15" customHeight="1" x14ac:dyDescent="0.25">
      <c r="A1438" s="3">
        <v>45649</v>
      </c>
      <c r="B1438" s="4">
        <v>2024003554</v>
      </c>
      <c r="C1438" s="4" t="s">
        <v>1030</v>
      </c>
      <c r="D1438" s="5">
        <v>4825000</v>
      </c>
      <c r="E1438" s="4">
        <v>1085322873</v>
      </c>
      <c r="F1438" s="4" t="s">
        <v>1031</v>
      </c>
      <c r="G1438" t="s">
        <v>565</v>
      </c>
    </row>
    <row r="1439" spans="1:7" ht="15" customHeight="1" x14ac:dyDescent="0.25">
      <c r="A1439" s="3">
        <v>45649</v>
      </c>
      <c r="B1439" s="4">
        <v>2024003555</v>
      </c>
      <c r="C1439" s="4" t="s">
        <v>1069</v>
      </c>
      <c r="D1439" s="5">
        <v>7540000</v>
      </c>
      <c r="E1439" s="4">
        <v>10859376713</v>
      </c>
      <c r="F1439" s="4" t="s">
        <v>1070</v>
      </c>
      <c r="G1439" t="s">
        <v>565</v>
      </c>
    </row>
    <row r="1440" spans="1:7" ht="15" customHeight="1" x14ac:dyDescent="0.25">
      <c r="A1440" s="3">
        <v>45649</v>
      </c>
      <c r="B1440" s="4">
        <v>2024003556</v>
      </c>
      <c r="C1440" s="4" t="s">
        <v>706</v>
      </c>
      <c r="D1440" s="5">
        <v>7500000</v>
      </c>
      <c r="E1440" s="4">
        <v>1088599676</v>
      </c>
      <c r="F1440" s="4" t="s">
        <v>421</v>
      </c>
      <c r="G1440" t="s">
        <v>565</v>
      </c>
    </row>
    <row r="1441" spans="1:7" ht="15" customHeight="1" x14ac:dyDescent="0.25">
      <c r="A1441" s="3">
        <v>45649</v>
      </c>
      <c r="B1441" s="4">
        <v>2024003557</v>
      </c>
      <c r="C1441" s="4" t="s">
        <v>803</v>
      </c>
      <c r="D1441" s="5">
        <v>7540000</v>
      </c>
      <c r="E1441" s="4">
        <v>80765093</v>
      </c>
      <c r="F1441" s="4" t="s">
        <v>69</v>
      </c>
      <c r="G1441" t="s">
        <v>565</v>
      </c>
    </row>
    <row r="1442" spans="1:7" ht="15" customHeight="1" x14ac:dyDescent="0.25">
      <c r="A1442" s="3">
        <v>45649</v>
      </c>
      <c r="B1442" s="4">
        <v>2024003558</v>
      </c>
      <c r="C1442" s="4" t="s">
        <v>1006</v>
      </c>
      <c r="D1442" s="5">
        <v>2500000</v>
      </c>
      <c r="E1442" s="4">
        <v>36754171</v>
      </c>
      <c r="F1442" s="4" t="s">
        <v>1007</v>
      </c>
      <c r="G1442" t="s">
        <v>565</v>
      </c>
    </row>
    <row r="1443" spans="1:7" ht="15" customHeight="1" x14ac:dyDescent="0.25">
      <c r="A1443" s="3">
        <v>45649</v>
      </c>
      <c r="B1443" s="4">
        <v>2024003559</v>
      </c>
      <c r="C1443" s="4" t="s">
        <v>657</v>
      </c>
      <c r="D1443" s="5">
        <v>3000000</v>
      </c>
      <c r="E1443" s="4">
        <v>1081052746</v>
      </c>
      <c r="F1443" s="4" t="s">
        <v>658</v>
      </c>
      <c r="G1443" t="s">
        <v>565</v>
      </c>
    </row>
    <row r="1444" spans="1:7" ht="15" customHeight="1" x14ac:dyDescent="0.25">
      <c r="A1444" s="3">
        <v>45649</v>
      </c>
      <c r="B1444" s="4">
        <v>2024003561</v>
      </c>
      <c r="C1444" s="4" t="s">
        <v>885</v>
      </c>
      <c r="D1444" s="5">
        <v>3000000</v>
      </c>
      <c r="E1444" s="4">
        <v>1084224968</v>
      </c>
      <c r="F1444" s="4" t="s">
        <v>886</v>
      </c>
      <c r="G1444" t="s">
        <v>565</v>
      </c>
    </row>
    <row r="1445" spans="1:7" ht="15" customHeight="1" x14ac:dyDescent="0.25">
      <c r="A1445" s="3">
        <v>45649</v>
      </c>
      <c r="B1445" s="4">
        <v>2024003562</v>
      </c>
      <c r="C1445" s="4" t="s">
        <v>953</v>
      </c>
      <c r="D1445" s="5">
        <v>6000000</v>
      </c>
      <c r="E1445" s="4">
        <v>1087420025</v>
      </c>
      <c r="F1445" s="4" t="s">
        <v>954</v>
      </c>
      <c r="G1445" t="s">
        <v>565</v>
      </c>
    </row>
    <row r="1446" spans="1:7" ht="15" customHeight="1" x14ac:dyDescent="0.25">
      <c r="A1446" s="3">
        <v>45649</v>
      </c>
      <c r="B1446" s="4">
        <v>2024003563</v>
      </c>
      <c r="C1446" s="4" t="s">
        <v>731</v>
      </c>
      <c r="D1446" s="5">
        <v>2500000</v>
      </c>
      <c r="E1446" s="4">
        <v>1131085946</v>
      </c>
      <c r="F1446" s="4" t="s">
        <v>732</v>
      </c>
      <c r="G1446" t="s">
        <v>565</v>
      </c>
    </row>
    <row r="1447" spans="1:7" ht="15" customHeight="1" x14ac:dyDescent="0.25">
      <c r="A1447" s="3">
        <v>45649</v>
      </c>
      <c r="B1447" s="4">
        <v>2024003564</v>
      </c>
      <c r="C1447" s="4" t="s">
        <v>806</v>
      </c>
      <c r="D1447" s="5">
        <v>4750000</v>
      </c>
      <c r="E1447" s="4">
        <v>1085345772</v>
      </c>
      <c r="F1447" s="4" t="s">
        <v>221</v>
      </c>
      <c r="G1447" t="s">
        <v>565</v>
      </c>
    </row>
    <row r="1448" spans="1:7" ht="15" customHeight="1" x14ac:dyDescent="0.25">
      <c r="A1448" s="3">
        <v>45649</v>
      </c>
      <c r="B1448" s="4">
        <v>2024003565</v>
      </c>
      <c r="C1448" s="4" t="s">
        <v>742</v>
      </c>
      <c r="D1448" s="5">
        <v>3000000</v>
      </c>
      <c r="E1448" s="4">
        <v>1004709928</v>
      </c>
      <c r="F1448" s="4" t="s">
        <v>289</v>
      </c>
      <c r="G1448" t="s">
        <v>565</v>
      </c>
    </row>
    <row r="1449" spans="1:7" ht="15" customHeight="1" x14ac:dyDescent="0.25">
      <c r="A1449" s="3">
        <v>45649</v>
      </c>
      <c r="B1449" s="4">
        <v>2024003566</v>
      </c>
      <c r="C1449" s="4" t="s">
        <v>1071</v>
      </c>
      <c r="D1449" s="5">
        <v>2500000</v>
      </c>
      <c r="E1449" s="4">
        <v>1085314334</v>
      </c>
      <c r="F1449" s="4" t="s">
        <v>585</v>
      </c>
      <c r="G1449" t="s">
        <v>565</v>
      </c>
    </row>
    <row r="1450" spans="1:7" ht="15" customHeight="1" x14ac:dyDescent="0.25">
      <c r="A1450" s="3">
        <v>45649</v>
      </c>
      <c r="B1450" s="4">
        <v>2024003567</v>
      </c>
      <c r="C1450" s="4" t="s">
        <v>729</v>
      </c>
      <c r="D1450" s="5">
        <v>2500000</v>
      </c>
      <c r="E1450" s="4">
        <v>1085335069</v>
      </c>
      <c r="F1450" s="4" t="s">
        <v>730</v>
      </c>
      <c r="G1450" t="s">
        <v>565</v>
      </c>
    </row>
    <row r="1451" spans="1:7" ht="15" customHeight="1" x14ac:dyDescent="0.25">
      <c r="A1451" s="3">
        <v>45649</v>
      </c>
      <c r="B1451" s="4">
        <v>2024003568</v>
      </c>
      <c r="C1451" s="4" t="s">
        <v>633</v>
      </c>
      <c r="D1451" s="5">
        <v>7540000</v>
      </c>
      <c r="E1451" s="4">
        <v>36950112</v>
      </c>
      <c r="F1451" s="4" t="s">
        <v>634</v>
      </c>
      <c r="G1451" t="s">
        <v>565</v>
      </c>
    </row>
    <row r="1452" spans="1:7" ht="15" customHeight="1" x14ac:dyDescent="0.25">
      <c r="A1452" s="3">
        <v>45649</v>
      </c>
      <c r="B1452" s="4">
        <v>2024003569</v>
      </c>
      <c r="C1452" s="4" t="s">
        <v>887</v>
      </c>
      <c r="D1452" s="5">
        <v>3000000</v>
      </c>
      <c r="E1452" s="4">
        <v>1004234290</v>
      </c>
      <c r="F1452" s="4" t="s">
        <v>237</v>
      </c>
      <c r="G1452" t="s">
        <v>565</v>
      </c>
    </row>
    <row r="1453" spans="1:7" ht="15" customHeight="1" x14ac:dyDescent="0.25">
      <c r="A1453" s="3">
        <v>45649</v>
      </c>
      <c r="B1453" s="4">
        <v>2024003570</v>
      </c>
      <c r="C1453" s="4" t="s">
        <v>1072</v>
      </c>
      <c r="D1453" s="5">
        <v>6000000</v>
      </c>
      <c r="E1453" s="4">
        <v>1007254154</v>
      </c>
      <c r="F1453" s="4" t="s">
        <v>1073</v>
      </c>
      <c r="G1453" t="s">
        <v>565</v>
      </c>
    </row>
    <row r="1454" spans="1:7" ht="15" customHeight="1" x14ac:dyDescent="0.25">
      <c r="A1454" s="3">
        <v>45649</v>
      </c>
      <c r="B1454" s="4">
        <v>2024003571</v>
      </c>
      <c r="C1454" s="4" t="s">
        <v>678</v>
      </c>
      <c r="D1454" s="5">
        <v>3000000</v>
      </c>
      <c r="E1454" s="4">
        <v>36954407</v>
      </c>
      <c r="F1454" s="4" t="s">
        <v>679</v>
      </c>
      <c r="G1454" t="s">
        <v>565</v>
      </c>
    </row>
    <row r="1455" spans="1:7" ht="15" customHeight="1" x14ac:dyDescent="0.25">
      <c r="A1455" s="3">
        <v>45649</v>
      </c>
      <c r="B1455" s="4">
        <v>2024003572</v>
      </c>
      <c r="C1455" s="4" t="s">
        <v>700</v>
      </c>
      <c r="D1455" s="5">
        <v>3000000</v>
      </c>
      <c r="E1455" s="4">
        <v>1085315209</v>
      </c>
      <c r="F1455" s="4" t="s">
        <v>701</v>
      </c>
      <c r="G1455" t="s">
        <v>565</v>
      </c>
    </row>
    <row r="1456" spans="1:7" ht="15" customHeight="1" x14ac:dyDescent="0.25">
      <c r="A1456" s="3">
        <v>45649</v>
      </c>
      <c r="B1456" s="4">
        <v>2024003573</v>
      </c>
      <c r="C1456" s="4" t="s">
        <v>859</v>
      </c>
      <c r="D1456" s="5">
        <v>3000000</v>
      </c>
      <c r="E1456" s="4">
        <v>1014857280</v>
      </c>
      <c r="F1456" s="4" t="s">
        <v>233</v>
      </c>
      <c r="G1456" t="s">
        <v>565</v>
      </c>
    </row>
    <row r="1457" spans="1:7" ht="15" customHeight="1" x14ac:dyDescent="0.25">
      <c r="A1457" s="3">
        <v>45649</v>
      </c>
      <c r="B1457" s="4">
        <v>2024003574</v>
      </c>
      <c r="C1457" s="4" t="s">
        <v>811</v>
      </c>
      <c r="D1457" s="5">
        <v>3000000</v>
      </c>
      <c r="E1457" s="4">
        <v>1085296353</v>
      </c>
      <c r="F1457" s="4" t="s">
        <v>187</v>
      </c>
      <c r="G1457" t="s">
        <v>565</v>
      </c>
    </row>
    <row r="1458" spans="1:7" ht="15" customHeight="1" x14ac:dyDescent="0.25">
      <c r="A1458" s="3">
        <v>45649</v>
      </c>
      <c r="B1458" s="4">
        <v>2024003575</v>
      </c>
      <c r="C1458" s="4" t="s">
        <v>834</v>
      </c>
      <c r="D1458" s="5">
        <v>7540000</v>
      </c>
      <c r="E1458" s="4">
        <v>1085335767</v>
      </c>
      <c r="F1458" s="4" t="s">
        <v>231</v>
      </c>
      <c r="G1458" t="s">
        <v>565</v>
      </c>
    </row>
    <row r="1459" spans="1:7" ht="15" customHeight="1" x14ac:dyDescent="0.25">
      <c r="A1459" s="3">
        <v>45649</v>
      </c>
      <c r="B1459" s="4">
        <v>2024003576</v>
      </c>
      <c r="C1459" s="4" t="s">
        <v>856</v>
      </c>
      <c r="D1459" s="5">
        <v>2500000</v>
      </c>
      <c r="E1459" s="4">
        <v>1086016308</v>
      </c>
      <c r="F1459" s="4" t="s">
        <v>305</v>
      </c>
      <c r="G1459" t="s">
        <v>565</v>
      </c>
    </row>
    <row r="1460" spans="1:7" ht="15" customHeight="1" x14ac:dyDescent="0.25">
      <c r="A1460" s="3">
        <v>45649</v>
      </c>
      <c r="B1460" s="4">
        <v>2024003577</v>
      </c>
      <c r="C1460" s="4" t="s">
        <v>1074</v>
      </c>
      <c r="D1460" s="5">
        <v>2500000</v>
      </c>
      <c r="E1460" s="4">
        <v>30709681</v>
      </c>
      <c r="F1460" s="4" t="s">
        <v>1075</v>
      </c>
      <c r="G1460" t="s">
        <v>565</v>
      </c>
    </row>
    <row r="1461" spans="1:7" ht="15" customHeight="1" x14ac:dyDescent="0.25">
      <c r="A1461" s="3">
        <v>45649</v>
      </c>
      <c r="B1461" s="4">
        <v>2024003578</v>
      </c>
      <c r="C1461" s="4" t="s">
        <v>974</v>
      </c>
      <c r="D1461" s="5">
        <v>6000000</v>
      </c>
      <c r="E1461" s="4">
        <v>79724257</v>
      </c>
      <c r="F1461" s="4" t="s">
        <v>425</v>
      </c>
      <c r="G1461" t="s">
        <v>565</v>
      </c>
    </row>
    <row r="1462" spans="1:7" ht="15" customHeight="1" x14ac:dyDescent="0.25">
      <c r="A1462" s="3">
        <v>45649</v>
      </c>
      <c r="B1462" s="4">
        <v>2024003579</v>
      </c>
      <c r="C1462" s="4" t="s">
        <v>702</v>
      </c>
      <c r="D1462" s="5">
        <v>4825000</v>
      </c>
      <c r="E1462" s="4">
        <v>1085289739</v>
      </c>
      <c r="F1462" s="4" t="s">
        <v>241</v>
      </c>
      <c r="G1462" t="s">
        <v>565</v>
      </c>
    </row>
    <row r="1463" spans="1:7" ht="15" customHeight="1" x14ac:dyDescent="0.25">
      <c r="A1463" s="3">
        <v>45649</v>
      </c>
      <c r="B1463" s="4">
        <v>2024003580</v>
      </c>
      <c r="C1463" s="4" t="s">
        <v>741</v>
      </c>
      <c r="D1463" s="5">
        <v>3000000</v>
      </c>
      <c r="E1463" s="4">
        <v>1085317833</v>
      </c>
      <c r="F1463" s="4" t="s">
        <v>11</v>
      </c>
      <c r="G1463" t="s">
        <v>565</v>
      </c>
    </row>
    <row r="1464" spans="1:7" ht="15" customHeight="1" x14ac:dyDescent="0.25">
      <c r="A1464" s="3">
        <v>45649</v>
      </c>
      <c r="B1464" s="4">
        <v>2024003581</v>
      </c>
      <c r="C1464" s="4" t="s">
        <v>853</v>
      </c>
      <c r="D1464" s="5">
        <v>4825000</v>
      </c>
      <c r="E1464" s="4">
        <v>1087643211</v>
      </c>
      <c r="F1464" s="4" t="s">
        <v>131</v>
      </c>
      <c r="G1464" t="s">
        <v>565</v>
      </c>
    </row>
    <row r="1465" spans="1:7" ht="15" customHeight="1" x14ac:dyDescent="0.25">
      <c r="A1465" s="3">
        <v>45649</v>
      </c>
      <c r="B1465" s="4">
        <v>2024003582</v>
      </c>
      <c r="C1465" s="4" t="s">
        <v>727</v>
      </c>
      <c r="D1465" s="5">
        <v>2500000</v>
      </c>
      <c r="E1465" s="4">
        <v>1085310465</v>
      </c>
      <c r="F1465" s="4" t="s">
        <v>307</v>
      </c>
      <c r="G1465" t="s">
        <v>565</v>
      </c>
    </row>
    <row r="1466" spans="1:7" ht="15" customHeight="1" x14ac:dyDescent="0.25">
      <c r="A1466" s="3">
        <v>45649</v>
      </c>
      <c r="B1466" s="4">
        <v>2024003583</v>
      </c>
      <c r="C1466" s="4" t="s">
        <v>929</v>
      </c>
      <c r="D1466" s="5">
        <v>7540000</v>
      </c>
      <c r="E1466" s="4">
        <v>87065647</v>
      </c>
      <c r="F1466" s="4" t="s">
        <v>43</v>
      </c>
      <c r="G1466" t="s">
        <v>565</v>
      </c>
    </row>
    <row r="1467" spans="1:7" ht="15" customHeight="1" x14ac:dyDescent="0.25">
      <c r="A1467" s="3">
        <v>45649</v>
      </c>
      <c r="B1467" s="4">
        <v>2024003584</v>
      </c>
      <c r="C1467" s="4" t="s">
        <v>691</v>
      </c>
      <c r="D1467" s="5">
        <v>3000000</v>
      </c>
      <c r="E1467" s="4">
        <v>1030606749</v>
      </c>
      <c r="F1467" s="4" t="s">
        <v>387</v>
      </c>
      <c r="G1467" t="s">
        <v>565</v>
      </c>
    </row>
    <row r="1468" spans="1:7" ht="15" customHeight="1" x14ac:dyDescent="0.25">
      <c r="A1468" s="3">
        <v>45649</v>
      </c>
      <c r="B1468" s="4">
        <v>2024003585</v>
      </c>
      <c r="C1468" s="4" t="s">
        <v>809</v>
      </c>
      <c r="D1468" s="5">
        <v>2500000</v>
      </c>
      <c r="E1468" s="4">
        <v>59830219</v>
      </c>
      <c r="F1468" s="4" t="s">
        <v>281</v>
      </c>
      <c r="G1468" t="s">
        <v>565</v>
      </c>
    </row>
    <row r="1469" spans="1:7" ht="15" customHeight="1" x14ac:dyDescent="0.25">
      <c r="A1469" s="3">
        <v>45649</v>
      </c>
      <c r="B1469" s="4">
        <v>2024003586</v>
      </c>
      <c r="C1469" s="4" t="s">
        <v>720</v>
      </c>
      <c r="D1469" s="5">
        <v>4825000</v>
      </c>
      <c r="E1469" s="4">
        <v>87062845</v>
      </c>
      <c r="F1469" s="4" t="s">
        <v>133</v>
      </c>
      <c r="G1469" t="s">
        <v>565</v>
      </c>
    </row>
    <row r="1470" spans="1:7" ht="15" customHeight="1" x14ac:dyDescent="0.25">
      <c r="A1470" s="3">
        <v>45649</v>
      </c>
      <c r="B1470" s="4">
        <v>2024003587</v>
      </c>
      <c r="C1470" s="4" t="s">
        <v>979</v>
      </c>
      <c r="D1470" s="5">
        <v>4825000</v>
      </c>
      <c r="E1470" s="4">
        <v>1085306723</v>
      </c>
      <c r="F1470" s="4" t="s">
        <v>980</v>
      </c>
      <c r="G1470" t="s">
        <v>565</v>
      </c>
    </row>
    <row r="1471" spans="1:7" ht="15" customHeight="1" x14ac:dyDescent="0.25">
      <c r="A1471" s="3">
        <v>45649</v>
      </c>
      <c r="B1471" s="4">
        <v>2024003588</v>
      </c>
      <c r="C1471" s="4" t="s">
        <v>966</v>
      </c>
      <c r="D1471" s="5">
        <v>7540000</v>
      </c>
      <c r="E1471" s="4">
        <v>1085315800</v>
      </c>
      <c r="F1471" s="4" t="s">
        <v>967</v>
      </c>
      <c r="G1471" t="s">
        <v>565</v>
      </c>
    </row>
    <row r="1472" spans="1:7" ht="15" customHeight="1" x14ac:dyDescent="0.25">
      <c r="A1472" s="3">
        <v>45649</v>
      </c>
      <c r="B1472" s="4">
        <v>2024003589</v>
      </c>
      <c r="C1472" s="4" t="s">
        <v>599</v>
      </c>
      <c r="D1472" s="5">
        <v>7540000</v>
      </c>
      <c r="E1472" s="4">
        <v>1085304670</v>
      </c>
      <c r="F1472" s="4" t="s">
        <v>161</v>
      </c>
      <c r="G1472" t="s">
        <v>565</v>
      </c>
    </row>
    <row r="1473" spans="1:7" ht="15" customHeight="1" x14ac:dyDescent="0.25">
      <c r="A1473" s="3">
        <v>45649</v>
      </c>
      <c r="B1473" s="4">
        <v>2024003590</v>
      </c>
      <c r="C1473" s="4" t="s">
        <v>778</v>
      </c>
      <c r="D1473" s="5">
        <v>3000000</v>
      </c>
      <c r="E1473" s="4">
        <v>1085324685</v>
      </c>
      <c r="F1473" s="4" t="s">
        <v>779</v>
      </c>
      <c r="G1473" t="s">
        <v>565</v>
      </c>
    </row>
    <row r="1474" spans="1:7" ht="15" customHeight="1" x14ac:dyDescent="0.25">
      <c r="A1474" s="3">
        <v>45649</v>
      </c>
      <c r="B1474" s="4">
        <v>2024003591</v>
      </c>
      <c r="C1474" s="4" t="s">
        <v>692</v>
      </c>
      <c r="D1474" s="5">
        <v>3000000</v>
      </c>
      <c r="E1474" s="4">
        <v>1085275473</v>
      </c>
      <c r="F1474" s="4" t="s">
        <v>693</v>
      </c>
      <c r="G1474" t="s">
        <v>565</v>
      </c>
    </row>
    <row r="1475" spans="1:7" ht="15" customHeight="1" x14ac:dyDescent="0.25">
      <c r="A1475" s="3">
        <v>45649</v>
      </c>
      <c r="B1475" s="4">
        <v>2024003592</v>
      </c>
      <c r="C1475" s="4" t="s">
        <v>890</v>
      </c>
      <c r="D1475" s="5">
        <v>3000000</v>
      </c>
      <c r="E1475" s="4">
        <v>1085277516</v>
      </c>
      <c r="F1475" s="4" t="s">
        <v>891</v>
      </c>
      <c r="G1475" t="s">
        <v>565</v>
      </c>
    </row>
    <row r="1476" spans="1:7" ht="15" customHeight="1" x14ac:dyDescent="0.25">
      <c r="A1476" s="3">
        <v>45649</v>
      </c>
      <c r="B1476" s="4">
        <v>2024003593</v>
      </c>
      <c r="C1476" s="4" t="s">
        <v>662</v>
      </c>
      <c r="D1476" s="5">
        <v>2500000</v>
      </c>
      <c r="E1476" s="4">
        <v>1085330079</v>
      </c>
      <c r="F1476" s="4" t="s">
        <v>293</v>
      </c>
      <c r="G1476" t="s">
        <v>565</v>
      </c>
    </row>
    <row r="1477" spans="1:7" ht="15" customHeight="1" x14ac:dyDescent="0.25">
      <c r="A1477" s="3">
        <v>45649</v>
      </c>
      <c r="B1477" s="4">
        <v>2024003594</v>
      </c>
      <c r="C1477" s="4" t="s">
        <v>944</v>
      </c>
      <c r="D1477" s="5">
        <v>2500000</v>
      </c>
      <c r="E1477" s="4">
        <v>36759281</v>
      </c>
      <c r="F1477" s="4" t="s">
        <v>341</v>
      </c>
      <c r="G1477" t="s">
        <v>565</v>
      </c>
    </row>
    <row r="1478" spans="1:7" ht="15" customHeight="1" x14ac:dyDescent="0.25">
      <c r="A1478" s="3">
        <v>45649</v>
      </c>
      <c r="B1478" s="4">
        <v>2024003595</v>
      </c>
      <c r="C1478" s="4" t="s">
        <v>876</v>
      </c>
      <c r="D1478" s="5">
        <v>4825000</v>
      </c>
      <c r="E1478" s="4">
        <v>59314451</v>
      </c>
      <c r="F1478" s="4" t="s">
        <v>141</v>
      </c>
      <c r="G1478" t="s">
        <v>565</v>
      </c>
    </row>
    <row r="1479" spans="1:7" ht="15" customHeight="1" x14ac:dyDescent="0.25">
      <c r="A1479" s="3">
        <v>45649</v>
      </c>
      <c r="B1479" s="4">
        <v>2024003596</v>
      </c>
      <c r="C1479" s="4" t="s">
        <v>822</v>
      </c>
      <c r="D1479" s="5">
        <v>3000000</v>
      </c>
      <c r="E1479" s="4">
        <v>98382500</v>
      </c>
      <c r="F1479" s="4" t="s">
        <v>183</v>
      </c>
      <c r="G1479" t="s">
        <v>565</v>
      </c>
    </row>
    <row r="1480" spans="1:7" ht="15" customHeight="1" x14ac:dyDescent="0.25">
      <c r="A1480" s="3">
        <v>45649</v>
      </c>
      <c r="B1480" s="4">
        <v>2024003597</v>
      </c>
      <c r="C1480" s="4" t="s">
        <v>816</v>
      </c>
      <c r="D1480" s="5">
        <v>4750000</v>
      </c>
      <c r="E1480" s="4">
        <v>87060703</v>
      </c>
      <c r="F1480" s="4" t="s">
        <v>223</v>
      </c>
      <c r="G1480" t="s">
        <v>565</v>
      </c>
    </row>
    <row r="1481" spans="1:7" ht="15" customHeight="1" x14ac:dyDescent="0.25">
      <c r="A1481" s="3">
        <v>45649</v>
      </c>
      <c r="B1481" s="4">
        <v>2024003599</v>
      </c>
      <c r="C1481" s="4" t="s">
        <v>994</v>
      </c>
      <c r="D1481" s="5">
        <v>2500000</v>
      </c>
      <c r="E1481" s="4">
        <v>1085312811</v>
      </c>
      <c r="F1481" s="4" t="s">
        <v>995</v>
      </c>
      <c r="G1481" t="s">
        <v>565</v>
      </c>
    </row>
    <row r="1482" spans="1:7" ht="15" customHeight="1" x14ac:dyDescent="0.25">
      <c r="A1482" s="3">
        <v>45649</v>
      </c>
      <c r="B1482" s="4">
        <v>2024003600</v>
      </c>
      <c r="C1482" s="4" t="s">
        <v>699</v>
      </c>
      <c r="D1482" s="5">
        <v>7540000</v>
      </c>
      <c r="E1482" s="4">
        <v>1085321192</v>
      </c>
      <c r="F1482" s="4" t="s">
        <v>61</v>
      </c>
      <c r="G1482" t="s">
        <v>565</v>
      </c>
    </row>
    <row r="1483" spans="1:7" ht="15" customHeight="1" x14ac:dyDescent="0.25">
      <c r="A1483" s="3">
        <v>45649</v>
      </c>
      <c r="B1483" s="4">
        <v>2024003601</v>
      </c>
      <c r="C1483" s="4" t="s">
        <v>1034</v>
      </c>
      <c r="D1483" s="5">
        <v>3000000</v>
      </c>
      <c r="E1483" s="4">
        <v>1085297914</v>
      </c>
      <c r="F1483" s="4" t="s">
        <v>1035</v>
      </c>
      <c r="G1483" t="s">
        <v>565</v>
      </c>
    </row>
    <row r="1484" spans="1:7" ht="15" customHeight="1" x14ac:dyDescent="0.25">
      <c r="A1484" s="3">
        <v>45649</v>
      </c>
      <c r="B1484" s="4">
        <v>2024003602</v>
      </c>
      <c r="C1484" s="4" t="s">
        <v>788</v>
      </c>
      <c r="D1484" s="5">
        <v>3000000</v>
      </c>
      <c r="E1484" s="4">
        <v>1193265360</v>
      </c>
      <c r="F1484" s="4" t="s">
        <v>67</v>
      </c>
      <c r="G1484" t="s">
        <v>565</v>
      </c>
    </row>
    <row r="1485" spans="1:7" ht="15" customHeight="1" x14ac:dyDescent="0.25">
      <c r="A1485" s="3">
        <v>45649</v>
      </c>
      <c r="B1485" s="4">
        <v>2024003603</v>
      </c>
      <c r="C1485" s="4" t="s">
        <v>1004</v>
      </c>
      <c r="D1485" s="5">
        <v>6000000</v>
      </c>
      <c r="E1485" s="4">
        <v>59825948</v>
      </c>
      <c r="F1485" s="4" t="s">
        <v>1005</v>
      </c>
      <c r="G1485" t="s">
        <v>565</v>
      </c>
    </row>
    <row r="1486" spans="1:7" ht="15" customHeight="1" x14ac:dyDescent="0.25">
      <c r="A1486" s="3">
        <v>45649</v>
      </c>
      <c r="B1486" s="4">
        <v>2024003604</v>
      </c>
      <c r="C1486" s="4" t="s">
        <v>1071</v>
      </c>
      <c r="D1486" s="5">
        <v>2500000</v>
      </c>
      <c r="E1486" s="4">
        <v>1085314334</v>
      </c>
      <c r="F1486" s="4" t="s">
        <v>585</v>
      </c>
      <c r="G1486" t="s">
        <v>565</v>
      </c>
    </row>
    <row r="1487" spans="1:7" ht="15" customHeight="1" x14ac:dyDescent="0.25">
      <c r="A1487" s="3">
        <v>45649</v>
      </c>
      <c r="B1487" s="4">
        <v>2024003605</v>
      </c>
      <c r="C1487" s="4" t="s">
        <v>927</v>
      </c>
      <c r="D1487" s="5">
        <v>4750000</v>
      </c>
      <c r="E1487" s="4">
        <v>1086332188</v>
      </c>
      <c r="F1487" s="4" t="s">
        <v>928</v>
      </c>
      <c r="G1487" t="s">
        <v>565</v>
      </c>
    </row>
    <row r="1488" spans="1:7" ht="15" customHeight="1" x14ac:dyDescent="0.25">
      <c r="A1488" s="3">
        <v>45649</v>
      </c>
      <c r="B1488" s="4">
        <v>2024003606</v>
      </c>
      <c r="C1488" s="4" t="s">
        <v>1002</v>
      </c>
      <c r="D1488" s="5">
        <v>2500000</v>
      </c>
      <c r="E1488" s="4">
        <v>36951530</v>
      </c>
      <c r="F1488" s="4" t="s">
        <v>1003</v>
      </c>
      <c r="G1488" t="s">
        <v>565</v>
      </c>
    </row>
    <row r="1489" spans="1:7" ht="15" customHeight="1" x14ac:dyDescent="0.25">
      <c r="A1489" s="3">
        <v>45649</v>
      </c>
      <c r="B1489" s="4">
        <v>2024003607</v>
      </c>
      <c r="C1489" s="4" t="s">
        <v>1044</v>
      </c>
      <c r="D1489" s="5">
        <v>2499100</v>
      </c>
      <c r="E1489" s="4">
        <v>2491000</v>
      </c>
      <c r="F1489" s="4" t="s">
        <v>1045</v>
      </c>
      <c r="G1489" t="s">
        <v>565</v>
      </c>
    </row>
    <row r="1490" spans="1:7" ht="15" customHeight="1" x14ac:dyDescent="0.25">
      <c r="A1490" s="3">
        <v>45649</v>
      </c>
      <c r="B1490" s="4">
        <v>2024003608</v>
      </c>
      <c r="C1490" s="4" t="s">
        <v>660</v>
      </c>
      <c r="D1490" s="5">
        <v>7540000</v>
      </c>
      <c r="E1490" s="4">
        <v>1085329230</v>
      </c>
      <c r="F1490" s="4" t="s">
        <v>83</v>
      </c>
      <c r="G1490" t="s">
        <v>565</v>
      </c>
    </row>
    <row r="1491" spans="1:7" ht="15" customHeight="1" x14ac:dyDescent="0.25">
      <c r="A1491" s="3">
        <v>45649</v>
      </c>
      <c r="B1491" s="4">
        <v>2024003609</v>
      </c>
      <c r="C1491" s="4" t="s">
        <v>664</v>
      </c>
      <c r="D1491" s="5">
        <v>4750000</v>
      </c>
      <c r="E1491" s="4">
        <v>59821282</v>
      </c>
      <c r="F1491" s="4" t="s">
        <v>135</v>
      </c>
      <c r="G1491" t="s">
        <v>565</v>
      </c>
    </row>
    <row r="1492" spans="1:7" ht="15" customHeight="1" x14ac:dyDescent="0.25">
      <c r="A1492" s="3">
        <v>45649</v>
      </c>
      <c r="B1492" s="4">
        <v>2024003610</v>
      </c>
      <c r="C1492" s="4" t="s">
        <v>962</v>
      </c>
      <c r="D1492" s="5">
        <v>3000000</v>
      </c>
      <c r="E1492" s="4">
        <v>1081272656</v>
      </c>
      <c r="F1492" s="4" t="s">
        <v>963</v>
      </c>
      <c r="G1492" t="s">
        <v>565</v>
      </c>
    </row>
    <row r="1493" spans="1:7" ht="15" customHeight="1" x14ac:dyDescent="0.25">
      <c r="A1493" s="3">
        <v>45649</v>
      </c>
      <c r="B1493" s="4">
        <v>2024003611</v>
      </c>
      <c r="C1493" s="4" t="s">
        <v>851</v>
      </c>
      <c r="D1493" s="5">
        <v>3000000</v>
      </c>
      <c r="E1493" s="4">
        <v>1085344082</v>
      </c>
      <c r="F1493" s="4" t="s">
        <v>291</v>
      </c>
      <c r="G1493" t="s">
        <v>565</v>
      </c>
    </row>
    <row r="1494" spans="1:7" ht="15" customHeight="1" x14ac:dyDescent="0.25">
      <c r="A1494" s="3">
        <v>45649</v>
      </c>
      <c r="B1494" s="4">
        <v>2024003612</v>
      </c>
      <c r="C1494" s="4" t="s">
        <v>681</v>
      </c>
      <c r="D1494" s="5">
        <v>3000000</v>
      </c>
      <c r="E1494" s="4">
        <v>1085325325</v>
      </c>
      <c r="F1494" s="4" t="s">
        <v>682</v>
      </c>
      <c r="G1494" t="s">
        <v>565</v>
      </c>
    </row>
    <row r="1495" spans="1:7" ht="15" customHeight="1" x14ac:dyDescent="0.25">
      <c r="A1495" s="3">
        <v>45649</v>
      </c>
      <c r="B1495" s="4">
        <v>2024003613</v>
      </c>
      <c r="C1495" s="4" t="s">
        <v>874</v>
      </c>
      <c r="D1495" s="5">
        <v>3000000</v>
      </c>
      <c r="E1495" s="4">
        <v>27088197</v>
      </c>
      <c r="F1495" s="4" t="s">
        <v>875</v>
      </c>
      <c r="G1495" t="s">
        <v>565</v>
      </c>
    </row>
    <row r="1496" spans="1:7" ht="15" customHeight="1" x14ac:dyDescent="0.25">
      <c r="A1496" s="3">
        <v>45649</v>
      </c>
      <c r="B1496" s="4">
        <v>2024003614</v>
      </c>
      <c r="C1496" s="4" t="s">
        <v>774</v>
      </c>
      <c r="D1496" s="5">
        <v>3000000</v>
      </c>
      <c r="E1496" s="4">
        <v>1081272025</v>
      </c>
      <c r="F1496" s="4" t="s">
        <v>59</v>
      </c>
      <c r="G1496" t="s">
        <v>565</v>
      </c>
    </row>
    <row r="1497" spans="1:7" ht="15" customHeight="1" x14ac:dyDescent="0.25">
      <c r="A1497" s="3">
        <v>45649</v>
      </c>
      <c r="B1497" s="4">
        <v>2024003615</v>
      </c>
      <c r="C1497" s="4" t="s">
        <v>844</v>
      </c>
      <c r="D1497" s="5">
        <v>6000000</v>
      </c>
      <c r="E1497" s="4">
        <v>1085254153</v>
      </c>
      <c r="F1497" s="4" t="s">
        <v>845</v>
      </c>
      <c r="G1497" t="s">
        <v>565</v>
      </c>
    </row>
    <row r="1498" spans="1:7" ht="15" customHeight="1" x14ac:dyDescent="0.25">
      <c r="A1498" s="3">
        <v>45649</v>
      </c>
      <c r="B1498" s="4">
        <v>2024003616</v>
      </c>
      <c r="C1498" s="4" t="s">
        <v>883</v>
      </c>
      <c r="D1498" s="5">
        <v>3000000</v>
      </c>
      <c r="E1498" s="4">
        <v>37083086</v>
      </c>
      <c r="F1498" s="4" t="s">
        <v>884</v>
      </c>
      <c r="G1498" t="s">
        <v>565</v>
      </c>
    </row>
    <row r="1499" spans="1:7" ht="15" customHeight="1" x14ac:dyDescent="0.25">
      <c r="A1499" s="3">
        <v>45649</v>
      </c>
      <c r="B1499" s="4">
        <v>2024003617</v>
      </c>
      <c r="C1499" s="4" t="s">
        <v>1008</v>
      </c>
      <c r="D1499" s="5">
        <v>3000000</v>
      </c>
      <c r="E1499" s="4">
        <v>1085265947</v>
      </c>
      <c r="F1499" s="4" t="s">
        <v>1009</v>
      </c>
      <c r="G1499" t="s">
        <v>565</v>
      </c>
    </row>
    <row r="1500" spans="1:7" ht="15" customHeight="1" x14ac:dyDescent="0.25">
      <c r="A1500" s="3">
        <v>45649</v>
      </c>
      <c r="B1500" s="4">
        <v>2024003618</v>
      </c>
      <c r="C1500" s="4" t="s">
        <v>612</v>
      </c>
      <c r="D1500" s="5">
        <v>4750000</v>
      </c>
      <c r="E1500" s="4">
        <v>27087475</v>
      </c>
      <c r="F1500" s="4" t="s">
        <v>571</v>
      </c>
      <c r="G1500" t="s">
        <v>565</v>
      </c>
    </row>
    <row r="1501" spans="1:7" ht="15" customHeight="1" x14ac:dyDescent="0.25">
      <c r="A1501" s="3">
        <v>45649</v>
      </c>
      <c r="B1501" s="4">
        <v>2024003619</v>
      </c>
      <c r="C1501" s="4" t="s">
        <v>618</v>
      </c>
      <c r="D1501" s="5">
        <v>6000000</v>
      </c>
      <c r="E1501" s="4">
        <v>1085320275</v>
      </c>
      <c r="F1501" s="4" t="s">
        <v>619</v>
      </c>
      <c r="G1501" t="s">
        <v>565</v>
      </c>
    </row>
    <row r="1502" spans="1:7" ht="15" customHeight="1" x14ac:dyDescent="0.25">
      <c r="A1502" s="3">
        <v>45649</v>
      </c>
      <c r="B1502" s="4">
        <v>2024003620</v>
      </c>
      <c r="C1502" s="4" t="s">
        <v>783</v>
      </c>
      <c r="D1502" s="5">
        <v>2500000</v>
      </c>
      <c r="E1502" s="4">
        <v>1233189896</v>
      </c>
      <c r="F1502" s="4" t="s">
        <v>279</v>
      </c>
      <c r="G1502" t="s">
        <v>565</v>
      </c>
    </row>
    <row r="1503" spans="1:7" ht="15" customHeight="1" x14ac:dyDescent="0.25">
      <c r="A1503" s="3">
        <v>45649</v>
      </c>
      <c r="B1503" s="4">
        <v>2024003621</v>
      </c>
      <c r="C1503" s="4" t="s">
        <v>773</v>
      </c>
      <c r="D1503" s="5">
        <v>4825000</v>
      </c>
      <c r="E1503" s="4">
        <v>1085267184</v>
      </c>
      <c r="F1503" s="4" t="s">
        <v>247</v>
      </c>
      <c r="G1503" t="s">
        <v>565</v>
      </c>
    </row>
    <row r="1504" spans="1:7" ht="15" customHeight="1" x14ac:dyDescent="0.25">
      <c r="A1504" s="3">
        <v>45649</v>
      </c>
      <c r="B1504" s="4">
        <v>2024003622</v>
      </c>
      <c r="C1504" s="4" t="s">
        <v>663</v>
      </c>
      <c r="D1504" s="5">
        <v>4750000</v>
      </c>
      <c r="E1504" s="4">
        <v>1085303067</v>
      </c>
      <c r="F1504" s="4" t="s">
        <v>105</v>
      </c>
      <c r="G1504" t="s">
        <v>565</v>
      </c>
    </row>
    <row r="1505" spans="1:7" ht="15" customHeight="1" x14ac:dyDescent="0.25">
      <c r="A1505" s="3">
        <v>45649</v>
      </c>
      <c r="B1505" s="4">
        <v>2024003623</v>
      </c>
      <c r="C1505" s="4" t="s">
        <v>748</v>
      </c>
      <c r="D1505" s="5">
        <v>7540000</v>
      </c>
      <c r="E1505" s="4">
        <v>1085344794</v>
      </c>
      <c r="F1505" s="4" t="s">
        <v>749</v>
      </c>
      <c r="G1505" t="s">
        <v>565</v>
      </c>
    </row>
    <row r="1506" spans="1:7" ht="15" customHeight="1" x14ac:dyDescent="0.25">
      <c r="A1506" s="3">
        <v>45649</v>
      </c>
      <c r="B1506" s="4">
        <v>2024003624</v>
      </c>
      <c r="C1506" s="4" t="s">
        <v>611</v>
      </c>
      <c r="D1506" s="5">
        <v>3000000</v>
      </c>
      <c r="E1506" s="4">
        <v>1085261053</v>
      </c>
      <c r="F1506" s="4" t="s">
        <v>335</v>
      </c>
      <c r="G1506" t="s">
        <v>565</v>
      </c>
    </row>
    <row r="1507" spans="1:7" ht="15" customHeight="1" x14ac:dyDescent="0.25">
      <c r="A1507" s="3">
        <v>45649</v>
      </c>
      <c r="B1507" s="4">
        <v>2024003625</v>
      </c>
      <c r="C1507" s="4" t="s">
        <v>639</v>
      </c>
      <c r="D1507" s="5">
        <v>3000000</v>
      </c>
      <c r="E1507" s="4">
        <v>36757522</v>
      </c>
      <c r="F1507" s="4" t="s">
        <v>271</v>
      </c>
      <c r="G1507" t="s">
        <v>565</v>
      </c>
    </row>
    <row r="1508" spans="1:7" ht="15" customHeight="1" x14ac:dyDescent="0.25">
      <c r="A1508" s="3">
        <v>45649</v>
      </c>
      <c r="B1508" s="4">
        <v>2024003626</v>
      </c>
      <c r="C1508" s="4" t="s">
        <v>1055</v>
      </c>
      <c r="D1508" s="5">
        <v>3000000</v>
      </c>
      <c r="E1508" s="4">
        <v>1085346528</v>
      </c>
      <c r="F1508" s="4" t="s">
        <v>1056</v>
      </c>
      <c r="G1508" t="s">
        <v>565</v>
      </c>
    </row>
    <row r="1509" spans="1:7" ht="15" customHeight="1" x14ac:dyDescent="0.25">
      <c r="A1509" s="3">
        <v>45649</v>
      </c>
      <c r="B1509" s="4">
        <v>2024003627</v>
      </c>
      <c r="C1509" s="4" t="s">
        <v>794</v>
      </c>
      <c r="D1509" s="5">
        <v>7540000</v>
      </c>
      <c r="E1509" s="4">
        <v>1193202097</v>
      </c>
      <c r="F1509" s="4" t="s">
        <v>163</v>
      </c>
      <c r="G1509" t="s">
        <v>565</v>
      </c>
    </row>
    <row r="1510" spans="1:7" ht="15" customHeight="1" x14ac:dyDescent="0.25">
      <c r="A1510" s="3">
        <v>45649</v>
      </c>
      <c r="B1510" s="4">
        <v>2024003628</v>
      </c>
      <c r="C1510" s="4" t="s">
        <v>708</v>
      </c>
      <c r="D1510" s="5">
        <v>4750000</v>
      </c>
      <c r="E1510" s="4">
        <v>1085330309</v>
      </c>
      <c r="F1510" s="4" t="s">
        <v>249</v>
      </c>
      <c r="G1510" t="s">
        <v>565</v>
      </c>
    </row>
    <row r="1511" spans="1:7" ht="15" customHeight="1" x14ac:dyDescent="0.25">
      <c r="A1511" s="3">
        <v>45649</v>
      </c>
      <c r="B1511" s="4">
        <v>2024003629</v>
      </c>
      <c r="C1511" s="4" t="s">
        <v>721</v>
      </c>
      <c r="D1511" s="5">
        <v>2500000</v>
      </c>
      <c r="E1511" s="4">
        <v>1004535115</v>
      </c>
      <c r="F1511" s="4" t="s">
        <v>347</v>
      </c>
      <c r="G1511" t="s">
        <v>565</v>
      </c>
    </row>
    <row r="1512" spans="1:7" ht="15" customHeight="1" x14ac:dyDescent="0.25">
      <c r="A1512" s="3">
        <v>45649</v>
      </c>
      <c r="B1512" s="4">
        <v>2024003630</v>
      </c>
      <c r="C1512" s="4" t="s">
        <v>765</v>
      </c>
      <c r="D1512" s="5">
        <v>2500000</v>
      </c>
      <c r="E1512" s="4">
        <v>59821968</v>
      </c>
      <c r="F1512" s="4" t="s">
        <v>766</v>
      </c>
      <c r="G1512" t="s">
        <v>565</v>
      </c>
    </row>
    <row r="1513" spans="1:7" ht="15" customHeight="1" x14ac:dyDescent="0.25">
      <c r="A1513" s="3">
        <v>45649</v>
      </c>
      <c r="B1513" s="4">
        <v>2024003631</v>
      </c>
      <c r="C1513" s="4" t="s">
        <v>648</v>
      </c>
      <c r="D1513" s="5">
        <v>4825000</v>
      </c>
      <c r="E1513" s="4">
        <v>30732782</v>
      </c>
      <c r="F1513" s="4" t="s">
        <v>245</v>
      </c>
      <c r="G1513" t="s">
        <v>565</v>
      </c>
    </row>
    <row r="1514" spans="1:7" ht="15" customHeight="1" x14ac:dyDescent="0.25">
      <c r="A1514" s="3">
        <v>45649</v>
      </c>
      <c r="B1514" s="4">
        <v>2024003632</v>
      </c>
      <c r="C1514" s="4" t="s">
        <v>857</v>
      </c>
      <c r="D1514" s="5">
        <v>2500000</v>
      </c>
      <c r="E1514" s="4">
        <v>37082480</v>
      </c>
      <c r="F1514" s="4" t="s">
        <v>858</v>
      </c>
      <c r="G1514" t="s">
        <v>565</v>
      </c>
    </row>
    <row r="1515" spans="1:7" ht="15" customHeight="1" x14ac:dyDescent="0.25">
      <c r="A1515" s="3">
        <v>45649</v>
      </c>
      <c r="B1515" s="4">
        <v>2024003633</v>
      </c>
      <c r="C1515" s="4" t="s">
        <v>786</v>
      </c>
      <c r="D1515" s="5">
        <v>3000000</v>
      </c>
      <c r="E1515" s="4">
        <v>69028150</v>
      </c>
      <c r="F1515" s="4" t="s">
        <v>171</v>
      </c>
      <c r="G1515" t="s">
        <v>565</v>
      </c>
    </row>
    <row r="1516" spans="1:7" ht="15" customHeight="1" x14ac:dyDescent="0.25">
      <c r="A1516" s="3">
        <v>45649</v>
      </c>
      <c r="B1516" s="4">
        <v>2024003634</v>
      </c>
      <c r="C1516" s="4" t="s">
        <v>771</v>
      </c>
      <c r="D1516" s="5">
        <v>2500000</v>
      </c>
      <c r="E1516" s="4">
        <v>1085327836</v>
      </c>
      <c r="F1516" s="4" t="s">
        <v>283</v>
      </c>
      <c r="G1516" t="s">
        <v>565</v>
      </c>
    </row>
    <row r="1517" spans="1:7" ht="15" customHeight="1" x14ac:dyDescent="0.25">
      <c r="A1517" s="3">
        <v>45649</v>
      </c>
      <c r="B1517" s="4">
        <v>2024003635</v>
      </c>
      <c r="C1517" s="4" t="s">
        <v>763</v>
      </c>
      <c r="D1517" s="5">
        <v>3000000</v>
      </c>
      <c r="E1517" s="4">
        <v>36752202</v>
      </c>
      <c r="F1517" s="4" t="s">
        <v>263</v>
      </c>
      <c r="G1517" t="s">
        <v>565</v>
      </c>
    </row>
    <row r="1518" spans="1:7" ht="15" customHeight="1" x14ac:dyDescent="0.25">
      <c r="A1518" s="3">
        <v>45649</v>
      </c>
      <c r="B1518" s="4">
        <v>2024003636</v>
      </c>
      <c r="C1518" s="4" t="s">
        <v>862</v>
      </c>
      <c r="D1518" s="5">
        <v>3000000</v>
      </c>
      <c r="E1518" s="4">
        <v>1085300095</v>
      </c>
      <c r="F1518" s="4" t="s">
        <v>201</v>
      </c>
      <c r="G1518" t="s">
        <v>565</v>
      </c>
    </row>
    <row r="1519" spans="1:7" ht="15" customHeight="1" x14ac:dyDescent="0.25">
      <c r="A1519" s="3">
        <v>45649</v>
      </c>
      <c r="B1519" s="4">
        <v>2024003637</v>
      </c>
      <c r="C1519" s="4" t="s">
        <v>957</v>
      </c>
      <c r="D1519" s="5">
        <v>4825000</v>
      </c>
      <c r="E1519" s="4">
        <v>31324345</v>
      </c>
      <c r="F1519" s="4" t="s">
        <v>958</v>
      </c>
      <c r="G1519" t="s">
        <v>565</v>
      </c>
    </row>
    <row r="1520" spans="1:7" ht="15" customHeight="1" x14ac:dyDescent="0.25">
      <c r="A1520" s="3">
        <v>45649</v>
      </c>
      <c r="B1520" s="4">
        <v>2024003638</v>
      </c>
      <c r="C1520" s="4" t="s">
        <v>919</v>
      </c>
      <c r="D1520" s="5">
        <v>3000000</v>
      </c>
      <c r="E1520" s="4">
        <v>1085260568</v>
      </c>
      <c r="F1520" s="4" t="s">
        <v>419</v>
      </c>
      <c r="G1520" t="s">
        <v>565</v>
      </c>
    </row>
    <row r="1521" spans="1:7" ht="15" customHeight="1" x14ac:dyDescent="0.25">
      <c r="A1521" s="3">
        <v>45649</v>
      </c>
      <c r="B1521" s="4">
        <v>2024003639</v>
      </c>
      <c r="C1521" s="4" t="s">
        <v>1015</v>
      </c>
      <c r="D1521" s="5">
        <v>4825000</v>
      </c>
      <c r="E1521" s="4">
        <v>1080900817</v>
      </c>
      <c r="F1521" s="4" t="s">
        <v>1016</v>
      </c>
      <c r="G1521" t="s">
        <v>565</v>
      </c>
    </row>
    <row r="1522" spans="1:7" ht="15" customHeight="1" x14ac:dyDescent="0.25">
      <c r="A1522" s="3">
        <v>45650</v>
      </c>
      <c r="B1522" s="4">
        <v>2024003640</v>
      </c>
      <c r="C1522" s="4" t="s">
        <v>704</v>
      </c>
      <c r="D1522" s="5">
        <v>4750000</v>
      </c>
      <c r="E1522" s="4">
        <v>36759759</v>
      </c>
      <c r="F1522" s="4" t="s">
        <v>705</v>
      </c>
      <c r="G1522" t="s">
        <v>565</v>
      </c>
    </row>
    <row r="1523" spans="1:7" ht="15" customHeight="1" x14ac:dyDescent="0.25">
      <c r="A1523" s="3">
        <v>45650</v>
      </c>
      <c r="B1523" s="4">
        <v>2024003641</v>
      </c>
      <c r="C1523" s="4" t="s">
        <v>894</v>
      </c>
      <c r="D1523" s="5">
        <v>6000000</v>
      </c>
      <c r="E1523" s="4">
        <v>1085272491</v>
      </c>
      <c r="F1523" s="4" t="s">
        <v>895</v>
      </c>
      <c r="G1523" t="s">
        <v>565</v>
      </c>
    </row>
    <row r="1524" spans="1:7" ht="15" customHeight="1" x14ac:dyDescent="0.25">
      <c r="A1524" s="3">
        <v>45650</v>
      </c>
      <c r="B1524" s="4">
        <v>2024003643</v>
      </c>
      <c r="C1524" s="4" t="s">
        <v>756</v>
      </c>
      <c r="D1524" s="5">
        <v>6000000</v>
      </c>
      <c r="E1524" s="4">
        <v>36757221</v>
      </c>
      <c r="F1524" s="4" t="s">
        <v>453</v>
      </c>
      <c r="G1524" t="s">
        <v>565</v>
      </c>
    </row>
    <row r="1525" spans="1:7" ht="15" customHeight="1" x14ac:dyDescent="0.25">
      <c r="A1525" s="3">
        <v>45650</v>
      </c>
      <c r="B1525" s="4">
        <v>2024003645</v>
      </c>
      <c r="C1525" s="4" t="s">
        <v>737</v>
      </c>
      <c r="D1525" s="5">
        <v>6000000</v>
      </c>
      <c r="E1525" s="4">
        <v>1085248939</v>
      </c>
      <c r="F1525" s="4" t="s">
        <v>437</v>
      </c>
      <c r="G1525" t="s">
        <v>565</v>
      </c>
    </row>
    <row r="1526" spans="1:7" ht="15" customHeight="1" x14ac:dyDescent="0.25">
      <c r="A1526" s="3">
        <v>45650</v>
      </c>
      <c r="B1526" s="4">
        <v>2024003646</v>
      </c>
      <c r="C1526" s="4" t="s">
        <v>709</v>
      </c>
      <c r="D1526" s="5">
        <v>4750000</v>
      </c>
      <c r="E1526" s="4">
        <v>1087414586</v>
      </c>
      <c r="F1526" s="4" t="s">
        <v>47</v>
      </c>
      <c r="G1526" t="s">
        <v>565</v>
      </c>
    </row>
    <row r="1527" spans="1:7" ht="15" customHeight="1" x14ac:dyDescent="0.25">
      <c r="A1527" s="3">
        <v>45650</v>
      </c>
      <c r="B1527" s="4">
        <v>2024003647</v>
      </c>
      <c r="C1527" s="4" t="s">
        <v>684</v>
      </c>
      <c r="D1527" s="5">
        <v>3000000</v>
      </c>
      <c r="E1527" s="4">
        <v>59310524</v>
      </c>
      <c r="F1527" s="4" t="s">
        <v>992</v>
      </c>
      <c r="G1527" t="s">
        <v>565</v>
      </c>
    </row>
    <row r="1528" spans="1:7" ht="15" customHeight="1" x14ac:dyDescent="0.25">
      <c r="A1528" s="3">
        <v>45650</v>
      </c>
      <c r="B1528" s="4">
        <v>2024003648</v>
      </c>
      <c r="C1528" s="4" t="s">
        <v>646</v>
      </c>
      <c r="D1528" s="5">
        <v>7540000</v>
      </c>
      <c r="E1528" s="4">
        <v>1085332934</v>
      </c>
      <c r="F1528" s="4" t="s">
        <v>379</v>
      </c>
      <c r="G1528" t="s">
        <v>565</v>
      </c>
    </row>
    <row r="1529" spans="1:7" ht="15" customHeight="1" x14ac:dyDescent="0.25">
      <c r="A1529" s="3">
        <v>45650</v>
      </c>
      <c r="B1529" s="4">
        <v>2024003649</v>
      </c>
      <c r="C1529" s="4" t="s">
        <v>645</v>
      </c>
      <c r="D1529" s="5">
        <v>7540000</v>
      </c>
      <c r="E1529" s="4">
        <v>1085320661</v>
      </c>
      <c r="F1529" s="4" t="s">
        <v>393</v>
      </c>
      <c r="G1529" t="s">
        <v>565</v>
      </c>
    </row>
    <row r="1530" spans="1:7" ht="15" customHeight="1" x14ac:dyDescent="0.25">
      <c r="A1530" s="3">
        <v>45650</v>
      </c>
      <c r="B1530" s="4">
        <v>2024003651</v>
      </c>
      <c r="C1530" s="4" t="s">
        <v>647</v>
      </c>
      <c r="D1530" s="5">
        <v>4825000</v>
      </c>
      <c r="E1530" s="4">
        <v>12748383</v>
      </c>
      <c r="F1530" s="4" t="s">
        <v>447</v>
      </c>
      <c r="G1530" t="s">
        <v>565</v>
      </c>
    </row>
    <row r="1531" spans="1:7" ht="15" customHeight="1" x14ac:dyDescent="0.25">
      <c r="A1531" s="3">
        <v>45650</v>
      </c>
      <c r="B1531" s="4">
        <v>2024003652</v>
      </c>
      <c r="C1531" s="4" t="s">
        <v>760</v>
      </c>
      <c r="D1531" s="5">
        <v>3000000</v>
      </c>
      <c r="E1531" s="4">
        <v>1004535234</v>
      </c>
      <c r="F1531" s="4" t="s">
        <v>507</v>
      </c>
      <c r="G1531" t="s">
        <v>565</v>
      </c>
    </row>
    <row r="1532" spans="1:7" ht="15" customHeight="1" x14ac:dyDescent="0.25">
      <c r="A1532" s="3">
        <v>45650</v>
      </c>
      <c r="B1532" s="4">
        <v>2024003653</v>
      </c>
      <c r="C1532" s="4" t="s">
        <v>990</v>
      </c>
      <c r="D1532" s="5">
        <v>3000000</v>
      </c>
      <c r="E1532" s="4">
        <v>1085283703</v>
      </c>
      <c r="F1532" s="4" t="s">
        <v>991</v>
      </c>
      <c r="G1532" t="s">
        <v>565</v>
      </c>
    </row>
    <row r="1533" spans="1:7" ht="15" customHeight="1" x14ac:dyDescent="0.25">
      <c r="A1533" s="3">
        <v>45650</v>
      </c>
      <c r="B1533" s="4">
        <v>2024003655</v>
      </c>
      <c r="C1533" s="4" t="s">
        <v>672</v>
      </c>
      <c r="D1533" s="5">
        <v>4750000</v>
      </c>
      <c r="E1533" s="4">
        <v>1087413951</v>
      </c>
      <c r="F1533" s="4" t="s">
        <v>95</v>
      </c>
      <c r="G1533" t="s">
        <v>565</v>
      </c>
    </row>
    <row r="1534" spans="1:7" ht="15" customHeight="1" x14ac:dyDescent="0.25">
      <c r="A1534" s="3">
        <v>45650</v>
      </c>
      <c r="B1534" s="4">
        <v>2024003656</v>
      </c>
      <c r="C1534" s="4" t="s">
        <v>784</v>
      </c>
      <c r="D1534" s="5">
        <v>3000000</v>
      </c>
      <c r="E1534" s="4">
        <v>1085319295</v>
      </c>
      <c r="F1534" s="4" t="s">
        <v>785</v>
      </c>
      <c r="G1534" t="s">
        <v>565</v>
      </c>
    </row>
    <row r="1535" spans="1:7" ht="15" customHeight="1" x14ac:dyDescent="0.25">
      <c r="A1535" s="3">
        <v>45650</v>
      </c>
      <c r="B1535" s="4">
        <v>2024003657</v>
      </c>
      <c r="C1535" s="4" t="s">
        <v>743</v>
      </c>
      <c r="D1535" s="5">
        <v>7540000</v>
      </c>
      <c r="E1535" s="4">
        <v>1085345430</v>
      </c>
      <c r="F1535" s="4" t="s">
        <v>359</v>
      </c>
      <c r="G1535" t="s">
        <v>565</v>
      </c>
    </row>
    <row r="1536" spans="1:7" ht="15" customHeight="1" x14ac:dyDescent="0.25">
      <c r="A1536" s="3">
        <v>45650</v>
      </c>
      <c r="B1536" s="4">
        <v>2024003658</v>
      </c>
      <c r="C1536" s="4" t="s">
        <v>993</v>
      </c>
      <c r="D1536" s="5">
        <v>3000000</v>
      </c>
      <c r="E1536" s="4">
        <v>1004508436</v>
      </c>
      <c r="F1536" s="4" t="s">
        <v>367</v>
      </c>
      <c r="G1536" t="s">
        <v>565</v>
      </c>
    </row>
    <row r="1537" spans="1:7" ht="15" customHeight="1" x14ac:dyDescent="0.25">
      <c r="A1537" s="3">
        <v>45650</v>
      </c>
      <c r="B1537" s="4">
        <v>2024003659</v>
      </c>
      <c r="C1537" s="4" t="s">
        <v>942</v>
      </c>
      <c r="D1537" s="5">
        <v>4825000</v>
      </c>
      <c r="E1537" s="4">
        <v>1086755334</v>
      </c>
      <c r="F1537" s="4" t="s">
        <v>943</v>
      </c>
      <c r="G1537" t="s">
        <v>565</v>
      </c>
    </row>
    <row r="1538" spans="1:7" ht="15" customHeight="1" x14ac:dyDescent="0.25">
      <c r="A1538" s="3">
        <v>45650</v>
      </c>
      <c r="B1538" s="4">
        <v>2024003660</v>
      </c>
      <c r="C1538" s="4" t="s">
        <v>1060</v>
      </c>
      <c r="D1538" s="5">
        <v>3000000</v>
      </c>
      <c r="E1538" s="4">
        <v>13069881</v>
      </c>
      <c r="F1538" s="4" t="s">
        <v>546</v>
      </c>
      <c r="G1538" t="s">
        <v>565</v>
      </c>
    </row>
    <row r="1539" spans="1:7" ht="15" customHeight="1" x14ac:dyDescent="0.25">
      <c r="A1539" s="3">
        <v>45650</v>
      </c>
      <c r="B1539" s="4">
        <v>2024003661</v>
      </c>
      <c r="C1539" s="4" t="s">
        <v>896</v>
      </c>
      <c r="D1539" s="5">
        <v>4825000</v>
      </c>
      <c r="E1539" s="4">
        <v>59310622</v>
      </c>
      <c r="F1539" s="4" t="s">
        <v>897</v>
      </c>
      <c r="G1539" t="s">
        <v>565</v>
      </c>
    </row>
    <row r="1540" spans="1:7" ht="15" customHeight="1" x14ac:dyDescent="0.25">
      <c r="A1540" s="3">
        <v>45650</v>
      </c>
      <c r="B1540" s="4">
        <v>2024003662</v>
      </c>
      <c r="C1540" s="4" t="s">
        <v>932</v>
      </c>
      <c r="D1540" s="5">
        <v>7540000</v>
      </c>
      <c r="E1540" s="4">
        <v>1085296958</v>
      </c>
      <c r="F1540" s="4" t="s">
        <v>401</v>
      </c>
      <c r="G1540" t="s">
        <v>565</v>
      </c>
    </row>
    <row r="1541" spans="1:7" ht="15" customHeight="1" x14ac:dyDescent="0.25">
      <c r="A1541" s="3">
        <v>45650</v>
      </c>
      <c r="B1541" s="4">
        <v>2024003663</v>
      </c>
      <c r="C1541" s="4" t="s">
        <v>744</v>
      </c>
      <c r="D1541" s="5">
        <v>7540000</v>
      </c>
      <c r="E1541" s="4">
        <v>1085293105</v>
      </c>
      <c r="F1541" s="4" t="s">
        <v>745</v>
      </c>
      <c r="G1541" t="s">
        <v>565</v>
      </c>
    </row>
    <row r="1542" spans="1:7" ht="15" customHeight="1" x14ac:dyDescent="0.25">
      <c r="A1542" s="3">
        <v>45650</v>
      </c>
      <c r="B1542" s="4">
        <v>2024003664</v>
      </c>
      <c r="C1542" s="4" t="s">
        <v>738</v>
      </c>
      <c r="D1542" s="5">
        <v>3000000</v>
      </c>
      <c r="E1542" s="4">
        <v>1004726758</v>
      </c>
      <c r="F1542" s="4" t="s">
        <v>365</v>
      </c>
      <c r="G1542" t="s">
        <v>565</v>
      </c>
    </row>
    <row r="1543" spans="1:7" ht="15" customHeight="1" x14ac:dyDescent="0.25">
      <c r="A1543" s="3">
        <v>45650</v>
      </c>
      <c r="B1543" s="4">
        <v>2024003665</v>
      </c>
      <c r="C1543" s="4" t="s">
        <v>1012</v>
      </c>
      <c r="D1543" s="5">
        <v>4825000</v>
      </c>
      <c r="E1543" s="4">
        <v>1085289539</v>
      </c>
      <c r="F1543" s="4" t="s">
        <v>1013</v>
      </c>
      <c r="G1543" t="s">
        <v>565</v>
      </c>
    </row>
    <row r="1544" spans="1:7" ht="15" customHeight="1" x14ac:dyDescent="0.25">
      <c r="A1544" s="3">
        <v>45650</v>
      </c>
      <c r="B1544" s="4">
        <v>2024003666</v>
      </c>
      <c r="C1544" s="4" t="s">
        <v>617</v>
      </c>
      <c r="D1544" s="5">
        <v>6000000</v>
      </c>
      <c r="E1544" s="4">
        <v>1082748420</v>
      </c>
      <c r="F1544" s="4" t="s">
        <v>450</v>
      </c>
      <c r="G1544" t="s">
        <v>565</v>
      </c>
    </row>
    <row r="1545" spans="1:7" ht="15" customHeight="1" x14ac:dyDescent="0.25">
      <c r="A1545" s="3">
        <v>45650</v>
      </c>
      <c r="B1545" s="4">
        <v>2024003667</v>
      </c>
      <c r="C1545" s="4" t="s">
        <v>940</v>
      </c>
      <c r="D1545" s="5">
        <v>3000000</v>
      </c>
      <c r="E1545" s="4">
        <v>59813323</v>
      </c>
      <c r="F1545" s="4" t="s">
        <v>103</v>
      </c>
      <c r="G1545" t="s">
        <v>565</v>
      </c>
    </row>
    <row r="1546" spans="1:7" ht="15" customHeight="1" x14ac:dyDescent="0.25">
      <c r="A1546" s="3">
        <v>45650</v>
      </c>
      <c r="B1546" s="4">
        <v>2024003668</v>
      </c>
      <c r="C1546" s="4" t="s">
        <v>829</v>
      </c>
      <c r="D1546" s="5">
        <v>3000000</v>
      </c>
      <c r="E1546" s="4">
        <v>1085286742</v>
      </c>
      <c r="F1546" s="4" t="s">
        <v>75</v>
      </c>
      <c r="G1546" t="s">
        <v>565</v>
      </c>
    </row>
    <row r="1547" spans="1:7" ht="15" customHeight="1" x14ac:dyDescent="0.25">
      <c r="A1547" s="3">
        <v>45650</v>
      </c>
      <c r="B1547" s="4">
        <v>2024003669</v>
      </c>
      <c r="C1547" s="4" t="s">
        <v>1057</v>
      </c>
      <c r="D1547" s="5">
        <v>3000000</v>
      </c>
      <c r="E1547" s="4">
        <v>1004437571</v>
      </c>
      <c r="F1547" s="4" t="s">
        <v>580</v>
      </c>
      <c r="G1547" t="s">
        <v>565</v>
      </c>
    </row>
    <row r="1548" spans="1:7" ht="15" customHeight="1" x14ac:dyDescent="0.25">
      <c r="A1548" s="3">
        <v>45650</v>
      </c>
      <c r="B1548" s="4">
        <v>2024003670</v>
      </c>
      <c r="C1548" s="4" t="s">
        <v>680</v>
      </c>
      <c r="D1548" s="5">
        <v>3000000</v>
      </c>
      <c r="E1548" s="4">
        <v>1085290651</v>
      </c>
      <c r="F1548" s="4" t="s">
        <v>325</v>
      </c>
      <c r="G1548" t="s">
        <v>565</v>
      </c>
    </row>
    <row r="1549" spans="1:7" ht="15" customHeight="1" x14ac:dyDescent="0.25">
      <c r="A1549" s="3">
        <v>45650</v>
      </c>
      <c r="B1549" s="4">
        <v>2024003671</v>
      </c>
      <c r="C1549" s="4" t="s">
        <v>722</v>
      </c>
      <c r="D1549" s="5">
        <v>3000000</v>
      </c>
      <c r="E1549" s="4">
        <v>1086329609</v>
      </c>
      <c r="F1549" s="4" t="s">
        <v>443</v>
      </c>
      <c r="G1549" t="s">
        <v>565</v>
      </c>
    </row>
    <row r="1550" spans="1:7" ht="15" customHeight="1" x14ac:dyDescent="0.25">
      <c r="A1550" s="3">
        <v>45650</v>
      </c>
      <c r="B1550" s="4">
        <v>2024003672</v>
      </c>
      <c r="C1550" s="4" t="s">
        <v>669</v>
      </c>
      <c r="D1550" s="5">
        <v>6000000</v>
      </c>
      <c r="E1550" s="4">
        <v>1193223736</v>
      </c>
      <c r="F1550" s="4" t="s">
        <v>670</v>
      </c>
      <c r="G1550" t="s">
        <v>565</v>
      </c>
    </row>
    <row r="1551" spans="1:7" ht="15" customHeight="1" x14ac:dyDescent="0.25">
      <c r="A1551" s="3">
        <v>45650</v>
      </c>
      <c r="B1551" s="4">
        <v>2024003673</v>
      </c>
      <c r="C1551" s="4" t="s">
        <v>751</v>
      </c>
      <c r="D1551" s="5">
        <v>4750000</v>
      </c>
      <c r="E1551" s="4">
        <v>1233192618</v>
      </c>
      <c r="F1551" s="4" t="s">
        <v>351</v>
      </c>
      <c r="G1551" t="s">
        <v>565</v>
      </c>
    </row>
    <row r="1552" spans="1:7" ht="15" customHeight="1" x14ac:dyDescent="0.25">
      <c r="A1552" s="3">
        <v>45650</v>
      </c>
      <c r="B1552" s="4">
        <v>2024003674</v>
      </c>
      <c r="C1552" s="4" t="s">
        <v>1039</v>
      </c>
      <c r="D1552" s="5">
        <v>4750000</v>
      </c>
      <c r="E1552" s="4">
        <v>1087422930</v>
      </c>
      <c r="F1552" s="4" t="s">
        <v>253</v>
      </c>
      <c r="G1552" t="s">
        <v>565</v>
      </c>
    </row>
    <row r="1553" spans="1:7" ht="15" customHeight="1" x14ac:dyDescent="0.25">
      <c r="A1553" s="3">
        <v>45650</v>
      </c>
      <c r="B1553" s="4">
        <v>2024003675</v>
      </c>
      <c r="C1553" s="4" t="s">
        <v>1042</v>
      </c>
      <c r="D1553" s="5">
        <v>3000000</v>
      </c>
      <c r="E1553" s="4">
        <v>1088733625</v>
      </c>
      <c r="F1553" s="4" t="s">
        <v>559</v>
      </c>
      <c r="G1553" t="s">
        <v>565</v>
      </c>
    </row>
    <row r="1554" spans="1:7" ht="15" customHeight="1" x14ac:dyDescent="0.25">
      <c r="A1554" s="3">
        <v>45650</v>
      </c>
      <c r="B1554" s="4">
        <v>2024003676</v>
      </c>
      <c r="C1554" s="4" t="s">
        <v>964</v>
      </c>
      <c r="D1554" s="5">
        <v>7540000</v>
      </c>
      <c r="E1554" s="4">
        <v>1085291725</v>
      </c>
      <c r="F1554" s="4" t="s">
        <v>965</v>
      </c>
      <c r="G1554" t="s">
        <v>565</v>
      </c>
    </row>
    <row r="1555" spans="1:7" ht="15" customHeight="1" x14ac:dyDescent="0.25">
      <c r="A1555" s="3">
        <v>45650</v>
      </c>
      <c r="B1555" s="4">
        <v>2024003677</v>
      </c>
      <c r="C1555" s="4" t="s">
        <v>876</v>
      </c>
      <c r="D1555" s="5">
        <v>4825000</v>
      </c>
      <c r="E1555" s="4">
        <v>59314451</v>
      </c>
      <c r="F1555" s="4" t="s">
        <v>141</v>
      </c>
      <c r="G1555" t="s">
        <v>565</v>
      </c>
    </row>
    <row r="1556" spans="1:7" ht="15" customHeight="1" x14ac:dyDescent="0.25">
      <c r="A1556" s="3">
        <v>45650</v>
      </c>
      <c r="B1556" s="4">
        <v>2024003678</v>
      </c>
      <c r="C1556" s="4" t="s">
        <v>714</v>
      </c>
      <c r="D1556" s="5">
        <v>4750000</v>
      </c>
      <c r="E1556" s="4">
        <v>59824313</v>
      </c>
      <c r="F1556" s="4" t="s">
        <v>151</v>
      </c>
      <c r="G1556" t="s">
        <v>565</v>
      </c>
    </row>
    <row r="1557" spans="1:7" ht="15" customHeight="1" x14ac:dyDescent="0.25">
      <c r="A1557" s="3">
        <v>45650</v>
      </c>
      <c r="B1557" s="4">
        <v>2024003679</v>
      </c>
      <c r="C1557" s="4" t="s">
        <v>630</v>
      </c>
      <c r="D1557" s="5">
        <v>3000000</v>
      </c>
      <c r="E1557" s="4">
        <v>1004635031</v>
      </c>
      <c r="F1557" s="4" t="s">
        <v>397</v>
      </c>
      <c r="G1557" t="s">
        <v>565</v>
      </c>
    </row>
    <row r="1558" spans="1:7" ht="15" customHeight="1" x14ac:dyDescent="0.25">
      <c r="A1558" s="3">
        <v>45650</v>
      </c>
      <c r="B1558" s="4">
        <v>2024003680</v>
      </c>
      <c r="C1558" s="4" t="s">
        <v>912</v>
      </c>
      <c r="D1558" s="5">
        <v>2500000</v>
      </c>
      <c r="E1558" s="4">
        <v>1085338135</v>
      </c>
      <c r="F1558" s="4" t="s">
        <v>369</v>
      </c>
      <c r="G1558" t="s">
        <v>565</v>
      </c>
    </row>
    <row r="1559" spans="1:7" ht="15" customHeight="1" x14ac:dyDescent="0.25">
      <c r="A1559" s="3">
        <v>45650</v>
      </c>
      <c r="B1559" s="4">
        <v>2024003681</v>
      </c>
      <c r="C1559" s="4" t="s">
        <v>685</v>
      </c>
      <c r="D1559" s="5">
        <v>6000000</v>
      </c>
      <c r="E1559" s="4">
        <v>1089242085</v>
      </c>
      <c r="F1559" s="4" t="s">
        <v>19</v>
      </c>
      <c r="G1559" t="s">
        <v>565</v>
      </c>
    </row>
    <row r="1560" spans="1:7" ht="15" customHeight="1" x14ac:dyDescent="0.25">
      <c r="A1560" s="3">
        <v>45650</v>
      </c>
      <c r="B1560" s="4">
        <v>2024003682</v>
      </c>
      <c r="C1560" s="4" t="s">
        <v>780</v>
      </c>
      <c r="D1560" s="5">
        <v>4825000</v>
      </c>
      <c r="E1560" s="4">
        <v>1085311814</v>
      </c>
      <c r="F1560" s="4" t="s">
        <v>781</v>
      </c>
      <c r="G1560" t="s">
        <v>565</v>
      </c>
    </row>
    <row r="1561" spans="1:7" ht="15" customHeight="1" x14ac:dyDescent="0.25">
      <c r="A1561" s="3">
        <v>45650</v>
      </c>
      <c r="B1561" s="4">
        <v>2024003683</v>
      </c>
      <c r="C1561" s="4" t="s">
        <v>941</v>
      </c>
      <c r="D1561" s="5">
        <v>4825000</v>
      </c>
      <c r="E1561" s="4">
        <v>1085332406</v>
      </c>
      <c r="F1561" s="4" t="s">
        <v>273</v>
      </c>
      <c r="G1561" t="s">
        <v>565</v>
      </c>
    </row>
    <row r="1562" spans="1:7" ht="15" customHeight="1" x14ac:dyDescent="0.25">
      <c r="A1562" s="3">
        <v>45650</v>
      </c>
      <c r="B1562" s="4">
        <v>2024003684</v>
      </c>
      <c r="C1562" s="4" t="s">
        <v>1076</v>
      </c>
      <c r="D1562" s="5">
        <v>3000000</v>
      </c>
      <c r="E1562" s="4">
        <v>1193273142</v>
      </c>
      <c r="F1562" s="4" t="s">
        <v>1077</v>
      </c>
      <c r="G1562" t="s">
        <v>565</v>
      </c>
    </row>
    <row r="1563" spans="1:7" ht="15" customHeight="1" x14ac:dyDescent="0.25">
      <c r="A1563" s="3">
        <v>45650</v>
      </c>
      <c r="B1563" s="4">
        <v>2024003685</v>
      </c>
      <c r="C1563" s="4" t="s">
        <v>713</v>
      </c>
      <c r="D1563" s="5">
        <v>3000000</v>
      </c>
      <c r="E1563" s="4">
        <v>1086328142</v>
      </c>
      <c r="F1563" s="4" t="s">
        <v>470</v>
      </c>
      <c r="G1563" t="s">
        <v>565</v>
      </c>
    </row>
    <row r="1564" spans="1:7" ht="15" customHeight="1" x14ac:dyDescent="0.25">
      <c r="A1564" s="3">
        <v>45650</v>
      </c>
      <c r="B1564" s="4">
        <v>2024003686</v>
      </c>
      <c r="C1564" s="4" t="s">
        <v>734</v>
      </c>
      <c r="D1564" s="5">
        <v>4750000</v>
      </c>
      <c r="E1564" s="4">
        <v>1085343783</v>
      </c>
      <c r="F1564" s="4" t="s">
        <v>735</v>
      </c>
      <c r="G1564" t="s">
        <v>565</v>
      </c>
    </row>
    <row r="1565" spans="1:7" ht="15" customHeight="1" x14ac:dyDescent="0.25">
      <c r="A1565" s="3">
        <v>45650</v>
      </c>
      <c r="B1565" s="4">
        <v>2024003687</v>
      </c>
      <c r="C1565" s="4" t="s">
        <v>843</v>
      </c>
      <c r="D1565" s="5">
        <v>4825000</v>
      </c>
      <c r="E1565" s="4">
        <v>1085321578</v>
      </c>
      <c r="F1565" s="4" t="s">
        <v>275</v>
      </c>
      <c r="G1565" t="s">
        <v>565</v>
      </c>
    </row>
    <row r="1566" spans="1:7" ht="15" customHeight="1" x14ac:dyDescent="0.25">
      <c r="A1566" s="3">
        <v>45650</v>
      </c>
      <c r="B1566" s="4">
        <v>2024003688</v>
      </c>
      <c r="C1566" s="4" t="s">
        <v>725</v>
      </c>
      <c r="D1566" s="5">
        <v>4825000</v>
      </c>
      <c r="E1566" s="4">
        <v>27088141</v>
      </c>
      <c r="F1566" s="4" t="s">
        <v>515</v>
      </c>
      <c r="G1566" t="s">
        <v>565</v>
      </c>
    </row>
    <row r="1567" spans="1:7" ht="15" customHeight="1" x14ac:dyDescent="0.25">
      <c r="A1567" s="3">
        <v>45650</v>
      </c>
      <c r="B1567" s="4">
        <v>2024003689</v>
      </c>
      <c r="C1567" s="4" t="s">
        <v>733</v>
      </c>
      <c r="D1567" s="5">
        <v>3000000</v>
      </c>
      <c r="E1567" s="4">
        <v>1085327677</v>
      </c>
      <c r="F1567" s="4" t="s">
        <v>215</v>
      </c>
      <c r="G1567" t="s">
        <v>565</v>
      </c>
    </row>
    <row r="1568" spans="1:7" ht="15" customHeight="1" x14ac:dyDescent="0.25">
      <c r="A1568" s="3">
        <v>45650</v>
      </c>
      <c r="B1568" s="4">
        <v>2024003690</v>
      </c>
      <c r="C1568" s="4" t="s">
        <v>598</v>
      </c>
      <c r="D1568" s="5">
        <v>90205000</v>
      </c>
      <c r="E1568" s="4">
        <v>90846333</v>
      </c>
      <c r="F1568" s="4" t="s">
        <v>269</v>
      </c>
      <c r="G1568" t="s">
        <v>565</v>
      </c>
    </row>
    <row r="1569" spans="1:7" ht="15" customHeight="1" x14ac:dyDescent="0.25">
      <c r="A1569" s="3">
        <v>45650</v>
      </c>
      <c r="B1569" s="4">
        <v>2024003691</v>
      </c>
      <c r="C1569" s="4" t="s">
        <v>951</v>
      </c>
      <c r="D1569" s="5">
        <v>7540000</v>
      </c>
      <c r="E1569" s="4">
        <v>1085251158</v>
      </c>
      <c r="F1569" s="4" t="s">
        <v>952</v>
      </c>
      <c r="G1569" t="s">
        <v>565</v>
      </c>
    </row>
    <row r="1570" spans="1:7" ht="15" customHeight="1" x14ac:dyDescent="0.25">
      <c r="A1570" s="3">
        <v>45650</v>
      </c>
      <c r="B1570" s="4">
        <v>2024003692</v>
      </c>
      <c r="C1570" s="4" t="s">
        <v>922</v>
      </c>
      <c r="D1570" s="5">
        <v>3000000</v>
      </c>
      <c r="E1570" s="4">
        <v>1193218691</v>
      </c>
      <c r="F1570" s="4" t="s">
        <v>191</v>
      </c>
      <c r="G1570" t="s">
        <v>565</v>
      </c>
    </row>
    <row r="1571" spans="1:7" ht="15" customHeight="1" x14ac:dyDescent="0.25">
      <c r="A1571" s="3">
        <v>45650</v>
      </c>
      <c r="B1571" s="4">
        <v>2024003693</v>
      </c>
      <c r="C1571" s="4" t="s">
        <v>715</v>
      </c>
      <c r="D1571" s="5">
        <v>3000000</v>
      </c>
      <c r="E1571" s="4">
        <v>1085318688</v>
      </c>
      <c r="F1571" s="4" t="s">
        <v>427</v>
      </c>
      <c r="G1571" t="s">
        <v>565</v>
      </c>
    </row>
    <row r="1572" spans="1:7" ht="15" customHeight="1" x14ac:dyDescent="0.25">
      <c r="A1572" s="3">
        <v>45650</v>
      </c>
      <c r="B1572" s="4">
        <v>2024003694</v>
      </c>
      <c r="C1572" s="4" t="s">
        <v>907</v>
      </c>
      <c r="D1572" s="5">
        <v>6000000</v>
      </c>
      <c r="E1572" s="4">
        <v>1004131723</v>
      </c>
      <c r="F1572" s="4" t="s">
        <v>908</v>
      </c>
      <c r="G1572" t="s">
        <v>565</v>
      </c>
    </row>
    <row r="1573" spans="1:7" ht="15" customHeight="1" x14ac:dyDescent="0.25">
      <c r="A1573" s="3">
        <v>45650</v>
      </c>
      <c r="B1573" s="4">
        <v>2024003695</v>
      </c>
      <c r="C1573" s="4" t="s">
        <v>888</v>
      </c>
      <c r="D1573" s="5">
        <v>7540000</v>
      </c>
      <c r="E1573" s="4">
        <v>1233193882</v>
      </c>
      <c r="F1573" s="4" t="s">
        <v>889</v>
      </c>
      <c r="G1573" t="s">
        <v>565</v>
      </c>
    </row>
    <row r="1574" spans="1:7" ht="15" customHeight="1" x14ac:dyDescent="0.25">
      <c r="A1574" s="3">
        <v>45650</v>
      </c>
      <c r="B1574" s="4">
        <v>2024003696</v>
      </c>
      <c r="C1574" s="4" t="s">
        <v>716</v>
      </c>
      <c r="D1574" s="5">
        <v>3000000</v>
      </c>
      <c r="E1574" s="4">
        <v>1085339190</v>
      </c>
      <c r="F1574" s="4" t="s">
        <v>149</v>
      </c>
      <c r="G1574" t="s">
        <v>565</v>
      </c>
    </row>
    <row r="1575" spans="1:7" ht="15" customHeight="1" x14ac:dyDescent="0.25">
      <c r="A1575" s="3">
        <v>45650</v>
      </c>
      <c r="B1575" s="4">
        <v>2024003697</v>
      </c>
      <c r="C1575" s="4" t="s">
        <v>808</v>
      </c>
      <c r="D1575" s="5">
        <v>3000000</v>
      </c>
      <c r="E1575" s="4">
        <v>1085330237</v>
      </c>
      <c r="F1575" s="4" t="s">
        <v>255</v>
      </c>
      <c r="G1575" t="s">
        <v>565</v>
      </c>
    </row>
    <row r="1576" spans="1:7" ht="15" customHeight="1" x14ac:dyDescent="0.25">
      <c r="A1576" s="3">
        <v>45650</v>
      </c>
      <c r="B1576" s="4">
        <v>2024003699</v>
      </c>
      <c r="C1576" s="4" t="s">
        <v>846</v>
      </c>
      <c r="D1576" s="5">
        <v>4825000</v>
      </c>
      <c r="E1576" s="4">
        <v>1085269530</v>
      </c>
      <c r="F1576" s="4" t="s">
        <v>333</v>
      </c>
      <c r="G1576" t="s">
        <v>565</v>
      </c>
    </row>
    <row r="1577" spans="1:7" ht="15" customHeight="1" x14ac:dyDescent="0.25">
      <c r="A1577" s="3">
        <v>45650</v>
      </c>
      <c r="B1577" s="4">
        <v>2024003701</v>
      </c>
      <c r="C1577" s="4" t="s">
        <v>975</v>
      </c>
      <c r="D1577" s="5">
        <v>2500000</v>
      </c>
      <c r="E1577" s="4">
        <v>1085268450</v>
      </c>
      <c r="F1577" s="4" t="s">
        <v>976</v>
      </c>
      <c r="G1577" t="s">
        <v>565</v>
      </c>
    </row>
    <row r="1578" spans="1:7" ht="15" customHeight="1" x14ac:dyDescent="0.25">
      <c r="A1578" s="3">
        <v>45650</v>
      </c>
      <c r="B1578" s="4">
        <v>2024003702</v>
      </c>
      <c r="C1578" s="4" t="s">
        <v>981</v>
      </c>
      <c r="D1578" s="5">
        <v>6000000</v>
      </c>
      <c r="E1578" s="4">
        <v>1233193716</v>
      </c>
      <c r="F1578" s="4" t="s">
        <v>597</v>
      </c>
      <c r="G1578" t="s">
        <v>565</v>
      </c>
    </row>
    <row r="1579" spans="1:7" ht="15" customHeight="1" x14ac:dyDescent="0.25">
      <c r="A1579" s="3">
        <v>45650</v>
      </c>
      <c r="B1579" s="4">
        <v>2024003703</v>
      </c>
      <c r="C1579" s="4" t="s">
        <v>968</v>
      </c>
      <c r="D1579" s="5">
        <v>7540000</v>
      </c>
      <c r="E1579" s="4">
        <v>1085327344</v>
      </c>
      <c r="F1579" s="4" t="s">
        <v>969</v>
      </c>
      <c r="G1579" t="s">
        <v>565</v>
      </c>
    </row>
    <row r="1580" spans="1:7" ht="15" customHeight="1" x14ac:dyDescent="0.25">
      <c r="A1580" s="3">
        <v>45650</v>
      </c>
      <c r="B1580" s="4">
        <v>2024003704</v>
      </c>
      <c r="C1580" s="4" t="s">
        <v>1078</v>
      </c>
      <c r="D1580" s="5">
        <v>195005000</v>
      </c>
      <c r="E1580" s="4">
        <v>900994364</v>
      </c>
      <c r="F1580" s="4" t="s">
        <v>269</v>
      </c>
      <c r="G1580" t="s">
        <v>565</v>
      </c>
    </row>
    <row r="1581" spans="1:7" ht="15" customHeight="1" x14ac:dyDescent="0.25">
      <c r="A1581" s="3">
        <v>45650</v>
      </c>
      <c r="B1581" s="4">
        <v>2024003705</v>
      </c>
      <c r="C1581" s="4" t="s">
        <v>762</v>
      </c>
      <c r="D1581" s="5">
        <v>2500000</v>
      </c>
      <c r="E1581" s="4">
        <v>36757715</v>
      </c>
      <c r="F1581" s="4" t="s">
        <v>313</v>
      </c>
      <c r="G1581" t="s">
        <v>565</v>
      </c>
    </row>
    <row r="1582" spans="1:7" ht="15" customHeight="1" x14ac:dyDescent="0.25">
      <c r="A1582" s="3">
        <v>45650</v>
      </c>
      <c r="B1582" s="4">
        <v>2024003706</v>
      </c>
      <c r="C1582" s="4" t="s">
        <v>1079</v>
      </c>
      <c r="D1582" s="5">
        <v>2500000</v>
      </c>
      <c r="E1582" s="4">
        <v>37083937</v>
      </c>
      <c r="F1582" s="4" t="s">
        <v>1080</v>
      </c>
      <c r="G1582" t="s">
        <v>565</v>
      </c>
    </row>
    <row r="1583" spans="1:7" ht="15" customHeight="1" x14ac:dyDescent="0.25">
      <c r="A1583" s="3">
        <v>45650</v>
      </c>
      <c r="B1583" s="4">
        <v>2024003707</v>
      </c>
      <c r="C1583" s="4" t="s">
        <v>726</v>
      </c>
      <c r="D1583" s="5">
        <v>2500000</v>
      </c>
      <c r="E1583" s="4">
        <v>1085314075</v>
      </c>
      <c r="F1583" s="4" t="s">
        <v>327</v>
      </c>
      <c r="G1583" t="s">
        <v>565</v>
      </c>
    </row>
    <row r="1584" spans="1:7" ht="15" customHeight="1" x14ac:dyDescent="0.25">
      <c r="A1584" s="3">
        <v>45650</v>
      </c>
      <c r="B1584" s="4">
        <v>2024003708</v>
      </c>
      <c r="C1584" s="4" t="s">
        <v>1058</v>
      </c>
      <c r="D1584" s="5">
        <v>4750000</v>
      </c>
      <c r="E1584" s="4">
        <v>1085245714</v>
      </c>
      <c r="F1584" s="4" t="s">
        <v>1059</v>
      </c>
      <c r="G1584" t="s">
        <v>565</v>
      </c>
    </row>
    <row r="1585" spans="1:7" ht="15" customHeight="1" x14ac:dyDescent="0.25">
      <c r="A1585" s="3">
        <v>45650</v>
      </c>
      <c r="B1585" s="4">
        <v>2024003709</v>
      </c>
      <c r="C1585" s="4" t="s">
        <v>719</v>
      </c>
      <c r="D1585" s="5">
        <v>2500000</v>
      </c>
      <c r="E1585" s="4">
        <v>27094521</v>
      </c>
      <c r="F1585" s="4" t="s">
        <v>285</v>
      </c>
      <c r="G1585" t="s">
        <v>565</v>
      </c>
    </row>
    <row r="1586" spans="1:7" ht="15" customHeight="1" x14ac:dyDescent="0.25">
      <c r="A1586" s="3">
        <v>45650</v>
      </c>
      <c r="B1586" s="4">
        <v>2024003711</v>
      </c>
      <c r="C1586" s="4" t="s">
        <v>796</v>
      </c>
      <c r="D1586" s="5">
        <v>3000000</v>
      </c>
      <c r="E1586" s="4">
        <v>59311295</v>
      </c>
      <c r="F1586" s="4" t="s">
        <v>797</v>
      </c>
      <c r="G1586" t="s">
        <v>565</v>
      </c>
    </row>
    <row r="1587" spans="1:7" ht="15" customHeight="1" x14ac:dyDescent="0.25">
      <c r="A1587" s="3">
        <v>45650</v>
      </c>
      <c r="B1587" s="4">
        <v>2024003712</v>
      </c>
      <c r="C1587" s="4" t="s">
        <v>871</v>
      </c>
      <c r="D1587" s="5">
        <v>7540000</v>
      </c>
      <c r="E1587" s="4">
        <v>12961407</v>
      </c>
      <c r="F1587" s="4" t="s">
        <v>309</v>
      </c>
      <c r="G1587" t="s">
        <v>565</v>
      </c>
    </row>
    <row r="1588" spans="1:7" ht="15" customHeight="1" x14ac:dyDescent="0.25">
      <c r="A1588" s="3">
        <v>45650</v>
      </c>
      <c r="B1588" s="4">
        <v>2024003713</v>
      </c>
      <c r="C1588" s="4" t="s">
        <v>975</v>
      </c>
      <c r="D1588" s="5">
        <v>2500000</v>
      </c>
      <c r="E1588" s="4">
        <v>1085268450</v>
      </c>
      <c r="F1588" s="4" t="s">
        <v>976</v>
      </c>
      <c r="G1588" t="s">
        <v>565</v>
      </c>
    </row>
    <row r="1589" spans="1:7" ht="15" customHeight="1" x14ac:dyDescent="0.25">
      <c r="A1589" s="3">
        <v>45650</v>
      </c>
      <c r="B1589" s="4">
        <v>2024003715</v>
      </c>
      <c r="C1589" s="4" t="s">
        <v>892</v>
      </c>
      <c r="D1589" s="5">
        <v>3000000</v>
      </c>
      <c r="E1589" s="4">
        <v>13070330</v>
      </c>
      <c r="F1589" s="4" t="s">
        <v>101</v>
      </c>
      <c r="G1589" t="s">
        <v>565</v>
      </c>
    </row>
    <row r="1590" spans="1:7" ht="15" customHeight="1" x14ac:dyDescent="0.25">
      <c r="A1590" s="3">
        <v>45650</v>
      </c>
      <c r="B1590" s="4">
        <v>2024003716</v>
      </c>
      <c r="C1590" s="4" t="s">
        <v>723</v>
      </c>
      <c r="D1590" s="5">
        <v>3000000</v>
      </c>
      <c r="E1590" s="4">
        <v>1080046034</v>
      </c>
      <c r="F1590" s="4" t="s">
        <v>724</v>
      </c>
      <c r="G1590" t="s">
        <v>565</v>
      </c>
    </row>
    <row r="1591" spans="1:7" ht="15" customHeight="1" x14ac:dyDescent="0.25">
      <c r="A1591" s="3">
        <v>45650</v>
      </c>
      <c r="B1591" s="4">
        <v>2024003717</v>
      </c>
      <c r="C1591" s="4" t="s">
        <v>801</v>
      </c>
      <c r="D1591" s="5">
        <v>2500000</v>
      </c>
      <c r="E1591" s="4">
        <v>12994466</v>
      </c>
      <c r="F1591" s="4" t="s">
        <v>802</v>
      </c>
      <c r="G1591" t="s">
        <v>565</v>
      </c>
    </row>
    <row r="1592" spans="1:7" ht="15" customHeight="1" x14ac:dyDescent="0.25">
      <c r="A1592" s="3">
        <v>45650</v>
      </c>
      <c r="B1592" s="4">
        <v>2024003718</v>
      </c>
      <c r="C1592" s="4" t="s">
        <v>787</v>
      </c>
      <c r="D1592" s="5">
        <v>4750000</v>
      </c>
      <c r="E1592" s="4">
        <v>1085324546</v>
      </c>
      <c r="F1592" s="4" t="s">
        <v>29</v>
      </c>
      <c r="G1592" t="s">
        <v>565</v>
      </c>
    </row>
    <row r="1593" spans="1:7" ht="15" customHeight="1" x14ac:dyDescent="0.25">
      <c r="A1593" s="3">
        <v>45650</v>
      </c>
      <c r="B1593" s="4">
        <v>2024003719</v>
      </c>
      <c r="C1593" s="4" t="s">
        <v>986</v>
      </c>
      <c r="D1593" s="5">
        <v>3000000</v>
      </c>
      <c r="E1593" s="4">
        <v>1086222977</v>
      </c>
      <c r="F1593" s="4" t="s">
        <v>987</v>
      </c>
      <c r="G1593" t="s">
        <v>565</v>
      </c>
    </row>
    <row r="1594" spans="1:7" ht="15" customHeight="1" x14ac:dyDescent="0.25">
      <c r="A1594" s="3">
        <v>45650</v>
      </c>
      <c r="B1594" s="4">
        <v>2024003720</v>
      </c>
      <c r="C1594" s="4" t="s">
        <v>752</v>
      </c>
      <c r="D1594" s="5">
        <v>7540000</v>
      </c>
      <c r="E1594" s="4">
        <v>1233189066</v>
      </c>
      <c r="F1594" s="4" t="s">
        <v>239</v>
      </c>
      <c r="G1594" t="s">
        <v>565</v>
      </c>
    </row>
    <row r="1595" spans="1:7" ht="15" customHeight="1" x14ac:dyDescent="0.25">
      <c r="A1595" s="3">
        <v>45650</v>
      </c>
      <c r="B1595" s="4">
        <v>2024003721</v>
      </c>
      <c r="C1595" s="4" t="s">
        <v>898</v>
      </c>
      <c r="D1595" s="5">
        <v>4750000</v>
      </c>
      <c r="E1595" s="4">
        <v>1085325342</v>
      </c>
      <c r="F1595" s="4" t="s">
        <v>23</v>
      </c>
      <c r="G1595" t="s">
        <v>565</v>
      </c>
    </row>
    <row r="1596" spans="1:7" ht="15" customHeight="1" x14ac:dyDescent="0.25">
      <c r="A1596" s="3">
        <v>45650</v>
      </c>
      <c r="B1596" s="4">
        <v>2024003723</v>
      </c>
      <c r="C1596" s="4" t="s">
        <v>898</v>
      </c>
      <c r="D1596" s="5">
        <v>4750000</v>
      </c>
      <c r="E1596" s="4">
        <v>1085325342</v>
      </c>
      <c r="F1596" s="4" t="s">
        <v>23</v>
      </c>
      <c r="G1596" t="s">
        <v>565</v>
      </c>
    </row>
    <row r="1597" spans="1:7" ht="15" customHeight="1" x14ac:dyDescent="0.25">
      <c r="A1597" s="3">
        <v>45650</v>
      </c>
      <c r="B1597" s="4">
        <v>2024003724</v>
      </c>
      <c r="C1597" s="4" t="s">
        <v>893</v>
      </c>
      <c r="D1597" s="5">
        <v>6000000</v>
      </c>
      <c r="E1597" s="4">
        <v>97470681</v>
      </c>
      <c r="F1597" s="4" t="s">
        <v>329</v>
      </c>
      <c r="G1597" t="s">
        <v>565</v>
      </c>
    </row>
    <row r="1598" spans="1:7" ht="15" customHeight="1" x14ac:dyDescent="0.25">
      <c r="A1598" s="3">
        <v>45650</v>
      </c>
      <c r="B1598" s="4">
        <v>2024003725</v>
      </c>
      <c r="C1598" s="4" t="s">
        <v>988</v>
      </c>
      <c r="D1598" s="5">
        <v>3000000</v>
      </c>
      <c r="E1598" s="4">
        <v>1085255829</v>
      </c>
      <c r="F1598" s="4" t="s">
        <v>989</v>
      </c>
      <c r="G1598" t="s">
        <v>565</v>
      </c>
    </row>
    <row r="1599" spans="1:7" ht="15" customHeight="1" x14ac:dyDescent="0.25">
      <c r="A1599" s="3">
        <v>45650</v>
      </c>
      <c r="B1599" s="4">
        <v>2024003726</v>
      </c>
      <c r="C1599" s="4" t="s">
        <v>736</v>
      </c>
      <c r="D1599" s="5">
        <v>6000000</v>
      </c>
      <c r="E1599" s="4">
        <v>36954410</v>
      </c>
      <c r="F1599" s="4" t="s">
        <v>343</v>
      </c>
      <c r="G1599" t="s">
        <v>565</v>
      </c>
    </row>
    <row r="1600" spans="1:7" ht="15" customHeight="1" x14ac:dyDescent="0.25">
      <c r="A1600" s="3">
        <v>45650</v>
      </c>
      <c r="B1600" s="4">
        <v>2024003732</v>
      </c>
      <c r="C1600" s="4" t="s">
        <v>698</v>
      </c>
      <c r="D1600" s="5">
        <v>2500000</v>
      </c>
      <c r="E1600" s="4">
        <v>36753698</v>
      </c>
      <c r="F1600" s="4" t="s">
        <v>383</v>
      </c>
      <c r="G1600" t="s">
        <v>565</v>
      </c>
    </row>
    <row r="1601" spans="1:7" ht="15" customHeight="1" x14ac:dyDescent="0.25">
      <c r="A1601" s="3">
        <v>45650</v>
      </c>
      <c r="B1601" s="4">
        <v>2024003733</v>
      </c>
      <c r="C1601" s="4" t="s">
        <v>566</v>
      </c>
      <c r="D1601" s="5">
        <v>3000000</v>
      </c>
      <c r="E1601" s="4">
        <v>1193035720</v>
      </c>
      <c r="F1601" s="4" t="s">
        <v>567</v>
      </c>
      <c r="G1601" t="s">
        <v>565</v>
      </c>
    </row>
    <row r="1602" spans="1:7" ht="15" customHeight="1" x14ac:dyDescent="0.25">
      <c r="A1602" s="3">
        <v>45650</v>
      </c>
      <c r="B1602" s="4">
        <v>2024003735</v>
      </c>
      <c r="C1602" s="4" t="s">
        <v>792</v>
      </c>
      <c r="D1602" s="5">
        <v>6000000</v>
      </c>
      <c r="E1602" s="4">
        <v>59588823</v>
      </c>
      <c r="F1602" s="4" t="s">
        <v>793</v>
      </c>
      <c r="G1602" t="s">
        <v>565</v>
      </c>
    </row>
    <row r="1603" spans="1:7" ht="15" customHeight="1" x14ac:dyDescent="0.25">
      <c r="A1603" s="3">
        <v>45650</v>
      </c>
      <c r="B1603" s="4">
        <v>2024003736</v>
      </c>
      <c r="C1603" s="4" t="s">
        <v>930</v>
      </c>
      <c r="D1603" s="5">
        <v>3000000</v>
      </c>
      <c r="E1603" s="4">
        <v>1085322676</v>
      </c>
      <c r="F1603" s="4" t="s">
        <v>931</v>
      </c>
      <c r="G1603" t="s">
        <v>565</v>
      </c>
    </row>
    <row r="1604" spans="1:7" ht="15" customHeight="1" x14ac:dyDescent="0.25">
      <c r="A1604" s="3">
        <v>45650</v>
      </c>
      <c r="B1604" s="4">
        <v>2024003737</v>
      </c>
      <c r="C1604" s="4" t="s">
        <v>1010</v>
      </c>
      <c r="D1604" s="5">
        <v>3000000</v>
      </c>
      <c r="E1604" s="4">
        <v>1004131976</v>
      </c>
      <c r="F1604" s="4" t="s">
        <v>1011</v>
      </c>
      <c r="G1604" t="s">
        <v>565</v>
      </c>
    </row>
    <row r="1605" spans="1:7" ht="15" customHeight="1" x14ac:dyDescent="0.25">
      <c r="A1605" s="3">
        <v>45650</v>
      </c>
      <c r="B1605" s="4">
        <v>2024003738</v>
      </c>
      <c r="C1605" s="4" t="s">
        <v>707</v>
      </c>
      <c r="D1605" s="5">
        <v>3000000</v>
      </c>
      <c r="E1605" s="4">
        <v>1085269090</v>
      </c>
      <c r="F1605" s="4" t="s">
        <v>371</v>
      </c>
      <c r="G1605" t="s">
        <v>565</v>
      </c>
    </row>
    <row r="1606" spans="1:7" ht="15" customHeight="1" x14ac:dyDescent="0.25">
      <c r="A1606" s="3">
        <v>45650</v>
      </c>
      <c r="B1606" s="4">
        <v>2024003739</v>
      </c>
      <c r="C1606" s="4" t="s">
        <v>909</v>
      </c>
      <c r="D1606" s="5">
        <v>7540000</v>
      </c>
      <c r="E1606" s="4">
        <v>1085312978</v>
      </c>
      <c r="F1606" s="4" t="s">
        <v>910</v>
      </c>
      <c r="G1606" t="s">
        <v>565</v>
      </c>
    </row>
    <row r="1607" spans="1:7" ht="15" customHeight="1" x14ac:dyDescent="0.25">
      <c r="A1607" s="3">
        <v>45650</v>
      </c>
      <c r="B1607" s="4">
        <v>2024003740</v>
      </c>
      <c r="C1607" s="4" t="s">
        <v>782</v>
      </c>
      <c r="D1607" s="5">
        <v>3000000</v>
      </c>
      <c r="E1607" s="4">
        <v>59833899</v>
      </c>
      <c r="F1607" s="4" t="s">
        <v>467</v>
      </c>
      <c r="G1607" t="s">
        <v>565</v>
      </c>
    </row>
    <row r="1608" spans="1:7" ht="15" customHeight="1" x14ac:dyDescent="0.25">
      <c r="A1608" s="3">
        <v>45650</v>
      </c>
      <c r="B1608" s="4">
        <v>2024003741</v>
      </c>
      <c r="C1608" s="4" t="s">
        <v>914</v>
      </c>
      <c r="D1608" s="5">
        <v>4750000</v>
      </c>
      <c r="E1608" s="4">
        <v>1018492767</v>
      </c>
      <c r="F1608" s="4" t="s">
        <v>915</v>
      </c>
      <c r="G1608" t="s">
        <v>565</v>
      </c>
    </row>
    <row r="1609" spans="1:7" ht="15" customHeight="1" x14ac:dyDescent="0.25">
      <c r="A1609" s="3">
        <v>45650</v>
      </c>
      <c r="B1609" s="4">
        <v>2024003742</v>
      </c>
      <c r="C1609" s="4" t="s">
        <v>690</v>
      </c>
      <c r="D1609" s="5">
        <v>2500000</v>
      </c>
      <c r="E1609" s="4">
        <v>1081595853</v>
      </c>
      <c r="F1609" s="4" t="s">
        <v>189</v>
      </c>
      <c r="G1609" t="s">
        <v>565</v>
      </c>
    </row>
    <row r="1610" spans="1:7" ht="15" customHeight="1" x14ac:dyDescent="0.25">
      <c r="A1610" s="3">
        <v>45650</v>
      </c>
      <c r="B1610" s="4">
        <v>2024003743</v>
      </c>
      <c r="C1610" s="4" t="s">
        <v>835</v>
      </c>
      <c r="D1610" s="5">
        <v>3000000</v>
      </c>
      <c r="E1610" s="4">
        <v>1081276146</v>
      </c>
      <c r="F1610" s="4" t="s">
        <v>836</v>
      </c>
      <c r="G1610" t="s">
        <v>565</v>
      </c>
    </row>
    <row r="1611" spans="1:7" ht="15" customHeight="1" x14ac:dyDescent="0.25">
      <c r="A1611" s="3">
        <v>45650</v>
      </c>
      <c r="B1611" s="4">
        <v>2024003744</v>
      </c>
      <c r="C1611" s="4" t="s">
        <v>623</v>
      </c>
      <c r="D1611" s="5">
        <v>4750000</v>
      </c>
      <c r="E1611" s="4">
        <v>1085260497</v>
      </c>
      <c r="F1611" s="4" t="s">
        <v>429</v>
      </c>
      <c r="G1611" t="s">
        <v>565</v>
      </c>
    </row>
    <row r="1612" spans="1:7" ht="15" customHeight="1" x14ac:dyDescent="0.25">
      <c r="A1612" s="3">
        <v>45650</v>
      </c>
      <c r="B1612" s="4">
        <v>2024003745</v>
      </c>
      <c r="C1612" s="4" t="s">
        <v>768</v>
      </c>
      <c r="D1612" s="5">
        <v>3000000</v>
      </c>
      <c r="E1612" s="4">
        <v>59314601</v>
      </c>
      <c r="F1612" s="4" t="s">
        <v>71</v>
      </c>
      <c r="G1612" t="s">
        <v>565</v>
      </c>
    </row>
    <row r="1613" spans="1:7" ht="15" customHeight="1" x14ac:dyDescent="0.25">
      <c r="A1613" s="3">
        <v>45650</v>
      </c>
      <c r="B1613" s="4">
        <v>2024003746</v>
      </c>
      <c r="C1613" s="4" t="s">
        <v>936</v>
      </c>
      <c r="D1613" s="5">
        <v>7540000</v>
      </c>
      <c r="E1613" s="4">
        <v>79800150</v>
      </c>
      <c r="F1613" s="4" t="s">
        <v>937</v>
      </c>
      <c r="G1613" t="s">
        <v>565</v>
      </c>
    </row>
    <row r="1614" spans="1:7" ht="15" customHeight="1" x14ac:dyDescent="0.25">
      <c r="A1614" s="3">
        <v>45650</v>
      </c>
      <c r="B1614" s="4">
        <v>2024003747</v>
      </c>
      <c r="C1614" s="4" t="s">
        <v>1028</v>
      </c>
      <c r="D1614" s="5">
        <v>2500000</v>
      </c>
      <c r="E1614" s="4">
        <v>12996869</v>
      </c>
      <c r="F1614" s="4" t="s">
        <v>1029</v>
      </c>
      <c r="G1614" t="s">
        <v>565</v>
      </c>
    </row>
    <row r="1615" spans="1:7" ht="15" customHeight="1" x14ac:dyDescent="0.25">
      <c r="A1615" s="3">
        <v>45650</v>
      </c>
      <c r="B1615" s="4">
        <v>2024003748</v>
      </c>
      <c r="C1615" s="4" t="s">
        <v>627</v>
      </c>
      <c r="D1615" s="5">
        <v>3000000</v>
      </c>
      <c r="E1615" s="4">
        <v>1085271641</v>
      </c>
      <c r="F1615" s="4" t="s">
        <v>251</v>
      </c>
      <c r="G1615" t="s">
        <v>565</v>
      </c>
    </row>
    <row r="1616" spans="1:7" ht="15" customHeight="1" x14ac:dyDescent="0.25">
      <c r="A1616" s="3">
        <v>45650</v>
      </c>
      <c r="B1616" s="4">
        <v>2024003749</v>
      </c>
      <c r="C1616" s="4" t="s">
        <v>1023</v>
      </c>
      <c r="D1616" s="5">
        <v>2500000</v>
      </c>
      <c r="E1616" s="4">
        <v>36757507</v>
      </c>
      <c r="F1616" s="4" t="s">
        <v>1024</v>
      </c>
      <c r="G1616" t="s">
        <v>565</v>
      </c>
    </row>
    <row r="1617" spans="1:7" ht="15" customHeight="1" x14ac:dyDescent="0.25">
      <c r="A1617" s="3">
        <v>45650</v>
      </c>
      <c r="B1617" s="4">
        <v>2024003750</v>
      </c>
      <c r="C1617" s="4" t="s">
        <v>1081</v>
      </c>
      <c r="D1617" s="5">
        <v>4825000</v>
      </c>
      <c r="E1617" s="4">
        <v>1122783646</v>
      </c>
      <c r="F1617" s="4" t="s">
        <v>1082</v>
      </c>
      <c r="G1617" t="s">
        <v>565</v>
      </c>
    </row>
    <row r="1618" spans="1:7" ht="15" customHeight="1" x14ac:dyDescent="0.25">
      <c r="A1618" s="3">
        <v>45650</v>
      </c>
      <c r="B1618" s="4">
        <v>2024003751</v>
      </c>
      <c r="C1618" s="4" t="s">
        <v>1043</v>
      </c>
      <c r="D1618" s="5">
        <v>4825000</v>
      </c>
      <c r="E1618" s="4">
        <v>12983807</v>
      </c>
      <c r="F1618" s="4" t="s">
        <v>299</v>
      </c>
      <c r="G1618" t="s">
        <v>565</v>
      </c>
    </row>
    <row r="1619" spans="1:7" ht="15" customHeight="1" x14ac:dyDescent="0.25">
      <c r="A1619" s="3">
        <v>45650</v>
      </c>
      <c r="B1619" s="4">
        <v>2024003752</v>
      </c>
      <c r="C1619" s="4" t="s">
        <v>790</v>
      </c>
      <c r="D1619" s="5">
        <v>7540000</v>
      </c>
      <c r="E1619" s="4">
        <v>1085329980</v>
      </c>
      <c r="F1619" s="4" t="s">
        <v>791</v>
      </c>
      <c r="G1619" t="s">
        <v>565</v>
      </c>
    </row>
    <row r="1620" spans="1:7" ht="15" customHeight="1" x14ac:dyDescent="0.25">
      <c r="A1620" s="3">
        <v>45650</v>
      </c>
      <c r="B1620" s="4">
        <v>2024003753</v>
      </c>
      <c r="C1620" s="4" t="s">
        <v>882</v>
      </c>
      <c r="D1620" s="5">
        <v>3000000</v>
      </c>
      <c r="E1620" s="4">
        <v>5930737</v>
      </c>
      <c r="F1620" s="4" t="s">
        <v>213</v>
      </c>
      <c r="G1620" t="s">
        <v>565</v>
      </c>
    </row>
    <row r="1621" spans="1:7" ht="15" customHeight="1" x14ac:dyDescent="0.25">
      <c r="A1621" s="3">
        <v>45650</v>
      </c>
      <c r="B1621" s="4">
        <v>2024003754</v>
      </c>
      <c r="C1621" s="4" t="s">
        <v>1081</v>
      </c>
      <c r="D1621" s="5">
        <v>4825000</v>
      </c>
      <c r="E1621" s="4">
        <v>1122783646</v>
      </c>
      <c r="F1621" s="4" t="s">
        <v>1082</v>
      </c>
      <c r="G1621" t="s">
        <v>565</v>
      </c>
    </row>
    <row r="1622" spans="1:7" ht="15" customHeight="1" x14ac:dyDescent="0.25">
      <c r="A1622" s="3">
        <v>45650</v>
      </c>
      <c r="B1622" s="4">
        <v>2024003755</v>
      </c>
      <c r="C1622" s="4" t="s">
        <v>837</v>
      </c>
      <c r="D1622" s="5">
        <v>2500000</v>
      </c>
      <c r="E1622" s="4">
        <v>27309586</v>
      </c>
      <c r="F1622" s="4" t="s">
        <v>345</v>
      </c>
      <c r="G1622" t="s">
        <v>565</v>
      </c>
    </row>
    <row r="1623" spans="1:7" ht="15" customHeight="1" x14ac:dyDescent="0.25">
      <c r="A1623" s="3">
        <v>45650</v>
      </c>
      <c r="B1623" s="4">
        <v>2024003756</v>
      </c>
      <c r="C1623" s="4" t="s">
        <v>1083</v>
      </c>
      <c r="D1623" s="5">
        <v>6000000</v>
      </c>
      <c r="E1623" s="4">
        <v>1085277976</v>
      </c>
      <c r="F1623" s="4" t="s">
        <v>1084</v>
      </c>
      <c r="G1623" t="s">
        <v>565</v>
      </c>
    </row>
    <row r="1624" spans="1:7" ht="15" customHeight="1" x14ac:dyDescent="0.25">
      <c r="A1624" s="3">
        <v>45650</v>
      </c>
      <c r="B1624" s="4">
        <v>2024003757</v>
      </c>
      <c r="C1624" s="4" t="s">
        <v>902</v>
      </c>
      <c r="D1624" s="5">
        <v>3000000</v>
      </c>
      <c r="E1624" s="4">
        <v>1080043348</v>
      </c>
      <c r="F1624" s="4" t="s">
        <v>903</v>
      </c>
      <c r="G1624" t="s">
        <v>565</v>
      </c>
    </row>
    <row r="1625" spans="1:7" ht="15" customHeight="1" x14ac:dyDescent="0.25">
      <c r="A1625" s="3">
        <v>45650</v>
      </c>
      <c r="B1625" s="4">
        <v>2024003758</v>
      </c>
      <c r="C1625" s="4" t="s">
        <v>832</v>
      </c>
      <c r="D1625" s="5">
        <v>3000000</v>
      </c>
      <c r="E1625" s="4">
        <v>59311233</v>
      </c>
      <c r="F1625" s="4" t="s">
        <v>833</v>
      </c>
      <c r="G1625" t="s">
        <v>565</v>
      </c>
    </row>
    <row r="1626" spans="1:7" ht="15" customHeight="1" x14ac:dyDescent="0.25">
      <c r="A1626" s="3">
        <v>45650</v>
      </c>
      <c r="B1626" s="4">
        <v>2024003759</v>
      </c>
      <c r="C1626" s="4" t="s">
        <v>608</v>
      </c>
      <c r="D1626" s="5">
        <v>3000000</v>
      </c>
      <c r="E1626" s="4">
        <v>1085331508</v>
      </c>
      <c r="F1626" s="4" t="s">
        <v>35</v>
      </c>
      <c r="G1626" t="s">
        <v>565</v>
      </c>
    </row>
    <row r="1627" spans="1:7" ht="15" customHeight="1" x14ac:dyDescent="0.25">
      <c r="A1627" s="3">
        <v>45650</v>
      </c>
      <c r="B1627" s="4">
        <v>2024003760</v>
      </c>
      <c r="C1627" s="4" t="s">
        <v>815</v>
      </c>
      <c r="D1627" s="5">
        <v>6000000</v>
      </c>
      <c r="E1627" s="4">
        <v>59836926</v>
      </c>
      <c r="F1627" s="4" t="s">
        <v>311</v>
      </c>
      <c r="G1627" t="s">
        <v>565</v>
      </c>
    </row>
    <row r="1628" spans="1:7" ht="15" customHeight="1" x14ac:dyDescent="0.25">
      <c r="A1628" s="3">
        <v>45650</v>
      </c>
      <c r="B1628" s="4">
        <v>2024003761</v>
      </c>
      <c r="C1628" s="4" t="s">
        <v>641</v>
      </c>
      <c r="D1628" s="5">
        <v>2500000</v>
      </c>
      <c r="E1628" s="4">
        <v>1085251468</v>
      </c>
      <c r="F1628" s="4" t="s">
        <v>303</v>
      </c>
      <c r="G1628" t="s">
        <v>565</v>
      </c>
    </row>
    <row r="1629" spans="1:7" ht="15" customHeight="1" x14ac:dyDescent="0.25">
      <c r="A1629" s="3">
        <v>45650</v>
      </c>
      <c r="B1629" s="4">
        <v>2024003762</v>
      </c>
      <c r="C1629" s="4" t="s">
        <v>800</v>
      </c>
      <c r="D1629" s="5">
        <v>3000000</v>
      </c>
      <c r="E1629" s="4">
        <v>59833702</v>
      </c>
      <c r="F1629" s="4" t="s">
        <v>173</v>
      </c>
      <c r="G1629" t="s">
        <v>565</v>
      </c>
    </row>
    <row r="1630" spans="1:7" ht="15" customHeight="1" x14ac:dyDescent="0.25">
      <c r="A1630" s="3">
        <v>45650</v>
      </c>
      <c r="B1630" s="4">
        <v>2024003763</v>
      </c>
      <c r="C1630" s="4" t="s">
        <v>642</v>
      </c>
      <c r="D1630" s="5">
        <v>6000000</v>
      </c>
      <c r="E1630" s="4">
        <v>1085292185</v>
      </c>
      <c r="F1630" s="4" t="s">
        <v>27</v>
      </c>
      <c r="G1630" t="s">
        <v>565</v>
      </c>
    </row>
    <row r="1631" spans="1:7" ht="15" customHeight="1" x14ac:dyDescent="0.25">
      <c r="A1631" s="3">
        <v>45650</v>
      </c>
      <c r="B1631" s="4">
        <v>2024003764</v>
      </c>
      <c r="C1631" s="4" t="s">
        <v>905</v>
      </c>
      <c r="D1631" s="5">
        <v>3000000</v>
      </c>
      <c r="E1631" s="4">
        <v>1085302942</v>
      </c>
      <c r="F1631" s="4" t="s">
        <v>417</v>
      </c>
      <c r="G1631" t="s">
        <v>565</v>
      </c>
    </row>
    <row r="1632" spans="1:7" ht="15" customHeight="1" x14ac:dyDescent="0.25">
      <c r="A1632" s="3">
        <v>45650</v>
      </c>
      <c r="B1632" s="4">
        <v>2024003765</v>
      </c>
      <c r="C1632" s="4" t="s">
        <v>863</v>
      </c>
      <c r="D1632" s="5">
        <v>7540000</v>
      </c>
      <c r="E1632" s="4">
        <v>1085255870</v>
      </c>
      <c r="F1632" s="4" t="s">
        <v>864</v>
      </c>
      <c r="G1632" t="s">
        <v>565</v>
      </c>
    </row>
    <row r="1633" spans="1:7" ht="15" customHeight="1" x14ac:dyDescent="0.25">
      <c r="A1633" s="3">
        <v>45650</v>
      </c>
      <c r="B1633" s="4">
        <v>2024003766</v>
      </c>
      <c r="C1633" s="4" t="s">
        <v>1050</v>
      </c>
      <c r="D1633" s="5">
        <v>4750000</v>
      </c>
      <c r="E1633" s="4">
        <v>1085313870</v>
      </c>
      <c r="F1633" s="4" t="s">
        <v>513</v>
      </c>
      <c r="G1633" t="s">
        <v>565</v>
      </c>
    </row>
    <row r="1634" spans="1:7" ht="15" customHeight="1" x14ac:dyDescent="0.25">
      <c r="A1634" s="3">
        <v>45650</v>
      </c>
      <c r="B1634" s="4">
        <v>2024003767</v>
      </c>
      <c r="C1634" s="4" t="s">
        <v>865</v>
      </c>
      <c r="D1634" s="5">
        <v>2500000</v>
      </c>
      <c r="E1634" s="4">
        <v>1085281545</v>
      </c>
      <c r="F1634" s="4" t="s">
        <v>866</v>
      </c>
      <c r="G1634" t="s">
        <v>565</v>
      </c>
    </row>
    <row r="1635" spans="1:7" ht="15" customHeight="1" x14ac:dyDescent="0.25">
      <c r="A1635" s="3">
        <v>45650</v>
      </c>
      <c r="B1635" s="4">
        <v>2024003768</v>
      </c>
      <c r="C1635" s="4" t="s">
        <v>629</v>
      </c>
      <c r="D1635" s="5">
        <v>2500000</v>
      </c>
      <c r="E1635" s="4">
        <v>27211504</v>
      </c>
      <c r="F1635" s="4" t="s">
        <v>203</v>
      </c>
      <c r="G1635" t="s">
        <v>565</v>
      </c>
    </row>
    <row r="1636" spans="1:7" ht="15" customHeight="1" x14ac:dyDescent="0.25">
      <c r="A1636" s="3">
        <v>45650</v>
      </c>
      <c r="B1636" s="4">
        <v>2024003769</v>
      </c>
      <c r="C1636" s="4" t="s">
        <v>1069</v>
      </c>
      <c r="D1636" s="5">
        <v>7540000</v>
      </c>
      <c r="E1636" s="4">
        <v>10859376713</v>
      </c>
      <c r="F1636" s="4" t="s">
        <v>1070</v>
      </c>
      <c r="G1636" t="s">
        <v>565</v>
      </c>
    </row>
    <row r="1637" spans="1:7" ht="15" customHeight="1" x14ac:dyDescent="0.25">
      <c r="A1637" s="3">
        <v>45650</v>
      </c>
      <c r="B1637" s="4">
        <v>2024003770</v>
      </c>
      <c r="C1637" s="4" t="s">
        <v>813</v>
      </c>
      <c r="D1637" s="5">
        <v>6000000</v>
      </c>
      <c r="E1637" s="4">
        <v>1131085780</v>
      </c>
      <c r="F1637" s="4" t="s">
        <v>814</v>
      </c>
      <c r="G1637" t="s">
        <v>565</v>
      </c>
    </row>
    <row r="1638" spans="1:7" ht="15" customHeight="1" x14ac:dyDescent="0.25">
      <c r="A1638" s="3">
        <v>45650</v>
      </c>
      <c r="B1638" s="4">
        <v>2024003771</v>
      </c>
      <c r="C1638" s="4" t="s">
        <v>840</v>
      </c>
      <c r="D1638" s="5">
        <v>3000000</v>
      </c>
      <c r="E1638" s="4">
        <v>1233188273</v>
      </c>
      <c r="F1638" s="4" t="s">
        <v>473</v>
      </c>
      <c r="G1638" t="s">
        <v>565</v>
      </c>
    </row>
    <row r="1639" spans="1:7" ht="15" customHeight="1" x14ac:dyDescent="0.25">
      <c r="A1639" s="3">
        <v>45650</v>
      </c>
      <c r="B1639" s="4">
        <v>2024003772</v>
      </c>
      <c r="C1639" s="4" t="s">
        <v>1037</v>
      </c>
      <c r="D1639" s="5">
        <v>4750000</v>
      </c>
      <c r="E1639" s="4">
        <v>1085325540</v>
      </c>
      <c r="F1639" s="4" t="s">
        <v>1038</v>
      </c>
      <c r="G1639" t="s">
        <v>565</v>
      </c>
    </row>
    <row r="1640" spans="1:7" ht="15" customHeight="1" x14ac:dyDescent="0.25">
      <c r="A1640" s="3">
        <v>45650</v>
      </c>
      <c r="B1640" s="4">
        <v>2024003773</v>
      </c>
      <c r="C1640" s="4" t="s">
        <v>717</v>
      </c>
      <c r="D1640" s="5">
        <v>3000000</v>
      </c>
      <c r="E1640" s="4">
        <v>1007403454</v>
      </c>
      <c r="F1640" s="4" t="s">
        <v>718</v>
      </c>
      <c r="G1640" t="s">
        <v>565</v>
      </c>
    </row>
    <row r="1641" spans="1:7" ht="15" customHeight="1" x14ac:dyDescent="0.25">
      <c r="A1641" s="3">
        <v>45650</v>
      </c>
      <c r="B1641" s="4">
        <v>2024003774</v>
      </c>
      <c r="C1641" s="4" t="s">
        <v>1025</v>
      </c>
      <c r="D1641" s="5">
        <v>3000000</v>
      </c>
      <c r="E1641" s="4">
        <v>37083324</v>
      </c>
      <c r="F1641" s="4" t="s">
        <v>485</v>
      </c>
      <c r="G1641" t="s">
        <v>565</v>
      </c>
    </row>
    <row r="1642" spans="1:7" ht="15" customHeight="1" x14ac:dyDescent="0.25">
      <c r="A1642" s="3">
        <v>45650</v>
      </c>
      <c r="B1642" s="4">
        <v>2024003775</v>
      </c>
      <c r="C1642" s="4" t="s">
        <v>817</v>
      </c>
      <c r="D1642" s="5">
        <v>3000000</v>
      </c>
      <c r="E1642" s="4">
        <v>1085252263</v>
      </c>
      <c r="F1642" s="4" t="s">
        <v>33</v>
      </c>
      <c r="G1642" t="s">
        <v>565</v>
      </c>
    </row>
    <row r="1643" spans="1:7" ht="15" customHeight="1" x14ac:dyDescent="0.25">
      <c r="A1643" s="3">
        <v>45650</v>
      </c>
      <c r="B1643" s="4">
        <v>2024003776</v>
      </c>
      <c r="C1643" s="4" t="s">
        <v>1036</v>
      </c>
      <c r="D1643" s="5">
        <v>3000000</v>
      </c>
      <c r="E1643" s="4">
        <v>27388522</v>
      </c>
      <c r="F1643" s="4" t="s">
        <v>525</v>
      </c>
      <c r="G1643" t="s">
        <v>565</v>
      </c>
    </row>
    <row r="1644" spans="1:7" ht="15" customHeight="1" x14ac:dyDescent="0.25">
      <c r="A1644" s="3">
        <v>45650</v>
      </c>
      <c r="B1644" s="4">
        <v>2024003777</v>
      </c>
      <c r="C1644" s="4" t="s">
        <v>850</v>
      </c>
      <c r="D1644" s="5">
        <v>3000000</v>
      </c>
      <c r="E1644" s="4">
        <v>1004215136</v>
      </c>
      <c r="F1644" s="4" t="s">
        <v>413</v>
      </c>
      <c r="G1644" t="s">
        <v>565</v>
      </c>
    </row>
    <row r="1645" spans="1:7" ht="15" customHeight="1" x14ac:dyDescent="0.25">
      <c r="A1645" s="3">
        <v>45650</v>
      </c>
      <c r="B1645" s="4">
        <v>2024003778</v>
      </c>
      <c r="C1645" s="4" t="s">
        <v>848</v>
      </c>
      <c r="D1645" s="5">
        <v>3000000</v>
      </c>
      <c r="E1645" s="4">
        <v>1004299312</v>
      </c>
      <c r="F1645" s="4" t="s">
        <v>849</v>
      </c>
      <c r="G1645" t="s">
        <v>565</v>
      </c>
    </row>
    <row r="1646" spans="1:7" ht="15" customHeight="1" x14ac:dyDescent="0.25">
      <c r="A1646" s="3">
        <v>45650</v>
      </c>
      <c r="B1646" s="4">
        <v>2024003779</v>
      </c>
      <c r="C1646" s="4" t="s">
        <v>825</v>
      </c>
      <c r="D1646" s="5">
        <v>3000000</v>
      </c>
      <c r="E1646" s="4">
        <v>1085313463</v>
      </c>
      <c r="F1646" s="4" t="s">
        <v>331</v>
      </c>
      <c r="G1646" t="s">
        <v>565</v>
      </c>
    </row>
    <row r="1647" spans="1:7" ht="15" customHeight="1" x14ac:dyDescent="0.25">
      <c r="A1647" s="3">
        <v>45650</v>
      </c>
      <c r="B1647" s="4">
        <v>2024003780</v>
      </c>
      <c r="C1647" s="4" t="s">
        <v>1048</v>
      </c>
      <c r="D1647" s="5">
        <v>2500000</v>
      </c>
      <c r="E1647" s="4">
        <v>1085324252</v>
      </c>
      <c r="F1647" s="4" t="s">
        <v>1049</v>
      </c>
      <c r="G1647" t="s">
        <v>565</v>
      </c>
    </row>
    <row r="1648" spans="1:7" ht="15" customHeight="1" x14ac:dyDescent="0.25">
      <c r="A1648" s="3">
        <v>45650</v>
      </c>
      <c r="B1648" s="4">
        <v>2024003781</v>
      </c>
      <c r="C1648" s="4" t="s">
        <v>807</v>
      </c>
      <c r="D1648" s="5">
        <v>2500000</v>
      </c>
      <c r="E1648" s="4">
        <v>37087268</v>
      </c>
      <c r="F1648" s="4" t="s">
        <v>257</v>
      </c>
      <c r="G1648" t="s">
        <v>565</v>
      </c>
    </row>
    <row r="1649" spans="1:7" ht="15" customHeight="1" x14ac:dyDescent="0.25">
      <c r="A1649" s="3">
        <v>45650</v>
      </c>
      <c r="B1649" s="4">
        <v>2024003782</v>
      </c>
      <c r="C1649" s="4" t="s">
        <v>993</v>
      </c>
      <c r="D1649" s="5">
        <v>3000000</v>
      </c>
      <c r="E1649" s="4">
        <v>1004508436</v>
      </c>
      <c r="F1649" s="4" t="s">
        <v>367</v>
      </c>
      <c r="G1649" t="s">
        <v>565</v>
      </c>
    </row>
    <row r="1650" spans="1:7" ht="15" customHeight="1" x14ac:dyDescent="0.25">
      <c r="A1650" s="3">
        <v>45650</v>
      </c>
      <c r="B1650" s="4">
        <v>2024003783</v>
      </c>
      <c r="C1650" s="4" t="s">
        <v>1032</v>
      </c>
      <c r="D1650" s="5">
        <v>3000000</v>
      </c>
      <c r="E1650" s="4">
        <v>1004598784</v>
      </c>
      <c r="F1650" s="4" t="s">
        <v>552</v>
      </c>
      <c r="G1650" t="s">
        <v>565</v>
      </c>
    </row>
    <row r="1651" spans="1:7" ht="15" customHeight="1" x14ac:dyDescent="0.25">
      <c r="A1651" s="3">
        <v>45650</v>
      </c>
      <c r="B1651" s="4">
        <v>2024003784</v>
      </c>
      <c r="C1651" s="4" t="s">
        <v>628</v>
      </c>
      <c r="D1651" s="5">
        <v>3000000</v>
      </c>
      <c r="E1651" s="4">
        <v>1192717330</v>
      </c>
      <c r="F1651" s="4" t="s">
        <v>277</v>
      </c>
      <c r="G1651" t="s">
        <v>565</v>
      </c>
    </row>
    <row r="1652" spans="1:7" ht="15" customHeight="1" x14ac:dyDescent="0.25">
      <c r="A1652" s="3">
        <v>45650</v>
      </c>
      <c r="B1652" s="4">
        <v>2024003785</v>
      </c>
      <c r="C1652" s="4" t="s">
        <v>901</v>
      </c>
      <c r="D1652" s="5">
        <v>3000000</v>
      </c>
      <c r="E1652" s="4">
        <v>1004235479</v>
      </c>
      <c r="F1652" s="4" t="s">
        <v>477</v>
      </c>
      <c r="G1652" t="s">
        <v>565</v>
      </c>
    </row>
    <row r="1653" spans="1:7" ht="15" customHeight="1" x14ac:dyDescent="0.25">
      <c r="A1653" s="3">
        <v>45650</v>
      </c>
      <c r="B1653" s="4">
        <v>2024003786</v>
      </c>
      <c r="C1653" s="4" t="s">
        <v>838</v>
      </c>
      <c r="D1653" s="5">
        <v>3000000</v>
      </c>
      <c r="E1653" s="4">
        <v>59310433</v>
      </c>
      <c r="F1653" s="4" t="s">
        <v>839</v>
      </c>
      <c r="G1653" t="s">
        <v>565</v>
      </c>
    </row>
    <row r="1654" spans="1:7" ht="15" customHeight="1" x14ac:dyDescent="0.25">
      <c r="A1654" s="3">
        <v>45652</v>
      </c>
      <c r="B1654" s="4">
        <v>2024003787</v>
      </c>
      <c r="C1654" s="4" t="s">
        <v>613</v>
      </c>
      <c r="D1654" s="5">
        <v>6000000</v>
      </c>
      <c r="E1654" s="4">
        <v>1085313872</v>
      </c>
      <c r="F1654" s="4" t="s">
        <v>614</v>
      </c>
      <c r="G1654" t="s">
        <v>565</v>
      </c>
    </row>
    <row r="1655" spans="1:7" ht="15" customHeight="1" x14ac:dyDescent="0.25">
      <c r="A1655" s="3">
        <v>45652</v>
      </c>
      <c r="B1655" s="4">
        <v>2024003788</v>
      </c>
      <c r="C1655" s="4" t="s">
        <v>824</v>
      </c>
      <c r="D1655" s="5">
        <v>4825000</v>
      </c>
      <c r="E1655" s="4">
        <v>1085321943</v>
      </c>
      <c r="F1655" s="4" t="s">
        <v>363</v>
      </c>
      <c r="G1655" t="s">
        <v>565</v>
      </c>
    </row>
    <row r="1656" spans="1:7" ht="15" customHeight="1" x14ac:dyDescent="0.25">
      <c r="A1656" s="3">
        <v>45652</v>
      </c>
      <c r="B1656" s="4">
        <v>2024003789</v>
      </c>
      <c r="C1656" s="4" t="s">
        <v>823</v>
      </c>
      <c r="D1656" s="5">
        <v>4750000</v>
      </c>
      <c r="E1656" s="4">
        <v>59312865</v>
      </c>
      <c r="F1656" s="4" t="s">
        <v>127</v>
      </c>
      <c r="G1656" t="s">
        <v>565</v>
      </c>
    </row>
    <row r="1657" spans="1:7" ht="15" customHeight="1" x14ac:dyDescent="0.25">
      <c r="A1657" s="3">
        <v>45652</v>
      </c>
      <c r="B1657" s="4">
        <v>2024003790</v>
      </c>
      <c r="C1657" s="4" t="s">
        <v>697</v>
      </c>
      <c r="D1657" s="5">
        <v>7540000</v>
      </c>
      <c r="E1657" s="4">
        <v>37087120</v>
      </c>
      <c r="F1657" s="4" t="s">
        <v>159</v>
      </c>
      <c r="G1657" t="s">
        <v>565</v>
      </c>
    </row>
    <row r="1658" spans="1:7" ht="15" customHeight="1" x14ac:dyDescent="0.25">
      <c r="A1658" s="3">
        <v>45652</v>
      </c>
      <c r="B1658" s="4">
        <v>2024003791</v>
      </c>
      <c r="C1658" s="4" t="s">
        <v>728</v>
      </c>
      <c r="D1658" s="5">
        <v>3000000</v>
      </c>
      <c r="E1658" s="4">
        <v>1010113730</v>
      </c>
      <c r="F1658" s="4" t="s">
        <v>219</v>
      </c>
      <c r="G1658" t="s">
        <v>565</v>
      </c>
    </row>
    <row r="1659" spans="1:7" ht="15" customHeight="1" x14ac:dyDescent="0.25">
      <c r="A1659" s="3">
        <v>45652</v>
      </c>
      <c r="B1659" s="4">
        <v>2024003792</v>
      </c>
      <c r="C1659" s="4" t="s">
        <v>880</v>
      </c>
      <c r="D1659" s="5">
        <v>3000000</v>
      </c>
      <c r="E1659" s="4">
        <v>1085323101</v>
      </c>
      <c r="F1659" s="4" t="s">
        <v>73</v>
      </c>
      <c r="G1659" t="s">
        <v>565</v>
      </c>
    </row>
    <row r="1660" spans="1:7" ht="15" customHeight="1" x14ac:dyDescent="0.25">
      <c r="A1660" s="3">
        <v>45652</v>
      </c>
      <c r="B1660" s="4">
        <v>2024003793</v>
      </c>
      <c r="C1660" s="4" t="s">
        <v>603</v>
      </c>
      <c r="D1660" s="5">
        <v>6000000</v>
      </c>
      <c r="E1660" s="4">
        <v>1085286476</v>
      </c>
      <c r="F1660" s="4" t="s">
        <v>385</v>
      </c>
      <c r="G1660" t="s">
        <v>565</v>
      </c>
    </row>
    <row r="1661" spans="1:7" ht="15" customHeight="1" x14ac:dyDescent="0.25">
      <c r="A1661" s="3">
        <v>45652</v>
      </c>
      <c r="B1661" s="4">
        <v>2024003794</v>
      </c>
      <c r="C1661" s="4" t="s">
        <v>798</v>
      </c>
      <c r="D1661" s="5">
        <v>6000000</v>
      </c>
      <c r="E1661" s="4">
        <v>27109314</v>
      </c>
      <c r="F1661" s="4" t="s">
        <v>217</v>
      </c>
      <c r="G1661" t="s">
        <v>565</v>
      </c>
    </row>
    <row r="1662" spans="1:7" ht="15" customHeight="1" x14ac:dyDescent="0.25">
      <c r="A1662" s="3">
        <v>45652</v>
      </c>
      <c r="B1662" s="4">
        <v>2024003795</v>
      </c>
      <c r="C1662" s="4" t="s">
        <v>812</v>
      </c>
      <c r="D1662" s="5">
        <v>4750000</v>
      </c>
      <c r="E1662" s="4">
        <v>59816986</v>
      </c>
      <c r="F1662" s="4" t="s">
        <v>415</v>
      </c>
      <c r="G1662" t="s">
        <v>565</v>
      </c>
    </row>
    <row r="1663" spans="1:7" ht="15" customHeight="1" x14ac:dyDescent="0.25">
      <c r="A1663" s="3">
        <v>45652</v>
      </c>
      <c r="B1663" s="4">
        <v>2024003796</v>
      </c>
      <c r="C1663" s="4" t="s">
        <v>606</v>
      </c>
      <c r="D1663" s="5">
        <v>3000000</v>
      </c>
      <c r="E1663" s="4">
        <v>1088799034</v>
      </c>
      <c r="F1663" s="4" t="s">
        <v>81</v>
      </c>
      <c r="G1663" t="s">
        <v>565</v>
      </c>
    </row>
    <row r="1664" spans="1:7" ht="15" customHeight="1" x14ac:dyDescent="0.25">
      <c r="A1664" s="3">
        <v>45652</v>
      </c>
      <c r="B1664" s="4">
        <v>2024003797</v>
      </c>
      <c r="C1664" s="4" t="s">
        <v>755</v>
      </c>
      <c r="D1664" s="5">
        <v>3000000</v>
      </c>
      <c r="E1664" s="4">
        <v>1085347540</v>
      </c>
      <c r="F1664" s="4" t="s">
        <v>321</v>
      </c>
      <c r="G1664" t="s">
        <v>565</v>
      </c>
    </row>
    <row r="1665" spans="1:7" ht="15" customHeight="1" x14ac:dyDescent="0.25">
      <c r="A1665" s="3">
        <v>45652</v>
      </c>
      <c r="B1665" s="4">
        <v>2024003798</v>
      </c>
      <c r="C1665" s="4" t="s">
        <v>632</v>
      </c>
      <c r="D1665" s="5">
        <v>6000000</v>
      </c>
      <c r="E1665" s="4">
        <v>36951002</v>
      </c>
      <c r="F1665" s="4" t="s">
        <v>125</v>
      </c>
      <c r="G1665" t="s">
        <v>565</v>
      </c>
    </row>
    <row r="1666" spans="1:7" ht="15" customHeight="1" x14ac:dyDescent="0.25">
      <c r="A1666" s="3">
        <v>45652</v>
      </c>
      <c r="B1666" s="4">
        <v>2024003799</v>
      </c>
      <c r="C1666" s="4" t="s">
        <v>607</v>
      </c>
      <c r="D1666" s="5">
        <v>3000000</v>
      </c>
      <c r="E1666" s="4">
        <v>1085295383</v>
      </c>
      <c r="F1666" s="4" t="s">
        <v>139</v>
      </c>
      <c r="G1666" t="s">
        <v>565</v>
      </c>
    </row>
    <row r="1667" spans="1:7" ht="15" customHeight="1" x14ac:dyDescent="0.25">
      <c r="A1667" s="3">
        <v>45652</v>
      </c>
      <c r="B1667" s="4">
        <v>2024003801</v>
      </c>
      <c r="C1667" s="4" t="s">
        <v>604</v>
      </c>
      <c r="D1667" s="5">
        <v>7540000</v>
      </c>
      <c r="E1667" s="4">
        <v>1085336362</v>
      </c>
      <c r="F1667" s="4" t="s">
        <v>41</v>
      </c>
      <c r="G1667" t="s">
        <v>565</v>
      </c>
    </row>
    <row r="1668" spans="1:7" ht="15" customHeight="1" x14ac:dyDescent="0.25">
      <c r="A1668" s="3">
        <v>45652</v>
      </c>
      <c r="B1668" s="4">
        <v>2024003803</v>
      </c>
      <c r="C1668" s="4" t="s">
        <v>626</v>
      </c>
      <c r="D1668" s="5">
        <v>4825000</v>
      </c>
      <c r="E1668" s="4">
        <v>1085338534</v>
      </c>
      <c r="F1668" s="4" t="s">
        <v>15</v>
      </c>
      <c r="G1668" t="s">
        <v>565</v>
      </c>
    </row>
    <row r="1669" spans="1:7" ht="15" customHeight="1" x14ac:dyDescent="0.25">
      <c r="A1669" s="3">
        <v>45652</v>
      </c>
      <c r="B1669" s="4">
        <v>2024003805</v>
      </c>
      <c r="C1669" s="4" t="s">
        <v>602</v>
      </c>
      <c r="D1669" s="5">
        <v>7540000</v>
      </c>
      <c r="E1669" s="4">
        <v>1151934571</v>
      </c>
      <c r="F1669" s="4" t="s">
        <v>137</v>
      </c>
      <c r="G1669" t="s">
        <v>565</v>
      </c>
    </row>
    <row r="1670" spans="1:7" ht="15" customHeight="1" x14ac:dyDescent="0.25">
      <c r="A1670" s="3">
        <v>45652</v>
      </c>
      <c r="B1670" s="4">
        <v>2024003806</v>
      </c>
      <c r="C1670" s="4" t="s">
        <v>831</v>
      </c>
      <c r="D1670" s="5">
        <v>3000000</v>
      </c>
      <c r="E1670" s="4">
        <v>27087122</v>
      </c>
      <c r="F1670" s="4" t="s">
        <v>37</v>
      </c>
      <c r="G1670" t="s">
        <v>565</v>
      </c>
    </row>
    <row r="1671" spans="1:7" ht="15" customHeight="1" x14ac:dyDescent="0.25">
      <c r="A1671" s="3">
        <v>45652</v>
      </c>
      <c r="B1671" s="4">
        <v>2024003807</v>
      </c>
      <c r="C1671" s="4" t="s">
        <v>959</v>
      </c>
      <c r="D1671" s="5">
        <v>3000000</v>
      </c>
      <c r="E1671" s="4">
        <v>1085286725</v>
      </c>
      <c r="F1671" s="4" t="s">
        <v>111</v>
      </c>
      <c r="G1671" t="s">
        <v>565</v>
      </c>
    </row>
    <row r="1672" spans="1:7" ht="15" customHeight="1" x14ac:dyDescent="0.25">
      <c r="A1672" s="3">
        <v>45652</v>
      </c>
      <c r="B1672" s="4">
        <v>2024003808</v>
      </c>
      <c r="C1672" s="4" t="s">
        <v>601</v>
      </c>
      <c r="D1672" s="5">
        <v>6000000</v>
      </c>
      <c r="E1672" s="4">
        <v>27097289</v>
      </c>
      <c r="F1672" s="4" t="s">
        <v>49</v>
      </c>
      <c r="G1672" t="s">
        <v>565</v>
      </c>
    </row>
    <row r="1673" spans="1:7" ht="15" customHeight="1" x14ac:dyDescent="0.25">
      <c r="A1673" s="3">
        <v>45652</v>
      </c>
      <c r="B1673" s="4">
        <v>2024003809</v>
      </c>
      <c r="C1673" s="4" t="s">
        <v>795</v>
      </c>
      <c r="D1673" s="5">
        <v>3000000</v>
      </c>
      <c r="E1673" s="4">
        <v>1007356378</v>
      </c>
      <c r="F1673" s="4" t="s">
        <v>45</v>
      </c>
      <c r="G1673" t="s">
        <v>565</v>
      </c>
    </row>
    <row r="1674" spans="1:7" ht="15" customHeight="1" x14ac:dyDescent="0.25">
      <c r="A1674" s="3">
        <v>45652</v>
      </c>
      <c r="B1674" s="4">
        <v>2024003810</v>
      </c>
      <c r="C1674" s="4" t="s">
        <v>869</v>
      </c>
      <c r="D1674" s="5">
        <v>3000000</v>
      </c>
      <c r="E1674" s="4">
        <v>1004410201</v>
      </c>
      <c r="F1674" s="4" t="s">
        <v>403</v>
      </c>
      <c r="G1674" t="s">
        <v>565</v>
      </c>
    </row>
    <row r="1675" spans="1:7" ht="15" customHeight="1" x14ac:dyDescent="0.25">
      <c r="A1675" s="3">
        <v>45652</v>
      </c>
      <c r="B1675" s="4">
        <v>2024003811</v>
      </c>
      <c r="C1675" s="4" t="s">
        <v>911</v>
      </c>
      <c r="D1675" s="5">
        <v>2500000</v>
      </c>
      <c r="E1675" s="4">
        <v>13072447</v>
      </c>
      <c r="F1675" s="4" t="s">
        <v>205</v>
      </c>
      <c r="G1675" t="s">
        <v>565</v>
      </c>
    </row>
    <row r="1676" spans="1:7" ht="15" customHeight="1" x14ac:dyDescent="0.25">
      <c r="A1676" s="3">
        <v>45652</v>
      </c>
      <c r="B1676" s="4">
        <v>2024003812</v>
      </c>
      <c r="C1676" s="4" t="s">
        <v>1018</v>
      </c>
      <c r="D1676" s="5">
        <v>2500000</v>
      </c>
      <c r="E1676" s="4">
        <v>1081052090</v>
      </c>
      <c r="F1676" s="4" t="s">
        <v>319</v>
      </c>
      <c r="G1676" t="s">
        <v>565</v>
      </c>
    </row>
    <row r="1677" spans="1:7" ht="15" customHeight="1" x14ac:dyDescent="0.25">
      <c r="A1677" s="3">
        <v>45652</v>
      </c>
      <c r="B1677" s="4">
        <v>2024003813</v>
      </c>
      <c r="C1677" s="4" t="s">
        <v>812</v>
      </c>
      <c r="D1677" s="5">
        <v>4750000</v>
      </c>
      <c r="E1677" s="4">
        <v>59816986</v>
      </c>
      <c r="F1677" s="4" t="s">
        <v>415</v>
      </c>
      <c r="G1677" t="s">
        <v>565</v>
      </c>
    </row>
    <row r="1678" spans="1:7" ht="15" customHeight="1" x14ac:dyDescent="0.25">
      <c r="A1678" s="3">
        <v>45652</v>
      </c>
      <c r="B1678" s="4">
        <v>2024003814</v>
      </c>
      <c r="C1678" s="4" t="s">
        <v>1019</v>
      </c>
      <c r="D1678" s="5">
        <v>2499900</v>
      </c>
      <c r="E1678" s="4">
        <v>12990231</v>
      </c>
      <c r="F1678" s="4" t="s">
        <v>1020</v>
      </c>
      <c r="G1678" t="s">
        <v>565</v>
      </c>
    </row>
    <row r="1679" spans="1:7" ht="15" customHeight="1" x14ac:dyDescent="0.25">
      <c r="A1679" s="3">
        <v>45652</v>
      </c>
      <c r="B1679" s="4">
        <v>2024003815</v>
      </c>
      <c r="C1679" s="4" t="s">
        <v>780</v>
      </c>
      <c r="D1679" s="5">
        <v>4825000</v>
      </c>
      <c r="E1679" s="4">
        <v>1085311814</v>
      </c>
      <c r="F1679" s="4" t="s">
        <v>781</v>
      </c>
      <c r="G1679" t="s">
        <v>565</v>
      </c>
    </row>
    <row r="1680" spans="1:7" ht="15" customHeight="1" x14ac:dyDescent="0.25">
      <c r="A1680" s="3">
        <v>45652</v>
      </c>
      <c r="B1680" s="4">
        <v>2024003816</v>
      </c>
      <c r="C1680" s="4" t="s">
        <v>1014</v>
      </c>
      <c r="D1680" s="5">
        <v>2500000</v>
      </c>
      <c r="E1680" s="4">
        <v>30736949</v>
      </c>
      <c r="F1680" s="4" t="s">
        <v>557</v>
      </c>
      <c r="G1680" t="s">
        <v>565</v>
      </c>
    </row>
    <row r="1681" spans="1:7" ht="15" customHeight="1" x14ac:dyDescent="0.25">
      <c r="A1681" s="3">
        <v>45652</v>
      </c>
      <c r="B1681" s="4">
        <v>2024003817</v>
      </c>
      <c r="C1681" s="4" t="s">
        <v>605</v>
      </c>
      <c r="D1681" s="5">
        <v>3000000</v>
      </c>
      <c r="E1681" s="4">
        <v>1085326198</v>
      </c>
      <c r="F1681" s="4" t="s">
        <v>79</v>
      </c>
      <c r="G1681" t="s">
        <v>565</v>
      </c>
    </row>
    <row r="1682" spans="1:7" ht="15" customHeight="1" x14ac:dyDescent="0.25">
      <c r="A1682" s="3">
        <v>45652</v>
      </c>
      <c r="B1682" s="4">
        <v>2024003818</v>
      </c>
      <c r="C1682" s="4" t="s">
        <v>712</v>
      </c>
      <c r="D1682" s="5">
        <v>7540000</v>
      </c>
      <c r="E1682" s="4">
        <v>1233192708</v>
      </c>
      <c r="F1682" s="4" t="s">
        <v>591</v>
      </c>
      <c r="G1682" t="s">
        <v>565</v>
      </c>
    </row>
    <row r="1683" spans="1:7" ht="15" customHeight="1" x14ac:dyDescent="0.25">
      <c r="A1683" s="3">
        <v>45652</v>
      </c>
      <c r="B1683" s="4">
        <v>2024003819</v>
      </c>
      <c r="C1683" s="4" t="s">
        <v>997</v>
      </c>
      <c r="D1683" s="5">
        <v>4750000</v>
      </c>
      <c r="E1683" s="4">
        <v>1085264667</v>
      </c>
      <c r="F1683" s="4" t="s">
        <v>464</v>
      </c>
      <c r="G1683" t="s">
        <v>565</v>
      </c>
    </row>
    <row r="1684" spans="1:7" ht="15" customHeight="1" x14ac:dyDescent="0.25">
      <c r="A1684" s="3">
        <v>45652</v>
      </c>
      <c r="B1684" s="4">
        <v>2024003820</v>
      </c>
      <c r="C1684" s="4" t="s">
        <v>819</v>
      </c>
      <c r="D1684" s="5">
        <v>4825000</v>
      </c>
      <c r="E1684" s="4">
        <v>1081595485</v>
      </c>
      <c r="F1684" s="4" t="s">
        <v>820</v>
      </c>
      <c r="G1684" t="s">
        <v>565</v>
      </c>
    </row>
    <row r="1685" spans="1:7" ht="15" customHeight="1" x14ac:dyDescent="0.25">
      <c r="A1685" s="3">
        <v>45652</v>
      </c>
      <c r="B1685" s="1">
        <v>2024003821</v>
      </c>
      <c r="C1685" s="1" t="s">
        <v>439</v>
      </c>
      <c r="D1685" s="5">
        <v>4825000</v>
      </c>
      <c r="E1685" s="1">
        <v>1088730712</v>
      </c>
      <c r="F1685" s="1" t="s">
        <v>295</v>
      </c>
      <c r="G1685" s="1" t="s">
        <v>9</v>
      </c>
    </row>
    <row r="1686" spans="1:7" ht="15" customHeight="1" x14ac:dyDescent="0.25">
      <c r="A1686" s="3">
        <v>45652</v>
      </c>
      <c r="B1686" s="4">
        <v>2024003822</v>
      </c>
      <c r="C1686" s="4" t="s">
        <v>996</v>
      </c>
      <c r="D1686" s="5">
        <v>3000000</v>
      </c>
      <c r="E1686" s="4">
        <v>98391531</v>
      </c>
      <c r="F1686" s="4" t="s">
        <v>499</v>
      </c>
      <c r="G1686" t="s">
        <v>565</v>
      </c>
    </row>
    <row r="1687" spans="1:7" ht="15" customHeight="1" x14ac:dyDescent="0.25">
      <c r="A1687" s="3">
        <v>45652</v>
      </c>
      <c r="B1687" s="4">
        <v>2024003823</v>
      </c>
      <c r="C1687" s="4" t="s">
        <v>757</v>
      </c>
      <c r="D1687" s="5">
        <v>3000000</v>
      </c>
      <c r="E1687" s="4">
        <v>1085309422</v>
      </c>
      <c r="F1687" s="4" t="s">
        <v>758</v>
      </c>
      <c r="G1687" t="s">
        <v>565</v>
      </c>
    </row>
    <row r="1688" spans="1:7" ht="15" customHeight="1" x14ac:dyDescent="0.25">
      <c r="A1688" s="3">
        <v>45652</v>
      </c>
      <c r="B1688" s="4">
        <v>2024003824</v>
      </c>
      <c r="C1688" s="4" t="s">
        <v>753</v>
      </c>
      <c r="D1688" s="5">
        <v>3000000</v>
      </c>
      <c r="E1688" s="4">
        <v>1085272140</v>
      </c>
      <c r="F1688" s="4" t="s">
        <v>754</v>
      </c>
      <c r="G1688" t="s">
        <v>565</v>
      </c>
    </row>
    <row r="1689" spans="1:7" ht="15" customHeight="1" x14ac:dyDescent="0.25">
      <c r="A1689" s="3">
        <v>45652</v>
      </c>
      <c r="B1689" s="4">
        <v>2024003826</v>
      </c>
      <c r="C1689" s="4" t="s">
        <v>799</v>
      </c>
      <c r="D1689" s="5">
        <v>2500000</v>
      </c>
      <c r="E1689" s="4">
        <v>1085320930</v>
      </c>
      <c r="F1689" s="4" t="s">
        <v>259</v>
      </c>
      <c r="G1689" t="s">
        <v>565</v>
      </c>
    </row>
    <row r="1690" spans="1:7" ht="15" customHeight="1" x14ac:dyDescent="0.25">
      <c r="A1690" s="3">
        <v>45652</v>
      </c>
      <c r="B1690" s="4">
        <v>2024003827</v>
      </c>
      <c r="C1690" s="4" t="s">
        <v>624</v>
      </c>
      <c r="D1690" s="5">
        <v>4825000</v>
      </c>
      <c r="E1690" s="4">
        <v>37082349</v>
      </c>
      <c r="F1690" s="4" t="s">
        <v>377</v>
      </c>
      <c r="G1690" t="s">
        <v>565</v>
      </c>
    </row>
    <row r="1691" spans="1:7" ht="15" customHeight="1" x14ac:dyDescent="0.25">
      <c r="A1691" s="3">
        <v>45652</v>
      </c>
      <c r="B1691" s="4">
        <v>2024003828</v>
      </c>
      <c r="C1691" s="4" t="s">
        <v>1017</v>
      </c>
      <c r="D1691" s="5">
        <v>6283000</v>
      </c>
      <c r="E1691" s="4">
        <v>1193279435</v>
      </c>
      <c r="F1691" s="4" t="s">
        <v>435</v>
      </c>
      <c r="G1691" t="s">
        <v>565</v>
      </c>
    </row>
    <row r="1692" spans="1:7" ht="15" customHeight="1" x14ac:dyDescent="0.25">
      <c r="A1692" s="3">
        <v>45652</v>
      </c>
      <c r="B1692" s="4">
        <v>2024003829</v>
      </c>
      <c r="C1692" s="4" t="s">
        <v>740</v>
      </c>
      <c r="D1692" s="5">
        <v>6000000</v>
      </c>
      <c r="E1692" s="4">
        <v>37013610</v>
      </c>
      <c r="F1692" s="4" t="s">
        <v>25</v>
      </c>
      <c r="G1692" t="s">
        <v>565</v>
      </c>
    </row>
    <row r="1693" spans="1:7" ht="15" customHeight="1" x14ac:dyDescent="0.25">
      <c r="A1693" s="3">
        <v>45652</v>
      </c>
      <c r="B1693" s="4">
        <v>2024003830</v>
      </c>
      <c r="C1693" s="4" t="s">
        <v>1085</v>
      </c>
      <c r="D1693" s="5">
        <v>500000</v>
      </c>
      <c r="E1693" s="4">
        <v>1080690337</v>
      </c>
      <c r="F1693" s="4" t="s">
        <v>1086</v>
      </c>
      <c r="G1693" t="s">
        <v>565</v>
      </c>
    </row>
    <row r="1694" spans="1:7" ht="15" customHeight="1" x14ac:dyDescent="0.25">
      <c r="A1694" s="3">
        <v>45652</v>
      </c>
      <c r="B1694" s="4">
        <v>2024003831</v>
      </c>
      <c r="C1694" s="4" t="s">
        <v>1085</v>
      </c>
      <c r="D1694" s="5">
        <v>3000000</v>
      </c>
      <c r="E1694" s="4">
        <v>1080690337</v>
      </c>
      <c r="F1694" s="4" t="s">
        <v>1086</v>
      </c>
      <c r="G1694" t="s">
        <v>565</v>
      </c>
    </row>
    <row r="1695" spans="1:7" ht="15" customHeight="1" x14ac:dyDescent="0.25">
      <c r="A1695" s="3">
        <v>45652</v>
      </c>
      <c r="B1695" s="4">
        <v>2024003833</v>
      </c>
      <c r="C1695" s="4" t="s">
        <v>872</v>
      </c>
      <c r="D1695" s="5">
        <v>3000000</v>
      </c>
      <c r="E1695" s="4">
        <v>1085250095</v>
      </c>
      <c r="F1695" s="4" t="s">
        <v>179</v>
      </c>
      <c r="G1695" t="s">
        <v>565</v>
      </c>
    </row>
    <row r="1696" spans="1:7" ht="15" customHeight="1" x14ac:dyDescent="0.25">
      <c r="A1696" s="3">
        <v>45652</v>
      </c>
      <c r="B1696" s="4">
        <v>2024003834</v>
      </c>
      <c r="C1696" s="4" t="s">
        <v>917</v>
      </c>
      <c r="D1696" s="5">
        <v>7540000</v>
      </c>
      <c r="E1696" s="4">
        <v>87940284</v>
      </c>
      <c r="F1696" s="4" t="s">
        <v>918</v>
      </c>
      <c r="G1696" t="s">
        <v>565</v>
      </c>
    </row>
    <row r="1697" spans="1:7" ht="15" customHeight="1" x14ac:dyDescent="0.25">
      <c r="A1697" s="3">
        <v>45652</v>
      </c>
      <c r="B1697" s="4">
        <v>2024003836</v>
      </c>
      <c r="C1697" s="4" t="s">
        <v>904</v>
      </c>
      <c r="D1697" s="5">
        <v>3000000</v>
      </c>
      <c r="E1697" s="4">
        <v>1193224810</v>
      </c>
      <c r="F1697" s="4" t="s">
        <v>409</v>
      </c>
      <c r="G1697" t="s">
        <v>565</v>
      </c>
    </row>
    <row r="1698" spans="1:7" ht="15" customHeight="1" x14ac:dyDescent="0.25">
      <c r="A1698" s="3">
        <v>45652</v>
      </c>
      <c r="B1698" s="4">
        <v>2024003837</v>
      </c>
      <c r="C1698" s="4" t="s">
        <v>999</v>
      </c>
      <c r="D1698" s="5">
        <v>3000000</v>
      </c>
      <c r="E1698" s="4">
        <v>59313539</v>
      </c>
      <c r="F1698" s="4" t="s">
        <v>1000</v>
      </c>
      <c r="G1698" t="s">
        <v>565</v>
      </c>
    </row>
    <row r="1699" spans="1:7" ht="15" customHeight="1" x14ac:dyDescent="0.25">
      <c r="A1699" s="3">
        <v>45652</v>
      </c>
      <c r="B1699" s="4">
        <v>2024003838</v>
      </c>
      <c r="C1699" s="4" t="s">
        <v>1026</v>
      </c>
      <c r="D1699" s="5">
        <v>2500000</v>
      </c>
      <c r="E1699" s="4">
        <v>1085254615</v>
      </c>
      <c r="F1699" s="4" t="s">
        <v>1027</v>
      </c>
      <c r="G1699" t="s">
        <v>565</v>
      </c>
    </row>
    <row r="1700" spans="1:7" ht="15" customHeight="1" x14ac:dyDescent="0.25">
      <c r="A1700" s="3">
        <v>45652</v>
      </c>
      <c r="B1700" s="4">
        <v>2024003839</v>
      </c>
      <c r="C1700" s="4" t="s">
        <v>827</v>
      </c>
      <c r="D1700" s="5">
        <v>6000000</v>
      </c>
      <c r="E1700" s="4">
        <v>27097745</v>
      </c>
      <c r="F1700" s="4" t="s">
        <v>828</v>
      </c>
      <c r="G1700" t="s">
        <v>565</v>
      </c>
    </row>
    <row r="1701" spans="1:7" ht="15" customHeight="1" x14ac:dyDescent="0.25">
      <c r="A1701" s="3">
        <v>45652</v>
      </c>
      <c r="B1701" s="4">
        <v>2024003840</v>
      </c>
      <c r="C1701" s="4" t="s">
        <v>878</v>
      </c>
      <c r="D1701" s="5">
        <v>3000000</v>
      </c>
      <c r="E1701" s="4">
        <v>1085338575</v>
      </c>
      <c r="F1701" s="4" t="s">
        <v>227</v>
      </c>
      <c r="G1701" t="s">
        <v>565</v>
      </c>
    </row>
    <row r="1702" spans="1:7" ht="15" customHeight="1" x14ac:dyDescent="0.25">
      <c r="A1702" s="3">
        <v>45652</v>
      </c>
      <c r="B1702" s="4">
        <v>2024003841</v>
      </c>
      <c r="C1702" s="4" t="s">
        <v>899</v>
      </c>
      <c r="D1702" s="5">
        <v>4750000</v>
      </c>
      <c r="E1702" s="4">
        <v>36950073</v>
      </c>
      <c r="F1702" s="4" t="s">
        <v>900</v>
      </c>
      <c r="G1702" t="s">
        <v>565</v>
      </c>
    </row>
    <row r="1703" spans="1:7" ht="15" customHeight="1" x14ac:dyDescent="0.25">
      <c r="A1703" s="3">
        <v>45652</v>
      </c>
      <c r="B1703" s="4">
        <v>2024003843</v>
      </c>
      <c r="C1703" s="4" t="s">
        <v>821</v>
      </c>
      <c r="D1703" s="5">
        <v>3000000</v>
      </c>
      <c r="E1703" s="4">
        <v>1085255972</v>
      </c>
      <c r="F1703" s="4" t="s">
        <v>147</v>
      </c>
      <c r="G1703" t="s">
        <v>565</v>
      </c>
    </row>
    <row r="1704" spans="1:7" ht="15" customHeight="1" x14ac:dyDescent="0.25">
      <c r="A1704" s="3">
        <v>45652</v>
      </c>
      <c r="B1704" s="4">
        <v>2024003844</v>
      </c>
      <c r="C1704" s="4" t="s">
        <v>841</v>
      </c>
      <c r="D1704" s="5">
        <v>4825000</v>
      </c>
      <c r="E1704" s="4">
        <v>1085265622</v>
      </c>
      <c r="F1704" s="4" t="s">
        <v>460</v>
      </c>
      <c r="G1704" t="s">
        <v>565</v>
      </c>
    </row>
    <row r="1705" spans="1:7" ht="15" customHeight="1" x14ac:dyDescent="0.25">
      <c r="A1705" s="3">
        <v>45652</v>
      </c>
      <c r="B1705" s="4">
        <v>2024003845</v>
      </c>
      <c r="C1705" s="4" t="s">
        <v>877</v>
      </c>
      <c r="D1705" s="5">
        <v>3000000</v>
      </c>
      <c r="E1705" s="4">
        <v>87070661</v>
      </c>
      <c r="F1705" s="4" t="s">
        <v>185</v>
      </c>
      <c r="G1705" t="s">
        <v>565</v>
      </c>
    </row>
    <row r="1706" spans="1:7" ht="15" customHeight="1" x14ac:dyDescent="0.25">
      <c r="A1706" s="3">
        <v>45652</v>
      </c>
      <c r="B1706" s="4">
        <v>2024003846</v>
      </c>
      <c r="C1706" s="4" t="s">
        <v>703</v>
      </c>
      <c r="D1706" s="5">
        <v>3000000</v>
      </c>
      <c r="E1706" s="4">
        <v>1233191675</v>
      </c>
      <c r="F1706" s="4" t="s">
        <v>523</v>
      </c>
      <c r="G1706" t="s">
        <v>565</v>
      </c>
    </row>
    <row r="1707" spans="1:7" ht="15" customHeight="1" x14ac:dyDescent="0.25">
      <c r="A1707" s="3">
        <v>45652</v>
      </c>
      <c r="B1707" s="4">
        <v>2024003848</v>
      </c>
      <c r="C1707" s="4" t="s">
        <v>1001</v>
      </c>
      <c r="D1707" s="5">
        <v>3000000</v>
      </c>
      <c r="E1707" s="4">
        <v>1081053820</v>
      </c>
      <c r="F1707" s="4" t="s">
        <v>431</v>
      </c>
      <c r="G1707" t="s">
        <v>565</v>
      </c>
    </row>
    <row r="1708" spans="1:7" ht="15" customHeight="1" x14ac:dyDescent="0.25">
      <c r="A1708" s="3">
        <v>45652</v>
      </c>
      <c r="B1708" s="4">
        <v>2024003849</v>
      </c>
      <c r="C1708" s="4" t="s">
        <v>977</v>
      </c>
      <c r="D1708" s="5">
        <v>4825000</v>
      </c>
      <c r="E1708" s="4">
        <v>59177204</v>
      </c>
      <c r="F1708" s="4" t="s">
        <v>978</v>
      </c>
      <c r="G1708" t="s">
        <v>565</v>
      </c>
    </row>
    <row r="1709" spans="1:7" ht="15" customHeight="1" x14ac:dyDescent="0.25">
      <c r="A1709" s="3">
        <v>45652</v>
      </c>
      <c r="B1709" s="4">
        <v>2024003850</v>
      </c>
      <c r="C1709" s="4" t="s">
        <v>666</v>
      </c>
      <c r="D1709" s="5">
        <v>2500000</v>
      </c>
      <c r="E1709" s="4">
        <v>12974849</v>
      </c>
      <c r="F1709" s="4" t="s">
        <v>51</v>
      </c>
      <c r="G1709" t="s">
        <v>565</v>
      </c>
    </row>
    <row r="1710" spans="1:7" ht="15" customHeight="1" x14ac:dyDescent="0.25">
      <c r="A1710" s="3">
        <v>45652</v>
      </c>
      <c r="B1710" s="4">
        <v>2024003851</v>
      </c>
      <c r="C1710" s="4" t="s">
        <v>625</v>
      </c>
      <c r="D1710" s="5">
        <v>4750000</v>
      </c>
      <c r="E1710" s="4">
        <v>1085263018</v>
      </c>
      <c r="F1710" s="4" t="s">
        <v>91</v>
      </c>
      <c r="G1710" t="s">
        <v>565</v>
      </c>
    </row>
    <row r="1711" spans="1:7" ht="15" customHeight="1" x14ac:dyDescent="0.25">
      <c r="A1711" s="3">
        <v>45652</v>
      </c>
      <c r="B1711" s="4">
        <v>2024003852</v>
      </c>
      <c r="C1711" s="4" t="s">
        <v>935</v>
      </c>
      <c r="D1711" s="5">
        <v>3000000</v>
      </c>
      <c r="E1711" s="4">
        <v>59828916</v>
      </c>
      <c r="F1711" s="4" t="s">
        <v>181</v>
      </c>
      <c r="G1711" t="s">
        <v>565</v>
      </c>
    </row>
    <row r="1712" spans="1:7" ht="15" customHeight="1" x14ac:dyDescent="0.25">
      <c r="A1712" s="3">
        <v>45652</v>
      </c>
      <c r="B1712" s="4">
        <v>2024003854</v>
      </c>
      <c r="C1712" s="4" t="s">
        <v>879</v>
      </c>
      <c r="D1712" s="5">
        <v>2500000</v>
      </c>
      <c r="E1712" s="4">
        <v>30737741</v>
      </c>
      <c r="F1712" s="4" t="s">
        <v>199</v>
      </c>
      <c r="G1712" t="s">
        <v>565</v>
      </c>
    </row>
    <row r="1713" spans="1:7" ht="15" customHeight="1" x14ac:dyDescent="0.25">
      <c r="A1713" s="3">
        <v>45652</v>
      </c>
      <c r="B1713" s="4">
        <v>2024003855</v>
      </c>
      <c r="C1713" s="4" t="s">
        <v>881</v>
      </c>
      <c r="D1713" s="5">
        <v>4750000</v>
      </c>
      <c r="E1713" s="4">
        <v>1085318684</v>
      </c>
      <c r="F1713" s="4" t="s">
        <v>355</v>
      </c>
      <c r="G1713" t="s">
        <v>565</v>
      </c>
    </row>
    <row r="1714" spans="1:7" ht="15" customHeight="1" x14ac:dyDescent="0.25">
      <c r="A1714" s="3">
        <v>45652</v>
      </c>
      <c r="B1714" s="4">
        <v>2024003856</v>
      </c>
      <c r="C1714" s="4" t="s">
        <v>949</v>
      </c>
      <c r="D1714" s="5">
        <v>3000000</v>
      </c>
      <c r="E1714" s="4">
        <v>1081272318</v>
      </c>
      <c r="F1714" s="4" t="s">
        <v>950</v>
      </c>
      <c r="G1714" t="s">
        <v>565</v>
      </c>
    </row>
    <row r="1715" spans="1:7" ht="15" customHeight="1" x14ac:dyDescent="0.25">
      <c r="A1715" s="3">
        <v>45652</v>
      </c>
      <c r="B1715" s="4">
        <v>2024003857</v>
      </c>
      <c r="C1715" s="4" t="s">
        <v>998</v>
      </c>
      <c r="D1715" s="5">
        <v>2500000</v>
      </c>
      <c r="E1715" s="4">
        <v>1085318898</v>
      </c>
      <c r="F1715" s="4" t="s">
        <v>517</v>
      </c>
      <c r="G1715" t="s">
        <v>565</v>
      </c>
    </row>
    <row r="1716" spans="1:7" ht="15" customHeight="1" x14ac:dyDescent="0.25">
      <c r="A1716" s="3">
        <v>45652</v>
      </c>
      <c r="B1716" s="4">
        <v>2024003858</v>
      </c>
      <c r="C1716" s="4" t="s">
        <v>873</v>
      </c>
      <c r="D1716" s="5">
        <v>4750000</v>
      </c>
      <c r="E1716" s="4">
        <v>1085318201</v>
      </c>
      <c r="F1716" s="4" t="s">
        <v>235</v>
      </c>
      <c r="G1716" t="s">
        <v>565</v>
      </c>
    </row>
    <row r="1717" spans="1:7" ht="15" customHeight="1" x14ac:dyDescent="0.25">
      <c r="A1717" s="3">
        <v>45652</v>
      </c>
      <c r="B1717" s="4">
        <v>2024003859</v>
      </c>
      <c r="C1717" s="4" t="s">
        <v>1087</v>
      </c>
      <c r="D1717" s="5">
        <v>2691100</v>
      </c>
      <c r="E1717" s="4">
        <v>59830379</v>
      </c>
      <c r="F1717" s="4" t="s">
        <v>1088</v>
      </c>
      <c r="G1717" t="s">
        <v>565</v>
      </c>
    </row>
    <row r="1718" spans="1:7" ht="15" customHeight="1" x14ac:dyDescent="0.25">
      <c r="A1718" s="3">
        <v>45652</v>
      </c>
      <c r="B1718" s="4">
        <v>2024003860</v>
      </c>
      <c r="C1718" s="4" t="s">
        <v>826</v>
      </c>
      <c r="D1718" s="5">
        <v>2500000</v>
      </c>
      <c r="E1718" s="4">
        <v>59311646</v>
      </c>
      <c r="F1718" s="4" t="s">
        <v>373</v>
      </c>
      <c r="G1718" t="s">
        <v>565</v>
      </c>
    </row>
    <row r="1719" spans="1:7" ht="15" customHeight="1" x14ac:dyDescent="0.25">
      <c r="A1719" s="3">
        <v>45652</v>
      </c>
      <c r="B1719" s="4">
        <v>2024003861</v>
      </c>
      <c r="C1719" s="4" t="s">
        <v>873</v>
      </c>
      <c r="D1719" s="5">
        <v>4750000</v>
      </c>
      <c r="E1719" s="4">
        <v>1085318201</v>
      </c>
      <c r="F1719" s="4" t="s">
        <v>235</v>
      </c>
      <c r="G1719" t="s">
        <v>565</v>
      </c>
    </row>
    <row r="1720" spans="1:7" ht="15" customHeight="1" x14ac:dyDescent="0.25">
      <c r="A1720" s="3">
        <v>45652</v>
      </c>
      <c r="B1720" s="4">
        <v>2024003862</v>
      </c>
      <c r="C1720" s="4" t="s">
        <v>1021</v>
      </c>
      <c r="D1720" s="5">
        <v>4825000</v>
      </c>
      <c r="E1720" s="4">
        <v>1085319572</v>
      </c>
      <c r="F1720" s="4" t="s">
        <v>1022</v>
      </c>
      <c r="G1720" t="s">
        <v>565</v>
      </c>
    </row>
    <row r="1721" spans="1:7" ht="15" customHeight="1" x14ac:dyDescent="0.25">
      <c r="A1721" s="3">
        <v>45652</v>
      </c>
      <c r="B1721" s="4">
        <v>2024003863</v>
      </c>
      <c r="C1721" s="4" t="s">
        <v>1087</v>
      </c>
      <c r="D1721" s="5">
        <v>4750000</v>
      </c>
      <c r="E1721" s="4">
        <v>59830379</v>
      </c>
      <c r="F1721" s="4" t="s">
        <v>1088</v>
      </c>
      <c r="G1721" t="s">
        <v>565</v>
      </c>
    </row>
    <row r="1722" spans="1:7" ht="15" customHeight="1" x14ac:dyDescent="0.25">
      <c r="A1722" s="3">
        <v>45652</v>
      </c>
      <c r="B1722" s="4">
        <v>2024003864</v>
      </c>
      <c r="C1722" s="4" t="s">
        <v>938</v>
      </c>
      <c r="D1722" s="5">
        <v>4825000</v>
      </c>
      <c r="E1722" s="4">
        <v>52048780</v>
      </c>
      <c r="F1722" s="4" t="s">
        <v>939</v>
      </c>
      <c r="G1722" t="s">
        <v>565</v>
      </c>
    </row>
    <row r="1723" spans="1:7" ht="15" customHeight="1" x14ac:dyDescent="0.25">
      <c r="A1723" s="3">
        <v>45652</v>
      </c>
      <c r="B1723" s="4">
        <v>2024003865</v>
      </c>
      <c r="C1723" s="4" t="s">
        <v>925</v>
      </c>
      <c r="D1723" s="5">
        <v>4825000</v>
      </c>
      <c r="E1723" s="4">
        <v>1004508471</v>
      </c>
      <c r="F1723" s="4" t="s">
        <v>926</v>
      </c>
      <c r="G1723" t="s">
        <v>565</v>
      </c>
    </row>
    <row r="1724" spans="1:7" ht="15" customHeight="1" x14ac:dyDescent="0.25">
      <c r="A1724" s="3">
        <v>45653</v>
      </c>
      <c r="B1724" s="4">
        <v>2024003935</v>
      </c>
      <c r="C1724" s="4" t="s">
        <v>1051</v>
      </c>
      <c r="D1724" s="5">
        <v>4750000</v>
      </c>
      <c r="E1724" s="4">
        <v>1085334685</v>
      </c>
      <c r="F1724" s="4" t="s">
        <v>1052</v>
      </c>
      <c r="G1724" t="s">
        <v>565</v>
      </c>
    </row>
    <row r="1725" spans="1:7" ht="15" customHeight="1" x14ac:dyDescent="0.25">
      <c r="A1725" s="3">
        <v>45653</v>
      </c>
      <c r="B1725" s="4">
        <v>2024003936</v>
      </c>
      <c r="C1725" s="4" t="s">
        <v>1061</v>
      </c>
      <c r="D1725" s="5">
        <v>6000000</v>
      </c>
      <c r="E1725" s="4">
        <v>1084228089</v>
      </c>
      <c r="F1725" s="4" t="s">
        <v>1062</v>
      </c>
      <c r="G1725" t="s">
        <v>565</v>
      </c>
    </row>
    <row r="1726" spans="1:7" ht="15" customHeight="1" x14ac:dyDescent="0.25">
      <c r="A1726" s="3">
        <v>45653</v>
      </c>
      <c r="B1726" s="4">
        <v>2024003938</v>
      </c>
      <c r="C1726" s="4" t="s">
        <v>984</v>
      </c>
      <c r="D1726" s="5">
        <v>4825000</v>
      </c>
      <c r="E1726" s="4">
        <v>59835376</v>
      </c>
      <c r="F1726" s="4" t="s">
        <v>985</v>
      </c>
      <c r="G1726" t="s">
        <v>565</v>
      </c>
    </row>
    <row r="1727" spans="1:7" ht="15" customHeight="1" x14ac:dyDescent="0.25">
      <c r="A1727" s="3">
        <v>45653</v>
      </c>
      <c r="B1727" s="4">
        <v>2024003939</v>
      </c>
      <c r="C1727" s="4" t="s">
        <v>906</v>
      </c>
      <c r="D1727" s="5">
        <v>3000000</v>
      </c>
      <c r="E1727" s="4">
        <v>1004216993</v>
      </c>
      <c r="F1727" s="4" t="s">
        <v>511</v>
      </c>
      <c r="G1727" t="s">
        <v>565</v>
      </c>
    </row>
    <row r="1728" spans="1:7" ht="15" customHeight="1" x14ac:dyDescent="0.25">
      <c r="A1728" s="3">
        <v>45653</v>
      </c>
      <c r="B1728" s="4">
        <v>2024003942</v>
      </c>
      <c r="C1728" s="4" t="s">
        <v>1089</v>
      </c>
      <c r="D1728" s="5">
        <v>20049120</v>
      </c>
      <c r="E1728" s="4">
        <v>900441119</v>
      </c>
      <c r="F1728" s="4" t="s">
        <v>652</v>
      </c>
      <c r="G1728" t="s">
        <v>565</v>
      </c>
    </row>
    <row r="1729" spans="1:7" ht="15" customHeight="1" x14ac:dyDescent="0.25">
      <c r="A1729" s="3">
        <v>45653</v>
      </c>
      <c r="B1729" s="4">
        <v>2024003943</v>
      </c>
      <c r="C1729" s="4" t="s">
        <v>1090</v>
      </c>
      <c r="D1729" s="5">
        <v>33001556</v>
      </c>
      <c r="E1729" s="4">
        <v>12746875</v>
      </c>
      <c r="F1729" s="4" t="s">
        <v>1091</v>
      </c>
      <c r="G1729" t="s">
        <v>565</v>
      </c>
    </row>
    <row r="1730" spans="1:7" ht="15" customHeight="1" x14ac:dyDescent="0.25">
      <c r="A1730" s="3">
        <v>45653</v>
      </c>
      <c r="B1730" s="4">
        <v>2024003944</v>
      </c>
      <c r="C1730" s="4" t="s">
        <v>1092</v>
      </c>
      <c r="D1730" s="5">
        <v>25704000</v>
      </c>
      <c r="E1730" s="4">
        <v>830004892</v>
      </c>
      <c r="F1730" s="4" t="s">
        <v>616</v>
      </c>
      <c r="G1730" t="s">
        <v>565</v>
      </c>
    </row>
    <row r="1731" spans="1:7" ht="15" customHeight="1" x14ac:dyDescent="0.25">
      <c r="A1731" s="3">
        <v>45656</v>
      </c>
      <c r="B1731" s="4">
        <v>2024003959</v>
      </c>
      <c r="C1731" s="4" t="s">
        <v>637</v>
      </c>
      <c r="D1731" s="5">
        <v>122800000</v>
      </c>
      <c r="E1731" s="4">
        <v>900633448</v>
      </c>
      <c r="F1731" s="4" t="s">
        <v>165</v>
      </c>
      <c r="G1731" t="s">
        <v>565</v>
      </c>
    </row>
    <row r="1732" spans="1:7" ht="15" customHeight="1" x14ac:dyDescent="0.25">
      <c r="A1732" s="3">
        <v>45656</v>
      </c>
      <c r="B1732" s="4">
        <v>2024003960</v>
      </c>
      <c r="C1732" s="4" t="s">
        <v>644</v>
      </c>
      <c r="D1732" s="5">
        <v>61371100</v>
      </c>
      <c r="E1732" s="4">
        <v>900633448</v>
      </c>
      <c r="F1732" s="4" t="s">
        <v>165</v>
      </c>
      <c r="G1732" t="s">
        <v>565</v>
      </c>
    </row>
    <row r="1733" spans="1:7" ht="15" customHeight="1" x14ac:dyDescent="0.25">
      <c r="A1733" s="3">
        <v>45656</v>
      </c>
      <c r="B1733" s="4">
        <v>2024003961</v>
      </c>
      <c r="C1733" s="4" t="s">
        <v>636</v>
      </c>
      <c r="D1733" s="5">
        <v>43950000</v>
      </c>
      <c r="E1733" s="4">
        <v>900633448</v>
      </c>
      <c r="F1733" s="4" t="s">
        <v>165</v>
      </c>
      <c r="G1733" t="s">
        <v>565</v>
      </c>
    </row>
    <row r="1734" spans="1:7" ht="15" customHeight="1" x14ac:dyDescent="0.25">
      <c r="A1734" s="3">
        <v>45656</v>
      </c>
      <c r="B1734" s="4">
        <v>2024003962</v>
      </c>
      <c r="C1734" s="4" t="s">
        <v>635</v>
      </c>
      <c r="D1734" s="5">
        <v>50900000</v>
      </c>
      <c r="E1734" s="4">
        <v>900633448</v>
      </c>
      <c r="F1734" s="4" t="s">
        <v>165</v>
      </c>
      <c r="G1734" t="s">
        <v>565</v>
      </c>
    </row>
    <row r="1735" spans="1:7" ht="15" customHeight="1" x14ac:dyDescent="0.25">
      <c r="A1735" s="2">
        <v>45735</v>
      </c>
      <c r="B1735">
        <v>2025000317</v>
      </c>
      <c r="C1735" t="s">
        <v>564</v>
      </c>
      <c r="D1735" s="11">
        <v>2000000</v>
      </c>
      <c r="E1735">
        <v>1085324107</v>
      </c>
      <c r="F1735" t="s">
        <v>381</v>
      </c>
      <c r="G1735" t="s">
        <v>565</v>
      </c>
    </row>
    <row r="1736" spans="1:7" ht="15" customHeight="1" x14ac:dyDescent="0.25">
      <c r="A1736" s="2">
        <v>45736</v>
      </c>
      <c r="B1736">
        <v>2025000374</v>
      </c>
      <c r="C1736" t="s">
        <v>566</v>
      </c>
      <c r="D1736" s="11">
        <v>3000000</v>
      </c>
      <c r="E1736">
        <v>1193035720</v>
      </c>
      <c r="F1736" t="s">
        <v>567</v>
      </c>
      <c r="G1736" t="s">
        <v>565</v>
      </c>
    </row>
    <row r="1737" spans="1:7" ht="15" customHeight="1" x14ac:dyDescent="0.25">
      <c r="A1737" s="2">
        <v>45736</v>
      </c>
      <c r="B1737">
        <v>2025000388</v>
      </c>
      <c r="C1737" t="s">
        <v>568</v>
      </c>
      <c r="D1737" s="11">
        <v>5000000</v>
      </c>
      <c r="E1737">
        <v>1193265831</v>
      </c>
      <c r="F1737" t="s">
        <v>317</v>
      </c>
      <c r="G1737" t="s">
        <v>565</v>
      </c>
    </row>
    <row r="1738" spans="1:7" ht="15" customHeight="1" x14ac:dyDescent="0.25">
      <c r="A1738" s="3">
        <v>45786</v>
      </c>
      <c r="B1738" s="1">
        <v>2025000649</v>
      </c>
      <c r="C1738" s="1" t="s">
        <v>440</v>
      </c>
      <c r="D1738" s="5">
        <v>2600000</v>
      </c>
      <c r="E1738" s="1">
        <v>1004233343</v>
      </c>
      <c r="F1738" s="1" t="s">
        <v>441</v>
      </c>
      <c r="G1738" s="1" t="s">
        <v>9</v>
      </c>
    </row>
    <row r="1739" spans="1:7" ht="15" customHeight="1" x14ac:dyDescent="0.25">
      <c r="A1739" s="3">
        <v>45786</v>
      </c>
      <c r="B1739" s="1">
        <v>2025000651</v>
      </c>
      <c r="C1739" s="1" t="s">
        <v>442</v>
      </c>
      <c r="D1739" s="5">
        <v>3000000</v>
      </c>
      <c r="E1739" s="1">
        <v>1086329609</v>
      </c>
      <c r="F1739" s="1" t="s">
        <v>443</v>
      </c>
      <c r="G1739" s="1" t="s">
        <v>9</v>
      </c>
    </row>
    <row r="1740" spans="1:7" ht="15" customHeight="1" x14ac:dyDescent="0.25">
      <c r="A1740" s="3">
        <v>45786</v>
      </c>
      <c r="B1740" s="1">
        <v>2025000652</v>
      </c>
      <c r="C1740" s="1" t="s">
        <v>444</v>
      </c>
      <c r="D1740" s="5">
        <v>3000000</v>
      </c>
      <c r="E1740" s="1">
        <v>1004234290</v>
      </c>
      <c r="F1740" s="1" t="s">
        <v>237</v>
      </c>
      <c r="G1740" s="1" t="s">
        <v>9</v>
      </c>
    </row>
    <row r="1741" spans="1:7" ht="15" customHeight="1" x14ac:dyDescent="0.25">
      <c r="A1741" s="3">
        <v>45790</v>
      </c>
      <c r="B1741" s="1">
        <v>2025000668</v>
      </c>
      <c r="C1741" s="1" t="s">
        <v>445</v>
      </c>
      <c r="D1741" s="5">
        <v>4750000</v>
      </c>
      <c r="E1741" s="1">
        <v>59824313</v>
      </c>
      <c r="F1741" s="1" t="s">
        <v>151</v>
      </c>
      <c r="G1741" s="1" t="s">
        <v>9</v>
      </c>
    </row>
    <row r="1742" spans="1:7" ht="15" customHeight="1" x14ac:dyDescent="0.25">
      <c r="A1742" s="3">
        <v>45790</v>
      </c>
      <c r="B1742" s="1">
        <v>2025000669</v>
      </c>
      <c r="C1742" s="1" t="s">
        <v>446</v>
      </c>
      <c r="D1742" s="5">
        <v>4825000</v>
      </c>
      <c r="E1742" s="1">
        <v>12748383</v>
      </c>
      <c r="F1742" s="1" t="s">
        <v>447</v>
      </c>
      <c r="G1742" s="1" t="s">
        <v>9</v>
      </c>
    </row>
    <row r="1743" spans="1:7" ht="15" customHeight="1" x14ac:dyDescent="0.25">
      <c r="A1743" s="3">
        <v>45790</v>
      </c>
      <c r="B1743" s="1">
        <v>2025000683</v>
      </c>
      <c r="C1743" s="1" t="s">
        <v>448</v>
      </c>
      <c r="D1743" s="5">
        <v>3000000</v>
      </c>
      <c r="E1743" s="1">
        <v>1137624011</v>
      </c>
      <c r="F1743" s="1" t="s">
        <v>243</v>
      </c>
      <c r="G1743" s="1" t="s">
        <v>9</v>
      </c>
    </row>
    <row r="1744" spans="1:7" ht="15" customHeight="1" x14ac:dyDescent="0.25">
      <c r="A1744" s="3">
        <v>45791</v>
      </c>
      <c r="B1744" s="1">
        <v>2025000685</v>
      </c>
      <c r="C1744" s="1" t="s">
        <v>449</v>
      </c>
      <c r="D1744" s="5">
        <v>6000000</v>
      </c>
      <c r="E1744" s="1">
        <v>1082748420</v>
      </c>
      <c r="F1744" s="1" t="s">
        <v>450</v>
      </c>
      <c r="G1744" s="1" t="s">
        <v>9</v>
      </c>
    </row>
    <row r="1745" spans="1:7" ht="15" customHeight="1" x14ac:dyDescent="0.25">
      <c r="A1745" s="2">
        <v>45791</v>
      </c>
      <c r="B1745">
        <v>2025000686</v>
      </c>
      <c r="C1745" t="s">
        <v>569</v>
      </c>
      <c r="D1745" s="11">
        <v>6000000</v>
      </c>
      <c r="E1745">
        <v>1085292185</v>
      </c>
      <c r="F1745" t="s">
        <v>27</v>
      </c>
      <c r="G1745" t="s">
        <v>565</v>
      </c>
    </row>
    <row r="1746" spans="1:7" ht="15" customHeight="1" x14ac:dyDescent="0.25">
      <c r="A1746" s="3">
        <v>45791</v>
      </c>
      <c r="B1746" s="1">
        <v>2025000687</v>
      </c>
      <c r="C1746" s="1" t="s">
        <v>451</v>
      </c>
      <c r="D1746" s="5">
        <v>3000000</v>
      </c>
      <c r="E1746" s="1">
        <v>37084285</v>
      </c>
      <c r="F1746" s="1" t="s">
        <v>119</v>
      </c>
      <c r="G1746" s="1" t="s">
        <v>9</v>
      </c>
    </row>
    <row r="1747" spans="1:7" ht="15" customHeight="1" x14ac:dyDescent="0.25">
      <c r="A1747" s="3">
        <v>45791</v>
      </c>
      <c r="B1747" s="1">
        <v>2025000688</v>
      </c>
      <c r="C1747" s="1" t="s">
        <v>452</v>
      </c>
      <c r="D1747" s="5">
        <v>6000000</v>
      </c>
      <c r="E1747" s="1">
        <v>36757221</v>
      </c>
      <c r="F1747" s="1" t="s">
        <v>453</v>
      </c>
      <c r="G1747" s="1" t="s">
        <v>9</v>
      </c>
    </row>
    <row r="1748" spans="1:7" ht="15" customHeight="1" x14ac:dyDescent="0.25">
      <c r="A1748" s="3">
        <v>45791</v>
      </c>
      <c r="B1748" s="1">
        <v>2025000689</v>
      </c>
      <c r="C1748" s="1" t="s">
        <v>454</v>
      </c>
      <c r="D1748" s="5">
        <v>3000000</v>
      </c>
      <c r="E1748" s="1">
        <v>1086223299</v>
      </c>
      <c r="F1748" s="1" t="s">
        <v>455</v>
      </c>
      <c r="G1748" s="1" t="s">
        <v>9</v>
      </c>
    </row>
    <row r="1749" spans="1:7" ht="15" customHeight="1" x14ac:dyDescent="0.25">
      <c r="A1749" s="2">
        <v>45791</v>
      </c>
      <c r="B1749">
        <v>2025000690</v>
      </c>
      <c r="C1749" t="s">
        <v>570</v>
      </c>
      <c r="D1749" s="11">
        <v>4750000</v>
      </c>
      <c r="E1749">
        <v>27087475</v>
      </c>
      <c r="F1749" t="s">
        <v>571</v>
      </c>
      <c r="G1749" t="s">
        <v>565</v>
      </c>
    </row>
    <row r="1750" spans="1:7" ht="15" customHeight="1" x14ac:dyDescent="0.25">
      <c r="A1750" s="3">
        <v>45791</v>
      </c>
      <c r="B1750" s="1">
        <v>2025000691</v>
      </c>
      <c r="C1750" s="1" t="s">
        <v>456</v>
      </c>
      <c r="D1750" s="5">
        <v>6000000</v>
      </c>
      <c r="E1750" s="1">
        <v>59820414</v>
      </c>
      <c r="F1750" s="1" t="s">
        <v>457</v>
      </c>
      <c r="G1750" s="1" t="s">
        <v>9</v>
      </c>
    </row>
    <row r="1751" spans="1:7" ht="15" customHeight="1" x14ac:dyDescent="0.25">
      <c r="A1751" s="3">
        <v>45791</v>
      </c>
      <c r="B1751" s="1">
        <v>2025000692</v>
      </c>
      <c r="C1751" s="1" t="s">
        <v>458</v>
      </c>
      <c r="D1751" s="5">
        <v>3000000</v>
      </c>
      <c r="E1751" s="1">
        <v>1010082397</v>
      </c>
      <c r="F1751" s="1" t="s">
        <v>209</v>
      </c>
      <c r="G1751" s="1" t="s">
        <v>9</v>
      </c>
    </row>
    <row r="1752" spans="1:7" ht="15" customHeight="1" x14ac:dyDescent="0.25">
      <c r="A1752" s="3">
        <v>45791</v>
      </c>
      <c r="B1752" s="1">
        <v>2025000693</v>
      </c>
      <c r="C1752" s="1" t="s">
        <v>459</v>
      </c>
      <c r="D1752" s="5">
        <v>4825000</v>
      </c>
      <c r="E1752" s="1">
        <v>1085265622</v>
      </c>
      <c r="F1752" s="1" t="s">
        <v>460</v>
      </c>
      <c r="G1752" s="1" t="s">
        <v>9</v>
      </c>
    </row>
    <row r="1753" spans="1:7" ht="15" customHeight="1" x14ac:dyDescent="0.25">
      <c r="A1753" s="3">
        <v>45792</v>
      </c>
      <c r="B1753" s="1">
        <v>2025000694</v>
      </c>
      <c r="C1753" s="1" t="s">
        <v>461</v>
      </c>
      <c r="D1753" s="5">
        <v>3000000</v>
      </c>
      <c r="E1753" s="1">
        <v>1004232508</v>
      </c>
      <c r="F1753" s="1" t="s">
        <v>109</v>
      </c>
      <c r="G1753" s="1" t="s">
        <v>9</v>
      </c>
    </row>
    <row r="1754" spans="1:7" ht="15" customHeight="1" x14ac:dyDescent="0.25">
      <c r="A1754" s="3">
        <v>45792</v>
      </c>
      <c r="B1754" s="1">
        <v>2025000695</v>
      </c>
      <c r="C1754" s="1" t="s">
        <v>462</v>
      </c>
      <c r="D1754" s="5">
        <v>4750000</v>
      </c>
      <c r="E1754" s="1">
        <v>59816986</v>
      </c>
      <c r="F1754" s="1" t="s">
        <v>415</v>
      </c>
      <c r="G1754" s="1" t="s">
        <v>9</v>
      </c>
    </row>
    <row r="1755" spans="1:7" ht="15" customHeight="1" x14ac:dyDescent="0.25">
      <c r="A1755" s="3">
        <v>45792</v>
      </c>
      <c r="B1755" s="1">
        <v>2025000696</v>
      </c>
      <c r="C1755" s="1" t="s">
        <v>463</v>
      </c>
      <c r="D1755" s="5">
        <v>4750000</v>
      </c>
      <c r="E1755" s="1">
        <v>1085264667</v>
      </c>
      <c r="F1755" s="1" t="s">
        <v>464</v>
      </c>
      <c r="G1755" s="1" t="s">
        <v>9</v>
      </c>
    </row>
    <row r="1756" spans="1:7" ht="15" customHeight="1" x14ac:dyDescent="0.25">
      <c r="A1756" s="3">
        <v>45792</v>
      </c>
      <c r="B1756" s="1">
        <v>2025000697</v>
      </c>
      <c r="C1756" s="1" t="s">
        <v>465</v>
      </c>
      <c r="D1756" s="5">
        <v>3000000</v>
      </c>
      <c r="E1756" s="1">
        <v>1030606749</v>
      </c>
      <c r="F1756" s="1" t="s">
        <v>387</v>
      </c>
      <c r="G1756" s="1" t="s">
        <v>9</v>
      </c>
    </row>
    <row r="1757" spans="1:7" ht="15" customHeight="1" x14ac:dyDescent="0.25">
      <c r="A1757" s="3">
        <v>45792</v>
      </c>
      <c r="B1757" s="1">
        <v>2025000699</v>
      </c>
      <c r="C1757" s="1" t="s">
        <v>466</v>
      </c>
      <c r="D1757" s="5">
        <v>3000000</v>
      </c>
      <c r="E1757" s="1">
        <v>59833899</v>
      </c>
      <c r="F1757" s="1" t="s">
        <v>467</v>
      </c>
      <c r="G1757" s="1" t="s">
        <v>9</v>
      </c>
    </row>
    <row r="1758" spans="1:7" ht="15" customHeight="1" x14ac:dyDescent="0.25">
      <c r="A1758" s="3">
        <v>45792</v>
      </c>
      <c r="B1758" s="1">
        <v>2025000700</v>
      </c>
      <c r="C1758" s="1" t="s">
        <v>468</v>
      </c>
      <c r="D1758" s="5">
        <v>6000000</v>
      </c>
      <c r="E1758" s="1">
        <v>59837608</v>
      </c>
      <c r="F1758" s="1" t="s">
        <v>145</v>
      </c>
      <c r="G1758" s="1" t="s">
        <v>9</v>
      </c>
    </row>
    <row r="1759" spans="1:7" ht="15" customHeight="1" x14ac:dyDescent="0.25">
      <c r="A1759" s="3">
        <v>45792</v>
      </c>
      <c r="B1759" s="1">
        <v>2025000701</v>
      </c>
      <c r="C1759" s="1" t="s">
        <v>469</v>
      </c>
      <c r="D1759" s="5">
        <v>3000000</v>
      </c>
      <c r="E1759" s="1">
        <v>1086328142</v>
      </c>
      <c r="F1759" s="1" t="s">
        <v>470</v>
      </c>
      <c r="G1759" s="1" t="s">
        <v>9</v>
      </c>
    </row>
    <row r="1760" spans="1:7" ht="15" customHeight="1" x14ac:dyDescent="0.25">
      <c r="A1760" s="3">
        <v>45792</v>
      </c>
      <c r="B1760" s="1">
        <v>2025000702</v>
      </c>
      <c r="C1760" s="1" t="s">
        <v>471</v>
      </c>
      <c r="D1760" s="5">
        <v>3000000</v>
      </c>
      <c r="E1760" s="1">
        <v>1085318688</v>
      </c>
      <c r="F1760" s="1" t="s">
        <v>427</v>
      </c>
      <c r="G1760" s="1" t="s">
        <v>9</v>
      </c>
    </row>
    <row r="1761" spans="1:7" ht="15" customHeight="1" x14ac:dyDescent="0.25">
      <c r="A1761" s="3">
        <v>45793</v>
      </c>
      <c r="B1761" s="1">
        <v>2025000708</v>
      </c>
      <c r="C1761" s="1" t="s">
        <v>472</v>
      </c>
      <c r="D1761" s="5">
        <v>3000000</v>
      </c>
      <c r="E1761" s="1">
        <v>1233188273</v>
      </c>
      <c r="F1761" s="1" t="s">
        <v>473</v>
      </c>
      <c r="G1761" s="1" t="s">
        <v>9</v>
      </c>
    </row>
    <row r="1762" spans="1:7" ht="15" customHeight="1" x14ac:dyDescent="0.25">
      <c r="A1762" s="3">
        <v>45793</v>
      </c>
      <c r="B1762" s="1">
        <v>2025000709</v>
      </c>
      <c r="C1762" s="1" t="s">
        <v>474</v>
      </c>
      <c r="D1762" s="5">
        <v>4825000</v>
      </c>
      <c r="E1762" s="1">
        <v>27087851</v>
      </c>
      <c r="F1762" s="1" t="s">
        <v>177</v>
      </c>
      <c r="G1762" s="1" t="s">
        <v>9</v>
      </c>
    </row>
    <row r="1763" spans="1:7" ht="15" customHeight="1" x14ac:dyDescent="0.25">
      <c r="A1763" s="3">
        <v>45793</v>
      </c>
      <c r="B1763" s="1">
        <v>2025000710</v>
      </c>
      <c r="C1763" s="1" t="s">
        <v>475</v>
      </c>
      <c r="D1763" s="5">
        <v>3000000</v>
      </c>
      <c r="E1763" s="1">
        <v>98382500</v>
      </c>
      <c r="F1763" s="1" t="s">
        <v>183</v>
      </c>
      <c r="G1763" s="1" t="s">
        <v>9</v>
      </c>
    </row>
    <row r="1764" spans="1:7" ht="15" customHeight="1" x14ac:dyDescent="0.25">
      <c r="A1764" s="3">
        <v>45793</v>
      </c>
      <c r="B1764" s="1">
        <v>2025000711</v>
      </c>
      <c r="C1764" s="1" t="s">
        <v>438</v>
      </c>
      <c r="D1764" s="5">
        <v>4825000</v>
      </c>
      <c r="E1764" s="1">
        <v>1085267184</v>
      </c>
      <c r="F1764" s="1" t="s">
        <v>247</v>
      </c>
      <c r="G1764" s="1" t="s">
        <v>9</v>
      </c>
    </row>
    <row r="1765" spans="1:7" ht="15" customHeight="1" x14ac:dyDescent="0.25">
      <c r="A1765" s="3">
        <v>45793</v>
      </c>
      <c r="B1765" s="1">
        <v>2025000712</v>
      </c>
      <c r="C1765" s="1" t="s">
        <v>476</v>
      </c>
      <c r="D1765" s="5">
        <v>3000000</v>
      </c>
      <c r="E1765" s="1">
        <v>1004235479</v>
      </c>
      <c r="F1765" s="1" t="s">
        <v>477</v>
      </c>
      <c r="G1765" s="1" t="s">
        <v>9</v>
      </c>
    </row>
    <row r="1766" spans="1:7" ht="15" customHeight="1" x14ac:dyDescent="0.25">
      <c r="A1766" s="3">
        <v>45793</v>
      </c>
      <c r="B1766" s="1">
        <v>2025000713</v>
      </c>
      <c r="C1766" s="1" t="s">
        <v>478</v>
      </c>
      <c r="D1766" s="5">
        <v>3000000</v>
      </c>
      <c r="E1766" s="1">
        <v>1085326791</v>
      </c>
      <c r="F1766" s="1" t="s">
        <v>479</v>
      </c>
      <c r="G1766" s="1" t="s">
        <v>9</v>
      </c>
    </row>
    <row r="1767" spans="1:7" ht="15" customHeight="1" x14ac:dyDescent="0.25">
      <c r="A1767" s="3">
        <v>45793</v>
      </c>
      <c r="B1767" s="1">
        <v>2025000714</v>
      </c>
      <c r="C1767" s="1" t="s">
        <v>480</v>
      </c>
      <c r="D1767" s="5">
        <v>4750000</v>
      </c>
      <c r="E1767" s="1">
        <v>1085331141</v>
      </c>
      <c r="F1767" s="1" t="s">
        <v>481</v>
      </c>
      <c r="G1767" s="1" t="s">
        <v>9</v>
      </c>
    </row>
    <row r="1768" spans="1:7" ht="15" customHeight="1" x14ac:dyDescent="0.25">
      <c r="A1768" s="3">
        <v>45793</v>
      </c>
      <c r="B1768" s="1">
        <v>2025000715</v>
      </c>
      <c r="C1768" s="1" t="s">
        <v>482</v>
      </c>
      <c r="D1768" s="5">
        <v>2500000</v>
      </c>
      <c r="E1768" s="1">
        <v>59310145</v>
      </c>
      <c r="F1768" s="1" t="s">
        <v>129</v>
      </c>
      <c r="G1768" s="1" t="s">
        <v>9</v>
      </c>
    </row>
    <row r="1769" spans="1:7" ht="15" customHeight="1" x14ac:dyDescent="0.25">
      <c r="A1769" s="3">
        <v>45793</v>
      </c>
      <c r="B1769" s="1">
        <v>2025000716</v>
      </c>
      <c r="C1769" s="1" t="s">
        <v>483</v>
      </c>
      <c r="D1769" s="5">
        <v>4750000</v>
      </c>
      <c r="E1769" s="1">
        <v>1193383306</v>
      </c>
      <c r="F1769" s="1" t="s">
        <v>267</v>
      </c>
      <c r="G1769" s="1" t="s">
        <v>9</v>
      </c>
    </row>
    <row r="1770" spans="1:7" ht="15" customHeight="1" x14ac:dyDescent="0.25">
      <c r="A1770" s="3">
        <v>45793</v>
      </c>
      <c r="B1770" s="1">
        <v>2025000718</v>
      </c>
      <c r="C1770" s="1" t="s">
        <v>484</v>
      </c>
      <c r="D1770" s="5">
        <v>3000000</v>
      </c>
      <c r="E1770" s="1">
        <v>37083324</v>
      </c>
      <c r="F1770" s="1" t="s">
        <v>485</v>
      </c>
      <c r="G1770" s="1" t="s">
        <v>9</v>
      </c>
    </row>
    <row r="1771" spans="1:7" ht="15" customHeight="1" x14ac:dyDescent="0.25">
      <c r="A1771" s="3">
        <v>45793</v>
      </c>
      <c r="B1771" s="1">
        <v>2025000723</v>
      </c>
      <c r="C1771" s="1" t="s">
        <v>486</v>
      </c>
      <c r="D1771" s="5">
        <v>2500000</v>
      </c>
      <c r="E1771" s="1">
        <v>1085347173</v>
      </c>
      <c r="F1771" s="1" t="s">
        <v>487</v>
      </c>
      <c r="G1771" s="1" t="s">
        <v>9</v>
      </c>
    </row>
    <row r="1772" spans="1:7" ht="15" customHeight="1" x14ac:dyDescent="0.25">
      <c r="A1772" s="3">
        <v>45793</v>
      </c>
      <c r="B1772" s="1">
        <v>2025000724</v>
      </c>
      <c r="C1772" s="1" t="s">
        <v>488</v>
      </c>
      <c r="D1772" s="5">
        <v>3000000</v>
      </c>
      <c r="E1772" s="1">
        <v>1085288636</v>
      </c>
      <c r="F1772" s="1" t="s">
        <v>405</v>
      </c>
      <c r="G1772" s="1" t="s">
        <v>9</v>
      </c>
    </row>
    <row r="1773" spans="1:7" ht="15" customHeight="1" x14ac:dyDescent="0.25">
      <c r="A1773" s="3">
        <v>45793</v>
      </c>
      <c r="B1773" s="1">
        <v>2025000725</v>
      </c>
      <c r="C1773" s="1" t="s">
        <v>489</v>
      </c>
      <c r="D1773" s="5">
        <v>3000000</v>
      </c>
      <c r="E1773" s="1">
        <v>59834953</v>
      </c>
      <c r="F1773" s="1" t="s">
        <v>121</v>
      </c>
      <c r="G1773" s="1" t="s">
        <v>9</v>
      </c>
    </row>
    <row r="1774" spans="1:7" ht="15" customHeight="1" x14ac:dyDescent="0.25">
      <c r="A1774" s="3">
        <v>45793</v>
      </c>
      <c r="B1774" s="1">
        <v>2025000726</v>
      </c>
      <c r="C1774" s="1" t="s">
        <v>490</v>
      </c>
      <c r="D1774" s="5">
        <v>4750000</v>
      </c>
      <c r="E1774" s="1">
        <v>1085318684</v>
      </c>
      <c r="F1774" s="1" t="s">
        <v>355</v>
      </c>
      <c r="G1774" s="1" t="s">
        <v>9</v>
      </c>
    </row>
    <row r="1775" spans="1:7" ht="15" customHeight="1" x14ac:dyDescent="0.25">
      <c r="A1775" s="3">
        <v>45793</v>
      </c>
      <c r="B1775" s="1">
        <v>2025000727</v>
      </c>
      <c r="C1775" s="1" t="s">
        <v>491</v>
      </c>
      <c r="D1775" s="5">
        <v>3000000</v>
      </c>
      <c r="E1775" s="1">
        <v>13070330</v>
      </c>
      <c r="F1775" s="1" t="s">
        <v>101</v>
      </c>
      <c r="G1775" s="1" t="s">
        <v>9</v>
      </c>
    </row>
    <row r="1776" spans="1:7" ht="15" customHeight="1" x14ac:dyDescent="0.25">
      <c r="A1776" s="3">
        <v>45793</v>
      </c>
      <c r="B1776" s="1">
        <v>2025000728</v>
      </c>
      <c r="C1776" s="1" t="s">
        <v>492</v>
      </c>
      <c r="D1776" s="5">
        <v>4750000</v>
      </c>
      <c r="E1776" s="1">
        <v>59651018</v>
      </c>
      <c r="F1776" s="1" t="s">
        <v>493</v>
      </c>
      <c r="G1776" s="1" t="s">
        <v>9</v>
      </c>
    </row>
    <row r="1777" spans="1:7" ht="15" customHeight="1" x14ac:dyDescent="0.25">
      <c r="A1777" s="3">
        <v>45796</v>
      </c>
      <c r="B1777" s="1">
        <v>2025000729</v>
      </c>
      <c r="C1777" s="1" t="s">
        <v>494</v>
      </c>
      <c r="D1777" s="5">
        <v>3000000</v>
      </c>
      <c r="E1777" s="1">
        <v>1085317833</v>
      </c>
      <c r="F1777" s="1" t="s">
        <v>11</v>
      </c>
      <c r="G1777" s="1" t="s">
        <v>9</v>
      </c>
    </row>
    <row r="1778" spans="1:7" ht="15" customHeight="1" x14ac:dyDescent="0.25">
      <c r="A1778" s="3">
        <v>45796</v>
      </c>
      <c r="B1778" s="1">
        <v>2025000730</v>
      </c>
      <c r="C1778" s="1" t="s">
        <v>495</v>
      </c>
      <c r="D1778" s="5">
        <v>3000000</v>
      </c>
      <c r="E1778" s="1">
        <v>27436186</v>
      </c>
      <c r="F1778" s="1" t="s">
        <v>496</v>
      </c>
      <c r="G1778" s="1" t="s">
        <v>9</v>
      </c>
    </row>
    <row r="1779" spans="1:7" ht="15" customHeight="1" x14ac:dyDescent="0.25">
      <c r="A1779" s="3">
        <v>45796</v>
      </c>
      <c r="B1779" s="1">
        <v>2025000731</v>
      </c>
      <c r="C1779" s="1" t="s">
        <v>497</v>
      </c>
      <c r="D1779" s="5">
        <v>4750000</v>
      </c>
      <c r="E1779" s="1">
        <v>59312865</v>
      </c>
      <c r="F1779" s="1" t="s">
        <v>127</v>
      </c>
      <c r="G1779" s="1" t="s">
        <v>9</v>
      </c>
    </row>
    <row r="1780" spans="1:7" ht="15" customHeight="1" x14ac:dyDescent="0.25">
      <c r="A1780" s="3">
        <v>45796</v>
      </c>
      <c r="B1780" s="1">
        <v>2025000732</v>
      </c>
      <c r="C1780" s="1" t="s">
        <v>498</v>
      </c>
      <c r="D1780" s="5">
        <v>3000000</v>
      </c>
      <c r="E1780" s="1">
        <v>98391531</v>
      </c>
      <c r="F1780" s="1" t="s">
        <v>499</v>
      </c>
      <c r="G1780" s="1" t="s">
        <v>9</v>
      </c>
    </row>
    <row r="1781" spans="1:7" ht="15" customHeight="1" x14ac:dyDescent="0.25">
      <c r="A1781" s="3">
        <v>45796</v>
      </c>
      <c r="B1781" s="1">
        <v>2025000733</v>
      </c>
      <c r="C1781" s="1" t="s">
        <v>500</v>
      </c>
      <c r="D1781" s="5">
        <v>4750000</v>
      </c>
      <c r="E1781" s="1">
        <v>1085303067</v>
      </c>
      <c r="F1781" s="1" t="s">
        <v>105</v>
      </c>
      <c r="G1781" s="1" t="s">
        <v>9</v>
      </c>
    </row>
    <row r="1782" spans="1:7" ht="15" customHeight="1" x14ac:dyDescent="0.25">
      <c r="A1782" s="3">
        <v>45796</v>
      </c>
      <c r="B1782" s="1">
        <v>2025000734</v>
      </c>
      <c r="C1782" s="1" t="s">
        <v>501</v>
      </c>
      <c r="D1782" s="5">
        <v>7500000</v>
      </c>
      <c r="E1782" s="1">
        <v>1006946167</v>
      </c>
      <c r="F1782" s="1" t="s">
        <v>63</v>
      </c>
      <c r="G1782" s="1" t="s">
        <v>9</v>
      </c>
    </row>
    <row r="1783" spans="1:7" ht="15" customHeight="1" x14ac:dyDescent="0.25">
      <c r="A1783" s="3">
        <v>45796</v>
      </c>
      <c r="B1783" s="1">
        <v>2025000735</v>
      </c>
      <c r="C1783" s="1" t="s">
        <v>502</v>
      </c>
      <c r="D1783" s="5">
        <v>6000000</v>
      </c>
      <c r="E1783" s="1">
        <v>1085248939</v>
      </c>
      <c r="F1783" s="1" t="s">
        <v>437</v>
      </c>
      <c r="G1783" s="1" t="s">
        <v>9</v>
      </c>
    </row>
    <row r="1784" spans="1:7" ht="15" customHeight="1" x14ac:dyDescent="0.25">
      <c r="A1784" s="3">
        <v>45796</v>
      </c>
      <c r="B1784" s="1">
        <v>2025000736</v>
      </c>
      <c r="C1784" s="1" t="s">
        <v>503</v>
      </c>
      <c r="D1784" s="5">
        <v>3000000</v>
      </c>
      <c r="E1784" s="1">
        <v>30743783</v>
      </c>
      <c r="F1784" s="1" t="s">
        <v>504</v>
      </c>
      <c r="G1784" s="1" t="s">
        <v>9</v>
      </c>
    </row>
    <row r="1785" spans="1:7" ht="15" customHeight="1" x14ac:dyDescent="0.25">
      <c r="A1785" s="3">
        <v>45796</v>
      </c>
      <c r="B1785" s="1">
        <v>2025000737</v>
      </c>
      <c r="C1785" s="1" t="s">
        <v>505</v>
      </c>
      <c r="D1785" s="5">
        <v>3000000</v>
      </c>
      <c r="E1785" s="1">
        <v>1085286742</v>
      </c>
      <c r="F1785" s="1" t="s">
        <v>75</v>
      </c>
      <c r="G1785" s="1" t="s">
        <v>9</v>
      </c>
    </row>
    <row r="1786" spans="1:7" ht="15" customHeight="1" x14ac:dyDescent="0.25">
      <c r="A1786" s="3">
        <v>45796</v>
      </c>
      <c r="B1786" s="1">
        <v>2025000738</v>
      </c>
      <c r="C1786" s="1" t="s">
        <v>506</v>
      </c>
      <c r="D1786" s="5">
        <v>3000000</v>
      </c>
      <c r="E1786" s="1">
        <v>1004535234</v>
      </c>
      <c r="F1786" s="1" t="s">
        <v>507</v>
      </c>
      <c r="G1786" s="1" t="s">
        <v>9</v>
      </c>
    </row>
    <row r="1787" spans="1:7" ht="15" customHeight="1" x14ac:dyDescent="0.25">
      <c r="A1787" s="3">
        <v>45796</v>
      </c>
      <c r="B1787" s="1">
        <v>2025000739</v>
      </c>
      <c r="C1787" s="1" t="s">
        <v>508</v>
      </c>
      <c r="D1787" s="5">
        <v>4825000</v>
      </c>
      <c r="E1787" s="1">
        <v>1085324891</v>
      </c>
      <c r="F1787" s="1" t="s">
        <v>509</v>
      </c>
      <c r="G1787" s="1" t="s">
        <v>9</v>
      </c>
    </row>
    <row r="1788" spans="1:7" ht="15" customHeight="1" x14ac:dyDescent="0.25">
      <c r="A1788" s="3">
        <v>45796</v>
      </c>
      <c r="B1788" s="1">
        <v>2025000740</v>
      </c>
      <c r="C1788" s="1" t="s">
        <v>510</v>
      </c>
      <c r="D1788" s="5">
        <v>3000000</v>
      </c>
      <c r="E1788" s="1">
        <v>1004216993</v>
      </c>
      <c r="F1788" s="1" t="s">
        <v>511</v>
      </c>
      <c r="G1788" s="1" t="s">
        <v>9</v>
      </c>
    </row>
    <row r="1789" spans="1:7" ht="15" customHeight="1" x14ac:dyDescent="0.25">
      <c r="A1789" s="3">
        <v>45796</v>
      </c>
      <c r="B1789" s="1">
        <v>2025000741</v>
      </c>
      <c r="C1789" s="1" t="s">
        <v>512</v>
      </c>
      <c r="D1789" s="5">
        <v>4750000</v>
      </c>
      <c r="E1789" s="1">
        <v>1085313870</v>
      </c>
      <c r="F1789" s="1" t="s">
        <v>513</v>
      </c>
      <c r="G1789" s="1" t="s">
        <v>9</v>
      </c>
    </row>
    <row r="1790" spans="1:7" ht="15" customHeight="1" x14ac:dyDescent="0.25">
      <c r="A1790" s="3">
        <v>45796</v>
      </c>
      <c r="B1790" s="1">
        <v>2025000742</v>
      </c>
      <c r="C1790" s="1" t="s">
        <v>514</v>
      </c>
      <c r="D1790" s="5">
        <v>4825000</v>
      </c>
      <c r="E1790" s="1">
        <v>27088141</v>
      </c>
      <c r="F1790" s="1" t="s">
        <v>515</v>
      </c>
      <c r="G1790" s="1" t="s">
        <v>9</v>
      </c>
    </row>
    <row r="1791" spans="1:7" ht="15" customHeight="1" x14ac:dyDescent="0.25">
      <c r="A1791" s="3">
        <v>45797</v>
      </c>
      <c r="B1791" s="1">
        <v>2025000744</v>
      </c>
      <c r="C1791" s="1" t="s">
        <v>516</v>
      </c>
      <c r="D1791" s="5">
        <v>2500000</v>
      </c>
      <c r="E1791" s="1">
        <v>1085318898</v>
      </c>
      <c r="F1791" s="1" t="s">
        <v>517</v>
      </c>
      <c r="G1791" s="1" t="s">
        <v>9</v>
      </c>
    </row>
    <row r="1792" spans="1:7" ht="15" customHeight="1" x14ac:dyDescent="0.25">
      <c r="A1792" s="3">
        <v>45797</v>
      </c>
      <c r="B1792" s="1">
        <v>2025000745</v>
      </c>
      <c r="C1792" s="1" t="s">
        <v>518</v>
      </c>
      <c r="D1792" s="5">
        <v>3000000</v>
      </c>
      <c r="E1792" s="1">
        <v>27097289</v>
      </c>
      <c r="F1792" s="1" t="s">
        <v>49</v>
      </c>
      <c r="G1792" s="1" t="s">
        <v>9</v>
      </c>
    </row>
    <row r="1793" spans="1:7" ht="15" customHeight="1" x14ac:dyDescent="0.25">
      <c r="A1793" s="3">
        <v>45797</v>
      </c>
      <c r="B1793" s="1">
        <v>2025000746</v>
      </c>
      <c r="C1793" s="1" t="s">
        <v>519</v>
      </c>
      <c r="D1793" s="5">
        <v>2500000</v>
      </c>
      <c r="E1793" s="1">
        <v>37087268</v>
      </c>
      <c r="F1793" s="1" t="s">
        <v>257</v>
      </c>
      <c r="G1793" s="1" t="s">
        <v>9</v>
      </c>
    </row>
    <row r="1794" spans="1:7" ht="15" customHeight="1" x14ac:dyDescent="0.25">
      <c r="A1794" s="3">
        <v>45797</v>
      </c>
      <c r="B1794" s="1">
        <v>2025000747</v>
      </c>
      <c r="C1794" s="1" t="s">
        <v>520</v>
      </c>
      <c r="D1794" s="5">
        <v>7500000</v>
      </c>
      <c r="E1794" s="1">
        <v>87067123</v>
      </c>
      <c r="F1794" s="1" t="s">
        <v>521</v>
      </c>
      <c r="G1794" s="1" t="s">
        <v>9</v>
      </c>
    </row>
    <row r="1795" spans="1:7" ht="15" customHeight="1" x14ac:dyDescent="0.25">
      <c r="A1795" s="3">
        <v>45797</v>
      </c>
      <c r="B1795" s="1">
        <v>2025000748</v>
      </c>
      <c r="C1795" s="1" t="s">
        <v>522</v>
      </c>
      <c r="D1795" s="5">
        <v>3000000</v>
      </c>
      <c r="E1795" s="1">
        <v>1233191675</v>
      </c>
      <c r="F1795" s="1" t="s">
        <v>523</v>
      </c>
      <c r="G1795" s="1" t="s">
        <v>9</v>
      </c>
    </row>
    <row r="1796" spans="1:7" ht="15" customHeight="1" x14ac:dyDescent="0.25">
      <c r="A1796" s="3">
        <v>45797</v>
      </c>
      <c r="B1796" s="1">
        <v>2025000749</v>
      </c>
      <c r="C1796" s="1" t="s">
        <v>524</v>
      </c>
      <c r="D1796" s="5">
        <v>3000000</v>
      </c>
      <c r="E1796" s="1">
        <v>27388522</v>
      </c>
      <c r="F1796" s="1" t="s">
        <v>525</v>
      </c>
      <c r="G1796" s="1" t="s">
        <v>9</v>
      </c>
    </row>
    <row r="1797" spans="1:7" ht="15" customHeight="1" x14ac:dyDescent="0.25">
      <c r="A1797" s="3">
        <v>45797</v>
      </c>
      <c r="B1797" s="1">
        <v>2025000750</v>
      </c>
      <c r="C1797" s="1" t="s">
        <v>526</v>
      </c>
      <c r="D1797" s="5">
        <v>6000000</v>
      </c>
      <c r="E1797" s="1">
        <v>1085275879</v>
      </c>
      <c r="F1797" s="1" t="s">
        <v>117</v>
      </c>
      <c r="G1797" s="1" t="s">
        <v>9</v>
      </c>
    </row>
    <row r="1798" spans="1:7" ht="15" customHeight="1" x14ac:dyDescent="0.25">
      <c r="A1798" s="3">
        <v>45797</v>
      </c>
      <c r="B1798" s="1">
        <v>2025000751</v>
      </c>
      <c r="C1798" s="1" t="s">
        <v>527</v>
      </c>
      <c r="D1798" s="5">
        <v>2500000</v>
      </c>
      <c r="E1798" s="1">
        <v>59821094</v>
      </c>
      <c r="F1798" s="1" t="s">
        <v>528</v>
      </c>
      <c r="G1798" s="1" t="s">
        <v>9</v>
      </c>
    </row>
    <row r="1799" spans="1:7" ht="15" customHeight="1" x14ac:dyDescent="0.25">
      <c r="A1799" s="3">
        <v>45797</v>
      </c>
      <c r="B1799" s="1">
        <v>2025000752</v>
      </c>
      <c r="C1799" s="1" t="s">
        <v>529</v>
      </c>
      <c r="D1799" s="5">
        <v>4750000</v>
      </c>
      <c r="E1799" s="1">
        <v>27190772</v>
      </c>
      <c r="F1799" s="1" t="s">
        <v>530</v>
      </c>
      <c r="G1799" s="1" t="s">
        <v>9</v>
      </c>
    </row>
    <row r="1800" spans="1:7" ht="15" customHeight="1" x14ac:dyDescent="0.25">
      <c r="A1800" s="3">
        <v>45797</v>
      </c>
      <c r="B1800" s="1">
        <v>2025000753</v>
      </c>
      <c r="C1800" s="1" t="s">
        <v>531</v>
      </c>
      <c r="D1800" s="5">
        <v>4750000</v>
      </c>
      <c r="E1800" s="1">
        <v>13069636</v>
      </c>
      <c r="F1800" s="1" t="s">
        <v>532</v>
      </c>
      <c r="G1800" s="1" t="s">
        <v>9</v>
      </c>
    </row>
    <row r="1801" spans="1:7" ht="15" customHeight="1" x14ac:dyDescent="0.25">
      <c r="A1801" s="3">
        <v>45797</v>
      </c>
      <c r="B1801" s="1">
        <v>2025000754</v>
      </c>
      <c r="C1801" s="1" t="s">
        <v>533</v>
      </c>
      <c r="D1801" s="5">
        <v>2500000</v>
      </c>
      <c r="E1801" s="1">
        <v>12974849</v>
      </c>
      <c r="F1801" s="1" t="s">
        <v>51</v>
      </c>
      <c r="G1801" s="1" t="s">
        <v>9</v>
      </c>
    </row>
    <row r="1802" spans="1:7" ht="15" customHeight="1" x14ac:dyDescent="0.25">
      <c r="A1802" s="2">
        <v>45797</v>
      </c>
      <c r="B1802">
        <v>2025000755</v>
      </c>
      <c r="C1802" t="s">
        <v>572</v>
      </c>
      <c r="D1802" s="11">
        <v>80825000</v>
      </c>
      <c r="E1802">
        <v>900633448</v>
      </c>
      <c r="F1802" t="s">
        <v>165</v>
      </c>
      <c r="G1802" t="s">
        <v>565</v>
      </c>
    </row>
    <row r="1803" spans="1:7" ht="15" customHeight="1" x14ac:dyDescent="0.25">
      <c r="A1803" s="3">
        <v>45797</v>
      </c>
      <c r="B1803" s="1">
        <v>2025000756</v>
      </c>
      <c r="C1803" s="1" t="s">
        <v>534</v>
      </c>
      <c r="D1803" s="5">
        <v>3000000</v>
      </c>
      <c r="E1803" s="1">
        <v>1081592303</v>
      </c>
      <c r="F1803" s="1" t="s">
        <v>353</v>
      </c>
      <c r="G1803" s="1" t="s">
        <v>9</v>
      </c>
    </row>
    <row r="1804" spans="1:7" ht="15" customHeight="1" x14ac:dyDescent="0.25">
      <c r="A1804" s="3">
        <v>45797</v>
      </c>
      <c r="B1804" s="1">
        <v>2025000757</v>
      </c>
      <c r="C1804" s="1" t="s">
        <v>535</v>
      </c>
      <c r="D1804" s="5">
        <v>4750000</v>
      </c>
      <c r="E1804" s="1">
        <v>1085260497</v>
      </c>
      <c r="F1804" s="1" t="s">
        <v>429</v>
      </c>
      <c r="G1804" s="1" t="s">
        <v>9</v>
      </c>
    </row>
    <row r="1805" spans="1:7" ht="15" customHeight="1" x14ac:dyDescent="0.25">
      <c r="A1805" s="3">
        <v>45798</v>
      </c>
      <c r="B1805" s="1">
        <v>2025000761</v>
      </c>
      <c r="C1805" s="1" t="s">
        <v>536</v>
      </c>
      <c r="D1805" s="5">
        <v>6000000</v>
      </c>
      <c r="E1805" s="1">
        <v>97470681</v>
      </c>
      <c r="F1805" s="1" t="s">
        <v>329</v>
      </c>
      <c r="G1805" s="1" t="s">
        <v>9</v>
      </c>
    </row>
    <row r="1806" spans="1:7" ht="15" customHeight="1" x14ac:dyDescent="0.25">
      <c r="A1806" s="2">
        <v>45798</v>
      </c>
      <c r="B1806">
        <v>2025000762</v>
      </c>
      <c r="C1806" t="s">
        <v>573</v>
      </c>
      <c r="D1806" s="11">
        <v>3000000</v>
      </c>
      <c r="E1806">
        <v>1085286725</v>
      </c>
      <c r="F1806" t="s">
        <v>111</v>
      </c>
      <c r="G1806" t="s">
        <v>565</v>
      </c>
    </row>
    <row r="1807" spans="1:7" ht="15" customHeight="1" x14ac:dyDescent="0.25">
      <c r="A1807" s="3">
        <v>45798</v>
      </c>
      <c r="B1807" s="1">
        <v>2025000763</v>
      </c>
      <c r="C1807" s="1" t="s">
        <v>537</v>
      </c>
      <c r="D1807" s="5">
        <v>3000000</v>
      </c>
      <c r="E1807" s="1">
        <v>1085252263</v>
      </c>
      <c r="F1807" s="1" t="s">
        <v>33</v>
      </c>
      <c r="G1807" s="1" t="s">
        <v>9</v>
      </c>
    </row>
    <row r="1808" spans="1:7" ht="15" customHeight="1" x14ac:dyDescent="0.25">
      <c r="A1808" s="3">
        <v>45798</v>
      </c>
      <c r="B1808" s="1">
        <v>2025000764</v>
      </c>
      <c r="C1808" s="1" t="s">
        <v>538</v>
      </c>
      <c r="D1808" s="5">
        <v>2500000</v>
      </c>
      <c r="E1808" s="1">
        <v>27087720</v>
      </c>
      <c r="F1808" s="1" t="s">
        <v>539</v>
      </c>
      <c r="G1808" s="1" t="s">
        <v>9</v>
      </c>
    </row>
    <row r="1809" spans="1:7" ht="15" customHeight="1" x14ac:dyDescent="0.25">
      <c r="A1809" s="3">
        <v>45799</v>
      </c>
      <c r="B1809" s="1">
        <v>2025000767</v>
      </c>
      <c r="C1809" s="1" t="s">
        <v>540</v>
      </c>
      <c r="D1809" s="5">
        <v>3000000</v>
      </c>
      <c r="E1809" s="1">
        <v>1089243630</v>
      </c>
      <c r="F1809" s="1" t="s">
        <v>197</v>
      </c>
      <c r="G1809" s="1" t="s">
        <v>9</v>
      </c>
    </row>
    <row r="1810" spans="1:7" ht="15" customHeight="1" x14ac:dyDescent="0.25">
      <c r="A1810" s="3">
        <v>45799</v>
      </c>
      <c r="B1810" s="1">
        <v>2025000768</v>
      </c>
      <c r="C1810" s="1" t="s">
        <v>541</v>
      </c>
      <c r="D1810" s="5">
        <v>2500000</v>
      </c>
      <c r="E1810" s="1">
        <v>1085320930</v>
      </c>
      <c r="F1810" s="1" t="s">
        <v>259</v>
      </c>
      <c r="G1810" s="1" t="s">
        <v>9</v>
      </c>
    </row>
    <row r="1811" spans="1:7" ht="15" customHeight="1" x14ac:dyDescent="0.25">
      <c r="A1811" s="3">
        <v>45799</v>
      </c>
      <c r="B1811" s="1">
        <v>2025000769</v>
      </c>
      <c r="C1811" s="1" t="s">
        <v>542</v>
      </c>
      <c r="D1811" s="5">
        <v>2500000</v>
      </c>
      <c r="E1811" s="1">
        <v>1088729401</v>
      </c>
      <c r="F1811" s="1" t="s">
        <v>543</v>
      </c>
      <c r="G1811" s="1" t="s">
        <v>9</v>
      </c>
    </row>
    <row r="1812" spans="1:7" ht="15" customHeight="1" x14ac:dyDescent="0.25">
      <c r="A1812" s="3">
        <v>45800</v>
      </c>
      <c r="B1812" s="1">
        <v>2025000770</v>
      </c>
      <c r="C1812" s="1" t="s">
        <v>544</v>
      </c>
      <c r="D1812" s="5">
        <v>4750000</v>
      </c>
      <c r="E1812" s="1">
        <v>1085345772</v>
      </c>
      <c r="F1812" s="1" t="s">
        <v>221</v>
      </c>
      <c r="G1812" s="1" t="s">
        <v>9</v>
      </c>
    </row>
    <row r="1813" spans="1:7" ht="15" customHeight="1" x14ac:dyDescent="0.25">
      <c r="A1813" s="3">
        <v>45800</v>
      </c>
      <c r="B1813" s="1">
        <v>2025000771</v>
      </c>
      <c r="C1813" s="1" t="s">
        <v>545</v>
      </c>
      <c r="D1813" s="5">
        <v>3000000</v>
      </c>
      <c r="E1813" s="1">
        <v>13069881</v>
      </c>
      <c r="F1813" s="1" t="s">
        <v>546</v>
      </c>
      <c r="G1813" s="1" t="s">
        <v>9</v>
      </c>
    </row>
    <row r="1814" spans="1:7" ht="15" customHeight="1" x14ac:dyDescent="0.25">
      <c r="A1814" s="3">
        <v>45800</v>
      </c>
      <c r="B1814" s="1">
        <v>2025000772</v>
      </c>
      <c r="C1814" s="1" t="s">
        <v>547</v>
      </c>
      <c r="D1814" s="5">
        <v>3000000</v>
      </c>
      <c r="E1814" s="1">
        <v>1082747438</v>
      </c>
      <c r="F1814" s="1" t="s">
        <v>548</v>
      </c>
      <c r="G1814" s="1" t="s">
        <v>9</v>
      </c>
    </row>
    <row r="1815" spans="1:7" ht="15" customHeight="1" x14ac:dyDescent="0.25">
      <c r="A1815" s="3">
        <v>45800</v>
      </c>
      <c r="B1815" s="1">
        <v>2025000773</v>
      </c>
      <c r="C1815" s="1" t="s">
        <v>549</v>
      </c>
      <c r="D1815" s="5">
        <v>2500000</v>
      </c>
      <c r="E1815" s="1">
        <v>1233189896</v>
      </c>
      <c r="F1815" s="1" t="s">
        <v>279</v>
      </c>
      <c r="G1815" s="1" t="s">
        <v>9</v>
      </c>
    </row>
    <row r="1816" spans="1:7" ht="15" customHeight="1" x14ac:dyDescent="0.25">
      <c r="A1816" s="3">
        <v>45803</v>
      </c>
      <c r="B1816" s="1">
        <v>2025000784</v>
      </c>
      <c r="C1816" s="1" t="s">
        <v>550</v>
      </c>
      <c r="D1816" s="5">
        <v>700000</v>
      </c>
      <c r="E1816" s="1">
        <v>69028150</v>
      </c>
      <c r="F1816" s="1" t="s">
        <v>171</v>
      </c>
      <c r="G1816" s="1" t="s">
        <v>9</v>
      </c>
    </row>
    <row r="1817" spans="1:7" ht="15" customHeight="1" x14ac:dyDescent="0.25">
      <c r="A1817" s="3">
        <v>45803</v>
      </c>
      <c r="B1817" s="1">
        <v>2025000785</v>
      </c>
      <c r="C1817" s="1" t="s">
        <v>551</v>
      </c>
      <c r="D1817" s="5">
        <v>3000000</v>
      </c>
      <c r="E1817" s="1">
        <v>1004598784</v>
      </c>
      <c r="F1817" s="1" t="s">
        <v>552</v>
      </c>
      <c r="G1817" s="1" t="s">
        <v>9</v>
      </c>
    </row>
    <row r="1818" spans="1:7" ht="15" customHeight="1" x14ac:dyDescent="0.25">
      <c r="A1818" s="3">
        <v>45803</v>
      </c>
      <c r="B1818" s="1">
        <v>2025000786</v>
      </c>
      <c r="C1818" s="1" t="s">
        <v>553</v>
      </c>
      <c r="D1818" s="5">
        <v>3000000</v>
      </c>
      <c r="E1818" s="1">
        <v>1085339190</v>
      </c>
      <c r="F1818" s="1" t="s">
        <v>149</v>
      </c>
      <c r="G1818" s="1" t="s">
        <v>9</v>
      </c>
    </row>
    <row r="1819" spans="1:7" ht="15" customHeight="1" x14ac:dyDescent="0.25">
      <c r="A1819" s="3">
        <v>45803</v>
      </c>
      <c r="B1819" s="1">
        <v>2025000787</v>
      </c>
      <c r="C1819" s="1" t="s">
        <v>554</v>
      </c>
      <c r="D1819" s="5">
        <v>3000000</v>
      </c>
      <c r="E1819" s="1">
        <v>1081572043</v>
      </c>
      <c r="F1819" s="1" t="s">
        <v>555</v>
      </c>
      <c r="G1819" s="1" t="s">
        <v>9</v>
      </c>
    </row>
    <row r="1820" spans="1:7" ht="15" customHeight="1" x14ac:dyDescent="0.25">
      <c r="A1820" s="2">
        <v>45805</v>
      </c>
      <c r="B1820">
        <v>2025000792</v>
      </c>
      <c r="C1820" t="s">
        <v>574</v>
      </c>
      <c r="D1820" s="11">
        <v>73000000</v>
      </c>
      <c r="E1820">
        <v>900994364</v>
      </c>
      <c r="F1820" t="s">
        <v>269</v>
      </c>
      <c r="G1820" t="s">
        <v>565</v>
      </c>
    </row>
    <row r="1821" spans="1:7" ht="15" customHeight="1" x14ac:dyDescent="0.25">
      <c r="A1821" s="2">
        <v>45805</v>
      </c>
      <c r="B1821">
        <v>2025000793</v>
      </c>
      <c r="C1821" t="s">
        <v>575</v>
      </c>
      <c r="D1821" s="11">
        <v>53823767</v>
      </c>
      <c r="E1821">
        <v>900994364</v>
      </c>
      <c r="F1821" t="s">
        <v>269</v>
      </c>
      <c r="G1821" t="s">
        <v>565</v>
      </c>
    </row>
    <row r="1822" spans="1:7" ht="15" customHeight="1" x14ac:dyDescent="0.25">
      <c r="A1822" s="2">
        <v>45806</v>
      </c>
      <c r="B1822">
        <v>2025000795</v>
      </c>
      <c r="C1822" t="s">
        <v>576</v>
      </c>
      <c r="D1822" s="11">
        <v>600000</v>
      </c>
      <c r="E1822">
        <v>59813323</v>
      </c>
      <c r="F1822" t="s">
        <v>103</v>
      </c>
      <c r="G1822" t="s">
        <v>565</v>
      </c>
    </row>
    <row r="1823" spans="1:7" ht="15" customHeight="1" x14ac:dyDescent="0.25">
      <c r="A1823" s="3">
        <v>45807</v>
      </c>
      <c r="B1823" s="1">
        <v>2025000797</v>
      </c>
      <c r="C1823" s="1" t="s">
        <v>556</v>
      </c>
      <c r="D1823" s="5">
        <v>2500000</v>
      </c>
      <c r="E1823" s="1">
        <v>30736949</v>
      </c>
      <c r="F1823" s="1" t="s">
        <v>557</v>
      </c>
      <c r="G1823" s="1" t="s">
        <v>9</v>
      </c>
    </row>
    <row r="1824" spans="1:7" ht="15" customHeight="1" x14ac:dyDescent="0.25">
      <c r="A1824" s="2">
        <v>45812</v>
      </c>
      <c r="B1824">
        <v>2025000814</v>
      </c>
      <c r="C1824" t="s">
        <v>577</v>
      </c>
      <c r="D1824" s="11">
        <v>2500000</v>
      </c>
      <c r="E1824">
        <v>1233188479</v>
      </c>
      <c r="F1824" t="s">
        <v>578</v>
      </c>
      <c r="G1824" t="s">
        <v>565</v>
      </c>
    </row>
    <row r="1825" spans="1:7" ht="15" customHeight="1" x14ac:dyDescent="0.25">
      <c r="A1825" s="2">
        <v>45813</v>
      </c>
      <c r="B1825">
        <v>2025000833</v>
      </c>
      <c r="C1825" t="s">
        <v>579</v>
      </c>
      <c r="D1825" s="11">
        <v>600000</v>
      </c>
      <c r="E1825">
        <v>1004437571</v>
      </c>
      <c r="F1825" t="s">
        <v>580</v>
      </c>
      <c r="G1825" t="s">
        <v>565</v>
      </c>
    </row>
    <row r="1826" spans="1:7" ht="15" customHeight="1" x14ac:dyDescent="0.25">
      <c r="A1826" s="2">
        <v>45824</v>
      </c>
      <c r="B1826">
        <v>2025000948</v>
      </c>
      <c r="C1826" t="s">
        <v>581</v>
      </c>
      <c r="D1826" s="11">
        <v>2500000</v>
      </c>
      <c r="E1826">
        <v>1081052090</v>
      </c>
      <c r="F1826" t="s">
        <v>319</v>
      </c>
      <c r="G1826" t="s">
        <v>565</v>
      </c>
    </row>
    <row r="1827" spans="1:7" ht="15" customHeight="1" x14ac:dyDescent="0.25">
      <c r="A1827" s="3">
        <v>45826</v>
      </c>
      <c r="B1827" s="1">
        <v>2025000957</v>
      </c>
      <c r="C1827" s="1" t="s">
        <v>471</v>
      </c>
      <c r="D1827" s="5">
        <v>3000000</v>
      </c>
      <c r="E1827" s="1">
        <v>1085318688</v>
      </c>
      <c r="F1827" s="1" t="s">
        <v>427</v>
      </c>
      <c r="G1827" s="1" t="s">
        <v>9</v>
      </c>
    </row>
    <row r="1828" spans="1:7" ht="15" customHeight="1" x14ac:dyDescent="0.25">
      <c r="A1828" s="3">
        <v>45826</v>
      </c>
      <c r="B1828" s="1">
        <v>2025000958</v>
      </c>
      <c r="C1828" s="1" t="s">
        <v>465</v>
      </c>
      <c r="D1828" s="5">
        <v>3000000</v>
      </c>
      <c r="E1828" s="1">
        <v>1030606749</v>
      </c>
      <c r="F1828" s="1" t="s">
        <v>387</v>
      </c>
      <c r="G1828" s="1" t="s">
        <v>9</v>
      </c>
    </row>
    <row r="1829" spans="1:7" ht="15" customHeight="1" x14ac:dyDescent="0.25">
      <c r="A1829" s="3">
        <v>45826</v>
      </c>
      <c r="B1829" s="1">
        <v>2025000959</v>
      </c>
      <c r="C1829" s="1" t="s">
        <v>469</v>
      </c>
      <c r="D1829" s="5">
        <v>3000000</v>
      </c>
      <c r="E1829" s="1">
        <v>1086328142</v>
      </c>
      <c r="F1829" s="1" t="s">
        <v>470</v>
      </c>
      <c r="G1829" s="1" t="s">
        <v>9</v>
      </c>
    </row>
    <row r="1830" spans="1:7" ht="15" customHeight="1" x14ac:dyDescent="0.25">
      <c r="A1830" s="3">
        <v>45826</v>
      </c>
      <c r="B1830" s="1">
        <v>2025000960</v>
      </c>
      <c r="C1830" s="1" t="s">
        <v>466</v>
      </c>
      <c r="D1830" s="5">
        <v>3000000</v>
      </c>
      <c r="E1830" s="1">
        <v>59833899</v>
      </c>
      <c r="F1830" s="1" t="s">
        <v>467</v>
      </c>
      <c r="G1830" s="1" t="s">
        <v>9</v>
      </c>
    </row>
    <row r="1831" spans="1:7" ht="15" customHeight="1" x14ac:dyDescent="0.25">
      <c r="A1831" s="2">
        <v>45826</v>
      </c>
      <c r="B1831">
        <v>2025000972</v>
      </c>
      <c r="C1831" t="s">
        <v>575</v>
      </c>
      <c r="D1831" s="11">
        <v>53181733</v>
      </c>
      <c r="E1831">
        <v>900994364</v>
      </c>
      <c r="F1831" t="s">
        <v>269</v>
      </c>
      <c r="G1831" t="s">
        <v>565</v>
      </c>
    </row>
    <row r="1832" spans="1:7" ht="15" customHeight="1" x14ac:dyDescent="0.25">
      <c r="A1832" s="2">
        <v>45828</v>
      </c>
      <c r="B1832">
        <v>2025001006</v>
      </c>
      <c r="C1832" t="s">
        <v>574</v>
      </c>
      <c r="D1832" s="11">
        <v>73000000</v>
      </c>
      <c r="E1832">
        <v>900994364</v>
      </c>
      <c r="F1832" t="s">
        <v>269</v>
      </c>
      <c r="G1832" t="s">
        <v>565</v>
      </c>
    </row>
    <row r="1833" spans="1:7" ht="15" customHeight="1" x14ac:dyDescent="0.25">
      <c r="A1833" s="3">
        <v>45828</v>
      </c>
      <c r="B1833" s="1">
        <v>2025001007</v>
      </c>
      <c r="C1833" s="1" t="s">
        <v>518</v>
      </c>
      <c r="D1833" s="5">
        <v>6000000</v>
      </c>
      <c r="E1833" s="1">
        <v>27097289</v>
      </c>
      <c r="F1833" s="1" t="s">
        <v>49</v>
      </c>
      <c r="G1833" s="1" t="s">
        <v>9</v>
      </c>
    </row>
    <row r="1834" spans="1:7" ht="15" customHeight="1" x14ac:dyDescent="0.25">
      <c r="A1834" s="3">
        <v>45828</v>
      </c>
      <c r="B1834" s="1">
        <v>2025001008</v>
      </c>
      <c r="C1834" s="1" t="s">
        <v>516</v>
      </c>
      <c r="D1834" s="5">
        <v>2500000</v>
      </c>
      <c r="E1834" s="1">
        <v>1085318898</v>
      </c>
      <c r="F1834" s="1" t="s">
        <v>517</v>
      </c>
      <c r="G1834" s="1" t="s">
        <v>9</v>
      </c>
    </row>
    <row r="1835" spans="1:7" ht="15" customHeight="1" x14ac:dyDescent="0.25">
      <c r="A1835" s="3">
        <v>45828</v>
      </c>
      <c r="B1835" s="1">
        <v>2025001009</v>
      </c>
      <c r="C1835" s="1" t="s">
        <v>483</v>
      </c>
      <c r="D1835" s="5">
        <v>4750000</v>
      </c>
      <c r="E1835" s="1">
        <v>1193383306</v>
      </c>
      <c r="F1835" s="1" t="s">
        <v>267</v>
      </c>
      <c r="G1835" s="1" t="s">
        <v>9</v>
      </c>
    </row>
    <row r="1836" spans="1:7" ht="15" customHeight="1" x14ac:dyDescent="0.25">
      <c r="A1836" s="3">
        <v>45828</v>
      </c>
      <c r="B1836" s="1">
        <v>2025001010</v>
      </c>
      <c r="C1836" s="1" t="s">
        <v>448</v>
      </c>
      <c r="D1836" s="5">
        <v>3000000</v>
      </c>
      <c r="E1836" s="1">
        <v>1137624011</v>
      </c>
      <c r="F1836" s="1" t="s">
        <v>243</v>
      </c>
      <c r="G1836" s="1" t="s">
        <v>9</v>
      </c>
    </row>
    <row r="1837" spans="1:7" ht="15" customHeight="1" x14ac:dyDescent="0.25">
      <c r="A1837" s="3">
        <v>45828</v>
      </c>
      <c r="B1837" s="1">
        <v>2025001011</v>
      </c>
      <c r="C1837" s="1" t="s">
        <v>537</v>
      </c>
      <c r="D1837" s="5">
        <v>3000000</v>
      </c>
      <c r="E1837" s="1">
        <v>1085252263</v>
      </c>
      <c r="F1837" s="1" t="s">
        <v>33</v>
      </c>
      <c r="G1837" s="1" t="s">
        <v>9</v>
      </c>
    </row>
    <row r="1838" spans="1:7" ht="15" customHeight="1" x14ac:dyDescent="0.25">
      <c r="A1838" s="3">
        <v>45828</v>
      </c>
      <c r="B1838" s="1">
        <v>2025001012</v>
      </c>
      <c r="C1838" s="1" t="s">
        <v>459</v>
      </c>
      <c r="D1838" s="5">
        <v>4825000</v>
      </c>
      <c r="E1838" s="1">
        <v>1085265622</v>
      </c>
      <c r="F1838" s="1" t="s">
        <v>460</v>
      </c>
      <c r="G1838" s="1" t="s">
        <v>9</v>
      </c>
    </row>
    <row r="1839" spans="1:7" ht="15" customHeight="1" x14ac:dyDescent="0.25">
      <c r="A1839" s="3">
        <v>45828</v>
      </c>
      <c r="B1839" s="1">
        <v>2025001013</v>
      </c>
      <c r="C1839" s="1" t="s">
        <v>520</v>
      </c>
      <c r="D1839" s="5">
        <v>7500000</v>
      </c>
      <c r="E1839" s="1">
        <v>87067123</v>
      </c>
      <c r="F1839" s="1" t="s">
        <v>521</v>
      </c>
      <c r="G1839" s="1" t="s">
        <v>9</v>
      </c>
    </row>
    <row r="1840" spans="1:7" ht="15" customHeight="1" x14ac:dyDescent="0.25">
      <c r="A1840" s="3">
        <v>45828</v>
      </c>
      <c r="B1840" s="1">
        <v>2025001014</v>
      </c>
      <c r="C1840" s="1" t="s">
        <v>463</v>
      </c>
      <c r="D1840" s="5">
        <v>4750000</v>
      </c>
      <c r="E1840" s="1">
        <v>1085264667</v>
      </c>
      <c r="F1840" s="1" t="s">
        <v>464</v>
      </c>
      <c r="G1840" s="1" t="s">
        <v>9</v>
      </c>
    </row>
    <row r="1841" spans="1:7" ht="15" customHeight="1" x14ac:dyDescent="0.25">
      <c r="A1841" s="3">
        <v>45832</v>
      </c>
      <c r="B1841" s="1">
        <v>2025001017</v>
      </c>
      <c r="C1841" s="1" t="s">
        <v>438</v>
      </c>
      <c r="D1841" s="5">
        <v>4825000</v>
      </c>
      <c r="E1841" s="1">
        <v>1085267184</v>
      </c>
      <c r="F1841" s="1" t="s">
        <v>247</v>
      </c>
      <c r="G1841" s="1" t="s">
        <v>9</v>
      </c>
    </row>
    <row r="1842" spans="1:7" ht="15" customHeight="1" x14ac:dyDescent="0.25">
      <c r="A1842" s="3">
        <v>45832</v>
      </c>
      <c r="B1842" s="1">
        <v>2025001018</v>
      </c>
      <c r="C1842" s="1" t="s">
        <v>482</v>
      </c>
      <c r="D1842" s="5">
        <v>2500000</v>
      </c>
      <c r="E1842" s="1">
        <v>59310145</v>
      </c>
      <c r="F1842" s="1" t="s">
        <v>129</v>
      </c>
      <c r="G1842" s="1" t="s">
        <v>9</v>
      </c>
    </row>
    <row r="1843" spans="1:7" ht="15" customHeight="1" x14ac:dyDescent="0.25">
      <c r="A1843" s="3">
        <v>45832</v>
      </c>
      <c r="B1843" s="1">
        <v>2025001019</v>
      </c>
      <c r="C1843" s="1" t="s">
        <v>498</v>
      </c>
      <c r="D1843" s="5">
        <v>3000000</v>
      </c>
      <c r="E1843" s="1">
        <v>98391531</v>
      </c>
      <c r="F1843" s="1" t="s">
        <v>499</v>
      </c>
      <c r="G1843" s="1" t="s">
        <v>9</v>
      </c>
    </row>
    <row r="1844" spans="1:7" ht="15" customHeight="1" x14ac:dyDescent="0.25">
      <c r="A1844" s="3">
        <v>45832</v>
      </c>
      <c r="B1844" s="1">
        <v>2025001020</v>
      </c>
      <c r="C1844" s="1" t="s">
        <v>500</v>
      </c>
      <c r="D1844" s="5">
        <v>4750000</v>
      </c>
      <c r="E1844" s="1">
        <v>1085303067</v>
      </c>
      <c r="F1844" s="1" t="s">
        <v>105</v>
      </c>
      <c r="G1844" s="1" t="s">
        <v>9</v>
      </c>
    </row>
    <row r="1845" spans="1:7" ht="15" customHeight="1" x14ac:dyDescent="0.25">
      <c r="A1845" s="3">
        <v>45832</v>
      </c>
      <c r="B1845" s="1">
        <v>2025001021</v>
      </c>
      <c r="C1845" s="1" t="s">
        <v>474</v>
      </c>
      <c r="D1845" s="5">
        <v>4825000</v>
      </c>
      <c r="E1845" s="1">
        <v>27087851</v>
      </c>
      <c r="F1845" s="1" t="s">
        <v>177</v>
      </c>
      <c r="G1845" s="1" t="s">
        <v>9</v>
      </c>
    </row>
    <row r="1846" spans="1:7" ht="15" customHeight="1" x14ac:dyDescent="0.25">
      <c r="A1846" s="3">
        <v>45832</v>
      </c>
      <c r="B1846" s="1">
        <v>2025001022</v>
      </c>
      <c r="C1846" s="1" t="s">
        <v>527</v>
      </c>
      <c r="D1846" s="5">
        <v>2500000</v>
      </c>
      <c r="E1846" s="1">
        <v>59821094</v>
      </c>
      <c r="F1846" s="1" t="s">
        <v>528</v>
      </c>
      <c r="G1846" s="1" t="s">
        <v>9</v>
      </c>
    </row>
    <row r="1847" spans="1:7" ht="15" customHeight="1" x14ac:dyDescent="0.25">
      <c r="A1847" s="3">
        <v>45832</v>
      </c>
      <c r="B1847" s="1">
        <v>2025001023</v>
      </c>
      <c r="C1847" s="1" t="s">
        <v>489</v>
      </c>
      <c r="D1847" s="5">
        <v>3000000</v>
      </c>
      <c r="E1847" s="1">
        <v>59834953</v>
      </c>
      <c r="F1847" s="1" t="s">
        <v>121</v>
      </c>
      <c r="G1847" s="1" t="s">
        <v>9</v>
      </c>
    </row>
    <row r="1848" spans="1:7" ht="15" customHeight="1" x14ac:dyDescent="0.25">
      <c r="A1848" s="3">
        <v>45832</v>
      </c>
      <c r="B1848" s="1">
        <v>2025001024</v>
      </c>
      <c r="C1848" s="1" t="s">
        <v>492</v>
      </c>
      <c r="D1848" s="5">
        <v>4750000</v>
      </c>
      <c r="E1848" s="1">
        <v>59651018</v>
      </c>
      <c r="F1848" s="1" t="s">
        <v>493</v>
      </c>
      <c r="G1848" s="1" t="s">
        <v>9</v>
      </c>
    </row>
    <row r="1849" spans="1:7" ht="15" customHeight="1" x14ac:dyDescent="0.25">
      <c r="A1849" s="3">
        <v>45832</v>
      </c>
      <c r="B1849" s="1">
        <v>2025001025</v>
      </c>
      <c r="C1849" s="1" t="s">
        <v>494</v>
      </c>
      <c r="D1849" s="5">
        <v>3000000</v>
      </c>
      <c r="E1849" s="1">
        <v>1085317833</v>
      </c>
      <c r="F1849" s="1" t="s">
        <v>11</v>
      </c>
      <c r="G1849" s="1" t="s">
        <v>9</v>
      </c>
    </row>
    <row r="1850" spans="1:7" ht="15" customHeight="1" x14ac:dyDescent="0.25">
      <c r="A1850" s="2">
        <v>45832</v>
      </c>
      <c r="B1850">
        <v>2025001026</v>
      </c>
      <c r="C1850" t="s">
        <v>584</v>
      </c>
      <c r="D1850" s="11">
        <v>2500000</v>
      </c>
      <c r="E1850">
        <v>1085314334</v>
      </c>
      <c r="F1850" t="s">
        <v>585</v>
      </c>
      <c r="G1850" t="s">
        <v>565</v>
      </c>
    </row>
    <row r="1851" spans="1:7" ht="15" customHeight="1" x14ac:dyDescent="0.25">
      <c r="A1851" s="3">
        <v>45832</v>
      </c>
      <c r="B1851" s="1">
        <v>2025001027</v>
      </c>
      <c r="C1851" s="1" t="s">
        <v>536</v>
      </c>
      <c r="D1851" s="5">
        <v>6000000</v>
      </c>
      <c r="E1851" s="1">
        <v>97470681</v>
      </c>
      <c r="F1851" s="1" t="s">
        <v>329</v>
      </c>
      <c r="G1851" s="1" t="s">
        <v>9</v>
      </c>
    </row>
    <row r="1852" spans="1:7" ht="15" customHeight="1" x14ac:dyDescent="0.25">
      <c r="A1852" s="3">
        <v>45832</v>
      </c>
      <c r="B1852" s="1">
        <v>2025001028</v>
      </c>
      <c r="C1852" s="1" t="s">
        <v>501</v>
      </c>
      <c r="D1852" s="5">
        <v>7500000</v>
      </c>
      <c r="E1852" s="1">
        <v>1006946167</v>
      </c>
      <c r="F1852" s="1" t="s">
        <v>63</v>
      </c>
      <c r="G1852" s="1" t="s">
        <v>9</v>
      </c>
    </row>
    <row r="1853" spans="1:7" ht="15" customHeight="1" x14ac:dyDescent="0.25">
      <c r="A1853" s="3">
        <v>45832</v>
      </c>
      <c r="B1853" s="1">
        <v>2025001029</v>
      </c>
      <c r="C1853" s="1" t="s">
        <v>475</v>
      </c>
      <c r="D1853" s="5">
        <v>3000000</v>
      </c>
      <c r="E1853" s="1">
        <v>98382500</v>
      </c>
      <c r="F1853" s="1" t="s">
        <v>183</v>
      </c>
      <c r="G1853" s="1" t="s">
        <v>9</v>
      </c>
    </row>
    <row r="1854" spans="1:7" ht="15" customHeight="1" x14ac:dyDescent="0.25">
      <c r="A1854" s="3">
        <v>45832</v>
      </c>
      <c r="B1854" s="1">
        <v>2025001030</v>
      </c>
      <c r="C1854" s="1" t="s">
        <v>468</v>
      </c>
      <c r="D1854" s="5">
        <v>6000000</v>
      </c>
      <c r="E1854" s="1">
        <v>59837608</v>
      </c>
      <c r="F1854" s="1" t="s">
        <v>145</v>
      </c>
      <c r="G1854" s="1" t="s">
        <v>9</v>
      </c>
    </row>
    <row r="1855" spans="1:7" ht="15" customHeight="1" x14ac:dyDescent="0.25">
      <c r="A1855" s="3">
        <v>45832</v>
      </c>
      <c r="B1855" s="1">
        <v>2025001031</v>
      </c>
      <c r="C1855" s="1" t="s">
        <v>558</v>
      </c>
      <c r="D1855" s="5">
        <v>3000000</v>
      </c>
      <c r="E1855" s="1">
        <v>1088733625</v>
      </c>
      <c r="F1855" s="1" t="s">
        <v>559</v>
      </c>
      <c r="G1855" s="1" t="s">
        <v>9</v>
      </c>
    </row>
    <row r="1856" spans="1:7" ht="15" customHeight="1" x14ac:dyDescent="0.25">
      <c r="A1856" s="2">
        <v>45833</v>
      </c>
      <c r="B1856">
        <v>2025001036</v>
      </c>
      <c r="C1856" t="s">
        <v>582</v>
      </c>
      <c r="D1856" s="11">
        <v>1400000</v>
      </c>
      <c r="E1856">
        <v>1014212900</v>
      </c>
      <c r="F1856" t="s">
        <v>583</v>
      </c>
      <c r="G1856" t="s">
        <v>565</v>
      </c>
    </row>
    <row r="1857" spans="1:8" ht="15" customHeight="1" x14ac:dyDescent="0.25">
      <c r="A1857" s="3">
        <v>45834</v>
      </c>
      <c r="B1857" s="1">
        <v>2025001037</v>
      </c>
      <c r="C1857" s="1" t="s">
        <v>545</v>
      </c>
      <c r="D1857" s="5">
        <v>3000000</v>
      </c>
      <c r="E1857" s="1">
        <v>13069881</v>
      </c>
      <c r="F1857" s="1" t="s">
        <v>546</v>
      </c>
      <c r="G1857" s="1" t="s">
        <v>9</v>
      </c>
    </row>
    <row r="1858" spans="1:8" ht="15" customHeight="1" x14ac:dyDescent="0.25">
      <c r="A1858" s="3">
        <v>45834</v>
      </c>
      <c r="B1858" s="1">
        <v>2025001038</v>
      </c>
      <c r="C1858" s="1" t="s">
        <v>445</v>
      </c>
      <c r="D1858" s="5">
        <v>4750000</v>
      </c>
      <c r="E1858" s="1">
        <v>59824313</v>
      </c>
      <c r="F1858" s="1" t="s">
        <v>151</v>
      </c>
      <c r="G1858" s="1" t="s">
        <v>9</v>
      </c>
    </row>
    <row r="1859" spans="1:8" ht="15" customHeight="1" x14ac:dyDescent="0.25">
      <c r="A1859" s="3">
        <v>45834</v>
      </c>
      <c r="B1859" s="1">
        <v>2025001040</v>
      </c>
      <c r="C1859" s="1" t="s">
        <v>461</v>
      </c>
      <c r="D1859" s="5">
        <v>3000000</v>
      </c>
      <c r="E1859" s="1">
        <v>1004232508</v>
      </c>
      <c r="F1859" s="1" t="s">
        <v>109</v>
      </c>
      <c r="G1859" s="1" t="s">
        <v>9</v>
      </c>
    </row>
    <row r="1860" spans="1:8" ht="15" customHeight="1" x14ac:dyDescent="0.25">
      <c r="A1860" s="3">
        <v>45834</v>
      </c>
      <c r="B1860" s="1">
        <v>2025001041</v>
      </c>
      <c r="C1860" s="1" t="s">
        <v>462</v>
      </c>
      <c r="D1860" s="5">
        <v>4750000</v>
      </c>
      <c r="E1860" s="1">
        <v>59816986</v>
      </c>
      <c r="F1860" s="1" t="s">
        <v>415</v>
      </c>
      <c r="G1860" s="1" t="s">
        <v>9</v>
      </c>
    </row>
    <row r="1861" spans="1:8" ht="15" customHeight="1" x14ac:dyDescent="0.25">
      <c r="A1861" s="2">
        <v>45834</v>
      </c>
      <c r="B1861">
        <v>2025001042</v>
      </c>
      <c r="C1861" t="s">
        <v>586</v>
      </c>
      <c r="D1861" s="11">
        <v>6000000</v>
      </c>
      <c r="E1861">
        <v>1085245375</v>
      </c>
      <c r="F1861" t="s">
        <v>587</v>
      </c>
      <c r="G1861" t="s">
        <v>565</v>
      </c>
    </row>
    <row r="1862" spans="1:8" ht="15" customHeight="1" x14ac:dyDescent="0.25">
      <c r="A1862" s="3">
        <v>45834</v>
      </c>
      <c r="B1862" s="1">
        <v>2025001043</v>
      </c>
      <c r="C1862" s="1" t="s">
        <v>558</v>
      </c>
      <c r="D1862" s="5">
        <v>3000000</v>
      </c>
      <c r="E1862" s="1">
        <v>1088733625</v>
      </c>
      <c r="F1862" s="1" t="s">
        <v>559</v>
      </c>
      <c r="G1862" s="1" t="s">
        <v>9</v>
      </c>
    </row>
    <row r="1863" spans="1:8" ht="15" customHeight="1" x14ac:dyDescent="0.25">
      <c r="A1863" s="3">
        <v>45834</v>
      </c>
      <c r="B1863" s="1">
        <v>2025001044</v>
      </c>
      <c r="C1863" s="1" t="s">
        <v>472</v>
      </c>
      <c r="D1863" s="5">
        <v>3000000</v>
      </c>
      <c r="E1863" s="1">
        <v>1233188273</v>
      </c>
      <c r="F1863" s="1" t="s">
        <v>473</v>
      </c>
      <c r="G1863" s="1" t="s">
        <v>9</v>
      </c>
    </row>
    <row r="1864" spans="1:8" ht="15" customHeight="1" x14ac:dyDescent="0.25">
      <c r="A1864" s="3">
        <v>45834</v>
      </c>
      <c r="B1864" s="1">
        <v>2025001045</v>
      </c>
      <c r="C1864" s="1" t="s">
        <v>549</v>
      </c>
      <c r="D1864" s="5">
        <v>2500000</v>
      </c>
      <c r="E1864" s="1">
        <v>1233189896</v>
      </c>
      <c r="F1864" s="1" t="s">
        <v>279</v>
      </c>
      <c r="G1864" s="1" t="s">
        <v>9</v>
      </c>
    </row>
    <row r="1865" spans="1:8" ht="15" customHeight="1" x14ac:dyDescent="0.25">
      <c r="A1865" s="3">
        <v>45834</v>
      </c>
      <c r="B1865" s="1">
        <v>2025001047</v>
      </c>
      <c r="C1865" s="1" t="s">
        <v>480</v>
      </c>
      <c r="D1865" s="5">
        <v>4750000</v>
      </c>
      <c r="E1865" s="1">
        <v>1085331141</v>
      </c>
      <c r="F1865" s="1" t="s">
        <v>481</v>
      </c>
      <c r="G1865" s="1" t="s">
        <v>9</v>
      </c>
    </row>
    <row r="1866" spans="1:8" ht="15" customHeight="1" x14ac:dyDescent="0.25">
      <c r="A1866" s="3">
        <v>45834</v>
      </c>
      <c r="B1866" s="1">
        <v>2025001048</v>
      </c>
      <c r="C1866" s="1" t="s">
        <v>484</v>
      </c>
      <c r="D1866" s="5">
        <v>3000000</v>
      </c>
      <c r="E1866" s="1">
        <v>37083324</v>
      </c>
      <c r="F1866" s="1" t="s">
        <v>485</v>
      </c>
      <c r="G1866" s="1" t="s">
        <v>9</v>
      </c>
    </row>
    <row r="1867" spans="1:8" ht="15" customHeight="1" x14ac:dyDescent="0.25">
      <c r="A1867" s="3">
        <v>45834</v>
      </c>
      <c r="B1867" s="1">
        <v>2025001049</v>
      </c>
      <c r="C1867" s="1" t="s">
        <v>444</v>
      </c>
      <c r="D1867" s="5">
        <v>3000000</v>
      </c>
      <c r="E1867" s="1">
        <v>1004234290</v>
      </c>
      <c r="F1867" s="1" t="s">
        <v>237</v>
      </c>
      <c r="G1867" s="1" t="s">
        <v>9</v>
      </c>
    </row>
    <row r="1868" spans="1:8" ht="15" customHeight="1" x14ac:dyDescent="0.25">
      <c r="A1868" s="3">
        <v>45834</v>
      </c>
      <c r="B1868" s="1">
        <v>2025001050</v>
      </c>
      <c r="C1868" s="1" t="s">
        <v>554</v>
      </c>
      <c r="D1868" s="5">
        <v>3000000</v>
      </c>
      <c r="E1868" s="1">
        <v>1081572043</v>
      </c>
      <c r="F1868" s="1" t="s">
        <v>555</v>
      </c>
      <c r="G1868" s="1" t="s">
        <v>9</v>
      </c>
    </row>
    <row r="1869" spans="1:8" ht="15" customHeight="1" x14ac:dyDescent="0.25">
      <c r="A1869" s="2">
        <v>45834</v>
      </c>
      <c r="B1869">
        <v>2025001052</v>
      </c>
      <c r="C1869" t="s">
        <v>570</v>
      </c>
      <c r="D1869" s="11">
        <v>4750000</v>
      </c>
      <c r="E1869">
        <v>27087475</v>
      </c>
      <c r="F1869" t="s">
        <v>571</v>
      </c>
      <c r="G1869" t="s">
        <v>565</v>
      </c>
    </row>
    <row r="1870" spans="1:8" ht="15" customHeight="1" x14ac:dyDescent="0.25">
      <c r="A1870" s="3">
        <v>45834</v>
      </c>
      <c r="B1870" s="1">
        <v>2025001053</v>
      </c>
      <c r="C1870" s="1" t="s">
        <v>560</v>
      </c>
      <c r="D1870" s="5">
        <v>400000</v>
      </c>
      <c r="E1870" s="1">
        <v>1085324685</v>
      </c>
      <c r="F1870" s="1" t="s">
        <v>561</v>
      </c>
      <c r="G1870" s="1" t="s">
        <v>9</v>
      </c>
      <c r="H1870" s="1" t="s">
        <v>2605</v>
      </c>
    </row>
    <row r="1871" spans="1:8" ht="15" customHeight="1" x14ac:dyDescent="0.25">
      <c r="A1871" s="3">
        <v>45834</v>
      </c>
      <c r="B1871" s="1">
        <v>2025001054</v>
      </c>
      <c r="C1871" s="1" t="s">
        <v>519</v>
      </c>
      <c r="D1871" s="5">
        <v>2500000</v>
      </c>
      <c r="E1871" s="1">
        <v>37087268</v>
      </c>
      <c r="F1871" s="1" t="s">
        <v>257</v>
      </c>
      <c r="G1871" s="1" t="s">
        <v>9</v>
      </c>
    </row>
    <row r="1872" spans="1:8" ht="15" customHeight="1" x14ac:dyDescent="0.25">
      <c r="A1872" s="3">
        <v>45834</v>
      </c>
      <c r="B1872" s="1">
        <v>2025001055</v>
      </c>
      <c r="C1872" s="1" t="s">
        <v>538</v>
      </c>
      <c r="D1872" s="5">
        <v>2500000</v>
      </c>
      <c r="E1872" s="1">
        <v>27087720</v>
      </c>
      <c r="F1872" s="1" t="s">
        <v>539</v>
      </c>
      <c r="G1872" s="1" t="s">
        <v>9</v>
      </c>
    </row>
    <row r="1873" spans="1:7" ht="15" customHeight="1" x14ac:dyDescent="0.25">
      <c r="A1873" s="3">
        <v>45834</v>
      </c>
      <c r="B1873" s="1">
        <v>2025001056</v>
      </c>
      <c r="C1873" s="1" t="s">
        <v>458</v>
      </c>
      <c r="D1873" s="5">
        <v>3000000</v>
      </c>
      <c r="E1873" s="1">
        <v>1010082397</v>
      </c>
      <c r="F1873" s="1" t="s">
        <v>209</v>
      </c>
      <c r="G1873" s="1" t="s">
        <v>9</v>
      </c>
    </row>
    <row r="1874" spans="1:7" ht="15" customHeight="1" x14ac:dyDescent="0.25">
      <c r="A1874" s="3">
        <v>45834</v>
      </c>
      <c r="B1874" s="1">
        <v>2025001057</v>
      </c>
      <c r="C1874" s="1" t="s">
        <v>452</v>
      </c>
      <c r="D1874" s="5">
        <v>6000000</v>
      </c>
      <c r="E1874" s="1">
        <v>36757221</v>
      </c>
      <c r="F1874" s="1" t="s">
        <v>453</v>
      </c>
      <c r="G1874" s="1" t="s">
        <v>9</v>
      </c>
    </row>
    <row r="1875" spans="1:7" ht="15" customHeight="1" x14ac:dyDescent="0.25">
      <c r="A1875" s="3">
        <v>45834</v>
      </c>
      <c r="B1875" s="1">
        <v>2025001063</v>
      </c>
      <c r="C1875" s="1" t="s">
        <v>550</v>
      </c>
      <c r="D1875" s="5">
        <v>3000000</v>
      </c>
      <c r="E1875" s="1">
        <v>69028150</v>
      </c>
      <c r="F1875" s="1" t="s">
        <v>171</v>
      </c>
      <c r="G1875" s="1" t="s">
        <v>9</v>
      </c>
    </row>
    <row r="1876" spans="1:7" ht="15" customHeight="1" x14ac:dyDescent="0.25">
      <c r="A1876" s="3">
        <v>45834</v>
      </c>
      <c r="B1876" s="1">
        <v>2025001064</v>
      </c>
      <c r="C1876" s="1" t="s">
        <v>512</v>
      </c>
      <c r="D1876" s="5">
        <v>4750000</v>
      </c>
      <c r="E1876" s="1">
        <v>1085313870</v>
      </c>
      <c r="F1876" s="1" t="s">
        <v>513</v>
      </c>
      <c r="G1876" s="1" t="s">
        <v>9</v>
      </c>
    </row>
    <row r="1877" spans="1:7" ht="15" customHeight="1" x14ac:dyDescent="0.25">
      <c r="A1877" s="3">
        <v>45834</v>
      </c>
      <c r="B1877" s="1">
        <v>2025001065</v>
      </c>
      <c r="C1877" s="1" t="s">
        <v>508</v>
      </c>
      <c r="D1877" s="5">
        <v>4825000</v>
      </c>
      <c r="E1877" s="1">
        <v>1085324891</v>
      </c>
      <c r="F1877" s="1" t="s">
        <v>509</v>
      </c>
      <c r="G1877" s="1" t="s">
        <v>9</v>
      </c>
    </row>
    <row r="1878" spans="1:7" ht="15" customHeight="1" x14ac:dyDescent="0.25">
      <c r="A1878" s="3">
        <v>45834</v>
      </c>
      <c r="B1878" s="1">
        <v>2025001067</v>
      </c>
      <c r="C1878" s="1" t="s">
        <v>533</v>
      </c>
      <c r="D1878" s="5">
        <v>2500000</v>
      </c>
      <c r="E1878" s="1">
        <v>12974849</v>
      </c>
      <c r="F1878" s="1" t="s">
        <v>51</v>
      </c>
      <c r="G1878" s="1" t="s">
        <v>9</v>
      </c>
    </row>
    <row r="1879" spans="1:7" ht="15" customHeight="1" x14ac:dyDescent="0.25">
      <c r="A1879" s="2">
        <v>45834</v>
      </c>
      <c r="B1879">
        <v>2025001068</v>
      </c>
      <c r="C1879" t="s">
        <v>577</v>
      </c>
      <c r="D1879" s="11">
        <v>2500000</v>
      </c>
      <c r="E1879">
        <v>1233188479</v>
      </c>
      <c r="F1879" t="s">
        <v>578</v>
      </c>
      <c r="G1879" t="s">
        <v>565</v>
      </c>
    </row>
    <row r="1880" spans="1:7" ht="15" customHeight="1" x14ac:dyDescent="0.25">
      <c r="A1880" s="3">
        <v>45834</v>
      </c>
      <c r="B1880" s="1">
        <v>2025001069</v>
      </c>
      <c r="C1880" s="1" t="s">
        <v>497</v>
      </c>
      <c r="D1880" s="5">
        <v>4750000</v>
      </c>
      <c r="E1880" s="1">
        <v>59312865</v>
      </c>
      <c r="F1880" s="1" t="s">
        <v>127</v>
      </c>
      <c r="G1880" s="1" t="s">
        <v>9</v>
      </c>
    </row>
    <row r="1881" spans="1:7" ht="15" customHeight="1" x14ac:dyDescent="0.25">
      <c r="A1881" s="3">
        <v>45834</v>
      </c>
      <c r="B1881" s="1">
        <v>2025001070</v>
      </c>
      <c r="C1881" s="1" t="s">
        <v>526</v>
      </c>
      <c r="D1881" s="5">
        <v>6000000</v>
      </c>
      <c r="E1881" s="1">
        <v>1085275879</v>
      </c>
      <c r="F1881" s="1" t="s">
        <v>117</v>
      </c>
      <c r="G1881" s="1" t="s">
        <v>9</v>
      </c>
    </row>
    <row r="1882" spans="1:7" ht="15" customHeight="1" x14ac:dyDescent="0.25">
      <c r="A1882" s="3">
        <v>45834</v>
      </c>
      <c r="B1882" s="1">
        <v>2025001071</v>
      </c>
      <c r="C1882" s="1" t="s">
        <v>541</v>
      </c>
      <c r="D1882" s="5">
        <v>2500000</v>
      </c>
      <c r="E1882" s="1">
        <v>1085320930</v>
      </c>
      <c r="F1882" s="1" t="s">
        <v>259</v>
      </c>
      <c r="G1882" s="1" t="s">
        <v>9</v>
      </c>
    </row>
    <row r="1883" spans="1:7" ht="15" customHeight="1" x14ac:dyDescent="0.25">
      <c r="A1883" s="3">
        <v>45841</v>
      </c>
      <c r="B1883" s="1">
        <v>2025001101</v>
      </c>
      <c r="C1883" s="1" t="s">
        <v>446</v>
      </c>
      <c r="D1883" s="5">
        <v>4825000</v>
      </c>
      <c r="E1883" s="1">
        <v>12748383</v>
      </c>
      <c r="F1883" s="1" t="s">
        <v>447</v>
      </c>
      <c r="G1883" s="1" t="s">
        <v>9</v>
      </c>
    </row>
    <row r="1884" spans="1:7" ht="15" customHeight="1" x14ac:dyDescent="0.25">
      <c r="A1884" s="3">
        <v>45841</v>
      </c>
      <c r="B1884" s="1">
        <v>2025001102</v>
      </c>
      <c r="C1884" s="1" t="s">
        <v>454</v>
      </c>
      <c r="D1884" s="5">
        <v>3000000</v>
      </c>
      <c r="E1884" s="1">
        <v>1086223299</v>
      </c>
      <c r="F1884" s="1" t="s">
        <v>455</v>
      </c>
      <c r="G1884" s="1" t="s">
        <v>9</v>
      </c>
    </row>
    <row r="1885" spans="1:7" ht="15" customHeight="1" x14ac:dyDescent="0.25">
      <c r="A1885" s="3">
        <v>45842</v>
      </c>
      <c r="B1885" s="1">
        <v>2025001103</v>
      </c>
      <c r="C1885" s="1" t="s">
        <v>456</v>
      </c>
      <c r="D1885" s="5">
        <v>6000000</v>
      </c>
      <c r="E1885" s="1">
        <v>59820414</v>
      </c>
      <c r="F1885" s="1" t="s">
        <v>457</v>
      </c>
      <c r="G1885" s="1" t="s">
        <v>9</v>
      </c>
    </row>
    <row r="1886" spans="1:7" ht="15" customHeight="1" x14ac:dyDescent="0.25">
      <c r="A1886" s="3">
        <v>45842</v>
      </c>
      <c r="B1886" s="1">
        <v>2025001104</v>
      </c>
      <c r="C1886" s="1" t="s">
        <v>451</v>
      </c>
      <c r="D1886" s="5">
        <v>3000000</v>
      </c>
      <c r="E1886" s="1">
        <v>37084285</v>
      </c>
      <c r="F1886" s="1" t="s">
        <v>119</v>
      </c>
      <c r="G1886" s="1" t="s">
        <v>9</v>
      </c>
    </row>
    <row r="1887" spans="1:7" ht="15" customHeight="1" x14ac:dyDescent="0.25">
      <c r="A1887" s="2">
        <v>45842</v>
      </c>
      <c r="B1887">
        <v>2025001105</v>
      </c>
      <c r="C1887" t="s">
        <v>588</v>
      </c>
      <c r="D1887" s="11">
        <v>3000000</v>
      </c>
      <c r="E1887">
        <v>1085314138</v>
      </c>
      <c r="F1887" t="s">
        <v>589</v>
      </c>
      <c r="G1887" t="s">
        <v>565</v>
      </c>
    </row>
    <row r="1888" spans="1:7" ht="15" customHeight="1" x14ac:dyDescent="0.25">
      <c r="A1888" s="3">
        <v>45842</v>
      </c>
      <c r="B1888" s="1">
        <v>2025001107</v>
      </c>
      <c r="C1888" s="1" t="s">
        <v>478</v>
      </c>
      <c r="D1888" s="5">
        <v>3000000</v>
      </c>
      <c r="E1888" s="1">
        <v>1085326791</v>
      </c>
      <c r="F1888" s="1" t="s">
        <v>479</v>
      </c>
      <c r="G1888" s="1" t="s">
        <v>9</v>
      </c>
    </row>
    <row r="1889" spans="1:7" ht="15" customHeight="1" x14ac:dyDescent="0.25">
      <c r="A1889" s="3">
        <v>45842</v>
      </c>
      <c r="B1889" s="1">
        <v>2025001108</v>
      </c>
      <c r="C1889" s="1" t="s">
        <v>495</v>
      </c>
      <c r="D1889" s="5">
        <v>3000000</v>
      </c>
      <c r="E1889" s="1">
        <v>27436186</v>
      </c>
      <c r="F1889" s="1" t="s">
        <v>496</v>
      </c>
      <c r="G1889" s="1" t="s">
        <v>9</v>
      </c>
    </row>
    <row r="1890" spans="1:7" ht="15" customHeight="1" x14ac:dyDescent="0.25">
      <c r="A1890" s="3">
        <v>45842</v>
      </c>
      <c r="B1890" s="1">
        <v>2025001109</v>
      </c>
      <c r="C1890" s="1" t="s">
        <v>529</v>
      </c>
      <c r="D1890" s="5">
        <v>4750000</v>
      </c>
      <c r="E1890" s="1">
        <v>27190772</v>
      </c>
      <c r="F1890" s="1" t="s">
        <v>530</v>
      </c>
      <c r="G1890" s="1" t="s">
        <v>9</v>
      </c>
    </row>
    <row r="1891" spans="1:7" ht="15" customHeight="1" x14ac:dyDescent="0.25">
      <c r="A1891" s="3">
        <v>45842</v>
      </c>
      <c r="B1891" s="1">
        <v>2025001110</v>
      </c>
      <c r="C1891" s="1" t="s">
        <v>553</v>
      </c>
      <c r="D1891" s="5">
        <v>3000000</v>
      </c>
      <c r="E1891" s="1">
        <v>1085339190</v>
      </c>
      <c r="F1891" s="1" t="s">
        <v>149</v>
      </c>
      <c r="G1891" s="1" t="s">
        <v>9</v>
      </c>
    </row>
    <row r="1892" spans="1:7" ht="15" customHeight="1" x14ac:dyDescent="0.25">
      <c r="A1892" s="3">
        <v>45842</v>
      </c>
      <c r="B1892" s="1">
        <v>2025001111</v>
      </c>
      <c r="C1892" s="1" t="s">
        <v>547</v>
      </c>
      <c r="D1892" s="5">
        <v>3000000</v>
      </c>
      <c r="E1892" s="1">
        <v>1082747438</v>
      </c>
      <c r="F1892" s="1" t="s">
        <v>548</v>
      </c>
      <c r="G1892" s="1" t="s">
        <v>9</v>
      </c>
    </row>
    <row r="1893" spans="1:7" ht="15" customHeight="1" x14ac:dyDescent="0.25">
      <c r="A1893" s="2">
        <v>45842</v>
      </c>
      <c r="B1893">
        <v>2025001112</v>
      </c>
      <c r="C1893" t="s">
        <v>590</v>
      </c>
      <c r="D1893" s="11">
        <v>7500000</v>
      </c>
      <c r="E1893">
        <v>1233192708</v>
      </c>
      <c r="F1893" t="s">
        <v>591</v>
      </c>
      <c r="G1893" t="s">
        <v>565</v>
      </c>
    </row>
    <row r="1894" spans="1:7" ht="15" customHeight="1" x14ac:dyDescent="0.25">
      <c r="A1894" s="3">
        <v>45842</v>
      </c>
      <c r="B1894" s="1">
        <v>2025001113</v>
      </c>
      <c r="C1894" s="1" t="s">
        <v>449</v>
      </c>
      <c r="D1894" s="5">
        <v>6000000</v>
      </c>
      <c r="E1894" s="1">
        <v>1082748420</v>
      </c>
      <c r="F1894" s="1" t="s">
        <v>450</v>
      </c>
      <c r="G1894" s="1" t="s">
        <v>9</v>
      </c>
    </row>
    <row r="1895" spans="1:7" ht="15" customHeight="1" x14ac:dyDescent="0.25">
      <c r="A1895" s="2">
        <v>45842</v>
      </c>
      <c r="B1895">
        <v>2025001121</v>
      </c>
      <c r="C1895" t="s">
        <v>573</v>
      </c>
      <c r="D1895" s="11">
        <v>3000000</v>
      </c>
      <c r="E1895">
        <v>1085286725</v>
      </c>
      <c r="F1895" t="s">
        <v>111</v>
      </c>
      <c r="G1895" t="s">
        <v>565</v>
      </c>
    </row>
    <row r="1896" spans="1:7" ht="15" customHeight="1" x14ac:dyDescent="0.25">
      <c r="A1896" s="2">
        <v>45842</v>
      </c>
      <c r="B1896">
        <v>2025001122</v>
      </c>
      <c r="C1896" t="s">
        <v>576</v>
      </c>
      <c r="D1896" s="11">
        <v>3000000</v>
      </c>
      <c r="E1896">
        <v>59813323</v>
      </c>
      <c r="F1896" t="s">
        <v>103</v>
      </c>
      <c r="G1896" t="s">
        <v>565</v>
      </c>
    </row>
    <row r="1897" spans="1:7" ht="15" customHeight="1" x14ac:dyDescent="0.25">
      <c r="A1897" s="3">
        <v>45842</v>
      </c>
      <c r="B1897" s="1">
        <v>2025001123</v>
      </c>
      <c r="C1897" s="1" t="s">
        <v>514</v>
      </c>
      <c r="D1897" s="5">
        <v>4825000</v>
      </c>
      <c r="E1897" s="1">
        <v>27088141</v>
      </c>
      <c r="F1897" s="1" t="s">
        <v>515</v>
      </c>
      <c r="G1897" s="1" t="s">
        <v>9</v>
      </c>
    </row>
    <row r="1898" spans="1:7" ht="15" customHeight="1" x14ac:dyDescent="0.25">
      <c r="A1898" s="3">
        <v>45842</v>
      </c>
      <c r="B1898" s="1">
        <v>2025001126</v>
      </c>
      <c r="C1898" s="1" t="s">
        <v>531</v>
      </c>
      <c r="D1898" s="5">
        <v>4750000</v>
      </c>
      <c r="E1898" s="1">
        <v>13069636</v>
      </c>
      <c r="F1898" s="1" t="s">
        <v>532</v>
      </c>
      <c r="G1898" s="1" t="s">
        <v>9</v>
      </c>
    </row>
    <row r="1899" spans="1:7" ht="15" customHeight="1" x14ac:dyDescent="0.25">
      <c r="A1899" s="3">
        <v>45842</v>
      </c>
      <c r="B1899" s="1">
        <v>2025001127</v>
      </c>
      <c r="C1899" s="1" t="s">
        <v>522</v>
      </c>
      <c r="D1899" s="5">
        <v>3000000</v>
      </c>
      <c r="E1899" s="1">
        <v>1233191675</v>
      </c>
      <c r="F1899" s="1" t="s">
        <v>523</v>
      </c>
      <c r="G1899" s="1" t="s">
        <v>9</v>
      </c>
    </row>
    <row r="1900" spans="1:7" ht="15" customHeight="1" x14ac:dyDescent="0.25">
      <c r="A1900" s="3">
        <v>45842</v>
      </c>
      <c r="B1900" s="1">
        <v>2025001128</v>
      </c>
      <c r="C1900" s="1" t="s">
        <v>551</v>
      </c>
      <c r="D1900" s="5">
        <v>3000000</v>
      </c>
      <c r="E1900" s="1">
        <v>1004598784</v>
      </c>
      <c r="F1900" s="1" t="s">
        <v>552</v>
      </c>
      <c r="G1900" s="1" t="s">
        <v>9</v>
      </c>
    </row>
    <row r="1901" spans="1:7" ht="15" customHeight="1" x14ac:dyDescent="0.25">
      <c r="A1901" s="3">
        <v>45842</v>
      </c>
      <c r="B1901" s="1">
        <v>2025001129</v>
      </c>
      <c r="C1901" s="1" t="s">
        <v>503</v>
      </c>
      <c r="D1901" s="5">
        <v>3000000</v>
      </c>
      <c r="E1901" s="1">
        <v>30743783</v>
      </c>
      <c r="F1901" s="1" t="s">
        <v>504</v>
      </c>
      <c r="G1901" s="1" t="s">
        <v>9</v>
      </c>
    </row>
    <row r="1902" spans="1:7" ht="15" customHeight="1" x14ac:dyDescent="0.25">
      <c r="A1902" s="3">
        <v>45842</v>
      </c>
      <c r="B1902" s="1">
        <v>2025001130</v>
      </c>
      <c r="C1902" s="1" t="s">
        <v>506</v>
      </c>
      <c r="D1902" s="5">
        <v>3000000</v>
      </c>
      <c r="E1902" s="1">
        <v>1004535234</v>
      </c>
      <c r="F1902" s="1" t="s">
        <v>507</v>
      </c>
      <c r="G1902" s="1" t="s">
        <v>9</v>
      </c>
    </row>
    <row r="1903" spans="1:7" ht="15" customHeight="1" x14ac:dyDescent="0.25">
      <c r="A1903" s="3">
        <v>45846</v>
      </c>
      <c r="B1903" s="1">
        <v>2025001185</v>
      </c>
      <c r="C1903" s="1" t="s">
        <v>542</v>
      </c>
      <c r="D1903" s="5">
        <v>2500000</v>
      </c>
      <c r="E1903" s="1">
        <v>1088729401</v>
      </c>
      <c r="F1903" s="1" t="s">
        <v>543</v>
      </c>
      <c r="G1903" s="1" t="s">
        <v>9</v>
      </c>
    </row>
    <row r="1904" spans="1:7" ht="15" customHeight="1" x14ac:dyDescent="0.25">
      <c r="A1904" s="2">
        <v>45846</v>
      </c>
      <c r="B1904">
        <v>2025001186</v>
      </c>
      <c r="C1904" t="s">
        <v>582</v>
      </c>
      <c r="D1904" s="11">
        <v>6000000</v>
      </c>
      <c r="E1904">
        <v>1014212900</v>
      </c>
      <c r="F1904" t="s">
        <v>583</v>
      </c>
      <c r="G1904" t="s">
        <v>565</v>
      </c>
    </row>
    <row r="1905" spans="1:7" ht="15" customHeight="1" x14ac:dyDescent="0.25">
      <c r="A1905" s="2">
        <v>45846</v>
      </c>
      <c r="B1905">
        <v>2025001187</v>
      </c>
      <c r="C1905" t="s">
        <v>579</v>
      </c>
      <c r="D1905" s="11">
        <v>3000000</v>
      </c>
      <c r="E1905">
        <v>1004437571</v>
      </c>
      <c r="F1905" t="s">
        <v>580</v>
      </c>
      <c r="G1905" t="s">
        <v>565</v>
      </c>
    </row>
    <row r="1906" spans="1:7" ht="15" customHeight="1" x14ac:dyDescent="0.25">
      <c r="A1906" s="2">
        <v>45846</v>
      </c>
      <c r="B1906">
        <v>2025001188</v>
      </c>
      <c r="C1906" t="s">
        <v>590</v>
      </c>
      <c r="D1906" s="11">
        <v>7500000</v>
      </c>
      <c r="E1906">
        <v>1233192708</v>
      </c>
      <c r="F1906" t="s">
        <v>591</v>
      </c>
      <c r="G1906" t="s">
        <v>565</v>
      </c>
    </row>
    <row r="1907" spans="1:7" ht="15" customHeight="1" x14ac:dyDescent="0.25">
      <c r="A1907" s="3">
        <v>45846</v>
      </c>
      <c r="B1907" s="1">
        <v>2025001190</v>
      </c>
      <c r="C1907" s="1" t="s">
        <v>486</v>
      </c>
      <c r="D1907" s="5">
        <v>2500000</v>
      </c>
      <c r="E1907" s="1">
        <v>1085347173</v>
      </c>
      <c r="F1907" s="1" t="s">
        <v>487</v>
      </c>
      <c r="G1907" s="1" t="s">
        <v>9</v>
      </c>
    </row>
    <row r="1908" spans="1:7" ht="15" customHeight="1" x14ac:dyDescent="0.25">
      <c r="A1908" s="3">
        <v>45847</v>
      </c>
      <c r="B1908" s="1">
        <v>2025001195</v>
      </c>
      <c r="C1908" s="1" t="s">
        <v>556</v>
      </c>
      <c r="D1908" s="5">
        <v>2500000</v>
      </c>
      <c r="E1908" s="1">
        <v>30736949</v>
      </c>
      <c r="F1908" s="1" t="s">
        <v>557</v>
      </c>
      <c r="G1908" s="1" t="s">
        <v>9</v>
      </c>
    </row>
    <row r="1909" spans="1:7" ht="15" customHeight="1" x14ac:dyDescent="0.25">
      <c r="A1909" s="2">
        <v>45847</v>
      </c>
      <c r="B1909">
        <v>2025001196</v>
      </c>
      <c r="C1909" t="s">
        <v>592</v>
      </c>
      <c r="D1909" s="11">
        <v>6000000</v>
      </c>
      <c r="E1909">
        <v>36954410</v>
      </c>
      <c r="F1909" t="s">
        <v>343</v>
      </c>
      <c r="G1909" t="s">
        <v>565</v>
      </c>
    </row>
    <row r="1910" spans="1:7" ht="15" customHeight="1" x14ac:dyDescent="0.25">
      <c r="A1910" s="2">
        <v>45847</v>
      </c>
      <c r="B1910">
        <v>2025001197</v>
      </c>
      <c r="C1910" t="s">
        <v>593</v>
      </c>
      <c r="D1910" s="11">
        <v>6000000</v>
      </c>
      <c r="E1910">
        <v>1085253062</v>
      </c>
      <c r="F1910" t="s">
        <v>31</v>
      </c>
      <c r="G1910" t="s">
        <v>565</v>
      </c>
    </row>
    <row r="1911" spans="1:7" ht="15" customHeight="1" x14ac:dyDescent="0.25">
      <c r="A1911" s="2">
        <v>45847</v>
      </c>
      <c r="B1911">
        <v>2025001198</v>
      </c>
      <c r="C1911" t="s">
        <v>572</v>
      </c>
      <c r="D1911" s="11">
        <v>82375000</v>
      </c>
      <c r="E1911">
        <v>900633448</v>
      </c>
      <c r="F1911" t="s">
        <v>165</v>
      </c>
      <c r="G1911" t="s">
        <v>565</v>
      </c>
    </row>
    <row r="1912" spans="1:7" ht="15" customHeight="1" x14ac:dyDescent="0.25">
      <c r="A1912" s="3">
        <v>45847</v>
      </c>
      <c r="B1912" s="1">
        <v>2025001199</v>
      </c>
      <c r="C1912" s="1" t="s">
        <v>505</v>
      </c>
      <c r="D1912" s="5">
        <v>3000000</v>
      </c>
      <c r="E1912" s="1">
        <v>1085286742</v>
      </c>
      <c r="F1912" s="1" t="s">
        <v>75</v>
      </c>
      <c r="G1912" s="1" t="s">
        <v>9</v>
      </c>
    </row>
    <row r="1913" spans="1:7" ht="15" customHeight="1" x14ac:dyDescent="0.25">
      <c r="A1913" s="3">
        <v>45847</v>
      </c>
      <c r="B1913" s="1">
        <v>2025001201</v>
      </c>
      <c r="C1913" s="1" t="s">
        <v>534</v>
      </c>
      <c r="D1913" s="5">
        <v>3000000</v>
      </c>
      <c r="E1913" s="1">
        <v>1081592303</v>
      </c>
      <c r="F1913" s="1" t="s">
        <v>562</v>
      </c>
      <c r="G1913" s="1" t="s">
        <v>9</v>
      </c>
    </row>
    <row r="1914" spans="1:7" ht="15" customHeight="1" x14ac:dyDescent="0.25">
      <c r="A1914" s="3">
        <v>45847</v>
      </c>
      <c r="B1914" s="1">
        <v>2025001205</v>
      </c>
      <c r="C1914" s="1" t="s">
        <v>491</v>
      </c>
      <c r="D1914" s="5">
        <v>3000000</v>
      </c>
      <c r="E1914" s="1">
        <v>13070330</v>
      </c>
      <c r="F1914" s="1" t="s">
        <v>101</v>
      </c>
      <c r="G1914" s="1" t="s">
        <v>9</v>
      </c>
    </row>
    <row r="1915" spans="1:7" ht="15" customHeight="1" x14ac:dyDescent="0.25">
      <c r="A1915" s="3">
        <v>45847</v>
      </c>
      <c r="B1915" s="1">
        <v>2025001207</v>
      </c>
      <c r="C1915" s="1" t="s">
        <v>524</v>
      </c>
      <c r="D1915" s="5">
        <v>3000000</v>
      </c>
      <c r="E1915" s="1">
        <v>27388522</v>
      </c>
      <c r="F1915" s="1" t="s">
        <v>525</v>
      </c>
      <c r="G1915" s="1" t="s">
        <v>9</v>
      </c>
    </row>
    <row r="1916" spans="1:7" ht="15" customHeight="1" x14ac:dyDescent="0.25">
      <c r="A1916" s="3">
        <v>45847</v>
      </c>
      <c r="B1916" s="1">
        <v>2025001208</v>
      </c>
      <c r="C1916" s="1" t="s">
        <v>544</v>
      </c>
      <c r="D1916" s="5">
        <v>4750000</v>
      </c>
      <c r="E1916" s="1">
        <v>1085345772</v>
      </c>
      <c r="F1916" s="1" t="s">
        <v>221</v>
      </c>
      <c r="G1916" s="1" t="s">
        <v>9</v>
      </c>
    </row>
    <row r="1917" spans="1:7" ht="15" customHeight="1" x14ac:dyDescent="0.25">
      <c r="A1917" s="3">
        <v>45847</v>
      </c>
      <c r="B1917" s="1">
        <v>2025001209</v>
      </c>
      <c r="C1917" s="1" t="s">
        <v>535</v>
      </c>
      <c r="D1917" s="5">
        <v>4750000</v>
      </c>
      <c r="E1917" s="1">
        <v>1085260497</v>
      </c>
      <c r="F1917" s="1" t="s">
        <v>429</v>
      </c>
      <c r="G1917" s="1" t="s">
        <v>9</v>
      </c>
    </row>
    <row r="1918" spans="1:7" ht="15" customHeight="1" x14ac:dyDescent="0.25">
      <c r="A1918" s="3">
        <v>45847</v>
      </c>
      <c r="B1918" s="1">
        <v>2025001210</v>
      </c>
      <c r="C1918" s="1" t="s">
        <v>510</v>
      </c>
      <c r="D1918" s="5">
        <v>3000000</v>
      </c>
      <c r="E1918" s="1">
        <v>1004216993</v>
      </c>
      <c r="F1918" s="1" t="s">
        <v>511</v>
      </c>
      <c r="G1918" s="1" t="s">
        <v>9</v>
      </c>
    </row>
    <row r="1919" spans="1:7" ht="15" customHeight="1" x14ac:dyDescent="0.25">
      <c r="A1919" s="2">
        <v>45847</v>
      </c>
      <c r="B1919">
        <v>2025001211</v>
      </c>
      <c r="C1919" t="s">
        <v>594</v>
      </c>
      <c r="D1919" s="11">
        <v>3000000</v>
      </c>
      <c r="E1919">
        <v>27082649</v>
      </c>
      <c r="F1919" t="s">
        <v>595</v>
      </c>
      <c r="G1919" t="s">
        <v>565</v>
      </c>
    </row>
    <row r="1920" spans="1:7" ht="15" customHeight="1" x14ac:dyDescent="0.25">
      <c r="A1920" s="3">
        <v>45847</v>
      </c>
      <c r="B1920" s="1">
        <v>2025001212</v>
      </c>
      <c r="C1920" s="1" t="s">
        <v>490</v>
      </c>
      <c r="D1920" s="5">
        <v>4750000</v>
      </c>
      <c r="E1920" s="1">
        <v>1085318684</v>
      </c>
      <c r="F1920" s="1" t="s">
        <v>355</v>
      </c>
      <c r="G1920" s="1" t="s">
        <v>9</v>
      </c>
    </row>
    <row r="1921" spans="1:7" ht="15" customHeight="1" x14ac:dyDescent="0.25">
      <c r="A1921" s="3">
        <v>45847</v>
      </c>
      <c r="B1921" s="1">
        <v>2025001213</v>
      </c>
      <c r="C1921" s="1" t="s">
        <v>476</v>
      </c>
      <c r="D1921" s="5">
        <v>3000000</v>
      </c>
      <c r="E1921" s="1">
        <v>1004235479</v>
      </c>
      <c r="F1921" s="1" t="s">
        <v>477</v>
      </c>
      <c r="G1921" s="1" t="s">
        <v>9</v>
      </c>
    </row>
    <row r="1922" spans="1:7" ht="15" customHeight="1" x14ac:dyDescent="0.25">
      <c r="A1922" s="3">
        <v>45847</v>
      </c>
      <c r="B1922" s="1">
        <v>2025001215</v>
      </c>
      <c r="C1922" s="1" t="s">
        <v>488</v>
      </c>
      <c r="D1922" s="5">
        <v>3000000</v>
      </c>
      <c r="E1922" s="1">
        <v>1085288636</v>
      </c>
      <c r="F1922" s="1" t="s">
        <v>405</v>
      </c>
      <c r="G1922" s="1" t="s">
        <v>9</v>
      </c>
    </row>
    <row r="1923" spans="1:7" ht="15" customHeight="1" x14ac:dyDescent="0.25">
      <c r="A1923" s="3">
        <v>45848</v>
      </c>
      <c r="B1923" s="1">
        <v>2025001227</v>
      </c>
      <c r="C1923" s="1" t="s">
        <v>442</v>
      </c>
      <c r="D1923" s="5">
        <v>3000000</v>
      </c>
      <c r="E1923" s="1">
        <v>1086329609</v>
      </c>
      <c r="F1923" s="1" t="s">
        <v>443</v>
      </c>
      <c r="G1923" s="1" t="s">
        <v>9</v>
      </c>
    </row>
    <row r="1924" spans="1:7" ht="15" customHeight="1" x14ac:dyDescent="0.25">
      <c r="A1924" s="2">
        <v>45849</v>
      </c>
      <c r="B1924">
        <v>2025001238</v>
      </c>
      <c r="C1924" t="s">
        <v>596</v>
      </c>
      <c r="D1924" s="11">
        <v>6000000</v>
      </c>
      <c r="E1924">
        <v>1233193716</v>
      </c>
      <c r="F1924" t="s">
        <v>597</v>
      </c>
      <c r="G1924" t="s">
        <v>565</v>
      </c>
    </row>
    <row r="1925" spans="1:7" ht="15" customHeight="1" x14ac:dyDescent="0.25">
      <c r="A1925" s="2">
        <v>45862</v>
      </c>
      <c r="B1925">
        <v>2025001445</v>
      </c>
      <c r="C1925" t="s">
        <v>581</v>
      </c>
      <c r="D1925" s="11">
        <v>2500000</v>
      </c>
      <c r="E1925">
        <v>1081052090</v>
      </c>
      <c r="F1925" t="s">
        <v>319</v>
      </c>
      <c r="G1925" t="s">
        <v>565</v>
      </c>
    </row>
    <row r="1926" spans="1:7" ht="15" customHeight="1" x14ac:dyDescent="0.25">
      <c r="A1926" s="2">
        <v>45867</v>
      </c>
      <c r="B1926">
        <v>2025001462</v>
      </c>
      <c r="C1926" t="s">
        <v>1270</v>
      </c>
      <c r="D1926" s="11">
        <v>4825000</v>
      </c>
      <c r="E1926">
        <v>36751052</v>
      </c>
      <c r="F1926" t="s">
        <v>1271</v>
      </c>
      <c r="G1926" t="s">
        <v>1094</v>
      </c>
    </row>
    <row r="1927" spans="1:7" ht="15" customHeight="1" x14ac:dyDescent="0.25">
      <c r="A1927" s="3">
        <v>45873</v>
      </c>
      <c r="B1927" s="1">
        <v>2025001499</v>
      </c>
      <c r="C1927" s="1" t="s">
        <v>540</v>
      </c>
      <c r="D1927" s="5">
        <v>1500000</v>
      </c>
      <c r="E1927" s="1">
        <v>1089243630</v>
      </c>
      <c r="F1927" s="1" t="s">
        <v>197</v>
      </c>
      <c r="G1927" s="1" t="s">
        <v>9</v>
      </c>
    </row>
    <row r="1928" spans="1:7" ht="15" customHeight="1" x14ac:dyDescent="0.25">
      <c r="A1928" s="3">
        <v>45881</v>
      </c>
      <c r="B1928" s="1">
        <v>2025001566</v>
      </c>
      <c r="C1928" s="1" t="s">
        <v>563</v>
      </c>
      <c r="D1928" s="5">
        <v>3000000</v>
      </c>
      <c r="E1928" s="1">
        <v>36757213</v>
      </c>
      <c r="F1928" s="1" t="s">
        <v>411</v>
      </c>
      <c r="G1928" s="1" t="s">
        <v>9</v>
      </c>
    </row>
    <row r="1929" spans="1:7" ht="15" customHeight="1" x14ac:dyDescent="0.25">
      <c r="A1929" s="3">
        <v>45908</v>
      </c>
      <c r="B1929" s="1">
        <v>2025001840</v>
      </c>
      <c r="C1929" s="1" t="s">
        <v>502</v>
      </c>
      <c r="D1929" s="5">
        <v>6000000</v>
      </c>
      <c r="E1929" s="1">
        <v>1085248939</v>
      </c>
      <c r="F1929" s="1" t="s">
        <v>437</v>
      </c>
      <c r="G1929" s="1" t="s">
        <v>9</v>
      </c>
    </row>
    <row r="1930" spans="1:7" ht="15" customHeight="1" x14ac:dyDescent="0.25">
      <c r="A1930" s="2">
        <v>45944</v>
      </c>
      <c r="B1930">
        <v>2025002229</v>
      </c>
      <c r="C1930" t="s">
        <v>1754</v>
      </c>
      <c r="D1930" s="11">
        <v>3150000</v>
      </c>
      <c r="E1930">
        <v>30743783</v>
      </c>
      <c r="F1930" t="s">
        <v>504</v>
      </c>
      <c r="G1930" t="s">
        <v>1755</v>
      </c>
    </row>
    <row r="1931" spans="1:7" ht="15" customHeight="1" x14ac:dyDescent="0.25">
      <c r="A1931" s="2">
        <v>45944</v>
      </c>
      <c r="B1931">
        <v>2025002236</v>
      </c>
      <c r="C1931" t="s">
        <v>1756</v>
      </c>
      <c r="D1931" s="11">
        <v>3150000</v>
      </c>
      <c r="E1931">
        <v>1081053045</v>
      </c>
      <c r="F1931" t="s">
        <v>1757</v>
      </c>
      <c r="G1931" t="s">
        <v>1755</v>
      </c>
    </row>
    <row r="1932" spans="1:7" ht="15" customHeight="1" x14ac:dyDescent="0.25">
      <c r="A1932" s="2">
        <v>45944</v>
      </c>
      <c r="B1932">
        <v>2025002237</v>
      </c>
      <c r="C1932" t="s">
        <v>1758</v>
      </c>
      <c r="D1932" s="11">
        <v>1575000</v>
      </c>
      <c r="E1932">
        <v>1085317226</v>
      </c>
      <c r="F1932" t="s">
        <v>1759</v>
      </c>
      <c r="G1932" t="s">
        <v>1755</v>
      </c>
    </row>
    <row r="1933" spans="1:7" ht="15" customHeight="1" x14ac:dyDescent="0.25">
      <c r="A1933" s="2">
        <v>45944</v>
      </c>
      <c r="B1933">
        <v>2025002242</v>
      </c>
      <c r="C1933" t="s">
        <v>1760</v>
      </c>
      <c r="D1933" s="11">
        <v>3150000</v>
      </c>
      <c r="E1933">
        <v>1085269090</v>
      </c>
      <c r="F1933" t="s">
        <v>371</v>
      </c>
      <c r="G1933" t="s">
        <v>1755</v>
      </c>
    </row>
    <row r="1934" spans="1:7" ht="15" customHeight="1" x14ac:dyDescent="0.25">
      <c r="A1934" s="2">
        <v>45944</v>
      </c>
      <c r="B1934">
        <v>2025002243</v>
      </c>
      <c r="C1934" t="s">
        <v>1761</v>
      </c>
      <c r="D1934" s="11">
        <v>3150000</v>
      </c>
      <c r="E1934">
        <v>1086329609</v>
      </c>
      <c r="F1934" t="s">
        <v>443</v>
      </c>
      <c r="G1934" t="s">
        <v>1755</v>
      </c>
    </row>
    <row r="1935" spans="1:7" ht="15" customHeight="1" x14ac:dyDescent="0.25">
      <c r="A1935" s="2">
        <v>45944</v>
      </c>
      <c r="B1935">
        <v>2025002244</v>
      </c>
      <c r="C1935" t="s">
        <v>1762</v>
      </c>
      <c r="D1935" s="11">
        <v>3150000</v>
      </c>
      <c r="E1935">
        <v>59837608</v>
      </c>
      <c r="F1935" t="s">
        <v>145</v>
      </c>
      <c r="G1935" t="s">
        <v>1755</v>
      </c>
    </row>
    <row r="1936" spans="1:7" ht="15" customHeight="1" x14ac:dyDescent="0.25">
      <c r="A1936" s="2">
        <v>45944</v>
      </c>
      <c r="B1936">
        <v>2025002247</v>
      </c>
      <c r="C1936" t="s">
        <v>1763</v>
      </c>
      <c r="D1936" s="11">
        <v>4730000</v>
      </c>
      <c r="E1936">
        <v>1193383306</v>
      </c>
      <c r="F1936" t="s">
        <v>267</v>
      </c>
      <c r="G1936" t="s">
        <v>1755</v>
      </c>
    </row>
    <row r="1937" spans="1:7" ht="15" customHeight="1" x14ac:dyDescent="0.25">
      <c r="A1937" s="2">
        <v>45945</v>
      </c>
      <c r="B1937">
        <v>2025002254</v>
      </c>
      <c r="C1937" t="s">
        <v>1764</v>
      </c>
      <c r="D1937" s="11">
        <v>151250000</v>
      </c>
      <c r="E1937">
        <v>900994364</v>
      </c>
      <c r="F1937" t="s">
        <v>269</v>
      </c>
      <c r="G1937" t="s">
        <v>1755</v>
      </c>
    </row>
    <row r="1938" spans="1:7" ht="15" customHeight="1" x14ac:dyDescent="0.25">
      <c r="A1938" s="2">
        <v>45945</v>
      </c>
      <c r="B1938">
        <v>2025002255</v>
      </c>
      <c r="C1938" t="s">
        <v>1765</v>
      </c>
      <c r="D1938" s="11">
        <v>6300000</v>
      </c>
      <c r="E1938">
        <v>1085347312</v>
      </c>
      <c r="F1938" t="s">
        <v>1766</v>
      </c>
      <c r="G1938" t="s">
        <v>1755</v>
      </c>
    </row>
    <row r="1939" spans="1:7" ht="15" customHeight="1" x14ac:dyDescent="0.25">
      <c r="A1939" s="2">
        <v>45945</v>
      </c>
      <c r="B1939">
        <v>2025002256</v>
      </c>
      <c r="C1939" t="s">
        <v>1767</v>
      </c>
      <c r="D1939" s="11">
        <v>3150000</v>
      </c>
      <c r="E1939">
        <v>37084285</v>
      </c>
      <c r="F1939" t="s">
        <v>119</v>
      </c>
      <c r="G1939" t="s">
        <v>1755</v>
      </c>
    </row>
    <row r="1940" spans="1:7" ht="15" customHeight="1" x14ac:dyDescent="0.25">
      <c r="A1940" s="2">
        <v>45945</v>
      </c>
      <c r="B1940">
        <v>2025002257</v>
      </c>
      <c r="C1940" t="s">
        <v>1768</v>
      </c>
      <c r="D1940" s="11">
        <v>3150000</v>
      </c>
      <c r="E1940">
        <v>59122805</v>
      </c>
      <c r="F1940" t="s">
        <v>1769</v>
      </c>
      <c r="G1940" t="s">
        <v>1755</v>
      </c>
    </row>
    <row r="1941" spans="1:7" ht="15" customHeight="1" x14ac:dyDescent="0.25">
      <c r="A1941" s="2">
        <v>45945</v>
      </c>
      <c r="B1941">
        <v>2025002258</v>
      </c>
      <c r="C1941" t="s">
        <v>1770</v>
      </c>
      <c r="D1941" s="11">
        <v>6300000</v>
      </c>
      <c r="E1941">
        <v>97470681</v>
      </c>
      <c r="F1941" t="s">
        <v>329</v>
      </c>
      <c r="G1941" t="s">
        <v>1755</v>
      </c>
    </row>
    <row r="1942" spans="1:7" ht="15" customHeight="1" x14ac:dyDescent="0.25">
      <c r="A1942" s="2">
        <v>45945</v>
      </c>
      <c r="B1942">
        <v>2025002259</v>
      </c>
      <c r="C1942" t="s">
        <v>1771</v>
      </c>
      <c r="D1942" s="11">
        <v>3150000</v>
      </c>
      <c r="E1942">
        <v>36953590</v>
      </c>
      <c r="F1942" t="s">
        <v>1772</v>
      </c>
      <c r="G1942" t="s">
        <v>1755</v>
      </c>
    </row>
    <row r="1943" spans="1:7" ht="15" customHeight="1" x14ac:dyDescent="0.25">
      <c r="A1943" s="2">
        <v>45945</v>
      </c>
      <c r="B1943">
        <v>2025002260</v>
      </c>
      <c r="C1943" t="s">
        <v>1773</v>
      </c>
      <c r="D1943" s="11">
        <v>6300000</v>
      </c>
      <c r="E1943">
        <v>1053793750</v>
      </c>
      <c r="F1943" t="s">
        <v>1774</v>
      </c>
      <c r="G1943" t="s">
        <v>1755</v>
      </c>
    </row>
    <row r="1944" spans="1:7" ht="15" customHeight="1" x14ac:dyDescent="0.25">
      <c r="A1944" s="2">
        <v>45945</v>
      </c>
      <c r="B1944">
        <v>2025002261</v>
      </c>
      <c r="C1944" t="s">
        <v>1775</v>
      </c>
      <c r="D1944" s="11">
        <v>3150000</v>
      </c>
      <c r="E1944">
        <v>1193224810</v>
      </c>
      <c r="F1944" t="s">
        <v>409</v>
      </c>
      <c r="G1944" t="s">
        <v>1755</v>
      </c>
    </row>
    <row r="1945" spans="1:7" ht="15" customHeight="1" x14ac:dyDescent="0.25">
      <c r="A1945" s="2">
        <v>45945</v>
      </c>
      <c r="B1945">
        <v>2025002262</v>
      </c>
      <c r="C1945" t="s">
        <v>1776</v>
      </c>
      <c r="D1945" s="11">
        <v>1575000</v>
      </c>
      <c r="E1945">
        <v>1082749295</v>
      </c>
      <c r="F1945" t="s">
        <v>1777</v>
      </c>
      <c r="G1945" t="s">
        <v>1755</v>
      </c>
    </row>
    <row r="1946" spans="1:7" ht="15" customHeight="1" x14ac:dyDescent="0.25">
      <c r="A1946" s="2">
        <v>45946</v>
      </c>
      <c r="B1946">
        <v>2025002278</v>
      </c>
      <c r="C1946" t="s">
        <v>1778</v>
      </c>
      <c r="D1946" s="11">
        <v>3150000</v>
      </c>
      <c r="E1946">
        <v>1085343154</v>
      </c>
      <c r="F1946" t="s">
        <v>1779</v>
      </c>
      <c r="G1946" t="s">
        <v>1755</v>
      </c>
    </row>
    <row r="1947" spans="1:7" ht="15" customHeight="1" x14ac:dyDescent="0.25">
      <c r="A1947" s="2">
        <v>45946</v>
      </c>
      <c r="B1947">
        <v>2025002279</v>
      </c>
      <c r="C1947" t="s">
        <v>1780</v>
      </c>
      <c r="D1947" s="11">
        <v>3150000</v>
      </c>
      <c r="E1947">
        <v>98382500</v>
      </c>
      <c r="F1947" t="s">
        <v>183</v>
      </c>
      <c r="G1947" t="s">
        <v>1755</v>
      </c>
    </row>
    <row r="1948" spans="1:7" ht="15" customHeight="1" x14ac:dyDescent="0.25">
      <c r="A1948" s="2">
        <v>45946</v>
      </c>
      <c r="B1948">
        <v>2025002280</v>
      </c>
      <c r="C1948" t="s">
        <v>1781</v>
      </c>
      <c r="D1948" s="11">
        <v>3150000</v>
      </c>
      <c r="E1948">
        <v>59311295</v>
      </c>
      <c r="F1948" t="s">
        <v>797</v>
      </c>
      <c r="G1948" t="s">
        <v>1755</v>
      </c>
    </row>
    <row r="1949" spans="1:7" ht="15" customHeight="1" x14ac:dyDescent="0.25">
      <c r="A1949" s="2">
        <v>45946</v>
      </c>
      <c r="B1949">
        <v>2025002281</v>
      </c>
      <c r="C1949" t="s">
        <v>1782</v>
      </c>
      <c r="D1949" s="11">
        <v>7800000</v>
      </c>
      <c r="E1949">
        <v>1233192708</v>
      </c>
      <c r="F1949" t="s">
        <v>591</v>
      </c>
      <c r="G1949" t="s">
        <v>1755</v>
      </c>
    </row>
    <row r="1950" spans="1:7" ht="15" customHeight="1" x14ac:dyDescent="0.25">
      <c r="A1950" s="2">
        <v>45946</v>
      </c>
      <c r="B1950">
        <v>2025002282</v>
      </c>
      <c r="C1950" t="s">
        <v>1783</v>
      </c>
      <c r="D1950" s="11">
        <v>6300000</v>
      </c>
      <c r="E1950">
        <v>59836480</v>
      </c>
      <c r="F1950" t="s">
        <v>1195</v>
      </c>
      <c r="G1950" t="s">
        <v>1755</v>
      </c>
    </row>
    <row r="1951" spans="1:7" ht="15" customHeight="1" x14ac:dyDescent="0.25">
      <c r="A1951" s="2">
        <v>45946</v>
      </c>
      <c r="B1951">
        <v>2025002283</v>
      </c>
      <c r="C1951" t="s">
        <v>1784</v>
      </c>
      <c r="D1951" s="11">
        <v>3150000</v>
      </c>
      <c r="E1951">
        <v>1192717330</v>
      </c>
      <c r="F1951" t="s">
        <v>277</v>
      </c>
      <c r="G1951" t="s">
        <v>1755</v>
      </c>
    </row>
    <row r="1952" spans="1:7" ht="15" customHeight="1" x14ac:dyDescent="0.25">
      <c r="A1952" s="2">
        <v>45946</v>
      </c>
      <c r="B1952">
        <v>2025002284</v>
      </c>
      <c r="C1952" t="s">
        <v>1785</v>
      </c>
      <c r="D1952" s="11">
        <v>3150000</v>
      </c>
      <c r="E1952">
        <v>27082649</v>
      </c>
      <c r="F1952" t="s">
        <v>595</v>
      </c>
      <c r="G1952" t="s">
        <v>1755</v>
      </c>
    </row>
    <row r="1953" spans="1:7" ht="15" customHeight="1" x14ac:dyDescent="0.25">
      <c r="A1953" s="2">
        <v>45946</v>
      </c>
      <c r="B1953">
        <v>2025002298</v>
      </c>
      <c r="C1953" t="s">
        <v>1786</v>
      </c>
      <c r="D1953" s="11">
        <v>3150000</v>
      </c>
      <c r="E1953">
        <v>1085252263</v>
      </c>
      <c r="F1953" t="s">
        <v>33</v>
      </c>
      <c r="G1953" t="s">
        <v>1755</v>
      </c>
    </row>
    <row r="1954" spans="1:7" ht="15" customHeight="1" x14ac:dyDescent="0.25">
      <c r="A1954" s="2">
        <v>45946</v>
      </c>
      <c r="B1954">
        <v>2025002301</v>
      </c>
      <c r="C1954" t="s">
        <v>1789</v>
      </c>
      <c r="D1954" s="11">
        <v>6300000</v>
      </c>
      <c r="E1954">
        <v>59825948</v>
      </c>
      <c r="F1954" t="s">
        <v>1192</v>
      </c>
      <c r="G1954" t="s">
        <v>1755</v>
      </c>
    </row>
    <row r="1955" spans="1:7" ht="15" customHeight="1" x14ac:dyDescent="0.25">
      <c r="A1955" s="2">
        <v>45946</v>
      </c>
      <c r="B1955">
        <v>2025002304</v>
      </c>
      <c r="C1955" s="4" t="s">
        <v>1787</v>
      </c>
      <c r="D1955" s="11">
        <v>1575000</v>
      </c>
      <c r="E1955">
        <v>27087122</v>
      </c>
      <c r="F1955" s="4" t="s">
        <v>1788</v>
      </c>
      <c r="G1955" t="s">
        <v>1755</v>
      </c>
    </row>
    <row r="1956" spans="1:7" ht="15" customHeight="1" x14ac:dyDescent="0.25">
      <c r="A1956" s="2">
        <v>45946</v>
      </c>
      <c r="B1956">
        <v>2025002306</v>
      </c>
      <c r="C1956" t="s">
        <v>1790</v>
      </c>
      <c r="D1956" s="11">
        <v>6300000</v>
      </c>
      <c r="E1956">
        <v>1010010954</v>
      </c>
      <c r="F1956" t="s">
        <v>337</v>
      </c>
      <c r="G1956" t="s">
        <v>1755</v>
      </c>
    </row>
    <row r="1957" spans="1:7" ht="15" customHeight="1" x14ac:dyDescent="0.25">
      <c r="A1957" s="2">
        <v>45947</v>
      </c>
      <c r="B1957">
        <v>2025002314</v>
      </c>
      <c r="C1957" t="s">
        <v>1791</v>
      </c>
      <c r="D1957" s="11">
        <v>4730000</v>
      </c>
      <c r="E1957">
        <v>1085343783</v>
      </c>
      <c r="F1957" t="s">
        <v>735</v>
      </c>
      <c r="G1957" t="s">
        <v>1755</v>
      </c>
    </row>
    <row r="1958" spans="1:7" ht="15" customHeight="1" x14ac:dyDescent="0.25">
      <c r="A1958" s="2">
        <v>45947</v>
      </c>
      <c r="B1958">
        <v>2025002315</v>
      </c>
      <c r="C1958" t="s">
        <v>1792</v>
      </c>
      <c r="D1958" s="11">
        <v>3150000</v>
      </c>
      <c r="E1958">
        <v>1085300095</v>
      </c>
      <c r="F1958" t="s">
        <v>201</v>
      </c>
      <c r="G1958" t="s">
        <v>1755</v>
      </c>
    </row>
    <row r="1959" spans="1:7" ht="15" customHeight="1" x14ac:dyDescent="0.25">
      <c r="A1959" s="2">
        <v>45947</v>
      </c>
      <c r="B1959">
        <v>2025002316</v>
      </c>
      <c r="C1959" t="s">
        <v>1793</v>
      </c>
      <c r="D1959" s="11">
        <v>3150000</v>
      </c>
      <c r="E1959">
        <v>1081272656</v>
      </c>
      <c r="F1959" t="s">
        <v>963</v>
      </c>
      <c r="G1959" t="s">
        <v>1755</v>
      </c>
    </row>
    <row r="1960" spans="1:7" ht="15" customHeight="1" x14ac:dyDescent="0.25">
      <c r="A1960" s="2">
        <v>45947</v>
      </c>
      <c r="B1960">
        <v>2025002317</v>
      </c>
      <c r="C1960" t="s">
        <v>1794</v>
      </c>
      <c r="D1960" s="11">
        <v>3150000</v>
      </c>
      <c r="E1960">
        <v>27088197</v>
      </c>
      <c r="F1960" t="s">
        <v>1235</v>
      </c>
      <c r="G1960" t="s">
        <v>1755</v>
      </c>
    </row>
    <row r="1961" spans="1:7" ht="15" customHeight="1" x14ac:dyDescent="0.25">
      <c r="A1961" s="2">
        <v>45947</v>
      </c>
      <c r="B1961">
        <v>2025002318</v>
      </c>
      <c r="C1961" t="s">
        <v>1795</v>
      </c>
      <c r="D1961" s="11">
        <v>6300000</v>
      </c>
      <c r="E1961">
        <v>1085286476</v>
      </c>
      <c r="F1961" t="s">
        <v>385</v>
      </c>
      <c r="G1961" t="s">
        <v>1755</v>
      </c>
    </row>
    <row r="1962" spans="1:7" ht="15" customHeight="1" x14ac:dyDescent="0.25">
      <c r="A1962" s="2">
        <v>45947</v>
      </c>
      <c r="B1962">
        <v>2025002319</v>
      </c>
      <c r="C1962" t="s">
        <v>1796</v>
      </c>
      <c r="D1962" s="11">
        <v>3150000</v>
      </c>
      <c r="E1962">
        <v>36952916</v>
      </c>
      <c r="F1962" t="s">
        <v>1797</v>
      </c>
      <c r="G1962" t="s">
        <v>1755</v>
      </c>
    </row>
    <row r="1963" spans="1:7" ht="15" customHeight="1" x14ac:dyDescent="0.25">
      <c r="A1963" s="2">
        <v>45947</v>
      </c>
      <c r="B1963">
        <v>2025002320</v>
      </c>
      <c r="C1963" t="s">
        <v>1798</v>
      </c>
      <c r="D1963" s="11">
        <v>3150000</v>
      </c>
      <c r="E1963">
        <v>1081272025</v>
      </c>
      <c r="F1963" t="s">
        <v>59</v>
      </c>
      <c r="G1963" t="s">
        <v>1755</v>
      </c>
    </row>
    <row r="1964" spans="1:7" ht="15" customHeight="1" x14ac:dyDescent="0.25">
      <c r="A1964" s="2">
        <v>45947</v>
      </c>
      <c r="B1964">
        <v>2025002321</v>
      </c>
      <c r="C1964" t="s">
        <v>1799</v>
      </c>
      <c r="D1964" s="11">
        <v>3150000</v>
      </c>
      <c r="E1964">
        <v>1080690337</v>
      </c>
      <c r="F1964" t="s">
        <v>1086</v>
      </c>
      <c r="G1964" t="s">
        <v>1755</v>
      </c>
    </row>
    <row r="1965" spans="1:7" ht="15" customHeight="1" x14ac:dyDescent="0.25">
      <c r="A1965" s="2">
        <v>45947</v>
      </c>
      <c r="B1965">
        <v>2025002322</v>
      </c>
      <c r="C1965" t="s">
        <v>1800</v>
      </c>
      <c r="D1965" s="11">
        <v>3150000</v>
      </c>
      <c r="E1965">
        <v>1081572043</v>
      </c>
      <c r="F1965" t="s">
        <v>555</v>
      </c>
      <c r="G1965" t="s">
        <v>1755</v>
      </c>
    </row>
    <row r="1966" spans="1:7" ht="15" customHeight="1" x14ac:dyDescent="0.25">
      <c r="A1966" s="2">
        <v>45947</v>
      </c>
      <c r="B1966">
        <v>2025002323</v>
      </c>
      <c r="C1966" t="s">
        <v>1801</v>
      </c>
      <c r="D1966" s="11">
        <v>3150000</v>
      </c>
      <c r="E1966">
        <v>1085265947</v>
      </c>
      <c r="F1966" t="s">
        <v>1802</v>
      </c>
      <c r="G1966" t="s">
        <v>1755</v>
      </c>
    </row>
    <row r="1967" spans="1:7" ht="15" customHeight="1" x14ac:dyDescent="0.25">
      <c r="A1967" s="2">
        <v>45950</v>
      </c>
      <c r="B1967">
        <v>2025002328</v>
      </c>
      <c r="C1967" t="s">
        <v>1803</v>
      </c>
      <c r="D1967" s="11">
        <v>3150000</v>
      </c>
      <c r="E1967">
        <v>1085339190</v>
      </c>
      <c r="F1967" t="s">
        <v>149</v>
      </c>
      <c r="G1967" t="s">
        <v>1755</v>
      </c>
    </row>
    <row r="1968" spans="1:7" ht="15" customHeight="1" x14ac:dyDescent="0.25">
      <c r="A1968" s="2">
        <v>45950</v>
      </c>
      <c r="B1968">
        <v>2025002329</v>
      </c>
      <c r="C1968" t="s">
        <v>1804</v>
      </c>
      <c r="D1968" s="11">
        <v>3150000</v>
      </c>
      <c r="E1968">
        <v>59314458</v>
      </c>
      <c r="F1968" t="s">
        <v>1233</v>
      </c>
      <c r="G1968" t="s">
        <v>1755</v>
      </c>
    </row>
    <row r="1969" spans="1:7" ht="15" customHeight="1" x14ac:dyDescent="0.25">
      <c r="A1969" s="2">
        <v>45950</v>
      </c>
      <c r="B1969">
        <v>2025002330</v>
      </c>
      <c r="C1969" t="s">
        <v>1805</v>
      </c>
      <c r="D1969" s="11">
        <v>3150000</v>
      </c>
      <c r="E1969">
        <v>1085315013</v>
      </c>
      <c r="F1969" t="s">
        <v>1158</v>
      </c>
      <c r="G1969" t="s">
        <v>1755</v>
      </c>
    </row>
    <row r="1970" spans="1:7" ht="15" customHeight="1" x14ac:dyDescent="0.25">
      <c r="A1970" s="2">
        <v>45950</v>
      </c>
      <c r="B1970">
        <v>2025002331</v>
      </c>
      <c r="C1970" t="s">
        <v>1806</v>
      </c>
      <c r="D1970" s="11">
        <v>3900000</v>
      </c>
      <c r="E1970">
        <v>1233193769</v>
      </c>
      <c r="F1970" t="s">
        <v>1807</v>
      </c>
      <c r="G1970" t="s">
        <v>1755</v>
      </c>
    </row>
    <row r="1971" spans="1:7" ht="15" customHeight="1" x14ac:dyDescent="0.25">
      <c r="A1971" s="2">
        <v>45950</v>
      </c>
      <c r="B1971">
        <v>2025002332</v>
      </c>
      <c r="C1971" t="s">
        <v>1808</v>
      </c>
      <c r="D1971" s="11">
        <v>3900000</v>
      </c>
      <c r="E1971">
        <v>1085274300</v>
      </c>
      <c r="F1971" t="s">
        <v>1809</v>
      </c>
      <c r="G1971" t="s">
        <v>1755</v>
      </c>
    </row>
    <row r="1972" spans="1:7" ht="15" customHeight="1" x14ac:dyDescent="0.25">
      <c r="A1972" s="2">
        <v>45950</v>
      </c>
      <c r="B1972">
        <v>2025002339</v>
      </c>
      <c r="C1972" t="s">
        <v>1810</v>
      </c>
      <c r="D1972" s="11">
        <v>3900000</v>
      </c>
      <c r="E1972">
        <v>1233188295</v>
      </c>
      <c r="F1972" t="s">
        <v>1811</v>
      </c>
      <c r="G1972" t="s">
        <v>1755</v>
      </c>
    </row>
    <row r="1973" spans="1:7" ht="15" customHeight="1" x14ac:dyDescent="0.25">
      <c r="A1973" s="2">
        <v>45950</v>
      </c>
      <c r="B1973">
        <v>2025002340</v>
      </c>
      <c r="C1973" t="s">
        <v>1812</v>
      </c>
      <c r="D1973" s="11">
        <v>3900000</v>
      </c>
      <c r="E1973">
        <v>1089846684</v>
      </c>
      <c r="F1973" t="s">
        <v>1813</v>
      </c>
      <c r="G1973" t="s">
        <v>1755</v>
      </c>
    </row>
    <row r="1974" spans="1:7" ht="15" customHeight="1" x14ac:dyDescent="0.25">
      <c r="A1974" s="2">
        <v>45950</v>
      </c>
      <c r="B1974">
        <v>2025002342</v>
      </c>
      <c r="C1974" t="s">
        <v>1814</v>
      </c>
      <c r="D1974" s="11">
        <v>3150000</v>
      </c>
      <c r="E1974">
        <v>1193383314</v>
      </c>
      <c r="F1974" t="s">
        <v>1815</v>
      </c>
      <c r="G1974" t="s">
        <v>1755</v>
      </c>
    </row>
    <row r="1975" spans="1:7" ht="15" customHeight="1" x14ac:dyDescent="0.25">
      <c r="A1975" s="2">
        <v>45950</v>
      </c>
      <c r="B1975">
        <v>2025002343</v>
      </c>
      <c r="C1975" t="s">
        <v>1816</v>
      </c>
      <c r="D1975" s="11">
        <v>1575000</v>
      </c>
      <c r="E1975">
        <v>37082272</v>
      </c>
      <c r="F1975" t="s">
        <v>1817</v>
      </c>
      <c r="G1975" t="s">
        <v>1755</v>
      </c>
    </row>
    <row r="1976" spans="1:7" ht="15" customHeight="1" x14ac:dyDescent="0.25">
      <c r="A1976" s="2">
        <v>45950</v>
      </c>
      <c r="B1976">
        <v>2025002344</v>
      </c>
      <c r="C1976" t="s">
        <v>1818</v>
      </c>
      <c r="D1976" s="11">
        <v>1575000</v>
      </c>
      <c r="E1976">
        <v>1085323163</v>
      </c>
      <c r="F1976" t="s">
        <v>1819</v>
      </c>
      <c r="G1976" t="s">
        <v>1755</v>
      </c>
    </row>
    <row r="1977" spans="1:7" ht="15" customHeight="1" x14ac:dyDescent="0.25">
      <c r="A1977" s="2">
        <v>45950</v>
      </c>
      <c r="B1977">
        <v>2025002345</v>
      </c>
      <c r="C1977" t="s">
        <v>1820</v>
      </c>
      <c r="D1977" s="11">
        <v>3150000</v>
      </c>
      <c r="E1977">
        <v>1085288636</v>
      </c>
      <c r="F1977" t="s">
        <v>405</v>
      </c>
      <c r="G1977" t="s">
        <v>1755</v>
      </c>
    </row>
    <row r="1978" spans="1:7" ht="15" customHeight="1" x14ac:dyDescent="0.25">
      <c r="A1978" s="2">
        <v>45950</v>
      </c>
      <c r="B1978">
        <v>2025002349</v>
      </c>
      <c r="C1978" t="s">
        <v>1821</v>
      </c>
      <c r="D1978" s="11">
        <v>3150000</v>
      </c>
      <c r="E1978">
        <v>1085255829</v>
      </c>
      <c r="F1978" t="s">
        <v>989</v>
      </c>
      <c r="G1978" t="s">
        <v>1755</v>
      </c>
    </row>
    <row r="1979" spans="1:7" ht="15" customHeight="1" x14ac:dyDescent="0.25">
      <c r="A1979" s="2">
        <v>45950</v>
      </c>
      <c r="B1979">
        <v>2025002351</v>
      </c>
      <c r="C1979" t="s">
        <v>1822</v>
      </c>
      <c r="D1979" s="11">
        <v>3150000</v>
      </c>
      <c r="E1979">
        <v>1004131976</v>
      </c>
      <c r="F1979" t="s">
        <v>1011</v>
      </c>
      <c r="G1979" t="s">
        <v>1755</v>
      </c>
    </row>
    <row r="1980" spans="1:7" ht="15" customHeight="1" x14ac:dyDescent="0.25">
      <c r="A1980" s="2">
        <v>45950</v>
      </c>
      <c r="B1980">
        <v>2025002353</v>
      </c>
      <c r="C1980" t="s">
        <v>1823</v>
      </c>
      <c r="D1980" s="11">
        <v>3150000</v>
      </c>
      <c r="E1980">
        <v>1085275473</v>
      </c>
      <c r="F1980" t="s">
        <v>693</v>
      </c>
      <c r="G1980" t="s">
        <v>1755</v>
      </c>
    </row>
    <row r="1981" spans="1:7" ht="15" customHeight="1" x14ac:dyDescent="0.25">
      <c r="A1981" s="2">
        <v>45951</v>
      </c>
      <c r="B1981">
        <v>2025002357</v>
      </c>
      <c r="C1981" t="s">
        <v>1824</v>
      </c>
      <c r="D1981" s="11">
        <v>4730000</v>
      </c>
      <c r="E1981">
        <v>36756149</v>
      </c>
      <c r="F1981" t="s">
        <v>1825</v>
      </c>
      <c r="G1981" t="s">
        <v>1755</v>
      </c>
    </row>
    <row r="1982" spans="1:7" ht="15" customHeight="1" x14ac:dyDescent="0.25">
      <c r="A1982" s="2">
        <v>45951</v>
      </c>
      <c r="B1982">
        <v>2025002361</v>
      </c>
      <c r="C1982" t="s">
        <v>1826</v>
      </c>
      <c r="D1982" s="11">
        <v>7800000</v>
      </c>
      <c r="E1982">
        <v>1233189066</v>
      </c>
      <c r="F1982" t="s">
        <v>239</v>
      </c>
      <c r="G1982" t="s">
        <v>1755</v>
      </c>
    </row>
    <row r="1983" spans="1:7" ht="15" customHeight="1" x14ac:dyDescent="0.25">
      <c r="A1983" s="2">
        <v>45951</v>
      </c>
      <c r="B1983">
        <v>2025002363</v>
      </c>
      <c r="C1983" t="s">
        <v>1827</v>
      </c>
      <c r="D1983" s="11">
        <v>3150000</v>
      </c>
      <c r="E1983">
        <v>1137624011</v>
      </c>
      <c r="F1983" t="s">
        <v>243</v>
      </c>
      <c r="G1983" t="s">
        <v>1755</v>
      </c>
    </row>
    <row r="1984" spans="1:7" ht="15" customHeight="1" x14ac:dyDescent="0.25">
      <c r="A1984" s="2">
        <v>45951</v>
      </c>
      <c r="B1984">
        <v>2025002365</v>
      </c>
      <c r="C1984" t="s">
        <v>1828</v>
      </c>
      <c r="D1984" s="11">
        <v>1575000</v>
      </c>
      <c r="E1984">
        <v>1086330124</v>
      </c>
      <c r="F1984" t="s">
        <v>1829</v>
      </c>
      <c r="G1984" t="s">
        <v>1755</v>
      </c>
    </row>
    <row r="1985" spans="1:7" ht="15" customHeight="1" x14ac:dyDescent="0.25">
      <c r="A1985" s="2">
        <v>45951</v>
      </c>
      <c r="B1985">
        <v>2025002366</v>
      </c>
      <c r="C1985" t="s">
        <v>1830</v>
      </c>
      <c r="D1985" s="11">
        <v>7800000</v>
      </c>
      <c r="E1985">
        <v>1084552063</v>
      </c>
      <c r="F1985" t="s">
        <v>1831</v>
      </c>
      <c r="G1985" t="s">
        <v>1755</v>
      </c>
    </row>
    <row r="1986" spans="1:7" ht="15" customHeight="1" x14ac:dyDescent="0.25">
      <c r="A1986" s="2">
        <v>45951</v>
      </c>
      <c r="B1986">
        <v>2025002367</v>
      </c>
      <c r="C1986" t="s">
        <v>1832</v>
      </c>
      <c r="D1986" s="11">
        <v>3150000</v>
      </c>
      <c r="E1986">
        <v>1004235479</v>
      </c>
      <c r="F1986" t="s">
        <v>477</v>
      </c>
      <c r="G1986" t="s">
        <v>1755</v>
      </c>
    </row>
    <row r="1987" spans="1:7" ht="15" customHeight="1" x14ac:dyDescent="0.25">
      <c r="A1987" s="2">
        <v>45951</v>
      </c>
      <c r="B1987">
        <v>2025002369</v>
      </c>
      <c r="C1987" t="s">
        <v>1833</v>
      </c>
      <c r="D1987" s="11">
        <v>6300000</v>
      </c>
      <c r="E1987">
        <v>59310291</v>
      </c>
      <c r="F1987" t="s">
        <v>1834</v>
      </c>
      <c r="G1987" t="s">
        <v>1755</v>
      </c>
    </row>
    <row r="1988" spans="1:7" ht="15" customHeight="1" x14ac:dyDescent="0.25">
      <c r="A1988" s="2">
        <v>45951</v>
      </c>
      <c r="B1988">
        <v>2025002370</v>
      </c>
      <c r="C1988" t="s">
        <v>1835</v>
      </c>
      <c r="D1988" s="11">
        <v>3150000</v>
      </c>
      <c r="E1988">
        <v>1085286725</v>
      </c>
      <c r="F1988" t="s">
        <v>111</v>
      </c>
      <c r="G1988" t="s">
        <v>1755</v>
      </c>
    </row>
    <row r="1989" spans="1:7" ht="15" customHeight="1" x14ac:dyDescent="0.25">
      <c r="A1989" s="2">
        <v>45951</v>
      </c>
      <c r="B1989">
        <v>2025002372</v>
      </c>
      <c r="C1989" t="s">
        <v>1836</v>
      </c>
      <c r="D1989" s="11">
        <v>4730000</v>
      </c>
      <c r="E1989">
        <v>36757491</v>
      </c>
      <c r="F1989" t="s">
        <v>1837</v>
      </c>
      <c r="G1989" t="s">
        <v>1755</v>
      </c>
    </row>
    <row r="1990" spans="1:7" ht="15" customHeight="1" x14ac:dyDescent="0.25">
      <c r="A1990" s="2">
        <v>45951</v>
      </c>
      <c r="B1990">
        <v>2025002373</v>
      </c>
      <c r="C1990" t="s">
        <v>1838</v>
      </c>
      <c r="D1990" s="11">
        <v>6300000</v>
      </c>
      <c r="E1990">
        <v>1084228089</v>
      </c>
      <c r="F1990" t="s">
        <v>1062</v>
      </c>
      <c r="G1990" t="s">
        <v>1755</v>
      </c>
    </row>
    <row r="1991" spans="1:7" ht="15" customHeight="1" x14ac:dyDescent="0.25">
      <c r="A1991" s="2">
        <v>45951</v>
      </c>
      <c r="B1991">
        <v>2025002374</v>
      </c>
      <c r="C1991" t="s">
        <v>1839</v>
      </c>
      <c r="D1991" s="11">
        <v>4730000</v>
      </c>
      <c r="E1991">
        <v>1085340885</v>
      </c>
      <c r="F1991" t="s">
        <v>1142</v>
      </c>
      <c r="G1991" t="s">
        <v>1755</v>
      </c>
    </row>
    <row r="1992" spans="1:7" ht="15" customHeight="1" x14ac:dyDescent="0.25">
      <c r="A1992" s="2">
        <v>45951</v>
      </c>
      <c r="B1992">
        <v>2025002375</v>
      </c>
      <c r="C1992" t="s">
        <v>1840</v>
      </c>
      <c r="D1992" s="11">
        <v>7800000</v>
      </c>
      <c r="E1992">
        <v>1085334279</v>
      </c>
      <c r="F1992" t="s">
        <v>1841</v>
      </c>
      <c r="G1992" t="s">
        <v>1755</v>
      </c>
    </row>
    <row r="1993" spans="1:7" ht="15" customHeight="1" x14ac:dyDescent="0.25">
      <c r="A1993" s="2">
        <v>45951</v>
      </c>
      <c r="B1993">
        <v>2025002376</v>
      </c>
      <c r="C1993" t="s">
        <v>1842</v>
      </c>
      <c r="D1993" s="11">
        <v>3150000</v>
      </c>
      <c r="E1993">
        <v>1089458776</v>
      </c>
      <c r="F1993" t="s">
        <v>1843</v>
      </c>
      <c r="G1993" t="s">
        <v>1755</v>
      </c>
    </row>
    <row r="1994" spans="1:7" ht="15" customHeight="1" x14ac:dyDescent="0.25">
      <c r="A1994" s="2">
        <v>45951</v>
      </c>
      <c r="B1994">
        <v>2025002377</v>
      </c>
      <c r="C1994" t="s">
        <v>1844</v>
      </c>
      <c r="D1994" s="11">
        <v>7800000</v>
      </c>
      <c r="E1994">
        <v>37087120</v>
      </c>
      <c r="F1994" t="s">
        <v>159</v>
      </c>
      <c r="G1994" t="s">
        <v>1755</v>
      </c>
    </row>
    <row r="1995" spans="1:7" ht="15" customHeight="1" x14ac:dyDescent="0.25">
      <c r="A1995" s="2">
        <v>45951</v>
      </c>
      <c r="B1995">
        <v>2025002378</v>
      </c>
      <c r="C1995" t="s">
        <v>1845</v>
      </c>
      <c r="D1995" s="11">
        <v>6300000</v>
      </c>
      <c r="E1995">
        <v>1084551863</v>
      </c>
      <c r="F1995" t="s">
        <v>1846</v>
      </c>
      <c r="G1995" t="s">
        <v>1755</v>
      </c>
    </row>
    <row r="1996" spans="1:7" ht="15" customHeight="1" x14ac:dyDescent="0.25">
      <c r="A1996" s="2">
        <v>45951</v>
      </c>
      <c r="B1996">
        <v>2025002379</v>
      </c>
      <c r="C1996" t="s">
        <v>1847</v>
      </c>
      <c r="D1996" s="11">
        <v>6300000</v>
      </c>
      <c r="E1996">
        <v>27090399</v>
      </c>
      <c r="F1996" t="s">
        <v>1848</v>
      </c>
      <c r="G1996" t="s">
        <v>1755</v>
      </c>
    </row>
    <row r="1997" spans="1:7" ht="15" customHeight="1" x14ac:dyDescent="0.25">
      <c r="A1997" s="2">
        <v>45951</v>
      </c>
      <c r="B1997">
        <v>2025002380</v>
      </c>
      <c r="C1997" t="s">
        <v>1849</v>
      </c>
      <c r="D1997" s="11">
        <v>7800000</v>
      </c>
      <c r="E1997">
        <v>1085336362</v>
      </c>
      <c r="F1997" t="s">
        <v>41</v>
      </c>
      <c r="G1997" t="s">
        <v>1755</v>
      </c>
    </row>
    <row r="1998" spans="1:7" ht="15" customHeight="1" x14ac:dyDescent="0.25">
      <c r="A1998" s="2">
        <v>45951</v>
      </c>
      <c r="B1998">
        <v>2025002381</v>
      </c>
      <c r="C1998" t="s">
        <v>1850</v>
      </c>
      <c r="D1998" s="11">
        <v>4730000</v>
      </c>
      <c r="E1998">
        <v>1085260497</v>
      </c>
      <c r="F1998" t="s">
        <v>429</v>
      </c>
      <c r="G1998" t="s">
        <v>1755</v>
      </c>
    </row>
    <row r="1999" spans="1:7" ht="15" customHeight="1" x14ac:dyDescent="0.25">
      <c r="A1999" s="2">
        <v>45951</v>
      </c>
      <c r="B1999">
        <v>2025002382</v>
      </c>
      <c r="C1999" t="s">
        <v>1851</v>
      </c>
      <c r="D1999" s="11">
        <v>7800000</v>
      </c>
      <c r="E1999">
        <v>1193292339</v>
      </c>
      <c r="F1999" t="s">
        <v>1852</v>
      </c>
      <c r="G1999" t="s">
        <v>1755</v>
      </c>
    </row>
    <row r="2000" spans="1:7" ht="15" customHeight="1" x14ac:dyDescent="0.25">
      <c r="A2000" s="2">
        <v>45951</v>
      </c>
      <c r="B2000">
        <v>2025002384</v>
      </c>
      <c r="C2000" t="s">
        <v>1853</v>
      </c>
      <c r="D2000" s="11">
        <v>4730000</v>
      </c>
      <c r="E2000">
        <v>1085318684</v>
      </c>
      <c r="F2000" t="s">
        <v>355</v>
      </c>
      <c r="G2000" t="s">
        <v>1755</v>
      </c>
    </row>
    <row r="2001" spans="1:7" ht="15" customHeight="1" x14ac:dyDescent="0.25">
      <c r="A2001" s="2">
        <v>45951</v>
      </c>
      <c r="B2001">
        <v>2025002385</v>
      </c>
      <c r="C2001" t="s">
        <v>1854</v>
      </c>
      <c r="D2001" s="11">
        <v>6300000</v>
      </c>
      <c r="E2001">
        <v>37086513</v>
      </c>
      <c r="F2001" t="s">
        <v>1855</v>
      </c>
      <c r="G2001" t="s">
        <v>1755</v>
      </c>
    </row>
    <row r="2002" spans="1:7" ht="15" customHeight="1" x14ac:dyDescent="0.25">
      <c r="A2002" s="2">
        <v>45951</v>
      </c>
      <c r="B2002">
        <v>2025002386</v>
      </c>
      <c r="C2002" t="s">
        <v>1856</v>
      </c>
      <c r="D2002" s="11">
        <v>3150000</v>
      </c>
      <c r="E2002">
        <v>1087006717</v>
      </c>
      <c r="F2002" t="s">
        <v>1163</v>
      </c>
      <c r="G2002" t="s">
        <v>1755</v>
      </c>
    </row>
    <row r="2003" spans="1:7" ht="15" customHeight="1" x14ac:dyDescent="0.25">
      <c r="A2003" s="2">
        <v>45951</v>
      </c>
      <c r="B2003">
        <v>2025002388</v>
      </c>
      <c r="C2003" t="s">
        <v>1857</v>
      </c>
      <c r="D2003" s="11">
        <v>3150000</v>
      </c>
      <c r="E2003">
        <v>1233189234</v>
      </c>
      <c r="F2003" t="s">
        <v>87</v>
      </c>
      <c r="G2003" t="s">
        <v>1755</v>
      </c>
    </row>
    <row r="2004" spans="1:7" ht="15" customHeight="1" x14ac:dyDescent="0.25">
      <c r="A2004" s="2">
        <v>45952</v>
      </c>
      <c r="B2004">
        <v>2025002389</v>
      </c>
      <c r="C2004" t="s">
        <v>1858</v>
      </c>
      <c r="D2004" s="11">
        <v>4730000</v>
      </c>
      <c r="E2004">
        <v>1087960287</v>
      </c>
      <c r="F2004" t="s">
        <v>1859</v>
      </c>
      <c r="G2004" t="s">
        <v>1755</v>
      </c>
    </row>
    <row r="2005" spans="1:7" ht="15" customHeight="1" x14ac:dyDescent="0.25">
      <c r="A2005" s="2">
        <v>45952</v>
      </c>
      <c r="B2005">
        <v>2025002390</v>
      </c>
      <c r="C2005" t="s">
        <v>1860</v>
      </c>
      <c r="D2005" s="11">
        <v>7800000</v>
      </c>
      <c r="E2005">
        <v>80765093</v>
      </c>
      <c r="F2005" t="s">
        <v>69</v>
      </c>
      <c r="G2005" t="s">
        <v>1755</v>
      </c>
    </row>
    <row r="2006" spans="1:7" ht="15" customHeight="1" x14ac:dyDescent="0.25">
      <c r="A2006" s="2">
        <v>45952</v>
      </c>
      <c r="B2006">
        <v>2025002393</v>
      </c>
      <c r="C2006" t="s">
        <v>1861</v>
      </c>
      <c r="D2006" s="11">
        <v>7800000</v>
      </c>
      <c r="E2006">
        <v>1006946167</v>
      </c>
      <c r="F2006" t="s">
        <v>63</v>
      </c>
      <c r="G2006" t="s">
        <v>1755</v>
      </c>
    </row>
    <row r="2007" spans="1:7" ht="15" customHeight="1" x14ac:dyDescent="0.25">
      <c r="A2007" s="2">
        <v>45952</v>
      </c>
      <c r="B2007">
        <v>2025002394</v>
      </c>
      <c r="C2007" t="s">
        <v>1862</v>
      </c>
      <c r="D2007" s="11">
        <v>6300000</v>
      </c>
      <c r="E2007">
        <v>1085284997</v>
      </c>
      <c r="F2007" t="s">
        <v>1863</v>
      </c>
      <c r="G2007" t="s">
        <v>1755</v>
      </c>
    </row>
    <row r="2008" spans="1:7" ht="15" customHeight="1" x14ac:dyDescent="0.25">
      <c r="A2008" s="2">
        <v>45952</v>
      </c>
      <c r="B2008">
        <v>2025002395</v>
      </c>
      <c r="C2008" t="s">
        <v>1864</v>
      </c>
      <c r="D2008" s="11">
        <v>3150000</v>
      </c>
      <c r="E2008">
        <v>1089458048</v>
      </c>
      <c r="F2008" t="s">
        <v>1865</v>
      </c>
      <c r="G2008" t="s">
        <v>1755</v>
      </c>
    </row>
    <row r="2009" spans="1:7" ht="15" customHeight="1" x14ac:dyDescent="0.25">
      <c r="A2009" s="2">
        <v>45952</v>
      </c>
      <c r="B2009">
        <v>2025002396</v>
      </c>
      <c r="C2009" t="s">
        <v>1866</v>
      </c>
      <c r="D2009" s="11">
        <v>3150000</v>
      </c>
      <c r="E2009">
        <v>1086358836</v>
      </c>
      <c r="F2009" t="s">
        <v>1867</v>
      </c>
      <c r="G2009" t="s">
        <v>1755</v>
      </c>
    </row>
    <row r="2010" spans="1:7" ht="15" customHeight="1" x14ac:dyDescent="0.25">
      <c r="A2010" s="2">
        <v>45952</v>
      </c>
      <c r="B2010">
        <v>2025002397</v>
      </c>
      <c r="C2010" t="s">
        <v>1868</v>
      </c>
      <c r="D2010" s="11">
        <v>3150000</v>
      </c>
      <c r="E2010">
        <v>36752202</v>
      </c>
      <c r="F2010" t="s">
        <v>263</v>
      </c>
      <c r="G2010" t="s">
        <v>1755</v>
      </c>
    </row>
    <row r="2011" spans="1:7" ht="15" customHeight="1" x14ac:dyDescent="0.25">
      <c r="A2011" s="2">
        <v>45952</v>
      </c>
      <c r="B2011">
        <v>2025002399</v>
      </c>
      <c r="C2011" t="s">
        <v>1869</v>
      </c>
      <c r="D2011" s="11">
        <v>7800000</v>
      </c>
      <c r="E2011">
        <v>1085329980</v>
      </c>
      <c r="F2011" t="s">
        <v>791</v>
      </c>
      <c r="G2011" t="s">
        <v>1755</v>
      </c>
    </row>
    <row r="2012" spans="1:7" ht="15" customHeight="1" x14ac:dyDescent="0.25">
      <c r="A2012" s="2">
        <v>45952</v>
      </c>
      <c r="B2012">
        <v>2025002400</v>
      </c>
      <c r="C2012" t="s">
        <v>1870</v>
      </c>
      <c r="D2012" s="11">
        <v>4730000</v>
      </c>
      <c r="E2012">
        <v>1087413951</v>
      </c>
      <c r="F2012" t="s">
        <v>95</v>
      </c>
      <c r="G2012" t="s">
        <v>1755</v>
      </c>
    </row>
    <row r="2013" spans="1:7" ht="15" customHeight="1" x14ac:dyDescent="0.25">
      <c r="A2013" s="2">
        <v>45952</v>
      </c>
      <c r="B2013">
        <v>2025002401</v>
      </c>
      <c r="C2013" t="s">
        <v>1871</v>
      </c>
      <c r="D2013" s="11">
        <v>7800000</v>
      </c>
      <c r="E2013">
        <v>1083814276</v>
      </c>
      <c r="F2013" t="s">
        <v>1872</v>
      </c>
      <c r="G2013" t="s">
        <v>1755</v>
      </c>
    </row>
    <row r="2014" spans="1:7" ht="15" customHeight="1" x14ac:dyDescent="0.25">
      <c r="A2014" s="2">
        <v>45952</v>
      </c>
      <c r="B2014">
        <v>2025002402</v>
      </c>
      <c r="C2014" t="s">
        <v>1873</v>
      </c>
      <c r="D2014" s="11">
        <v>3150000</v>
      </c>
      <c r="E2014">
        <v>1087644986</v>
      </c>
      <c r="F2014" t="s">
        <v>1874</v>
      </c>
      <c r="G2014" t="s">
        <v>1755</v>
      </c>
    </row>
    <row r="2015" spans="1:7" ht="15" customHeight="1" x14ac:dyDescent="0.25">
      <c r="A2015" s="2">
        <v>45952</v>
      </c>
      <c r="B2015">
        <v>2025002403</v>
      </c>
      <c r="C2015" t="s">
        <v>1875</v>
      </c>
      <c r="D2015" s="11">
        <v>7800000</v>
      </c>
      <c r="E2015">
        <v>1087006619</v>
      </c>
      <c r="F2015" t="s">
        <v>1218</v>
      </c>
      <c r="G2015" t="s">
        <v>1755</v>
      </c>
    </row>
    <row r="2016" spans="1:7" ht="15" customHeight="1" x14ac:dyDescent="0.25">
      <c r="A2016" s="2">
        <v>45952</v>
      </c>
      <c r="B2016">
        <v>2025002404</v>
      </c>
      <c r="C2016" t="s">
        <v>1876</v>
      </c>
      <c r="D2016" s="11">
        <v>3150000</v>
      </c>
      <c r="E2016">
        <v>1081052746</v>
      </c>
      <c r="F2016" t="s">
        <v>658</v>
      </c>
      <c r="G2016" t="s">
        <v>1755</v>
      </c>
    </row>
    <row r="2017" spans="1:7" ht="15" customHeight="1" x14ac:dyDescent="0.25">
      <c r="A2017" s="2">
        <v>45952</v>
      </c>
      <c r="B2017">
        <v>2025002405</v>
      </c>
      <c r="C2017" t="s">
        <v>1877</v>
      </c>
      <c r="D2017" s="11">
        <v>1575000</v>
      </c>
      <c r="E2017">
        <v>1084552048</v>
      </c>
      <c r="F2017" t="s">
        <v>1230</v>
      </c>
      <c r="G2017" t="s">
        <v>1755</v>
      </c>
    </row>
    <row r="2018" spans="1:7" ht="15" customHeight="1" x14ac:dyDescent="0.25">
      <c r="A2018" s="2">
        <v>45952</v>
      </c>
      <c r="B2018">
        <v>2025002406</v>
      </c>
      <c r="C2018" t="s">
        <v>1878</v>
      </c>
      <c r="D2018" s="11">
        <v>3150000</v>
      </c>
      <c r="E2018">
        <v>1085302942</v>
      </c>
      <c r="F2018" t="s">
        <v>417</v>
      </c>
      <c r="G2018" t="s">
        <v>1755</v>
      </c>
    </row>
    <row r="2019" spans="1:7" ht="15" customHeight="1" x14ac:dyDescent="0.25">
      <c r="A2019" s="2">
        <v>45952</v>
      </c>
      <c r="B2019">
        <v>2025002407</v>
      </c>
      <c r="C2019" t="s">
        <v>1879</v>
      </c>
      <c r="D2019" s="11">
        <v>3150000</v>
      </c>
      <c r="E2019">
        <v>1085335033</v>
      </c>
      <c r="F2019" t="s">
        <v>1880</v>
      </c>
      <c r="G2019" t="s">
        <v>1755</v>
      </c>
    </row>
    <row r="2020" spans="1:7" ht="15" customHeight="1" x14ac:dyDescent="0.25">
      <c r="A2020" s="2">
        <v>45952</v>
      </c>
      <c r="B2020">
        <v>2025002408</v>
      </c>
      <c r="C2020" t="s">
        <v>1881</v>
      </c>
      <c r="D2020" s="11">
        <v>3150000</v>
      </c>
      <c r="E2020">
        <v>1085267332</v>
      </c>
      <c r="F2020" t="s">
        <v>1882</v>
      </c>
      <c r="G2020" t="s">
        <v>1755</v>
      </c>
    </row>
    <row r="2021" spans="1:7" ht="15" customHeight="1" x14ac:dyDescent="0.25">
      <c r="A2021" s="2">
        <v>45952</v>
      </c>
      <c r="B2021">
        <v>2025002409</v>
      </c>
      <c r="C2021" t="s">
        <v>1883</v>
      </c>
      <c r="D2021" s="11">
        <v>6300000</v>
      </c>
      <c r="E2021">
        <v>1085296068</v>
      </c>
      <c r="F2021" t="s">
        <v>1884</v>
      </c>
      <c r="G2021" t="s">
        <v>1755</v>
      </c>
    </row>
    <row r="2022" spans="1:7" ht="15" customHeight="1" x14ac:dyDescent="0.25">
      <c r="A2022" s="2">
        <v>45952</v>
      </c>
      <c r="B2022">
        <v>2025002410</v>
      </c>
      <c r="C2022" t="s">
        <v>1885</v>
      </c>
      <c r="D2022" s="11">
        <v>3150000</v>
      </c>
      <c r="E2022">
        <v>27549931</v>
      </c>
      <c r="F2022" t="s">
        <v>1886</v>
      </c>
      <c r="G2022" t="s">
        <v>1755</v>
      </c>
    </row>
    <row r="2023" spans="1:7" ht="15" customHeight="1" x14ac:dyDescent="0.25">
      <c r="A2023" s="2">
        <v>45952</v>
      </c>
      <c r="B2023">
        <v>2025002412</v>
      </c>
      <c r="C2023" t="s">
        <v>1887</v>
      </c>
      <c r="D2023" s="11">
        <v>4730000</v>
      </c>
      <c r="E2023">
        <v>1084227101</v>
      </c>
      <c r="F2023" t="s">
        <v>1888</v>
      </c>
      <c r="G2023" t="s">
        <v>1755</v>
      </c>
    </row>
    <row r="2024" spans="1:7" ht="15" customHeight="1" x14ac:dyDescent="0.25">
      <c r="A2024" s="2">
        <v>45952</v>
      </c>
      <c r="B2024">
        <v>2025002413</v>
      </c>
      <c r="C2024" t="s">
        <v>1889</v>
      </c>
      <c r="D2024" s="11">
        <v>3150000</v>
      </c>
      <c r="E2024">
        <v>1082747438</v>
      </c>
      <c r="F2024" t="s">
        <v>548</v>
      </c>
      <c r="G2024" t="s">
        <v>1755</v>
      </c>
    </row>
    <row r="2025" spans="1:7" ht="15" customHeight="1" x14ac:dyDescent="0.25">
      <c r="A2025" s="2">
        <v>45952</v>
      </c>
      <c r="B2025">
        <v>2025002414</v>
      </c>
      <c r="C2025" t="s">
        <v>1890</v>
      </c>
      <c r="D2025" s="11">
        <v>4730000</v>
      </c>
      <c r="E2025">
        <v>1082749648</v>
      </c>
      <c r="F2025" t="s">
        <v>1891</v>
      </c>
      <c r="G2025" t="s">
        <v>1755</v>
      </c>
    </row>
    <row r="2026" spans="1:7" ht="15" customHeight="1" x14ac:dyDescent="0.25">
      <c r="A2026" s="2">
        <v>45952</v>
      </c>
      <c r="B2026">
        <v>2025002415</v>
      </c>
      <c r="C2026" t="s">
        <v>1892</v>
      </c>
      <c r="D2026" s="11">
        <v>3150000</v>
      </c>
      <c r="E2026">
        <v>37087117</v>
      </c>
      <c r="F2026" t="s">
        <v>1893</v>
      </c>
      <c r="G2026" t="s">
        <v>1755</v>
      </c>
    </row>
    <row r="2027" spans="1:7" ht="15" customHeight="1" x14ac:dyDescent="0.25">
      <c r="A2027" s="2">
        <v>45952</v>
      </c>
      <c r="B2027">
        <v>2025002416</v>
      </c>
      <c r="C2027" t="s">
        <v>1894</v>
      </c>
      <c r="D2027" s="11">
        <v>3150000</v>
      </c>
      <c r="E2027">
        <v>27276869</v>
      </c>
      <c r="F2027" t="s">
        <v>1895</v>
      </c>
      <c r="G2027" t="s">
        <v>1755</v>
      </c>
    </row>
    <row r="2028" spans="1:7" ht="15" customHeight="1" x14ac:dyDescent="0.25">
      <c r="A2028" s="2">
        <v>45952</v>
      </c>
      <c r="B2028">
        <v>2025002417</v>
      </c>
      <c r="C2028" t="s">
        <v>1896</v>
      </c>
      <c r="D2028" s="11">
        <v>1575000</v>
      </c>
      <c r="E2028">
        <v>1086224204</v>
      </c>
      <c r="F2028" t="s">
        <v>1897</v>
      </c>
      <c r="G2028" t="s">
        <v>1755</v>
      </c>
    </row>
    <row r="2029" spans="1:7" ht="15" customHeight="1" x14ac:dyDescent="0.25">
      <c r="A2029" s="2">
        <v>45952</v>
      </c>
      <c r="B2029">
        <v>2025002418</v>
      </c>
      <c r="C2029" t="s">
        <v>1898</v>
      </c>
      <c r="D2029" s="11">
        <v>3150000</v>
      </c>
      <c r="E2029">
        <v>59310056</v>
      </c>
      <c r="F2029" t="s">
        <v>1899</v>
      </c>
      <c r="G2029" t="s">
        <v>1755</v>
      </c>
    </row>
    <row r="2030" spans="1:7" ht="15" customHeight="1" x14ac:dyDescent="0.25">
      <c r="A2030" s="2">
        <v>45952</v>
      </c>
      <c r="B2030">
        <v>2025002419</v>
      </c>
      <c r="C2030" t="s">
        <v>1900</v>
      </c>
      <c r="D2030" s="11">
        <v>6300000</v>
      </c>
      <c r="E2030">
        <v>1082748420</v>
      </c>
      <c r="F2030" t="s">
        <v>450</v>
      </c>
      <c r="G2030" t="s">
        <v>1755</v>
      </c>
    </row>
    <row r="2031" spans="1:7" ht="15" customHeight="1" x14ac:dyDescent="0.25">
      <c r="A2031" s="32">
        <v>45958</v>
      </c>
      <c r="B2031" s="1">
        <v>2025002425</v>
      </c>
      <c r="C2031" s="18" t="s">
        <v>540</v>
      </c>
      <c r="D2031" s="5">
        <v>1500000</v>
      </c>
      <c r="E2031" s="18">
        <v>1089243630</v>
      </c>
      <c r="F2031" s="1" t="s">
        <v>197</v>
      </c>
      <c r="G2031" s="1" t="s">
        <v>9</v>
      </c>
    </row>
    <row r="2032" spans="1:7" ht="15" customHeight="1" x14ac:dyDescent="0.25">
      <c r="A2032" s="2">
        <v>45952</v>
      </c>
      <c r="B2032">
        <v>2025002426</v>
      </c>
      <c r="C2032" t="s">
        <v>1901</v>
      </c>
      <c r="D2032" s="11">
        <v>4730000</v>
      </c>
      <c r="E2032">
        <v>1005829176</v>
      </c>
      <c r="F2032" t="s">
        <v>1902</v>
      </c>
      <c r="G2032" t="s">
        <v>1755</v>
      </c>
    </row>
    <row r="2033" spans="1:7" ht="15" customHeight="1" x14ac:dyDescent="0.25">
      <c r="A2033" s="2">
        <v>45952</v>
      </c>
      <c r="B2033">
        <v>2025002427</v>
      </c>
      <c r="C2033" t="s">
        <v>1903</v>
      </c>
      <c r="D2033" s="11">
        <v>6300000</v>
      </c>
      <c r="E2033">
        <v>1014212900</v>
      </c>
      <c r="F2033" t="s">
        <v>583</v>
      </c>
      <c r="G2033" t="s">
        <v>1755</v>
      </c>
    </row>
    <row r="2034" spans="1:7" ht="15" customHeight="1" x14ac:dyDescent="0.25">
      <c r="A2034" s="2">
        <v>45953</v>
      </c>
      <c r="B2034">
        <v>2025002429</v>
      </c>
      <c r="C2034" t="s">
        <v>1904</v>
      </c>
      <c r="D2034" s="11">
        <v>6300000</v>
      </c>
      <c r="E2034">
        <v>1085277976</v>
      </c>
      <c r="F2034" t="s">
        <v>1084</v>
      </c>
      <c r="G2034" t="s">
        <v>1755</v>
      </c>
    </row>
    <row r="2035" spans="1:7" ht="15" customHeight="1" x14ac:dyDescent="0.25">
      <c r="A2035" s="2">
        <v>45953</v>
      </c>
      <c r="B2035">
        <v>2025002430</v>
      </c>
      <c r="C2035" t="s">
        <v>1905</v>
      </c>
      <c r="D2035" s="11">
        <v>7800000</v>
      </c>
      <c r="E2035">
        <v>1085293105</v>
      </c>
      <c r="F2035" t="s">
        <v>745</v>
      </c>
      <c r="G2035" t="s">
        <v>1755</v>
      </c>
    </row>
    <row r="2036" spans="1:7" ht="15" customHeight="1" x14ac:dyDescent="0.25">
      <c r="A2036" s="2">
        <v>45953</v>
      </c>
      <c r="B2036">
        <v>2025002431</v>
      </c>
      <c r="C2036" t="s">
        <v>1906</v>
      </c>
      <c r="D2036" s="11">
        <v>3150000</v>
      </c>
      <c r="E2036">
        <v>36758143</v>
      </c>
      <c r="F2036" t="s">
        <v>107</v>
      </c>
      <c r="G2036" t="s">
        <v>1755</v>
      </c>
    </row>
    <row r="2037" spans="1:7" ht="15" customHeight="1" x14ac:dyDescent="0.25">
      <c r="A2037" s="2">
        <v>45953</v>
      </c>
      <c r="B2037">
        <v>2025002434</v>
      </c>
      <c r="C2037" t="s">
        <v>1907</v>
      </c>
      <c r="D2037" s="11">
        <v>4730000</v>
      </c>
      <c r="E2037">
        <v>36953206</v>
      </c>
      <c r="F2037" t="s">
        <v>391</v>
      </c>
      <c r="G2037" t="s">
        <v>1755</v>
      </c>
    </row>
    <row r="2038" spans="1:7" ht="15" customHeight="1" x14ac:dyDescent="0.25">
      <c r="A2038" s="2">
        <v>45953</v>
      </c>
      <c r="B2038">
        <v>2025002435</v>
      </c>
      <c r="C2038" t="s">
        <v>1908</v>
      </c>
      <c r="D2038" s="11">
        <v>7800000</v>
      </c>
      <c r="E2038">
        <v>1193202097</v>
      </c>
      <c r="F2038" t="s">
        <v>163</v>
      </c>
      <c r="G2038" t="s">
        <v>1755</v>
      </c>
    </row>
    <row r="2039" spans="1:7" ht="15" customHeight="1" x14ac:dyDescent="0.25">
      <c r="A2039" s="2">
        <v>45953</v>
      </c>
      <c r="B2039">
        <v>2025002436</v>
      </c>
      <c r="C2039" t="s">
        <v>1909</v>
      </c>
      <c r="D2039" s="11">
        <v>6300000</v>
      </c>
      <c r="E2039">
        <v>59820414</v>
      </c>
      <c r="F2039" t="s">
        <v>457</v>
      </c>
      <c r="G2039" t="s">
        <v>1755</v>
      </c>
    </row>
    <row r="2040" spans="1:7" ht="15" customHeight="1" x14ac:dyDescent="0.25">
      <c r="A2040" s="2">
        <v>45953</v>
      </c>
      <c r="B2040">
        <v>2025002437</v>
      </c>
      <c r="C2040" t="s">
        <v>1910</v>
      </c>
      <c r="D2040" s="11">
        <v>4730000</v>
      </c>
      <c r="E2040">
        <v>59651018</v>
      </c>
      <c r="F2040" t="s">
        <v>493</v>
      </c>
      <c r="G2040" t="s">
        <v>1755</v>
      </c>
    </row>
    <row r="2041" spans="1:7" ht="15" customHeight="1" x14ac:dyDescent="0.25">
      <c r="A2041" s="2">
        <v>45953</v>
      </c>
      <c r="B2041">
        <v>2025002438</v>
      </c>
      <c r="C2041" t="s">
        <v>1911</v>
      </c>
      <c r="D2041" s="11">
        <v>3150000</v>
      </c>
      <c r="E2041">
        <v>1085271641</v>
      </c>
      <c r="F2041" t="s">
        <v>251</v>
      </c>
      <c r="G2041" t="s">
        <v>1755</v>
      </c>
    </row>
    <row r="2042" spans="1:7" ht="15" customHeight="1" x14ac:dyDescent="0.25">
      <c r="A2042" s="2">
        <v>45954</v>
      </c>
      <c r="B2042">
        <v>2025002439</v>
      </c>
      <c r="C2042" t="s">
        <v>1912</v>
      </c>
      <c r="D2042" s="11">
        <v>3150000</v>
      </c>
      <c r="E2042">
        <v>59310853</v>
      </c>
      <c r="F2042" t="s">
        <v>1202</v>
      </c>
      <c r="G2042" t="s">
        <v>1755</v>
      </c>
    </row>
    <row r="2043" spans="1:7" ht="15" customHeight="1" x14ac:dyDescent="0.25">
      <c r="A2043" s="2">
        <v>45954</v>
      </c>
      <c r="B2043">
        <v>2025002442</v>
      </c>
      <c r="C2043" t="s">
        <v>1913</v>
      </c>
      <c r="D2043" s="11">
        <v>7800000</v>
      </c>
      <c r="E2043">
        <v>1089483067</v>
      </c>
      <c r="F2043" t="s">
        <v>1266</v>
      </c>
      <c r="G2043" t="s">
        <v>1755</v>
      </c>
    </row>
    <row r="2044" spans="1:7" ht="15" customHeight="1" x14ac:dyDescent="0.25">
      <c r="A2044" s="2">
        <v>45954</v>
      </c>
      <c r="B2044">
        <v>2025002443</v>
      </c>
      <c r="C2044" t="s">
        <v>1914</v>
      </c>
      <c r="D2044" s="11">
        <v>6300000</v>
      </c>
      <c r="E2044">
        <v>1085299577</v>
      </c>
      <c r="F2044" t="s">
        <v>1182</v>
      </c>
      <c r="G2044" t="s">
        <v>1755</v>
      </c>
    </row>
    <row r="2045" spans="1:7" ht="15" customHeight="1" x14ac:dyDescent="0.25">
      <c r="A2045" s="2">
        <v>45954</v>
      </c>
      <c r="B2045">
        <v>2025002444</v>
      </c>
      <c r="C2045" t="s">
        <v>1915</v>
      </c>
      <c r="D2045" s="11">
        <v>3150000</v>
      </c>
      <c r="E2045">
        <v>59310524</v>
      </c>
      <c r="F2045" t="s">
        <v>992</v>
      </c>
      <c r="G2045" t="s">
        <v>1755</v>
      </c>
    </row>
    <row r="2046" spans="1:7" ht="15" customHeight="1" x14ac:dyDescent="0.25">
      <c r="A2046" s="2">
        <v>45954</v>
      </c>
      <c r="B2046">
        <v>2025002445</v>
      </c>
      <c r="C2046" t="s">
        <v>1916</v>
      </c>
      <c r="D2046" s="11">
        <v>3150000</v>
      </c>
      <c r="E2046">
        <v>1085275879</v>
      </c>
      <c r="F2046" t="s">
        <v>117</v>
      </c>
      <c r="G2046" t="s">
        <v>1755</v>
      </c>
    </row>
    <row r="2047" spans="1:7" ht="15" customHeight="1" x14ac:dyDescent="0.25">
      <c r="A2047" s="2">
        <v>45954</v>
      </c>
      <c r="B2047">
        <v>2025002446</v>
      </c>
      <c r="C2047" t="s">
        <v>1917</v>
      </c>
      <c r="D2047" s="11">
        <v>3900000</v>
      </c>
      <c r="E2047">
        <v>1087645723</v>
      </c>
      <c r="F2047" t="s">
        <v>1918</v>
      </c>
      <c r="G2047" t="s">
        <v>1755</v>
      </c>
    </row>
    <row r="2048" spans="1:7" ht="15" customHeight="1" x14ac:dyDescent="0.25">
      <c r="A2048" s="2">
        <v>45954</v>
      </c>
      <c r="B2048">
        <v>2025002447</v>
      </c>
      <c r="C2048" t="s">
        <v>1919</v>
      </c>
      <c r="D2048" s="11">
        <v>4730000</v>
      </c>
      <c r="E2048">
        <v>36950073</v>
      </c>
      <c r="F2048" t="s">
        <v>900</v>
      </c>
      <c r="G2048" t="s">
        <v>1755</v>
      </c>
    </row>
    <row r="2049" spans="1:7" ht="15" customHeight="1" x14ac:dyDescent="0.25">
      <c r="A2049" s="2">
        <v>45954</v>
      </c>
      <c r="B2049">
        <v>2025002448</v>
      </c>
      <c r="C2049" t="s">
        <v>1920</v>
      </c>
      <c r="D2049" s="11">
        <v>4730000</v>
      </c>
      <c r="E2049">
        <v>1086137686</v>
      </c>
      <c r="F2049" t="s">
        <v>1921</v>
      </c>
      <c r="G2049" t="s">
        <v>1755</v>
      </c>
    </row>
    <row r="2050" spans="1:7" ht="15" customHeight="1" x14ac:dyDescent="0.25">
      <c r="A2050" s="2">
        <v>45954</v>
      </c>
      <c r="B2050">
        <v>2025002449</v>
      </c>
      <c r="C2050" t="s">
        <v>1922</v>
      </c>
      <c r="D2050" s="11">
        <v>7800000</v>
      </c>
      <c r="E2050">
        <v>1086361969</v>
      </c>
      <c r="F2050" t="s">
        <v>1923</v>
      </c>
      <c r="G2050" t="s">
        <v>1755</v>
      </c>
    </row>
    <row r="2051" spans="1:7" ht="15" customHeight="1" x14ac:dyDescent="0.25">
      <c r="A2051" s="2">
        <v>45954</v>
      </c>
      <c r="B2051">
        <v>2025002450</v>
      </c>
      <c r="C2051" t="s">
        <v>1924</v>
      </c>
      <c r="D2051" s="11">
        <v>6300000</v>
      </c>
      <c r="E2051">
        <v>27146489</v>
      </c>
      <c r="F2051" t="s">
        <v>1102</v>
      </c>
      <c r="G2051" t="s">
        <v>1755</v>
      </c>
    </row>
    <row r="2052" spans="1:7" ht="15" customHeight="1" x14ac:dyDescent="0.25">
      <c r="A2052" s="2">
        <v>45954</v>
      </c>
      <c r="B2052">
        <v>2025002451</v>
      </c>
      <c r="C2052" t="s">
        <v>1925</v>
      </c>
      <c r="D2052" s="11">
        <v>4730000</v>
      </c>
      <c r="E2052">
        <v>1086360022</v>
      </c>
      <c r="F2052" t="s">
        <v>1926</v>
      </c>
      <c r="G2052" t="s">
        <v>1755</v>
      </c>
    </row>
    <row r="2053" spans="1:7" ht="15" customHeight="1" x14ac:dyDescent="0.25">
      <c r="A2053" s="2">
        <v>45954</v>
      </c>
      <c r="B2053">
        <v>2025002452</v>
      </c>
      <c r="C2053" t="s">
        <v>1927</v>
      </c>
      <c r="D2053" s="11">
        <v>1575000</v>
      </c>
      <c r="E2053">
        <v>1085295583</v>
      </c>
      <c r="F2053" t="s">
        <v>1928</v>
      </c>
      <c r="G2053" t="s">
        <v>1755</v>
      </c>
    </row>
    <row r="2054" spans="1:7" ht="15" customHeight="1" x14ac:dyDescent="0.25">
      <c r="A2054" s="2">
        <v>45954</v>
      </c>
      <c r="B2054">
        <v>2025002453</v>
      </c>
      <c r="C2054" t="s">
        <v>1929</v>
      </c>
      <c r="D2054" s="11">
        <v>6300000</v>
      </c>
      <c r="E2054">
        <v>1085272491</v>
      </c>
      <c r="F2054" t="s">
        <v>895</v>
      </c>
      <c r="G2054" t="s">
        <v>1755</v>
      </c>
    </row>
    <row r="2055" spans="1:7" ht="15" customHeight="1" x14ac:dyDescent="0.25">
      <c r="A2055" s="2">
        <v>45954</v>
      </c>
      <c r="B2055">
        <v>2025002455</v>
      </c>
      <c r="C2055" t="s">
        <v>1930</v>
      </c>
      <c r="D2055" s="11">
        <v>1575000</v>
      </c>
      <c r="E2055">
        <v>1086328063</v>
      </c>
      <c r="F2055" t="s">
        <v>1931</v>
      </c>
      <c r="G2055" t="s">
        <v>1755</v>
      </c>
    </row>
    <row r="2056" spans="1:7" ht="15" customHeight="1" x14ac:dyDescent="0.25">
      <c r="A2056" s="2">
        <v>45954</v>
      </c>
      <c r="B2056">
        <v>2025002457</v>
      </c>
      <c r="C2056" t="s">
        <v>1932</v>
      </c>
      <c r="D2056" s="11">
        <v>7800000</v>
      </c>
      <c r="E2056">
        <v>1233193882</v>
      </c>
      <c r="F2056" t="s">
        <v>889</v>
      </c>
      <c r="G2056" t="s">
        <v>1755</v>
      </c>
    </row>
    <row r="2057" spans="1:7" ht="15" customHeight="1" x14ac:dyDescent="0.25">
      <c r="A2057" s="32">
        <v>45954</v>
      </c>
      <c r="B2057" s="1">
        <v>2025002458</v>
      </c>
      <c r="C2057" s="1" t="s">
        <v>560</v>
      </c>
      <c r="D2057" s="5">
        <v>3600000</v>
      </c>
      <c r="E2057" s="1">
        <v>1085324685</v>
      </c>
      <c r="F2057" s="1" t="s">
        <v>561</v>
      </c>
      <c r="G2057" s="1" t="s">
        <v>9</v>
      </c>
    </row>
    <row r="2058" spans="1:7" ht="15" customHeight="1" x14ac:dyDescent="0.25">
      <c r="A2058" s="2">
        <v>45954</v>
      </c>
      <c r="B2058">
        <v>2025002459</v>
      </c>
      <c r="C2058" t="s">
        <v>1933</v>
      </c>
      <c r="D2058" s="11">
        <v>4730000</v>
      </c>
      <c r="E2058">
        <v>36759759</v>
      </c>
      <c r="F2058" t="s">
        <v>705</v>
      </c>
      <c r="G2058" t="s">
        <v>1755</v>
      </c>
    </row>
    <row r="2059" spans="1:7" ht="15" customHeight="1" x14ac:dyDescent="0.25">
      <c r="A2059" s="2">
        <v>45954</v>
      </c>
      <c r="B2059">
        <v>2025002460</v>
      </c>
      <c r="C2059" t="s">
        <v>1934</v>
      </c>
      <c r="D2059" s="11">
        <v>4730000</v>
      </c>
      <c r="E2059">
        <v>1085264667</v>
      </c>
      <c r="F2059" t="s">
        <v>464</v>
      </c>
      <c r="G2059" t="s">
        <v>1755</v>
      </c>
    </row>
    <row r="2060" spans="1:7" ht="15" customHeight="1" x14ac:dyDescent="0.25">
      <c r="A2060" s="2">
        <v>45954</v>
      </c>
      <c r="B2060">
        <v>2025002461</v>
      </c>
      <c r="C2060" t="s">
        <v>1935</v>
      </c>
      <c r="D2060" s="11">
        <v>1575000</v>
      </c>
      <c r="E2060">
        <v>27444591</v>
      </c>
      <c r="F2060" t="s">
        <v>1936</v>
      </c>
      <c r="G2060" t="s">
        <v>1755</v>
      </c>
    </row>
    <row r="2061" spans="1:7" ht="15" customHeight="1" x14ac:dyDescent="0.25">
      <c r="A2061" s="2">
        <v>45954</v>
      </c>
      <c r="B2061">
        <v>2025002462</v>
      </c>
      <c r="C2061" t="s">
        <v>1937</v>
      </c>
      <c r="D2061" s="11">
        <v>4730000</v>
      </c>
      <c r="E2061">
        <v>59824313</v>
      </c>
      <c r="F2061" t="s">
        <v>151</v>
      </c>
      <c r="G2061" t="s">
        <v>1755</v>
      </c>
    </row>
    <row r="2062" spans="1:7" ht="15" customHeight="1" x14ac:dyDescent="0.25">
      <c r="A2062" s="2">
        <v>45954</v>
      </c>
      <c r="B2062">
        <v>2025002463</v>
      </c>
      <c r="C2062" t="s">
        <v>1938</v>
      </c>
      <c r="D2062" s="11">
        <v>3150000</v>
      </c>
      <c r="E2062">
        <v>1004564013</v>
      </c>
      <c r="F2062" t="s">
        <v>1939</v>
      </c>
      <c r="G2062" t="s">
        <v>1755</v>
      </c>
    </row>
    <row r="2063" spans="1:7" ht="15" customHeight="1" x14ac:dyDescent="0.25">
      <c r="A2063" s="2">
        <v>45954</v>
      </c>
      <c r="B2063">
        <v>2025002464</v>
      </c>
      <c r="C2063" t="s">
        <v>1940</v>
      </c>
      <c r="D2063" s="11">
        <v>3150000</v>
      </c>
      <c r="E2063">
        <v>1010082397</v>
      </c>
      <c r="F2063" t="s">
        <v>209</v>
      </c>
      <c r="G2063" t="s">
        <v>1755</v>
      </c>
    </row>
    <row r="2064" spans="1:7" ht="15" customHeight="1" x14ac:dyDescent="0.25">
      <c r="A2064" s="2">
        <v>45954</v>
      </c>
      <c r="B2064">
        <v>2025002465</v>
      </c>
      <c r="C2064" t="s">
        <v>1941</v>
      </c>
      <c r="D2064" s="11">
        <v>3150000</v>
      </c>
      <c r="E2064">
        <v>27456421</v>
      </c>
      <c r="F2064" t="s">
        <v>1942</v>
      </c>
      <c r="G2064" t="s">
        <v>1755</v>
      </c>
    </row>
    <row r="2065" spans="1:7" ht="15" customHeight="1" x14ac:dyDescent="0.25">
      <c r="A2065" s="2">
        <v>45957</v>
      </c>
      <c r="B2065">
        <v>2025002466</v>
      </c>
      <c r="C2065" t="s">
        <v>1943</v>
      </c>
      <c r="D2065" s="11">
        <v>3150000</v>
      </c>
      <c r="E2065">
        <v>69028150</v>
      </c>
      <c r="F2065" t="s">
        <v>171</v>
      </c>
      <c r="G2065" t="s">
        <v>1755</v>
      </c>
    </row>
    <row r="2066" spans="1:7" ht="15" customHeight="1" x14ac:dyDescent="0.25">
      <c r="A2066" s="2">
        <v>45957</v>
      </c>
      <c r="B2066">
        <v>2025002467</v>
      </c>
      <c r="C2066" t="s">
        <v>1944</v>
      </c>
      <c r="D2066" s="11">
        <v>3150000</v>
      </c>
      <c r="E2066">
        <v>1086016304</v>
      </c>
      <c r="F2066" t="s">
        <v>1945</v>
      </c>
      <c r="G2066" t="s">
        <v>1755</v>
      </c>
    </row>
    <row r="2067" spans="1:7" ht="15" customHeight="1" x14ac:dyDescent="0.25">
      <c r="A2067" s="2">
        <v>45957</v>
      </c>
      <c r="B2067">
        <v>2025002468</v>
      </c>
      <c r="C2067" t="s">
        <v>1946</v>
      </c>
      <c r="D2067" s="11">
        <v>3150000</v>
      </c>
      <c r="E2067">
        <v>1004236159</v>
      </c>
      <c r="F2067" t="s">
        <v>1947</v>
      </c>
      <c r="G2067" t="s">
        <v>1755</v>
      </c>
    </row>
    <row r="2068" spans="1:7" ht="15" customHeight="1" x14ac:dyDescent="0.25">
      <c r="A2068" s="2">
        <v>45957</v>
      </c>
      <c r="B2068">
        <v>2025002470</v>
      </c>
      <c r="C2068" t="s">
        <v>1948</v>
      </c>
      <c r="D2068" s="11">
        <v>4730000</v>
      </c>
      <c r="E2068">
        <v>1193424771</v>
      </c>
      <c r="F2068" t="s">
        <v>1949</v>
      </c>
      <c r="G2068" t="s">
        <v>1755</v>
      </c>
    </row>
    <row r="2069" spans="1:7" ht="15" customHeight="1" x14ac:dyDescent="0.25">
      <c r="A2069" s="2">
        <v>45957</v>
      </c>
      <c r="B2069">
        <v>2025002471</v>
      </c>
      <c r="C2069" t="s">
        <v>1950</v>
      </c>
      <c r="D2069" s="11">
        <v>3150000</v>
      </c>
      <c r="E2069">
        <v>1233193191</v>
      </c>
      <c r="F2069" t="s">
        <v>1951</v>
      </c>
      <c r="G2069" t="s">
        <v>1755</v>
      </c>
    </row>
    <row r="2070" spans="1:7" ht="15" customHeight="1" x14ac:dyDescent="0.25">
      <c r="A2070" s="2">
        <v>45957</v>
      </c>
      <c r="B2070">
        <v>2025002472</v>
      </c>
      <c r="C2070" t="s">
        <v>1952</v>
      </c>
      <c r="D2070" s="11">
        <v>3150000</v>
      </c>
      <c r="E2070">
        <v>1085247449</v>
      </c>
      <c r="F2070" t="s">
        <v>1953</v>
      </c>
      <c r="G2070" t="s">
        <v>1755</v>
      </c>
    </row>
    <row r="2071" spans="1:7" ht="15" customHeight="1" x14ac:dyDescent="0.25">
      <c r="A2071" s="2">
        <v>45957</v>
      </c>
      <c r="B2071">
        <v>2025002473</v>
      </c>
      <c r="C2071" t="s">
        <v>1954</v>
      </c>
      <c r="D2071" s="11">
        <v>3150000</v>
      </c>
      <c r="E2071">
        <v>1004547484</v>
      </c>
      <c r="F2071" t="s">
        <v>1955</v>
      </c>
      <c r="G2071" t="s">
        <v>1755</v>
      </c>
    </row>
    <row r="2072" spans="1:7" ht="15" customHeight="1" x14ac:dyDescent="0.25">
      <c r="A2072" s="2">
        <v>45957</v>
      </c>
      <c r="B2072">
        <v>2025002474</v>
      </c>
      <c r="C2072" t="s">
        <v>1956</v>
      </c>
      <c r="D2072" s="11">
        <v>3150000</v>
      </c>
      <c r="E2072">
        <v>59313711</v>
      </c>
      <c r="F2072" t="s">
        <v>1957</v>
      </c>
      <c r="G2072" t="s">
        <v>1755</v>
      </c>
    </row>
    <row r="2073" spans="1:7" ht="15" customHeight="1" x14ac:dyDescent="0.25">
      <c r="A2073" s="2">
        <v>45957</v>
      </c>
      <c r="B2073">
        <v>2025002476</v>
      </c>
      <c r="C2073" t="s">
        <v>1958</v>
      </c>
      <c r="D2073" s="11">
        <v>7800000</v>
      </c>
      <c r="E2073">
        <v>1085246871</v>
      </c>
      <c r="F2073" t="s">
        <v>1959</v>
      </c>
      <c r="G2073" t="s">
        <v>1755</v>
      </c>
    </row>
    <row r="2074" spans="1:7" ht="15" customHeight="1" x14ac:dyDescent="0.25">
      <c r="A2074" s="2">
        <v>45957</v>
      </c>
      <c r="B2074">
        <v>2025002477</v>
      </c>
      <c r="C2074" t="s">
        <v>1960</v>
      </c>
      <c r="D2074" s="11">
        <v>3150000</v>
      </c>
      <c r="E2074">
        <v>1087645341</v>
      </c>
      <c r="F2074" t="s">
        <v>1961</v>
      </c>
      <c r="G2074" t="s">
        <v>1755</v>
      </c>
    </row>
    <row r="2075" spans="1:7" ht="15" customHeight="1" x14ac:dyDescent="0.25">
      <c r="A2075" s="2">
        <v>45957</v>
      </c>
      <c r="B2075">
        <v>2025002478</v>
      </c>
      <c r="C2075" t="s">
        <v>1962</v>
      </c>
      <c r="D2075" s="11">
        <v>4730000</v>
      </c>
      <c r="E2075">
        <v>1085263018</v>
      </c>
      <c r="F2075" t="s">
        <v>91</v>
      </c>
      <c r="G2075" t="s">
        <v>1755</v>
      </c>
    </row>
    <row r="2076" spans="1:7" ht="15" customHeight="1" x14ac:dyDescent="0.25">
      <c r="A2076" s="2">
        <v>45957</v>
      </c>
      <c r="B2076">
        <v>2025002479</v>
      </c>
      <c r="C2076" t="s">
        <v>1963</v>
      </c>
      <c r="D2076" s="11">
        <v>7800000</v>
      </c>
      <c r="E2076">
        <v>1022426162</v>
      </c>
      <c r="F2076" t="s">
        <v>1964</v>
      </c>
      <c r="G2076" t="s">
        <v>1755</v>
      </c>
    </row>
    <row r="2077" spans="1:7" ht="15" customHeight="1" x14ac:dyDescent="0.25">
      <c r="A2077" s="2">
        <v>45957</v>
      </c>
      <c r="B2077">
        <v>2025002480</v>
      </c>
      <c r="C2077" t="s">
        <v>1965</v>
      </c>
      <c r="D2077" s="11">
        <v>6300000</v>
      </c>
      <c r="E2077">
        <v>1084224761</v>
      </c>
      <c r="F2077" t="s">
        <v>1966</v>
      </c>
      <c r="G2077" t="s">
        <v>1755</v>
      </c>
    </row>
    <row r="2078" spans="1:7" ht="15" customHeight="1" x14ac:dyDescent="0.25">
      <c r="A2078" s="2">
        <v>45957</v>
      </c>
      <c r="B2078">
        <v>2025002481</v>
      </c>
      <c r="C2078" t="s">
        <v>1967</v>
      </c>
      <c r="D2078" s="11">
        <v>3150000</v>
      </c>
      <c r="E2078">
        <v>1089291166</v>
      </c>
      <c r="F2078" t="s">
        <v>1968</v>
      </c>
      <c r="G2078" t="s">
        <v>1755</v>
      </c>
    </row>
    <row r="2079" spans="1:7" ht="15" customHeight="1" x14ac:dyDescent="0.25">
      <c r="A2079" s="2">
        <v>45959</v>
      </c>
      <c r="B2079">
        <v>2025002500</v>
      </c>
      <c r="C2079" t="s">
        <v>1969</v>
      </c>
      <c r="D2079" s="11">
        <v>3900000</v>
      </c>
      <c r="E2079">
        <v>1144172704</v>
      </c>
      <c r="F2079" t="s">
        <v>1970</v>
      </c>
      <c r="G2079" t="s">
        <v>1755</v>
      </c>
    </row>
    <row r="2080" spans="1:7" ht="15" customHeight="1" x14ac:dyDescent="0.25">
      <c r="A2080" s="2">
        <v>45959</v>
      </c>
      <c r="B2080">
        <v>2025002501</v>
      </c>
      <c r="C2080" t="s">
        <v>1971</v>
      </c>
      <c r="D2080" s="11">
        <v>1575000</v>
      </c>
      <c r="E2080">
        <v>1085315209</v>
      </c>
      <c r="F2080" t="s">
        <v>701</v>
      </c>
      <c r="G2080" t="s">
        <v>1755</v>
      </c>
    </row>
    <row r="2081" spans="1:7" ht="15" customHeight="1" x14ac:dyDescent="0.25">
      <c r="A2081" s="2">
        <v>45959</v>
      </c>
      <c r="B2081">
        <v>2025002502</v>
      </c>
      <c r="C2081" t="s">
        <v>1972</v>
      </c>
      <c r="D2081" s="11">
        <v>1575000</v>
      </c>
      <c r="E2081">
        <v>1004134014</v>
      </c>
      <c r="F2081" t="s">
        <v>1973</v>
      </c>
      <c r="G2081" t="s">
        <v>1755</v>
      </c>
    </row>
    <row r="2082" spans="1:7" ht="15" customHeight="1" x14ac:dyDescent="0.25">
      <c r="A2082" s="2">
        <v>45959</v>
      </c>
      <c r="B2082">
        <v>2025002503</v>
      </c>
      <c r="C2082" t="s">
        <v>1974</v>
      </c>
      <c r="D2082" s="11">
        <v>1575000</v>
      </c>
      <c r="E2082">
        <v>1004508406</v>
      </c>
      <c r="F2082" t="s">
        <v>1975</v>
      </c>
      <c r="G2082" t="s">
        <v>1755</v>
      </c>
    </row>
    <row r="2083" spans="1:7" ht="15" customHeight="1" x14ac:dyDescent="0.25">
      <c r="A2083" s="2">
        <v>45959</v>
      </c>
      <c r="B2083">
        <v>2025002504</v>
      </c>
      <c r="C2083" t="s">
        <v>1976</v>
      </c>
      <c r="D2083" s="11">
        <v>1575000</v>
      </c>
      <c r="E2083">
        <v>1081594639</v>
      </c>
      <c r="F2083" t="s">
        <v>1110</v>
      </c>
      <c r="G2083" t="s">
        <v>1755</v>
      </c>
    </row>
    <row r="2084" spans="1:7" ht="15" customHeight="1" x14ac:dyDescent="0.25">
      <c r="A2084" s="2">
        <v>45959</v>
      </c>
      <c r="B2084">
        <v>2025002505</v>
      </c>
      <c r="C2084" t="s">
        <v>1977</v>
      </c>
      <c r="D2084" s="11">
        <v>1575000</v>
      </c>
      <c r="E2084">
        <v>1081592303</v>
      </c>
      <c r="F2084" t="s">
        <v>562</v>
      </c>
      <c r="G2084" t="s">
        <v>1755</v>
      </c>
    </row>
    <row r="2085" spans="1:7" ht="15" customHeight="1" x14ac:dyDescent="0.25">
      <c r="A2085" s="2">
        <v>45959</v>
      </c>
      <c r="B2085">
        <v>2025002506</v>
      </c>
      <c r="C2085" t="s">
        <v>1978</v>
      </c>
      <c r="D2085" s="11">
        <v>6300000</v>
      </c>
      <c r="E2085">
        <v>36757221</v>
      </c>
      <c r="F2085" t="s">
        <v>453</v>
      </c>
      <c r="G2085" t="s">
        <v>1755</v>
      </c>
    </row>
    <row r="2086" spans="1:7" ht="15" customHeight="1" x14ac:dyDescent="0.25">
      <c r="A2086" s="2">
        <v>45959</v>
      </c>
      <c r="B2086">
        <v>2025002507</v>
      </c>
      <c r="C2086" t="s">
        <v>1979</v>
      </c>
      <c r="D2086" s="11">
        <v>4730000</v>
      </c>
      <c r="E2086">
        <v>27087475</v>
      </c>
      <c r="F2086" t="s">
        <v>571</v>
      </c>
      <c r="G2086" t="s">
        <v>1755</v>
      </c>
    </row>
    <row r="2087" spans="1:7" ht="15" customHeight="1" x14ac:dyDescent="0.25">
      <c r="A2087" s="2">
        <v>45959</v>
      </c>
      <c r="B2087">
        <v>2025002508</v>
      </c>
      <c r="C2087" t="s">
        <v>1980</v>
      </c>
      <c r="D2087" s="11">
        <v>4730000</v>
      </c>
      <c r="E2087">
        <v>1085330309</v>
      </c>
      <c r="F2087" t="s">
        <v>249</v>
      </c>
      <c r="G2087" t="s">
        <v>1755</v>
      </c>
    </row>
    <row r="2088" spans="1:7" ht="15" customHeight="1" x14ac:dyDescent="0.25">
      <c r="A2088" s="2">
        <v>45959</v>
      </c>
      <c r="B2088">
        <v>2025002509</v>
      </c>
      <c r="C2088" t="s">
        <v>1981</v>
      </c>
      <c r="D2088" s="11">
        <v>6300000</v>
      </c>
      <c r="E2088">
        <v>1085283868</v>
      </c>
      <c r="F2088" t="s">
        <v>1131</v>
      </c>
      <c r="G2088" t="s">
        <v>1755</v>
      </c>
    </row>
    <row r="2089" spans="1:7" ht="15" customHeight="1" x14ac:dyDescent="0.25">
      <c r="A2089" s="2">
        <v>45960</v>
      </c>
      <c r="B2089">
        <v>2025002517</v>
      </c>
      <c r="C2089" t="s">
        <v>1982</v>
      </c>
      <c r="D2089" s="11">
        <v>3900000</v>
      </c>
      <c r="E2089">
        <v>1085244624</v>
      </c>
      <c r="F2089" t="s">
        <v>1983</v>
      </c>
      <c r="G2089" t="s">
        <v>1755</v>
      </c>
    </row>
    <row r="2090" spans="1:7" ht="15" customHeight="1" x14ac:dyDescent="0.25">
      <c r="A2090" s="2">
        <v>45960</v>
      </c>
      <c r="B2090">
        <v>2025002518</v>
      </c>
      <c r="C2090" t="s">
        <v>1984</v>
      </c>
      <c r="D2090" s="11">
        <v>1575000</v>
      </c>
      <c r="E2090">
        <v>37083086</v>
      </c>
      <c r="F2090" t="s">
        <v>884</v>
      </c>
      <c r="G2090" t="s">
        <v>1755</v>
      </c>
    </row>
    <row r="2091" spans="1:7" ht="15" customHeight="1" x14ac:dyDescent="0.25">
      <c r="A2091" s="2">
        <v>45960</v>
      </c>
      <c r="B2091">
        <v>2025002519</v>
      </c>
      <c r="C2091" t="s">
        <v>1985</v>
      </c>
      <c r="D2091" s="11">
        <v>7800000</v>
      </c>
      <c r="E2091">
        <v>1088734182</v>
      </c>
      <c r="F2091" t="s">
        <v>1986</v>
      </c>
      <c r="G2091" t="s">
        <v>1755</v>
      </c>
    </row>
    <row r="2092" spans="1:7" ht="15" customHeight="1" x14ac:dyDescent="0.25">
      <c r="A2092" s="2">
        <v>45960</v>
      </c>
      <c r="B2092">
        <v>2025002521</v>
      </c>
      <c r="C2092" t="s">
        <v>1987</v>
      </c>
      <c r="D2092" s="11">
        <v>3150000</v>
      </c>
      <c r="E2092">
        <v>1087960258</v>
      </c>
      <c r="F2092" t="s">
        <v>1988</v>
      </c>
      <c r="G2092" t="s">
        <v>1755</v>
      </c>
    </row>
    <row r="2093" spans="1:7" ht="15" customHeight="1" x14ac:dyDescent="0.25">
      <c r="A2093" s="2">
        <v>45960</v>
      </c>
      <c r="B2093">
        <v>2025002522</v>
      </c>
      <c r="C2093" t="s">
        <v>1989</v>
      </c>
      <c r="D2093" s="11">
        <v>1575000</v>
      </c>
      <c r="E2093">
        <v>1004709928</v>
      </c>
      <c r="F2093" t="s">
        <v>289</v>
      </c>
      <c r="G2093" t="s">
        <v>1755</v>
      </c>
    </row>
    <row r="2094" spans="1:7" ht="15" customHeight="1" x14ac:dyDescent="0.25">
      <c r="A2094" s="2">
        <v>45960</v>
      </c>
      <c r="B2094">
        <v>2025002524</v>
      </c>
      <c r="C2094" t="s">
        <v>1990</v>
      </c>
      <c r="D2094" s="11">
        <v>3150000</v>
      </c>
      <c r="E2094">
        <v>1004543161</v>
      </c>
      <c r="F2094" t="s">
        <v>1991</v>
      </c>
      <c r="G2094" t="s">
        <v>1755</v>
      </c>
    </row>
    <row r="2095" spans="1:7" ht="15" customHeight="1" x14ac:dyDescent="0.25">
      <c r="A2095" s="2">
        <v>45960</v>
      </c>
      <c r="B2095">
        <v>2025002526</v>
      </c>
      <c r="C2095" t="s">
        <v>1992</v>
      </c>
      <c r="D2095" s="11">
        <v>1575000</v>
      </c>
      <c r="E2095">
        <v>1004437571</v>
      </c>
      <c r="F2095" t="s">
        <v>580</v>
      </c>
      <c r="G2095" t="s">
        <v>1755</v>
      </c>
    </row>
    <row r="2096" spans="1:7" ht="15" customHeight="1" x14ac:dyDescent="0.25">
      <c r="A2096" s="2">
        <v>45960</v>
      </c>
      <c r="B2096">
        <v>2025002527</v>
      </c>
      <c r="C2096" t="s">
        <v>1993</v>
      </c>
      <c r="D2096" s="11">
        <v>1575000</v>
      </c>
      <c r="E2096">
        <v>1005977438</v>
      </c>
      <c r="F2096" t="s">
        <v>1994</v>
      </c>
      <c r="G2096" t="s">
        <v>1755</v>
      </c>
    </row>
    <row r="2097" spans="1:7" ht="15" customHeight="1" x14ac:dyDescent="0.25">
      <c r="A2097" s="2">
        <v>45960</v>
      </c>
      <c r="B2097">
        <v>2025002528</v>
      </c>
      <c r="C2097" t="s">
        <v>1995</v>
      </c>
      <c r="D2097" s="11">
        <v>4730000</v>
      </c>
      <c r="E2097">
        <v>1085318201</v>
      </c>
      <c r="F2097" t="s">
        <v>235</v>
      </c>
      <c r="G2097" t="s">
        <v>1755</v>
      </c>
    </row>
    <row r="2098" spans="1:7" ht="15" customHeight="1" x14ac:dyDescent="0.25">
      <c r="A2098" s="2">
        <v>45960</v>
      </c>
      <c r="B2098">
        <v>2025002529</v>
      </c>
      <c r="C2098" t="s">
        <v>1996</v>
      </c>
      <c r="D2098" s="11">
        <v>1575000</v>
      </c>
      <c r="E2098">
        <v>1004726621</v>
      </c>
      <c r="F2098" t="s">
        <v>1997</v>
      </c>
      <c r="G2098" t="s">
        <v>1755</v>
      </c>
    </row>
    <row r="2099" spans="1:7" ht="15" customHeight="1" x14ac:dyDescent="0.25">
      <c r="A2099" s="2">
        <v>45960</v>
      </c>
      <c r="B2099">
        <v>2025002530</v>
      </c>
      <c r="C2099" t="s">
        <v>1998</v>
      </c>
      <c r="D2099" s="11">
        <v>3900000</v>
      </c>
      <c r="E2099">
        <v>1110594073</v>
      </c>
      <c r="F2099" t="s">
        <v>1999</v>
      </c>
      <c r="G2099" t="s">
        <v>1755</v>
      </c>
    </row>
    <row r="2100" spans="1:7" ht="15" customHeight="1" x14ac:dyDescent="0.25">
      <c r="A2100" s="2">
        <v>45961</v>
      </c>
      <c r="B2100">
        <v>2025002535</v>
      </c>
      <c r="C2100" t="s">
        <v>2000</v>
      </c>
      <c r="D2100" s="11">
        <v>72218841.359999999</v>
      </c>
      <c r="E2100">
        <v>901329717</v>
      </c>
      <c r="F2100" t="s">
        <v>8</v>
      </c>
      <c r="G2100" t="s">
        <v>1755</v>
      </c>
    </row>
    <row r="2101" spans="1:7" ht="15" customHeight="1" x14ac:dyDescent="0.25">
      <c r="A2101" s="2">
        <v>45965</v>
      </c>
      <c r="B2101">
        <v>2025002552</v>
      </c>
      <c r="C2101" t="s">
        <v>1252</v>
      </c>
      <c r="D2101" s="11">
        <v>3000000</v>
      </c>
      <c r="E2101" s="12" t="e">
        <f>VLOOKUP(C2101,#REF!,5,0)</f>
        <v>#REF!</v>
      </c>
      <c r="F2101" s="12" t="e">
        <f>VLOOKUP(C2101,#REF!,6,0)</f>
        <v>#REF!</v>
      </c>
      <c r="G2101" t="s">
        <v>1094</v>
      </c>
    </row>
    <row r="2102" spans="1:7" ht="15" customHeight="1" x14ac:dyDescent="0.25">
      <c r="A2102" s="2">
        <v>45965</v>
      </c>
      <c r="B2102">
        <v>2025002553</v>
      </c>
      <c r="C2102" t="s">
        <v>1250</v>
      </c>
      <c r="D2102" s="11">
        <v>3000000</v>
      </c>
      <c r="E2102" s="12" t="e">
        <f>VLOOKUP(C2102,#REF!,5,0)</f>
        <v>#REF!</v>
      </c>
      <c r="F2102" s="12" t="e">
        <f>VLOOKUP(C2102,#REF!,6,0)</f>
        <v>#REF!</v>
      </c>
      <c r="G2102" t="s">
        <v>1094</v>
      </c>
    </row>
    <row r="2103" spans="1:7" ht="15" customHeight="1" x14ac:dyDescent="0.25">
      <c r="A2103" s="2">
        <v>45965</v>
      </c>
      <c r="B2103">
        <v>2025002554</v>
      </c>
      <c r="C2103" t="s">
        <v>1256</v>
      </c>
      <c r="D2103" s="11">
        <v>3000000</v>
      </c>
      <c r="E2103" s="12" t="e">
        <f>VLOOKUP(C2103,#REF!,5,0)</f>
        <v>#REF!</v>
      </c>
      <c r="F2103" s="12" t="e">
        <f>VLOOKUP(C2103,#REF!,6,0)</f>
        <v>#REF!</v>
      </c>
      <c r="G2103" t="s">
        <v>1094</v>
      </c>
    </row>
    <row r="2104" spans="1:7" ht="15" customHeight="1" x14ac:dyDescent="0.25">
      <c r="A2104" s="2">
        <v>45965.400694444397</v>
      </c>
      <c r="B2104">
        <v>2025002555</v>
      </c>
      <c r="C2104" t="s">
        <v>2001</v>
      </c>
      <c r="D2104" s="11">
        <v>4730000</v>
      </c>
      <c r="E2104" s="19" t="s">
        <v>2002</v>
      </c>
      <c r="F2104" t="s">
        <v>47</v>
      </c>
      <c r="G2104" t="s">
        <v>1755</v>
      </c>
    </row>
    <row r="2105" spans="1:7" ht="15" customHeight="1" x14ac:dyDescent="0.25">
      <c r="A2105" s="2">
        <v>45966</v>
      </c>
      <c r="B2105">
        <v>2025002569</v>
      </c>
      <c r="C2105" t="s">
        <v>1258</v>
      </c>
      <c r="D2105" s="11">
        <v>3000000</v>
      </c>
      <c r="E2105" s="12" t="e">
        <f>VLOOKUP(C2105,#REF!,5,0)</f>
        <v>#REF!</v>
      </c>
      <c r="F2105" s="12" t="e">
        <f>VLOOKUP(C2105,#REF!,6,0)</f>
        <v>#REF!</v>
      </c>
      <c r="G2105" t="s">
        <v>1094</v>
      </c>
    </row>
    <row r="2106" spans="1:7" ht="15" customHeight="1" x14ac:dyDescent="0.25">
      <c r="A2106" s="2">
        <v>45967.729861111096</v>
      </c>
      <c r="B2106">
        <v>2025002631</v>
      </c>
      <c r="C2106" t="s">
        <v>2003</v>
      </c>
      <c r="D2106" s="11">
        <v>3153000</v>
      </c>
      <c r="E2106" s="19" t="s">
        <v>2004</v>
      </c>
      <c r="F2106" t="s">
        <v>127</v>
      </c>
      <c r="G2106" t="s">
        <v>1755</v>
      </c>
    </row>
    <row r="2107" spans="1:7" ht="15" customHeight="1" x14ac:dyDescent="0.25">
      <c r="A2107" s="2">
        <v>45972.429166666698</v>
      </c>
      <c r="B2107">
        <v>2025002677</v>
      </c>
      <c r="C2107" t="s">
        <v>1764</v>
      </c>
      <c r="D2107" s="11">
        <v>152157500</v>
      </c>
      <c r="E2107" s="19" t="s">
        <v>1598</v>
      </c>
      <c r="F2107" t="s">
        <v>269</v>
      </c>
      <c r="G2107" t="s">
        <v>1755</v>
      </c>
    </row>
    <row r="2108" spans="1:7" ht="15" customHeight="1" x14ac:dyDescent="0.25">
      <c r="A2108" s="2">
        <v>45973.394444444399</v>
      </c>
      <c r="B2108">
        <v>2025002687</v>
      </c>
      <c r="C2108" t="s">
        <v>1795</v>
      </c>
      <c r="D2108" s="11">
        <v>6300000</v>
      </c>
      <c r="E2108" s="19" t="s">
        <v>1600</v>
      </c>
      <c r="F2108" t="s">
        <v>385</v>
      </c>
      <c r="G2108" t="s">
        <v>1755</v>
      </c>
    </row>
    <row r="2109" spans="1:7" ht="15" customHeight="1" x14ac:dyDescent="0.25">
      <c r="A2109" s="2">
        <v>45973.397916666698</v>
      </c>
      <c r="B2109">
        <v>2025002688</v>
      </c>
      <c r="C2109" t="s">
        <v>1901</v>
      </c>
      <c r="D2109" s="11">
        <v>4730000</v>
      </c>
      <c r="E2109" s="19" t="s">
        <v>2005</v>
      </c>
      <c r="F2109" t="s">
        <v>1902</v>
      </c>
      <c r="G2109" t="s">
        <v>1755</v>
      </c>
    </row>
    <row r="2110" spans="1:7" ht="15" customHeight="1" x14ac:dyDescent="0.25">
      <c r="A2110" s="2">
        <v>45973.4</v>
      </c>
      <c r="B2110">
        <v>2025002689</v>
      </c>
      <c r="C2110" t="s">
        <v>1857</v>
      </c>
      <c r="D2110" s="11">
        <v>3150000</v>
      </c>
      <c r="E2110" s="19" t="s">
        <v>1616</v>
      </c>
      <c r="F2110" t="s">
        <v>87</v>
      </c>
      <c r="G2110" t="s">
        <v>1755</v>
      </c>
    </row>
    <row r="2111" spans="1:7" ht="15" customHeight="1" x14ac:dyDescent="0.25">
      <c r="A2111" s="2">
        <v>45973.402777777803</v>
      </c>
      <c r="B2111">
        <v>2025002690</v>
      </c>
      <c r="C2111" t="s">
        <v>1856</v>
      </c>
      <c r="D2111" s="11">
        <v>3150000</v>
      </c>
      <c r="E2111" s="19" t="s">
        <v>1660</v>
      </c>
      <c r="F2111" t="s">
        <v>1163</v>
      </c>
      <c r="G2111" t="s">
        <v>1755</v>
      </c>
    </row>
    <row r="2112" spans="1:7" ht="15" customHeight="1" x14ac:dyDescent="0.25">
      <c r="A2112" s="2">
        <v>45973.404861111099</v>
      </c>
      <c r="B2112">
        <v>2025002691</v>
      </c>
      <c r="C2112" t="s">
        <v>1943</v>
      </c>
      <c r="D2112" s="11">
        <v>3150000</v>
      </c>
      <c r="E2112" s="19" t="s">
        <v>1601</v>
      </c>
      <c r="F2112" t="s">
        <v>171</v>
      </c>
      <c r="G2112" t="s">
        <v>1755</v>
      </c>
    </row>
    <row r="2113" spans="1:7" ht="15" customHeight="1" x14ac:dyDescent="0.25">
      <c r="A2113" s="2">
        <v>45973.406944444403</v>
      </c>
      <c r="B2113">
        <v>2025002692</v>
      </c>
      <c r="C2113" t="s">
        <v>1868</v>
      </c>
      <c r="D2113" s="11">
        <v>3150000</v>
      </c>
      <c r="E2113" s="19" t="s">
        <v>1605</v>
      </c>
      <c r="F2113" t="s">
        <v>263</v>
      </c>
      <c r="G2113" t="s">
        <v>1755</v>
      </c>
    </row>
    <row r="2114" spans="1:7" ht="15" customHeight="1" x14ac:dyDescent="0.25">
      <c r="A2114" s="2">
        <v>45974.409722222197</v>
      </c>
      <c r="B2114">
        <v>2025002699</v>
      </c>
      <c r="C2114" t="s">
        <v>1798</v>
      </c>
      <c r="D2114" s="11">
        <v>3150000</v>
      </c>
      <c r="E2114" s="19" t="s">
        <v>1657</v>
      </c>
      <c r="F2114" t="s">
        <v>59</v>
      </c>
      <c r="G2114" t="s">
        <v>1755</v>
      </c>
    </row>
    <row r="2115" spans="1:7" ht="15" customHeight="1" x14ac:dyDescent="0.25">
      <c r="A2115" s="2">
        <v>45974.418055555601</v>
      </c>
      <c r="B2115">
        <v>2025002700</v>
      </c>
      <c r="C2115" t="s">
        <v>1778</v>
      </c>
      <c r="D2115" s="11">
        <v>3150000</v>
      </c>
      <c r="E2115" s="19" t="s">
        <v>2006</v>
      </c>
      <c r="F2115" t="s">
        <v>1779</v>
      </c>
      <c r="G2115" t="s">
        <v>1755</v>
      </c>
    </row>
    <row r="2116" spans="1:7" ht="15" customHeight="1" x14ac:dyDescent="0.25">
      <c r="A2116" s="2">
        <v>45974.420833333301</v>
      </c>
      <c r="B2116">
        <v>2025002703</v>
      </c>
      <c r="C2116" t="s">
        <v>1954</v>
      </c>
      <c r="D2116" s="11">
        <v>3150000</v>
      </c>
      <c r="E2116" s="19" t="s">
        <v>2007</v>
      </c>
      <c r="F2116" t="s">
        <v>1955</v>
      </c>
      <c r="G2116" t="s">
        <v>1755</v>
      </c>
    </row>
    <row r="2117" spans="1:7" ht="15" customHeight="1" x14ac:dyDescent="0.25">
      <c r="A2117" s="2">
        <v>45974.422916666699</v>
      </c>
      <c r="B2117">
        <v>2025002704</v>
      </c>
      <c r="C2117" t="s">
        <v>1948</v>
      </c>
      <c r="D2117" s="11">
        <v>4730000</v>
      </c>
      <c r="E2117" s="19" t="s">
        <v>2008</v>
      </c>
      <c r="F2117" t="s">
        <v>1949</v>
      </c>
      <c r="G2117" t="s">
        <v>1755</v>
      </c>
    </row>
    <row r="2118" spans="1:7" ht="15" customHeight="1" x14ac:dyDescent="0.25">
      <c r="A2118" s="2">
        <v>45974.427083333299</v>
      </c>
      <c r="B2118">
        <v>2025002706</v>
      </c>
      <c r="C2118" t="s">
        <v>1765</v>
      </c>
      <c r="D2118" s="11">
        <v>6300000</v>
      </c>
      <c r="E2118" s="19" t="s">
        <v>2009</v>
      </c>
      <c r="F2118" t="s">
        <v>1766</v>
      </c>
      <c r="G2118" t="s">
        <v>1755</v>
      </c>
    </row>
    <row r="2119" spans="1:7" ht="15" customHeight="1" x14ac:dyDescent="0.25">
      <c r="A2119" s="2">
        <v>45974.431250000001</v>
      </c>
      <c r="B2119">
        <v>2025002707</v>
      </c>
      <c r="C2119" t="s">
        <v>1830</v>
      </c>
      <c r="D2119" s="11">
        <v>7800000</v>
      </c>
      <c r="E2119" s="19" t="s">
        <v>2010</v>
      </c>
      <c r="F2119" t="s">
        <v>1831</v>
      </c>
      <c r="G2119" t="s">
        <v>1755</v>
      </c>
    </row>
    <row r="2120" spans="1:7" ht="15" customHeight="1" x14ac:dyDescent="0.25">
      <c r="A2120" s="2">
        <v>45974.433333333298</v>
      </c>
      <c r="B2120">
        <v>2025002708</v>
      </c>
      <c r="C2120" t="s">
        <v>1762</v>
      </c>
      <c r="D2120" s="11">
        <v>6300000</v>
      </c>
      <c r="E2120" s="19" t="s">
        <v>1635</v>
      </c>
      <c r="F2120" t="s">
        <v>145</v>
      </c>
      <c r="G2120" t="s">
        <v>1755</v>
      </c>
    </row>
    <row r="2121" spans="1:7" ht="15" customHeight="1" x14ac:dyDescent="0.25">
      <c r="A2121" s="2">
        <v>45974.435416666704</v>
      </c>
      <c r="B2121">
        <v>2025002709</v>
      </c>
      <c r="C2121" t="s">
        <v>1984</v>
      </c>
      <c r="D2121" s="11">
        <v>3150000</v>
      </c>
      <c r="E2121" s="19" t="s">
        <v>2011</v>
      </c>
      <c r="F2121" t="s">
        <v>884</v>
      </c>
      <c r="G2121" t="s">
        <v>1755</v>
      </c>
    </row>
    <row r="2122" spans="1:7" ht="15" customHeight="1" x14ac:dyDescent="0.25">
      <c r="A2122" s="2">
        <v>45974.4375</v>
      </c>
      <c r="B2122">
        <v>2025002710</v>
      </c>
      <c r="C2122" t="s">
        <v>1873</v>
      </c>
      <c r="D2122" s="11">
        <v>3150000</v>
      </c>
      <c r="E2122" s="19" t="s">
        <v>2012</v>
      </c>
      <c r="F2122" t="s">
        <v>1874</v>
      </c>
      <c r="G2122" t="s">
        <v>1755</v>
      </c>
    </row>
    <row r="2123" spans="1:7" ht="15" customHeight="1" x14ac:dyDescent="0.25">
      <c r="A2123" s="2">
        <v>45974.443055555603</v>
      </c>
      <c r="B2123">
        <v>2025002711</v>
      </c>
      <c r="C2123" t="s">
        <v>1836</v>
      </c>
      <c r="D2123" s="11">
        <v>4730000</v>
      </c>
      <c r="E2123" s="19" t="s">
        <v>2013</v>
      </c>
      <c r="F2123" t="s">
        <v>1837</v>
      </c>
      <c r="G2123" t="s">
        <v>1755</v>
      </c>
    </row>
    <row r="2124" spans="1:7" ht="15" customHeight="1" x14ac:dyDescent="0.25">
      <c r="A2124" s="2">
        <v>45974.447222222203</v>
      </c>
      <c r="B2124">
        <v>2025002712</v>
      </c>
      <c r="C2124" t="s">
        <v>1776</v>
      </c>
      <c r="D2124" s="11">
        <v>3150000</v>
      </c>
      <c r="E2124" s="19" t="s">
        <v>2014</v>
      </c>
      <c r="F2124" t="s">
        <v>1777</v>
      </c>
      <c r="G2124" t="s">
        <v>1755</v>
      </c>
    </row>
    <row r="2125" spans="1:7" ht="15" customHeight="1" x14ac:dyDescent="0.25">
      <c r="A2125" s="2">
        <v>45974.451388888898</v>
      </c>
      <c r="B2125">
        <v>2025002714</v>
      </c>
      <c r="C2125" t="s">
        <v>1758</v>
      </c>
      <c r="D2125" s="11">
        <v>3150000</v>
      </c>
      <c r="E2125" s="19" t="s">
        <v>2015</v>
      </c>
      <c r="F2125" t="s">
        <v>1759</v>
      </c>
      <c r="G2125" t="s">
        <v>1755</v>
      </c>
    </row>
    <row r="2126" spans="1:7" ht="15" customHeight="1" x14ac:dyDescent="0.25">
      <c r="A2126" s="2">
        <v>45974.457638888904</v>
      </c>
      <c r="B2126">
        <v>2025002715</v>
      </c>
      <c r="C2126" t="s">
        <v>1851</v>
      </c>
      <c r="D2126" s="11">
        <v>7800000</v>
      </c>
      <c r="E2126" s="19" t="s">
        <v>2016</v>
      </c>
      <c r="F2126" t="s">
        <v>1852</v>
      </c>
      <c r="G2126" t="s">
        <v>1755</v>
      </c>
    </row>
    <row r="2127" spans="1:7" ht="15" customHeight="1" x14ac:dyDescent="0.25">
      <c r="A2127" s="2">
        <v>45979.377083333296</v>
      </c>
      <c r="B2127">
        <v>2025002728</v>
      </c>
      <c r="C2127" t="s">
        <v>2017</v>
      </c>
      <c r="D2127" s="11">
        <v>4572333</v>
      </c>
      <c r="E2127" s="19" t="s">
        <v>2018</v>
      </c>
      <c r="F2127" t="s">
        <v>2019</v>
      </c>
      <c r="G2127" t="s">
        <v>1755</v>
      </c>
    </row>
    <row r="2128" spans="1:7" ht="15" customHeight="1" x14ac:dyDescent="0.25">
      <c r="A2128" s="2">
        <v>45979.381249999999</v>
      </c>
      <c r="B2128">
        <v>2025002729</v>
      </c>
      <c r="C2128" t="s">
        <v>1792</v>
      </c>
      <c r="D2128" s="11">
        <v>3150000</v>
      </c>
      <c r="E2128" s="19" t="s">
        <v>1690</v>
      </c>
      <c r="F2128" t="s">
        <v>201</v>
      </c>
      <c r="G2128" t="s">
        <v>1755</v>
      </c>
    </row>
    <row r="2129" spans="1:7" ht="15" customHeight="1" x14ac:dyDescent="0.25">
      <c r="A2129" s="2">
        <v>45979.386111111096</v>
      </c>
      <c r="B2129">
        <v>2025002731</v>
      </c>
      <c r="C2129" t="s">
        <v>1890</v>
      </c>
      <c r="D2129" s="11">
        <v>4730000</v>
      </c>
      <c r="E2129" s="19" t="s">
        <v>2020</v>
      </c>
      <c r="F2129" t="s">
        <v>1891</v>
      </c>
      <c r="G2129" t="s">
        <v>1755</v>
      </c>
    </row>
    <row r="2130" spans="1:7" ht="15" customHeight="1" x14ac:dyDescent="0.25">
      <c r="A2130" s="2">
        <v>45979.390277777798</v>
      </c>
      <c r="B2130">
        <v>2025002732</v>
      </c>
      <c r="C2130" t="s">
        <v>1761</v>
      </c>
      <c r="D2130" s="11">
        <v>3150000</v>
      </c>
      <c r="E2130" s="19" t="s">
        <v>1671</v>
      </c>
      <c r="F2130" t="s">
        <v>443</v>
      </c>
      <c r="G2130" t="s">
        <v>1755</v>
      </c>
    </row>
    <row r="2131" spans="1:7" ht="15" customHeight="1" x14ac:dyDescent="0.25">
      <c r="A2131" s="2">
        <v>45979.392361111102</v>
      </c>
      <c r="B2131">
        <v>2025002733</v>
      </c>
      <c r="C2131" t="s">
        <v>1864</v>
      </c>
      <c r="D2131" s="11">
        <v>3150000</v>
      </c>
      <c r="E2131" s="19" t="s">
        <v>2021</v>
      </c>
      <c r="F2131" t="s">
        <v>1865</v>
      </c>
      <c r="G2131" t="s">
        <v>1755</v>
      </c>
    </row>
    <row r="2132" spans="1:7" ht="15" customHeight="1" x14ac:dyDescent="0.25">
      <c r="A2132" s="2">
        <v>45979.395833333299</v>
      </c>
      <c r="B2132">
        <v>2025002734</v>
      </c>
      <c r="C2132" t="s">
        <v>1775</v>
      </c>
      <c r="D2132" s="11">
        <v>3150000</v>
      </c>
      <c r="E2132" s="19" t="s">
        <v>1639</v>
      </c>
      <c r="F2132" t="s">
        <v>409</v>
      </c>
      <c r="G2132" t="s">
        <v>1755</v>
      </c>
    </row>
    <row r="2133" spans="1:7" ht="15" customHeight="1" x14ac:dyDescent="0.25">
      <c r="A2133" s="2">
        <v>45979.397916666698</v>
      </c>
      <c r="B2133">
        <v>2025002735</v>
      </c>
      <c r="C2133" t="s">
        <v>1839</v>
      </c>
      <c r="D2133" s="11">
        <v>4730000</v>
      </c>
      <c r="E2133" s="19" t="s">
        <v>1641</v>
      </c>
      <c r="F2133" t="s">
        <v>1142</v>
      </c>
      <c r="G2133" t="s">
        <v>1755</v>
      </c>
    </row>
    <row r="2134" spans="1:7" ht="15" customHeight="1" x14ac:dyDescent="0.25">
      <c r="A2134" s="2">
        <v>45979.401388888902</v>
      </c>
      <c r="B2134">
        <v>2025002736</v>
      </c>
      <c r="C2134" t="s">
        <v>1877</v>
      </c>
      <c r="D2134" s="11">
        <v>3150000</v>
      </c>
      <c r="E2134" s="19" t="s">
        <v>1719</v>
      </c>
      <c r="F2134" t="s">
        <v>1230</v>
      </c>
      <c r="G2134" t="s">
        <v>1755</v>
      </c>
    </row>
    <row r="2135" spans="1:7" ht="15" customHeight="1" x14ac:dyDescent="0.25">
      <c r="A2135" s="2">
        <v>45979.403472222199</v>
      </c>
      <c r="B2135">
        <v>2025002737</v>
      </c>
      <c r="C2135" t="s">
        <v>1900</v>
      </c>
      <c r="D2135" s="11">
        <v>6300000</v>
      </c>
      <c r="E2135" s="19" t="s">
        <v>1705</v>
      </c>
      <c r="F2135" t="s">
        <v>450</v>
      </c>
      <c r="G2135" t="s">
        <v>1755</v>
      </c>
    </row>
    <row r="2136" spans="1:7" ht="15" customHeight="1" x14ac:dyDescent="0.25">
      <c r="A2136" s="2">
        <v>45979.405555555597</v>
      </c>
      <c r="B2136">
        <v>2025002738</v>
      </c>
      <c r="C2136" t="s">
        <v>2022</v>
      </c>
      <c r="D2136" s="11">
        <v>36863960</v>
      </c>
      <c r="E2136" s="19" t="s">
        <v>1710</v>
      </c>
      <c r="F2136" t="s">
        <v>1220</v>
      </c>
      <c r="G2136" t="s">
        <v>1755</v>
      </c>
    </row>
    <row r="2137" spans="1:7" ht="15" customHeight="1" x14ac:dyDescent="0.25">
      <c r="A2137" s="2">
        <v>45980.470833333296</v>
      </c>
      <c r="B2137">
        <v>2025002742</v>
      </c>
      <c r="C2137" t="s">
        <v>1963</v>
      </c>
      <c r="D2137" s="11">
        <v>7800000</v>
      </c>
      <c r="E2137" s="19" t="s">
        <v>2023</v>
      </c>
      <c r="F2137" t="s">
        <v>1964</v>
      </c>
      <c r="G2137" t="s">
        <v>1755</v>
      </c>
    </row>
    <row r="2138" spans="1:7" ht="15" customHeight="1" x14ac:dyDescent="0.25">
      <c r="A2138" s="2">
        <v>45980.474999999999</v>
      </c>
      <c r="B2138">
        <v>2025002743</v>
      </c>
      <c r="C2138" t="s">
        <v>1887</v>
      </c>
      <c r="D2138" s="11">
        <v>4730000</v>
      </c>
      <c r="E2138" s="19" t="s">
        <v>2024</v>
      </c>
      <c r="F2138" t="s">
        <v>1888</v>
      </c>
      <c r="G2138" t="s">
        <v>1755</v>
      </c>
    </row>
    <row r="2139" spans="1:7" ht="15" customHeight="1" x14ac:dyDescent="0.25">
      <c r="A2139" s="2">
        <v>45980.476388888899</v>
      </c>
      <c r="B2139">
        <v>2025002744</v>
      </c>
      <c r="C2139" t="s">
        <v>1987</v>
      </c>
      <c r="D2139" s="11">
        <v>3150000</v>
      </c>
      <c r="E2139" s="19" t="s">
        <v>2025</v>
      </c>
      <c r="F2139" t="s">
        <v>1988</v>
      </c>
      <c r="G2139" t="s">
        <v>1755</v>
      </c>
    </row>
    <row r="2140" spans="1:7" ht="15" customHeight="1" x14ac:dyDescent="0.25">
      <c r="A2140" s="2">
        <v>45980.479166666701</v>
      </c>
      <c r="B2140">
        <v>2025002745</v>
      </c>
      <c r="C2140" t="s">
        <v>2026</v>
      </c>
      <c r="D2140" s="11">
        <v>2000000</v>
      </c>
      <c r="E2140" s="19" t="s">
        <v>2027</v>
      </c>
      <c r="F2140" t="s">
        <v>2028</v>
      </c>
      <c r="G2140" t="s">
        <v>1755</v>
      </c>
    </row>
    <row r="2141" spans="1:7" ht="15" customHeight="1" x14ac:dyDescent="0.25">
      <c r="A2141" s="2">
        <v>45980.4819444444</v>
      </c>
      <c r="B2141">
        <v>2025002746</v>
      </c>
      <c r="C2141" t="s">
        <v>2029</v>
      </c>
      <c r="D2141" s="11">
        <v>3150000</v>
      </c>
      <c r="E2141" s="19" t="s">
        <v>1712</v>
      </c>
      <c r="F2141" t="s">
        <v>1222</v>
      </c>
      <c r="G2141" t="s">
        <v>1755</v>
      </c>
    </row>
    <row r="2142" spans="1:7" ht="15" customHeight="1" x14ac:dyDescent="0.25">
      <c r="A2142" s="2">
        <v>45980.484722222202</v>
      </c>
      <c r="B2142">
        <v>2025002747</v>
      </c>
      <c r="C2142" t="s">
        <v>1875</v>
      </c>
      <c r="D2142" s="11">
        <v>7800000</v>
      </c>
      <c r="E2142" s="19" t="s">
        <v>1708</v>
      </c>
      <c r="F2142" t="s">
        <v>1218</v>
      </c>
      <c r="G2142" t="s">
        <v>1755</v>
      </c>
    </row>
    <row r="2143" spans="1:7" ht="15" customHeight="1" x14ac:dyDescent="0.25">
      <c r="A2143" s="2">
        <v>45980.487500000003</v>
      </c>
      <c r="B2143">
        <v>2025002748</v>
      </c>
      <c r="C2143" t="s">
        <v>1960</v>
      </c>
      <c r="D2143" s="11">
        <v>1575000</v>
      </c>
      <c r="E2143" s="19" t="s">
        <v>2030</v>
      </c>
      <c r="F2143" t="s">
        <v>1961</v>
      </c>
      <c r="G2143" t="s">
        <v>1755</v>
      </c>
    </row>
    <row r="2144" spans="1:7" ht="15" customHeight="1" x14ac:dyDescent="0.25">
      <c r="A2144" s="2">
        <v>45980.490277777797</v>
      </c>
      <c r="B2144">
        <v>2025002749</v>
      </c>
      <c r="C2144" t="s">
        <v>1870</v>
      </c>
      <c r="D2144" s="11">
        <v>4730000</v>
      </c>
      <c r="E2144" s="19" t="s">
        <v>2031</v>
      </c>
      <c r="F2144" t="s">
        <v>95</v>
      </c>
      <c r="G2144" t="s">
        <v>1755</v>
      </c>
    </row>
    <row r="2145" spans="1:9" ht="15" customHeight="1" x14ac:dyDescent="0.25">
      <c r="A2145" s="2">
        <v>45980.492361111101</v>
      </c>
      <c r="B2145">
        <v>2025002750</v>
      </c>
      <c r="C2145" t="s">
        <v>1883</v>
      </c>
      <c r="D2145" s="11">
        <v>6300000</v>
      </c>
      <c r="E2145" s="19" t="s">
        <v>2032</v>
      </c>
      <c r="F2145" t="s">
        <v>1884</v>
      </c>
      <c r="G2145" t="s">
        <v>1755</v>
      </c>
    </row>
    <row r="2146" spans="1:9" ht="15" customHeight="1" x14ac:dyDescent="0.25">
      <c r="A2146" s="2">
        <v>45980.586111111101</v>
      </c>
      <c r="B2146">
        <v>2025002751</v>
      </c>
      <c r="C2146" t="s">
        <v>1853</v>
      </c>
      <c r="D2146" s="11">
        <v>4730000</v>
      </c>
      <c r="E2146" s="19" t="s">
        <v>2033</v>
      </c>
      <c r="F2146" t="s">
        <v>355</v>
      </c>
      <c r="G2146" t="s">
        <v>1755</v>
      </c>
    </row>
    <row r="2147" spans="1:9" ht="15" customHeight="1" x14ac:dyDescent="0.25">
      <c r="A2147" s="2">
        <v>45980.668055555601</v>
      </c>
      <c r="B2147">
        <v>2025002768</v>
      </c>
      <c r="C2147" t="s">
        <v>1844</v>
      </c>
      <c r="D2147" s="11">
        <v>7800000</v>
      </c>
      <c r="E2147" s="19" t="s">
        <v>1682</v>
      </c>
      <c r="F2147" t="s">
        <v>159</v>
      </c>
      <c r="G2147" t="s">
        <v>1755</v>
      </c>
    </row>
    <row r="2148" spans="1:9" ht="15" customHeight="1" x14ac:dyDescent="0.25">
      <c r="A2148" s="2">
        <v>45980.673611111102</v>
      </c>
      <c r="B2148">
        <v>2025002773</v>
      </c>
      <c r="C2148" t="s">
        <v>1879</v>
      </c>
      <c r="D2148" s="11">
        <v>3150000</v>
      </c>
      <c r="E2148" s="19" t="s">
        <v>2034</v>
      </c>
      <c r="F2148" t="s">
        <v>1880</v>
      </c>
      <c r="G2148" t="s">
        <v>1755</v>
      </c>
    </row>
    <row r="2149" spans="1:9" ht="15" customHeight="1" x14ac:dyDescent="0.25">
      <c r="A2149" s="2">
        <v>45980.676388888904</v>
      </c>
      <c r="B2149">
        <v>2025002774</v>
      </c>
      <c r="C2149" t="s">
        <v>1956</v>
      </c>
      <c r="D2149" s="11">
        <v>3150000</v>
      </c>
      <c r="E2149" s="19" t="s">
        <v>2035</v>
      </c>
      <c r="F2149" t="s">
        <v>1957</v>
      </c>
      <c r="G2149" t="s">
        <v>1755</v>
      </c>
    </row>
    <row r="2150" spans="1:9" ht="15" customHeight="1" x14ac:dyDescent="0.25">
      <c r="A2150" s="2">
        <v>45980.681250000001</v>
      </c>
      <c r="B2150">
        <v>2025002778</v>
      </c>
      <c r="C2150" t="s">
        <v>1849</v>
      </c>
      <c r="D2150" s="11">
        <v>7800000</v>
      </c>
      <c r="E2150" s="19" t="s">
        <v>1620</v>
      </c>
      <c r="F2150" t="s">
        <v>41</v>
      </c>
      <c r="G2150" t="s">
        <v>1755</v>
      </c>
    </row>
    <row r="2151" spans="1:9" ht="15" customHeight="1" x14ac:dyDescent="0.25">
      <c r="A2151" s="2">
        <v>45980.684722222199</v>
      </c>
      <c r="B2151">
        <v>2025002779</v>
      </c>
      <c r="C2151" t="s">
        <v>1760</v>
      </c>
      <c r="D2151" s="11">
        <v>3150000</v>
      </c>
      <c r="E2151" s="19" t="s">
        <v>1652</v>
      </c>
      <c r="F2151" t="s">
        <v>371</v>
      </c>
      <c r="G2151" t="s">
        <v>1755</v>
      </c>
    </row>
    <row r="2152" spans="1:9" ht="15" customHeight="1" x14ac:dyDescent="0.25">
      <c r="A2152" s="2">
        <v>45980.686805555597</v>
      </c>
      <c r="B2152">
        <v>2025002780</v>
      </c>
      <c r="C2152" t="s">
        <v>1773</v>
      </c>
      <c r="D2152" s="11">
        <v>6300000</v>
      </c>
      <c r="E2152" s="19" t="s">
        <v>2036</v>
      </c>
      <c r="F2152" t="s">
        <v>1774</v>
      </c>
      <c r="G2152" t="s">
        <v>1755</v>
      </c>
    </row>
    <row r="2153" spans="1:9" ht="15" customHeight="1" x14ac:dyDescent="0.25">
      <c r="A2153" s="2">
        <v>45980.688888888901</v>
      </c>
      <c r="B2153">
        <v>2025002781</v>
      </c>
      <c r="C2153" t="s">
        <v>1835</v>
      </c>
      <c r="D2153" s="11">
        <v>3150000</v>
      </c>
      <c r="E2153" s="19" t="s">
        <v>1679</v>
      </c>
      <c r="F2153" t="s">
        <v>111</v>
      </c>
      <c r="G2153" t="s">
        <v>1755</v>
      </c>
    </row>
    <row r="2154" spans="1:9" ht="15" customHeight="1" x14ac:dyDescent="0.25">
      <c r="A2154" s="2">
        <v>45980.691666666702</v>
      </c>
      <c r="B2154">
        <v>2025002782</v>
      </c>
      <c r="C2154" t="s">
        <v>1878</v>
      </c>
      <c r="D2154" s="11">
        <v>3150000</v>
      </c>
      <c r="E2154" s="19" t="s">
        <v>2037</v>
      </c>
      <c r="F2154" t="s">
        <v>417</v>
      </c>
      <c r="G2154" t="s">
        <v>1755</v>
      </c>
    </row>
    <row r="2155" spans="1:9" ht="15" customHeight="1" x14ac:dyDescent="0.25">
      <c r="A2155" s="2">
        <v>45980.7409722222</v>
      </c>
      <c r="B2155">
        <v>2025002783</v>
      </c>
      <c r="C2155" t="s">
        <v>1940</v>
      </c>
      <c r="D2155" s="11">
        <v>3150000</v>
      </c>
      <c r="E2155" s="19" t="s">
        <v>1634</v>
      </c>
      <c r="F2155" t="s">
        <v>209</v>
      </c>
      <c r="G2155" t="s">
        <v>1755</v>
      </c>
    </row>
    <row r="2156" spans="1:9" ht="15" customHeight="1" x14ac:dyDescent="0.25">
      <c r="A2156" s="2">
        <v>45981.306944444397</v>
      </c>
      <c r="B2156">
        <v>2025002784</v>
      </c>
      <c r="C2156" t="s">
        <v>1932</v>
      </c>
      <c r="D2156" s="11">
        <v>7800000</v>
      </c>
      <c r="E2156" s="19" t="s">
        <v>2038</v>
      </c>
      <c r="F2156" t="s">
        <v>889</v>
      </c>
      <c r="G2156" t="s">
        <v>1755</v>
      </c>
    </row>
    <row r="2157" spans="1:9" ht="15" customHeight="1" x14ac:dyDescent="0.25">
      <c r="A2157" s="2">
        <v>45981.311111111099</v>
      </c>
      <c r="B2157">
        <v>2025002785</v>
      </c>
      <c r="C2157" t="s">
        <v>1934</v>
      </c>
      <c r="D2157" s="11">
        <v>4730000</v>
      </c>
      <c r="E2157" s="19" t="s">
        <v>2039</v>
      </c>
      <c r="F2157" t="s">
        <v>464</v>
      </c>
      <c r="G2157" t="s">
        <v>1755</v>
      </c>
    </row>
    <row r="2158" spans="1:9" ht="15" customHeight="1" x14ac:dyDescent="0.25">
      <c r="A2158" s="2">
        <v>45981.313194444403</v>
      </c>
      <c r="B2158">
        <v>2025002786</v>
      </c>
      <c r="C2158" t="s">
        <v>1805</v>
      </c>
      <c r="D2158" s="11">
        <v>3150000</v>
      </c>
      <c r="E2158" s="19" t="s">
        <v>1658</v>
      </c>
      <c r="F2158" t="s">
        <v>1158</v>
      </c>
      <c r="G2158" t="s">
        <v>1755</v>
      </c>
    </row>
    <row r="2159" spans="1:9" ht="15" customHeight="1" x14ac:dyDescent="0.25">
      <c r="A2159" s="2">
        <v>45981.320138888899</v>
      </c>
      <c r="B2159">
        <v>2025002787</v>
      </c>
      <c r="C2159" t="s">
        <v>1914</v>
      </c>
      <c r="D2159" s="11">
        <v>6300000</v>
      </c>
      <c r="E2159" s="19" t="s">
        <v>1673</v>
      </c>
      <c r="F2159" t="s">
        <v>1182</v>
      </c>
      <c r="G2159" t="s">
        <v>1755</v>
      </c>
    </row>
    <row r="2160" spans="1:9" ht="15" customHeight="1" x14ac:dyDescent="0.25">
      <c r="A2160" s="2">
        <v>45974</v>
      </c>
      <c r="B2160">
        <v>2025002788</v>
      </c>
      <c r="C2160" t="s">
        <v>1241</v>
      </c>
      <c r="D2160" s="11">
        <v>3000000</v>
      </c>
      <c r="E2160" s="12" t="e">
        <f>VLOOKUP(C2160,#REF!,5,0)</f>
        <v>#REF!</v>
      </c>
      <c r="F2160" s="12" t="e">
        <f>VLOOKUP(C2160,#REF!,6,0)</f>
        <v>#REF!</v>
      </c>
      <c r="G2160" t="s">
        <v>1094</v>
      </c>
      <c r="I2160" s="11"/>
    </row>
    <row r="2161" spans="1:9" ht="15" customHeight="1" x14ac:dyDescent="0.25">
      <c r="A2161" s="2">
        <v>45981.329166666699</v>
      </c>
      <c r="B2161">
        <v>2025002789</v>
      </c>
      <c r="C2161" t="s">
        <v>1806</v>
      </c>
      <c r="D2161" s="11">
        <v>7800000</v>
      </c>
      <c r="E2161" s="19" t="s">
        <v>2040</v>
      </c>
      <c r="F2161" t="s">
        <v>1807</v>
      </c>
      <c r="G2161" t="s">
        <v>1755</v>
      </c>
    </row>
    <row r="2162" spans="1:9" ht="15" customHeight="1" x14ac:dyDescent="0.25">
      <c r="A2162" s="2">
        <v>45981.331944444399</v>
      </c>
      <c r="B2162">
        <v>2025002790</v>
      </c>
      <c r="C2162" t="s">
        <v>1922</v>
      </c>
      <c r="D2162" s="11">
        <v>7800000</v>
      </c>
      <c r="E2162" s="19" t="s">
        <v>2041</v>
      </c>
      <c r="F2162" t="s">
        <v>1923</v>
      </c>
      <c r="G2162" t="s">
        <v>1755</v>
      </c>
    </row>
    <row r="2163" spans="1:9" ht="15" customHeight="1" x14ac:dyDescent="0.25">
      <c r="A2163" s="2">
        <v>45981.335416666698</v>
      </c>
      <c r="B2163">
        <v>2025002791</v>
      </c>
      <c r="C2163" t="s">
        <v>1823</v>
      </c>
      <c r="D2163" s="11">
        <v>3150000</v>
      </c>
      <c r="E2163" s="19" t="s">
        <v>2042</v>
      </c>
      <c r="F2163" t="s">
        <v>693</v>
      </c>
      <c r="G2163" t="s">
        <v>1755</v>
      </c>
    </row>
    <row r="2164" spans="1:9" ht="15" customHeight="1" x14ac:dyDescent="0.25">
      <c r="A2164" s="2">
        <v>45981.337500000001</v>
      </c>
      <c r="B2164">
        <v>2025002792</v>
      </c>
      <c r="C2164" t="s">
        <v>1803</v>
      </c>
      <c r="D2164" s="11">
        <v>3150000</v>
      </c>
      <c r="E2164" s="19" t="s">
        <v>1662</v>
      </c>
      <c r="F2164" t="s">
        <v>149</v>
      </c>
      <c r="G2164" t="s">
        <v>1755</v>
      </c>
    </row>
    <row r="2165" spans="1:9" ht="15" customHeight="1" x14ac:dyDescent="0.25">
      <c r="A2165" s="2">
        <v>45981.342361111099</v>
      </c>
      <c r="B2165">
        <v>2025002793</v>
      </c>
      <c r="C2165" t="s">
        <v>1924</v>
      </c>
      <c r="D2165" s="11">
        <v>6300000</v>
      </c>
      <c r="E2165" s="19" t="s">
        <v>1594</v>
      </c>
      <c r="F2165" t="s">
        <v>1102</v>
      </c>
      <c r="G2165" t="s">
        <v>1755</v>
      </c>
    </row>
    <row r="2166" spans="1:9" ht="15" customHeight="1" x14ac:dyDescent="0.25">
      <c r="A2166" s="2">
        <v>45981.345138888901</v>
      </c>
      <c r="B2166">
        <v>2025002794</v>
      </c>
      <c r="C2166" t="s">
        <v>1861</v>
      </c>
      <c r="D2166" s="11">
        <v>7800000</v>
      </c>
      <c r="E2166" s="19" t="s">
        <v>1622</v>
      </c>
      <c r="F2166" t="s">
        <v>63</v>
      </c>
      <c r="G2166" t="s">
        <v>1755</v>
      </c>
    </row>
    <row r="2167" spans="1:9" ht="15" customHeight="1" x14ac:dyDescent="0.25">
      <c r="A2167" s="2">
        <v>45981.347222222197</v>
      </c>
      <c r="B2167">
        <v>2025002795</v>
      </c>
      <c r="C2167" t="s">
        <v>1820</v>
      </c>
      <c r="D2167" s="11">
        <v>3150000</v>
      </c>
      <c r="E2167" s="19" t="s">
        <v>2043</v>
      </c>
      <c r="F2167" t="s">
        <v>405</v>
      </c>
      <c r="G2167" t="s">
        <v>1755</v>
      </c>
    </row>
    <row r="2168" spans="1:9" ht="15" customHeight="1" x14ac:dyDescent="0.25">
      <c r="A2168" s="2">
        <v>45981</v>
      </c>
      <c r="B2168">
        <v>2025002796</v>
      </c>
      <c r="C2168" t="s">
        <v>1245</v>
      </c>
      <c r="D2168" s="11">
        <v>3000000</v>
      </c>
      <c r="E2168" s="12" t="e">
        <f>VLOOKUP(C2168,#REF!,5,0)</f>
        <v>#REF!</v>
      </c>
      <c r="F2168" s="12" t="e">
        <f>VLOOKUP(C2168,#REF!,6,0)</f>
        <v>#REF!</v>
      </c>
      <c r="G2168" t="s">
        <v>1094</v>
      </c>
    </row>
    <row r="2169" spans="1:9" ht="15" customHeight="1" x14ac:dyDescent="0.25">
      <c r="A2169" s="2">
        <v>45982</v>
      </c>
      <c r="B2169">
        <v>2025002797</v>
      </c>
      <c r="C2169" t="s">
        <v>1268</v>
      </c>
      <c r="D2169" s="11">
        <v>3000000</v>
      </c>
      <c r="E2169" s="12" t="e">
        <f>VLOOKUP(C2169,#REF!,5,0)</f>
        <v>#REF!</v>
      </c>
      <c r="F2169" s="12" t="e">
        <f>VLOOKUP(C2169,#REF!,6,0)</f>
        <v>#REF!</v>
      </c>
      <c r="G2169" t="s">
        <v>1094</v>
      </c>
      <c r="I2169" s="11"/>
    </row>
    <row r="2170" spans="1:9" ht="15" customHeight="1" x14ac:dyDescent="0.25">
      <c r="A2170" s="2">
        <v>45982</v>
      </c>
      <c r="B2170">
        <v>2025002798</v>
      </c>
      <c r="C2170" t="s">
        <v>1236</v>
      </c>
      <c r="D2170" s="11">
        <v>4825000</v>
      </c>
      <c r="E2170" s="12" t="e">
        <f>VLOOKUP(C2170,#REF!,5,0)</f>
        <v>#REF!</v>
      </c>
      <c r="F2170" s="12" t="e">
        <f>VLOOKUP(C2170,#REF!,6,0)</f>
        <v>#REF!</v>
      </c>
      <c r="G2170" t="s">
        <v>1094</v>
      </c>
      <c r="I2170" s="11"/>
    </row>
    <row r="2171" spans="1:9" ht="15" customHeight="1" x14ac:dyDescent="0.25">
      <c r="A2171" s="2">
        <v>45981.359027777798</v>
      </c>
      <c r="B2171">
        <v>2025002799</v>
      </c>
      <c r="C2171" t="s">
        <v>1827</v>
      </c>
      <c r="D2171" s="11">
        <v>3150000</v>
      </c>
      <c r="E2171" s="19" t="s">
        <v>1626</v>
      </c>
      <c r="F2171" t="s">
        <v>243</v>
      </c>
      <c r="G2171" t="s">
        <v>1755</v>
      </c>
    </row>
    <row r="2172" spans="1:9" ht="15" customHeight="1" x14ac:dyDescent="0.25">
      <c r="A2172" s="2">
        <v>45981.376388888901</v>
      </c>
      <c r="B2172">
        <v>2025002800</v>
      </c>
      <c r="C2172" t="s">
        <v>1866</v>
      </c>
      <c r="D2172" s="11">
        <v>3150000</v>
      </c>
      <c r="E2172" s="19" t="s">
        <v>2044</v>
      </c>
      <c r="F2172" t="s">
        <v>1867</v>
      </c>
      <c r="G2172" t="s">
        <v>1755</v>
      </c>
    </row>
    <row r="2173" spans="1:9" ht="15" customHeight="1" x14ac:dyDescent="0.25">
      <c r="A2173" s="2">
        <v>45981.399305555598</v>
      </c>
      <c r="B2173">
        <v>2025002802</v>
      </c>
      <c r="C2173" t="s">
        <v>1950</v>
      </c>
      <c r="D2173" s="11">
        <v>3150000</v>
      </c>
      <c r="E2173" s="19" t="s">
        <v>2045</v>
      </c>
      <c r="F2173" t="s">
        <v>1951</v>
      </c>
      <c r="G2173" t="s">
        <v>1755</v>
      </c>
    </row>
    <row r="2174" spans="1:9" ht="15" customHeight="1" x14ac:dyDescent="0.25">
      <c r="A2174" s="2">
        <v>45981.388888888898</v>
      </c>
      <c r="B2174">
        <v>2025002803</v>
      </c>
      <c r="C2174" t="s">
        <v>1889</v>
      </c>
      <c r="D2174" s="11">
        <v>3150000</v>
      </c>
      <c r="E2174" s="19" t="s">
        <v>1731</v>
      </c>
      <c r="F2174" t="s">
        <v>548</v>
      </c>
      <c r="G2174" t="s">
        <v>1755</v>
      </c>
    </row>
    <row r="2175" spans="1:9" ht="15" customHeight="1" x14ac:dyDescent="0.25">
      <c r="A2175" s="2">
        <v>45981.390972222202</v>
      </c>
      <c r="B2175">
        <v>2025002804</v>
      </c>
      <c r="C2175" t="s">
        <v>1881</v>
      </c>
      <c r="D2175" s="11">
        <v>3150000</v>
      </c>
      <c r="E2175" s="19" t="s">
        <v>2046</v>
      </c>
      <c r="F2175" t="s">
        <v>1882</v>
      </c>
      <c r="G2175" t="s">
        <v>1755</v>
      </c>
    </row>
    <row r="2176" spans="1:9" ht="15" customHeight="1" x14ac:dyDescent="0.25">
      <c r="A2176" s="2">
        <v>45981.3930555556</v>
      </c>
      <c r="B2176">
        <v>2025002805</v>
      </c>
      <c r="C2176" t="s">
        <v>1965</v>
      </c>
      <c r="D2176" s="11">
        <v>6300000</v>
      </c>
      <c r="E2176" s="19" t="s">
        <v>2047</v>
      </c>
      <c r="F2176" t="s">
        <v>1966</v>
      </c>
      <c r="G2176" t="s">
        <v>1755</v>
      </c>
    </row>
    <row r="2177" spans="1:7" ht="15" customHeight="1" x14ac:dyDescent="0.25">
      <c r="A2177" s="2">
        <v>45981.395138888904</v>
      </c>
      <c r="B2177">
        <v>2025002806</v>
      </c>
      <c r="C2177" t="s">
        <v>1946</v>
      </c>
      <c r="D2177" s="11">
        <v>3150000</v>
      </c>
      <c r="E2177" s="19" t="s">
        <v>2048</v>
      </c>
      <c r="F2177" t="s">
        <v>1947</v>
      </c>
      <c r="G2177" t="s">
        <v>1755</v>
      </c>
    </row>
    <row r="2178" spans="1:7" ht="15" customHeight="1" x14ac:dyDescent="0.25">
      <c r="A2178" s="2">
        <v>45981.396527777797</v>
      </c>
      <c r="B2178">
        <v>2025002807</v>
      </c>
      <c r="C2178" t="s">
        <v>1952</v>
      </c>
      <c r="D2178" s="11">
        <v>3150000</v>
      </c>
      <c r="E2178" s="19" t="s">
        <v>2049</v>
      </c>
      <c r="F2178" t="s">
        <v>1953</v>
      </c>
      <c r="G2178" t="s">
        <v>1755</v>
      </c>
    </row>
    <row r="2179" spans="1:7" ht="15" customHeight="1" x14ac:dyDescent="0.25">
      <c r="A2179" s="2">
        <v>45981.398611111101</v>
      </c>
      <c r="B2179">
        <v>2025002808</v>
      </c>
      <c r="C2179" t="s">
        <v>1838</v>
      </c>
      <c r="D2179" s="11">
        <v>6300000</v>
      </c>
      <c r="E2179" s="19" t="s">
        <v>2050</v>
      </c>
      <c r="F2179" t="s">
        <v>1062</v>
      </c>
      <c r="G2179" t="s">
        <v>1755</v>
      </c>
    </row>
    <row r="2180" spans="1:7" ht="15" customHeight="1" x14ac:dyDescent="0.25">
      <c r="A2180" s="2">
        <v>45981.402777777803</v>
      </c>
      <c r="B2180">
        <v>2025002809</v>
      </c>
      <c r="C2180" t="s">
        <v>1840</v>
      </c>
      <c r="D2180" s="11">
        <v>7800000</v>
      </c>
      <c r="E2180" s="19" t="s">
        <v>2051</v>
      </c>
      <c r="F2180" t="s">
        <v>1841</v>
      </c>
      <c r="G2180" t="s">
        <v>1755</v>
      </c>
    </row>
    <row r="2181" spans="1:7" ht="15" customHeight="1" x14ac:dyDescent="0.25">
      <c r="A2181" s="2">
        <v>45981.405555555597</v>
      </c>
      <c r="B2181">
        <v>2025002810</v>
      </c>
      <c r="C2181" t="s">
        <v>1756</v>
      </c>
      <c r="D2181" s="11">
        <v>3150000</v>
      </c>
      <c r="E2181" s="19" t="s">
        <v>2052</v>
      </c>
      <c r="F2181" t="s">
        <v>1757</v>
      </c>
      <c r="G2181" t="s">
        <v>1755</v>
      </c>
    </row>
    <row r="2182" spans="1:7" ht="15" customHeight="1" x14ac:dyDescent="0.25">
      <c r="A2182" s="2">
        <v>45981.407638888901</v>
      </c>
      <c r="B2182">
        <v>2025002811</v>
      </c>
      <c r="C2182" t="s">
        <v>1967</v>
      </c>
      <c r="D2182" s="11">
        <v>3150000</v>
      </c>
      <c r="E2182" s="19" t="s">
        <v>2053</v>
      </c>
      <c r="F2182" t="s">
        <v>1968</v>
      </c>
      <c r="G2182" t="s">
        <v>1755</v>
      </c>
    </row>
    <row r="2183" spans="1:7" ht="15" customHeight="1" x14ac:dyDescent="0.25">
      <c r="A2183" s="2">
        <v>45981.411111111098</v>
      </c>
      <c r="B2183">
        <v>2025002812</v>
      </c>
      <c r="C2183" t="s">
        <v>1871</v>
      </c>
      <c r="D2183" s="11">
        <v>7800000</v>
      </c>
      <c r="E2183" s="19" t="s">
        <v>2054</v>
      </c>
      <c r="F2183" t="s">
        <v>1872</v>
      </c>
      <c r="G2183" t="s">
        <v>1755</v>
      </c>
    </row>
    <row r="2184" spans="1:7" ht="15" customHeight="1" x14ac:dyDescent="0.25">
      <c r="A2184" s="2">
        <v>45981.413194444402</v>
      </c>
      <c r="B2184">
        <v>2025002813</v>
      </c>
      <c r="C2184" t="s">
        <v>1770</v>
      </c>
      <c r="D2184" s="11">
        <v>6300000</v>
      </c>
      <c r="E2184" s="19" t="s">
        <v>1664</v>
      </c>
      <c r="F2184" t="s">
        <v>329</v>
      </c>
      <c r="G2184" t="s">
        <v>1755</v>
      </c>
    </row>
    <row r="2185" spans="1:7" ht="15" customHeight="1" x14ac:dyDescent="0.25">
      <c r="A2185" s="2">
        <v>45981.4152777778</v>
      </c>
      <c r="B2185">
        <v>2025002814</v>
      </c>
      <c r="C2185" t="s">
        <v>1847</v>
      </c>
      <c r="D2185" s="11">
        <v>6300000</v>
      </c>
      <c r="E2185" s="19" t="s">
        <v>2055</v>
      </c>
      <c r="F2185" t="s">
        <v>1848</v>
      </c>
      <c r="G2185" t="s">
        <v>1755</v>
      </c>
    </row>
    <row r="2186" spans="1:7" ht="15" customHeight="1" x14ac:dyDescent="0.25">
      <c r="A2186" s="2">
        <v>45981.418749999997</v>
      </c>
      <c r="B2186">
        <v>2025002815</v>
      </c>
      <c r="C2186" t="s">
        <v>1810</v>
      </c>
      <c r="D2186" s="11">
        <v>7800000</v>
      </c>
      <c r="E2186" s="19" t="s">
        <v>2056</v>
      </c>
      <c r="F2186" t="s">
        <v>1811</v>
      </c>
      <c r="G2186" t="s">
        <v>1755</v>
      </c>
    </row>
    <row r="2187" spans="1:7" ht="15" customHeight="1" x14ac:dyDescent="0.25">
      <c r="A2187" s="2">
        <v>45981.422222222202</v>
      </c>
      <c r="B2187">
        <v>2025002816</v>
      </c>
      <c r="C2187" t="s">
        <v>1812</v>
      </c>
      <c r="D2187" s="11">
        <v>7800000</v>
      </c>
      <c r="E2187" s="19" t="s">
        <v>2057</v>
      </c>
      <c r="F2187" t="s">
        <v>1813</v>
      </c>
      <c r="G2187" t="s">
        <v>1755</v>
      </c>
    </row>
    <row r="2188" spans="1:7" ht="15" customHeight="1" x14ac:dyDescent="0.25">
      <c r="A2188" s="2">
        <v>45981.425694444399</v>
      </c>
      <c r="B2188">
        <v>2025002817</v>
      </c>
      <c r="C2188" t="s">
        <v>1808</v>
      </c>
      <c r="D2188" s="11">
        <v>7800000</v>
      </c>
      <c r="E2188" s="19" t="s">
        <v>2058</v>
      </c>
      <c r="F2188" t="s">
        <v>1809</v>
      </c>
      <c r="G2188" t="s">
        <v>1755</v>
      </c>
    </row>
    <row r="2189" spans="1:7" ht="15" customHeight="1" x14ac:dyDescent="0.25">
      <c r="A2189" s="2">
        <v>45981.435416666704</v>
      </c>
      <c r="B2189">
        <v>2025002818</v>
      </c>
      <c r="C2189" t="s">
        <v>1998</v>
      </c>
      <c r="D2189" s="11">
        <v>7800000</v>
      </c>
      <c r="E2189" s="19" t="s">
        <v>2059</v>
      </c>
      <c r="F2189" t="s">
        <v>1999</v>
      </c>
      <c r="G2189" t="s">
        <v>1755</v>
      </c>
    </row>
    <row r="2190" spans="1:7" ht="15" customHeight="1" x14ac:dyDescent="0.25">
      <c r="A2190" s="2">
        <v>45988.729166666701</v>
      </c>
      <c r="B2190">
        <v>2025002819</v>
      </c>
      <c r="C2190" t="s">
        <v>1938</v>
      </c>
      <c r="D2190" s="11">
        <v>6300000</v>
      </c>
      <c r="E2190" s="19" t="s">
        <v>2060</v>
      </c>
      <c r="F2190" t="s">
        <v>1939</v>
      </c>
      <c r="G2190" t="s">
        <v>1755</v>
      </c>
    </row>
    <row r="2191" spans="1:7" ht="15" customHeight="1" x14ac:dyDescent="0.25">
      <c r="A2191" s="2">
        <v>45981.463194444397</v>
      </c>
      <c r="B2191">
        <v>2025002820</v>
      </c>
      <c r="C2191" t="s">
        <v>1935</v>
      </c>
      <c r="D2191" s="11">
        <v>3150000</v>
      </c>
      <c r="E2191" s="19" t="s">
        <v>2061</v>
      </c>
      <c r="F2191" t="s">
        <v>1936</v>
      </c>
      <c r="G2191" t="s">
        <v>1755</v>
      </c>
    </row>
    <row r="2192" spans="1:7" ht="15" customHeight="1" x14ac:dyDescent="0.25">
      <c r="A2192" s="2">
        <v>45981.465277777803</v>
      </c>
      <c r="B2192">
        <v>2025002821</v>
      </c>
      <c r="C2192" t="s">
        <v>1916</v>
      </c>
      <c r="D2192" s="11">
        <v>6300000</v>
      </c>
      <c r="E2192" s="19" t="s">
        <v>1651</v>
      </c>
      <c r="F2192" t="s">
        <v>117</v>
      </c>
      <c r="G2192" t="s">
        <v>1755</v>
      </c>
    </row>
    <row r="2193" spans="1:7" ht="15" customHeight="1" x14ac:dyDescent="0.25">
      <c r="A2193" s="2">
        <v>45981.670138888898</v>
      </c>
      <c r="B2193">
        <v>2025002823</v>
      </c>
      <c r="C2193" t="s">
        <v>1791</v>
      </c>
      <c r="D2193" s="11">
        <v>4730000</v>
      </c>
      <c r="E2193" s="19" t="s">
        <v>1614</v>
      </c>
      <c r="F2193" t="s">
        <v>735</v>
      </c>
      <c r="G2193" t="s">
        <v>1755</v>
      </c>
    </row>
    <row r="2194" spans="1:7" ht="15" customHeight="1" x14ac:dyDescent="0.25">
      <c r="A2194" s="2">
        <v>45981.672222222202</v>
      </c>
      <c r="B2194">
        <v>2025002824</v>
      </c>
      <c r="C2194" t="s">
        <v>1767</v>
      </c>
      <c r="D2194" s="11">
        <v>3150000</v>
      </c>
      <c r="E2194" s="19" t="s">
        <v>1647</v>
      </c>
      <c r="F2194" t="s">
        <v>119</v>
      </c>
      <c r="G2194" t="s">
        <v>1755</v>
      </c>
    </row>
    <row r="2195" spans="1:7" ht="15" customHeight="1" x14ac:dyDescent="0.25">
      <c r="A2195" s="2">
        <v>45981.6743055556</v>
      </c>
      <c r="B2195">
        <v>2025002825</v>
      </c>
      <c r="C2195" t="s">
        <v>1842</v>
      </c>
      <c r="D2195" s="11">
        <v>3150000</v>
      </c>
      <c r="E2195" s="19" t="s">
        <v>2062</v>
      </c>
      <c r="F2195" t="s">
        <v>1843</v>
      </c>
      <c r="G2195" t="s">
        <v>1755</v>
      </c>
    </row>
    <row r="2196" spans="1:7" ht="15" customHeight="1" x14ac:dyDescent="0.25">
      <c r="A2196" s="2">
        <v>45981.677083333299</v>
      </c>
      <c r="B2196">
        <v>2025002826</v>
      </c>
      <c r="C2196" t="s">
        <v>1896</v>
      </c>
      <c r="D2196" s="11">
        <v>3150000</v>
      </c>
      <c r="E2196" s="19" t="s">
        <v>2063</v>
      </c>
      <c r="F2196" t="s">
        <v>1897</v>
      </c>
      <c r="G2196" t="s">
        <v>1755</v>
      </c>
    </row>
    <row r="2197" spans="1:7" ht="15" customHeight="1" x14ac:dyDescent="0.25">
      <c r="A2197" s="2">
        <v>45982.411111111098</v>
      </c>
      <c r="B2197">
        <v>2025002828</v>
      </c>
      <c r="C2197" t="s">
        <v>1763</v>
      </c>
      <c r="D2197" s="11">
        <v>4730000</v>
      </c>
      <c r="E2197" s="19" t="s">
        <v>2064</v>
      </c>
      <c r="F2197" t="s">
        <v>267</v>
      </c>
      <c r="G2197" t="s">
        <v>1755</v>
      </c>
    </row>
    <row r="2198" spans="1:7" ht="15" customHeight="1" x14ac:dyDescent="0.25">
      <c r="A2198" s="2">
        <v>45982.413194444402</v>
      </c>
      <c r="B2198">
        <v>2025002830</v>
      </c>
      <c r="C2198" t="s">
        <v>2065</v>
      </c>
      <c r="D2198" s="11">
        <v>2000000</v>
      </c>
      <c r="E2198" s="19" t="s">
        <v>2066</v>
      </c>
      <c r="F2198" t="s">
        <v>2067</v>
      </c>
      <c r="G2198" t="s">
        <v>1755</v>
      </c>
    </row>
    <row r="2199" spans="1:7" ht="15" customHeight="1" x14ac:dyDescent="0.25">
      <c r="A2199" s="2">
        <v>45982.416666666701</v>
      </c>
      <c r="B2199">
        <v>2025002833</v>
      </c>
      <c r="C2199" t="s">
        <v>2068</v>
      </c>
      <c r="D2199" s="11">
        <v>2000000</v>
      </c>
      <c r="E2199" s="19" t="s">
        <v>2069</v>
      </c>
      <c r="F2199" t="s">
        <v>2070</v>
      </c>
      <c r="G2199" t="s">
        <v>1755</v>
      </c>
    </row>
    <row r="2200" spans="1:7" ht="15" customHeight="1" x14ac:dyDescent="0.25">
      <c r="A2200" s="2">
        <v>45982.418749999997</v>
      </c>
      <c r="B2200">
        <v>2025002835</v>
      </c>
      <c r="C2200" t="s">
        <v>2071</v>
      </c>
      <c r="D2200" s="11">
        <v>2000000</v>
      </c>
      <c r="E2200" s="19" t="s">
        <v>2072</v>
      </c>
      <c r="F2200" t="s">
        <v>2073</v>
      </c>
      <c r="G2200" t="s">
        <v>1755</v>
      </c>
    </row>
    <row r="2201" spans="1:7" ht="15" customHeight="1" x14ac:dyDescent="0.25">
      <c r="A2201" s="2">
        <v>45982.421527777798</v>
      </c>
      <c r="B2201">
        <v>2025002837</v>
      </c>
      <c r="C2201" t="s">
        <v>1828</v>
      </c>
      <c r="D2201" s="11">
        <v>3150000</v>
      </c>
      <c r="E2201" s="19" t="s">
        <v>2074</v>
      </c>
      <c r="F2201" t="s">
        <v>1829</v>
      </c>
      <c r="G2201" t="s">
        <v>1755</v>
      </c>
    </row>
    <row r="2202" spans="1:7" ht="15" customHeight="1" x14ac:dyDescent="0.25">
      <c r="A2202" s="2">
        <v>45982.425000000003</v>
      </c>
      <c r="B2202">
        <v>2025002840</v>
      </c>
      <c r="C2202" t="s">
        <v>1869</v>
      </c>
      <c r="D2202" s="11">
        <v>7800000</v>
      </c>
      <c r="E2202" s="19" t="s">
        <v>1591</v>
      </c>
      <c r="F2202" t="s">
        <v>791</v>
      </c>
      <c r="G2202" t="s">
        <v>1755</v>
      </c>
    </row>
    <row r="2203" spans="1:7" ht="15" customHeight="1" x14ac:dyDescent="0.25">
      <c r="A2203" s="2">
        <v>45982.427777777797</v>
      </c>
      <c r="B2203">
        <v>2025002842</v>
      </c>
      <c r="C2203" t="s">
        <v>1862</v>
      </c>
      <c r="D2203" s="11">
        <v>6300000</v>
      </c>
      <c r="E2203" s="19" t="s">
        <v>2075</v>
      </c>
      <c r="F2203" t="s">
        <v>1863</v>
      </c>
      <c r="G2203" t="s">
        <v>1755</v>
      </c>
    </row>
    <row r="2204" spans="1:7" ht="15" customHeight="1" x14ac:dyDescent="0.25">
      <c r="A2204" s="2">
        <v>45982.429861111101</v>
      </c>
      <c r="B2204">
        <v>2025002844</v>
      </c>
      <c r="C2204" t="s">
        <v>1850</v>
      </c>
      <c r="D2204" s="11">
        <v>4730000</v>
      </c>
      <c r="E2204" s="19" t="s">
        <v>2076</v>
      </c>
      <c r="F2204" t="s">
        <v>429</v>
      </c>
      <c r="G2204" t="s">
        <v>1755</v>
      </c>
    </row>
    <row r="2205" spans="1:7" ht="15" customHeight="1" x14ac:dyDescent="0.25">
      <c r="A2205" s="2">
        <v>45982.432638888902</v>
      </c>
      <c r="B2205">
        <v>2025002846</v>
      </c>
      <c r="C2205" t="s">
        <v>1858</v>
      </c>
      <c r="D2205" s="11">
        <v>4730000</v>
      </c>
      <c r="E2205" s="19" t="s">
        <v>2077</v>
      </c>
      <c r="F2205" t="s">
        <v>1859</v>
      </c>
      <c r="G2205" t="s">
        <v>1755</v>
      </c>
    </row>
    <row r="2206" spans="1:7" ht="15" customHeight="1" x14ac:dyDescent="0.25">
      <c r="A2206" s="2">
        <v>45982.435416666704</v>
      </c>
      <c r="B2206">
        <v>2025002849</v>
      </c>
      <c r="C2206" t="s">
        <v>2078</v>
      </c>
      <c r="D2206" s="11">
        <v>2000000</v>
      </c>
      <c r="E2206" s="19" t="s">
        <v>1699</v>
      </c>
      <c r="F2206" t="s">
        <v>1020</v>
      </c>
      <c r="G2206" t="s">
        <v>1755</v>
      </c>
    </row>
    <row r="2207" spans="1:7" ht="15" customHeight="1" x14ac:dyDescent="0.25">
      <c r="A2207" s="2">
        <v>45982.438194444403</v>
      </c>
      <c r="B2207">
        <v>2025002851</v>
      </c>
      <c r="C2207" t="s">
        <v>1793</v>
      </c>
      <c r="D2207" s="11">
        <v>3150000</v>
      </c>
      <c r="E2207" s="19" t="s">
        <v>2079</v>
      </c>
      <c r="F2207" t="s">
        <v>963</v>
      </c>
      <c r="G2207" t="s">
        <v>1755</v>
      </c>
    </row>
    <row r="2208" spans="1:7" ht="15" customHeight="1" x14ac:dyDescent="0.25">
      <c r="A2208" s="2">
        <v>45982.440277777801</v>
      </c>
      <c r="B2208">
        <v>2025002852</v>
      </c>
      <c r="C2208" t="s">
        <v>2080</v>
      </c>
      <c r="D2208" s="11">
        <v>3150000</v>
      </c>
      <c r="E2208" s="19" t="s">
        <v>2081</v>
      </c>
      <c r="F2208" t="s">
        <v>2082</v>
      </c>
      <c r="G2208" t="s">
        <v>1755</v>
      </c>
    </row>
    <row r="2209" spans="1:9" ht="15" customHeight="1" x14ac:dyDescent="0.25">
      <c r="A2209" s="2">
        <v>45982.442361111098</v>
      </c>
      <c r="B2209">
        <v>2025002853</v>
      </c>
      <c r="C2209" t="s">
        <v>1801</v>
      </c>
      <c r="D2209" s="11">
        <v>3150000</v>
      </c>
      <c r="E2209" s="19" t="s">
        <v>2083</v>
      </c>
      <c r="F2209" t="s">
        <v>1802</v>
      </c>
      <c r="G2209" t="s">
        <v>1755</v>
      </c>
    </row>
    <row r="2210" spans="1:9" ht="15" customHeight="1" x14ac:dyDescent="0.25">
      <c r="A2210" s="2">
        <v>45982.444444444402</v>
      </c>
      <c r="B2210">
        <v>2025002854</v>
      </c>
      <c r="C2210" t="s">
        <v>1794</v>
      </c>
      <c r="D2210" s="11">
        <v>3150000</v>
      </c>
      <c r="E2210" s="19" t="s">
        <v>1724</v>
      </c>
      <c r="F2210" t="s">
        <v>1235</v>
      </c>
      <c r="G2210" t="s">
        <v>1755</v>
      </c>
    </row>
    <row r="2211" spans="1:9" ht="15" customHeight="1" x14ac:dyDescent="0.25">
      <c r="A2211" s="2">
        <v>45982.476388888899</v>
      </c>
      <c r="B2211">
        <v>2025002855</v>
      </c>
      <c r="C2211" t="s">
        <v>1800</v>
      </c>
      <c r="D2211" s="11">
        <v>3150000</v>
      </c>
      <c r="E2211" s="19" t="s">
        <v>1667</v>
      </c>
      <c r="F2211" t="s">
        <v>555</v>
      </c>
      <c r="G2211" t="s">
        <v>1755</v>
      </c>
    </row>
    <row r="2212" spans="1:9" ht="15" customHeight="1" x14ac:dyDescent="0.25">
      <c r="A2212" s="2">
        <v>45982.479861111096</v>
      </c>
      <c r="B2212">
        <v>2025002856</v>
      </c>
      <c r="C2212" t="s">
        <v>2084</v>
      </c>
      <c r="D2212" s="11">
        <v>2000000</v>
      </c>
      <c r="E2212" s="19" t="s">
        <v>2085</v>
      </c>
      <c r="F2212" t="s">
        <v>2086</v>
      </c>
      <c r="G2212" t="s">
        <v>1755</v>
      </c>
    </row>
    <row r="2213" spans="1:9" ht="15" customHeight="1" x14ac:dyDescent="0.25">
      <c r="A2213" s="2">
        <v>45982.483333333301</v>
      </c>
      <c r="B2213">
        <v>2025002857</v>
      </c>
      <c r="C2213" t="s">
        <v>2087</v>
      </c>
      <c r="D2213" s="11">
        <v>1575000</v>
      </c>
      <c r="E2213" s="19" t="s">
        <v>2088</v>
      </c>
      <c r="F2213" t="s">
        <v>2089</v>
      </c>
      <c r="G2213" t="s">
        <v>1755</v>
      </c>
    </row>
    <row r="2214" spans="1:9" ht="15" customHeight="1" x14ac:dyDescent="0.25">
      <c r="A2214" s="2">
        <v>45982.586805555598</v>
      </c>
      <c r="B2214">
        <v>2025002858</v>
      </c>
      <c r="C2214" t="s">
        <v>1754</v>
      </c>
      <c r="D2214" s="11">
        <v>3150000</v>
      </c>
      <c r="E2214" s="19" t="s">
        <v>2090</v>
      </c>
      <c r="F2214" t="s">
        <v>504</v>
      </c>
      <c r="G2214" t="s">
        <v>1755</v>
      </c>
    </row>
    <row r="2215" spans="1:9" ht="15" customHeight="1" x14ac:dyDescent="0.25">
      <c r="A2215" s="2">
        <v>45982.609722222202</v>
      </c>
      <c r="B2215">
        <v>2025002859</v>
      </c>
      <c r="C2215" t="s">
        <v>1860</v>
      </c>
      <c r="D2215" s="11">
        <v>7800000</v>
      </c>
      <c r="E2215" s="19" t="s">
        <v>1602</v>
      </c>
      <c r="F2215" t="s">
        <v>69</v>
      </c>
      <c r="G2215" t="s">
        <v>1755</v>
      </c>
    </row>
    <row r="2216" spans="1:9" ht="15" customHeight="1" x14ac:dyDescent="0.25">
      <c r="A2216" s="2">
        <v>45985.488194444399</v>
      </c>
      <c r="B2216">
        <v>2025002860</v>
      </c>
      <c r="C2216" t="s">
        <v>2091</v>
      </c>
      <c r="D2216" s="11">
        <v>1575000</v>
      </c>
      <c r="E2216" s="19" t="s">
        <v>2092</v>
      </c>
      <c r="F2216" t="s">
        <v>2093</v>
      </c>
      <c r="G2216" t="s">
        <v>1755</v>
      </c>
    </row>
    <row r="2217" spans="1:9" ht="15" customHeight="1" x14ac:dyDescent="0.25">
      <c r="A2217" s="2">
        <v>45986.337500000001</v>
      </c>
      <c r="B2217">
        <v>2025002882</v>
      </c>
      <c r="C2217" t="s">
        <v>1818</v>
      </c>
      <c r="D2217" s="11">
        <v>3150000</v>
      </c>
      <c r="E2217" s="19" t="s">
        <v>2094</v>
      </c>
      <c r="F2217" t="s">
        <v>1819</v>
      </c>
      <c r="G2217" t="s">
        <v>1755</v>
      </c>
    </row>
    <row r="2218" spans="1:9" ht="15" customHeight="1" x14ac:dyDescent="0.25">
      <c r="A2218" s="2">
        <v>45986.356249999997</v>
      </c>
      <c r="B2218">
        <v>2025002883</v>
      </c>
      <c r="C2218" t="s">
        <v>1903</v>
      </c>
      <c r="D2218" s="11">
        <v>6300000</v>
      </c>
      <c r="E2218" s="19" t="s">
        <v>1653</v>
      </c>
      <c r="F2218" t="s">
        <v>583</v>
      </c>
      <c r="G2218" t="s">
        <v>1755</v>
      </c>
    </row>
    <row r="2219" spans="1:9" ht="15" customHeight="1" x14ac:dyDescent="0.25">
      <c r="A2219" s="2">
        <v>45986.360416666699</v>
      </c>
      <c r="B2219">
        <v>2025002885</v>
      </c>
      <c r="C2219" t="s">
        <v>1915</v>
      </c>
      <c r="D2219" s="11">
        <v>3150000</v>
      </c>
      <c r="E2219" s="19" t="s">
        <v>1617</v>
      </c>
      <c r="F2219" t="s">
        <v>992</v>
      </c>
      <c r="G2219" t="s">
        <v>1755</v>
      </c>
    </row>
    <row r="2220" spans="1:9" ht="15" customHeight="1" x14ac:dyDescent="0.25">
      <c r="A2220" s="2">
        <v>45986.372916666704</v>
      </c>
      <c r="B2220">
        <v>2025002886</v>
      </c>
      <c r="C2220" t="s">
        <v>1824</v>
      </c>
      <c r="D2220" s="11">
        <v>4730000</v>
      </c>
      <c r="E2220" s="19" t="s">
        <v>2095</v>
      </c>
      <c r="F2220" t="s">
        <v>1825</v>
      </c>
      <c r="G2220" t="s">
        <v>1755</v>
      </c>
    </row>
    <row r="2221" spans="1:9" ht="15" customHeight="1" x14ac:dyDescent="0.25">
      <c r="A2221" s="2">
        <v>45986</v>
      </c>
      <c r="B2221">
        <v>2025002887</v>
      </c>
      <c r="C2221" t="s">
        <v>1260</v>
      </c>
      <c r="D2221" s="11">
        <v>3000000</v>
      </c>
      <c r="E2221" s="12" t="e">
        <f>VLOOKUP(C2221,#REF!,5,0)</f>
        <v>#REF!</v>
      </c>
      <c r="F2221" s="12" t="e">
        <f>VLOOKUP(C2221,#REF!,6,0)</f>
        <v>#REF!</v>
      </c>
      <c r="G2221" t="s">
        <v>1094</v>
      </c>
      <c r="I2221" s="11"/>
    </row>
    <row r="2222" spans="1:9" ht="15" customHeight="1" x14ac:dyDescent="0.25">
      <c r="A2222" s="2">
        <v>45986.378472222197</v>
      </c>
      <c r="B2222">
        <v>2025002888</v>
      </c>
      <c r="C2222" t="s">
        <v>2096</v>
      </c>
      <c r="D2222" s="11">
        <v>1575000</v>
      </c>
      <c r="E2222" s="19" t="s">
        <v>2097</v>
      </c>
      <c r="F2222" t="s">
        <v>2098</v>
      </c>
      <c r="G2222" t="s">
        <v>1755</v>
      </c>
    </row>
    <row r="2223" spans="1:9" ht="15" customHeight="1" x14ac:dyDescent="0.25">
      <c r="A2223" s="2">
        <v>45986.381249999999</v>
      </c>
      <c r="B2223">
        <v>2025002889</v>
      </c>
      <c r="C2223" t="s">
        <v>1822</v>
      </c>
      <c r="D2223" s="11">
        <v>3150000</v>
      </c>
      <c r="E2223" s="19" t="s">
        <v>2099</v>
      </c>
      <c r="F2223" t="s">
        <v>1011</v>
      </c>
      <c r="G2223" t="s">
        <v>1755</v>
      </c>
    </row>
    <row r="2224" spans="1:9" ht="15" customHeight="1" x14ac:dyDescent="0.25">
      <c r="A2224" s="2">
        <v>45986.384722222203</v>
      </c>
      <c r="B2224">
        <v>2025002890</v>
      </c>
      <c r="C2224" t="s">
        <v>1930</v>
      </c>
      <c r="D2224" s="11">
        <v>3150000</v>
      </c>
      <c r="E2224" s="19" t="s">
        <v>2100</v>
      </c>
      <c r="F2224" t="s">
        <v>1931</v>
      </c>
      <c r="G2224" t="s">
        <v>1755</v>
      </c>
    </row>
    <row r="2225" spans="1:9" ht="15" customHeight="1" x14ac:dyDescent="0.25">
      <c r="A2225" s="2">
        <v>45986.387499999997</v>
      </c>
      <c r="B2225">
        <v>2025002891</v>
      </c>
      <c r="C2225" t="s">
        <v>1816</v>
      </c>
      <c r="D2225" s="11">
        <v>3150000</v>
      </c>
      <c r="E2225" s="19" t="s">
        <v>2101</v>
      </c>
      <c r="F2225" t="s">
        <v>1817</v>
      </c>
      <c r="G2225" t="s">
        <v>1755</v>
      </c>
    </row>
    <row r="2226" spans="1:9" ht="15" customHeight="1" x14ac:dyDescent="0.25">
      <c r="A2226" s="2">
        <v>45986.389583333301</v>
      </c>
      <c r="B2226">
        <v>2025002892</v>
      </c>
      <c r="C2226" t="s">
        <v>1920</v>
      </c>
      <c r="D2226" s="11">
        <v>4730000</v>
      </c>
      <c r="E2226" s="19" t="s">
        <v>2102</v>
      </c>
      <c r="F2226" t="s">
        <v>1921</v>
      </c>
      <c r="G2226" t="s">
        <v>1755</v>
      </c>
    </row>
    <row r="2227" spans="1:9" ht="15" customHeight="1" x14ac:dyDescent="0.25">
      <c r="A2227" s="2">
        <v>45986.399305555598</v>
      </c>
      <c r="B2227">
        <v>2025002893</v>
      </c>
      <c r="C2227" t="s">
        <v>2103</v>
      </c>
      <c r="D2227" s="11">
        <v>6300000</v>
      </c>
      <c r="E2227" s="19" t="s">
        <v>1748</v>
      </c>
      <c r="F2227" t="s">
        <v>437</v>
      </c>
      <c r="G2227" t="s">
        <v>1755</v>
      </c>
    </row>
    <row r="2228" spans="1:9" ht="15" customHeight="1" x14ac:dyDescent="0.25">
      <c r="A2228" s="2">
        <v>45986.402083333298</v>
      </c>
      <c r="B2228">
        <v>2025002894</v>
      </c>
      <c r="C2228" t="s">
        <v>2104</v>
      </c>
      <c r="D2228" s="11">
        <v>2000000</v>
      </c>
      <c r="E2228" s="19" t="s">
        <v>2105</v>
      </c>
      <c r="F2228" t="s">
        <v>2106</v>
      </c>
      <c r="G2228" t="s">
        <v>1755</v>
      </c>
    </row>
    <row r="2229" spans="1:9" ht="15" customHeight="1" x14ac:dyDescent="0.25">
      <c r="A2229" s="2">
        <v>45986.407638888901</v>
      </c>
      <c r="B2229">
        <v>2025002895</v>
      </c>
      <c r="C2229" t="s">
        <v>2107</v>
      </c>
      <c r="D2229" s="11">
        <v>2000000</v>
      </c>
      <c r="E2229" s="19" t="s">
        <v>2108</v>
      </c>
      <c r="F2229" t="s">
        <v>2109</v>
      </c>
      <c r="G2229" t="s">
        <v>1755</v>
      </c>
    </row>
    <row r="2230" spans="1:9" ht="15" customHeight="1" x14ac:dyDescent="0.25">
      <c r="A2230" s="2">
        <v>45986.410416666702</v>
      </c>
      <c r="B2230">
        <v>2025002896</v>
      </c>
      <c r="C2230" t="s">
        <v>1989</v>
      </c>
      <c r="D2230" s="11">
        <v>3150000</v>
      </c>
      <c r="E2230" s="19" t="s">
        <v>2110</v>
      </c>
      <c r="F2230" t="s">
        <v>289</v>
      </c>
      <c r="G2230" t="s">
        <v>1755</v>
      </c>
    </row>
    <row r="2231" spans="1:9" ht="15" customHeight="1" x14ac:dyDescent="0.25">
      <c r="A2231" s="2">
        <v>45986</v>
      </c>
      <c r="B2231">
        <v>2025002897</v>
      </c>
      <c r="C2231" t="s">
        <v>1251</v>
      </c>
      <c r="D2231" s="11">
        <v>6000000</v>
      </c>
      <c r="E2231" s="12" t="e">
        <f>VLOOKUP(C2231,#REF!,5,0)</f>
        <v>#REF!</v>
      </c>
      <c r="F2231" s="12" t="e">
        <f>VLOOKUP(C2231,#REF!,6,0)</f>
        <v>#REF!</v>
      </c>
      <c r="G2231" t="s">
        <v>1094</v>
      </c>
      <c r="I2231" s="11"/>
    </row>
    <row r="2232" spans="1:9" ht="15" customHeight="1" x14ac:dyDescent="0.25">
      <c r="A2232" s="2">
        <v>45987.337500000001</v>
      </c>
      <c r="B2232">
        <v>2025002898</v>
      </c>
      <c r="C2232" t="s">
        <v>1832</v>
      </c>
      <c r="D2232" s="11">
        <v>3150000</v>
      </c>
      <c r="E2232" s="19" t="s">
        <v>1695</v>
      </c>
      <c r="F2232" t="s">
        <v>477</v>
      </c>
      <c r="G2232" t="s">
        <v>1755</v>
      </c>
    </row>
    <row r="2233" spans="1:9" ht="15" customHeight="1" x14ac:dyDescent="0.25">
      <c r="A2233" s="2">
        <v>45986.427083333299</v>
      </c>
      <c r="B2233">
        <v>2025002899</v>
      </c>
      <c r="C2233" t="s">
        <v>1962</v>
      </c>
      <c r="D2233" s="11">
        <v>4730000</v>
      </c>
      <c r="E2233" s="19" t="s">
        <v>2111</v>
      </c>
      <c r="F2233" t="s">
        <v>91</v>
      </c>
      <c r="G2233" t="s">
        <v>1755</v>
      </c>
    </row>
    <row r="2234" spans="1:9" ht="15" customHeight="1" x14ac:dyDescent="0.25">
      <c r="A2234" s="2">
        <v>45986.452083333301</v>
      </c>
      <c r="B2234">
        <v>2025002900</v>
      </c>
      <c r="C2234" t="s">
        <v>1985</v>
      </c>
      <c r="D2234" s="11">
        <v>7800000</v>
      </c>
      <c r="E2234" s="19" t="s">
        <v>2112</v>
      </c>
      <c r="F2234" t="s">
        <v>1986</v>
      </c>
      <c r="G2234" t="s">
        <v>1755</v>
      </c>
    </row>
    <row r="2235" spans="1:9" ht="15" customHeight="1" x14ac:dyDescent="0.25">
      <c r="A2235" s="2">
        <v>45986.454861111102</v>
      </c>
      <c r="B2235">
        <v>2025002901</v>
      </c>
      <c r="C2235" t="s">
        <v>1876</v>
      </c>
      <c r="D2235" s="11">
        <v>3150000</v>
      </c>
      <c r="E2235" s="19" t="s">
        <v>2113</v>
      </c>
      <c r="F2235" t="s">
        <v>658</v>
      </c>
      <c r="G2235" t="s">
        <v>1755</v>
      </c>
    </row>
    <row r="2236" spans="1:9" ht="15" customHeight="1" x14ac:dyDescent="0.25">
      <c r="A2236" s="2">
        <v>45986.457638888904</v>
      </c>
      <c r="B2236">
        <v>2025002902</v>
      </c>
      <c r="C2236" t="s">
        <v>1771</v>
      </c>
      <c r="D2236" s="11">
        <v>1050000</v>
      </c>
      <c r="E2236" s="19" t="s">
        <v>2114</v>
      </c>
      <c r="F2236" t="s">
        <v>1772</v>
      </c>
      <c r="G2236" t="s">
        <v>1755</v>
      </c>
    </row>
    <row r="2237" spans="1:9" ht="15" customHeight="1" x14ac:dyDescent="0.25">
      <c r="A2237" s="2">
        <v>45986.461111111101</v>
      </c>
      <c r="B2237">
        <v>2025002903</v>
      </c>
      <c r="C2237" t="s">
        <v>1898</v>
      </c>
      <c r="D2237" s="11">
        <v>3150000</v>
      </c>
      <c r="E2237" s="19" t="s">
        <v>2115</v>
      </c>
      <c r="F2237" t="s">
        <v>1899</v>
      </c>
      <c r="G2237" t="s">
        <v>1755</v>
      </c>
    </row>
    <row r="2238" spans="1:9" ht="15" customHeight="1" x14ac:dyDescent="0.25">
      <c r="A2238" s="2">
        <v>45986.46875</v>
      </c>
      <c r="B2238">
        <v>2025002904</v>
      </c>
      <c r="C2238" t="s">
        <v>1894</v>
      </c>
      <c r="D2238" s="11">
        <v>3150000</v>
      </c>
      <c r="E2238" s="19" t="s">
        <v>2116</v>
      </c>
      <c r="F2238" t="s">
        <v>1895</v>
      </c>
      <c r="G2238" t="s">
        <v>1755</v>
      </c>
    </row>
    <row r="2239" spans="1:9" ht="15" customHeight="1" x14ac:dyDescent="0.25">
      <c r="A2239" s="2">
        <v>45986.613888888904</v>
      </c>
      <c r="B2239">
        <v>2025002905</v>
      </c>
      <c r="C2239" t="s">
        <v>2117</v>
      </c>
      <c r="D2239" s="11">
        <v>3150000</v>
      </c>
      <c r="E2239" s="19" t="s">
        <v>2118</v>
      </c>
      <c r="F2239" t="s">
        <v>2119</v>
      </c>
      <c r="G2239" t="s">
        <v>1755</v>
      </c>
    </row>
    <row r="2240" spans="1:9" ht="15" customHeight="1" x14ac:dyDescent="0.25">
      <c r="A2240" s="2">
        <v>45986.617361111101</v>
      </c>
      <c r="B2240">
        <v>2025002906</v>
      </c>
      <c r="C2240" t="s">
        <v>1892</v>
      </c>
      <c r="D2240" s="11">
        <v>3150000</v>
      </c>
      <c r="E2240" s="19" t="s">
        <v>2120</v>
      </c>
      <c r="F2240" t="s">
        <v>1893</v>
      </c>
      <c r="G2240" t="s">
        <v>1755</v>
      </c>
    </row>
    <row r="2241" spans="1:7" ht="15" customHeight="1" x14ac:dyDescent="0.25">
      <c r="A2241" s="2">
        <v>45986.618750000001</v>
      </c>
      <c r="B2241">
        <v>2025002907</v>
      </c>
      <c r="C2241" t="s">
        <v>1990</v>
      </c>
      <c r="D2241" s="11">
        <v>3150000</v>
      </c>
      <c r="E2241" s="19" t="s">
        <v>2121</v>
      </c>
      <c r="F2241" t="s">
        <v>1991</v>
      </c>
      <c r="G2241" t="s">
        <v>1755</v>
      </c>
    </row>
    <row r="2242" spans="1:7" ht="15" customHeight="1" x14ac:dyDescent="0.25">
      <c r="A2242" s="2">
        <v>45986.686111111099</v>
      </c>
      <c r="B2242">
        <v>2025002909</v>
      </c>
      <c r="C2242" t="s">
        <v>1783</v>
      </c>
      <c r="D2242" s="11">
        <v>6300000</v>
      </c>
      <c r="E2242" s="19" t="s">
        <v>1685</v>
      </c>
      <c r="F2242" t="s">
        <v>1195</v>
      </c>
      <c r="G2242" t="s">
        <v>1755</v>
      </c>
    </row>
    <row r="2243" spans="1:7" ht="15" customHeight="1" x14ac:dyDescent="0.25">
      <c r="A2243" s="2">
        <v>45986.688888888901</v>
      </c>
      <c r="B2243">
        <v>2025002910</v>
      </c>
      <c r="C2243" t="s">
        <v>2122</v>
      </c>
      <c r="D2243" s="11">
        <v>2000000</v>
      </c>
      <c r="E2243" s="19" t="s">
        <v>1642</v>
      </c>
      <c r="F2243" t="s">
        <v>51</v>
      </c>
      <c r="G2243" t="s">
        <v>1755</v>
      </c>
    </row>
    <row r="2244" spans="1:7" ht="15" customHeight="1" x14ac:dyDescent="0.25">
      <c r="A2244" s="2">
        <v>45986.690972222197</v>
      </c>
      <c r="B2244">
        <v>2025002911</v>
      </c>
      <c r="C2244" t="s">
        <v>1905</v>
      </c>
      <c r="D2244" s="11">
        <v>7800000</v>
      </c>
      <c r="E2244" s="19" t="s">
        <v>1619</v>
      </c>
      <c r="F2244" t="s">
        <v>745</v>
      </c>
      <c r="G2244" t="s">
        <v>1755</v>
      </c>
    </row>
    <row r="2245" spans="1:7" ht="15" customHeight="1" x14ac:dyDescent="0.25">
      <c r="A2245" s="2">
        <v>45986.697916666701</v>
      </c>
      <c r="B2245">
        <v>2025002912</v>
      </c>
      <c r="C2245" t="s">
        <v>1913</v>
      </c>
      <c r="D2245" s="11">
        <v>7800000</v>
      </c>
      <c r="E2245" s="19" t="s">
        <v>1750</v>
      </c>
      <c r="F2245" t="s">
        <v>1266</v>
      </c>
      <c r="G2245" t="s">
        <v>1755</v>
      </c>
    </row>
    <row r="2246" spans="1:7" ht="15" customHeight="1" x14ac:dyDescent="0.25">
      <c r="A2246" s="2">
        <v>45986.702777777798</v>
      </c>
      <c r="B2246">
        <v>2025002913</v>
      </c>
      <c r="C2246" t="s">
        <v>2123</v>
      </c>
      <c r="D2246" s="11">
        <v>7800000</v>
      </c>
      <c r="E2246" s="19" t="s">
        <v>2124</v>
      </c>
      <c r="F2246" t="s">
        <v>2125</v>
      </c>
      <c r="G2246" t="s">
        <v>1755</v>
      </c>
    </row>
    <row r="2247" spans="1:7" ht="15" customHeight="1" x14ac:dyDescent="0.25">
      <c r="A2247" s="2">
        <v>45986.7097222222</v>
      </c>
      <c r="B2247">
        <v>2025002914</v>
      </c>
      <c r="C2247" t="s">
        <v>1908</v>
      </c>
      <c r="D2247" s="11">
        <v>7800000</v>
      </c>
      <c r="E2247" s="19" t="s">
        <v>1675</v>
      </c>
      <c r="F2247" t="s">
        <v>163</v>
      </c>
      <c r="G2247" t="s">
        <v>1755</v>
      </c>
    </row>
    <row r="2248" spans="1:7" ht="15" customHeight="1" x14ac:dyDescent="0.25">
      <c r="A2248" s="2">
        <v>45986.714583333298</v>
      </c>
      <c r="B2248">
        <v>2025002915</v>
      </c>
      <c r="C2248" t="s">
        <v>2126</v>
      </c>
      <c r="D2248" s="11">
        <v>2000000</v>
      </c>
      <c r="E2248" s="19" t="s">
        <v>2127</v>
      </c>
      <c r="F2248" t="s">
        <v>2128</v>
      </c>
      <c r="G2248" t="s">
        <v>1755</v>
      </c>
    </row>
    <row r="2249" spans="1:7" ht="15" customHeight="1" x14ac:dyDescent="0.25">
      <c r="A2249" s="2">
        <v>45986.716666666704</v>
      </c>
      <c r="B2249">
        <v>2025002916</v>
      </c>
      <c r="C2249" t="s">
        <v>2129</v>
      </c>
      <c r="D2249" s="11">
        <v>3150000</v>
      </c>
      <c r="E2249" s="19" t="s">
        <v>2130</v>
      </c>
      <c r="F2249" t="s">
        <v>1056</v>
      </c>
      <c r="G2249" t="s">
        <v>1755</v>
      </c>
    </row>
    <row r="2250" spans="1:7" ht="15" customHeight="1" x14ac:dyDescent="0.25">
      <c r="A2250" s="2">
        <v>45986.719444444403</v>
      </c>
      <c r="B2250">
        <v>2025002917</v>
      </c>
      <c r="C2250" t="s">
        <v>1785</v>
      </c>
      <c r="D2250" s="11">
        <v>3150000</v>
      </c>
      <c r="E2250" s="19" t="s">
        <v>2131</v>
      </c>
      <c r="F2250" t="s">
        <v>595</v>
      </c>
      <c r="G2250" t="s">
        <v>1755</v>
      </c>
    </row>
    <row r="2251" spans="1:7" ht="15" customHeight="1" x14ac:dyDescent="0.25">
      <c r="A2251" s="2">
        <v>45986.721527777801</v>
      </c>
      <c r="B2251">
        <v>2025002918</v>
      </c>
      <c r="C2251" t="s">
        <v>1781</v>
      </c>
      <c r="D2251" s="11">
        <v>3150000</v>
      </c>
      <c r="E2251" s="19" t="s">
        <v>2132</v>
      </c>
      <c r="F2251" t="s">
        <v>797</v>
      </c>
      <c r="G2251" t="s">
        <v>1755</v>
      </c>
    </row>
    <row r="2252" spans="1:7" ht="15" customHeight="1" x14ac:dyDescent="0.25">
      <c r="A2252" s="2">
        <v>45986.725694444402</v>
      </c>
      <c r="B2252">
        <v>2025002919</v>
      </c>
      <c r="C2252" t="s">
        <v>1974</v>
      </c>
      <c r="D2252" s="11">
        <v>3150000</v>
      </c>
      <c r="E2252" s="19" t="s">
        <v>2133</v>
      </c>
      <c r="F2252" t="s">
        <v>1975</v>
      </c>
      <c r="G2252" t="s">
        <v>1755</v>
      </c>
    </row>
    <row r="2253" spans="1:7" ht="15" customHeight="1" x14ac:dyDescent="0.25">
      <c r="A2253" s="2">
        <v>45986.727083333302</v>
      </c>
      <c r="B2253">
        <v>2025002920</v>
      </c>
      <c r="C2253" t="s">
        <v>1906</v>
      </c>
      <c r="D2253" s="11">
        <v>3150000</v>
      </c>
      <c r="E2253" s="19" t="s">
        <v>2134</v>
      </c>
      <c r="F2253" t="s">
        <v>107</v>
      </c>
      <c r="G2253" t="s">
        <v>1755</v>
      </c>
    </row>
    <row r="2254" spans="1:7" ht="15" customHeight="1" x14ac:dyDescent="0.25">
      <c r="A2254" s="2">
        <v>45986.731249999997</v>
      </c>
      <c r="B2254">
        <v>2025002921</v>
      </c>
      <c r="C2254" t="s">
        <v>2135</v>
      </c>
      <c r="D2254" s="11">
        <v>2000000</v>
      </c>
      <c r="E2254" s="19" t="s">
        <v>2136</v>
      </c>
      <c r="F2254" t="s">
        <v>2137</v>
      </c>
      <c r="G2254" t="s">
        <v>1755</v>
      </c>
    </row>
    <row r="2255" spans="1:7" ht="15" customHeight="1" x14ac:dyDescent="0.25">
      <c r="A2255" s="2">
        <v>45986.733333333301</v>
      </c>
      <c r="B2255">
        <v>2025002922</v>
      </c>
      <c r="C2255" t="s">
        <v>1977</v>
      </c>
      <c r="D2255" s="11">
        <v>3150000</v>
      </c>
      <c r="E2255" s="19" t="s">
        <v>1612</v>
      </c>
      <c r="F2255" t="s">
        <v>562</v>
      </c>
      <c r="G2255" t="s">
        <v>1755</v>
      </c>
    </row>
    <row r="2256" spans="1:7" ht="15" customHeight="1" x14ac:dyDescent="0.25">
      <c r="A2256" s="2">
        <v>45986.734722222202</v>
      </c>
      <c r="B2256">
        <v>2025002923</v>
      </c>
      <c r="C2256" t="s">
        <v>1904</v>
      </c>
      <c r="D2256" s="11">
        <v>6300000</v>
      </c>
      <c r="E2256" s="19" t="s">
        <v>2138</v>
      </c>
      <c r="F2256" t="s">
        <v>1084</v>
      </c>
      <c r="G2256" t="s">
        <v>1755</v>
      </c>
    </row>
    <row r="2257" spans="1:7" ht="15" customHeight="1" x14ac:dyDescent="0.25">
      <c r="A2257" s="2">
        <v>45986.736111111102</v>
      </c>
      <c r="B2257">
        <v>2025002924</v>
      </c>
      <c r="C2257" t="s">
        <v>1909</v>
      </c>
      <c r="D2257" s="11">
        <v>6300000</v>
      </c>
      <c r="E2257" s="19" t="s">
        <v>1669</v>
      </c>
      <c r="F2257" t="s">
        <v>457</v>
      </c>
      <c r="G2257" t="s">
        <v>1755</v>
      </c>
    </row>
    <row r="2258" spans="1:7" ht="15" customHeight="1" x14ac:dyDescent="0.25">
      <c r="A2258" s="2">
        <v>45987.356249999997</v>
      </c>
      <c r="B2258">
        <v>2025002926</v>
      </c>
      <c r="C2258" t="s">
        <v>2139</v>
      </c>
      <c r="D2258" s="11">
        <v>6300000</v>
      </c>
      <c r="E2258" s="19" t="s">
        <v>1703</v>
      </c>
      <c r="F2258" t="s">
        <v>113</v>
      </c>
      <c r="G2258" t="s">
        <v>1755</v>
      </c>
    </row>
    <row r="2259" spans="1:7" ht="15" customHeight="1" x14ac:dyDescent="0.25">
      <c r="A2259" s="2">
        <v>45987.365277777797</v>
      </c>
      <c r="B2259">
        <v>2025002927</v>
      </c>
      <c r="C2259" t="s">
        <v>2140</v>
      </c>
      <c r="D2259" s="11">
        <v>2000000</v>
      </c>
      <c r="E2259" s="19" t="s">
        <v>2141</v>
      </c>
      <c r="F2259" t="s">
        <v>2142</v>
      </c>
      <c r="G2259" t="s">
        <v>1755</v>
      </c>
    </row>
    <row r="2260" spans="1:7" ht="15" customHeight="1" x14ac:dyDescent="0.25">
      <c r="A2260" s="2">
        <v>45987.368055555598</v>
      </c>
      <c r="B2260">
        <v>2025002928</v>
      </c>
      <c r="C2260" t="s">
        <v>2143</v>
      </c>
      <c r="D2260" s="11">
        <v>1575000</v>
      </c>
      <c r="E2260" s="19" t="s">
        <v>2144</v>
      </c>
      <c r="F2260" t="s">
        <v>2145</v>
      </c>
      <c r="G2260" t="s">
        <v>1755</v>
      </c>
    </row>
    <row r="2261" spans="1:7" ht="15" customHeight="1" x14ac:dyDescent="0.25">
      <c r="A2261" s="2">
        <v>45987.372222222199</v>
      </c>
      <c r="B2261">
        <v>2025002929</v>
      </c>
      <c r="C2261" t="s">
        <v>2146</v>
      </c>
      <c r="D2261" s="11">
        <v>4730000</v>
      </c>
      <c r="E2261" s="19" t="s">
        <v>2147</v>
      </c>
      <c r="F2261" t="s">
        <v>2148</v>
      </c>
      <c r="G2261" t="s">
        <v>1755</v>
      </c>
    </row>
    <row r="2262" spans="1:7" ht="15" customHeight="1" x14ac:dyDescent="0.25">
      <c r="A2262" s="2">
        <v>45987.375694444403</v>
      </c>
      <c r="B2262">
        <v>2025002930</v>
      </c>
      <c r="C2262" t="s">
        <v>2149</v>
      </c>
      <c r="D2262" s="11">
        <v>3150000</v>
      </c>
      <c r="E2262" s="19" t="s">
        <v>2150</v>
      </c>
      <c r="F2262" t="s">
        <v>2151</v>
      </c>
      <c r="G2262" t="s">
        <v>1755</v>
      </c>
    </row>
    <row r="2263" spans="1:7" ht="15" customHeight="1" x14ac:dyDescent="0.25">
      <c r="A2263" s="2">
        <v>45987.377777777801</v>
      </c>
      <c r="B2263">
        <v>2025002931</v>
      </c>
      <c r="C2263" t="s">
        <v>2152</v>
      </c>
      <c r="D2263" s="11">
        <v>3900000</v>
      </c>
      <c r="E2263" s="19" t="s">
        <v>2153</v>
      </c>
      <c r="F2263" t="s">
        <v>2154</v>
      </c>
      <c r="G2263" t="s">
        <v>1755</v>
      </c>
    </row>
    <row r="2264" spans="1:7" ht="15" customHeight="1" x14ac:dyDescent="0.25">
      <c r="A2264" s="2">
        <v>45987.385416666701</v>
      </c>
      <c r="B2264">
        <v>2025002932</v>
      </c>
      <c r="C2264" t="s">
        <v>2155</v>
      </c>
      <c r="D2264" s="11">
        <v>3900000</v>
      </c>
      <c r="E2264" s="19" t="s">
        <v>2156</v>
      </c>
      <c r="F2264" t="s">
        <v>2157</v>
      </c>
      <c r="G2264" t="s">
        <v>1755</v>
      </c>
    </row>
    <row r="2265" spans="1:7" ht="15" customHeight="1" x14ac:dyDescent="0.25">
      <c r="A2265" s="2">
        <v>45987.3881944444</v>
      </c>
      <c r="B2265">
        <v>2025002933</v>
      </c>
      <c r="C2265" t="s">
        <v>2158</v>
      </c>
      <c r="D2265" s="11">
        <v>1575000</v>
      </c>
      <c r="E2265" s="19" t="s">
        <v>2159</v>
      </c>
      <c r="F2265" t="s">
        <v>2160</v>
      </c>
      <c r="G2265" t="s">
        <v>1755</v>
      </c>
    </row>
    <row r="2266" spans="1:7" ht="15" customHeight="1" x14ac:dyDescent="0.25">
      <c r="A2266" s="2">
        <v>45987.392361111102</v>
      </c>
      <c r="B2266">
        <v>2025002934</v>
      </c>
      <c r="C2266" t="s">
        <v>2161</v>
      </c>
      <c r="D2266" s="11">
        <v>1575000</v>
      </c>
      <c r="E2266" s="19" t="s">
        <v>2162</v>
      </c>
      <c r="F2266" t="s">
        <v>2163</v>
      </c>
      <c r="G2266" t="s">
        <v>1755</v>
      </c>
    </row>
    <row r="2267" spans="1:7" ht="15" customHeight="1" x14ac:dyDescent="0.25">
      <c r="A2267" s="2">
        <v>45987.397916666698</v>
      </c>
      <c r="B2267">
        <v>2025002936</v>
      </c>
      <c r="C2267" t="s">
        <v>1972</v>
      </c>
      <c r="D2267" s="11">
        <v>3150000</v>
      </c>
      <c r="E2267" s="19" t="s">
        <v>2164</v>
      </c>
      <c r="F2267" t="s">
        <v>1973</v>
      </c>
      <c r="G2267" t="s">
        <v>1755</v>
      </c>
    </row>
    <row r="2268" spans="1:7" ht="15" customHeight="1" x14ac:dyDescent="0.25">
      <c r="A2268" s="2">
        <v>45987.397916666698</v>
      </c>
      <c r="B2268">
        <v>2025002937</v>
      </c>
      <c r="C2268" s="4" t="s">
        <v>2165</v>
      </c>
      <c r="D2268" s="11">
        <v>3150000</v>
      </c>
      <c r="E2268" s="19" t="s">
        <v>2166</v>
      </c>
      <c r="F2268" t="s">
        <v>567</v>
      </c>
      <c r="G2268" t="s">
        <v>1755</v>
      </c>
    </row>
    <row r="2269" spans="1:7" ht="15" customHeight="1" x14ac:dyDescent="0.25">
      <c r="A2269" s="2">
        <v>45987.402083333298</v>
      </c>
      <c r="B2269">
        <v>2025002938</v>
      </c>
      <c r="C2269" t="s">
        <v>1971</v>
      </c>
      <c r="D2269" s="11">
        <v>3150000</v>
      </c>
      <c r="E2269" s="19" t="s">
        <v>2167</v>
      </c>
      <c r="F2269" t="s">
        <v>701</v>
      </c>
      <c r="G2269" t="s">
        <v>1755</v>
      </c>
    </row>
    <row r="2270" spans="1:7" ht="15" customHeight="1" x14ac:dyDescent="0.25">
      <c r="A2270" s="2">
        <v>45987.406944444403</v>
      </c>
      <c r="B2270">
        <v>2025002939</v>
      </c>
      <c r="C2270" t="s">
        <v>2168</v>
      </c>
      <c r="D2270" s="11">
        <v>3150000</v>
      </c>
      <c r="E2270" s="19" t="s">
        <v>2169</v>
      </c>
      <c r="F2270" t="s">
        <v>950</v>
      </c>
      <c r="G2270" t="s">
        <v>1755</v>
      </c>
    </row>
    <row r="2271" spans="1:7" ht="15" customHeight="1" x14ac:dyDescent="0.25">
      <c r="A2271" s="2">
        <v>45987.409722222197</v>
      </c>
      <c r="B2271">
        <v>2025002940</v>
      </c>
      <c r="C2271" t="s">
        <v>1786</v>
      </c>
      <c r="D2271" s="11">
        <v>3150000</v>
      </c>
      <c r="E2271" s="19" t="s">
        <v>1688</v>
      </c>
      <c r="F2271" t="s">
        <v>33</v>
      </c>
      <c r="G2271" t="s">
        <v>1755</v>
      </c>
    </row>
    <row r="2272" spans="1:7" ht="15" customHeight="1" x14ac:dyDescent="0.25">
      <c r="A2272" s="2">
        <v>45987.413194444402</v>
      </c>
      <c r="B2272">
        <v>2025002941</v>
      </c>
      <c r="C2272" t="s">
        <v>2170</v>
      </c>
      <c r="D2272" s="11">
        <v>3150000</v>
      </c>
      <c r="E2272" s="19" t="s">
        <v>2171</v>
      </c>
      <c r="F2272" t="s">
        <v>2172</v>
      </c>
      <c r="G2272" t="s">
        <v>1755</v>
      </c>
    </row>
    <row r="2273" spans="1:7" ht="15" customHeight="1" x14ac:dyDescent="0.25">
      <c r="A2273" s="2">
        <v>45987.415972222203</v>
      </c>
      <c r="B2273">
        <v>2025002942</v>
      </c>
      <c r="C2273" t="s">
        <v>2173</v>
      </c>
      <c r="D2273" s="11">
        <v>4730000</v>
      </c>
      <c r="E2273" s="19" t="s">
        <v>2174</v>
      </c>
      <c r="F2273" t="s">
        <v>2175</v>
      </c>
      <c r="G2273" t="s">
        <v>1755</v>
      </c>
    </row>
    <row r="2274" spans="1:7" ht="15" customHeight="1" x14ac:dyDescent="0.25">
      <c r="A2274" s="2">
        <v>45987.420138888898</v>
      </c>
      <c r="B2274">
        <v>2025002943</v>
      </c>
      <c r="C2274" t="s">
        <v>2176</v>
      </c>
      <c r="D2274" s="11">
        <v>4730000</v>
      </c>
      <c r="E2274" s="19" t="s">
        <v>2177</v>
      </c>
      <c r="F2274" t="s">
        <v>155</v>
      </c>
      <c r="G2274" t="s">
        <v>1755</v>
      </c>
    </row>
    <row r="2275" spans="1:7" ht="15" customHeight="1" x14ac:dyDescent="0.25">
      <c r="A2275" s="2">
        <v>45987.431250000001</v>
      </c>
      <c r="B2275">
        <v>2025002944</v>
      </c>
      <c r="C2275" t="s">
        <v>1910</v>
      </c>
      <c r="D2275" s="11">
        <v>4730000</v>
      </c>
      <c r="E2275" s="19" t="s">
        <v>1610</v>
      </c>
      <c r="F2275" t="s">
        <v>493</v>
      </c>
      <c r="G2275" t="s">
        <v>1755</v>
      </c>
    </row>
    <row r="2276" spans="1:7" ht="15" customHeight="1" x14ac:dyDescent="0.25">
      <c r="A2276" s="2">
        <v>45987.434722222199</v>
      </c>
      <c r="B2276">
        <v>2025002945</v>
      </c>
      <c r="C2276" t="s">
        <v>1979</v>
      </c>
      <c r="D2276" s="11">
        <v>4730000</v>
      </c>
      <c r="E2276" s="19" t="s">
        <v>1644</v>
      </c>
      <c r="F2276" t="s">
        <v>571</v>
      </c>
      <c r="G2276" t="s">
        <v>1755</v>
      </c>
    </row>
    <row r="2277" spans="1:7" ht="15" customHeight="1" x14ac:dyDescent="0.25">
      <c r="A2277" s="2">
        <v>45987.438194444403</v>
      </c>
      <c r="B2277">
        <v>2025002946</v>
      </c>
      <c r="C2277" t="s">
        <v>2178</v>
      </c>
      <c r="D2277" s="11">
        <v>4730000</v>
      </c>
      <c r="E2277" s="19" t="s">
        <v>2179</v>
      </c>
      <c r="F2277" t="s">
        <v>513</v>
      </c>
      <c r="G2277" t="s">
        <v>1755</v>
      </c>
    </row>
    <row r="2278" spans="1:7" ht="15" customHeight="1" x14ac:dyDescent="0.25">
      <c r="A2278" s="2">
        <v>45987.441666666702</v>
      </c>
      <c r="B2278">
        <v>2025002947</v>
      </c>
      <c r="C2278" t="s">
        <v>2003</v>
      </c>
      <c r="D2278" s="11">
        <v>3626333</v>
      </c>
      <c r="E2278" s="19" t="s">
        <v>2004</v>
      </c>
      <c r="F2278" t="s">
        <v>127</v>
      </c>
      <c r="G2278" t="s">
        <v>1755</v>
      </c>
    </row>
    <row r="2279" spans="1:7" ht="15" customHeight="1" x14ac:dyDescent="0.25">
      <c r="A2279" s="2">
        <v>45987.444444444402</v>
      </c>
      <c r="B2279">
        <v>2025002948</v>
      </c>
      <c r="C2279" t="s">
        <v>1789</v>
      </c>
      <c r="D2279" s="11">
        <v>6300000</v>
      </c>
      <c r="E2279" s="19" t="s">
        <v>1683</v>
      </c>
      <c r="F2279" t="s">
        <v>1192</v>
      </c>
      <c r="G2279" t="s">
        <v>1755</v>
      </c>
    </row>
    <row r="2280" spans="1:7" ht="15" customHeight="1" x14ac:dyDescent="0.25">
      <c r="A2280" s="2">
        <v>45987.447222222203</v>
      </c>
      <c r="B2280">
        <v>2025002949</v>
      </c>
      <c r="C2280" t="s">
        <v>1912</v>
      </c>
      <c r="D2280" s="11">
        <v>3150000</v>
      </c>
      <c r="E2280" s="19" t="s">
        <v>1691</v>
      </c>
      <c r="F2280" t="s">
        <v>1202</v>
      </c>
      <c r="G2280" t="s">
        <v>1755</v>
      </c>
    </row>
    <row r="2281" spans="1:7" ht="15" customHeight="1" x14ac:dyDescent="0.25">
      <c r="A2281" s="2">
        <v>45987.449305555601</v>
      </c>
      <c r="B2281">
        <v>2025002950</v>
      </c>
      <c r="C2281" t="s">
        <v>1782</v>
      </c>
      <c r="D2281" s="11">
        <v>7800000</v>
      </c>
      <c r="E2281" s="19" t="s">
        <v>2180</v>
      </c>
      <c r="F2281" t="s">
        <v>591</v>
      </c>
      <c r="G2281" t="s">
        <v>1755</v>
      </c>
    </row>
    <row r="2282" spans="1:7" ht="15" customHeight="1" x14ac:dyDescent="0.25">
      <c r="A2282" s="2">
        <v>45987.452777777798</v>
      </c>
      <c r="B2282">
        <v>2025002951</v>
      </c>
      <c r="C2282" t="s">
        <v>1981</v>
      </c>
      <c r="D2282" s="11">
        <v>6300000</v>
      </c>
      <c r="E2282" s="19" t="s">
        <v>1629</v>
      </c>
      <c r="F2282" t="s">
        <v>1131</v>
      </c>
      <c r="G2282" t="s">
        <v>1755</v>
      </c>
    </row>
    <row r="2283" spans="1:7" ht="15" customHeight="1" x14ac:dyDescent="0.25">
      <c r="A2283" s="2">
        <v>45987.454861111102</v>
      </c>
      <c r="B2283">
        <v>2025002952</v>
      </c>
      <c r="C2283" t="s">
        <v>1780</v>
      </c>
      <c r="D2283" s="11">
        <v>3150000</v>
      </c>
      <c r="E2283" s="19" t="s">
        <v>1631</v>
      </c>
      <c r="F2283" t="s">
        <v>183</v>
      </c>
      <c r="G2283" t="s">
        <v>1755</v>
      </c>
    </row>
    <row r="2284" spans="1:7" ht="15" customHeight="1" x14ac:dyDescent="0.25">
      <c r="A2284" s="2">
        <v>45987.458333333299</v>
      </c>
      <c r="B2284">
        <v>2025002953</v>
      </c>
      <c r="C2284" t="s">
        <v>2181</v>
      </c>
      <c r="D2284" s="11">
        <v>4730000</v>
      </c>
      <c r="E2284" s="19" t="s">
        <v>2182</v>
      </c>
      <c r="F2284" t="s">
        <v>2183</v>
      </c>
      <c r="G2284" t="s">
        <v>1755</v>
      </c>
    </row>
    <row r="2285" spans="1:7" ht="15" customHeight="1" x14ac:dyDescent="0.25">
      <c r="A2285" s="2">
        <v>45988.3527777778</v>
      </c>
      <c r="B2285">
        <v>2025002958</v>
      </c>
      <c r="C2285" t="s">
        <v>2184</v>
      </c>
      <c r="D2285" s="11">
        <v>6300000</v>
      </c>
      <c r="E2285" s="19" t="s">
        <v>2185</v>
      </c>
      <c r="F2285" t="s">
        <v>2186</v>
      </c>
      <c r="G2285" t="s">
        <v>1755</v>
      </c>
    </row>
    <row r="2286" spans="1:7" ht="15" customHeight="1" x14ac:dyDescent="0.25">
      <c r="A2286" s="2">
        <v>45988.356249999997</v>
      </c>
      <c r="B2286">
        <v>2025002959</v>
      </c>
      <c r="C2286" t="s">
        <v>1927</v>
      </c>
      <c r="D2286" s="11">
        <v>3150000</v>
      </c>
      <c r="E2286" s="19" t="s">
        <v>2187</v>
      </c>
      <c r="F2286" t="s">
        <v>1928</v>
      </c>
      <c r="G2286" t="s">
        <v>1755</v>
      </c>
    </row>
    <row r="2287" spans="1:7" ht="15" customHeight="1" x14ac:dyDescent="0.25">
      <c r="A2287" s="2">
        <v>45988.359722222202</v>
      </c>
      <c r="B2287">
        <v>2025002960</v>
      </c>
      <c r="C2287" t="s">
        <v>1814</v>
      </c>
      <c r="D2287" s="11">
        <v>6300000</v>
      </c>
      <c r="E2287" s="19" t="s">
        <v>2188</v>
      </c>
      <c r="F2287" t="s">
        <v>1815</v>
      </c>
      <c r="G2287" t="s">
        <v>1755</v>
      </c>
    </row>
    <row r="2288" spans="1:7" ht="15" customHeight="1" x14ac:dyDescent="0.25">
      <c r="A2288" s="2">
        <v>45988.363888888904</v>
      </c>
      <c r="B2288">
        <v>2025002961</v>
      </c>
      <c r="C2288" t="s">
        <v>1917</v>
      </c>
      <c r="D2288" s="11">
        <v>7800000</v>
      </c>
      <c r="E2288" s="19" t="s">
        <v>2189</v>
      </c>
      <c r="F2288" t="s">
        <v>1918</v>
      </c>
      <c r="G2288" t="s">
        <v>1755</v>
      </c>
    </row>
    <row r="2289" spans="1:7" ht="15" customHeight="1" x14ac:dyDescent="0.25">
      <c r="A2289" s="2">
        <v>45988.377083333296</v>
      </c>
      <c r="B2289">
        <v>2025002962</v>
      </c>
      <c r="C2289" t="s">
        <v>1804</v>
      </c>
      <c r="D2289" s="11">
        <v>6300000</v>
      </c>
      <c r="E2289" s="19" t="s">
        <v>1723</v>
      </c>
      <c r="F2289" t="s">
        <v>1233</v>
      </c>
      <c r="G2289" t="s">
        <v>1755</v>
      </c>
    </row>
    <row r="2290" spans="1:7" ht="15" customHeight="1" x14ac:dyDescent="0.25">
      <c r="A2290" s="2">
        <v>45988.3840277778</v>
      </c>
      <c r="B2290">
        <v>2025002963</v>
      </c>
      <c r="C2290" t="s">
        <v>1941</v>
      </c>
      <c r="D2290" s="11">
        <v>6300000</v>
      </c>
      <c r="E2290" s="19" t="s">
        <v>2190</v>
      </c>
      <c r="F2290" t="s">
        <v>1942</v>
      </c>
      <c r="G2290" t="s">
        <v>1755</v>
      </c>
    </row>
    <row r="2291" spans="1:7" ht="15" customHeight="1" x14ac:dyDescent="0.25">
      <c r="A2291" s="2">
        <v>45988.387499999997</v>
      </c>
      <c r="B2291">
        <v>2025002964</v>
      </c>
      <c r="C2291" t="s">
        <v>1826</v>
      </c>
      <c r="D2291" s="11">
        <v>7800000</v>
      </c>
      <c r="E2291" s="19" t="s">
        <v>2191</v>
      </c>
      <c r="F2291" t="s">
        <v>239</v>
      </c>
      <c r="G2291" t="s">
        <v>1755</v>
      </c>
    </row>
    <row r="2292" spans="1:7" ht="15" customHeight="1" x14ac:dyDescent="0.25">
      <c r="A2292" s="2">
        <v>45988.390277777798</v>
      </c>
      <c r="B2292">
        <v>2025002965</v>
      </c>
      <c r="C2292" t="s">
        <v>1996</v>
      </c>
      <c r="D2292" s="11">
        <v>3150000</v>
      </c>
      <c r="E2292" s="19" t="s">
        <v>2192</v>
      </c>
      <c r="F2292" t="s">
        <v>1997</v>
      </c>
      <c r="G2292" t="s">
        <v>1755</v>
      </c>
    </row>
    <row r="2293" spans="1:7" ht="15" customHeight="1" x14ac:dyDescent="0.25">
      <c r="A2293" s="2">
        <v>45988.391666666699</v>
      </c>
      <c r="B2293">
        <v>2025002966</v>
      </c>
      <c r="C2293" t="s">
        <v>1821</v>
      </c>
      <c r="D2293" s="11">
        <v>3150000</v>
      </c>
      <c r="E2293" s="19" t="s">
        <v>1637</v>
      </c>
      <c r="F2293" t="s">
        <v>989</v>
      </c>
      <c r="G2293" t="s">
        <v>1755</v>
      </c>
    </row>
    <row r="2294" spans="1:7" ht="15" customHeight="1" x14ac:dyDescent="0.25">
      <c r="A2294" s="2">
        <v>45988.3972222222</v>
      </c>
      <c r="B2294">
        <v>2025002967</v>
      </c>
      <c r="C2294" t="s">
        <v>1933</v>
      </c>
      <c r="D2294" s="11">
        <v>4730000</v>
      </c>
      <c r="E2294" s="19" t="s">
        <v>1628</v>
      </c>
      <c r="F2294" t="s">
        <v>705</v>
      </c>
      <c r="G2294" t="s">
        <v>1755</v>
      </c>
    </row>
    <row r="2295" spans="1:7" ht="15" customHeight="1" x14ac:dyDescent="0.25">
      <c r="A2295" s="2">
        <v>45988.399305555598</v>
      </c>
      <c r="B2295">
        <v>2025002968</v>
      </c>
      <c r="C2295" t="s">
        <v>1993</v>
      </c>
      <c r="D2295" s="11">
        <v>3150000</v>
      </c>
      <c r="E2295" s="19" t="s">
        <v>2193</v>
      </c>
      <c r="F2295" t="s">
        <v>1994</v>
      </c>
      <c r="G2295" t="s">
        <v>1755</v>
      </c>
    </row>
    <row r="2296" spans="1:7" ht="15" customHeight="1" x14ac:dyDescent="0.25">
      <c r="A2296" s="2">
        <v>45988.670833333301</v>
      </c>
      <c r="B2296">
        <v>2025002973</v>
      </c>
      <c r="C2296" t="s">
        <v>2194</v>
      </c>
      <c r="D2296" s="11">
        <v>53230000</v>
      </c>
      <c r="E2296" s="19" t="s">
        <v>1710</v>
      </c>
      <c r="F2296" t="s">
        <v>1220</v>
      </c>
      <c r="G2296" t="s">
        <v>1755</v>
      </c>
    </row>
    <row r="2297" spans="1:7" ht="15" customHeight="1" x14ac:dyDescent="0.25">
      <c r="A2297" s="2">
        <v>45988.6743055556</v>
      </c>
      <c r="B2297">
        <v>2025002974</v>
      </c>
      <c r="C2297" t="s">
        <v>2022</v>
      </c>
      <c r="D2297" s="11">
        <v>233136040</v>
      </c>
      <c r="E2297" s="19" t="s">
        <v>1710</v>
      </c>
      <c r="F2297" t="s">
        <v>1220</v>
      </c>
      <c r="G2297" t="s">
        <v>1755</v>
      </c>
    </row>
    <row r="2298" spans="1:7" ht="15" customHeight="1" x14ac:dyDescent="0.25">
      <c r="A2298" s="2">
        <v>45988.708333333299</v>
      </c>
      <c r="B2298">
        <v>2025002977</v>
      </c>
      <c r="C2298" t="s">
        <v>2195</v>
      </c>
      <c r="D2298" s="11">
        <v>1575000</v>
      </c>
      <c r="E2298" s="19" t="s">
        <v>2196</v>
      </c>
      <c r="F2298" t="s">
        <v>349</v>
      </c>
      <c r="G2298" t="s">
        <v>1755</v>
      </c>
    </row>
    <row r="2299" spans="1:7" ht="15" customHeight="1" x14ac:dyDescent="0.25">
      <c r="A2299" s="2">
        <v>45988.711111111101</v>
      </c>
      <c r="B2299">
        <v>2025002979</v>
      </c>
      <c r="C2299" t="s">
        <v>2197</v>
      </c>
      <c r="D2299" s="11">
        <v>4730000</v>
      </c>
      <c r="E2299" s="19" t="s">
        <v>2198</v>
      </c>
      <c r="F2299" t="s">
        <v>2199</v>
      </c>
      <c r="G2299" t="s">
        <v>1755</v>
      </c>
    </row>
    <row r="2300" spans="1:7" ht="15" customHeight="1" x14ac:dyDescent="0.25">
      <c r="A2300" s="2">
        <v>45988.713194444397</v>
      </c>
      <c r="B2300">
        <v>2025002980</v>
      </c>
      <c r="C2300" t="s">
        <v>2200</v>
      </c>
      <c r="D2300" s="11">
        <v>2000000</v>
      </c>
      <c r="E2300" s="19" t="s">
        <v>2201</v>
      </c>
      <c r="F2300" t="s">
        <v>2202</v>
      </c>
      <c r="G2300" t="s">
        <v>1755</v>
      </c>
    </row>
    <row r="2301" spans="1:7" ht="15" customHeight="1" x14ac:dyDescent="0.25">
      <c r="A2301" s="2">
        <v>45988.713194444397</v>
      </c>
      <c r="B2301">
        <v>2025002981</v>
      </c>
      <c r="C2301" t="s">
        <v>2203</v>
      </c>
      <c r="D2301" s="11">
        <v>1575000</v>
      </c>
      <c r="E2301" s="19" t="s">
        <v>2204</v>
      </c>
      <c r="F2301" t="s">
        <v>215</v>
      </c>
      <c r="G2301" t="s">
        <v>1755</v>
      </c>
    </row>
    <row r="2302" spans="1:7" ht="15" customHeight="1" x14ac:dyDescent="0.25">
      <c r="A2302" s="2">
        <v>45988.714583333298</v>
      </c>
      <c r="B2302">
        <v>2025002982</v>
      </c>
      <c r="C2302" t="s">
        <v>1784</v>
      </c>
      <c r="D2302" s="11">
        <v>3150000</v>
      </c>
      <c r="E2302" s="19" t="s">
        <v>1650</v>
      </c>
      <c r="F2302" t="s">
        <v>277</v>
      </c>
      <c r="G2302" t="s">
        <v>1755</v>
      </c>
    </row>
    <row r="2303" spans="1:7" ht="15" customHeight="1" x14ac:dyDescent="0.25">
      <c r="A2303" s="2">
        <v>45988.715277777803</v>
      </c>
      <c r="B2303">
        <v>2025002983</v>
      </c>
      <c r="C2303" t="s">
        <v>2205</v>
      </c>
      <c r="D2303" s="11">
        <v>3150000</v>
      </c>
      <c r="E2303" s="19" t="s">
        <v>2206</v>
      </c>
      <c r="F2303" t="s">
        <v>2207</v>
      </c>
      <c r="G2303" t="s">
        <v>1755</v>
      </c>
    </row>
    <row r="2304" spans="1:7" ht="15" customHeight="1" x14ac:dyDescent="0.25">
      <c r="A2304" s="2">
        <v>45988.722916666702</v>
      </c>
      <c r="B2304">
        <v>2025002984</v>
      </c>
      <c r="C2304" t="s">
        <v>2208</v>
      </c>
      <c r="D2304" s="11">
        <v>3900000</v>
      </c>
      <c r="E2304" s="19" t="s">
        <v>2209</v>
      </c>
      <c r="F2304" t="s">
        <v>43</v>
      </c>
      <c r="G2304" t="s">
        <v>1755</v>
      </c>
    </row>
    <row r="2305" spans="1:7" ht="15" customHeight="1" x14ac:dyDescent="0.25">
      <c r="A2305" s="2">
        <v>45988.726388888899</v>
      </c>
      <c r="B2305">
        <v>2025002985</v>
      </c>
      <c r="C2305" t="s">
        <v>1790</v>
      </c>
      <c r="D2305" s="11">
        <v>6300000</v>
      </c>
      <c r="E2305" s="19" t="s">
        <v>2210</v>
      </c>
      <c r="F2305" t="s">
        <v>337</v>
      </c>
      <c r="G2305" t="s">
        <v>1755</v>
      </c>
    </row>
    <row r="2306" spans="1:7" ht="15" customHeight="1" x14ac:dyDescent="0.25">
      <c r="A2306" s="2">
        <v>45988.735416666699</v>
      </c>
      <c r="B2306">
        <v>2025002986</v>
      </c>
      <c r="C2306" t="s">
        <v>1978</v>
      </c>
      <c r="D2306" s="11">
        <v>6300000</v>
      </c>
      <c r="E2306" s="19" t="s">
        <v>1665</v>
      </c>
      <c r="F2306" t="s">
        <v>453</v>
      </c>
      <c r="G2306" t="s">
        <v>1755</v>
      </c>
    </row>
    <row r="2307" spans="1:7" ht="15" customHeight="1" x14ac:dyDescent="0.25">
      <c r="A2307" s="2">
        <v>45992.3034722222</v>
      </c>
      <c r="B2307">
        <v>2025002987</v>
      </c>
      <c r="C2307" t="s">
        <v>2211</v>
      </c>
      <c r="D2307" s="11">
        <v>2000000</v>
      </c>
      <c r="E2307" s="19" t="s">
        <v>2212</v>
      </c>
      <c r="F2307" t="s">
        <v>319</v>
      </c>
      <c r="G2307" t="s">
        <v>1755</v>
      </c>
    </row>
    <row r="2308" spans="1:7" ht="15" customHeight="1" x14ac:dyDescent="0.25">
      <c r="A2308" s="2">
        <v>45989.4284722222</v>
      </c>
      <c r="B2308">
        <v>2025002994</v>
      </c>
      <c r="C2308" t="s">
        <v>2213</v>
      </c>
      <c r="D2308" s="11">
        <v>3150000</v>
      </c>
      <c r="E2308" s="19" t="s">
        <v>1701</v>
      </c>
      <c r="F2308" t="s">
        <v>335</v>
      </c>
      <c r="G2308" t="s">
        <v>1755</v>
      </c>
    </row>
    <row r="2309" spans="1:7" ht="15" customHeight="1" x14ac:dyDescent="0.25">
      <c r="A2309" s="2">
        <v>45989.431250000001</v>
      </c>
      <c r="B2309">
        <v>2025002995</v>
      </c>
      <c r="C2309" t="s">
        <v>1768</v>
      </c>
      <c r="D2309" s="11">
        <v>3150000</v>
      </c>
      <c r="E2309" s="19" t="s">
        <v>2214</v>
      </c>
      <c r="F2309" t="s">
        <v>1769</v>
      </c>
      <c r="G2309" t="s">
        <v>1755</v>
      </c>
    </row>
    <row r="2310" spans="1:7" ht="15" customHeight="1" x14ac:dyDescent="0.25">
      <c r="A2310" s="2">
        <v>45989</v>
      </c>
      <c r="B2310">
        <v>2025002997</v>
      </c>
      <c r="C2310" t="s">
        <v>1253</v>
      </c>
      <c r="D2310" s="11">
        <v>2500000</v>
      </c>
      <c r="E2310" s="12" t="e">
        <f>VLOOKUP(C2310,#REF!,5,0)</f>
        <v>#REF!</v>
      </c>
      <c r="F2310" s="12" t="e">
        <f>VLOOKUP(C2310,#REF!,6,0)</f>
        <v>#REF!</v>
      </c>
      <c r="G2310" t="s">
        <v>1094</v>
      </c>
    </row>
    <row r="2311" spans="1:7" ht="15" customHeight="1" x14ac:dyDescent="0.25">
      <c r="A2311" s="2">
        <v>45989.440277777801</v>
      </c>
      <c r="B2311">
        <v>2025002999</v>
      </c>
      <c r="C2311" t="s">
        <v>1845</v>
      </c>
      <c r="D2311" s="11">
        <v>6300000</v>
      </c>
      <c r="E2311" s="19" t="s">
        <v>2215</v>
      </c>
      <c r="F2311" t="s">
        <v>1846</v>
      </c>
      <c r="G2311" t="s">
        <v>1755</v>
      </c>
    </row>
    <row r="2312" spans="1:7" ht="15" customHeight="1" x14ac:dyDescent="0.25">
      <c r="A2312" s="2">
        <v>45989.443749999999</v>
      </c>
      <c r="B2312">
        <v>2025003000</v>
      </c>
      <c r="C2312" t="s">
        <v>2216</v>
      </c>
      <c r="D2312" s="11">
        <v>3150000</v>
      </c>
      <c r="E2312" s="19" t="s">
        <v>2217</v>
      </c>
      <c r="F2312" t="s">
        <v>2218</v>
      </c>
      <c r="G2312" t="s">
        <v>1755</v>
      </c>
    </row>
    <row r="2313" spans="1:7" ht="15" customHeight="1" x14ac:dyDescent="0.25">
      <c r="A2313" s="2">
        <v>45989</v>
      </c>
      <c r="B2313">
        <v>2025003001</v>
      </c>
      <c r="C2313" t="s">
        <v>1249</v>
      </c>
      <c r="D2313" s="11">
        <v>2500000</v>
      </c>
      <c r="E2313" s="12" t="e">
        <f>VLOOKUP(C2313,#REF!,5,0)</f>
        <v>#REF!</v>
      </c>
      <c r="F2313" s="12" t="e">
        <f>VLOOKUP(C2313,#REF!,6,0)</f>
        <v>#REF!</v>
      </c>
      <c r="G2313" t="s">
        <v>1094</v>
      </c>
    </row>
    <row r="2314" spans="1:7" ht="15" customHeight="1" x14ac:dyDescent="0.25">
      <c r="A2314" s="2">
        <v>45989.451388888898</v>
      </c>
      <c r="B2314">
        <v>2025003002</v>
      </c>
      <c r="C2314" s="4" t="s">
        <v>2219</v>
      </c>
      <c r="D2314" s="11">
        <v>3150000</v>
      </c>
      <c r="E2314" s="19" t="s">
        <v>2220</v>
      </c>
      <c r="F2314" t="s">
        <v>2221</v>
      </c>
      <c r="G2314" t="s">
        <v>1755</v>
      </c>
    </row>
    <row r="2315" spans="1:7" ht="15" customHeight="1" x14ac:dyDescent="0.25">
      <c r="A2315" s="2">
        <v>45989.4555555556</v>
      </c>
      <c r="B2315">
        <v>2025003004</v>
      </c>
      <c r="C2315" s="4" t="s">
        <v>1787</v>
      </c>
      <c r="D2315" s="11">
        <v>3150000</v>
      </c>
      <c r="E2315" s="19" t="s">
        <v>1730</v>
      </c>
      <c r="F2315" t="s">
        <v>37</v>
      </c>
      <c r="G2315" t="s">
        <v>1755</v>
      </c>
    </row>
    <row r="2316" spans="1:7" ht="15" customHeight="1" x14ac:dyDescent="0.25">
      <c r="A2316" s="2">
        <v>45989.4597222222</v>
      </c>
      <c r="B2316">
        <v>2025003006</v>
      </c>
      <c r="C2316" t="s">
        <v>1969</v>
      </c>
      <c r="D2316" s="11">
        <v>7800000</v>
      </c>
      <c r="E2316" s="19" t="s">
        <v>2222</v>
      </c>
      <c r="F2316" t="s">
        <v>1970</v>
      </c>
      <c r="G2316" t="s">
        <v>1755</v>
      </c>
    </row>
    <row r="2317" spans="1:7" ht="15" customHeight="1" x14ac:dyDescent="0.25">
      <c r="A2317" s="2">
        <v>45989.463888888902</v>
      </c>
      <c r="B2317">
        <v>2025003007</v>
      </c>
      <c r="C2317" t="s">
        <v>1976</v>
      </c>
      <c r="D2317" s="11">
        <v>3150000</v>
      </c>
      <c r="E2317" s="19" t="s">
        <v>1604</v>
      </c>
      <c r="F2317" t="s">
        <v>1110</v>
      </c>
      <c r="G2317" t="s">
        <v>1755</v>
      </c>
    </row>
    <row r="2318" spans="1:7" ht="15" customHeight="1" x14ac:dyDescent="0.25">
      <c r="A2318" s="2">
        <v>45989.466666666704</v>
      </c>
      <c r="B2318">
        <v>2025003008</v>
      </c>
      <c r="C2318" t="s">
        <v>1980</v>
      </c>
      <c r="D2318" s="11">
        <v>4730000</v>
      </c>
      <c r="E2318" s="19" t="s">
        <v>1589</v>
      </c>
      <c r="F2318" t="s">
        <v>249</v>
      </c>
      <c r="G2318" t="s">
        <v>1755</v>
      </c>
    </row>
    <row r="2319" spans="1:7" ht="15" customHeight="1" x14ac:dyDescent="0.25">
      <c r="A2319" s="2">
        <v>45989.470138888901</v>
      </c>
      <c r="B2319">
        <v>2025003010</v>
      </c>
      <c r="C2319" t="s">
        <v>2001</v>
      </c>
      <c r="D2319" s="11">
        <v>4730000</v>
      </c>
      <c r="E2319" s="19" t="s">
        <v>2002</v>
      </c>
      <c r="F2319" t="s">
        <v>47</v>
      </c>
      <c r="G2319" t="s">
        <v>1755</v>
      </c>
    </row>
    <row r="2320" spans="1:7" ht="15" customHeight="1" x14ac:dyDescent="0.25">
      <c r="A2320" s="2">
        <v>45989.472222222197</v>
      </c>
      <c r="B2320">
        <v>2025003011</v>
      </c>
      <c r="C2320" t="s">
        <v>2223</v>
      </c>
      <c r="D2320" s="11">
        <v>2000000</v>
      </c>
      <c r="E2320" s="19" t="s">
        <v>2224</v>
      </c>
      <c r="F2320" t="s">
        <v>2225</v>
      </c>
      <c r="G2320" t="s">
        <v>1755</v>
      </c>
    </row>
    <row r="2321" spans="1:7" ht="15" customHeight="1" x14ac:dyDescent="0.25">
      <c r="A2321" s="2">
        <v>45989.627777777801</v>
      </c>
      <c r="B2321">
        <v>2025003013</v>
      </c>
      <c r="C2321" t="s">
        <v>1833</v>
      </c>
      <c r="D2321" s="11">
        <v>6300000</v>
      </c>
      <c r="E2321" s="19" t="s">
        <v>2226</v>
      </c>
      <c r="F2321" t="s">
        <v>1834</v>
      </c>
      <c r="G2321" t="s">
        <v>1755</v>
      </c>
    </row>
    <row r="2322" spans="1:7" ht="15" customHeight="1" x14ac:dyDescent="0.25">
      <c r="A2322" s="2">
        <v>45989.6340277778</v>
      </c>
      <c r="B2322">
        <v>2025003014</v>
      </c>
      <c r="C2322" t="s">
        <v>2227</v>
      </c>
      <c r="D2322" s="11">
        <v>3150000</v>
      </c>
      <c r="E2322" s="19" t="s">
        <v>2228</v>
      </c>
      <c r="F2322" t="s">
        <v>431</v>
      </c>
      <c r="G2322" t="s">
        <v>1755</v>
      </c>
    </row>
    <row r="2323" spans="1:7" ht="15" customHeight="1" x14ac:dyDescent="0.25">
      <c r="A2323" s="2">
        <v>45993.440972222197</v>
      </c>
      <c r="B2323">
        <v>2025003061</v>
      </c>
      <c r="C2323" t="s">
        <v>2229</v>
      </c>
      <c r="D2323" s="11">
        <v>2000000</v>
      </c>
      <c r="E2323" t="s">
        <v>2230</v>
      </c>
      <c r="F2323" t="s">
        <v>2231</v>
      </c>
      <c r="G2323" t="s">
        <v>1755</v>
      </c>
    </row>
    <row r="2324" spans="1:7" ht="15" customHeight="1" x14ac:dyDescent="0.25">
      <c r="A2324" s="2">
        <v>45993.447916666701</v>
      </c>
      <c r="B2324">
        <v>2025003062</v>
      </c>
      <c r="C2324" t="s">
        <v>2232</v>
      </c>
      <c r="D2324" s="11">
        <v>2000000</v>
      </c>
      <c r="E2324" t="s">
        <v>2233</v>
      </c>
      <c r="F2324" t="s">
        <v>2234</v>
      </c>
      <c r="G2324" t="s">
        <v>1755</v>
      </c>
    </row>
    <row r="2325" spans="1:7" ht="15" customHeight="1" x14ac:dyDescent="0.25">
      <c r="A2325" s="2">
        <v>45993.4506944444</v>
      </c>
      <c r="B2325">
        <v>2025003063</v>
      </c>
      <c r="C2325" t="s">
        <v>1911</v>
      </c>
      <c r="D2325" s="11">
        <v>3150000</v>
      </c>
      <c r="E2325" t="s">
        <v>1648</v>
      </c>
      <c r="F2325" t="s">
        <v>251</v>
      </c>
      <c r="G2325" t="s">
        <v>1755</v>
      </c>
    </row>
    <row r="2326" spans="1:7" ht="15" customHeight="1" x14ac:dyDescent="0.25">
      <c r="A2326" s="2">
        <v>45995.675694444399</v>
      </c>
      <c r="B2326">
        <v>2025003064</v>
      </c>
      <c r="C2326" t="s">
        <v>2235</v>
      </c>
      <c r="D2326" s="11">
        <v>2000000</v>
      </c>
      <c r="E2326" t="s">
        <v>2236</v>
      </c>
      <c r="F2326" t="s">
        <v>2237</v>
      </c>
      <c r="G2326" t="s">
        <v>1755</v>
      </c>
    </row>
    <row r="2327" spans="1:7" ht="15" customHeight="1" x14ac:dyDescent="0.25">
      <c r="A2327" s="2">
        <v>45995.6743055556</v>
      </c>
      <c r="B2327">
        <v>2025003066</v>
      </c>
      <c r="C2327" t="s">
        <v>2238</v>
      </c>
      <c r="D2327" s="11">
        <v>6300000</v>
      </c>
      <c r="E2327" t="s">
        <v>2239</v>
      </c>
      <c r="F2327" t="s">
        <v>2240</v>
      </c>
      <c r="G2327" t="s">
        <v>1755</v>
      </c>
    </row>
    <row r="2328" spans="1:7" ht="15" customHeight="1" x14ac:dyDescent="0.25">
      <c r="A2328" s="2">
        <v>45993.473611111098</v>
      </c>
      <c r="B2328">
        <v>2025003067</v>
      </c>
      <c r="C2328" t="s">
        <v>2241</v>
      </c>
      <c r="D2328" s="11">
        <v>1575000</v>
      </c>
      <c r="E2328" t="s">
        <v>2242</v>
      </c>
      <c r="F2328" t="s">
        <v>2243</v>
      </c>
      <c r="G2328" t="s">
        <v>1755</v>
      </c>
    </row>
    <row r="2329" spans="1:7" ht="15" customHeight="1" x14ac:dyDescent="0.25">
      <c r="A2329" s="2">
        <v>45993.477083333302</v>
      </c>
      <c r="B2329">
        <v>2025003068</v>
      </c>
      <c r="C2329" t="s">
        <v>2244</v>
      </c>
      <c r="D2329" s="11">
        <v>2000000</v>
      </c>
      <c r="E2329" t="s">
        <v>2245</v>
      </c>
      <c r="F2329" t="s">
        <v>2246</v>
      </c>
      <c r="G2329" t="s">
        <v>1755</v>
      </c>
    </row>
    <row r="2330" spans="1:7" ht="15" customHeight="1" x14ac:dyDescent="0.25">
      <c r="A2330" s="2">
        <v>45993.481249999997</v>
      </c>
      <c r="B2330">
        <v>2025003069</v>
      </c>
      <c r="C2330" t="s">
        <v>1799</v>
      </c>
      <c r="D2330" s="11">
        <v>3150000</v>
      </c>
      <c r="E2330" t="s">
        <v>2247</v>
      </c>
      <c r="F2330" t="s">
        <v>1086</v>
      </c>
      <c r="G2330" t="s">
        <v>1755</v>
      </c>
    </row>
    <row r="2331" spans="1:7" ht="15" customHeight="1" x14ac:dyDescent="0.25">
      <c r="A2331" s="2">
        <v>45993.723611111098</v>
      </c>
      <c r="B2331">
        <v>2025003089</v>
      </c>
      <c r="C2331" t="s">
        <v>1885</v>
      </c>
      <c r="D2331" s="11">
        <v>1575000</v>
      </c>
      <c r="E2331" t="s">
        <v>2248</v>
      </c>
      <c r="F2331" t="s">
        <v>1886</v>
      </c>
      <c r="G2331" t="s">
        <v>1755</v>
      </c>
    </row>
    <row r="2332" spans="1:7" ht="15" customHeight="1" x14ac:dyDescent="0.25">
      <c r="A2332" s="2">
        <v>46000.629861111098</v>
      </c>
      <c r="B2332">
        <v>2025003144</v>
      </c>
      <c r="C2332" t="s">
        <v>2000</v>
      </c>
      <c r="D2332" s="11">
        <v>144437682.74000001</v>
      </c>
      <c r="E2332" t="s">
        <v>2249</v>
      </c>
      <c r="F2332" t="s">
        <v>8</v>
      </c>
      <c r="G2332" t="s">
        <v>1755</v>
      </c>
    </row>
    <row r="2333" spans="1:7" ht="15" customHeight="1" x14ac:dyDescent="0.25">
      <c r="A2333" s="2">
        <v>46001.6743055556</v>
      </c>
      <c r="B2333">
        <v>2025003169</v>
      </c>
      <c r="C2333" t="s">
        <v>2250</v>
      </c>
      <c r="D2333" s="11">
        <v>3150000</v>
      </c>
      <c r="E2333" t="s">
        <v>2251</v>
      </c>
      <c r="F2333" t="s">
        <v>2252</v>
      </c>
      <c r="G2333" t="s">
        <v>1755</v>
      </c>
    </row>
    <row r="2334" spans="1:7" ht="15" customHeight="1" x14ac:dyDescent="0.25">
      <c r="A2334" s="2">
        <v>46001.677777777797</v>
      </c>
      <c r="B2334">
        <v>2025003171</v>
      </c>
      <c r="C2334" t="s">
        <v>2253</v>
      </c>
      <c r="D2334" s="11">
        <v>4730000</v>
      </c>
      <c r="E2334" t="s">
        <v>2254</v>
      </c>
      <c r="F2334" t="s">
        <v>415</v>
      </c>
      <c r="G2334" t="s">
        <v>1755</v>
      </c>
    </row>
    <row r="2335" spans="1:7" ht="15" customHeight="1" x14ac:dyDescent="0.25">
      <c r="A2335" s="2">
        <v>46001.680555555598</v>
      </c>
      <c r="B2335">
        <v>2025003173</v>
      </c>
      <c r="C2335" t="s">
        <v>1992</v>
      </c>
      <c r="D2335" s="11">
        <v>3150000</v>
      </c>
      <c r="E2335" t="s">
        <v>2255</v>
      </c>
      <c r="F2335" t="s">
        <v>580</v>
      </c>
      <c r="G2335" t="s">
        <v>1755</v>
      </c>
    </row>
    <row r="2336" spans="1:7" ht="15" customHeight="1" x14ac:dyDescent="0.25">
      <c r="A2336" s="2">
        <v>46001.681944444397</v>
      </c>
      <c r="B2336">
        <v>2025003174</v>
      </c>
      <c r="C2336" t="s">
        <v>1937</v>
      </c>
      <c r="D2336" s="11">
        <v>4730000</v>
      </c>
      <c r="E2336" t="s">
        <v>2256</v>
      </c>
      <c r="F2336" t="s">
        <v>151</v>
      </c>
      <c r="G2336" t="s">
        <v>1755</v>
      </c>
    </row>
    <row r="2337" spans="1:7" ht="15" customHeight="1" x14ac:dyDescent="0.25">
      <c r="A2337" s="2">
        <v>46001.684027777803</v>
      </c>
      <c r="B2337">
        <v>2025003176</v>
      </c>
      <c r="C2337" t="s">
        <v>2257</v>
      </c>
      <c r="D2337" s="11">
        <v>1575000</v>
      </c>
      <c r="E2337" t="s">
        <v>1680</v>
      </c>
      <c r="F2337" t="s">
        <v>525</v>
      </c>
      <c r="G2337" t="s">
        <v>1755</v>
      </c>
    </row>
    <row r="2338" spans="1:7" ht="15" customHeight="1" x14ac:dyDescent="0.25">
      <c r="A2338" s="2">
        <v>46001.6875</v>
      </c>
      <c r="B2338">
        <v>2025003178</v>
      </c>
      <c r="C2338" t="s">
        <v>2258</v>
      </c>
      <c r="D2338" s="11">
        <v>1575000</v>
      </c>
      <c r="E2338" t="s">
        <v>2259</v>
      </c>
      <c r="F2338" t="s">
        <v>1054</v>
      </c>
      <c r="G2338" t="s">
        <v>1755</v>
      </c>
    </row>
    <row r="2339" spans="1:7" ht="15" customHeight="1" x14ac:dyDescent="0.25">
      <c r="A2339" s="2">
        <v>46001.690972222197</v>
      </c>
      <c r="B2339">
        <v>2025003179</v>
      </c>
      <c r="C2339" t="s">
        <v>2260</v>
      </c>
      <c r="D2339" s="11">
        <v>1575000</v>
      </c>
      <c r="E2339" t="s">
        <v>1632</v>
      </c>
      <c r="F2339" t="s">
        <v>121</v>
      </c>
      <c r="G2339" t="s">
        <v>1755</v>
      </c>
    </row>
    <row r="2340" spans="1:7" ht="15" customHeight="1" x14ac:dyDescent="0.25">
      <c r="A2340" s="2">
        <v>46001.693055555603</v>
      </c>
      <c r="B2340">
        <v>2025003181</v>
      </c>
      <c r="C2340" t="s">
        <v>2261</v>
      </c>
      <c r="D2340" s="11">
        <v>2000000</v>
      </c>
      <c r="E2340" t="s">
        <v>2262</v>
      </c>
      <c r="F2340" t="s">
        <v>2263</v>
      </c>
      <c r="G2340" t="s">
        <v>1755</v>
      </c>
    </row>
    <row r="2341" spans="1:7" ht="15" customHeight="1" x14ac:dyDescent="0.25">
      <c r="A2341" s="2">
        <v>46001.695138888899</v>
      </c>
      <c r="B2341">
        <v>2025003183</v>
      </c>
      <c r="C2341" t="s">
        <v>2264</v>
      </c>
      <c r="D2341" s="11">
        <v>2000000</v>
      </c>
      <c r="E2341" t="s">
        <v>2265</v>
      </c>
      <c r="F2341" t="s">
        <v>2266</v>
      </c>
      <c r="G2341" t="s">
        <v>1755</v>
      </c>
    </row>
    <row r="2342" spans="1:7" ht="15" customHeight="1" x14ac:dyDescent="0.25">
      <c r="A2342" s="2">
        <v>46001.704166666699</v>
      </c>
      <c r="B2342">
        <v>2025003184</v>
      </c>
      <c r="C2342" t="s">
        <v>2267</v>
      </c>
      <c r="D2342" s="11">
        <v>3150000</v>
      </c>
      <c r="E2342" t="s">
        <v>1696</v>
      </c>
      <c r="F2342" t="s">
        <v>123</v>
      </c>
      <c r="G2342" t="s">
        <v>1755</v>
      </c>
    </row>
    <row r="2343" spans="1:7" ht="15" customHeight="1" x14ac:dyDescent="0.25">
      <c r="A2343" s="2">
        <v>46001.706944444399</v>
      </c>
      <c r="B2343">
        <v>2025003185</v>
      </c>
      <c r="C2343" t="s">
        <v>2268</v>
      </c>
      <c r="D2343" s="11">
        <v>3150000</v>
      </c>
      <c r="E2343" t="s">
        <v>1713</v>
      </c>
      <c r="F2343" t="s">
        <v>1224</v>
      </c>
      <c r="G2343" t="s">
        <v>1755</v>
      </c>
    </row>
    <row r="2344" spans="1:7" ht="15" customHeight="1" x14ac:dyDescent="0.25">
      <c r="A2344" s="2">
        <v>46001.710416666698</v>
      </c>
      <c r="B2344">
        <v>2025003188</v>
      </c>
      <c r="C2344" t="s">
        <v>2269</v>
      </c>
      <c r="D2344" s="11">
        <v>3150000</v>
      </c>
      <c r="E2344" t="s">
        <v>1646</v>
      </c>
      <c r="F2344" t="s">
        <v>523</v>
      </c>
      <c r="G2344" t="s">
        <v>1755</v>
      </c>
    </row>
    <row r="2345" spans="1:7" ht="15" customHeight="1" x14ac:dyDescent="0.25">
      <c r="A2345" s="2">
        <v>46001.718055555597</v>
      </c>
      <c r="B2345">
        <v>2025003189</v>
      </c>
      <c r="C2345" t="s">
        <v>2270</v>
      </c>
      <c r="D2345" s="11">
        <v>4725000</v>
      </c>
      <c r="E2345" t="s">
        <v>2271</v>
      </c>
      <c r="F2345" t="s">
        <v>213</v>
      </c>
      <c r="G2345" t="s">
        <v>1755</v>
      </c>
    </row>
    <row r="2346" spans="1:7" ht="15" customHeight="1" x14ac:dyDescent="0.25">
      <c r="A2346" s="2">
        <v>46001.720138888901</v>
      </c>
      <c r="B2346">
        <v>2025003191</v>
      </c>
      <c r="C2346" t="s">
        <v>2272</v>
      </c>
      <c r="D2346" s="11">
        <v>3150000</v>
      </c>
      <c r="E2346" t="s">
        <v>1743</v>
      </c>
      <c r="F2346" t="s">
        <v>1211</v>
      </c>
      <c r="G2346" t="s">
        <v>1755</v>
      </c>
    </row>
    <row r="2347" spans="1:7" ht="15" customHeight="1" x14ac:dyDescent="0.25">
      <c r="A2347" s="2">
        <v>46001.724305555603</v>
      </c>
      <c r="B2347">
        <v>2025003193</v>
      </c>
      <c r="C2347" t="s">
        <v>2273</v>
      </c>
      <c r="D2347" s="11">
        <v>2365000</v>
      </c>
      <c r="E2347" t="s">
        <v>2274</v>
      </c>
      <c r="F2347" t="s">
        <v>730</v>
      </c>
      <c r="G2347" t="s">
        <v>1755</v>
      </c>
    </row>
    <row r="2348" spans="1:7" ht="15" customHeight="1" x14ac:dyDescent="0.25">
      <c r="A2348" s="2">
        <v>46001.727083333302</v>
      </c>
      <c r="B2348">
        <v>2025003195</v>
      </c>
      <c r="C2348" t="s">
        <v>2275</v>
      </c>
      <c r="D2348" s="11">
        <v>4730000</v>
      </c>
      <c r="E2348" t="s">
        <v>2276</v>
      </c>
      <c r="F2348" t="s">
        <v>2277</v>
      </c>
      <c r="G2348" t="s">
        <v>1755</v>
      </c>
    </row>
    <row r="2349" spans="1:7" ht="15" customHeight="1" x14ac:dyDescent="0.25">
      <c r="A2349" s="2">
        <v>46001.729166666701</v>
      </c>
      <c r="B2349">
        <v>2025003197</v>
      </c>
      <c r="C2349" t="s">
        <v>2278</v>
      </c>
      <c r="D2349" s="11">
        <v>6300000</v>
      </c>
      <c r="E2349" t="s">
        <v>1721</v>
      </c>
      <c r="F2349" t="s">
        <v>31</v>
      </c>
      <c r="G2349" t="s">
        <v>1755</v>
      </c>
    </row>
    <row r="2350" spans="1:7" ht="15" customHeight="1" x14ac:dyDescent="0.25">
      <c r="A2350" s="2">
        <v>46001.731249999997</v>
      </c>
      <c r="B2350">
        <v>2025003199</v>
      </c>
      <c r="C2350" t="s">
        <v>2279</v>
      </c>
      <c r="D2350" s="11">
        <v>2000000</v>
      </c>
      <c r="E2350" t="s">
        <v>1693</v>
      </c>
      <c r="F2350" t="s">
        <v>307</v>
      </c>
      <c r="G2350" t="s">
        <v>1755</v>
      </c>
    </row>
    <row r="2351" spans="1:7" ht="15" customHeight="1" x14ac:dyDescent="0.25">
      <c r="A2351" s="2">
        <v>46001.733333333301</v>
      </c>
      <c r="B2351">
        <v>2025003201</v>
      </c>
      <c r="C2351" t="s">
        <v>2280</v>
      </c>
      <c r="D2351" s="11">
        <v>3150000</v>
      </c>
      <c r="E2351" t="s">
        <v>2281</v>
      </c>
      <c r="F2351" t="s">
        <v>2282</v>
      </c>
      <c r="G2351" t="s">
        <v>1755</v>
      </c>
    </row>
    <row r="2352" spans="1:7" ht="15" customHeight="1" x14ac:dyDescent="0.25">
      <c r="A2352" s="2">
        <v>46001.735416666699</v>
      </c>
      <c r="B2352">
        <v>2025003204</v>
      </c>
      <c r="C2352" t="s">
        <v>2283</v>
      </c>
      <c r="D2352" s="11">
        <v>3150000</v>
      </c>
      <c r="E2352" t="s">
        <v>1677</v>
      </c>
      <c r="F2352" t="s">
        <v>387</v>
      </c>
      <c r="G2352" t="s">
        <v>1755</v>
      </c>
    </row>
    <row r="2353" spans="1:7" ht="15" customHeight="1" x14ac:dyDescent="0.25">
      <c r="A2353" s="2">
        <v>46001.737500000003</v>
      </c>
      <c r="B2353">
        <v>2025003206</v>
      </c>
      <c r="C2353" t="s">
        <v>2284</v>
      </c>
      <c r="D2353" s="11">
        <v>1575000</v>
      </c>
      <c r="E2353" t="s">
        <v>2285</v>
      </c>
      <c r="F2353" t="s">
        <v>2286</v>
      </c>
      <c r="G2353" t="s">
        <v>1755</v>
      </c>
    </row>
    <row r="2354" spans="1:7" ht="15" customHeight="1" x14ac:dyDescent="0.25">
      <c r="A2354" s="2">
        <v>46001</v>
      </c>
      <c r="B2354">
        <v>2025003207</v>
      </c>
      <c r="C2354" t="s">
        <v>1225</v>
      </c>
      <c r="D2354" s="11">
        <v>2500000</v>
      </c>
      <c r="E2354" s="12" t="e">
        <f>VLOOKUP(C2354,#REF!,5,0)</f>
        <v>#REF!</v>
      </c>
      <c r="F2354" s="12" t="e">
        <f>VLOOKUP(C2354,#REF!,6,0)</f>
        <v>#REF!</v>
      </c>
      <c r="G2354" t="s">
        <v>1094</v>
      </c>
    </row>
    <row r="2355" spans="1:7" ht="15" customHeight="1" x14ac:dyDescent="0.25">
      <c r="A2355" s="2">
        <v>46002.604861111096</v>
      </c>
      <c r="B2355">
        <v>2025003246</v>
      </c>
      <c r="C2355" t="s">
        <v>1995</v>
      </c>
      <c r="D2355" s="11">
        <v>4730000</v>
      </c>
      <c r="E2355" t="s">
        <v>2287</v>
      </c>
      <c r="F2355" t="s">
        <v>235</v>
      </c>
      <c r="G2355" t="s">
        <v>1755</v>
      </c>
    </row>
    <row r="2356" spans="1:7" ht="15" customHeight="1" x14ac:dyDescent="0.25">
      <c r="A2356" s="2">
        <v>46002.6069444444</v>
      </c>
      <c r="B2356">
        <v>2025003247</v>
      </c>
      <c r="C2356" t="s">
        <v>1925</v>
      </c>
      <c r="D2356" s="11">
        <v>4730000</v>
      </c>
      <c r="E2356" t="s">
        <v>2288</v>
      </c>
      <c r="F2356" t="s">
        <v>1926</v>
      </c>
      <c r="G2356" t="s">
        <v>1755</v>
      </c>
    </row>
    <row r="2357" spans="1:7" ht="15" customHeight="1" x14ac:dyDescent="0.25">
      <c r="A2357" s="2">
        <v>46002.608333333301</v>
      </c>
      <c r="B2357">
        <v>2025003249</v>
      </c>
      <c r="C2357" t="s">
        <v>1919</v>
      </c>
      <c r="D2357" s="11">
        <v>4730000</v>
      </c>
      <c r="E2357" t="s">
        <v>2289</v>
      </c>
      <c r="F2357" t="s">
        <v>900</v>
      </c>
      <c r="G2357" t="s">
        <v>1755</v>
      </c>
    </row>
    <row r="2358" spans="1:7" ht="15" customHeight="1" x14ac:dyDescent="0.25">
      <c r="A2358" s="2">
        <v>46002.610416666699</v>
      </c>
      <c r="B2358">
        <v>2025003252</v>
      </c>
      <c r="C2358" t="s">
        <v>1987</v>
      </c>
      <c r="D2358" s="11">
        <v>3150000</v>
      </c>
      <c r="E2358" t="s">
        <v>2025</v>
      </c>
      <c r="F2358" t="s">
        <v>1988</v>
      </c>
      <c r="G2358" t="s">
        <v>1755</v>
      </c>
    </row>
    <row r="2359" spans="1:7" ht="15" customHeight="1" x14ac:dyDescent="0.25">
      <c r="A2359" s="2">
        <v>46002.614583333299</v>
      </c>
      <c r="B2359">
        <v>2025003254</v>
      </c>
      <c r="C2359" t="s">
        <v>1836</v>
      </c>
      <c r="D2359" s="11">
        <v>4730000</v>
      </c>
      <c r="E2359" t="s">
        <v>2013</v>
      </c>
      <c r="F2359" t="s">
        <v>1837</v>
      </c>
      <c r="G2359" t="s">
        <v>1755</v>
      </c>
    </row>
    <row r="2360" spans="1:7" ht="15" customHeight="1" x14ac:dyDescent="0.25">
      <c r="A2360" s="2">
        <v>46002.616666666698</v>
      </c>
      <c r="B2360">
        <v>2025003255</v>
      </c>
      <c r="C2360" t="s">
        <v>1870</v>
      </c>
      <c r="D2360" s="11">
        <v>4730000</v>
      </c>
      <c r="E2360" t="s">
        <v>2031</v>
      </c>
      <c r="F2360" t="s">
        <v>95</v>
      </c>
      <c r="G2360" t="s">
        <v>1755</v>
      </c>
    </row>
    <row r="2361" spans="1:7" ht="15" customHeight="1" x14ac:dyDescent="0.25">
      <c r="A2361" s="2">
        <v>46002.623611111099</v>
      </c>
      <c r="B2361">
        <v>2025003256</v>
      </c>
      <c r="C2361" t="s">
        <v>1853</v>
      </c>
      <c r="D2361" s="11">
        <v>4730000</v>
      </c>
      <c r="E2361" t="s">
        <v>2033</v>
      </c>
      <c r="F2361" t="s">
        <v>355</v>
      </c>
      <c r="G2361" t="s">
        <v>1755</v>
      </c>
    </row>
    <row r="2362" spans="1:7" ht="15" customHeight="1" x14ac:dyDescent="0.25">
      <c r="A2362" s="2">
        <v>46002.626388888901</v>
      </c>
      <c r="B2362">
        <v>2025003257</v>
      </c>
      <c r="C2362" t="s">
        <v>1962</v>
      </c>
      <c r="D2362" s="11">
        <v>4730000</v>
      </c>
      <c r="E2362" t="s">
        <v>2111</v>
      </c>
      <c r="F2362" t="s">
        <v>91</v>
      </c>
      <c r="G2362" t="s">
        <v>1755</v>
      </c>
    </row>
    <row r="2363" spans="1:7" ht="15" customHeight="1" x14ac:dyDescent="0.25">
      <c r="A2363" s="2">
        <v>46002.629166666702</v>
      </c>
      <c r="B2363">
        <v>2025003258</v>
      </c>
      <c r="C2363" t="s">
        <v>1839</v>
      </c>
      <c r="D2363" s="11">
        <v>4730000</v>
      </c>
      <c r="E2363" t="s">
        <v>1641</v>
      </c>
      <c r="F2363" t="s">
        <v>1142</v>
      </c>
      <c r="G2363" t="s">
        <v>1755</v>
      </c>
    </row>
    <row r="2364" spans="1:7" ht="15" customHeight="1" x14ac:dyDescent="0.25">
      <c r="A2364" s="2">
        <v>46002.638888888898</v>
      </c>
      <c r="B2364">
        <v>2025003261</v>
      </c>
      <c r="C2364" t="s">
        <v>1875</v>
      </c>
      <c r="D2364" s="11">
        <v>7800000</v>
      </c>
      <c r="E2364" t="s">
        <v>1708</v>
      </c>
      <c r="F2364" t="s">
        <v>1218</v>
      </c>
      <c r="G2364" t="s">
        <v>1755</v>
      </c>
    </row>
    <row r="2365" spans="1:7" ht="15" customHeight="1" x14ac:dyDescent="0.25">
      <c r="A2365" s="2">
        <v>46002.643750000003</v>
      </c>
      <c r="B2365">
        <v>2025003262</v>
      </c>
      <c r="C2365" t="s">
        <v>1871</v>
      </c>
      <c r="D2365" s="11">
        <v>7800000</v>
      </c>
      <c r="E2365" t="s">
        <v>2054</v>
      </c>
      <c r="F2365" t="s">
        <v>1872</v>
      </c>
      <c r="G2365" t="s">
        <v>1755</v>
      </c>
    </row>
    <row r="2366" spans="1:7" ht="15" customHeight="1" x14ac:dyDescent="0.25">
      <c r="A2366" s="2">
        <v>46002.6472222222</v>
      </c>
      <c r="B2366">
        <v>2025003263</v>
      </c>
      <c r="C2366" t="s">
        <v>1851</v>
      </c>
      <c r="D2366" s="11">
        <v>7800000</v>
      </c>
      <c r="E2366" t="s">
        <v>2016</v>
      </c>
      <c r="F2366" t="s">
        <v>1852</v>
      </c>
      <c r="G2366" t="s">
        <v>1755</v>
      </c>
    </row>
    <row r="2367" spans="1:7" ht="15" customHeight="1" x14ac:dyDescent="0.25">
      <c r="A2367" s="2">
        <v>46002.648611111101</v>
      </c>
      <c r="B2367">
        <v>2025003264</v>
      </c>
      <c r="C2367" t="s">
        <v>1862</v>
      </c>
      <c r="D2367" s="11">
        <v>6300000</v>
      </c>
      <c r="E2367" t="s">
        <v>2075</v>
      </c>
      <c r="F2367" t="s">
        <v>1863</v>
      </c>
      <c r="G2367" t="s">
        <v>1755</v>
      </c>
    </row>
    <row r="2368" spans="1:7" ht="15" customHeight="1" x14ac:dyDescent="0.25">
      <c r="A2368" s="2">
        <v>46002.652083333298</v>
      </c>
      <c r="B2368">
        <v>2025003265</v>
      </c>
      <c r="C2368" t="s">
        <v>1830</v>
      </c>
      <c r="D2368" s="11">
        <v>7800000</v>
      </c>
      <c r="E2368" t="s">
        <v>2010</v>
      </c>
      <c r="F2368" t="s">
        <v>1831</v>
      </c>
      <c r="G2368" t="s">
        <v>1755</v>
      </c>
    </row>
    <row r="2369" spans="1:7" ht="15" customHeight="1" x14ac:dyDescent="0.25">
      <c r="A2369" s="2">
        <v>46002.655555555597</v>
      </c>
      <c r="B2369">
        <v>2025003266</v>
      </c>
      <c r="C2369" t="s">
        <v>1849</v>
      </c>
      <c r="D2369" s="11">
        <v>7800000</v>
      </c>
      <c r="E2369" t="s">
        <v>1620</v>
      </c>
      <c r="F2369" t="s">
        <v>41</v>
      </c>
      <c r="G2369" t="s">
        <v>1755</v>
      </c>
    </row>
    <row r="2370" spans="1:7" ht="15" customHeight="1" x14ac:dyDescent="0.25">
      <c r="A2370" s="2">
        <v>46002.663888888899</v>
      </c>
      <c r="B2370">
        <v>2025003267</v>
      </c>
      <c r="C2370" t="s">
        <v>1985</v>
      </c>
      <c r="D2370" s="11">
        <v>7800000</v>
      </c>
      <c r="E2370" t="s">
        <v>2112</v>
      </c>
      <c r="F2370" t="s">
        <v>1986</v>
      </c>
      <c r="G2370" t="s">
        <v>1755</v>
      </c>
    </row>
    <row r="2371" spans="1:7" ht="15" customHeight="1" x14ac:dyDescent="0.25">
      <c r="A2371" s="2">
        <v>46002.666666666701</v>
      </c>
      <c r="B2371">
        <v>2025003268</v>
      </c>
      <c r="C2371" t="s">
        <v>1770</v>
      </c>
      <c r="D2371" s="11">
        <v>6300000</v>
      </c>
      <c r="E2371" t="s">
        <v>1664</v>
      </c>
      <c r="F2371" t="s">
        <v>329</v>
      </c>
      <c r="G2371" t="s">
        <v>1755</v>
      </c>
    </row>
    <row r="2372" spans="1:7" ht="15" customHeight="1" x14ac:dyDescent="0.25">
      <c r="A2372" s="2">
        <v>46002.6694444444</v>
      </c>
      <c r="B2372">
        <v>2025003269</v>
      </c>
      <c r="C2372" t="s">
        <v>1762</v>
      </c>
      <c r="D2372" s="11">
        <v>6300000</v>
      </c>
      <c r="E2372" t="s">
        <v>1635</v>
      </c>
      <c r="F2372" t="s">
        <v>145</v>
      </c>
      <c r="G2372" t="s">
        <v>1755</v>
      </c>
    </row>
    <row r="2373" spans="1:7" ht="15" customHeight="1" x14ac:dyDescent="0.25">
      <c r="A2373" s="2">
        <v>46002.670833333301</v>
      </c>
      <c r="B2373">
        <v>2025003270</v>
      </c>
      <c r="C2373" t="s">
        <v>1838</v>
      </c>
      <c r="D2373" s="11">
        <v>6300000</v>
      </c>
      <c r="E2373" t="s">
        <v>2050</v>
      </c>
      <c r="F2373" t="s">
        <v>1062</v>
      </c>
      <c r="G2373" t="s">
        <v>1755</v>
      </c>
    </row>
    <row r="2374" spans="1:7" ht="15" customHeight="1" x14ac:dyDescent="0.25">
      <c r="A2374" s="2">
        <v>46002.673611111102</v>
      </c>
      <c r="B2374">
        <v>2025003272</v>
      </c>
      <c r="C2374" t="s">
        <v>1773</v>
      </c>
      <c r="D2374" s="11">
        <v>6300000</v>
      </c>
      <c r="E2374" t="s">
        <v>2036</v>
      </c>
      <c r="F2374" t="s">
        <v>1774</v>
      </c>
      <c r="G2374" t="s">
        <v>1755</v>
      </c>
    </row>
    <row r="2375" spans="1:7" ht="15" customHeight="1" x14ac:dyDescent="0.25">
      <c r="A2375" s="2">
        <v>46002.675000000003</v>
      </c>
      <c r="B2375">
        <v>2025003273</v>
      </c>
      <c r="C2375" t="s">
        <v>1883</v>
      </c>
      <c r="D2375" s="11">
        <v>6300000</v>
      </c>
      <c r="E2375" t="s">
        <v>2032</v>
      </c>
      <c r="F2375" t="s">
        <v>1884</v>
      </c>
      <c r="G2375" t="s">
        <v>1755</v>
      </c>
    </row>
    <row r="2376" spans="1:7" ht="15" customHeight="1" x14ac:dyDescent="0.25">
      <c r="A2376" s="2">
        <v>46002.679861111101</v>
      </c>
      <c r="B2376">
        <v>2025003275</v>
      </c>
      <c r="C2376" t="s">
        <v>1840</v>
      </c>
      <c r="D2376" s="11">
        <v>7800000</v>
      </c>
      <c r="E2376" t="s">
        <v>2051</v>
      </c>
      <c r="F2376" t="s">
        <v>1841</v>
      </c>
      <c r="G2376" t="s">
        <v>1755</v>
      </c>
    </row>
    <row r="2377" spans="1:7" ht="15" customHeight="1" x14ac:dyDescent="0.25">
      <c r="A2377" s="2">
        <v>46002.686111111099</v>
      </c>
      <c r="B2377">
        <v>2025003276</v>
      </c>
      <c r="C2377" t="s">
        <v>1832</v>
      </c>
      <c r="D2377" s="11">
        <v>3150000</v>
      </c>
      <c r="E2377" t="s">
        <v>1695</v>
      </c>
      <c r="F2377" t="s">
        <v>477</v>
      </c>
      <c r="G2377" t="s">
        <v>1755</v>
      </c>
    </row>
    <row r="2378" spans="1:7" ht="15" customHeight="1" x14ac:dyDescent="0.25">
      <c r="A2378" s="2">
        <v>46002.690972222197</v>
      </c>
      <c r="B2378">
        <v>2025003278</v>
      </c>
      <c r="C2378" t="s">
        <v>1761</v>
      </c>
      <c r="D2378" s="11">
        <v>3150000</v>
      </c>
      <c r="E2378" t="s">
        <v>1671</v>
      </c>
      <c r="F2378" t="s">
        <v>443</v>
      </c>
      <c r="G2378" t="s">
        <v>1755</v>
      </c>
    </row>
    <row r="2379" spans="1:7" ht="15" customHeight="1" x14ac:dyDescent="0.25">
      <c r="A2379" s="2">
        <v>46002.7006944444</v>
      </c>
      <c r="B2379">
        <v>2025003279</v>
      </c>
      <c r="C2379" t="s">
        <v>1876</v>
      </c>
      <c r="D2379" s="11">
        <v>3150000</v>
      </c>
      <c r="E2379" t="s">
        <v>2113</v>
      </c>
      <c r="F2379" t="s">
        <v>658</v>
      </c>
      <c r="G2379" t="s">
        <v>1755</v>
      </c>
    </row>
    <row r="2380" spans="1:7" ht="15" customHeight="1" x14ac:dyDescent="0.25">
      <c r="A2380" s="2">
        <v>46002.695138888899</v>
      </c>
      <c r="B2380">
        <v>2025003280</v>
      </c>
      <c r="C2380" t="s">
        <v>1878</v>
      </c>
      <c r="D2380" s="11">
        <v>3150000</v>
      </c>
      <c r="E2380" t="s">
        <v>2037</v>
      </c>
      <c r="F2380" t="s">
        <v>417</v>
      </c>
      <c r="G2380" t="s">
        <v>1755</v>
      </c>
    </row>
    <row r="2381" spans="1:7" ht="15" customHeight="1" x14ac:dyDescent="0.25">
      <c r="A2381" s="2">
        <v>46002.697916666701</v>
      </c>
      <c r="B2381">
        <v>2025003282</v>
      </c>
      <c r="C2381" t="s">
        <v>1869</v>
      </c>
      <c r="D2381" s="11">
        <v>7800000</v>
      </c>
      <c r="E2381" t="s">
        <v>1591</v>
      </c>
      <c r="F2381" t="s">
        <v>791</v>
      </c>
      <c r="G2381" t="s">
        <v>1755</v>
      </c>
    </row>
    <row r="2382" spans="1:7" ht="15" customHeight="1" x14ac:dyDescent="0.25">
      <c r="A2382" s="2">
        <v>46002.699305555601</v>
      </c>
      <c r="B2382">
        <v>2025003283</v>
      </c>
      <c r="C2382" t="s">
        <v>1776</v>
      </c>
      <c r="D2382" s="11">
        <v>3150000</v>
      </c>
      <c r="E2382" t="s">
        <v>2014</v>
      </c>
      <c r="F2382" t="s">
        <v>1777</v>
      </c>
      <c r="G2382" t="s">
        <v>1755</v>
      </c>
    </row>
    <row r="2383" spans="1:7" ht="15" customHeight="1" x14ac:dyDescent="0.25">
      <c r="A2383" s="2">
        <v>46002.702083333301</v>
      </c>
      <c r="B2383">
        <v>2025003284</v>
      </c>
      <c r="C2383" t="s">
        <v>1758</v>
      </c>
      <c r="D2383" s="11">
        <v>3150000</v>
      </c>
      <c r="E2383" t="s">
        <v>2015</v>
      </c>
      <c r="F2383" t="s">
        <v>1759</v>
      </c>
      <c r="G2383" t="s">
        <v>1755</v>
      </c>
    </row>
    <row r="2384" spans="1:7" ht="15" customHeight="1" x14ac:dyDescent="0.25">
      <c r="A2384" s="2">
        <v>46002.704861111102</v>
      </c>
      <c r="B2384">
        <v>2025003285</v>
      </c>
      <c r="C2384" t="s">
        <v>2290</v>
      </c>
      <c r="D2384" s="11">
        <v>4730000</v>
      </c>
      <c r="E2384" t="s">
        <v>2291</v>
      </c>
      <c r="F2384" t="s">
        <v>2292</v>
      </c>
      <c r="G2384" t="s">
        <v>1755</v>
      </c>
    </row>
    <row r="2385" spans="1:7" ht="15" customHeight="1" x14ac:dyDescent="0.25">
      <c r="A2385" s="2">
        <v>46002.706944444399</v>
      </c>
      <c r="B2385">
        <v>2025003286</v>
      </c>
      <c r="C2385" t="s">
        <v>2293</v>
      </c>
      <c r="D2385" s="11">
        <v>4730000</v>
      </c>
      <c r="E2385" t="s">
        <v>2294</v>
      </c>
      <c r="F2385" t="s">
        <v>2295</v>
      </c>
      <c r="G2385" t="s">
        <v>1755</v>
      </c>
    </row>
    <row r="2386" spans="1:7" ht="15" customHeight="1" x14ac:dyDescent="0.25">
      <c r="A2386" s="2">
        <v>46003.385416666701</v>
      </c>
      <c r="B2386">
        <v>2025003290</v>
      </c>
      <c r="C2386" t="s">
        <v>2296</v>
      </c>
      <c r="D2386" s="11">
        <v>6300000</v>
      </c>
      <c r="E2386" t="s">
        <v>2297</v>
      </c>
      <c r="F2386" t="s">
        <v>2298</v>
      </c>
      <c r="G2386" t="s">
        <v>1755</v>
      </c>
    </row>
    <row r="2387" spans="1:7" ht="15" customHeight="1" x14ac:dyDescent="0.25">
      <c r="A2387" s="2">
        <v>46003.390972222202</v>
      </c>
      <c r="B2387">
        <v>2025003291</v>
      </c>
      <c r="C2387" t="s">
        <v>2299</v>
      </c>
      <c r="D2387" s="11">
        <v>3150000</v>
      </c>
      <c r="E2387" t="s">
        <v>2300</v>
      </c>
      <c r="F2387" t="s">
        <v>2301</v>
      </c>
      <c r="G2387" t="s">
        <v>1755</v>
      </c>
    </row>
    <row r="2388" spans="1:7" ht="15" customHeight="1" x14ac:dyDescent="0.25">
      <c r="A2388" s="2">
        <v>46003.396527777797</v>
      </c>
      <c r="B2388">
        <v>2025003292</v>
      </c>
      <c r="C2388" t="s">
        <v>2302</v>
      </c>
      <c r="D2388" s="11">
        <v>7800000</v>
      </c>
      <c r="E2388" t="s">
        <v>2303</v>
      </c>
      <c r="F2388" t="s">
        <v>2304</v>
      </c>
      <c r="G2388" t="s">
        <v>1755</v>
      </c>
    </row>
    <row r="2389" spans="1:7" ht="15" customHeight="1" x14ac:dyDescent="0.25">
      <c r="A2389" s="2">
        <v>46003.400694444397</v>
      </c>
      <c r="B2389">
        <v>2025003293</v>
      </c>
      <c r="C2389" t="s">
        <v>2305</v>
      </c>
      <c r="D2389" s="11">
        <v>4730000</v>
      </c>
      <c r="E2389" t="s">
        <v>2306</v>
      </c>
      <c r="F2389" t="s">
        <v>2307</v>
      </c>
      <c r="G2389" t="s">
        <v>1755</v>
      </c>
    </row>
    <row r="2390" spans="1:7" ht="15" customHeight="1" x14ac:dyDescent="0.25">
      <c r="A2390" s="2">
        <v>46003.402083333298</v>
      </c>
      <c r="B2390">
        <v>2025003294</v>
      </c>
      <c r="C2390" t="s">
        <v>1798</v>
      </c>
      <c r="D2390" s="11">
        <v>3150000</v>
      </c>
      <c r="E2390" t="s">
        <v>1657</v>
      </c>
      <c r="F2390" t="s">
        <v>59</v>
      </c>
      <c r="G2390" t="s">
        <v>1755</v>
      </c>
    </row>
    <row r="2391" spans="1:7" ht="15" customHeight="1" x14ac:dyDescent="0.25">
      <c r="A2391" s="2">
        <v>46003.40625</v>
      </c>
      <c r="B2391">
        <v>2025003295</v>
      </c>
      <c r="C2391" t="s">
        <v>1861</v>
      </c>
      <c r="D2391" s="11">
        <v>7800000</v>
      </c>
      <c r="E2391" t="s">
        <v>1622</v>
      </c>
      <c r="F2391" t="s">
        <v>63</v>
      </c>
      <c r="G2391" t="s">
        <v>1755</v>
      </c>
    </row>
    <row r="2392" spans="1:7" ht="15" customHeight="1" x14ac:dyDescent="0.25">
      <c r="A2392" s="2">
        <v>46003.409027777801</v>
      </c>
      <c r="B2392">
        <v>2025003296</v>
      </c>
      <c r="C2392" t="s">
        <v>1791</v>
      </c>
      <c r="D2392" s="11">
        <v>4730000</v>
      </c>
      <c r="E2392" t="s">
        <v>1614</v>
      </c>
      <c r="F2392" t="s">
        <v>735</v>
      </c>
      <c r="G2392" t="s">
        <v>1755</v>
      </c>
    </row>
    <row r="2393" spans="1:7" ht="15" customHeight="1" x14ac:dyDescent="0.25">
      <c r="A2393" s="2">
        <v>46003.409722222197</v>
      </c>
      <c r="B2393">
        <v>2025003297</v>
      </c>
      <c r="C2393" t="s">
        <v>1929</v>
      </c>
      <c r="D2393" s="11">
        <v>6300000</v>
      </c>
      <c r="E2393" t="s">
        <v>2308</v>
      </c>
      <c r="F2393" t="s">
        <v>895</v>
      </c>
      <c r="G2393" t="s">
        <v>1755</v>
      </c>
    </row>
    <row r="2394" spans="1:7" ht="15" customHeight="1" x14ac:dyDescent="0.25">
      <c r="A2394" s="2">
        <v>46003.431250000001</v>
      </c>
      <c r="B2394">
        <v>2025003298</v>
      </c>
      <c r="C2394" t="s">
        <v>2309</v>
      </c>
      <c r="D2394" s="11">
        <v>3150000</v>
      </c>
      <c r="E2394" t="s">
        <v>2310</v>
      </c>
      <c r="F2394" t="s">
        <v>2311</v>
      </c>
      <c r="G2394" t="s">
        <v>1755</v>
      </c>
    </row>
    <row r="2395" spans="1:7" ht="15" customHeight="1" x14ac:dyDescent="0.25">
      <c r="A2395" s="2">
        <v>46003.412499999999</v>
      </c>
      <c r="B2395">
        <v>2025003299</v>
      </c>
      <c r="C2395" t="s">
        <v>2312</v>
      </c>
      <c r="D2395" s="11">
        <v>7800000</v>
      </c>
      <c r="E2395" t="s">
        <v>2313</v>
      </c>
      <c r="F2395" t="s">
        <v>2314</v>
      </c>
      <c r="G2395" t="s">
        <v>1755</v>
      </c>
    </row>
    <row r="2396" spans="1:7" ht="15" customHeight="1" x14ac:dyDescent="0.25">
      <c r="A2396" s="2">
        <v>46003.432638888902</v>
      </c>
      <c r="B2396">
        <v>2025003300</v>
      </c>
      <c r="C2396" t="s">
        <v>2309</v>
      </c>
      <c r="D2396" s="11">
        <v>3150000</v>
      </c>
      <c r="E2396" t="s">
        <v>2310</v>
      </c>
      <c r="F2396" t="s">
        <v>2311</v>
      </c>
      <c r="G2396" t="s">
        <v>1755</v>
      </c>
    </row>
    <row r="2397" spans="1:7" ht="15" customHeight="1" x14ac:dyDescent="0.25">
      <c r="A2397" s="2">
        <v>46003.436111111099</v>
      </c>
      <c r="B2397">
        <v>2025003301</v>
      </c>
      <c r="C2397" t="s">
        <v>2091</v>
      </c>
      <c r="D2397" s="11">
        <v>3150000</v>
      </c>
      <c r="E2397" t="s">
        <v>2092</v>
      </c>
      <c r="F2397" t="s">
        <v>2093</v>
      </c>
      <c r="G2397" t="s">
        <v>1755</v>
      </c>
    </row>
    <row r="2398" spans="1:7" ht="15" customHeight="1" x14ac:dyDescent="0.25">
      <c r="A2398" s="2">
        <v>46003.438194444403</v>
      </c>
      <c r="B2398">
        <v>2025003302</v>
      </c>
      <c r="C2398" t="s">
        <v>1763</v>
      </c>
      <c r="D2398" s="11">
        <v>4730000</v>
      </c>
      <c r="E2398" t="s">
        <v>2064</v>
      </c>
      <c r="F2398" t="s">
        <v>267</v>
      </c>
      <c r="G2398" t="s">
        <v>1755</v>
      </c>
    </row>
    <row r="2399" spans="1:7" ht="15" customHeight="1" x14ac:dyDescent="0.25">
      <c r="A2399" s="2">
        <v>46003.438194444403</v>
      </c>
      <c r="B2399">
        <v>2025003303</v>
      </c>
      <c r="C2399" t="s">
        <v>1270</v>
      </c>
      <c r="D2399" s="11">
        <v>4825000</v>
      </c>
      <c r="E2399">
        <v>36751052</v>
      </c>
      <c r="F2399" t="s">
        <v>1271</v>
      </c>
      <c r="G2399" t="s">
        <v>1755</v>
      </c>
    </row>
    <row r="2400" spans="1:7" ht="15" customHeight="1" x14ac:dyDescent="0.25">
      <c r="A2400" s="2">
        <v>46003.596527777801</v>
      </c>
      <c r="B2400">
        <v>2025003304</v>
      </c>
      <c r="C2400" t="s">
        <v>1764</v>
      </c>
      <c r="D2400" s="11">
        <v>150342500</v>
      </c>
      <c r="E2400" t="s">
        <v>1598</v>
      </c>
      <c r="F2400" t="s">
        <v>269</v>
      </c>
      <c r="G2400" t="s">
        <v>1755</v>
      </c>
    </row>
    <row r="2401" spans="1:7" ht="15" customHeight="1" x14ac:dyDescent="0.25">
      <c r="A2401" s="2">
        <v>46003.597916666702</v>
      </c>
      <c r="B2401">
        <v>2025003305</v>
      </c>
      <c r="C2401" t="s">
        <v>2200</v>
      </c>
      <c r="D2401" s="11">
        <v>2000000</v>
      </c>
      <c r="E2401" t="s">
        <v>2201</v>
      </c>
      <c r="F2401" t="s">
        <v>2202</v>
      </c>
      <c r="G2401" t="s">
        <v>1755</v>
      </c>
    </row>
    <row r="2402" spans="1:7" ht="15" customHeight="1" x14ac:dyDescent="0.25">
      <c r="A2402" s="2">
        <v>46003.6</v>
      </c>
      <c r="B2402">
        <v>2025003306</v>
      </c>
      <c r="C2402" t="s">
        <v>2161</v>
      </c>
      <c r="D2402" s="11">
        <v>3150000</v>
      </c>
      <c r="E2402" t="s">
        <v>2162</v>
      </c>
      <c r="F2402" t="s">
        <v>2163</v>
      </c>
      <c r="G2402" t="s">
        <v>1755</v>
      </c>
    </row>
    <row r="2403" spans="1:7" ht="15" customHeight="1" x14ac:dyDescent="0.25">
      <c r="A2403" s="2">
        <v>46003.6027777778</v>
      </c>
      <c r="B2403">
        <v>2025003308</v>
      </c>
      <c r="C2403" t="s">
        <v>1795</v>
      </c>
      <c r="D2403" s="11">
        <v>6300000</v>
      </c>
      <c r="E2403" t="s">
        <v>1600</v>
      </c>
      <c r="F2403" t="s">
        <v>385</v>
      </c>
      <c r="G2403" t="s">
        <v>1755</v>
      </c>
    </row>
    <row r="2404" spans="1:7" ht="15" customHeight="1" x14ac:dyDescent="0.25">
      <c r="A2404" s="2">
        <v>46003.613194444399</v>
      </c>
      <c r="B2404">
        <v>2025003309</v>
      </c>
      <c r="C2404" t="s">
        <v>1754</v>
      </c>
      <c r="D2404" s="11">
        <v>3150000</v>
      </c>
      <c r="E2404" t="s">
        <v>2090</v>
      </c>
      <c r="F2404" t="s">
        <v>504</v>
      </c>
      <c r="G2404" t="s">
        <v>1755</v>
      </c>
    </row>
    <row r="2405" spans="1:7" ht="15" customHeight="1" x14ac:dyDescent="0.25">
      <c r="A2405" s="2">
        <v>46003.615277777797</v>
      </c>
      <c r="B2405">
        <v>2025003310</v>
      </c>
      <c r="C2405" t="s">
        <v>2315</v>
      </c>
      <c r="D2405" s="11">
        <v>2000000</v>
      </c>
      <c r="E2405" t="s">
        <v>2316</v>
      </c>
      <c r="F2405" t="s">
        <v>2317</v>
      </c>
      <c r="G2405" t="s">
        <v>1755</v>
      </c>
    </row>
    <row r="2406" spans="1:7" ht="15" customHeight="1" x14ac:dyDescent="0.25">
      <c r="A2406" s="2">
        <v>46003.618750000001</v>
      </c>
      <c r="B2406">
        <v>2025003311</v>
      </c>
      <c r="C2406" t="s">
        <v>2318</v>
      </c>
      <c r="D2406" s="11">
        <v>3150000</v>
      </c>
      <c r="E2406" t="s">
        <v>1624</v>
      </c>
      <c r="F2406" t="s">
        <v>11</v>
      </c>
      <c r="G2406" t="s">
        <v>1755</v>
      </c>
    </row>
    <row r="2407" spans="1:7" ht="15" customHeight="1" x14ac:dyDescent="0.25">
      <c r="A2407" s="2">
        <v>46003.622222222199</v>
      </c>
      <c r="B2407">
        <v>2025003312</v>
      </c>
      <c r="C2407" t="s">
        <v>1943</v>
      </c>
      <c r="D2407" s="11">
        <v>3150000</v>
      </c>
      <c r="E2407" t="s">
        <v>1601</v>
      </c>
      <c r="F2407" t="s">
        <v>171</v>
      </c>
      <c r="G2407" t="s">
        <v>1755</v>
      </c>
    </row>
    <row r="2408" spans="1:7" ht="15" customHeight="1" x14ac:dyDescent="0.25">
      <c r="A2408" s="2">
        <v>46003.625694444403</v>
      </c>
      <c r="B2408">
        <v>2025003314</v>
      </c>
      <c r="C2408" t="s">
        <v>1792</v>
      </c>
      <c r="D2408" s="11">
        <v>3150000</v>
      </c>
      <c r="E2408" t="s">
        <v>1690</v>
      </c>
      <c r="F2408" t="s">
        <v>201</v>
      </c>
      <c r="G2408" t="s">
        <v>1755</v>
      </c>
    </row>
    <row r="2409" spans="1:7" ht="15" customHeight="1" x14ac:dyDescent="0.25">
      <c r="A2409" s="2">
        <v>46003.629166666702</v>
      </c>
      <c r="B2409">
        <v>2025003316</v>
      </c>
      <c r="C2409" t="s">
        <v>2155</v>
      </c>
      <c r="D2409" s="11">
        <v>7800000</v>
      </c>
      <c r="E2409" t="s">
        <v>2156</v>
      </c>
      <c r="F2409" t="s">
        <v>2157</v>
      </c>
      <c r="G2409" t="s">
        <v>1755</v>
      </c>
    </row>
    <row r="2410" spans="1:7" ht="15" customHeight="1" x14ac:dyDescent="0.25">
      <c r="A2410" s="2">
        <v>46003.630555555603</v>
      </c>
      <c r="B2410">
        <v>2025003318</v>
      </c>
      <c r="C2410" t="s">
        <v>1868</v>
      </c>
      <c r="D2410" s="11">
        <v>3150000</v>
      </c>
      <c r="E2410" t="s">
        <v>1605</v>
      </c>
      <c r="F2410" t="s">
        <v>263</v>
      </c>
      <c r="G2410" t="s">
        <v>1755</v>
      </c>
    </row>
    <row r="2411" spans="1:7" ht="15" customHeight="1" x14ac:dyDescent="0.25">
      <c r="A2411" s="2">
        <v>46003.632638888899</v>
      </c>
      <c r="B2411">
        <v>2025003320</v>
      </c>
      <c r="C2411" t="s">
        <v>1857</v>
      </c>
      <c r="D2411" s="11">
        <v>3150000</v>
      </c>
      <c r="E2411" t="s">
        <v>1616</v>
      </c>
      <c r="F2411" t="s">
        <v>87</v>
      </c>
      <c r="G2411" t="s">
        <v>1755</v>
      </c>
    </row>
    <row r="2412" spans="1:7" ht="15" customHeight="1" x14ac:dyDescent="0.25">
      <c r="A2412" s="2">
        <v>46003.648611111101</v>
      </c>
      <c r="B2412">
        <v>2025003322</v>
      </c>
      <c r="C2412" t="s">
        <v>2319</v>
      </c>
      <c r="D2412" s="11">
        <v>1575000</v>
      </c>
      <c r="E2412" t="s">
        <v>1732</v>
      </c>
      <c r="F2412" t="s">
        <v>103</v>
      </c>
      <c r="G2412" t="s">
        <v>1755</v>
      </c>
    </row>
    <row r="2413" spans="1:7" ht="15" customHeight="1" x14ac:dyDescent="0.25">
      <c r="A2413" s="2">
        <v>46003.652083333298</v>
      </c>
      <c r="B2413">
        <v>2025003323</v>
      </c>
      <c r="C2413" t="s">
        <v>2078</v>
      </c>
      <c r="D2413" s="11">
        <v>2000000</v>
      </c>
      <c r="E2413" t="s">
        <v>1699</v>
      </c>
      <c r="F2413" t="s">
        <v>1020</v>
      </c>
      <c r="G2413" t="s">
        <v>1755</v>
      </c>
    </row>
    <row r="2414" spans="1:7" ht="15" customHeight="1" x14ac:dyDescent="0.25">
      <c r="A2414" s="2">
        <v>46003.654861111099</v>
      </c>
      <c r="B2414">
        <v>2025003324</v>
      </c>
      <c r="C2414" t="s">
        <v>2320</v>
      </c>
      <c r="D2414" s="11">
        <v>2000000</v>
      </c>
      <c r="E2414" t="s">
        <v>2321</v>
      </c>
      <c r="F2414" t="s">
        <v>2322</v>
      </c>
      <c r="G2414" t="s">
        <v>1755</v>
      </c>
    </row>
    <row r="2415" spans="1:7" ht="15" customHeight="1" x14ac:dyDescent="0.25">
      <c r="A2415" s="2">
        <v>46003.65625</v>
      </c>
      <c r="B2415">
        <v>2025003325</v>
      </c>
      <c r="C2415" t="s">
        <v>1856</v>
      </c>
      <c r="D2415" s="11">
        <v>3150000</v>
      </c>
      <c r="E2415" t="s">
        <v>1660</v>
      </c>
      <c r="F2415" t="s">
        <v>1163</v>
      </c>
      <c r="G2415" t="s">
        <v>1755</v>
      </c>
    </row>
    <row r="2416" spans="1:7" ht="15" customHeight="1" x14ac:dyDescent="0.25">
      <c r="A2416" s="2">
        <v>46003.659027777801</v>
      </c>
      <c r="B2416">
        <v>2025003326</v>
      </c>
      <c r="C2416" t="s">
        <v>2323</v>
      </c>
      <c r="D2416" s="11">
        <v>2000000</v>
      </c>
      <c r="E2416" t="s">
        <v>2324</v>
      </c>
      <c r="F2416" t="s">
        <v>2325</v>
      </c>
      <c r="G2416" t="s">
        <v>1755</v>
      </c>
    </row>
    <row r="2417" spans="1:7" ht="15" customHeight="1" x14ac:dyDescent="0.25">
      <c r="A2417" s="2">
        <v>46006</v>
      </c>
      <c r="B2417">
        <v>2025003339</v>
      </c>
      <c r="C2417" t="s">
        <v>2197</v>
      </c>
      <c r="D2417" s="11">
        <v>4730000</v>
      </c>
      <c r="E2417" t="s">
        <v>2198</v>
      </c>
      <c r="F2417" t="s">
        <v>2199</v>
      </c>
      <c r="G2417" t="s">
        <v>1755</v>
      </c>
    </row>
    <row r="2418" spans="1:7" ht="15" customHeight="1" x14ac:dyDescent="0.25">
      <c r="A2418" s="2">
        <v>46006</v>
      </c>
      <c r="B2418">
        <v>2025003340</v>
      </c>
      <c r="C2418" t="s">
        <v>1801</v>
      </c>
      <c r="D2418" s="11">
        <v>3150000</v>
      </c>
      <c r="E2418" t="s">
        <v>2083</v>
      </c>
      <c r="F2418" t="s">
        <v>1802</v>
      </c>
      <c r="G2418" t="s">
        <v>1755</v>
      </c>
    </row>
    <row r="2419" spans="1:7" ht="15" customHeight="1" x14ac:dyDescent="0.25">
      <c r="A2419" s="2">
        <v>46006</v>
      </c>
      <c r="B2419">
        <v>2025003341</v>
      </c>
      <c r="C2419" t="s">
        <v>2205</v>
      </c>
      <c r="D2419" s="11">
        <v>3150000</v>
      </c>
      <c r="E2419" t="s">
        <v>2206</v>
      </c>
      <c r="F2419" t="s">
        <v>2207</v>
      </c>
      <c r="G2419" t="s">
        <v>1755</v>
      </c>
    </row>
    <row r="2420" spans="1:7" ht="15" customHeight="1" x14ac:dyDescent="0.25">
      <c r="A2420" s="2">
        <v>46006</v>
      </c>
      <c r="B2420">
        <v>2025003342</v>
      </c>
      <c r="C2420" t="s">
        <v>2244</v>
      </c>
      <c r="D2420" s="11">
        <v>2000000</v>
      </c>
      <c r="E2420" t="s">
        <v>2245</v>
      </c>
      <c r="F2420" t="s">
        <v>2246</v>
      </c>
      <c r="G2420" t="s">
        <v>1755</v>
      </c>
    </row>
    <row r="2421" spans="1:7" ht="15" customHeight="1" x14ac:dyDescent="0.25">
      <c r="A2421" s="2">
        <v>46006</v>
      </c>
      <c r="B2421">
        <v>2025003343</v>
      </c>
      <c r="C2421" t="s">
        <v>2326</v>
      </c>
      <c r="D2421" s="11">
        <v>3150000</v>
      </c>
      <c r="E2421" t="s">
        <v>2327</v>
      </c>
      <c r="F2421" t="s">
        <v>35</v>
      </c>
      <c r="G2421" t="s">
        <v>1755</v>
      </c>
    </row>
    <row r="2422" spans="1:7" ht="15" customHeight="1" x14ac:dyDescent="0.25">
      <c r="A2422" s="2">
        <v>46006</v>
      </c>
      <c r="B2422">
        <v>2025003344</v>
      </c>
      <c r="C2422" t="s">
        <v>1794</v>
      </c>
      <c r="D2422" s="11">
        <v>3150000</v>
      </c>
      <c r="E2422" t="s">
        <v>1724</v>
      </c>
      <c r="F2422" t="s">
        <v>1235</v>
      </c>
      <c r="G2422" t="s">
        <v>1755</v>
      </c>
    </row>
    <row r="2423" spans="1:7" ht="15" customHeight="1" x14ac:dyDescent="0.25">
      <c r="A2423" s="2">
        <v>46006</v>
      </c>
      <c r="B2423">
        <v>2025003345</v>
      </c>
      <c r="C2423" t="s">
        <v>2238</v>
      </c>
      <c r="D2423" s="11">
        <v>6300000</v>
      </c>
      <c r="E2423" t="s">
        <v>2239</v>
      </c>
      <c r="F2423" t="s">
        <v>2240</v>
      </c>
      <c r="G2423" t="s">
        <v>1755</v>
      </c>
    </row>
    <row r="2424" spans="1:7" ht="15" customHeight="1" x14ac:dyDescent="0.25">
      <c r="A2424" s="2">
        <v>46006</v>
      </c>
      <c r="B2424">
        <v>2025003346</v>
      </c>
      <c r="C2424" t="s">
        <v>2328</v>
      </c>
      <c r="D2424" s="11">
        <v>6300000</v>
      </c>
      <c r="E2424" t="s">
        <v>2329</v>
      </c>
      <c r="F2424" t="s">
        <v>845</v>
      </c>
      <c r="G2424" t="s">
        <v>1755</v>
      </c>
    </row>
    <row r="2425" spans="1:7" ht="15" customHeight="1" x14ac:dyDescent="0.25">
      <c r="A2425" s="2">
        <v>46006</v>
      </c>
      <c r="B2425">
        <v>2025003347</v>
      </c>
      <c r="C2425" t="s">
        <v>2330</v>
      </c>
      <c r="D2425" s="11">
        <v>3150000</v>
      </c>
      <c r="E2425" t="s">
        <v>2331</v>
      </c>
      <c r="F2425" t="s">
        <v>2332</v>
      </c>
      <c r="G2425" t="s">
        <v>1755</v>
      </c>
    </row>
    <row r="2426" spans="1:7" ht="15" customHeight="1" x14ac:dyDescent="0.25">
      <c r="A2426" s="2">
        <v>46006</v>
      </c>
      <c r="B2426">
        <v>2025003348</v>
      </c>
      <c r="C2426" t="s">
        <v>2333</v>
      </c>
      <c r="D2426" s="11">
        <v>7800000</v>
      </c>
      <c r="E2426" t="s">
        <v>2334</v>
      </c>
      <c r="F2426" t="s">
        <v>2335</v>
      </c>
      <c r="G2426" t="s">
        <v>1755</v>
      </c>
    </row>
    <row r="2427" spans="1:7" ht="15" customHeight="1" x14ac:dyDescent="0.25">
      <c r="A2427" s="2">
        <v>46006</v>
      </c>
      <c r="B2427">
        <v>2025003349</v>
      </c>
      <c r="C2427" t="s">
        <v>1901</v>
      </c>
      <c r="D2427" s="11">
        <v>4730000</v>
      </c>
      <c r="E2427" t="s">
        <v>2005</v>
      </c>
      <c r="F2427" t="s">
        <v>1902</v>
      </c>
      <c r="G2427" t="s">
        <v>1755</v>
      </c>
    </row>
    <row r="2428" spans="1:7" ht="15" customHeight="1" x14ac:dyDescent="0.25">
      <c r="A2428" s="2">
        <v>46006</v>
      </c>
      <c r="B2428">
        <v>2025003350</v>
      </c>
      <c r="C2428" t="s">
        <v>2208</v>
      </c>
      <c r="D2428" s="11">
        <v>7800000</v>
      </c>
      <c r="E2428" t="s">
        <v>2209</v>
      </c>
      <c r="F2428" t="s">
        <v>43</v>
      </c>
      <c r="G2428" t="s">
        <v>1755</v>
      </c>
    </row>
    <row r="2429" spans="1:7" ht="15" customHeight="1" x14ac:dyDescent="0.25">
      <c r="A2429" s="2">
        <v>46006</v>
      </c>
      <c r="B2429">
        <v>2025003352</v>
      </c>
      <c r="C2429" t="s">
        <v>2195</v>
      </c>
      <c r="D2429" s="11">
        <v>3150000</v>
      </c>
      <c r="E2429" t="s">
        <v>2196</v>
      </c>
      <c r="F2429" t="s">
        <v>349</v>
      </c>
      <c r="G2429" t="s">
        <v>1755</v>
      </c>
    </row>
    <row r="2430" spans="1:7" ht="15" customHeight="1" x14ac:dyDescent="0.25">
      <c r="A2430" s="2">
        <v>46006</v>
      </c>
      <c r="B2430">
        <v>2025003353</v>
      </c>
      <c r="C2430" t="s">
        <v>2140</v>
      </c>
      <c r="D2430" s="11">
        <v>2000000</v>
      </c>
      <c r="E2430" t="s">
        <v>2141</v>
      </c>
      <c r="F2430" t="s">
        <v>2142</v>
      </c>
      <c r="G2430" t="s">
        <v>1755</v>
      </c>
    </row>
    <row r="2431" spans="1:7" ht="15" customHeight="1" x14ac:dyDescent="0.25">
      <c r="A2431" s="2">
        <v>46006</v>
      </c>
      <c r="B2431">
        <v>2025003355</v>
      </c>
      <c r="C2431" t="s">
        <v>2241</v>
      </c>
      <c r="D2431" s="11">
        <v>3150000</v>
      </c>
      <c r="E2431" t="s">
        <v>2242</v>
      </c>
      <c r="F2431" t="s">
        <v>2243</v>
      </c>
      <c r="G2431" t="s">
        <v>1755</v>
      </c>
    </row>
    <row r="2432" spans="1:7" ht="15" customHeight="1" x14ac:dyDescent="0.25">
      <c r="A2432" s="2">
        <v>46006</v>
      </c>
      <c r="B2432">
        <v>2025003356</v>
      </c>
      <c r="C2432" t="s">
        <v>2158</v>
      </c>
      <c r="D2432" s="11">
        <v>3150000</v>
      </c>
      <c r="E2432" t="s">
        <v>2159</v>
      </c>
      <c r="F2432" t="s">
        <v>2160</v>
      </c>
      <c r="G2432" t="s">
        <v>1755</v>
      </c>
    </row>
    <row r="2433" spans="1:7" ht="15" customHeight="1" x14ac:dyDescent="0.25">
      <c r="A2433" s="2">
        <v>46006</v>
      </c>
      <c r="B2433">
        <v>2025003357</v>
      </c>
      <c r="C2433" t="s">
        <v>2084</v>
      </c>
      <c r="D2433" s="11">
        <v>2000000</v>
      </c>
      <c r="E2433" t="s">
        <v>2085</v>
      </c>
      <c r="F2433" t="s">
        <v>2086</v>
      </c>
      <c r="G2433" t="s">
        <v>1755</v>
      </c>
    </row>
    <row r="2434" spans="1:7" ht="15" customHeight="1" x14ac:dyDescent="0.25">
      <c r="A2434" s="2">
        <v>46006</v>
      </c>
      <c r="B2434">
        <v>2025003358</v>
      </c>
      <c r="C2434" t="s">
        <v>2149</v>
      </c>
      <c r="D2434" s="11">
        <v>6300000</v>
      </c>
      <c r="E2434" t="s">
        <v>2150</v>
      </c>
      <c r="F2434" t="s">
        <v>2151</v>
      </c>
      <c r="G2434" t="s">
        <v>1755</v>
      </c>
    </row>
    <row r="2435" spans="1:7" ht="15" customHeight="1" x14ac:dyDescent="0.25">
      <c r="A2435" s="2">
        <v>46006</v>
      </c>
      <c r="B2435">
        <v>2025003359</v>
      </c>
      <c r="C2435" t="s">
        <v>1858</v>
      </c>
      <c r="D2435" s="11">
        <v>4730000</v>
      </c>
      <c r="E2435" t="s">
        <v>2077</v>
      </c>
      <c r="F2435" t="s">
        <v>1859</v>
      </c>
      <c r="G2435" t="s">
        <v>1755</v>
      </c>
    </row>
    <row r="2436" spans="1:7" ht="15" customHeight="1" x14ac:dyDescent="0.25">
      <c r="A2436" s="2">
        <v>46006</v>
      </c>
      <c r="B2436">
        <v>2025003361</v>
      </c>
      <c r="C2436" t="s">
        <v>1793</v>
      </c>
      <c r="D2436" s="11">
        <v>3150000</v>
      </c>
      <c r="E2436" t="s">
        <v>2079</v>
      </c>
      <c r="F2436" t="s">
        <v>963</v>
      </c>
      <c r="G2436" t="s">
        <v>1755</v>
      </c>
    </row>
    <row r="2437" spans="1:7" ht="15" customHeight="1" x14ac:dyDescent="0.25">
      <c r="A2437" s="2">
        <v>46007</v>
      </c>
      <c r="B2437">
        <v>2025003387</v>
      </c>
      <c r="C2437" t="s">
        <v>1906</v>
      </c>
      <c r="D2437" s="11">
        <v>3150000</v>
      </c>
      <c r="E2437" t="s">
        <v>2134</v>
      </c>
      <c r="F2437" t="s">
        <v>107</v>
      </c>
      <c r="G2437" t="s">
        <v>1755</v>
      </c>
    </row>
    <row r="2438" spans="1:7" ht="15" customHeight="1" x14ac:dyDescent="0.25">
      <c r="A2438" s="2">
        <v>46007</v>
      </c>
      <c r="B2438">
        <v>2025003388</v>
      </c>
      <c r="C2438" t="s">
        <v>1912</v>
      </c>
      <c r="D2438" s="11">
        <v>3150000</v>
      </c>
      <c r="E2438" t="s">
        <v>1691</v>
      </c>
      <c r="F2438" t="s">
        <v>1202</v>
      </c>
      <c r="G2438" t="s">
        <v>1755</v>
      </c>
    </row>
    <row r="2439" spans="1:7" ht="15" customHeight="1" x14ac:dyDescent="0.25">
      <c r="A2439" s="2">
        <v>46007</v>
      </c>
      <c r="B2439">
        <v>2025003389</v>
      </c>
      <c r="C2439" t="s">
        <v>1981</v>
      </c>
      <c r="D2439" s="11">
        <v>6300000</v>
      </c>
      <c r="E2439" t="s">
        <v>1629</v>
      </c>
      <c r="F2439" t="s">
        <v>1131</v>
      </c>
      <c r="G2439" t="s">
        <v>1755</v>
      </c>
    </row>
    <row r="2440" spans="1:7" ht="15" customHeight="1" x14ac:dyDescent="0.25">
      <c r="A2440" s="2">
        <v>46007</v>
      </c>
      <c r="B2440">
        <v>2025003390</v>
      </c>
      <c r="C2440" t="s">
        <v>1969</v>
      </c>
      <c r="D2440" s="11">
        <v>7800000</v>
      </c>
      <c r="E2440" t="s">
        <v>2222</v>
      </c>
      <c r="F2440" t="s">
        <v>1970</v>
      </c>
      <c r="G2440" t="s">
        <v>1755</v>
      </c>
    </row>
    <row r="2441" spans="1:7" ht="15" customHeight="1" x14ac:dyDescent="0.25">
      <c r="A2441" s="2">
        <v>46007</v>
      </c>
      <c r="B2441">
        <v>2025003391</v>
      </c>
      <c r="C2441" t="s">
        <v>1905</v>
      </c>
      <c r="D2441" s="11">
        <v>7800000</v>
      </c>
      <c r="E2441" t="s">
        <v>1619</v>
      </c>
      <c r="F2441" t="s">
        <v>745</v>
      </c>
      <c r="G2441" t="s">
        <v>1755</v>
      </c>
    </row>
    <row r="2442" spans="1:7" ht="15" customHeight="1" x14ac:dyDescent="0.25">
      <c r="A2442" s="2">
        <v>46007</v>
      </c>
      <c r="B2442">
        <v>2025003392</v>
      </c>
      <c r="C2442" t="s">
        <v>2178</v>
      </c>
      <c r="D2442" s="11">
        <v>4730000</v>
      </c>
      <c r="E2442" t="s">
        <v>2179</v>
      </c>
      <c r="F2442" t="s">
        <v>513</v>
      </c>
      <c r="G2442" t="s">
        <v>1755</v>
      </c>
    </row>
    <row r="2443" spans="1:7" ht="15" customHeight="1" x14ac:dyDescent="0.25">
      <c r="A2443" s="2">
        <v>46007</v>
      </c>
      <c r="B2443">
        <v>2025003393</v>
      </c>
      <c r="C2443" t="s">
        <v>2126</v>
      </c>
      <c r="D2443" s="11">
        <v>2000000</v>
      </c>
      <c r="E2443" t="s">
        <v>2127</v>
      </c>
      <c r="F2443" t="s">
        <v>2128</v>
      </c>
      <c r="G2443" t="s">
        <v>1755</v>
      </c>
    </row>
    <row r="2444" spans="1:7" ht="15" customHeight="1" x14ac:dyDescent="0.25">
      <c r="A2444" s="2">
        <v>46007</v>
      </c>
      <c r="B2444">
        <v>2025003394</v>
      </c>
      <c r="C2444" t="s">
        <v>2135</v>
      </c>
      <c r="D2444" s="11">
        <v>2000000</v>
      </c>
      <c r="E2444" t="s">
        <v>2136</v>
      </c>
      <c r="F2444" t="s">
        <v>2137</v>
      </c>
      <c r="G2444" t="s">
        <v>1755</v>
      </c>
    </row>
    <row r="2445" spans="1:7" ht="15" customHeight="1" x14ac:dyDescent="0.25">
      <c r="A2445" s="2">
        <v>46007</v>
      </c>
      <c r="B2445">
        <v>2025003395</v>
      </c>
      <c r="C2445" t="s">
        <v>1911</v>
      </c>
      <c r="D2445" s="11">
        <v>3150000</v>
      </c>
      <c r="E2445" t="s">
        <v>1648</v>
      </c>
      <c r="F2445" t="s">
        <v>251</v>
      </c>
      <c r="G2445" t="s">
        <v>1755</v>
      </c>
    </row>
    <row r="2446" spans="1:7" ht="15" customHeight="1" x14ac:dyDescent="0.25">
      <c r="A2446" s="2">
        <v>46007</v>
      </c>
      <c r="B2446">
        <v>2025003396</v>
      </c>
      <c r="C2446" t="s">
        <v>2001</v>
      </c>
      <c r="D2446" s="11">
        <v>4730000</v>
      </c>
      <c r="E2446" t="s">
        <v>2002</v>
      </c>
      <c r="F2446" t="s">
        <v>47</v>
      </c>
      <c r="G2446" t="s">
        <v>1755</v>
      </c>
    </row>
    <row r="2447" spans="1:7" ht="15" customHeight="1" x14ac:dyDescent="0.25">
      <c r="A2447" s="2">
        <v>46007</v>
      </c>
      <c r="B2447">
        <v>2025003397</v>
      </c>
      <c r="C2447" t="s">
        <v>2181</v>
      </c>
      <c r="D2447" s="11">
        <v>4730000</v>
      </c>
      <c r="E2447" t="s">
        <v>2182</v>
      </c>
      <c r="F2447" t="s">
        <v>2183</v>
      </c>
      <c r="G2447" t="s">
        <v>1755</v>
      </c>
    </row>
    <row r="2448" spans="1:7" ht="15" customHeight="1" x14ac:dyDescent="0.25">
      <c r="A2448" s="2">
        <v>46007</v>
      </c>
      <c r="B2448">
        <v>2025003398</v>
      </c>
      <c r="C2448" t="s">
        <v>2123</v>
      </c>
      <c r="D2448" s="11">
        <v>7800000</v>
      </c>
      <c r="E2448" t="s">
        <v>2124</v>
      </c>
      <c r="F2448" t="s">
        <v>2125</v>
      </c>
      <c r="G2448" t="s">
        <v>1755</v>
      </c>
    </row>
    <row r="2449" spans="1:7" ht="15" customHeight="1" x14ac:dyDescent="0.25">
      <c r="A2449" s="2">
        <v>46007</v>
      </c>
      <c r="B2449">
        <v>2025003399</v>
      </c>
      <c r="C2449" t="s">
        <v>2170</v>
      </c>
      <c r="D2449" s="11">
        <v>3150000</v>
      </c>
      <c r="E2449" t="s">
        <v>2171</v>
      </c>
      <c r="F2449" t="s">
        <v>2172</v>
      </c>
      <c r="G2449" t="s">
        <v>1755</v>
      </c>
    </row>
    <row r="2450" spans="1:7" ht="15" customHeight="1" x14ac:dyDescent="0.25">
      <c r="A2450" s="2">
        <v>46007</v>
      </c>
      <c r="B2450">
        <v>2025003400</v>
      </c>
      <c r="C2450" t="s">
        <v>2336</v>
      </c>
      <c r="D2450" s="11">
        <v>7800000</v>
      </c>
      <c r="E2450" t="s">
        <v>2337</v>
      </c>
      <c r="F2450" t="s">
        <v>2338</v>
      </c>
      <c r="G2450" t="s">
        <v>1755</v>
      </c>
    </row>
    <row r="2451" spans="1:7" ht="15" customHeight="1" x14ac:dyDescent="0.25">
      <c r="A2451" s="2">
        <v>46007</v>
      </c>
      <c r="B2451">
        <v>2025003401</v>
      </c>
      <c r="C2451" t="s">
        <v>2129</v>
      </c>
      <c r="D2451" s="11">
        <v>3150000</v>
      </c>
      <c r="E2451" t="s">
        <v>2130</v>
      </c>
      <c r="F2451" t="s">
        <v>1056</v>
      </c>
      <c r="G2451" t="s">
        <v>1755</v>
      </c>
    </row>
    <row r="2452" spans="1:7" ht="15" customHeight="1" x14ac:dyDescent="0.25">
      <c r="A2452" s="2">
        <v>46007</v>
      </c>
      <c r="B2452">
        <v>2025003402</v>
      </c>
      <c r="C2452" t="s">
        <v>2339</v>
      </c>
      <c r="D2452" s="11">
        <v>3150000</v>
      </c>
      <c r="E2452" t="s">
        <v>1726</v>
      </c>
      <c r="F2452" t="s">
        <v>1242</v>
      </c>
      <c r="G2452" t="s">
        <v>1755</v>
      </c>
    </row>
    <row r="2453" spans="1:7" ht="15" customHeight="1" x14ac:dyDescent="0.25">
      <c r="A2453" s="2">
        <v>46007</v>
      </c>
      <c r="B2453">
        <v>2025003403</v>
      </c>
      <c r="C2453" t="s">
        <v>1979</v>
      </c>
      <c r="D2453" s="11">
        <v>4730000</v>
      </c>
      <c r="E2453" t="s">
        <v>1644</v>
      </c>
      <c r="F2453" t="s">
        <v>571</v>
      </c>
      <c r="G2453" t="s">
        <v>1755</v>
      </c>
    </row>
    <row r="2454" spans="1:7" ht="15" customHeight="1" x14ac:dyDescent="0.25">
      <c r="A2454" s="2">
        <v>46007</v>
      </c>
      <c r="B2454">
        <v>2025003404</v>
      </c>
      <c r="C2454" t="s">
        <v>1789</v>
      </c>
      <c r="D2454" s="11">
        <v>6300000</v>
      </c>
      <c r="E2454" t="s">
        <v>1683</v>
      </c>
      <c r="F2454" t="s">
        <v>1192</v>
      </c>
      <c r="G2454" t="s">
        <v>1755</v>
      </c>
    </row>
    <row r="2455" spans="1:7" ht="15" customHeight="1" x14ac:dyDescent="0.25">
      <c r="A2455" s="2">
        <v>46007</v>
      </c>
      <c r="B2455">
        <v>2025003405</v>
      </c>
      <c r="C2455" t="s">
        <v>1790</v>
      </c>
      <c r="D2455" s="11">
        <v>6300000</v>
      </c>
      <c r="E2455" t="s">
        <v>2210</v>
      </c>
      <c r="F2455" t="s">
        <v>337</v>
      </c>
      <c r="G2455" t="s">
        <v>1755</v>
      </c>
    </row>
    <row r="2456" spans="1:7" ht="15" customHeight="1" x14ac:dyDescent="0.25">
      <c r="A2456" s="2">
        <v>46007</v>
      </c>
      <c r="B2456">
        <v>2025003406</v>
      </c>
      <c r="C2456" t="s">
        <v>2340</v>
      </c>
      <c r="D2456" s="11">
        <v>3150000</v>
      </c>
      <c r="E2456" t="s">
        <v>1736</v>
      </c>
      <c r="F2456" t="s">
        <v>467</v>
      </c>
      <c r="G2456" t="s">
        <v>1755</v>
      </c>
    </row>
    <row r="2457" spans="1:7" ht="15" customHeight="1" x14ac:dyDescent="0.25">
      <c r="A2457" s="2">
        <v>46007</v>
      </c>
      <c r="B2457">
        <v>2025003407</v>
      </c>
      <c r="C2457" t="s">
        <v>2235</v>
      </c>
      <c r="D2457" s="11">
        <v>2000000</v>
      </c>
      <c r="E2457" t="s">
        <v>2236</v>
      </c>
      <c r="F2457" t="s">
        <v>2237</v>
      </c>
      <c r="G2457" t="s">
        <v>1755</v>
      </c>
    </row>
    <row r="2458" spans="1:7" ht="15" customHeight="1" x14ac:dyDescent="0.25">
      <c r="A2458" s="2">
        <v>46007</v>
      </c>
      <c r="B2458">
        <v>2025003408</v>
      </c>
      <c r="C2458" s="4" t="s">
        <v>1787</v>
      </c>
      <c r="D2458" s="11">
        <v>3150000</v>
      </c>
      <c r="E2458" t="s">
        <v>1730</v>
      </c>
      <c r="F2458" t="s">
        <v>37</v>
      </c>
      <c r="G2458" t="s">
        <v>1755</v>
      </c>
    </row>
    <row r="2459" spans="1:7" ht="15" customHeight="1" x14ac:dyDescent="0.25">
      <c r="A2459" s="2">
        <v>46007</v>
      </c>
      <c r="B2459">
        <v>2025003409</v>
      </c>
      <c r="C2459" t="s">
        <v>2122</v>
      </c>
      <c r="D2459" s="11">
        <v>2000000</v>
      </c>
      <c r="E2459" t="s">
        <v>1642</v>
      </c>
      <c r="F2459" t="s">
        <v>51</v>
      </c>
      <c r="G2459" t="s">
        <v>1755</v>
      </c>
    </row>
    <row r="2460" spans="1:7" ht="15" customHeight="1" x14ac:dyDescent="0.25">
      <c r="A2460" s="2">
        <v>46007</v>
      </c>
      <c r="B2460">
        <v>2025003410</v>
      </c>
      <c r="C2460" t="s">
        <v>1971</v>
      </c>
      <c r="D2460" s="11">
        <v>3150000</v>
      </c>
      <c r="E2460" t="s">
        <v>2167</v>
      </c>
      <c r="F2460" t="s">
        <v>701</v>
      </c>
      <c r="G2460" t="s">
        <v>1755</v>
      </c>
    </row>
    <row r="2461" spans="1:7" ht="15" customHeight="1" x14ac:dyDescent="0.25">
      <c r="A2461" s="2">
        <v>46007</v>
      </c>
      <c r="B2461">
        <v>2025003411</v>
      </c>
      <c r="C2461" t="s">
        <v>2173</v>
      </c>
      <c r="D2461" s="11">
        <v>4730000</v>
      </c>
      <c r="E2461" t="s">
        <v>2174</v>
      </c>
      <c r="F2461" t="s">
        <v>2175</v>
      </c>
      <c r="G2461" t="s">
        <v>1755</v>
      </c>
    </row>
    <row r="2462" spans="1:7" ht="15" customHeight="1" x14ac:dyDescent="0.25">
      <c r="A2462" s="2">
        <v>46007</v>
      </c>
      <c r="B2462">
        <v>2025003412</v>
      </c>
      <c r="C2462" t="s">
        <v>2203</v>
      </c>
      <c r="D2462" s="11">
        <v>3150000</v>
      </c>
      <c r="E2462" t="s">
        <v>2204</v>
      </c>
      <c r="F2462" t="s">
        <v>215</v>
      </c>
      <c r="G2462" t="s">
        <v>1755</v>
      </c>
    </row>
    <row r="2463" spans="1:7" ht="15" customHeight="1" x14ac:dyDescent="0.25">
      <c r="A2463" s="2">
        <v>46007</v>
      </c>
      <c r="B2463">
        <v>2025003413</v>
      </c>
      <c r="C2463" t="s">
        <v>2341</v>
      </c>
      <c r="D2463" s="11">
        <v>3150000</v>
      </c>
      <c r="E2463" t="s">
        <v>2342</v>
      </c>
      <c r="F2463" t="s">
        <v>499</v>
      </c>
      <c r="G2463" t="s">
        <v>1755</v>
      </c>
    </row>
    <row r="2464" spans="1:7" ht="15" customHeight="1" x14ac:dyDescent="0.25">
      <c r="A2464" s="2">
        <v>46007</v>
      </c>
      <c r="B2464">
        <v>2025003414</v>
      </c>
      <c r="C2464" t="s">
        <v>1976</v>
      </c>
      <c r="D2464" s="11">
        <v>3150000</v>
      </c>
      <c r="E2464" t="s">
        <v>1604</v>
      </c>
      <c r="F2464" t="s">
        <v>1110</v>
      </c>
      <c r="G2464" t="s">
        <v>1755</v>
      </c>
    </row>
    <row r="2465" spans="1:7" ht="15" customHeight="1" x14ac:dyDescent="0.25">
      <c r="A2465" s="2">
        <v>46007</v>
      </c>
      <c r="B2465">
        <v>2025003415</v>
      </c>
      <c r="C2465" t="s">
        <v>2343</v>
      </c>
      <c r="D2465" s="11">
        <v>1575000</v>
      </c>
      <c r="E2465" t="s">
        <v>2344</v>
      </c>
      <c r="F2465" t="s">
        <v>197</v>
      </c>
      <c r="G2465" t="s">
        <v>1755</v>
      </c>
    </row>
    <row r="2466" spans="1:7" ht="15" customHeight="1" x14ac:dyDescent="0.25">
      <c r="A2466" s="2">
        <v>46007</v>
      </c>
      <c r="B2466">
        <v>2025003416</v>
      </c>
      <c r="C2466" t="s">
        <v>1908</v>
      </c>
      <c r="D2466" s="11">
        <v>7800000</v>
      </c>
      <c r="E2466" t="s">
        <v>1675</v>
      </c>
      <c r="F2466" t="s">
        <v>163</v>
      </c>
      <c r="G2466" t="s">
        <v>1755</v>
      </c>
    </row>
    <row r="2467" spans="1:7" ht="15" customHeight="1" x14ac:dyDescent="0.25">
      <c r="A2467" s="2">
        <v>46007</v>
      </c>
      <c r="B2467">
        <v>2025003417</v>
      </c>
      <c r="C2467" t="s">
        <v>2345</v>
      </c>
      <c r="D2467" s="11">
        <v>3150000</v>
      </c>
      <c r="E2467" t="s">
        <v>2346</v>
      </c>
      <c r="F2467" t="s">
        <v>2347</v>
      </c>
      <c r="G2467" t="s">
        <v>1755</v>
      </c>
    </row>
    <row r="2468" spans="1:7" ht="15" customHeight="1" x14ac:dyDescent="0.25">
      <c r="A2468" s="2">
        <v>46007</v>
      </c>
      <c r="B2468">
        <v>2025003418</v>
      </c>
      <c r="C2468" t="s">
        <v>2223</v>
      </c>
      <c r="D2468" s="11">
        <v>2000000</v>
      </c>
      <c r="E2468" t="s">
        <v>2224</v>
      </c>
      <c r="F2468" t="s">
        <v>2225</v>
      </c>
      <c r="G2468" t="s">
        <v>1755</v>
      </c>
    </row>
    <row r="2469" spans="1:7" ht="15" customHeight="1" x14ac:dyDescent="0.25">
      <c r="A2469" s="2">
        <v>46007</v>
      </c>
      <c r="B2469">
        <v>2025003419</v>
      </c>
      <c r="C2469" t="s">
        <v>2348</v>
      </c>
      <c r="D2469" s="11">
        <v>3150000</v>
      </c>
      <c r="E2469" t="s">
        <v>2349</v>
      </c>
      <c r="F2469" t="s">
        <v>2350</v>
      </c>
      <c r="G2469" t="s">
        <v>1755</v>
      </c>
    </row>
    <row r="2470" spans="1:7" ht="15" customHeight="1" x14ac:dyDescent="0.25">
      <c r="A2470" s="2">
        <v>46007</v>
      </c>
      <c r="B2470">
        <v>2025003420</v>
      </c>
      <c r="C2470" t="s">
        <v>1783</v>
      </c>
      <c r="D2470" s="11">
        <v>6300000</v>
      </c>
      <c r="E2470" t="s">
        <v>1685</v>
      </c>
      <c r="F2470" t="s">
        <v>2351</v>
      </c>
      <c r="G2470" t="s">
        <v>1755</v>
      </c>
    </row>
    <row r="2471" spans="1:7" ht="15" customHeight="1" x14ac:dyDescent="0.25">
      <c r="A2471" s="2">
        <v>46007</v>
      </c>
      <c r="B2471">
        <v>2025003421</v>
      </c>
      <c r="C2471" t="s">
        <v>1974</v>
      </c>
      <c r="D2471" s="11">
        <v>3150000</v>
      </c>
      <c r="E2471" t="s">
        <v>2133</v>
      </c>
      <c r="F2471" t="s">
        <v>1975</v>
      </c>
      <c r="G2471" t="s">
        <v>1755</v>
      </c>
    </row>
    <row r="2472" spans="1:7" ht="15" customHeight="1" x14ac:dyDescent="0.25">
      <c r="A2472" s="2">
        <v>46007</v>
      </c>
      <c r="B2472">
        <v>2025003422</v>
      </c>
      <c r="C2472" t="s">
        <v>1978</v>
      </c>
      <c r="D2472" s="11">
        <v>2240000</v>
      </c>
      <c r="E2472" t="s">
        <v>1665</v>
      </c>
      <c r="F2472" t="s">
        <v>453</v>
      </c>
      <c r="G2472" t="s">
        <v>1755</v>
      </c>
    </row>
    <row r="2473" spans="1:7" ht="15" customHeight="1" x14ac:dyDescent="0.25">
      <c r="A2473" s="2">
        <v>46007</v>
      </c>
      <c r="B2473">
        <v>2025003423</v>
      </c>
      <c r="C2473" t="s">
        <v>1780</v>
      </c>
      <c r="D2473" s="11">
        <v>3150000</v>
      </c>
      <c r="E2473" t="s">
        <v>1631</v>
      </c>
      <c r="F2473" t="s">
        <v>183</v>
      </c>
      <c r="G2473" t="s">
        <v>1755</v>
      </c>
    </row>
    <row r="2474" spans="1:7" ht="15" customHeight="1" x14ac:dyDescent="0.25">
      <c r="A2474" s="2">
        <v>46007</v>
      </c>
      <c r="B2474">
        <v>2025003425</v>
      </c>
      <c r="C2474" t="s">
        <v>2352</v>
      </c>
      <c r="D2474" s="11">
        <v>3150000</v>
      </c>
      <c r="E2474" t="s">
        <v>1744</v>
      </c>
      <c r="F2474" t="s">
        <v>297</v>
      </c>
      <c r="G2474" t="s">
        <v>1755</v>
      </c>
    </row>
    <row r="2475" spans="1:7" ht="15" customHeight="1" x14ac:dyDescent="0.25">
      <c r="A2475" s="2">
        <v>46007</v>
      </c>
      <c r="B2475">
        <v>2025003437</v>
      </c>
      <c r="C2475" t="s">
        <v>2353</v>
      </c>
      <c r="D2475" s="11">
        <v>3150000</v>
      </c>
      <c r="E2475" t="s">
        <v>1698</v>
      </c>
      <c r="F2475" t="s">
        <v>115</v>
      </c>
      <c r="G2475" t="s">
        <v>1755</v>
      </c>
    </row>
    <row r="2476" spans="1:7" ht="15" customHeight="1" x14ac:dyDescent="0.25">
      <c r="A2476" s="2">
        <v>46007</v>
      </c>
      <c r="B2476">
        <v>2025003442</v>
      </c>
      <c r="C2476" t="s">
        <v>1800</v>
      </c>
      <c r="D2476" s="11">
        <v>3150000</v>
      </c>
      <c r="E2476" t="s">
        <v>1667</v>
      </c>
      <c r="F2476" t="s">
        <v>555</v>
      </c>
      <c r="G2476" t="s">
        <v>1755</v>
      </c>
    </row>
    <row r="2477" spans="1:7" ht="15" customHeight="1" x14ac:dyDescent="0.25">
      <c r="A2477" s="2">
        <v>46008</v>
      </c>
      <c r="B2477">
        <v>2025003446</v>
      </c>
      <c r="C2477" t="s">
        <v>1977</v>
      </c>
      <c r="D2477" s="11">
        <v>3150000</v>
      </c>
      <c r="E2477" t="s">
        <v>1612</v>
      </c>
      <c r="F2477" t="s">
        <v>562</v>
      </c>
      <c r="G2477" t="s">
        <v>1755</v>
      </c>
    </row>
    <row r="2478" spans="1:7" ht="15" customHeight="1" x14ac:dyDescent="0.25">
      <c r="A2478" s="2">
        <v>46008</v>
      </c>
      <c r="B2478">
        <v>2025003447</v>
      </c>
      <c r="C2478" t="s">
        <v>2354</v>
      </c>
      <c r="D2478" s="11">
        <v>7800000</v>
      </c>
      <c r="E2478" t="s">
        <v>2355</v>
      </c>
      <c r="F2478" t="s">
        <v>2356</v>
      </c>
      <c r="G2478" t="s">
        <v>1755</v>
      </c>
    </row>
    <row r="2479" spans="1:7" ht="15" customHeight="1" x14ac:dyDescent="0.25">
      <c r="A2479" s="2">
        <v>46008</v>
      </c>
      <c r="B2479">
        <v>2025003449</v>
      </c>
      <c r="C2479" t="s">
        <v>2357</v>
      </c>
      <c r="D2479" s="11">
        <v>3150000</v>
      </c>
      <c r="E2479" t="s">
        <v>2358</v>
      </c>
      <c r="F2479" t="s">
        <v>2359</v>
      </c>
      <c r="G2479" t="s">
        <v>1755</v>
      </c>
    </row>
    <row r="2480" spans="1:7" ht="15" customHeight="1" x14ac:dyDescent="0.25">
      <c r="A2480" s="2">
        <v>46008</v>
      </c>
      <c r="B2480">
        <v>2025003450</v>
      </c>
      <c r="C2480" t="s">
        <v>1938</v>
      </c>
      <c r="D2480" s="11">
        <v>6300000</v>
      </c>
      <c r="E2480" t="s">
        <v>2060</v>
      </c>
      <c r="F2480" t="s">
        <v>1939</v>
      </c>
      <c r="G2480" t="s">
        <v>1755</v>
      </c>
    </row>
    <row r="2481" spans="1:7" ht="15" customHeight="1" x14ac:dyDescent="0.25">
      <c r="A2481" s="2">
        <v>46008</v>
      </c>
      <c r="B2481">
        <v>2025003451</v>
      </c>
      <c r="C2481" t="s">
        <v>1904</v>
      </c>
      <c r="D2481" s="11">
        <v>6300000</v>
      </c>
      <c r="E2481" t="s">
        <v>2138</v>
      </c>
      <c r="F2481" t="s">
        <v>1084</v>
      </c>
      <c r="G2481" t="s">
        <v>1755</v>
      </c>
    </row>
    <row r="2482" spans="1:7" ht="15" customHeight="1" x14ac:dyDescent="0.25">
      <c r="A2482" s="2">
        <v>46008</v>
      </c>
      <c r="B2482">
        <v>2025003452</v>
      </c>
      <c r="C2482" t="s">
        <v>2360</v>
      </c>
      <c r="D2482" s="11">
        <v>7800000</v>
      </c>
      <c r="E2482" t="s">
        <v>2361</v>
      </c>
      <c r="F2482" t="s">
        <v>2362</v>
      </c>
      <c r="G2482" t="s">
        <v>1755</v>
      </c>
    </row>
    <row r="2483" spans="1:7" ht="15" customHeight="1" x14ac:dyDescent="0.25">
      <c r="A2483" s="2">
        <v>46008</v>
      </c>
      <c r="B2483">
        <v>2025003453</v>
      </c>
      <c r="C2483" t="s">
        <v>2363</v>
      </c>
      <c r="D2483" s="11">
        <v>2000000</v>
      </c>
      <c r="E2483" t="s">
        <v>1734</v>
      </c>
      <c r="F2483" t="s">
        <v>283</v>
      </c>
      <c r="G2483" t="s">
        <v>1755</v>
      </c>
    </row>
    <row r="2484" spans="1:7" ht="15" customHeight="1" x14ac:dyDescent="0.25">
      <c r="A2484" s="2">
        <v>46008</v>
      </c>
      <c r="B2484">
        <v>2025003454</v>
      </c>
      <c r="C2484" t="s">
        <v>2229</v>
      </c>
      <c r="D2484" s="11">
        <v>2000000</v>
      </c>
      <c r="E2484" t="s">
        <v>2230</v>
      </c>
      <c r="F2484" t="s">
        <v>2231</v>
      </c>
      <c r="G2484" t="s">
        <v>1755</v>
      </c>
    </row>
    <row r="2485" spans="1:7" ht="15" customHeight="1" x14ac:dyDescent="0.25">
      <c r="A2485" s="2">
        <v>46008</v>
      </c>
      <c r="B2485">
        <v>2025003455</v>
      </c>
      <c r="C2485" t="s">
        <v>2364</v>
      </c>
      <c r="D2485" s="11">
        <v>1050000</v>
      </c>
      <c r="E2485" t="s">
        <v>2365</v>
      </c>
      <c r="F2485" t="s">
        <v>496</v>
      </c>
      <c r="G2485" t="s">
        <v>1755</v>
      </c>
    </row>
    <row r="2486" spans="1:7" ht="15" customHeight="1" x14ac:dyDescent="0.25">
      <c r="A2486" s="2">
        <v>46008</v>
      </c>
      <c r="B2486">
        <v>2025003456</v>
      </c>
      <c r="C2486" t="s">
        <v>1785</v>
      </c>
      <c r="D2486" s="11">
        <v>3150000</v>
      </c>
      <c r="E2486" t="s">
        <v>2131</v>
      </c>
      <c r="F2486" t="s">
        <v>595</v>
      </c>
      <c r="G2486" t="s">
        <v>1755</v>
      </c>
    </row>
    <row r="2487" spans="1:7" ht="15" customHeight="1" x14ac:dyDescent="0.25">
      <c r="A2487" s="2">
        <v>46008</v>
      </c>
      <c r="B2487">
        <v>2025003457</v>
      </c>
      <c r="C2487" t="s">
        <v>1781</v>
      </c>
      <c r="D2487" s="11">
        <v>3150000</v>
      </c>
      <c r="E2487" t="s">
        <v>2132</v>
      </c>
      <c r="F2487" t="s">
        <v>797</v>
      </c>
      <c r="G2487" t="s">
        <v>1755</v>
      </c>
    </row>
    <row r="2488" spans="1:7" ht="15" customHeight="1" x14ac:dyDescent="0.25">
      <c r="A2488" s="2">
        <v>46008</v>
      </c>
      <c r="B2488">
        <v>2025003458</v>
      </c>
      <c r="C2488" t="s">
        <v>2366</v>
      </c>
      <c r="D2488" s="11">
        <v>3150000</v>
      </c>
      <c r="E2488" t="s">
        <v>2367</v>
      </c>
      <c r="F2488" t="s">
        <v>2368</v>
      </c>
      <c r="G2488" t="s">
        <v>1755</v>
      </c>
    </row>
    <row r="2489" spans="1:7" ht="15" customHeight="1" x14ac:dyDescent="0.25">
      <c r="A2489" s="2">
        <v>46008</v>
      </c>
      <c r="B2489">
        <v>2025003459</v>
      </c>
      <c r="C2489" t="s">
        <v>2369</v>
      </c>
      <c r="D2489" s="11">
        <v>2000000</v>
      </c>
      <c r="E2489" t="s">
        <v>2370</v>
      </c>
      <c r="F2489" t="s">
        <v>976</v>
      </c>
      <c r="G2489" t="s">
        <v>1755</v>
      </c>
    </row>
    <row r="2490" spans="1:7" ht="15" customHeight="1" x14ac:dyDescent="0.25">
      <c r="A2490" s="2">
        <v>46008</v>
      </c>
      <c r="B2490">
        <v>2025003460</v>
      </c>
      <c r="C2490" t="s">
        <v>2371</v>
      </c>
      <c r="D2490" s="11">
        <v>3150000</v>
      </c>
      <c r="E2490" t="s">
        <v>2372</v>
      </c>
      <c r="F2490" t="s">
        <v>779</v>
      </c>
      <c r="G2490" t="s">
        <v>1755</v>
      </c>
    </row>
    <row r="2491" spans="1:7" ht="15" customHeight="1" x14ac:dyDescent="0.25">
      <c r="A2491" s="2">
        <v>46008</v>
      </c>
      <c r="B2491">
        <v>2025003461</v>
      </c>
      <c r="C2491" t="s">
        <v>2373</v>
      </c>
      <c r="D2491" s="11">
        <v>1050000</v>
      </c>
      <c r="E2491" t="s">
        <v>2374</v>
      </c>
      <c r="F2491" t="s">
        <v>2375</v>
      </c>
      <c r="G2491" t="s">
        <v>1755</v>
      </c>
    </row>
    <row r="2492" spans="1:7" ht="15" customHeight="1" x14ac:dyDescent="0.25">
      <c r="A2492" s="2">
        <v>46008</v>
      </c>
      <c r="B2492">
        <v>2025003462</v>
      </c>
      <c r="C2492" t="s">
        <v>2176</v>
      </c>
      <c r="D2492" s="11">
        <v>4730000</v>
      </c>
      <c r="E2492" t="s">
        <v>2177</v>
      </c>
      <c r="F2492" t="s">
        <v>155</v>
      </c>
      <c r="G2492" t="s">
        <v>1755</v>
      </c>
    </row>
    <row r="2493" spans="1:7" ht="15" customHeight="1" x14ac:dyDescent="0.25">
      <c r="A2493" s="2">
        <v>46008</v>
      </c>
      <c r="B2493">
        <v>2025003463</v>
      </c>
      <c r="C2493" t="s">
        <v>2376</v>
      </c>
      <c r="D2493" s="11">
        <v>3150000</v>
      </c>
      <c r="E2493" t="s">
        <v>2377</v>
      </c>
      <c r="F2493" t="s">
        <v>1269</v>
      </c>
      <c r="G2493" t="s">
        <v>1755</v>
      </c>
    </row>
    <row r="2494" spans="1:7" ht="15" customHeight="1" x14ac:dyDescent="0.25">
      <c r="A2494" s="2">
        <v>46008</v>
      </c>
      <c r="B2494">
        <v>2025003464</v>
      </c>
      <c r="C2494" t="s">
        <v>2232</v>
      </c>
      <c r="D2494" s="11">
        <v>2000000</v>
      </c>
      <c r="E2494" t="s">
        <v>2233</v>
      </c>
      <c r="F2494" t="s">
        <v>2234</v>
      </c>
      <c r="G2494" t="s">
        <v>1755</v>
      </c>
    </row>
    <row r="2495" spans="1:7" ht="15" customHeight="1" x14ac:dyDescent="0.25">
      <c r="A2495" s="2">
        <v>46008</v>
      </c>
      <c r="B2495">
        <v>2025003465</v>
      </c>
      <c r="C2495" t="s">
        <v>1910</v>
      </c>
      <c r="D2495" s="11">
        <v>4730000</v>
      </c>
      <c r="E2495" t="s">
        <v>1610</v>
      </c>
      <c r="F2495" t="s">
        <v>493</v>
      </c>
      <c r="G2495" t="s">
        <v>1755</v>
      </c>
    </row>
    <row r="2496" spans="1:7" ht="15" customHeight="1" x14ac:dyDescent="0.25">
      <c r="A2496" s="2">
        <v>46008</v>
      </c>
      <c r="B2496">
        <v>2025003466</v>
      </c>
      <c r="C2496" t="s">
        <v>1980</v>
      </c>
      <c r="D2496" s="11">
        <v>4730000</v>
      </c>
      <c r="E2496" t="s">
        <v>1589</v>
      </c>
      <c r="F2496" t="s">
        <v>249</v>
      </c>
      <c r="G2496" t="s">
        <v>1755</v>
      </c>
    </row>
    <row r="2497" spans="1:7" ht="15" customHeight="1" x14ac:dyDescent="0.25">
      <c r="A2497" s="2">
        <v>46008</v>
      </c>
      <c r="B2497">
        <v>2025003467</v>
      </c>
      <c r="C2497" t="s">
        <v>2165</v>
      </c>
      <c r="D2497" s="11">
        <v>3150000</v>
      </c>
      <c r="E2497" t="s">
        <v>2166</v>
      </c>
      <c r="F2497" t="s">
        <v>567</v>
      </c>
      <c r="G2497" t="s">
        <v>1755</v>
      </c>
    </row>
    <row r="2498" spans="1:7" ht="15" customHeight="1" x14ac:dyDescent="0.25">
      <c r="A2498" s="2">
        <v>46008</v>
      </c>
      <c r="B2498">
        <v>2025003468</v>
      </c>
      <c r="C2498" t="s">
        <v>1972</v>
      </c>
      <c r="D2498" s="11">
        <v>3150000</v>
      </c>
      <c r="E2498" t="s">
        <v>2164</v>
      </c>
      <c r="F2498" t="s">
        <v>1973</v>
      </c>
      <c r="G2498" t="s">
        <v>1755</v>
      </c>
    </row>
    <row r="2499" spans="1:7" ht="15" customHeight="1" x14ac:dyDescent="0.25">
      <c r="A2499" s="2">
        <v>46008</v>
      </c>
      <c r="B2499">
        <v>2025003469</v>
      </c>
      <c r="C2499" t="s">
        <v>1782</v>
      </c>
      <c r="D2499" s="11">
        <v>7800000</v>
      </c>
      <c r="E2499" t="s">
        <v>2180</v>
      </c>
      <c r="F2499" t="s">
        <v>591</v>
      </c>
      <c r="G2499" t="s">
        <v>1755</v>
      </c>
    </row>
    <row r="2500" spans="1:7" ht="15" customHeight="1" x14ac:dyDescent="0.25">
      <c r="A2500" s="2">
        <v>46008</v>
      </c>
      <c r="B2500">
        <v>2025003470</v>
      </c>
      <c r="C2500" t="s">
        <v>1913</v>
      </c>
      <c r="D2500" s="11">
        <v>7800000</v>
      </c>
      <c r="E2500" t="s">
        <v>1750</v>
      </c>
      <c r="F2500" t="s">
        <v>1266</v>
      </c>
      <c r="G2500" t="s">
        <v>1755</v>
      </c>
    </row>
    <row r="2501" spans="1:7" ht="15" customHeight="1" x14ac:dyDescent="0.25">
      <c r="A2501" s="2">
        <v>46008</v>
      </c>
      <c r="B2501">
        <v>2025003471</v>
      </c>
      <c r="C2501" t="s">
        <v>1784</v>
      </c>
      <c r="D2501" s="11">
        <v>3150000</v>
      </c>
      <c r="E2501" t="s">
        <v>1650</v>
      </c>
      <c r="F2501" t="s">
        <v>277</v>
      </c>
      <c r="G2501" t="s">
        <v>1755</v>
      </c>
    </row>
    <row r="2502" spans="1:7" ht="15" customHeight="1" x14ac:dyDescent="0.25">
      <c r="A2502" s="2">
        <v>46008</v>
      </c>
      <c r="B2502">
        <v>2025003472</v>
      </c>
      <c r="C2502" t="s">
        <v>2378</v>
      </c>
      <c r="D2502" s="11">
        <v>3150000</v>
      </c>
      <c r="E2502" t="s">
        <v>2379</v>
      </c>
      <c r="F2502" t="s">
        <v>2380</v>
      </c>
      <c r="G2502" t="s">
        <v>1755</v>
      </c>
    </row>
    <row r="2503" spans="1:7" ht="15" customHeight="1" x14ac:dyDescent="0.25">
      <c r="A2503" s="2">
        <v>46008</v>
      </c>
      <c r="B2503">
        <v>2025003473</v>
      </c>
      <c r="C2503" t="s">
        <v>2381</v>
      </c>
      <c r="D2503" s="11">
        <v>2000000</v>
      </c>
      <c r="E2503" t="s">
        <v>2382</v>
      </c>
      <c r="F2503" t="s">
        <v>2383</v>
      </c>
      <c r="G2503" t="s">
        <v>1755</v>
      </c>
    </row>
    <row r="2504" spans="1:7" ht="15" customHeight="1" x14ac:dyDescent="0.25">
      <c r="A2504" s="2">
        <v>46008</v>
      </c>
      <c r="B2504">
        <v>2025003474</v>
      </c>
      <c r="C2504" t="s">
        <v>1909</v>
      </c>
      <c r="D2504" s="11">
        <v>6300000</v>
      </c>
      <c r="E2504" t="s">
        <v>1669</v>
      </c>
      <c r="F2504" t="s">
        <v>457</v>
      </c>
      <c r="G2504" t="s">
        <v>1755</v>
      </c>
    </row>
    <row r="2505" spans="1:7" ht="15" customHeight="1" x14ac:dyDescent="0.25">
      <c r="A2505" s="2">
        <v>46008</v>
      </c>
      <c r="B2505">
        <v>2025003475</v>
      </c>
      <c r="C2505" t="s">
        <v>2384</v>
      </c>
      <c r="D2505" s="11">
        <v>2000000</v>
      </c>
      <c r="E2505" t="s">
        <v>2385</v>
      </c>
      <c r="F2505" t="s">
        <v>2386</v>
      </c>
      <c r="G2505" t="s">
        <v>1755</v>
      </c>
    </row>
    <row r="2506" spans="1:7" ht="15" customHeight="1" x14ac:dyDescent="0.25">
      <c r="A2506" s="2">
        <v>46008</v>
      </c>
      <c r="B2506">
        <v>2025003476</v>
      </c>
      <c r="C2506" t="s">
        <v>1786</v>
      </c>
      <c r="D2506" s="11">
        <v>3150000</v>
      </c>
      <c r="E2506" t="s">
        <v>1688</v>
      </c>
      <c r="F2506" t="s">
        <v>33</v>
      </c>
      <c r="G2506" t="s">
        <v>1755</v>
      </c>
    </row>
    <row r="2507" spans="1:7" ht="15" customHeight="1" x14ac:dyDescent="0.25">
      <c r="A2507" s="2">
        <v>46008</v>
      </c>
      <c r="B2507">
        <v>2025003477</v>
      </c>
      <c r="C2507" t="s">
        <v>2003</v>
      </c>
      <c r="D2507" s="11">
        <v>4730000</v>
      </c>
      <c r="E2507" t="s">
        <v>2004</v>
      </c>
      <c r="F2507" t="s">
        <v>127</v>
      </c>
      <c r="G2507" t="s">
        <v>1755</v>
      </c>
    </row>
    <row r="2508" spans="1:7" ht="15" customHeight="1" x14ac:dyDescent="0.25">
      <c r="A2508" s="2">
        <v>46008</v>
      </c>
      <c r="B2508">
        <v>2025003479</v>
      </c>
      <c r="C2508" t="s">
        <v>2387</v>
      </c>
      <c r="D2508" s="11">
        <v>1575000</v>
      </c>
      <c r="E2508" t="s">
        <v>2388</v>
      </c>
      <c r="F2508" t="s">
        <v>2389</v>
      </c>
      <c r="G2508" t="s">
        <v>1755</v>
      </c>
    </row>
    <row r="2509" spans="1:7" ht="15" customHeight="1" x14ac:dyDescent="0.25">
      <c r="A2509" s="2">
        <v>46008</v>
      </c>
      <c r="B2509">
        <v>2025003483</v>
      </c>
      <c r="C2509" s="4" t="s">
        <v>2390</v>
      </c>
      <c r="D2509" s="11">
        <v>265680000</v>
      </c>
      <c r="E2509" t="s">
        <v>2391</v>
      </c>
      <c r="F2509" t="s">
        <v>2392</v>
      </c>
      <c r="G2509" t="s">
        <v>1755</v>
      </c>
    </row>
    <row r="2510" spans="1:7" ht="15" customHeight="1" x14ac:dyDescent="0.25">
      <c r="A2510" s="2">
        <v>46008</v>
      </c>
      <c r="B2510">
        <v>2025003484</v>
      </c>
      <c r="C2510" t="s">
        <v>2393</v>
      </c>
      <c r="D2510" s="11">
        <v>144210000</v>
      </c>
      <c r="E2510" t="s">
        <v>2391</v>
      </c>
      <c r="F2510" t="s">
        <v>2392</v>
      </c>
      <c r="G2510" t="s">
        <v>1755</v>
      </c>
    </row>
    <row r="2511" spans="1:7" ht="15" customHeight="1" x14ac:dyDescent="0.25">
      <c r="A2511" s="2">
        <v>46008</v>
      </c>
      <c r="B2511">
        <v>2025003485</v>
      </c>
      <c r="C2511" t="s">
        <v>2296</v>
      </c>
      <c r="D2511" s="11">
        <v>6300000</v>
      </c>
      <c r="E2511" t="s">
        <v>2297</v>
      </c>
      <c r="F2511" t="s">
        <v>2298</v>
      </c>
      <c r="G2511" t="s">
        <v>1755</v>
      </c>
    </row>
    <row r="2512" spans="1:7" ht="15" customHeight="1" x14ac:dyDescent="0.25">
      <c r="A2512" s="2">
        <v>46008</v>
      </c>
      <c r="B2512">
        <v>2025003486</v>
      </c>
      <c r="C2512" t="s">
        <v>2299</v>
      </c>
      <c r="D2512" s="11">
        <v>3150000</v>
      </c>
      <c r="E2512" t="s">
        <v>2300</v>
      </c>
      <c r="F2512" t="s">
        <v>2301</v>
      </c>
      <c r="G2512" t="s">
        <v>1755</v>
      </c>
    </row>
    <row r="2513" spans="1:7" ht="15" customHeight="1" x14ac:dyDescent="0.25">
      <c r="A2513" s="2">
        <v>46008</v>
      </c>
      <c r="B2513">
        <v>2025003487</v>
      </c>
      <c r="C2513" t="s">
        <v>2261</v>
      </c>
      <c r="D2513" s="11">
        <v>2000000</v>
      </c>
      <c r="E2513" t="s">
        <v>2262</v>
      </c>
      <c r="F2513" t="s">
        <v>2263</v>
      </c>
      <c r="G2513" t="s">
        <v>1755</v>
      </c>
    </row>
    <row r="2514" spans="1:7" ht="15" customHeight="1" x14ac:dyDescent="0.25">
      <c r="A2514" s="2">
        <v>46008</v>
      </c>
      <c r="B2514">
        <v>2025003490</v>
      </c>
      <c r="C2514" t="s">
        <v>2279</v>
      </c>
      <c r="D2514" s="11">
        <v>2000000</v>
      </c>
      <c r="E2514" t="s">
        <v>1693</v>
      </c>
      <c r="F2514" t="s">
        <v>307</v>
      </c>
      <c r="G2514" t="s">
        <v>1755</v>
      </c>
    </row>
    <row r="2515" spans="1:7" ht="15" customHeight="1" x14ac:dyDescent="0.25">
      <c r="A2515" s="2">
        <v>46008</v>
      </c>
      <c r="B2515">
        <v>2025003491</v>
      </c>
      <c r="C2515" t="s">
        <v>2278</v>
      </c>
      <c r="D2515" s="11">
        <v>6300000</v>
      </c>
      <c r="E2515" t="s">
        <v>1721</v>
      </c>
      <c r="F2515" t="s">
        <v>31</v>
      </c>
      <c r="G2515" t="s">
        <v>1755</v>
      </c>
    </row>
    <row r="2516" spans="1:7" ht="15" customHeight="1" x14ac:dyDescent="0.25">
      <c r="A2516" s="2">
        <v>46008</v>
      </c>
      <c r="B2516">
        <v>2025003492</v>
      </c>
      <c r="C2516" t="s">
        <v>2275</v>
      </c>
      <c r="D2516" s="11">
        <v>4730000</v>
      </c>
      <c r="E2516" t="s">
        <v>2276</v>
      </c>
      <c r="F2516" t="s">
        <v>2277</v>
      </c>
      <c r="G2516" t="s">
        <v>1755</v>
      </c>
    </row>
    <row r="2517" spans="1:7" ht="15" customHeight="1" x14ac:dyDescent="0.25">
      <c r="A2517" s="2">
        <v>46008</v>
      </c>
      <c r="B2517">
        <v>2025003493</v>
      </c>
      <c r="C2517" t="s">
        <v>2394</v>
      </c>
      <c r="D2517" s="11">
        <v>3150000</v>
      </c>
      <c r="E2517" t="s">
        <v>2395</v>
      </c>
      <c r="F2517" t="s">
        <v>2396</v>
      </c>
      <c r="G2517" t="s">
        <v>1755</v>
      </c>
    </row>
    <row r="2518" spans="1:7" ht="15" customHeight="1" x14ac:dyDescent="0.25">
      <c r="A2518" s="2">
        <v>46008</v>
      </c>
      <c r="B2518">
        <v>2025003494</v>
      </c>
      <c r="C2518" t="s">
        <v>2397</v>
      </c>
      <c r="D2518" s="11">
        <v>3150000</v>
      </c>
      <c r="E2518" t="s">
        <v>1717</v>
      </c>
      <c r="F2518" t="s">
        <v>886</v>
      </c>
      <c r="G2518" t="s">
        <v>1755</v>
      </c>
    </row>
    <row r="2519" spans="1:7" ht="15" customHeight="1" x14ac:dyDescent="0.25">
      <c r="A2519" s="2">
        <v>46008</v>
      </c>
      <c r="B2519">
        <v>2025003495</v>
      </c>
      <c r="C2519" t="s">
        <v>2398</v>
      </c>
      <c r="D2519" s="11">
        <v>3150000</v>
      </c>
      <c r="E2519" t="s">
        <v>2399</v>
      </c>
      <c r="F2519" t="s">
        <v>2400</v>
      </c>
      <c r="G2519" t="s">
        <v>1755</v>
      </c>
    </row>
    <row r="2520" spans="1:7" ht="15" customHeight="1" x14ac:dyDescent="0.25">
      <c r="A2520" s="2">
        <v>46008</v>
      </c>
      <c r="B2520">
        <v>2025003496</v>
      </c>
      <c r="C2520" t="s">
        <v>2401</v>
      </c>
      <c r="D2520" s="11">
        <v>3150000</v>
      </c>
      <c r="E2520" t="s">
        <v>1728</v>
      </c>
      <c r="F2520" t="s">
        <v>2402</v>
      </c>
      <c r="G2520" t="s">
        <v>1755</v>
      </c>
    </row>
    <row r="2521" spans="1:7" ht="15" customHeight="1" x14ac:dyDescent="0.25">
      <c r="A2521" s="2">
        <v>46008</v>
      </c>
      <c r="B2521">
        <v>2025003497</v>
      </c>
      <c r="C2521" t="s">
        <v>2403</v>
      </c>
      <c r="D2521" s="11">
        <v>3150000</v>
      </c>
      <c r="E2521" t="s">
        <v>2404</v>
      </c>
      <c r="F2521" t="s">
        <v>2405</v>
      </c>
      <c r="G2521" t="s">
        <v>1755</v>
      </c>
    </row>
    <row r="2522" spans="1:7" ht="15" customHeight="1" x14ac:dyDescent="0.25">
      <c r="A2522" s="2">
        <v>46008</v>
      </c>
      <c r="B2522">
        <v>2025003498</v>
      </c>
      <c r="C2522" t="s">
        <v>2080</v>
      </c>
      <c r="D2522" s="11">
        <v>6300000</v>
      </c>
      <c r="E2522" t="s">
        <v>2081</v>
      </c>
      <c r="F2522" t="s">
        <v>2082</v>
      </c>
      <c r="G2522" t="s">
        <v>1755</v>
      </c>
    </row>
    <row r="2523" spans="1:7" ht="15" customHeight="1" x14ac:dyDescent="0.25">
      <c r="A2523" s="2">
        <v>46008</v>
      </c>
      <c r="B2523">
        <v>2025003500</v>
      </c>
      <c r="C2523" t="s">
        <v>1860</v>
      </c>
      <c r="D2523" s="11">
        <v>7800000</v>
      </c>
      <c r="E2523" t="s">
        <v>1602</v>
      </c>
      <c r="F2523" t="s">
        <v>69</v>
      </c>
      <c r="G2523" t="s">
        <v>1755</v>
      </c>
    </row>
    <row r="2524" spans="1:7" ht="15" customHeight="1" x14ac:dyDescent="0.25">
      <c r="A2524" s="2">
        <v>46008</v>
      </c>
      <c r="B2524">
        <v>2025003501</v>
      </c>
      <c r="C2524" t="s">
        <v>2139</v>
      </c>
      <c r="D2524" s="11">
        <v>6300000</v>
      </c>
      <c r="E2524" t="s">
        <v>1703</v>
      </c>
      <c r="F2524" t="s">
        <v>113</v>
      </c>
      <c r="G2524" t="s">
        <v>1755</v>
      </c>
    </row>
    <row r="2525" spans="1:7" ht="15" customHeight="1" x14ac:dyDescent="0.25">
      <c r="A2525" s="2">
        <v>46008</v>
      </c>
      <c r="B2525">
        <v>2025003502</v>
      </c>
      <c r="C2525" t="s">
        <v>2152</v>
      </c>
      <c r="D2525" s="11">
        <v>7800000</v>
      </c>
      <c r="E2525" t="s">
        <v>2153</v>
      </c>
      <c r="F2525" t="s">
        <v>2154</v>
      </c>
      <c r="G2525" t="s">
        <v>1755</v>
      </c>
    </row>
    <row r="2526" spans="1:7" ht="15" customHeight="1" x14ac:dyDescent="0.25">
      <c r="A2526" s="2">
        <v>46008</v>
      </c>
      <c r="B2526">
        <v>2025003503</v>
      </c>
      <c r="C2526" t="s">
        <v>2406</v>
      </c>
      <c r="D2526" s="11">
        <v>3150000</v>
      </c>
      <c r="E2526" t="s">
        <v>1608</v>
      </c>
      <c r="F2526" t="s">
        <v>1114</v>
      </c>
      <c r="G2526" t="s">
        <v>1755</v>
      </c>
    </row>
    <row r="2527" spans="1:7" ht="15" customHeight="1" x14ac:dyDescent="0.25">
      <c r="A2527" s="2">
        <v>46008</v>
      </c>
      <c r="B2527">
        <v>2025003504</v>
      </c>
      <c r="C2527" t="s">
        <v>2143</v>
      </c>
      <c r="D2527" s="11">
        <v>3150000</v>
      </c>
      <c r="E2527" t="s">
        <v>2144</v>
      </c>
      <c r="F2527" t="s">
        <v>2145</v>
      </c>
      <c r="G2527" t="s">
        <v>1755</v>
      </c>
    </row>
    <row r="2528" spans="1:7" ht="15" customHeight="1" x14ac:dyDescent="0.25">
      <c r="A2528" s="2">
        <v>46008</v>
      </c>
      <c r="B2528">
        <v>2025003505</v>
      </c>
      <c r="C2528" t="s">
        <v>2407</v>
      </c>
      <c r="D2528" s="11">
        <v>3150000</v>
      </c>
      <c r="E2528" t="s">
        <v>2408</v>
      </c>
      <c r="F2528" t="s">
        <v>2409</v>
      </c>
      <c r="G2528" t="s">
        <v>1755</v>
      </c>
    </row>
    <row r="2529" spans="1:7" ht="15" customHeight="1" x14ac:dyDescent="0.25">
      <c r="A2529" s="2">
        <v>46008</v>
      </c>
      <c r="B2529">
        <v>2025003507</v>
      </c>
      <c r="C2529" t="s">
        <v>1796</v>
      </c>
      <c r="D2529" s="11">
        <v>4200000</v>
      </c>
      <c r="E2529" t="s">
        <v>2410</v>
      </c>
      <c r="F2529" t="s">
        <v>1797</v>
      </c>
      <c r="G2529" t="s">
        <v>1755</v>
      </c>
    </row>
    <row r="2530" spans="1:7" ht="15" customHeight="1" x14ac:dyDescent="0.25">
      <c r="A2530" s="2">
        <v>46008</v>
      </c>
      <c r="B2530">
        <v>2025003508</v>
      </c>
      <c r="C2530" t="s">
        <v>2087</v>
      </c>
      <c r="D2530" s="11">
        <v>3150000</v>
      </c>
      <c r="E2530" t="s">
        <v>2088</v>
      </c>
      <c r="F2530" t="s">
        <v>2089</v>
      </c>
      <c r="G2530" t="s">
        <v>1755</v>
      </c>
    </row>
    <row r="2531" spans="1:7" ht="15" customHeight="1" x14ac:dyDescent="0.25">
      <c r="A2531" s="2">
        <v>46008</v>
      </c>
      <c r="B2531">
        <v>2025003509</v>
      </c>
      <c r="C2531" t="s">
        <v>2319</v>
      </c>
      <c r="D2531" s="11">
        <v>3150000</v>
      </c>
      <c r="E2531" t="s">
        <v>1732</v>
      </c>
      <c r="F2531" t="s">
        <v>103</v>
      </c>
      <c r="G2531" t="s">
        <v>1755</v>
      </c>
    </row>
    <row r="2532" spans="1:7" ht="15" customHeight="1" x14ac:dyDescent="0.25">
      <c r="A2532" s="2">
        <v>46008</v>
      </c>
      <c r="B2532">
        <v>2025003511</v>
      </c>
      <c r="C2532" t="s">
        <v>2411</v>
      </c>
      <c r="D2532" s="11">
        <v>15600000</v>
      </c>
      <c r="E2532" t="s">
        <v>2412</v>
      </c>
      <c r="F2532" t="s">
        <v>309</v>
      </c>
      <c r="G2532" t="s">
        <v>1755</v>
      </c>
    </row>
    <row r="2533" spans="1:7" ht="15" customHeight="1" x14ac:dyDescent="0.25">
      <c r="A2533" s="2">
        <v>46008</v>
      </c>
      <c r="B2533">
        <v>2025003514</v>
      </c>
      <c r="C2533" t="s">
        <v>1844</v>
      </c>
      <c r="D2533" s="11">
        <v>7800000</v>
      </c>
      <c r="E2533" t="s">
        <v>1682</v>
      </c>
      <c r="F2533" t="s">
        <v>159</v>
      </c>
      <c r="G2533" t="s">
        <v>1755</v>
      </c>
    </row>
    <row r="2534" spans="1:7" ht="15" customHeight="1" x14ac:dyDescent="0.25">
      <c r="A2534" s="2">
        <v>46008</v>
      </c>
      <c r="B2534">
        <v>2025003516</v>
      </c>
      <c r="C2534" t="s">
        <v>1877</v>
      </c>
      <c r="D2534" s="11">
        <v>3150000</v>
      </c>
      <c r="E2534" t="s">
        <v>1719</v>
      </c>
      <c r="F2534" t="s">
        <v>1230</v>
      </c>
      <c r="G2534" t="s">
        <v>1755</v>
      </c>
    </row>
    <row r="2535" spans="1:7" ht="15" customHeight="1" x14ac:dyDescent="0.25">
      <c r="A2535" s="2">
        <v>46008</v>
      </c>
      <c r="B2535">
        <v>2025003519</v>
      </c>
      <c r="C2535" t="s">
        <v>1889</v>
      </c>
      <c r="D2535" s="11">
        <v>3150000</v>
      </c>
      <c r="E2535" t="s">
        <v>1731</v>
      </c>
      <c r="F2535" t="s">
        <v>548</v>
      </c>
      <c r="G2535" t="s">
        <v>1755</v>
      </c>
    </row>
    <row r="2536" spans="1:7" ht="15" customHeight="1" x14ac:dyDescent="0.25">
      <c r="A2536" s="2">
        <v>46008</v>
      </c>
      <c r="B2536">
        <v>2025003521</v>
      </c>
      <c r="C2536" t="s">
        <v>1767</v>
      </c>
      <c r="D2536" s="11">
        <v>3150000</v>
      </c>
      <c r="E2536" t="s">
        <v>1647</v>
      </c>
      <c r="F2536" t="s">
        <v>119</v>
      </c>
      <c r="G2536" t="s">
        <v>1755</v>
      </c>
    </row>
    <row r="2537" spans="1:7" ht="15" customHeight="1" x14ac:dyDescent="0.25">
      <c r="A2537" s="2">
        <v>46008</v>
      </c>
      <c r="B2537">
        <v>2025003523</v>
      </c>
      <c r="C2537" t="s">
        <v>1879</v>
      </c>
      <c r="D2537" s="11">
        <v>3150000</v>
      </c>
      <c r="E2537" t="s">
        <v>2034</v>
      </c>
      <c r="F2537" t="s">
        <v>1880</v>
      </c>
      <c r="G2537" t="s">
        <v>1755</v>
      </c>
    </row>
    <row r="2538" spans="1:7" ht="15" customHeight="1" x14ac:dyDescent="0.25">
      <c r="A2538" s="2">
        <v>46008</v>
      </c>
      <c r="B2538">
        <v>2025003525</v>
      </c>
      <c r="C2538" t="s">
        <v>1828</v>
      </c>
      <c r="D2538" s="11">
        <v>3150000</v>
      </c>
      <c r="E2538" t="s">
        <v>2074</v>
      </c>
      <c r="F2538" t="s">
        <v>1829</v>
      </c>
      <c r="G2538" t="s">
        <v>1755</v>
      </c>
    </row>
    <row r="2539" spans="1:7" ht="15" customHeight="1" x14ac:dyDescent="0.25">
      <c r="A2539" s="2">
        <v>46008</v>
      </c>
      <c r="B2539">
        <v>2025003528</v>
      </c>
      <c r="C2539" t="s">
        <v>1835</v>
      </c>
      <c r="D2539" s="11">
        <v>3150000</v>
      </c>
      <c r="E2539" t="s">
        <v>1679</v>
      </c>
      <c r="F2539" t="s">
        <v>111</v>
      </c>
      <c r="G2539" t="s">
        <v>1755</v>
      </c>
    </row>
    <row r="2540" spans="1:7" ht="15" customHeight="1" x14ac:dyDescent="0.25">
      <c r="A2540" s="2">
        <v>46008</v>
      </c>
      <c r="B2540">
        <v>2025003529</v>
      </c>
      <c r="C2540" t="s">
        <v>1833</v>
      </c>
      <c r="D2540" s="11">
        <v>6300000</v>
      </c>
      <c r="E2540" t="s">
        <v>2226</v>
      </c>
      <c r="F2540" t="s">
        <v>1834</v>
      </c>
      <c r="G2540" t="s">
        <v>1755</v>
      </c>
    </row>
    <row r="2541" spans="1:7" ht="15" customHeight="1" x14ac:dyDescent="0.25">
      <c r="A2541" s="2">
        <v>46008</v>
      </c>
      <c r="B2541">
        <v>2025003530</v>
      </c>
      <c r="C2541" t="s">
        <v>2026</v>
      </c>
      <c r="D2541" s="11">
        <v>2000000</v>
      </c>
      <c r="E2541" t="s">
        <v>2027</v>
      </c>
      <c r="F2541" t="s">
        <v>2028</v>
      </c>
      <c r="G2541" t="s">
        <v>1755</v>
      </c>
    </row>
    <row r="2542" spans="1:7" ht="15" customHeight="1" x14ac:dyDescent="0.25">
      <c r="A2542" s="2">
        <v>46008</v>
      </c>
      <c r="B2542">
        <v>2025003531</v>
      </c>
      <c r="C2542" t="s">
        <v>2413</v>
      </c>
      <c r="D2542" s="11">
        <v>2000000</v>
      </c>
      <c r="E2542" t="s">
        <v>2414</v>
      </c>
      <c r="F2542" t="s">
        <v>2415</v>
      </c>
      <c r="G2542" t="s">
        <v>1755</v>
      </c>
    </row>
    <row r="2543" spans="1:7" ht="15" customHeight="1" x14ac:dyDescent="0.25">
      <c r="A2543" s="2">
        <v>46008</v>
      </c>
      <c r="B2543">
        <v>2025003532</v>
      </c>
      <c r="C2543" t="s">
        <v>1873</v>
      </c>
      <c r="D2543" s="11">
        <v>3150000</v>
      </c>
      <c r="E2543" t="s">
        <v>2012</v>
      </c>
      <c r="F2543" t="s">
        <v>1874</v>
      </c>
      <c r="G2543" t="s">
        <v>1755</v>
      </c>
    </row>
    <row r="2544" spans="1:7" ht="15" customHeight="1" x14ac:dyDescent="0.25">
      <c r="A2544" s="2">
        <v>46008</v>
      </c>
      <c r="B2544">
        <v>2025003533</v>
      </c>
      <c r="C2544" t="s">
        <v>1756</v>
      </c>
      <c r="D2544" s="11">
        <v>3150000</v>
      </c>
      <c r="E2544" t="s">
        <v>2052</v>
      </c>
      <c r="F2544" t="s">
        <v>1757</v>
      </c>
      <c r="G2544" t="s">
        <v>1755</v>
      </c>
    </row>
    <row r="2545" spans="1:7" ht="15" customHeight="1" x14ac:dyDescent="0.25">
      <c r="A2545" s="2">
        <v>46008</v>
      </c>
      <c r="B2545">
        <v>2025003534</v>
      </c>
      <c r="C2545" t="s">
        <v>1778</v>
      </c>
      <c r="D2545" s="11">
        <v>3150000</v>
      </c>
      <c r="E2545" t="s">
        <v>2006</v>
      </c>
      <c r="F2545" t="s">
        <v>1779</v>
      </c>
      <c r="G2545" t="s">
        <v>1755</v>
      </c>
    </row>
    <row r="2546" spans="1:7" ht="15" customHeight="1" x14ac:dyDescent="0.25">
      <c r="A2546" s="2">
        <v>46008</v>
      </c>
      <c r="B2546">
        <v>2025003535</v>
      </c>
      <c r="C2546" t="s">
        <v>1954</v>
      </c>
      <c r="D2546" s="11">
        <v>3150000</v>
      </c>
      <c r="E2546" t="s">
        <v>2007</v>
      </c>
      <c r="F2546" t="s">
        <v>1955</v>
      </c>
      <c r="G2546" t="s">
        <v>1755</v>
      </c>
    </row>
    <row r="2547" spans="1:7" ht="15" customHeight="1" x14ac:dyDescent="0.25">
      <c r="A2547" s="2">
        <v>46008</v>
      </c>
      <c r="B2547">
        <v>2025003536</v>
      </c>
      <c r="C2547" t="s">
        <v>2416</v>
      </c>
      <c r="D2547" s="11">
        <v>7800000</v>
      </c>
      <c r="E2547" t="s">
        <v>2417</v>
      </c>
      <c r="F2547" t="s">
        <v>2418</v>
      </c>
      <c r="G2547" t="s">
        <v>1755</v>
      </c>
    </row>
    <row r="2548" spans="1:7" ht="15" customHeight="1" x14ac:dyDescent="0.25">
      <c r="A2548" s="2">
        <v>46008</v>
      </c>
      <c r="B2548">
        <v>2025003537</v>
      </c>
      <c r="C2548" t="s">
        <v>1866</v>
      </c>
      <c r="D2548" s="11">
        <v>3150000</v>
      </c>
      <c r="E2548" t="s">
        <v>2044</v>
      </c>
      <c r="F2548" t="s">
        <v>1867</v>
      </c>
      <c r="G2548" t="s">
        <v>1755</v>
      </c>
    </row>
    <row r="2549" spans="1:7" ht="15" customHeight="1" x14ac:dyDescent="0.25">
      <c r="A2549" s="2">
        <v>46008</v>
      </c>
      <c r="B2549">
        <v>2025003539</v>
      </c>
      <c r="C2549" t="s">
        <v>1984</v>
      </c>
      <c r="D2549" s="11">
        <v>3150000</v>
      </c>
      <c r="E2549" t="s">
        <v>2011</v>
      </c>
      <c r="F2549" t="s">
        <v>884</v>
      </c>
      <c r="G2549" t="s">
        <v>1755</v>
      </c>
    </row>
    <row r="2550" spans="1:7" ht="15" customHeight="1" x14ac:dyDescent="0.25">
      <c r="A2550" s="2">
        <v>46008</v>
      </c>
      <c r="B2550">
        <v>2025003540</v>
      </c>
      <c r="C2550" t="s">
        <v>1864</v>
      </c>
      <c r="D2550" s="11">
        <v>3150000</v>
      </c>
      <c r="E2550" t="s">
        <v>2021</v>
      </c>
      <c r="F2550" t="s">
        <v>1865</v>
      </c>
      <c r="G2550" t="s">
        <v>1755</v>
      </c>
    </row>
    <row r="2551" spans="1:7" ht="15" customHeight="1" x14ac:dyDescent="0.25">
      <c r="A2551" s="2">
        <v>46009</v>
      </c>
      <c r="B2551">
        <v>2025003541</v>
      </c>
      <c r="C2551" t="s">
        <v>1775</v>
      </c>
      <c r="D2551" s="11">
        <v>3150000</v>
      </c>
      <c r="E2551" t="s">
        <v>1639</v>
      </c>
      <c r="F2551" t="s">
        <v>409</v>
      </c>
      <c r="G2551" t="s">
        <v>1755</v>
      </c>
    </row>
    <row r="2552" spans="1:7" ht="15" customHeight="1" x14ac:dyDescent="0.25">
      <c r="A2552" s="2">
        <v>46009</v>
      </c>
      <c r="B2552">
        <v>2025003542</v>
      </c>
      <c r="C2552" t="s">
        <v>1894</v>
      </c>
      <c r="D2552" s="11">
        <v>3150000</v>
      </c>
      <c r="E2552" t="s">
        <v>2116</v>
      </c>
      <c r="F2552" t="s">
        <v>1895</v>
      </c>
      <c r="G2552" t="s">
        <v>1755</v>
      </c>
    </row>
    <row r="2553" spans="1:7" ht="15" customHeight="1" x14ac:dyDescent="0.25">
      <c r="A2553" s="2">
        <v>46009</v>
      </c>
      <c r="B2553">
        <v>2025003543</v>
      </c>
      <c r="C2553" t="s">
        <v>2419</v>
      </c>
      <c r="D2553" s="11">
        <v>2000000</v>
      </c>
      <c r="E2553" t="s">
        <v>2420</v>
      </c>
      <c r="F2553" t="s">
        <v>219</v>
      </c>
      <c r="G2553" t="s">
        <v>1755</v>
      </c>
    </row>
    <row r="2554" spans="1:7" ht="15" customHeight="1" x14ac:dyDescent="0.25">
      <c r="A2554" s="2">
        <v>46009</v>
      </c>
      <c r="B2554">
        <v>2025003544</v>
      </c>
      <c r="C2554" t="s">
        <v>1842</v>
      </c>
      <c r="D2554" s="11">
        <v>3150000</v>
      </c>
      <c r="E2554" t="s">
        <v>2062</v>
      </c>
      <c r="F2554" t="s">
        <v>1843</v>
      </c>
      <c r="G2554" t="s">
        <v>1755</v>
      </c>
    </row>
    <row r="2555" spans="1:7" ht="15" customHeight="1" x14ac:dyDescent="0.25">
      <c r="A2555" s="2">
        <v>46009</v>
      </c>
      <c r="B2555">
        <v>2025003545</v>
      </c>
      <c r="C2555" t="s">
        <v>1950</v>
      </c>
      <c r="D2555" s="11">
        <v>3150000</v>
      </c>
      <c r="E2555" t="s">
        <v>2045</v>
      </c>
      <c r="F2555" t="s">
        <v>1951</v>
      </c>
      <c r="G2555" t="s">
        <v>1755</v>
      </c>
    </row>
    <row r="2556" spans="1:7" ht="15" customHeight="1" x14ac:dyDescent="0.25">
      <c r="A2556" s="2">
        <v>46009</v>
      </c>
      <c r="B2556">
        <v>2025003546</v>
      </c>
      <c r="C2556" t="s">
        <v>2216</v>
      </c>
      <c r="D2556" s="11">
        <v>3150000</v>
      </c>
      <c r="E2556" t="s">
        <v>2217</v>
      </c>
      <c r="F2556" t="s">
        <v>2218</v>
      </c>
      <c r="G2556" t="s">
        <v>1755</v>
      </c>
    </row>
    <row r="2557" spans="1:7" ht="15" customHeight="1" x14ac:dyDescent="0.25">
      <c r="A2557" s="2">
        <v>46009</v>
      </c>
      <c r="B2557">
        <v>2025003547</v>
      </c>
      <c r="C2557" t="s">
        <v>1881</v>
      </c>
      <c r="D2557" s="11">
        <v>3150000</v>
      </c>
      <c r="E2557" t="s">
        <v>2046</v>
      </c>
      <c r="F2557" t="s">
        <v>1882</v>
      </c>
      <c r="G2557" t="s">
        <v>1755</v>
      </c>
    </row>
    <row r="2558" spans="1:7" ht="15" customHeight="1" x14ac:dyDescent="0.25">
      <c r="A2558" s="2">
        <v>46009</v>
      </c>
      <c r="B2558">
        <v>2025003548</v>
      </c>
      <c r="C2558" t="s">
        <v>1948</v>
      </c>
      <c r="D2558" s="11">
        <v>4730000</v>
      </c>
      <c r="E2558" t="s">
        <v>2008</v>
      </c>
      <c r="F2558" t="s">
        <v>1949</v>
      </c>
      <c r="G2558" t="s">
        <v>1755</v>
      </c>
    </row>
    <row r="2559" spans="1:7" ht="15" customHeight="1" x14ac:dyDescent="0.25">
      <c r="A2559" s="2">
        <v>46009</v>
      </c>
      <c r="B2559">
        <v>2025003549</v>
      </c>
      <c r="C2559" t="s">
        <v>1995</v>
      </c>
      <c r="D2559" s="11">
        <v>4730000</v>
      </c>
      <c r="E2559" t="s">
        <v>2287</v>
      </c>
      <c r="F2559" t="s">
        <v>235</v>
      </c>
      <c r="G2559" t="s">
        <v>1755</v>
      </c>
    </row>
    <row r="2560" spans="1:7" ht="15" customHeight="1" x14ac:dyDescent="0.25">
      <c r="A2560" s="2">
        <v>46009</v>
      </c>
      <c r="B2560">
        <v>2025003551</v>
      </c>
      <c r="C2560" t="s">
        <v>1990</v>
      </c>
      <c r="D2560" s="11">
        <v>3150000</v>
      </c>
      <c r="E2560" t="s">
        <v>2121</v>
      </c>
      <c r="F2560" t="s">
        <v>1991</v>
      </c>
      <c r="G2560" t="s">
        <v>1755</v>
      </c>
    </row>
    <row r="2561" spans="1:7" ht="15" customHeight="1" x14ac:dyDescent="0.25">
      <c r="A2561" s="2">
        <v>46009</v>
      </c>
      <c r="B2561">
        <v>2025003552</v>
      </c>
      <c r="C2561" t="s">
        <v>2065</v>
      </c>
      <c r="D2561" s="11">
        <v>2000000</v>
      </c>
      <c r="E2561" t="s">
        <v>2066</v>
      </c>
      <c r="F2561" t="s">
        <v>2067</v>
      </c>
      <c r="G2561" t="s">
        <v>1755</v>
      </c>
    </row>
    <row r="2562" spans="1:7" ht="15" customHeight="1" x14ac:dyDescent="0.25">
      <c r="A2562" s="2">
        <v>46009</v>
      </c>
      <c r="B2562">
        <v>2025003553</v>
      </c>
      <c r="C2562" t="s">
        <v>2071</v>
      </c>
      <c r="D2562" s="11">
        <v>2000000</v>
      </c>
      <c r="E2562" t="s">
        <v>2072</v>
      </c>
      <c r="F2562" t="s">
        <v>2073</v>
      </c>
      <c r="G2562" t="s">
        <v>1755</v>
      </c>
    </row>
    <row r="2563" spans="1:7" ht="15" customHeight="1" x14ac:dyDescent="0.25">
      <c r="A2563" s="2">
        <v>46009</v>
      </c>
      <c r="B2563">
        <v>2025003556</v>
      </c>
      <c r="C2563" t="s">
        <v>2269</v>
      </c>
      <c r="D2563" s="11">
        <v>3150000</v>
      </c>
      <c r="E2563" t="s">
        <v>1646</v>
      </c>
      <c r="F2563" t="s">
        <v>523</v>
      </c>
      <c r="G2563" t="s">
        <v>1755</v>
      </c>
    </row>
    <row r="2564" spans="1:7" ht="15" customHeight="1" x14ac:dyDescent="0.25">
      <c r="A2564" s="2">
        <v>46009</v>
      </c>
      <c r="B2564">
        <v>2025003557</v>
      </c>
      <c r="C2564" t="s">
        <v>2284</v>
      </c>
      <c r="D2564" s="11">
        <v>3150000</v>
      </c>
      <c r="E2564" t="s">
        <v>2285</v>
      </c>
      <c r="F2564" t="s">
        <v>2286</v>
      </c>
      <c r="G2564" t="s">
        <v>1755</v>
      </c>
    </row>
    <row r="2565" spans="1:7" ht="15" customHeight="1" x14ac:dyDescent="0.25">
      <c r="A2565" s="2">
        <v>46009</v>
      </c>
      <c r="B2565">
        <v>2025003558</v>
      </c>
      <c r="C2565" t="s">
        <v>1915</v>
      </c>
      <c r="D2565" s="11">
        <v>3150000</v>
      </c>
      <c r="E2565" t="s">
        <v>1617</v>
      </c>
      <c r="F2565" t="s">
        <v>992</v>
      </c>
      <c r="G2565" t="s">
        <v>1755</v>
      </c>
    </row>
    <row r="2566" spans="1:7" ht="15" customHeight="1" x14ac:dyDescent="0.25">
      <c r="A2566" s="2">
        <v>46009</v>
      </c>
      <c r="B2566">
        <v>2025003559</v>
      </c>
      <c r="C2566" t="s">
        <v>1941</v>
      </c>
      <c r="D2566" s="11">
        <v>6300000</v>
      </c>
      <c r="E2566" t="s">
        <v>2190</v>
      </c>
      <c r="F2566" t="s">
        <v>1942</v>
      </c>
      <c r="G2566" t="s">
        <v>1755</v>
      </c>
    </row>
    <row r="2567" spans="1:7" ht="15" customHeight="1" x14ac:dyDescent="0.25">
      <c r="A2567" s="2">
        <v>46009</v>
      </c>
      <c r="B2567">
        <v>2025003561</v>
      </c>
      <c r="C2567" t="s">
        <v>2268</v>
      </c>
      <c r="D2567" s="11">
        <v>6300000</v>
      </c>
      <c r="E2567" t="s">
        <v>1713</v>
      </c>
      <c r="F2567" t="s">
        <v>1224</v>
      </c>
      <c r="G2567" t="s">
        <v>1755</v>
      </c>
    </row>
    <row r="2568" spans="1:7" ht="15" customHeight="1" x14ac:dyDescent="0.25">
      <c r="A2568" s="2">
        <v>46009</v>
      </c>
      <c r="B2568">
        <v>2025003562</v>
      </c>
      <c r="C2568" t="s">
        <v>1996</v>
      </c>
      <c r="D2568" s="11">
        <v>3150000</v>
      </c>
      <c r="E2568" t="s">
        <v>2192</v>
      </c>
      <c r="F2568" t="s">
        <v>1997</v>
      </c>
      <c r="G2568" t="s">
        <v>1755</v>
      </c>
    </row>
    <row r="2569" spans="1:7" ht="15" customHeight="1" x14ac:dyDescent="0.25">
      <c r="A2569" s="2">
        <v>46009</v>
      </c>
      <c r="B2569">
        <v>2025003563</v>
      </c>
      <c r="C2569" t="s">
        <v>2421</v>
      </c>
      <c r="D2569" s="11">
        <v>2000000</v>
      </c>
      <c r="E2569" t="s">
        <v>2422</v>
      </c>
      <c r="F2569" t="s">
        <v>313</v>
      </c>
      <c r="G2569" t="s">
        <v>1755</v>
      </c>
    </row>
    <row r="2570" spans="1:7" ht="15" customHeight="1" x14ac:dyDescent="0.25">
      <c r="A2570" s="2">
        <v>46009</v>
      </c>
      <c r="B2570">
        <v>2025003564</v>
      </c>
      <c r="C2570" t="s">
        <v>2096</v>
      </c>
      <c r="D2570" s="11">
        <v>3150000</v>
      </c>
      <c r="E2570" t="s">
        <v>2097</v>
      </c>
      <c r="F2570" t="s">
        <v>2098</v>
      </c>
      <c r="G2570" t="s">
        <v>1755</v>
      </c>
    </row>
    <row r="2571" spans="1:7" ht="15" customHeight="1" x14ac:dyDescent="0.25">
      <c r="A2571" s="2">
        <v>46009</v>
      </c>
      <c r="B2571">
        <v>2025003565</v>
      </c>
      <c r="C2571" t="s">
        <v>1803</v>
      </c>
      <c r="D2571" s="11">
        <v>3150000</v>
      </c>
      <c r="E2571" t="s">
        <v>1662</v>
      </c>
      <c r="F2571" t="s">
        <v>149</v>
      </c>
      <c r="G2571" t="s">
        <v>1755</v>
      </c>
    </row>
    <row r="2572" spans="1:7" ht="15" customHeight="1" x14ac:dyDescent="0.25">
      <c r="A2572" s="2">
        <v>46009</v>
      </c>
      <c r="B2572">
        <v>2025003566</v>
      </c>
      <c r="C2572" t="s">
        <v>1925</v>
      </c>
      <c r="D2572" s="11">
        <v>4730000</v>
      </c>
      <c r="E2572" t="s">
        <v>2288</v>
      </c>
      <c r="F2572" t="s">
        <v>1926</v>
      </c>
      <c r="G2572" t="s">
        <v>1755</v>
      </c>
    </row>
    <row r="2573" spans="1:7" ht="15" customHeight="1" x14ac:dyDescent="0.25">
      <c r="A2573" s="2">
        <v>46009</v>
      </c>
      <c r="B2573">
        <v>2025003567</v>
      </c>
      <c r="C2573" t="s">
        <v>1765</v>
      </c>
      <c r="D2573" s="11">
        <v>6300000</v>
      </c>
      <c r="E2573" t="s">
        <v>2009</v>
      </c>
      <c r="F2573" t="s">
        <v>1766</v>
      </c>
      <c r="G2573" t="s">
        <v>1755</v>
      </c>
    </row>
    <row r="2574" spans="1:7" ht="15" customHeight="1" x14ac:dyDescent="0.25">
      <c r="A2574" s="2">
        <v>46009</v>
      </c>
      <c r="B2574">
        <v>2025003568</v>
      </c>
      <c r="C2574" t="s">
        <v>1900</v>
      </c>
      <c r="D2574" s="11">
        <v>6300000</v>
      </c>
      <c r="E2574" t="s">
        <v>1705</v>
      </c>
      <c r="F2574" t="s">
        <v>450</v>
      </c>
      <c r="G2574" t="s">
        <v>1755</v>
      </c>
    </row>
    <row r="2575" spans="1:7" ht="15" customHeight="1" x14ac:dyDescent="0.25">
      <c r="A2575" s="2">
        <v>46009</v>
      </c>
      <c r="B2575">
        <v>2025003569</v>
      </c>
      <c r="C2575" t="s">
        <v>1956</v>
      </c>
      <c r="D2575" s="11">
        <v>3150000</v>
      </c>
      <c r="E2575" t="s">
        <v>2035</v>
      </c>
      <c r="F2575" t="s">
        <v>1957</v>
      </c>
      <c r="G2575" t="s">
        <v>1755</v>
      </c>
    </row>
    <row r="2576" spans="1:7" ht="15" customHeight="1" x14ac:dyDescent="0.25">
      <c r="A2576" s="2">
        <v>46009</v>
      </c>
      <c r="B2576">
        <v>2025003570</v>
      </c>
      <c r="C2576" t="s">
        <v>1890</v>
      </c>
      <c r="D2576" s="11">
        <v>4730000</v>
      </c>
      <c r="E2576" t="s">
        <v>2020</v>
      </c>
      <c r="F2576" t="s">
        <v>1891</v>
      </c>
      <c r="G2576" t="s">
        <v>1755</v>
      </c>
    </row>
    <row r="2577" spans="1:7" ht="15" customHeight="1" x14ac:dyDescent="0.25">
      <c r="A2577" s="2">
        <v>46009</v>
      </c>
      <c r="B2577">
        <v>2025003571</v>
      </c>
      <c r="C2577" t="s">
        <v>1845</v>
      </c>
      <c r="D2577" s="11">
        <v>6300000</v>
      </c>
      <c r="E2577" t="s">
        <v>2215</v>
      </c>
      <c r="F2577" t="s">
        <v>1846</v>
      </c>
      <c r="G2577" t="s">
        <v>1755</v>
      </c>
    </row>
    <row r="2578" spans="1:7" ht="15" customHeight="1" x14ac:dyDescent="0.25">
      <c r="A2578" s="2">
        <v>46009</v>
      </c>
      <c r="B2578">
        <v>2025003572</v>
      </c>
      <c r="C2578" t="s">
        <v>1892</v>
      </c>
      <c r="D2578" s="11">
        <v>3150000</v>
      </c>
      <c r="E2578" t="s">
        <v>2120</v>
      </c>
      <c r="F2578" t="s">
        <v>1893</v>
      </c>
      <c r="G2578" t="s">
        <v>1755</v>
      </c>
    </row>
    <row r="2579" spans="1:7" ht="15" customHeight="1" x14ac:dyDescent="0.25">
      <c r="A2579" s="2">
        <v>46009</v>
      </c>
      <c r="B2579">
        <v>2025003573</v>
      </c>
      <c r="C2579" t="s">
        <v>2068</v>
      </c>
      <c r="D2579" s="11">
        <v>2000000</v>
      </c>
      <c r="E2579" t="s">
        <v>2069</v>
      </c>
      <c r="F2579" t="s">
        <v>2070</v>
      </c>
      <c r="G2579" t="s">
        <v>1755</v>
      </c>
    </row>
    <row r="2580" spans="1:7" ht="15" customHeight="1" x14ac:dyDescent="0.25">
      <c r="A2580" s="2">
        <v>46009</v>
      </c>
      <c r="B2580">
        <v>2025003574</v>
      </c>
      <c r="C2580" t="s">
        <v>1952</v>
      </c>
      <c r="D2580" s="11">
        <v>3150000</v>
      </c>
      <c r="E2580" t="s">
        <v>2049</v>
      </c>
      <c r="F2580" t="s">
        <v>1953</v>
      </c>
      <c r="G2580" t="s">
        <v>1755</v>
      </c>
    </row>
    <row r="2581" spans="1:7" ht="15" customHeight="1" x14ac:dyDescent="0.25">
      <c r="A2581" s="2">
        <v>46009</v>
      </c>
      <c r="B2581">
        <v>2025003575</v>
      </c>
      <c r="C2581" t="s">
        <v>2213</v>
      </c>
      <c r="D2581" s="11">
        <v>3150000</v>
      </c>
      <c r="E2581" t="s">
        <v>1701</v>
      </c>
      <c r="F2581" t="s">
        <v>335</v>
      </c>
      <c r="G2581" t="s">
        <v>1755</v>
      </c>
    </row>
    <row r="2582" spans="1:7" ht="15" customHeight="1" x14ac:dyDescent="0.25">
      <c r="A2582" s="2">
        <v>46009</v>
      </c>
      <c r="B2582">
        <v>2025003576</v>
      </c>
      <c r="C2582" t="s">
        <v>1940</v>
      </c>
      <c r="D2582" s="11">
        <v>3150000</v>
      </c>
      <c r="E2582" t="s">
        <v>1634</v>
      </c>
      <c r="F2582" t="s">
        <v>209</v>
      </c>
      <c r="G2582" t="s">
        <v>1755</v>
      </c>
    </row>
    <row r="2583" spans="1:7" ht="15" customHeight="1" x14ac:dyDescent="0.25">
      <c r="A2583" s="2">
        <v>46009</v>
      </c>
      <c r="B2583">
        <v>2025003577</v>
      </c>
      <c r="C2583" t="s">
        <v>2423</v>
      </c>
      <c r="D2583" s="11">
        <v>263910000</v>
      </c>
      <c r="E2583" t="s">
        <v>2391</v>
      </c>
      <c r="F2583" t="s">
        <v>2392</v>
      </c>
      <c r="G2583" t="s">
        <v>1755</v>
      </c>
    </row>
    <row r="2584" spans="1:7" ht="15" customHeight="1" x14ac:dyDescent="0.25">
      <c r="A2584" s="2">
        <v>46009</v>
      </c>
      <c r="B2584">
        <v>2025003578</v>
      </c>
      <c r="C2584" t="s">
        <v>1932</v>
      </c>
      <c r="D2584" s="11">
        <v>7800000</v>
      </c>
      <c r="E2584" t="s">
        <v>2038</v>
      </c>
      <c r="F2584" t="s">
        <v>889</v>
      </c>
      <c r="G2584" t="s">
        <v>1755</v>
      </c>
    </row>
    <row r="2585" spans="1:7" ht="15" customHeight="1" x14ac:dyDescent="0.25">
      <c r="A2585" s="2">
        <v>46009</v>
      </c>
      <c r="B2585">
        <v>2025003580</v>
      </c>
      <c r="C2585" t="s">
        <v>1914</v>
      </c>
      <c r="D2585" s="11">
        <v>6300000</v>
      </c>
      <c r="E2585" t="s">
        <v>1673</v>
      </c>
      <c r="F2585" t="s">
        <v>1182</v>
      </c>
      <c r="G2585" t="s">
        <v>1755</v>
      </c>
    </row>
    <row r="2586" spans="1:7" ht="15" customHeight="1" x14ac:dyDescent="0.25">
      <c r="A2586" s="2">
        <v>46009</v>
      </c>
      <c r="B2586">
        <v>2025003581</v>
      </c>
      <c r="C2586" t="s">
        <v>1805</v>
      </c>
      <c r="D2586" s="11">
        <v>3150000</v>
      </c>
      <c r="E2586" t="s">
        <v>1658</v>
      </c>
      <c r="F2586" t="s">
        <v>1158</v>
      </c>
      <c r="G2586" t="s">
        <v>1755</v>
      </c>
    </row>
    <row r="2587" spans="1:7" ht="15" customHeight="1" x14ac:dyDescent="0.25">
      <c r="A2587" s="2">
        <v>46009</v>
      </c>
      <c r="B2587">
        <v>2025003582</v>
      </c>
      <c r="C2587" t="s">
        <v>1821</v>
      </c>
      <c r="D2587" s="11">
        <v>3150000</v>
      </c>
      <c r="E2587" t="s">
        <v>1637</v>
      </c>
      <c r="F2587" t="s">
        <v>989</v>
      </c>
      <c r="G2587" t="s">
        <v>1755</v>
      </c>
    </row>
    <row r="2588" spans="1:7" ht="15" customHeight="1" x14ac:dyDescent="0.25">
      <c r="A2588" s="2">
        <v>46009</v>
      </c>
      <c r="B2588">
        <v>2025003583</v>
      </c>
      <c r="C2588" t="s">
        <v>1820</v>
      </c>
      <c r="D2588" s="11">
        <v>3150000</v>
      </c>
      <c r="E2588" t="s">
        <v>2043</v>
      </c>
      <c r="F2588" t="s">
        <v>405</v>
      </c>
      <c r="G2588" t="s">
        <v>1755</v>
      </c>
    </row>
    <row r="2589" spans="1:7" ht="15" customHeight="1" x14ac:dyDescent="0.25">
      <c r="A2589" s="2">
        <v>46009</v>
      </c>
      <c r="B2589">
        <v>2025003585</v>
      </c>
      <c r="C2589" t="s">
        <v>1827</v>
      </c>
      <c r="D2589" s="11">
        <v>3150000</v>
      </c>
      <c r="E2589" t="s">
        <v>1626</v>
      </c>
      <c r="F2589" t="s">
        <v>243</v>
      </c>
      <c r="G2589" t="s">
        <v>1755</v>
      </c>
    </row>
    <row r="2590" spans="1:7" ht="15" customHeight="1" x14ac:dyDescent="0.25">
      <c r="A2590" s="2">
        <v>46009</v>
      </c>
      <c r="B2590">
        <v>2025003587</v>
      </c>
      <c r="C2590" t="s">
        <v>1824</v>
      </c>
      <c r="D2590" s="11">
        <v>4730000</v>
      </c>
      <c r="E2590" t="s">
        <v>2095</v>
      </c>
      <c r="F2590" t="s">
        <v>1825</v>
      </c>
      <c r="G2590" t="s">
        <v>1755</v>
      </c>
    </row>
    <row r="2591" spans="1:7" ht="15" customHeight="1" x14ac:dyDescent="0.25">
      <c r="A2591" s="2">
        <v>46009</v>
      </c>
      <c r="B2591">
        <v>2025003588</v>
      </c>
      <c r="C2591" t="s">
        <v>1929</v>
      </c>
      <c r="D2591" s="11">
        <v>6300000</v>
      </c>
      <c r="E2591" t="s">
        <v>2308</v>
      </c>
      <c r="F2591" t="s">
        <v>895</v>
      </c>
      <c r="G2591" t="s">
        <v>1755</v>
      </c>
    </row>
    <row r="2592" spans="1:7" ht="15" customHeight="1" x14ac:dyDescent="0.25">
      <c r="A2592" s="2">
        <v>46009</v>
      </c>
      <c r="B2592">
        <v>2025003589</v>
      </c>
      <c r="C2592" t="s">
        <v>1920</v>
      </c>
      <c r="D2592" s="11">
        <v>4730000</v>
      </c>
      <c r="E2592" t="s">
        <v>2102</v>
      </c>
      <c r="F2592" t="s">
        <v>1921</v>
      </c>
      <c r="G2592" t="s">
        <v>1755</v>
      </c>
    </row>
    <row r="2593" spans="1:7" ht="15" customHeight="1" x14ac:dyDescent="0.25">
      <c r="A2593" s="2">
        <v>46009</v>
      </c>
      <c r="B2593">
        <v>2025003590</v>
      </c>
      <c r="C2593" t="s">
        <v>1791</v>
      </c>
      <c r="D2593" s="11">
        <v>4730000</v>
      </c>
      <c r="E2593" t="s">
        <v>1614</v>
      </c>
      <c r="F2593" t="s">
        <v>735</v>
      </c>
      <c r="G2593" t="s">
        <v>1755</v>
      </c>
    </row>
    <row r="2594" spans="1:7" ht="15" customHeight="1" x14ac:dyDescent="0.25">
      <c r="A2594" s="2">
        <v>46009</v>
      </c>
      <c r="B2594">
        <v>2025003591</v>
      </c>
      <c r="C2594" t="s">
        <v>1868</v>
      </c>
      <c r="D2594" s="11">
        <v>3150000</v>
      </c>
      <c r="E2594" t="s">
        <v>1605</v>
      </c>
      <c r="F2594" t="s">
        <v>263</v>
      </c>
      <c r="G2594" t="s">
        <v>1755</v>
      </c>
    </row>
    <row r="2595" spans="1:7" ht="15" customHeight="1" x14ac:dyDescent="0.25">
      <c r="A2595" s="2">
        <v>46009</v>
      </c>
      <c r="B2595">
        <v>2025003592</v>
      </c>
      <c r="C2595" t="s">
        <v>1922</v>
      </c>
      <c r="D2595" s="11">
        <v>7800000</v>
      </c>
      <c r="E2595" t="s">
        <v>2041</v>
      </c>
      <c r="F2595" t="s">
        <v>1923</v>
      </c>
      <c r="G2595" t="s">
        <v>1755</v>
      </c>
    </row>
    <row r="2596" spans="1:7" ht="15" customHeight="1" x14ac:dyDescent="0.25">
      <c r="A2596" s="2">
        <v>46009</v>
      </c>
      <c r="B2596">
        <v>2025003593</v>
      </c>
      <c r="C2596" t="s">
        <v>2238</v>
      </c>
      <c r="D2596" s="11">
        <v>6300000</v>
      </c>
      <c r="E2596" t="s">
        <v>2239</v>
      </c>
      <c r="F2596" t="s">
        <v>2240</v>
      </c>
      <c r="G2596" t="s">
        <v>1755</v>
      </c>
    </row>
    <row r="2597" spans="1:7" ht="15" customHeight="1" x14ac:dyDescent="0.25">
      <c r="A2597" s="2">
        <v>46009</v>
      </c>
      <c r="B2597">
        <v>2025003594</v>
      </c>
      <c r="C2597" t="s">
        <v>1857</v>
      </c>
      <c r="D2597" s="11">
        <v>3150000</v>
      </c>
      <c r="E2597" t="s">
        <v>1616</v>
      </c>
      <c r="F2597" t="s">
        <v>87</v>
      </c>
      <c r="G2597" t="s">
        <v>1755</v>
      </c>
    </row>
    <row r="2598" spans="1:7" ht="15" customHeight="1" x14ac:dyDescent="0.25">
      <c r="A2598" s="2">
        <v>46009</v>
      </c>
      <c r="B2598">
        <v>2025003595</v>
      </c>
      <c r="C2598" t="s">
        <v>1916</v>
      </c>
      <c r="D2598" s="11">
        <v>6300000</v>
      </c>
      <c r="E2598" t="s">
        <v>1651</v>
      </c>
      <c r="F2598" t="s">
        <v>117</v>
      </c>
      <c r="G2598" t="s">
        <v>1755</v>
      </c>
    </row>
    <row r="2599" spans="1:7" ht="15" customHeight="1" x14ac:dyDescent="0.25">
      <c r="A2599" s="2">
        <v>46009</v>
      </c>
      <c r="B2599">
        <v>2025003596</v>
      </c>
      <c r="C2599" t="s">
        <v>1858</v>
      </c>
      <c r="D2599" s="11">
        <v>4730000</v>
      </c>
      <c r="E2599" t="s">
        <v>2077</v>
      </c>
      <c r="F2599" t="s">
        <v>1859</v>
      </c>
      <c r="G2599" t="s">
        <v>1755</v>
      </c>
    </row>
    <row r="2600" spans="1:7" ht="15" customHeight="1" x14ac:dyDescent="0.25">
      <c r="A2600" s="2">
        <v>46009</v>
      </c>
      <c r="B2600">
        <v>2025003597</v>
      </c>
      <c r="C2600" t="s">
        <v>1993</v>
      </c>
      <c r="D2600" s="11">
        <v>3150000</v>
      </c>
      <c r="E2600" t="s">
        <v>2193</v>
      </c>
      <c r="F2600" t="s">
        <v>1994</v>
      </c>
      <c r="G2600" t="s">
        <v>1755</v>
      </c>
    </row>
    <row r="2601" spans="1:7" ht="15" customHeight="1" x14ac:dyDescent="0.25">
      <c r="A2601" s="2">
        <v>46009</v>
      </c>
      <c r="B2601">
        <v>2025003598</v>
      </c>
      <c r="C2601" t="s">
        <v>1816</v>
      </c>
      <c r="D2601" s="11">
        <v>3150000</v>
      </c>
      <c r="E2601" t="s">
        <v>2101</v>
      </c>
      <c r="F2601" t="s">
        <v>1817</v>
      </c>
      <c r="G2601" t="s">
        <v>1755</v>
      </c>
    </row>
    <row r="2602" spans="1:7" ht="15" customHeight="1" x14ac:dyDescent="0.25">
      <c r="A2602" s="2">
        <v>46009</v>
      </c>
      <c r="B2602">
        <v>2025003599</v>
      </c>
      <c r="C2602" t="s">
        <v>1818</v>
      </c>
      <c r="D2602" s="11">
        <v>3150000</v>
      </c>
      <c r="E2602" t="s">
        <v>2094</v>
      </c>
      <c r="F2602" t="s">
        <v>1819</v>
      </c>
      <c r="G2602" t="s">
        <v>1755</v>
      </c>
    </row>
    <row r="2603" spans="1:7" ht="15" customHeight="1" x14ac:dyDescent="0.25">
      <c r="A2603" s="2">
        <v>46009</v>
      </c>
      <c r="B2603">
        <v>2025003600</v>
      </c>
      <c r="C2603" t="s">
        <v>2353</v>
      </c>
      <c r="D2603" s="11">
        <v>3150000</v>
      </c>
      <c r="E2603" t="s">
        <v>1698</v>
      </c>
      <c r="F2603" t="s">
        <v>115</v>
      </c>
      <c r="G2603" t="s">
        <v>1755</v>
      </c>
    </row>
    <row r="2604" spans="1:7" ht="15" customHeight="1" x14ac:dyDescent="0.25">
      <c r="A2604" s="2">
        <v>46009</v>
      </c>
      <c r="B2604">
        <v>2025003601</v>
      </c>
      <c r="C2604" s="4" t="s">
        <v>1808</v>
      </c>
      <c r="D2604" s="11">
        <v>7800000</v>
      </c>
      <c r="E2604" t="s">
        <v>2058</v>
      </c>
      <c r="F2604" t="s">
        <v>1809</v>
      </c>
      <c r="G2604" t="s">
        <v>1755</v>
      </c>
    </row>
    <row r="2605" spans="1:7" ht="15" customHeight="1" x14ac:dyDescent="0.25">
      <c r="A2605" s="2">
        <v>46009</v>
      </c>
      <c r="B2605">
        <v>2025003602</v>
      </c>
      <c r="C2605" t="s">
        <v>2195</v>
      </c>
      <c r="D2605" s="11">
        <v>3150000</v>
      </c>
      <c r="E2605" t="s">
        <v>2196</v>
      </c>
      <c r="F2605" t="s">
        <v>349</v>
      </c>
      <c r="G2605" t="s">
        <v>1755</v>
      </c>
    </row>
    <row r="2606" spans="1:7" ht="15" customHeight="1" x14ac:dyDescent="0.25">
      <c r="A2606" s="2">
        <v>46009</v>
      </c>
      <c r="B2606">
        <v>2025003603</v>
      </c>
      <c r="C2606" t="s">
        <v>1810</v>
      </c>
      <c r="D2606" s="11">
        <v>7800000</v>
      </c>
      <c r="E2606" t="s">
        <v>2056</v>
      </c>
      <c r="F2606" t="s">
        <v>1811</v>
      </c>
      <c r="G2606" t="s">
        <v>1755</v>
      </c>
    </row>
    <row r="2607" spans="1:7" ht="15" customHeight="1" x14ac:dyDescent="0.25">
      <c r="A2607" s="2">
        <v>46009</v>
      </c>
      <c r="B2607">
        <v>2025003604</v>
      </c>
      <c r="C2607" t="s">
        <v>2200</v>
      </c>
      <c r="D2607" s="11">
        <v>2000000</v>
      </c>
      <c r="E2607" t="s">
        <v>2201</v>
      </c>
      <c r="F2607" t="s">
        <v>2202</v>
      </c>
      <c r="G2607" t="s">
        <v>1755</v>
      </c>
    </row>
    <row r="2608" spans="1:7" ht="15" customHeight="1" x14ac:dyDescent="0.25">
      <c r="A2608" s="2">
        <v>46009</v>
      </c>
      <c r="B2608">
        <v>2025003605</v>
      </c>
      <c r="C2608" t="s">
        <v>2244</v>
      </c>
      <c r="D2608" s="11">
        <v>2000000</v>
      </c>
      <c r="E2608" t="s">
        <v>2245</v>
      </c>
      <c r="F2608" t="s">
        <v>2246</v>
      </c>
      <c r="G2608" t="s">
        <v>1755</v>
      </c>
    </row>
    <row r="2609" spans="1:7" ht="15" customHeight="1" x14ac:dyDescent="0.25">
      <c r="A2609" s="2">
        <v>46009</v>
      </c>
      <c r="B2609">
        <v>2025003606</v>
      </c>
      <c r="C2609" t="s">
        <v>1794</v>
      </c>
      <c r="D2609" s="11">
        <v>3150000</v>
      </c>
      <c r="E2609" t="s">
        <v>1724</v>
      </c>
      <c r="F2609" t="s">
        <v>1235</v>
      </c>
      <c r="G2609" t="s">
        <v>1755</v>
      </c>
    </row>
    <row r="2610" spans="1:7" ht="15" customHeight="1" x14ac:dyDescent="0.25">
      <c r="A2610" s="2">
        <v>46009</v>
      </c>
      <c r="B2610">
        <v>2025003607</v>
      </c>
      <c r="C2610" t="s">
        <v>1756</v>
      </c>
      <c r="D2610" s="11">
        <v>3150000</v>
      </c>
      <c r="E2610" t="s">
        <v>2052</v>
      </c>
      <c r="F2610" t="s">
        <v>1757</v>
      </c>
      <c r="G2610" t="s">
        <v>1755</v>
      </c>
    </row>
    <row r="2611" spans="1:7" ht="15" customHeight="1" x14ac:dyDescent="0.25">
      <c r="A2611" s="2">
        <v>46009</v>
      </c>
      <c r="B2611">
        <v>2025003608</v>
      </c>
      <c r="C2611" t="s">
        <v>1762</v>
      </c>
      <c r="D2611" s="11">
        <v>6300000</v>
      </c>
      <c r="E2611" t="s">
        <v>1635</v>
      </c>
      <c r="F2611" t="s">
        <v>145</v>
      </c>
      <c r="G2611" t="s">
        <v>1755</v>
      </c>
    </row>
    <row r="2612" spans="1:7" ht="15" customHeight="1" x14ac:dyDescent="0.25">
      <c r="A2612" s="2">
        <v>46009</v>
      </c>
      <c r="B2612">
        <v>2025003609</v>
      </c>
      <c r="C2612" t="s">
        <v>1767</v>
      </c>
      <c r="D2612" s="11">
        <v>3150000</v>
      </c>
      <c r="E2612" t="s">
        <v>1647</v>
      </c>
      <c r="F2612" t="s">
        <v>119</v>
      </c>
      <c r="G2612" t="s">
        <v>1755</v>
      </c>
    </row>
    <row r="2613" spans="1:7" ht="15" customHeight="1" x14ac:dyDescent="0.25">
      <c r="A2613" s="2">
        <v>46009</v>
      </c>
      <c r="B2613">
        <v>2025003610</v>
      </c>
      <c r="C2613" t="s">
        <v>1853</v>
      </c>
      <c r="D2613" s="11">
        <v>4730000</v>
      </c>
      <c r="E2613" t="s">
        <v>2033</v>
      </c>
      <c r="F2613" t="s">
        <v>355</v>
      </c>
      <c r="G2613" t="s">
        <v>1755</v>
      </c>
    </row>
    <row r="2614" spans="1:7" ht="15" customHeight="1" x14ac:dyDescent="0.25">
      <c r="A2614" s="2">
        <v>46009</v>
      </c>
      <c r="B2614">
        <v>2025003611</v>
      </c>
      <c r="C2614" t="s">
        <v>1990</v>
      </c>
      <c r="D2614" s="11">
        <v>3150000</v>
      </c>
      <c r="E2614" t="s">
        <v>2121</v>
      </c>
      <c r="F2614" t="s">
        <v>1991</v>
      </c>
      <c r="G2614" t="s">
        <v>1755</v>
      </c>
    </row>
    <row r="2615" spans="1:7" ht="15" customHeight="1" x14ac:dyDescent="0.25">
      <c r="A2615" s="2">
        <v>46009</v>
      </c>
      <c r="B2615">
        <v>2025003612</v>
      </c>
      <c r="C2615" t="s">
        <v>1866</v>
      </c>
      <c r="D2615" s="11">
        <v>3150000</v>
      </c>
      <c r="E2615" t="s">
        <v>2044</v>
      </c>
      <c r="F2615" t="s">
        <v>1867</v>
      </c>
      <c r="G2615" t="s">
        <v>1755</v>
      </c>
    </row>
    <row r="2616" spans="1:7" ht="15" customHeight="1" x14ac:dyDescent="0.25">
      <c r="A2616" s="2">
        <v>46009</v>
      </c>
      <c r="B2616">
        <v>2025003614</v>
      </c>
      <c r="C2616" t="s">
        <v>1883</v>
      </c>
      <c r="D2616" s="11">
        <v>6300000</v>
      </c>
      <c r="E2616" t="s">
        <v>2032</v>
      </c>
      <c r="F2616" t="s">
        <v>1884</v>
      </c>
      <c r="G2616" t="s">
        <v>1755</v>
      </c>
    </row>
    <row r="2617" spans="1:7" ht="15" customHeight="1" x14ac:dyDescent="0.25">
      <c r="A2617" s="2">
        <v>46009</v>
      </c>
      <c r="B2617">
        <v>2025003616</v>
      </c>
      <c r="C2617" t="s">
        <v>1758</v>
      </c>
      <c r="D2617" s="11">
        <v>3150000</v>
      </c>
      <c r="E2617" t="s">
        <v>2015</v>
      </c>
      <c r="F2617" t="s">
        <v>1759</v>
      </c>
      <c r="G2617" t="s">
        <v>1755</v>
      </c>
    </row>
    <row r="2618" spans="1:7" ht="15" customHeight="1" x14ac:dyDescent="0.25">
      <c r="A2618" s="2">
        <v>46009</v>
      </c>
      <c r="B2618">
        <v>2025003617</v>
      </c>
      <c r="C2618" t="s">
        <v>1776</v>
      </c>
      <c r="D2618" s="11">
        <v>3150000</v>
      </c>
      <c r="E2618" t="s">
        <v>2014</v>
      </c>
      <c r="F2618" t="s">
        <v>1777</v>
      </c>
      <c r="G2618" t="s">
        <v>1755</v>
      </c>
    </row>
    <row r="2619" spans="1:7" ht="15" customHeight="1" x14ac:dyDescent="0.25">
      <c r="A2619" s="2">
        <v>46009</v>
      </c>
      <c r="B2619">
        <v>2025003618</v>
      </c>
      <c r="C2619" t="s">
        <v>1870</v>
      </c>
      <c r="D2619" s="11">
        <v>4730000</v>
      </c>
      <c r="E2619" t="s">
        <v>2031</v>
      </c>
      <c r="F2619" t="s">
        <v>95</v>
      </c>
      <c r="G2619" t="s">
        <v>1755</v>
      </c>
    </row>
    <row r="2620" spans="1:7" ht="15" customHeight="1" x14ac:dyDescent="0.25">
      <c r="A2620" s="2">
        <v>46009</v>
      </c>
      <c r="B2620">
        <v>2025003620</v>
      </c>
      <c r="C2620" t="s">
        <v>1773</v>
      </c>
      <c r="D2620" s="11">
        <v>6300000</v>
      </c>
      <c r="E2620" t="s">
        <v>2036</v>
      </c>
      <c r="F2620" t="s">
        <v>1774</v>
      </c>
      <c r="G2620" t="s">
        <v>1755</v>
      </c>
    </row>
    <row r="2621" spans="1:7" ht="15" customHeight="1" x14ac:dyDescent="0.25">
      <c r="A2621" s="2">
        <v>46009</v>
      </c>
      <c r="B2621">
        <v>2025003621</v>
      </c>
      <c r="C2621" t="s">
        <v>1778</v>
      </c>
      <c r="D2621" s="11">
        <v>3150000</v>
      </c>
      <c r="E2621" t="s">
        <v>2006</v>
      </c>
      <c r="F2621" t="s">
        <v>1779</v>
      </c>
      <c r="G2621" t="s">
        <v>1755</v>
      </c>
    </row>
    <row r="2622" spans="1:7" ht="15" customHeight="1" x14ac:dyDescent="0.25">
      <c r="A2622" s="2">
        <v>46009</v>
      </c>
      <c r="B2622">
        <v>2025003623</v>
      </c>
      <c r="C2622" t="s">
        <v>2419</v>
      </c>
      <c r="D2622" s="11">
        <v>2000000</v>
      </c>
      <c r="E2622" t="s">
        <v>2420</v>
      </c>
      <c r="F2622" t="s">
        <v>219</v>
      </c>
      <c r="G2622" t="s">
        <v>1755</v>
      </c>
    </row>
    <row r="2623" spans="1:7" ht="15" customHeight="1" x14ac:dyDescent="0.25">
      <c r="A2623" s="2">
        <v>46009</v>
      </c>
      <c r="B2623">
        <v>2025003624</v>
      </c>
      <c r="C2623" t="s">
        <v>2213</v>
      </c>
      <c r="D2623" s="11">
        <v>3150000</v>
      </c>
      <c r="E2623" t="s">
        <v>1701</v>
      </c>
      <c r="F2623" t="s">
        <v>335</v>
      </c>
      <c r="G2623" t="s">
        <v>1755</v>
      </c>
    </row>
    <row r="2624" spans="1:7" ht="15" customHeight="1" x14ac:dyDescent="0.25">
      <c r="A2624" s="2">
        <v>46010</v>
      </c>
      <c r="B2624">
        <v>2025003625</v>
      </c>
      <c r="C2624" t="s">
        <v>2229</v>
      </c>
      <c r="D2624" s="11">
        <v>2000000</v>
      </c>
      <c r="E2624" t="s">
        <v>2230</v>
      </c>
      <c r="F2624" t="s">
        <v>2231</v>
      </c>
      <c r="G2624" t="s">
        <v>1755</v>
      </c>
    </row>
    <row r="2625" spans="1:7" ht="15" customHeight="1" x14ac:dyDescent="0.25">
      <c r="A2625" s="2">
        <v>46010</v>
      </c>
      <c r="B2625">
        <v>2025003626</v>
      </c>
      <c r="C2625" t="s">
        <v>2352</v>
      </c>
      <c r="D2625" s="11">
        <v>3150000</v>
      </c>
      <c r="E2625" t="s">
        <v>1744</v>
      </c>
      <c r="F2625" t="s">
        <v>297</v>
      </c>
      <c r="G2625" t="s">
        <v>1755</v>
      </c>
    </row>
    <row r="2626" spans="1:7" ht="15" customHeight="1" x14ac:dyDescent="0.25">
      <c r="A2626" s="2">
        <v>46010</v>
      </c>
      <c r="B2626">
        <v>2025003628</v>
      </c>
      <c r="C2626" t="s">
        <v>2170</v>
      </c>
      <c r="D2626" s="11">
        <v>3150000</v>
      </c>
      <c r="E2626" t="s">
        <v>2171</v>
      </c>
      <c r="F2626" t="s">
        <v>2172</v>
      </c>
      <c r="G2626" t="s">
        <v>1755</v>
      </c>
    </row>
    <row r="2627" spans="1:7" ht="15" customHeight="1" x14ac:dyDescent="0.25">
      <c r="A2627" s="2">
        <v>46010</v>
      </c>
      <c r="B2627">
        <v>2025003629</v>
      </c>
      <c r="C2627" t="s">
        <v>2165</v>
      </c>
      <c r="D2627" s="11">
        <v>3150000</v>
      </c>
      <c r="E2627" t="s">
        <v>2166</v>
      </c>
      <c r="F2627" t="s">
        <v>567</v>
      </c>
      <c r="G2627" t="s">
        <v>1755</v>
      </c>
    </row>
    <row r="2628" spans="1:7" ht="15" customHeight="1" x14ac:dyDescent="0.25">
      <c r="A2628" s="2">
        <v>46010</v>
      </c>
      <c r="B2628">
        <v>2025003630</v>
      </c>
      <c r="C2628" t="s">
        <v>2378</v>
      </c>
      <c r="D2628" s="11">
        <v>3150000</v>
      </c>
      <c r="E2628" t="s">
        <v>2379</v>
      </c>
      <c r="F2628" t="s">
        <v>2380</v>
      </c>
      <c r="G2628" t="s">
        <v>1755</v>
      </c>
    </row>
    <row r="2629" spans="1:7" ht="15" customHeight="1" x14ac:dyDescent="0.25">
      <c r="A2629" s="2">
        <v>46010</v>
      </c>
      <c r="B2629">
        <v>2025003632</v>
      </c>
      <c r="C2629" t="s">
        <v>2364</v>
      </c>
      <c r="D2629" s="11">
        <v>3150000</v>
      </c>
      <c r="E2629" t="s">
        <v>2365</v>
      </c>
      <c r="F2629" t="s">
        <v>496</v>
      </c>
      <c r="G2629" t="s">
        <v>1755</v>
      </c>
    </row>
    <row r="2630" spans="1:7" ht="15" customHeight="1" x14ac:dyDescent="0.25">
      <c r="A2630" s="2">
        <v>46010</v>
      </c>
      <c r="B2630">
        <v>2025003633</v>
      </c>
      <c r="C2630" t="s">
        <v>2129</v>
      </c>
      <c r="D2630" s="11">
        <v>3150000</v>
      </c>
      <c r="E2630" t="s">
        <v>2130</v>
      </c>
      <c r="F2630" t="s">
        <v>1056</v>
      </c>
      <c r="G2630" t="s">
        <v>1755</v>
      </c>
    </row>
    <row r="2631" spans="1:7" ht="15" customHeight="1" x14ac:dyDescent="0.25">
      <c r="A2631" s="2">
        <v>46010</v>
      </c>
      <c r="B2631">
        <v>2025003635</v>
      </c>
      <c r="C2631" t="s">
        <v>1849</v>
      </c>
      <c r="D2631" s="11">
        <v>7800000</v>
      </c>
      <c r="E2631" t="s">
        <v>1620</v>
      </c>
      <c r="F2631" t="s">
        <v>41</v>
      </c>
      <c r="G2631" t="s">
        <v>1755</v>
      </c>
    </row>
    <row r="2632" spans="1:7" ht="15" customHeight="1" x14ac:dyDescent="0.25">
      <c r="A2632" s="2">
        <v>46010</v>
      </c>
      <c r="B2632">
        <v>2025003636</v>
      </c>
      <c r="C2632" t="s">
        <v>1875</v>
      </c>
      <c r="D2632" s="11">
        <v>7800000</v>
      </c>
      <c r="E2632" t="s">
        <v>1708</v>
      </c>
      <c r="F2632" t="s">
        <v>1218</v>
      </c>
      <c r="G2632" t="s">
        <v>1755</v>
      </c>
    </row>
    <row r="2633" spans="1:7" ht="15" customHeight="1" x14ac:dyDescent="0.25">
      <c r="A2633" s="2">
        <v>46010</v>
      </c>
      <c r="B2633">
        <v>2025003637</v>
      </c>
      <c r="C2633" t="s">
        <v>2232</v>
      </c>
      <c r="D2633" s="11">
        <v>2000000</v>
      </c>
      <c r="E2633" t="s">
        <v>2233</v>
      </c>
      <c r="F2633" t="s">
        <v>2234</v>
      </c>
      <c r="G2633" t="s">
        <v>1755</v>
      </c>
    </row>
    <row r="2634" spans="1:7" ht="15" customHeight="1" x14ac:dyDescent="0.25">
      <c r="A2634" s="2">
        <v>46010</v>
      </c>
      <c r="B2634">
        <v>2025003638</v>
      </c>
      <c r="C2634" t="s">
        <v>1905</v>
      </c>
      <c r="D2634" s="11">
        <v>7800000</v>
      </c>
      <c r="E2634" t="s">
        <v>1619</v>
      </c>
      <c r="F2634" t="s">
        <v>745</v>
      </c>
      <c r="G2634" t="s">
        <v>1755</v>
      </c>
    </row>
    <row r="2635" spans="1:7" ht="15" customHeight="1" x14ac:dyDescent="0.25">
      <c r="A2635" s="2">
        <v>46010</v>
      </c>
      <c r="B2635">
        <v>2025003641</v>
      </c>
      <c r="C2635" t="s">
        <v>1969</v>
      </c>
      <c r="D2635" s="11">
        <v>7800000</v>
      </c>
      <c r="E2635" t="s">
        <v>2222</v>
      </c>
      <c r="F2635" t="s">
        <v>1970</v>
      </c>
      <c r="G2635" t="s">
        <v>1755</v>
      </c>
    </row>
    <row r="2636" spans="1:7" ht="15" customHeight="1" x14ac:dyDescent="0.25">
      <c r="A2636" s="2">
        <v>46010</v>
      </c>
      <c r="B2636">
        <v>2025003642</v>
      </c>
      <c r="C2636" t="s">
        <v>2424</v>
      </c>
      <c r="D2636" s="11">
        <v>2000000</v>
      </c>
      <c r="E2636" t="s">
        <v>2425</v>
      </c>
      <c r="F2636" t="s">
        <v>2426</v>
      </c>
      <c r="G2636" t="s">
        <v>1755</v>
      </c>
    </row>
    <row r="2637" spans="1:7" ht="15" customHeight="1" x14ac:dyDescent="0.25">
      <c r="A2637" s="2">
        <v>46010</v>
      </c>
      <c r="B2637">
        <v>2025003644</v>
      </c>
      <c r="C2637" t="s">
        <v>2427</v>
      </c>
      <c r="D2637" s="11">
        <v>3150000</v>
      </c>
      <c r="E2637" t="s">
        <v>1752</v>
      </c>
      <c r="F2637" t="s">
        <v>470</v>
      </c>
      <c r="G2637" t="s">
        <v>1755</v>
      </c>
    </row>
    <row r="2638" spans="1:7" ht="15" customHeight="1" x14ac:dyDescent="0.25">
      <c r="A2638" s="2">
        <v>46010</v>
      </c>
      <c r="B2638">
        <v>2025003650</v>
      </c>
      <c r="C2638" t="s">
        <v>2428</v>
      </c>
      <c r="D2638" s="11">
        <v>3150000</v>
      </c>
      <c r="E2638" t="s">
        <v>1740</v>
      </c>
      <c r="F2638" t="s">
        <v>682</v>
      </c>
      <c r="G2638" t="s">
        <v>1755</v>
      </c>
    </row>
    <row r="2639" spans="1:7" ht="15" customHeight="1" x14ac:dyDescent="0.25">
      <c r="A2639" s="2">
        <v>46010</v>
      </c>
      <c r="B2639">
        <v>2025003652</v>
      </c>
      <c r="C2639" t="s">
        <v>2168</v>
      </c>
      <c r="D2639" s="11">
        <v>3150000</v>
      </c>
      <c r="E2639" t="s">
        <v>2169</v>
      </c>
      <c r="F2639" t="s">
        <v>950</v>
      </c>
      <c r="G2639" t="s">
        <v>1755</v>
      </c>
    </row>
    <row r="2640" spans="1:7" ht="15" customHeight="1" x14ac:dyDescent="0.25">
      <c r="A2640" s="2">
        <v>46010</v>
      </c>
      <c r="B2640">
        <v>2025003661</v>
      </c>
      <c r="C2640" t="s">
        <v>1919</v>
      </c>
      <c r="D2640" s="11">
        <v>4730000</v>
      </c>
      <c r="E2640" t="s">
        <v>2289</v>
      </c>
      <c r="F2640" t="s">
        <v>900</v>
      </c>
      <c r="G2640" t="s">
        <v>1755</v>
      </c>
    </row>
    <row r="2641" spans="1:7" ht="15" customHeight="1" x14ac:dyDescent="0.25">
      <c r="A2641" s="2">
        <v>46010</v>
      </c>
      <c r="B2641">
        <v>2025003662</v>
      </c>
      <c r="C2641" t="s">
        <v>1977</v>
      </c>
      <c r="D2641" s="11">
        <v>3150000</v>
      </c>
      <c r="E2641" t="s">
        <v>1612</v>
      </c>
      <c r="F2641" t="s">
        <v>562</v>
      </c>
      <c r="G2641" t="s">
        <v>1755</v>
      </c>
    </row>
    <row r="2642" spans="1:7" ht="15" customHeight="1" x14ac:dyDescent="0.25">
      <c r="A2642" s="2">
        <v>46010</v>
      </c>
      <c r="B2642">
        <v>2025003663</v>
      </c>
      <c r="C2642" t="s">
        <v>1840</v>
      </c>
      <c r="D2642" s="11">
        <v>7800000</v>
      </c>
      <c r="E2642" t="s">
        <v>2051</v>
      </c>
      <c r="F2642" t="s">
        <v>1841</v>
      </c>
      <c r="G2642" t="s">
        <v>1755</v>
      </c>
    </row>
    <row r="2643" spans="1:7" ht="15" customHeight="1" x14ac:dyDescent="0.25">
      <c r="A2643" s="2">
        <v>46010</v>
      </c>
      <c r="B2643">
        <v>2025003664</v>
      </c>
      <c r="C2643" t="s">
        <v>1832</v>
      </c>
      <c r="D2643" s="11">
        <v>3150000</v>
      </c>
      <c r="E2643" t="s">
        <v>1695</v>
      </c>
      <c r="F2643" t="s">
        <v>477</v>
      </c>
      <c r="G2643" t="s">
        <v>1755</v>
      </c>
    </row>
    <row r="2644" spans="1:7" ht="15" customHeight="1" x14ac:dyDescent="0.25">
      <c r="A2644" s="2">
        <v>46010</v>
      </c>
      <c r="B2644">
        <v>2025003665</v>
      </c>
      <c r="C2644" t="s">
        <v>1896</v>
      </c>
      <c r="D2644" s="11">
        <v>3150000</v>
      </c>
      <c r="E2644" t="s">
        <v>2063</v>
      </c>
      <c r="F2644" t="s">
        <v>1897</v>
      </c>
      <c r="G2644" t="s">
        <v>1755</v>
      </c>
    </row>
    <row r="2645" spans="1:7" ht="15" customHeight="1" x14ac:dyDescent="0.25">
      <c r="A2645" s="2">
        <v>46010</v>
      </c>
      <c r="B2645">
        <v>2025003666</v>
      </c>
      <c r="C2645" t="s">
        <v>1911</v>
      </c>
      <c r="D2645" s="11">
        <v>3150000</v>
      </c>
      <c r="E2645" t="s">
        <v>1648</v>
      </c>
      <c r="F2645" t="s">
        <v>251</v>
      </c>
      <c r="G2645" t="s">
        <v>1755</v>
      </c>
    </row>
    <row r="2646" spans="1:7" ht="15" customHeight="1" x14ac:dyDescent="0.25">
      <c r="A2646" s="2">
        <v>46010</v>
      </c>
      <c r="B2646">
        <v>2025003667</v>
      </c>
      <c r="C2646" t="s">
        <v>1962</v>
      </c>
      <c r="D2646" s="11">
        <v>4730000</v>
      </c>
      <c r="E2646" t="s">
        <v>2111</v>
      </c>
      <c r="F2646" t="s">
        <v>91</v>
      </c>
      <c r="G2646" t="s">
        <v>1755</v>
      </c>
    </row>
    <row r="2647" spans="1:7" ht="15" customHeight="1" x14ac:dyDescent="0.25">
      <c r="A2647" s="2">
        <v>46010</v>
      </c>
      <c r="B2647">
        <v>2025003668</v>
      </c>
      <c r="C2647" t="s">
        <v>2343</v>
      </c>
      <c r="D2647" s="11">
        <v>3150000</v>
      </c>
      <c r="E2647" t="s">
        <v>2344</v>
      </c>
      <c r="F2647" t="s">
        <v>197</v>
      </c>
      <c r="G2647" t="s">
        <v>1755</v>
      </c>
    </row>
    <row r="2648" spans="1:7" ht="15" customHeight="1" x14ac:dyDescent="0.25">
      <c r="A2648" s="2">
        <v>46010</v>
      </c>
      <c r="B2648">
        <v>2025003669</v>
      </c>
      <c r="C2648" t="s">
        <v>1877</v>
      </c>
      <c r="D2648" s="11">
        <v>3150000</v>
      </c>
      <c r="E2648" t="s">
        <v>1719</v>
      </c>
      <c r="F2648" t="s">
        <v>1230</v>
      </c>
      <c r="G2648" t="s">
        <v>1755</v>
      </c>
    </row>
    <row r="2649" spans="1:7" ht="15" customHeight="1" x14ac:dyDescent="0.25">
      <c r="A2649" s="2">
        <v>46010</v>
      </c>
      <c r="B2649">
        <v>2025003670</v>
      </c>
      <c r="C2649" t="s">
        <v>1971</v>
      </c>
      <c r="D2649" s="11">
        <v>3150000</v>
      </c>
      <c r="E2649" t="s">
        <v>2167</v>
      </c>
      <c r="F2649" t="s">
        <v>701</v>
      </c>
      <c r="G2649" t="s">
        <v>1755</v>
      </c>
    </row>
    <row r="2650" spans="1:7" ht="15" customHeight="1" x14ac:dyDescent="0.25">
      <c r="A2650" s="2">
        <v>46010</v>
      </c>
      <c r="B2650">
        <v>2025003671</v>
      </c>
      <c r="C2650" t="s">
        <v>2428</v>
      </c>
      <c r="D2650" s="11">
        <v>3150000</v>
      </c>
      <c r="E2650" t="s">
        <v>1740</v>
      </c>
      <c r="F2650" t="s">
        <v>682</v>
      </c>
      <c r="G2650" t="s">
        <v>1755</v>
      </c>
    </row>
    <row r="2651" spans="1:7" ht="15" customHeight="1" x14ac:dyDescent="0.25">
      <c r="A2651" s="2">
        <v>46010</v>
      </c>
      <c r="B2651">
        <v>2025003672</v>
      </c>
      <c r="C2651" t="s">
        <v>2135</v>
      </c>
      <c r="D2651" s="11">
        <v>2000000</v>
      </c>
      <c r="E2651" t="s">
        <v>2136</v>
      </c>
      <c r="F2651" t="s">
        <v>2137</v>
      </c>
      <c r="G2651" t="s">
        <v>1755</v>
      </c>
    </row>
    <row r="2652" spans="1:7" ht="15" customHeight="1" x14ac:dyDescent="0.25">
      <c r="A2652" s="2">
        <v>46010</v>
      </c>
      <c r="B2652">
        <v>2025003673</v>
      </c>
      <c r="C2652" t="s">
        <v>2363</v>
      </c>
      <c r="D2652" s="11">
        <v>2000000</v>
      </c>
      <c r="E2652" t="s">
        <v>1734</v>
      </c>
      <c r="F2652" t="s">
        <v>283</v>
      </c>
      <c r="G2652" t="s">
        <v>1755</v>
      </c>
    </row>
    <row r="2653" spans="1:7" ht="15" customHeight="1" x14ac:dyDescent="0.25">
      <c r="A2653" s="2">
        <v>46010</v>
      </c>
      <c r="B2653">
        <v>2025003674</v>
      </c>
      <c r="C2653" t="s">
        <v>2168</v>
      </c>
      <c r="D2653" s="11">
        <v>3150000</v>
      </c>
      <c r="E2653" t="s">
        <v>2169</v>
      </c>
      <c r="F2653" t="s">
        <v>950</v>
      </c>
      <c r="G2653" t="s">
        <v>1755</v>
      </c>
    </row>
    <row r="2654" spans="1:7" ht="15" customHeight="1" x14ac:dyDescent="0.25">
      <c r="A2654" s="2">
        <v>46010</v>
      </c>
      <c r="B2654">
        <v>2025003675</v>
      </c>
      <c r="C2654" t="s">
        <v>2340</v>
      </c>
      <c r="D2654" s="11">
        <v>3150000</v>
      </c>
      <c r="E2654" t="s">
        <v>1736</v>
      </c>
      <c r="F2654" t="s">
        <v>467</v>
      </c>
      <c r="G2654" t="s">
        <v>1755</v>
      </c>
    </row>
    <row r="2655" spans="1:7" ht="15" customHeight="1" x14ac:dyDescent="0.25">
      <c r="A2655" s="2">
        <v>46010</v>
      </c>
      <c r="B2655">
        <v>2025003676</v>
      </c>
      <c r="C2655" s="4" t="s">
        <v>1787</v>
      </c>
      <c r="D2655" s="11">
        <v>3150000</v>
      </c>
      <c r="E2655" t="s">
        <v>1730</v>
      </c>
      <c r="F2655" t="s">
        <v>37</v>
      </c>
      <c r="G2655" t="s">
        <v>1755</v>
      </c>
    </row>
    <row r="2656" spans="1:7" ht="15" customHeight="1" x14ac:dyDescent="0.25">
      <c r="A2656" s="2">
        <v>46010</v>
      </c>
      <c r="B2656">
        <v>2025003677</v>
      </c>
      <c r="C2656" t="s">
        <v>2369</v>
      </c>
      <c r="D2656" s="11">
        <v>2000000</v>
      </c>
      <c r="E2656" t="s">
        <v>2370</v>
      </c>
      <c r="F2656" t="s">
        <v>976</v>
      </c>
      <c r="G2656" t="s">
        <v>1755</v>
      </c>
    </row>
    <row r="2657" spans="1:7" ht="15" customHeight="1" x14ac:dyDescent="0.25">
      <c r="A2657" s="2">
        <v>46010</v>
      </c>
      <c r="B2657">
        <v>2025003678</v>
      </c>
      <c r="C2657" t="s">
        <v>2357</v>
      </c>
      <c r="D2657" s="11">
        <v>3150000</v>
      </c>
      <c r="E2657" t="s">
        <v>2358</v>
      </c>
      <c r="F2657" t="s">
        <v>2359</v>
      </c>
      <c r="G2657" t="s">
        <v>1755</v>
      </c>
    </row>
    <row r="2658" spans="1:7" ht="15" customHeight="1" x14ac:dyDescent="0.25">
      <c r="A2658" s="2">
        <v>46010</v>
      </c>
      <c r="B2658">
        <v>2025003679</v>
      </c>
      <c r="C2658" t="s">
        <v>1904</v>
      </c>
      <c r="D2658" s="11">
        <v>6300000</v>
      </c>
      <c r="E2658" t="s">
        <v>2138</v>
      </c>
      <c r="F2658" t="s">
        <v>1084</v>
      </c>
      <c r="G2658" t="s">
        <v>1755</v>
      </c>
    </row>
    <row r="2659" spans="1:7" ht="15" customHeight="1" x14ac:dyDescent="0.25">
      <c r="A2659" s="2">
        <v>46010</v>
      </c>
      <c r="B2659">
        <v>2025003680</v>
      </c>
      <c r="C2659" t="s">
        <v>2223</v>
      </c>
      <c r="D2659" s="11">
        <v>2000000</v>
      </c>
      <c r="E2659" t="s">
        <v>2224</v>
      </c>
      <c r="F2659" t="s">
        <v>2225</v>
      </c>
      <c r="G2659" t="s">
        <v>1755</v>
      </c>
    </row>
    <row r="2660" spans="1:7" ht="15" customHeight="1" x14ac:dyDescent="0.25">
      <c r="A2660" s="2">
        <v>46010</v>
      </c>
      <c r="B2660">
        <v>2025003682</v>
      </c>
      <c r="C2660" t="s">
        <v>2384</v>
      </c>
      <c r="D2660" s="11">
        <v>2000000</v>
      </c>
      <c r="E2660" t="s">
        <v>2385</v>
      </c>
      <c r="F2660" t="s">
        <v>2386</v>
      </c>
      <c r="G2660" t="s">
        <v>1755</v>
      </c>
    </row>
    <row r="2661" spans="1:7" ht="15" customHeight="1" x14ac:dyDescent="0.25">
      <c r="A2661" s="2">
        <v>46010</v>
      </c>
      <c r="B2661">
        <v>2025003683</v>
      </c>
      <c r="C2661" t="s">
        <v>2341</v>
      </c>
      <c r="D2661" s="11">
        <v>3150000</v>
      </c>
      <c r="E2661" t="s">
        <v>2342</v>
      </c>
      <c r="F2661" t="s">
        <v>499</v>
      </c>
      <c r="G2661" t="s">
        <v>1755</v>
      </c>
    </row>
    <row r="2662" spans="1:7" ht="15" customHeight="1" x14ac:dyDescent="0.25">
      <c r="A2662" s="2">
        <v>46010</v>
      </c>
      <c r="B2662">
        <v>2025003684</v>
      </c>
      <c r="C2662" t="s">
        <v>2381</v>
      </c>
      <c r="D2662" s="11">
        <v>2000000</v>
      </c>
      <c r="E2662" t="s">
        <v>2382</v>
      </c>
      <c r="F2662" t="s">
        <v>2383</v>
      </c>
      <c r="G2662" t="s">
        <v>1755</v>
      </c>
    </row>
    <row r="2663" spans="1:7" ht="15" customHeight="1" x14ac:dyDescent="0.25">
      <c r="A2663" s="2">
        <v>46010</v>
      </c>
      <c r="B2663">
        <v>2025003685</v>
      </c>
      <c r="C2663" t="s">
        <v>1790</v>
      </c>
      <c r="D2663" s="11">
        <v>6300000</v>
      </c>
      <c r="E2663" t="s">
        <v>2210</v>
      </c>
      <c r="F2663" t="s">
        <v>337</v>
      </c>
      <c r="G2663" t="s">
        <v>1755</v>
      </c>
    </row>
    <row r="2664" spans="1:7" ht="15" customHeight="1" x14ac:dyDescent="0.25">
      <c r="A2664" s="2">
        <v>46010</v>
      </c>
      <c r="B2664">
        <v>2025003686</v>
      </c>
      <c r="C2664" t="s">
        <v>2235</v>
      </c>
      <c r="D2664" s="11">
        <v>2000000</v>
      </c>
      <c r="E2664" t="s">
        <v>2236</v>
      </c>
      <c r="F2664" t="s">
        <v>2237</v>
      </c>
      <c r="G2664" t="s">
        <v>1755</v>
      </c>
    </row>
    <row r="2665" spans="1:7" ht="15" customHeight="1" x14ac:dyDescent="0.25">
      <c r="A2665" s="2">
        <v>46010</v>
      </c>
      <c r="B2665">
        <v>2025003687</v>
      </c>
      <c r="C2665" t="s">
        <v>1976</v>
      </c>
      <c r="D2665" s="11">
        <v>3150000</v>
      </c>
      <c r="E2665" t="s">
        <v>1604</v>
      </c>
      <c r="F2665" t="s">
        <v>1110</v>
      </c>
      <c r="G2665" t="s">
        <v>1755</v>
      </c>
    </row>
    <row r="2666" spans="1:7" ht="15" customHeight="1" x14ac:dyDescent="0.25">
      <c r="A2666" s="2">
        <v>46010</v>
      </c>
      <c r="B2666">
        <v>2025003688</v>
      </c>
      <c r="C2666" t="s">
        <v>2376</v>
      </c>
      <c r="D2666" s="11">
        <v>3150000</v>
      </c>
      <c r="E2666" t="s">
        <v>2377</v>
      </c>
      <c r="F2666" t="s">
        <v>1269</v>
      </c>
      <c r="G2666" t="s">
        <v>1755</v>
      </c>
    </row>
    <row r="2667" spans="1:7" ht="15" customHeight="1" x14ac:dyDescent="0.25">
      <c r="A2667" s="2">
        <v>46010</v>
      </c>
      <c r="B2667">
        <v>2025003689</v>
      </c>
      <c r="C2667" t="s">
        <v>1963</v>
      </c>
      <c r="D2667" s="11">
        <v>7800000</v>
      </c>
      <c r="E2667" t="s">
        <v>2023</v>
      </c>
      <c r="F2667" t="s">
        <v>1964</v>
      </c>
      <c r="G2667" t="s">
        <v>1755</v>
      </c>
    </row>
    <row r="2668" spans="1:7" ht="15" customHeight="1" x14ac:dyDescent="0.25">
      <c r="A2668" s="2">
        <v>46010</v>
      </c>
      <c r="B2668">
        <v>2025003690</v>
      </c>
      <c r="C2668" t="s">
        <v>1786</v>
      </c>
      <c r="D2668" s="11">
        <v>3150000</v>
      </c>
      <c r="E2668" t="s">
        <v>1688</v>
      </c>
      <c r="F2668" t="s">
        <v>33</v>
      </c>
      <c r="G2668" t="s">
        <v>1755</v>
      </c>
    </row>
    <row r="2669" spans="1:7" ht="15" customHeight="1" x14ac:dyDescent="0.25">
      <c r="A2669" s="2">
        <v>46010</v>
      </c>
      <c r="B2669">
        <v>2025003691</v>
      </c>
      <c r="C2669" t="s">
        <v>1938</v>
      </c>
      <c r="D2669" s="11">
        <v>6300000</v>
      </c>
      <c r="E2669" t="s">
        <v>2060</v>
      </c>
      <c r="F2669" t="s">
        <v>1939</v>
      </c>
      <c r="G2669" t="s">
        <v>1755</v>
      </c>
    </row>
    <row r="2670" spans="1:7" ht="15" customHeight="1" x14ac:dyDescent="0.25">
      <c r="A2670" s="2">
        <v>46010</v>
      </c>
      <c r="B2670">
        <v>2025003692</v>
      </c>
      <c r="C2670" t="s">
        <v>2345</v>
      </c>
      <c r="D2670" s="11">
        <v>3150000</v>
      </c>
      <c r="E2670" t="s">
        <v>2346</v>
      </c>
      <c r="F2670" t="s">
        <v>2347</v>
      </c>
      <c r="G2670" t="s">
        <v>1755</v>
      </c>
    </row>
    <row r="2671" spans="1:7" ht="15" customHeight="1" x14ac:dyDescent="0.25">
      <c r="A2671" s="2">
        <v>46010</v>
      </c>
      <c r="B2671">
        <v>2025003693</v>
      </c>
      <c r="C2671" t="s">
        <v>2122</v>
      </c>
      <c r="D2671" s="11">
        <v>2000000</v>
      </c>
      <c r="E2671" t="s">
        <v>1642</v>
      </c>
      <c r="F2671" t="s">
        <v>51</v>
      </c>
      <c r="G2671" t="s">
        <v>1755</v>
      </c>
    </row>
    <row r="2672" spans="1:7" ht="15" customHeight="1" x14ac:dyDescent="0.25">
      <c r="A2672" s="2">
        <v>46010</v>
      </c>
      <c r="B2672">
        <v>2025003694</v>
      </c>
      <c r="C2672" t="s">
        <v>2126</v>
      </c>
      <c r="D2672" s="11">
        <v>2000000</v>
      </c>
      <c r="E2672" t="s">
        <v>2127</v>
      </c>
      <c r="F2672" t="s">
        <v>2128</v>
      </c>
      <c r="G2672" t="s">
        <v>1755</v>
      </c>
    </row>
    <row r="2673" spans="1:7" ht="15" customHeight="1" x14ac:dyDescent="0.25">
      <c r="A2673" s="2">
        <v>46010</v>
      </c>
      <c r="B2673">
        <v>2025003695</v>
      </c>
      <c r="C2673" t="s">
        <v>1912</v>
      </c>
      <c r="D2673" s="11">
        <v>3150000</v>
      </c>
      <c r="E2673" t="s">
        <v>1691</v>
      </c>
      <c r="F2673" t="s">
        <v>1202</v>
      </c>
      <c r="G2673" t="s">
        <v>1755</v>
      </c>
    </row>
    <row r="2674" spans="1:7" ht="15" customHeight="1" x14ac:dyDescent="0.25">
      <c r="A2674" s="2">
        <v>46010</v>
      </c>
      <c r="B2674">
        <v>2025003697</v>
      </c>
      <c r="C2674" t="s">
        <v>2387</v>
      </c>
      <c r="D2674" s="11">
        <v>3150000</v>
      </c>
      <c r="E2674" t="s">
        <v>2388</v>
      </c>
      <c r="F2674" t="s">
        <v>2389</v>
      </c>
      <c r="G2674" t="s">
        <v>1755</v>
      </c>
    </row>
    <row r="2675" spans="1:7" ht="15" customHeight="1" x14ac:dyDescent="0.25">
      <c r="A2675" s="2">
        <v>46010</v>
      </c>
      <c r="B2675">
        <v>2025003698</v>
      </c>
      <c r="C2675" t="s">
        <v>1978</v>
      </c>
      <c r="D2675" s="11">
        <v>6300000</v>
      </c>
      <c r="E2675" t="s">
        <v>1665</v>
      </c>
      <c r="F2675" t="s">
        <v>453</v>
      </c>
      <c r="G2675" t="s">
        <v>1755</v>
      </c>
    </row>
    <row r="2676" spans="1:7" ht="15" customHeight="1" x14ac:dyDescent="0.25">
      <c r="A2676" s="2">
        <v>46010</v>
      </c>
      <c r="B2676">
        <v>2025003699</v>
      </c>
      <c r="C2676" t="s">
        <v>2427</v>
      </c>
      <c r="D2676" s="11">
        <v>3150000</v>
      </c>
      <c r="E2676" t="s">
        <v>1752</v>
      </c>
      <c r="F2676" t="s">
        <v>470</v>
      </c>
      <c r="G2676" t="s">
        <v>1755</v>
      </c>
    </row>
    <row r="2677" spans="1:7" ht="15" customHeight="1" x14ac:dyDescent="0.25">
      <c r="A2677" s="2">
        <v>46010</v>
      </c>
      <c r="B2677">
        <v>2025003700</v>
      </c>
      <c r="C2677" t="s">
        <v>2348</v>
      </c>
      <c r="D2677" s="11">
        <v>3150000</v>
      </c>
      <c r="E2677" t="s">
        <v>2349</v>
      </c>
      <c r="F2677" t="s">
        <v>2350</v>
      </c>
      <c r="G2677" t="s">
        <v>1755</v>
      </c>
    </row>
    <row r="2678" spans="1:7" ht="15" customHeight="1" x14ac:dyDescent="0.25">
      <c r="A2678" s="2">
        <v>46010</v>
      </c>
      <c r="B2678">
        <v>2025003701</v>
      </c>
      <c r="C2678" t="s">
        <v>2339</v>
      </c>
      <c r="D2678" s="11">
        <v>3150000</v>
      </c>
      <c r="E2678" t="s">
        <v>1726</v>
      </c>
      <c r="F2678" t="s">
        <v>1242</v>
      </c>
      <c r="G2678" t="s">
        <v>1755</v>
      </c>
    </row>
    <row r="2679" spans="1:7" ht="15" customHeight="1" x14ac:dyDescent="0.25">
      <c r="A2679" s="2">
        <v>46010</v>
      </c>
      <c r="B2679">
        <v>2025003702</v>
      </c>
      <c r="C2679" t="s">
        <v>1979</v>
      </c>
      <c r="D2679" s="11">
        <v>4730000</v>
      </c>
      <c r="E2679" t="s">
        <v>1644</v>
      </c>
      <c r="F2679" t="s">
        <v>571</v>
      </c>
      <c r="G2679" t="s">
        <v>1755</v>
      </c>
    </row>
    <row r="2680" spans="1:7" ht="15" customHeight="1" x14ac:dyDescent="0.25">
      <c r="A2680" s="2">
        <v>46010</v>
      </c>
      <c r="B2680">
        <v>2025003703</v>
      </c>
      <c r="C2680" t="s">
        <v>2001</v>
      </c>
      <c r="D2680" s="11">
        <v>4730000</v>
      </c>
      <c r="E2680" t="s">
        <v>2002</v>
      </c>
      <c r="F2680" t="s">
        <v>47</v>
      </c>
      <c r="G2680" t="s">
        <v>1755</v>
      </c>
    </row>
    <row r="2681" spans="1:7" ht="15" customHeight="1" x14ac:dyDescent="0.25">
      <c r="A2681" s="2">
        <v>46010</v>
      </c>
      <c r="B2681">
        <v>2025003704</v>
      </c>
      <c r="C2681" t="s">
        <v>2173</v>
      </c>
      <c r="D2681" s="11">
        <v>4730000</v>
      </c>
      <c r="E2681" t="s">
        <v>2174</v>
      </c>
      <c r="F2681" t="s">
        <v>2175</v>
      </c>
      <c r="G2681" t="s">
        <v>1755</v>
      </c>
    </row>
    <row r="2682" spans="1:7" ht="15" customHeight="1" x14ac:dyDescent="0.25">
      <c r="A2682" s="2">
        <v>46010</v>
      </c>
      <c r="B2682">
        <v>2025003705</v>
      </c>
      <c r="C2682" t="s">
        <v>1789</v>
      </c>
      <c r="D2682" s="11">
        <v>6300000</v>
      </c>
      <c r="E2682" t="s">
        <v>1683</v>
      </c>
      <c r="F2682" t="s">
        <v>1192</v>
      </c>
      <c r="G2682" t="s">
        <v>1755</v>
      </c>
    </row>
    <row r="2683" spans="1:7" ht="15" customHeight="1" x14ac:dyDescent="0.25">
      <c r="A2683" s="2">
        <v>46010</v>
      </c>
      <c r="B2683">
        <v>2025003706</v>
      </c>
      <c r="C2683" t="s">
        <v>2176</v>
      </c>
      <c r="D2683" s="11">
        <v>4730000</v>
      </c>
      <c r="E2683" t="s">
        <v>2177</v>
      </c>
      <c r="F2683" t="s">
        <v>155</v>
      </c>
      <c r="G2683" t="s">
        <v>1755</v>
      </c>
    </row>
    <row r="2684" spans="1:7" ht="15" customHeight="1" x14ac:dyDescent="0.25">
      <c r="A2684" s="2">
        <v>46010</v>
      </c>
      <c r="B2684">
        <v>2025003707</v>
      </c>
      <c r="C2684" t="s">
        <v>2203</v>
      </c>
      <c r="D2684" s="11">
        <v>3150000</v>
      </c>
      <c r="E2684" t="s">
        <v>2204</v>
      </c>
      <c r="F2684" t="s">
        <v>215</v>
      </c>
      <c r="G2684" t="s">
        <v>1755</v>
      </c>
    </row>
    <row r="2685" spans="1:7" ht="15" customHeight="1" x14ac:dyDescent="0.25">
      <c r="A2685" s="2">
        <v>46010</v>
      </c>
      <c r="B2685">
        <v>2025003708</v>
      </c>
      <c r="C2685" t="s">
        <v>1785</v>
      </c>
      <c r="D2685" s="11">
        <v>3150000</v>
      </c>
      <c r="E2685" t="s">
        <v>2131</v>
      </c>
      <c r="F2685" t="s">
        <v>595</v>
      </c>
      <c r="G2685" t="s">
        <v>1755</v>
      </c>
    </row>
    <row r="2686" spans="1:7" ht="15" customHeight="1" x14ac:dyDescent="0.25">
      <c r="A2686" s="2">
        <v>46010</v>
      </c>
      <c r="B2686">
        <v>2025003709</v>
      </c>
      <c r="C2686" t="s">
        <v>1972</v>
      </c>
      <c r="D2686" s="11">
        <v>3150000</v>
      </c>
      <c r="E2686" t="s">
        <v>2164</v>
      </c>
      <c r="F2686" t="s">
        <v>1973</v>
      </c>
      <c r="G2686" t="s">
        <v>1755</v>
      </c>
    </row>
    <row r="2687" spans="1:7" ht="15" customHeight="1" x14ac:dyDescent="0.25">
      <c r="A2687" s="2">
        <v>46010</v>
      </c>
      <c r="B2687">
        <v>2025003710</v>
      </c>
      <c r="C2687" t="s">
        <v>1781</v>
      </c>
      <c r="D2687" s="11">
        <v>3150000</v>
      </c>
      <c r="E2687" t="s">
        <v>2132</v>
      </c>
      <c r="F2687" t="s">
        <v>797</v>
      </c>
      <c r="G2687" t="s">
        <v>1755</v>
      </c>
    </row>
    <row r="2688" spans="1:7" ht="15" customHeight="1" x14ac:dyDescent="0.25">
      <c r="A2688" s="2">
        <v>46010</v>
      </c>
      <c r="B2688">
        <v>2025003711</v>
      </c>
      <c r="C2688" t="s">
        <v>2371</v>
      </c>
      <c r="D2688" s="11">
        <v>3150000</v>
      </c>
      <c r="E2688" t="s">
        <v>2372</v>
      </c>
      <c r="F2688" t="s">
        <v>779</v>
      </c>
      <c r="G2688" t="s">
        <v>1755</v>
      </c>
    </row>
    <row r="2689" spans="1:7" ht="15" customHeight="1" x14ac:dyDescent="0.25">
      <c r="A2689" s="2">
        <v>46010</v>
      </c>
      <c r="B2689">
        <v>2025003712</v>
      </c>
      <c r="C2689" t="s">
        <v>2366</v>
      </c>
      <c r="D2689" s="11">
        <v>3150000</v>
      </c>
      <c r="E2689" t="s">
        <v>2367</v>
      </c>
      <c r="F2689" t="s">
        <v>2368</v>
      </c>
      <c r="G2689" t="s">
        <v>1755</v>
      </c>
    </row>
    <row r="2690" spans="1:7" ht="15" customHeight="1" x14ac:dyDescent="0.25">
      <c r="A2690" s="2">
        <v>46010</v>
      </c>
      <c r="B2690">
        <v>2025003713</v>
      </c>
      <c r="C2690" t="s">
        <v>1784</v>
      </c>
      <c r="D2690" s="11">
        <v>3150000</v>
      </c>
      <c r="E2690" t="s">
        <v>1650</v>
      </c>
      <c r="F2690" t="s">
        <v>277</v>
      </c>
      <c r="G2690" t="s">
        <v>1755</v>
      </c>
    </row>
    <row r="2691" spans="1:7" ht="15" customHeight="1" x14ac:dyDescent="0.25">
      <c r="A2691" s="2">
        <v>46010</v>
      </c>
      <c r="B2691">
        <v>2025003714</v>
      </c>
      <c r="C2691" t="s">
        <v>2373</v>
      </c>
      <c r="D2691" s="11">
        <v>3150000</v>
      </c>
      <c r="E2691" t="s">
        <v>2374</v>
      </c>
      <c r="F2691" t="s">
        <v>2375</v>
      </c>
      <c r="G2691" t="s">
        <v>1755</v>
      </c>
    </row>
    <row r="2692" spans="1:7" ht="15" customHeight="1" x14ac:dyDescent="0.25">
      <c r="A2692" s="2">
        <v>46010</v>
      </c>
      <c r="B2692">
        <v>2025003715</v>
      </c>
      <c r="C2692" t="s">
        <v>1906</v>
      </c>
      <c r="D2692" s="11">
        <v>3150000</v>
      </c>
      <c r="E2692" t="s">
        <v>2134</v>
      </c>
      <c r="F2692" t="s">
        <v>107</v>
      </c>
      <c r="G2692" t="s">
        <v>1755</v>
      </c>
    </row>
    <row r="2693" spans="1:7" ht="15" customHeight="1" x14ac:dyDescent="0.25">
      <c r="A2693" s="2">
        <v>46010</v>
      </c>
      <c r="B2693">
        <v>2025003716</v>
      </c>
      <c r="C2693" t="s">
        <v>1783</v>
      </c>
      <c r="D2693" s="11">
        <v>6300000</v>
      </c>
      <c r="E2693" t="s">
        <v>1685</v>
      </c>
      <c r="F2693" t="s">
        <v>2351</v>
      </c>
      <c r="G2693" t="s">
        <v>1755</v>
      </c>
    </row>
    <row r="2694" spans="1:7" ht="15" customHeight="1" x14ac:dyDescent="0.25">
      <c r="A2694" s="2">
        <v>46010</v>
      </c>
      <c r="B2694">
        <v>2025003717</v>
      </c>
      <c r="C2694" t="s">
        <v>2178</v>
      </c>
      <c r="D2694" s="11">
        <v>4730000</v>
      </c>
      <c r="E2694" t="s">
        <v>2179</v>
      </c>
      <c r="F2694" t="s">
        <v>513</v>
      </c>
      <c r="G2694" t="s">
        <v>1755</v>
      </c>
    </row>
    <row r="2695" spans="1:7" ht="15" customHeight="1" x14ac:dyDescent="0.25">
      <c r="A2695" s="2">
        <v>46010</v>
      </c>
      <c r="B2695">
        <v>2025003718</v>
      </c>
      <c r="C2695" t="s">
        <v>2181</v>
      </c>
      <c r="D2695" s="11">
        <v>4730000</v>
      </c>
      <c r="E2695" t="s">
        <v>2182</v>
      </c>
      <c r="F2695" t="s">
        <v>2183</v>
      </c>
      <c r="G2695" t="s">
        <v>1755</v>
      </c>
    </row>
    <row r="2696" spans="1:7" ht="15" customHeight="1" x14ac:dyDescent="0.25">
      <c r="A2696" s="2">
        <v>46010</v>
      </c>
      <c r="B2696">
        <v>2025003719</v>
      </c>
      <c r="C2696" t="s">
        <v>1910</v>
      </c>
      <c r="D2696" s="11">
        <v>4730000</v>
      </c>
      <c r="E2696" t="s">
        <v>1610</v>
      </c>
      <c r="F2696" t="s">
        <v>493</v>
      </c>
      <c r="G2696" t="s">
        <v>1755</v>
      </c>
    </row>
    <row r="2697" spans="1:7" ht="15" customHeight="1" x14ac:dyDescent="0.25">
      <c r="A2697" s="2">
        <v>46010</v>
      </c>
      <c r="B2697">
        <v>2025003720</v>
      </c>
      <c r="C2697" t="s">
        <v>1980</v>
      </c>
      <c r="D2697" s="11">
        <v>4730000</v>
      </c>
      <c r="E2697" t="s">
        <v>1589</v>
      </c>
      <c r="F2697" t="s">
        <v>249</v>
      </c>
      <c r="G2697" t="s">
        <v>1755</v>
      </c>
    </row>
    <row r="2698" spans="1:7" ht="15" customHeight="1" x14ac:dyDescent="0.25">
      <c r="A2698" s="2">
        <v>46010</v>
      </c>
      <c r="B2698">
        <v>2025003721</v>
      </c>
      <c r="C2698" t="s">
        <v>2123</v>
      </c>
      <c r="D2698" s="11">
        <v>7800000</v>
      </c>
      <c r="E2698" t="s">
        <v>2124</v>
      </c>
      <c r="F2698" t="s">
        <v>2125</v>
      </c>
      <c r="G2698" t="s">
        <v>1755</v>
      </c>
    </row>
    <row r="2699" spans="1:7" ht="15" customHeight="1" x14ac:dyDescent="0.25">
      <c r="A2699" s="2">
        <v>46010</v>
      </c>
      <c r="B2699">
        <v>2025003722</v>
      </c>
      <c r="C2699" t="s">
        <v>2354</v>
      </c>
      <c r="D2699" s="11">
        <v>7800000</v>
      </c>
      <c r="E2699" t="s">
        <v>2355</v>
      </c>
      <c r="F2699" t="s">
        <v>2356</v>
      </c>
      <c r="G2699" t="s">
        <v>1755</v>
      </c>
    </row>
    <row r="2700" spans="1:7" ht="15" customHeight="1" x14ac:dyDescent="0.25">
      <c r="A2700" s="2">
        <v>46010</v>
      </c>
      <c r="B2700">
        <v>2025003723</v>
      </c>
      <c r="C2700" t="s">
        <v>1909</v>
      </c>
      <c r="D2700" s="11">
        <v>6300000</v>
      </c>
      <c r="E2700" t="s">
        <v>1669</v>
      </c>
      <c r="F2700" t="s">
        <v>457</v>
      </c>
      <c r="G2700" t="s">
        <v>1755</v>
      </c>
    </row>
    <row r="2701" spans="1:7" ht="15" customHeight="1" x14ac:dyDescent="0.25">
      <c r="A2701" s="2">
        <v>46010</v>
      </c>
      <c r="B2701">
        <v>2025003725</v>
      </c>
      <c r="C2701" t="s">
        <v>2360</v>
      </c>
      <c r="D2701" s="11">
        <v>7800000</v>
      </c>
      <c r="E2701" t="s">
        <v>2361</v>
      </c>
      <c r="F2701" t="s">
        <v>2362</v>
      </c>
      <c r="G2701" t="s">
        <v>1755</v>
      </c>
    </row>
    <row r="2702" spans="1:7" ht="15" customHeight="1" x14ac:dyDescent="0.25">
      <c r="A2702" s="2">
        <v>46010</v>
      </c>
      <c r="B2702">
        <v>2025003727</v>
      </c>
      <c r="C2702" t="s">
        <v>2336</v>
      </c>
      <c r="D2702" s="11">
        <v>7800000</v>
      </c>
      <c r="E2702" t="s">
        <v>2337</v>
      </c>
      <c r="F2702" t="s">
        <v>2338</v>
      </c>
      <c r="G2702" t="s">
        <v>1755</v>
      </c>
    </row>
    <row r="2703" spans="1:7" ht="15" customHeight="1" x14ac:dyDescent="0.25">
      <c r="A2703" s="2">
        <v>46010</v>
      </c>
      <c r="B2703">
        <v>2025003729</v>
      </c>
      <c r="C2703" t="s">
        <v>1908</v>
      </c>
      <c r="D2703" s="11">
        <v>7800000</v>
      </c>
      <c r="E2703" t="s">
        <v>1675</v>
      </c>
      <c r="F2703" t="s">
        <v>163</v>
      </c>
      <c r="G2703" t="s">
        <v>1755</v>
      </c>
    </row>
    <row r="2704" spans="1:7" ht="15" customHeight="1" x14ac:dyDescent="0.25">
      <c r="A2704" s="2">
        <v>46010</v>
      </c>
      <c r="B2704">
        <v>2025003730</v>
      </c>
      <c r="C2704" t="s">
        <v>2429</v>
      </c>
      <c r="D2704" s="11">
        <v>3150000</v>
      </c>
      <c r="E2704" t="s">
        <v>2430</v>
      </c>
      <c r="F2704" t="s">
        <v>2431</v>
      </c>
      <c r="G2704" t="s">
        <v>1755</v>
      </c>
    </row>
    <row r="2705" spans="1:7" ht="15" customHeight="1" x14ac:dyDescent="0.25">
      <c r="A2705" s="2">
        <v>46010</v>
      </c>
      <c r="B2705">
        <v>2025003731</v>
      </c>
      <c r="C2705" t="s">
        <v>2432</v>
      </c>
      <c r="D2705" s="11">
        <v>2000000</v>
      </c>
      <c r="E2705" t="s">
        <v>2433</v>
      </c>
      <c r="F2705" t="s">
        <v>2434</v>
      </c>
      <c r="G2705" t="s">
        <v>1755</v>
      </c>
    </row>
    <row r="2706" spans="1:7" ht="15" customHeight="1" x14ac:dyDescent="0.25">
      <c r="A2706" s="2">
        <v>46010</v>
      </c>
      <c r="B2706">
        <v>2025003732</v>
      </c>
      <c r="C2706" t="s">
        <v>2435</v>
      </c>
      <c r="D2706" s="11">
        <v>7800000</v>
      </c>
      <c r="E2706" t="s">
        <v>2436</v>
      </c>
      <c r="F2706" t="s">
        <v>2437</v>
      </c>
      <c r="G2706" t="s">
        <v>1755</v>
      </c>
    </row>
    <row r="2707" spans="1:7" ht="15" customHeight="1" x14ac:dyDescent="0.25">
      <c r="A2707" s="2">
        <v>46010</v>
      </c>
      <c r="B2707">
        <v>2025003733</v>
      </c>
      <c r="C2707" t="s">
        <v>1823</v>
      </c>
      <c r="D2707" s="11">
        <v>3150000</v>
      </c>
      <c r="E2707" t="s">
        <v>2042</v>
      </c>
      <c r="F2707" t="s">
        <v>693</v>
      </c>
      <c r="G2707" t="s">
        <v>1755</v>
      </c>
    </row>
    <row r="2708" spans="1:7" ht="15" customHeight="1" x14ac:dyDescent="0.25">
      <c r="A2708" s="2">
        <v>46010</v>
      </c>
      <c r="B2708">
        <v>2025003734</v>
      </c>
      <c r="C2708" t="s">
        <v>2273</v>
      </c>
      <c r="D2708" s="11">
        <v>4730000</v>
      </c>
      <c r="E2708" t="s">
        <v>2274</v>
      </c>
      <c r="F2708" t="s">
        <v>730</v>
      </c>
      <c r="G2708" t="s">
        <v>1755</v>
      </c>
    </row>
    <row r="2709" spans="1:7" ht="15" customHeight="1" x14ac:dyDescent="0.25">
      <c r="A2709" s="2">
        <v>46010</v>
      </c>
      <c r="B2709">
        <v>2025003735</v>
      </c>
      <c r="C2709" t="s">
        <v>1927</v>
      </c>
      <c r="D2709" s="11">
        <v>3150000</v>
      </c>
      <c r="E2709" t="s">
        <v>2187</v>
      </c>
      <c r="F2709" t="s">
        <v>1928</v>
      </c>
      <c r="G2709" t="s">
        <v>1755</v>
      </c>
    </row>
    <row r="2710" spans="1:7" ht="15" customHeight="1" x14ac:dyDescent="0.25">
      <c r="A2710" s="2">
        <v>46010</v>
      </c>
      <c r="B2710">
        <v>2025003736</v>
      </c>
      <c r="C2710" t="s">
        <v>2257</v>
      </c>
      <c r="D2710" s="11">
        <v>3150000</v>
      </c>
      <c r="E2710" t="s">
        <v>1680</v>
      </c>
      <c r="F2710" t="s">
        <v>525</v>
      </c>
      <c r="G2710" t="s">
        <v>1755</v>
      </c>
    </row>
    <row r="2711" spans="1:7" ht="15" customHeight="1" x14ac:dyDescent="0.25">
      <c r="A2711" s="2">
        <v>46010</v>
      </c>
      <c r="B2711">
        <v>2025003737</v>
      </c>
      <c r="C2711" t="s">
        <v>2283</v>
      </c>
      <c r="D2711" s="11">
        <v>1050000</v>
      </c>
      <c r="E2711" t="s">
        <v>1677</v>
      </c>
      <c r="F2711" t="s">
        <v>387</v>
      </c>
      <c r="G2711" t="s">
        <v>1755</v>
      </c>
    </row>
    <row r="2712" spans="1:7" ht="15" customHeight="1" x14ac:dyDescent="0.25">
      <c r="A2712" s="2">
        <v>46010</v>
      </c>
      <c r="B2712">
        <v>2025003738</v>
      </c>
      <c r="C2712" t="s">
        <v>1782</v>
      </c>
      <c r="D2712" s="11">
        <v>7800000</v>
      </c>
      <c r="E2712" t="s">
        <v>2180</v>
      </c>
      <c r="F2712" t="s">
        <v>591</v>
      </c>
      <c r="G2712" t="s">
        <v>1755</v>
      </c>
    </row>
    <row r="2713" spans="1:7" ht="15" customHeight="1" x14ac:dyDescent="0.25">
      <c r="A2713" s="2">
        <v>46010</v>
      </c>
      <c r="B2713">
        <v>2025003739</v>
      </c>
      <c r="C2713" t="s">
        <v>2280</v>
      </c>
      <c r="D2713" s="11">
        <v>3150000</v>
      </c>
      <c r="E2713" t="s">
        <v>2281</v>
      </c>
      <c r="F2713" t="s">
        <v>2282</v>
      </c>
      <c r="G2713" t="s">
        <v>1755</v>
      </c>
    </row>
    <row r="2714" spans="1:7" ht="15" customHeight="1" x14ac:dyDescent="0.25">
      <c r="A2714" s="2">
        <v>46010</v>
      </c>
      <c r="B2714">
        <v>2025003740</v>
      </c>
      <c r="C2714" t="s">
        <v>1930</v>
      </c>
      <c r="D2714" s="11">
        <v>3150000</v>
      </c>
      <c r="E2714" t="s">
        <v>2100</v>
      </c>
      <c r="F2714" t="s">
        <v>1931</v>
      </c>
      <c r="G2714" t="s">
        <v>1755</v>
      </c>
    </row>
    <row r="2715" spans="1:7" ht="15" customHeight="1" x14ac:dyDescent="0.25">
      <c r="A2715" s="2">
        <v>46010</v>
      </c>
      <c r="B2715">
        <v>2025003741</v>
      </c>
      <c r="C2715" t="s">
        <v>1806</v>
      </c>
      <c r="D2715" s="11">
        <v>7800000</v>
      </c>
      <c r="E2715" t="s">
        <v>2040</v>
      </c>
      <c r="F2715" t="s">
        <v>1807</v>
      </c>
      <c r="G2715" t="s">
        <v>1755</v>
      </c>
    </row>
    <row r="2716" spans="1:7" ht="15" customHeight="1" x14ac:dyDescent="0.25">
      <c r="A2716" s="2">
        <v>46010</v>
      </c>
      <c r="B2716">
        <v>2025003743</v>
      </c>
      <c r="C2716" s="4" t="s">
        <v>1937</v>
      </c>
      <c r="D2716" s="11">
        <v>4730000</v>
      </c>
      <c r="E2716" t="s">
        <v>2256</v>
      </c>
      <c r="F2716" t="s">
        <v>151</v>
      </c>
      <c r="G2716" t="s">
        <v>1755</v>
      </c>
    </row>
    <row r="2717" spans="1:7" ht="15" customHeight="1" x14ac:dyDescent="0.25">
      <c r="A2717" s="2">
        <v>46010</v>
      </c>
      <c r="B2717">
        <v>2025003744</v>
      </c>
      <c r="C2717" t="s">
        <v>1933</v>
      </c>
      <c r="D2717" s="11">
        <v>4730000</v>
      </c>
      <c r="E2717" t="s">
        <v>1628</v>
      </c>
      <c r="F2717" t="s">
        <v>705</v>
      </c>
      <c r="G2717" t="s">
        <v>1755</v>
      </c>
    </row>
    <row r="2718" spans="1:7" ht="15" customHeight="1" x14ac:dyDescent="0.25">
      <c r="A2718" s="2">
        <v>46010</v>
      </c>
      <c r="B2718">
        <v>2025003745</v>
      </c>
      <c r="C2718" t="s">
        <v>1924</v>
      </c>
      <c r="D2718" s="11">
        <v>6300000</v>
      </c>
      <c r="E2718" t="s">
        <v>1594</v>
      </c>
      <c r="F2718" t="s">
        <v>1102</v>
      </c>
      <c r="G2718" t="s">
        <v>1755</v>
      </c>
    </row>
    <row r="2719" spans="1:7" ht="15" customHeight="1" x14ac:dyDescent="0.25">
      <c r="A2719" s="2">
        <v>46010</v>
      </c>
      <c r="B2719">
        <v>2025003746</v>
      </c>
      <c r="C2719" t="s">
        <v>1935</v>
      </c>
      <c r="D2719" s="11">
        <v>3150000</v>
      </c>
      <c r="E2719" t="s">
        <v>2061</v>
      </c>
      <c r="F2719" t="s">
        <v>1936</v>
      </c>
      <c r="G2719" t="s">
        <v>1755</v>
      </c>
    </row>
    <row r="2720" spans="1:7" ht="15" customHeight="1" x14ac:dyDescent="0.25">
      <c r="A2720" s="2">
        <v>46010</v>
      </c>
      <c r="B2720">
        <v>2025003747</v>
      </c>
      <c r="C2720" t="s">
        <v>1804</v>
      </c>
      <c r="D2720" s="11">
        <v>6300000</v>
      </c>
      <c r="E2720" t="s">
        <v>1723</v>
      </c>
      <c r="F2720" t="s">
        <v>1233</v>
      </c>
      <c r="G2720" t="s">
        <v>1755</v>
      </c>
    </row>
    <row r="2721" spans="1:7" ht="15" customHeight="1" x14ac:dyDescent="0.25">
      <c r="A2721" s="2">
        <v>46010</v>
      </c>
      <c r="B2721">
        <v>2025003748</v>
      </c>
      <c r="C2721" t="s">
        <v>1812</v>
      </c>
      <c r="D2721" s="11">
        <v>7800000</v>
      </c>
      <c r="E2721" t="s">
        <v>2057</v>
      </c>
      <c r="F2721" t="s">
        <v>1813</v>
      </c>
      <c r="G2721" t="s">
        <v>1755</v>
      </c>
    </row>
    <row r="2722" spans="1:7" ht="15" customHeight="1" x14ac:dyDescent="0.25">
      <c r="A2722" s="2">
        <v>46010</v>
      </c>
      <c r="B2722">
        <v>2025003749</v>
      </c>
      <c r="C2722" t="s">
        <v>2290</v>
      </c>
      <c r="D2722" s="11">
        <v>4730000</v>
      </c>
      <c r="E2722" t="s">
        <v>2291</v>
      </c>
      <c r="F2722" t="s">
        <v>2292</v>
      </c>
      <c r="G2722" t="s">
        <v>1755</v>
      </c>
    </row>
    <row r="2723" spans="1:7" ht="15" customHeight="1" x14ac:dyDescent="0.25">
      <c r="A2723" s="2">
        <v>46010</v>
      </c>
      <c r="B2723">
        <v>2025003750</v>
      </c>
      <c r="C2723" t="s">
        <v>2184</v>
      </c>
      <c r="D2723" s="11">
        <v>6300000</v>
      </c>
      <c r="E2723" t="s">
        <v>2185</v>
      </c>
      <c r="F2723" t="s">
        <v>2186</v>
      </c>
      <c r="G2723" t="s">
        <v>1755</v>
      </c>
    </row>
    <row r="2724" spans="1:7" ht="15" customHeight="1" x14ac:dyDescent="0.25">
      <c r="A2724" s="2">
        <v>46010</v>
      </c>
      <c r="B2724">
        <v>2025003751</v>
      </c>
      <c r="C2724" t="s">
        <v>2312</v>
      </c>
      <c r="D2724" s="11">
        <v>7800000</v>
      </c>
      <c r="E2724" t="s">
        <v>2313</v>
      </c>
      <c r="F2724" t="s">
        <v>2314</v>
      </c>
      <c r="G2724" t="s">
        <v>1755</v>
      </c>
    </row>
    <row r="2725" spans="1:7" ht="15" customHeight="1" x14ac:dyDescent="0.25">
      <c r="A2725" s="2">
        <v>46010</v>
      </c>
      <c r="B2725">
        <v>2025003752</v>
      </c>
      <c r="C2725" t="s">
        <v>2272</v>
      </c>
      <c r="D2725" s="11">
        <v>3150000</v>
      </c>
      <c r="E2725" t="s">
        <v>1743</v>
      </c>
      <c r="F2725" t="s">
        <v>1211</v>
      </c>
      <c r="G2725" t="s">
        <v>1755</v>
      </c>
    </row>
    <row r="2726" spans="1:7" ht="15" customHeight="1" x14ac:dyDescent="0.25">
      <c r="A2726" s="2">
        <v>46010</v>
      </c>
      <c r="B2726">
        <v>2025003753</v>
      </c>
      <c r="C2726" t="s">
        <v>2305</v>
      </c>
      <c r="D2726" s="11">
        <v>4730000</v>
      </c>
      <c r="E2726" t="s">
        <v>2306</v>
      </c>
      <c r="F2726" t="s">
        <v>2307</v>
      </c>
      <c r="G2726" t="s">
        <v>1755</v>
      </c>
    </row>
    <row r="2727" spans="1:7" ht="15" customHeight="1" x14ac:dyDescent="0.25">
      <c r="A2727" s="2">
        <v>46010</v>
      </c>
      <c r="B2727">
        <v>2025003754</v>
      </c>
      <c r="C2727" t="s">
        <v>2267</v>
      </c>
      <c r="D2727" s="11">
        <v>3150000</v>
      </c>
      <c r="E2727" t="s">
        <v>1696</v>
      </c>
      <c r="F2727" t="s">
        <v>123</v>
      </c>
      <c r="G2727" t="s">
        <v>1755</v>
      </c>
    </row>
    <row r="2728" spans="1:7" ht="15" customHeight="1" x14ac:dyDescent="0.25">
      <c r="A2728" s="2">
        <v>46010</v>
      </c>
      <c r="B2728">
        <v>2025003755</v>
      </c>
      <c r="C2728" t="s">
        <v>2250</v>
      </c>
      <c r="D2728" s="11">
        <v>3150000</v>
      </c>
      <c r="E2728" t="s">
        <v>2251</v>
      </c>
      <c r="F2728" t="s">
        <v>2252</v>
      </c>
      <c r="G2728" t="s">
        <v>1755</v>
      </c>
    </row>
    <row r="2729" spans="1:7" ht="15" customHeight="1" x14ac:dyDescent="0.25">
      <c r="A2729" s="2">
        <v>46011</v>
      </c>
      <c r="B2729">
        <v>2025003756</v>
      </c>
      <c r="C2729" t="s">
        <v>2302</v>
      </c>
      <c r="D2729" s="11">
        <v>7800000</v>
      </c>
      <c r="E2729" t="s">
        <v>2303</v>
      </c>
      <c r="F2729" t="s">
        <v>2304</v>
      </c>
      <c r="G2729" t="s">
        <v>1755</v>
      </c>
    </row>
    <row r="2730" spans="1:7" ht="15" customHeight="1" x14ac:dyDescent="0.25">
      <c r="A2730" s="2">
        <v>46011</v>
      </c>
      <c r="B2730">
        <v>2025003757</v>
      </c>
      <c r="C2730" t="s">
        <v>2260</v>
      </c>
      <c r="D2730" s="11">
        <v>3150000</v>
      </c>
      <c r="E2730" t="s">
        <v>1632</v>
      </c>
      <c r="F2730" t="s">
        <v>121</v>
      </c>
      <c r="G2730" t="s">
        <v>1755</v>
      </c>
    </row>
    <row r="2731" spans="1:7" ht="15" customHeight="1" x14ac:dyDescent="0.25">
      <c r="A2731" s="2">
        <v>46011</v>
      </c>
      <c r="B2731">
        <v>2025003758</v>
      </c>
      <c r="C2731" t="s">
        <v>2438</v>
      </c>
      <c r="D2731" s="11">
        <v>3150000</v>
      </c>
      <c r="E2731" t="s">
        <v>1609</v>
      </c>
      <c r="F2731" t="s">
        <v>229</v>
      </c>
      <c r="G2731" t="s">
        <v>1755</v>
      </c>
    </row>
    <row r="2732" spans="1:7" ht="15" customHeight="1" x14ac:dyDescent="0.25">
      <c r="A2732" s="2">
        <v>46011</v>
      </c>
      <c r="B2732">
        <v>2025003759</v>
      </c>
      <c r="C2732" t="s">
        <v>2439</v>
      </c>
      <c r="D2732" s="11">
        <v>3150000</v>
      </c>
      <c r="E2732" t="s">
        <v>2440</v>
      </c>
      <c r="F2732" t="s">
        <v>2441</v>
      </c>
      <c r="G2732" t="s">
        <v>1755</v>
      </c>
    </row>
    <row r="2733" spans="1:7" ht="15" customHeight="1" x14ac:dyDescent="0.25">
      <c r="A2733" s="2">
        <v>46011</v>
      </c>
      <c r="B2733">
        <v>2025003760</v>
      </c>
      <c r="C2733" t="s">
        <v>2442</v>
      </c>
      <c r="D2733" s="11">
        <v>2000000</v>
      </c>
      <c r="E2733" t="s">
        <v>2443</v>
      </c>
      <c r="F2733" t="s">
        <v>2444</v>
      </c>
      <c r="G2733" t="s">
        <v>1755</v>
      </c>
    </row>
    <row r="2734" spans="1:7" ht="15" customHeight="1" x14ac:dyDescent="0.25">
      <c r="A2734" s="2">
        <v>46011</v>
      </c>
      <c r="B2734">
        <v>2025003761</v>
      </c>
      <c r="C2734" t="s">
        <v>2445</v>
      </c>
      <c r="D2734" s="11">
        <v>4730000</v>
      </c>
      <c r="E2734" t="s">
        <v>2446</v>
      </c>
      <c r="F2734" t="s">
        <v>2447</v>
      </c>
      <c r="G2734" t="s">
        <v>1755</v>
      </c>
    </row>
    <row r="2735" spans="1:7" ht="15" customHeight="1" x14ac:dyDescent="0.25">
      <c r="A2735" s="20">
        <v>46011</v>
      </c>
      <c r="B2735">
        <v>2025003762</v>
      </c>
      <c r="C2735" t="s">
        <v>2470</v>
      </c>
      <c r="D2735" s="21">
        <v>3150000</v>
      </c>
      <c r="E2735">
        <v>1086755989</v>
      </c>
      <c r="F2735" t="s">
        <v>2471</v>
      </c>
      <c r="G2735" t="s">
        <v>1755</v>
      </c>
    </row>
    <row r="2736" spans="1:7" ht="15" customHeight="1" x14ac:dyDescent="0.25">
      <c r="A2736" s="2">
        <v>46011</v>
      </c>
      <c r="B2736">
        <v>2025003763</v>
      </c>
      <c r="C2736" t="s">
        <v>2448</v>
      </c>
      <c r="D2736" s="11">
        <v>3150000</v>
      </c>
      <c r="E2736" t="s">
        <v>2449</v>
      </c>
      <c r="F2736" t="s">
        <v>55</v>
      </c>
      <c r="G2736" t="s">
        <v>1755</v>
      </c>
    </row>
    <row r="2737" spans="1:7" ht="15" customHeight="1" x14ac:dyDescent="0.25">
      <c r="A2737" s="2">
        <v>46011</v>
      </c>
      <c r="B2737">
        <v>2025003765</v>
      </c>
      <c r="C2737" t="s">
        <v>1934</v>
      </c>
      <c r="D2737" s="11">
        <v>4730000</v>
      </c>
      <c r="E2737" t="s">
        <v>2039</v>
      </c>
      <c r="F2737" t="s">
        <v>464</v>
      </c>
      <c r="G2737" t="s">
        <v>1755</v>
      </c>
    </row>
    <row r="2738" spans="1:7" ht="15" customHeight="1" x14ac:dyDescent="0.25">
      <c r="A2738" s="2">
        <v>46011</v>
      </c>
      <c r="B2738">
        <v>2025003767</v>
      </c>
      <c r="C2738" t="s">
        <v>1826</v>
      </c>
      <c r="D2738" s="11">
        <v>7800000</v>
      </c>
      <c r="E2738" t="s">
        <v>2191</v>
      </c>
      <c r="F2738" t="s">
        <v>239</v>
      </c>
      <c r="G2738" t="s">
        <v>1755</v>
      </c>
    </row>
    <row r="2739" spans="1:7" ht="15" customHeight="1" x14ac:dyDescent="0.25">
      <c r="A2739" s="2">
        <v>46011</v>
      </c>
      <c r="B2739">
        <v>2025003771</v>
      </c>
      <c r="C2739" t="s">
        <v>1822</v>
      </c>
      <c r="D2739" s="11">
        <v>3150000</v>
      </c>
      <c r="E2739" t="s">
        <v>2099</v>
      </c>
      <c r="F2739" t="s">
        <v>1011</v>
      </c>
      <c r="G2739" t="s">
        <v>1755</v>
      </c>
    </row>
    <row r="2740" spans="1:7" ht="15" customHeight="1" x14ac:dyDescent="0.25">
      <c r="A2740" s="2">
        <v>46011</v>
      </c>
      <c r="B2740">
        <v>2025003773</v>
      </c>
      <c r="C2740" t="s">
        <v>1768</v>
      </c>
      <c r="D2740" s="11">
        <v>3150000</v>
      </c>
      <c r="E2740" t="s">
        <v>2214</v>
      </c>
      <c r="F2740" t="s">
        <v>1769</v>
      </c>
      <c r="G2740" t="s">
        <v>1755</v>
      </c>
    </row>
    <row r="2741" spans="1:7" ht="15" customHeight="1" x14ac:dyDescent="0.25">
      <c r="A2741" s="2">
        <v>46011</v>
      </c>
      <c r="B2741">
        <v>2025003776</v>
      </c>
      <c r="C2741" t="s">
        <v>1989</v>
      </c>
      <c r="D2741" s="11">
        <v>3150000</v>
      </c>
      <c r="E2741" t="s">
        <v>2110</v>
      </c>
      <c r="F2741" t="s">
        <v>289</v>
      </c>
      <c r="G2741" t="s">
        <v>1755</v>
      </c>
    </row>
    <row r="2742" spans="1:7" ht="15" customHeight="1" x14ac:dyDescent="0.25">
      <c r="A2742" s="2">
        <v>46011</v>
      </c>
      <c r="B2742">
        <v>2025003780</v>
      </c>
      <c r="C2742" t="s">
        <v>1795</v>
      </c>
      <c r="D2742" s="11">
        <v>6300000</v>
      </c>
      <c r="E2742" t="s">
        <v>1600</v>
      </c>
      <c r="F2742" t="s">
        <v>385</v>
      </c>
      <c r="G2742" t="s">
        <v>1755</v>
      </c>
    </row>
    <row r="2743" spans="1:7" ht="15" customHeight="1" x14ac:dyDescent="0.25">
      <c r="A2743" s="2">
        <v>46011</v>
      </c>
      <c r="B2743">
        <v>2025003781</v>
      </c>
      <c r="C2743" t="s">
        <v>1799</v>
      </c>
      <c r="D2743" s="11">
        <v>3150000</v>
      </c>
      <c r="E2743" t="s">
        <v>2247</v>
      </c>
      <c r="F2743" t="s">
        <v>1086</v>
      </c>
      <c r="G2743" t="s">
        <v>1755</v>
      </c>
    </row>
    <row r="2744" spans="1:7" ht="15" customHeight="1" x14ac:dyDescent="0.25">
      <c r="A2744" s="2">
        <v>46011</v>
      </c>
      <c r="B2744">
        <v>2025003782</v>
      </c>
      <c r="C2744" s="4" t="s">
        <v>1861</v>
      </c>
      <c r="D2744" s="11">
        <v>7800000</v>
      </c>
      <c r="E2744" t="s">
        <v>1622</v>
      </c>
      <c r="F2744" t="s">
        <v>63</v>
      </c>
      <c r="G2744" t="s">
        <v>1755</v>
      </c>
    </row>
    <row r="2745" spans="1:7" ht="15" customHeight="1" x14ac:dyDescent="0.25">
      <c r="A2745" s="2">
        <v>46011</v>
      </c>
      <c r="B2745">
        <v>2025003786</v>
      </c>
      <c r="C2745" t="s">
        <v>2450</v>
      </c>
      <c r="D2745" s="11">
        <v>6300000</v>
      </c>
      <c r="E2745" t="s">
        <v>1738</v>
      </c>
      <c r="F2745" t="s">
        <v>670</v>
      </c>
      <c r="G2745" t="s">
        <v>1755</v>
      </c>
    </row>
    <row r="2746" spans="1:7" ht="15" customHeight="1" x14ac:dyDescent="0.25">
      <c r="A2746" s="2">
        <v>46011</v>
      </c>
      <c r="B2746">
        <v>2025003788</v>
      </c>
      <c r="C2746" t="s">
        <v>1965</v>
      </c>
      <c r="D2746" s="11">
        <v>3150000</v>
      </c>
      <c r="E2746" t="s">
        <v>2047</v>
      </c>
      <c r="F2746" t="s">
        <v>1966</v>
      </c>
      <c r="G2746" t="s">
        <v>1755</v>
      </c>
    </row>
    <row r="2747" spans="1:7" ht="15" customHeight="1" x14ac:dyDescent="0.25">
      <c r="A2747" s="2">
        <v>46011</v>
      </c>
      <c r="B2747">
        <v>2025003789</v>
      </c>
      <c r="C2747" t="s">
        <v>2107</v>
      </c>
      <c r="D2747" s="11">
        <v>2000000</v>
      </c>
      <c r="E2747" t="s">
        <v>2108</v>
      </c>
      <c r="F2747" t="s">
        <v>2109</v>
      </c>
      <c r="G2747" t="s">
        <v>1755</v>
      </c>
    </row>
    <row r="2748" spans="1:7" ht="15" customHeight="1" x14ac:dyDescent="0.25">
      <c r="A2748" s="2">
        <v>46011</v>
      </c>
      <c r="B2748">
        <v>2025003792</v>
      </c>
      <c r="C2748" t="s">
        <v>2451</v>
      </c>
      <c r="D2748" s="11">
        <v>4730000</v>
      </c>
      <c r="E2748" t="s">
        <v>2452</v>
      </c>
      <c r="F2748" t="s">
        <v>2453</v>
      </c>
      <c r="G2748" t="s">
        <v>1755</v>
      </c>
    </row>
    <row r="2749" spans="1:7" ht="15" customHeight="1" x14ac:dyDescent="0.25">
      <c r="A2749" s="2">
        <v>46011</v>
      </c>
      <c r="B2749">
        <v>2025003793</v>
      </c>
      <c r="C2749" t="s">
        <v>2454</v>
      </c>
      <c r="D2749" s="11">
        <v>2000000</v>
      </c>
      <c r="E2749" t="s">
        <v>2455</v>
      </c>
      <c r="F2749" t="s">
        <v>866</v>
      </c>
      <c r="G2749" t="s">
        <v>1755</v>
      </c>
    </row>
    <row r="2750" spans="1:7" ht="15" customHeight="1" x14ac:dyDescent="0.25">
      <c r="A2750" s="2">
        <v>46011</v>
      </c>
      <c r="B2750">
        <v>2025003794</v>
      </c>
      <c r="C2750" t="s">
        <v>1798</v>
      </c>
      <c r="D2750" s="11">
        <v>3150000</v>
      </c>
      <c r="E2750" t="s">
        <v>1657</v>
      </c>
      <c r="F2750" t="s">
        <v>59</v>
      </c>
      <c r="G2750" t="s">
        <v>1755</v>
      </c>
    </row>
    <row r="2751" spans="1:7" ht="15" customHeight="1" x14ac:dyDescent="0.25">
      <c r="A2751" s="2">
        <v>46011</v>
      </c>
      <c r="B2751">
        <v>2025003796</v>
      </c>
      <c r="C2751" t="s">
        <v>2143</v>
      </c>
      <c r="D2751" s="11">
        <v>3150000</v>
      </c>
      <c r="E2751" t="s">
        <v>2144</v>
      </c>
      <c r="F2751" t="s">
        <v>2145</v>
      </c>
      <c r="G2751" t="s">
        <v>1755</v>
      </c>
    </row>
    <row r="2752" spans="1:7" ht="15" customHeight="1" x14ac:dyDescent="0.25">
      <c r="A2752" s="2">
        <v>46011</v>
      </c>
      <c r="B2752">
        <v>2025003798</v>
      </c>
      <c r="C2752" t="s">
        <v>2320</v>
      </c>
      <c r="D2752" s="11">
        <v>2000000</v>
      </c>
      <c r="E2752" t="s">
        <v>2321</v>
      </c>
      <c r="F2752" t="s">
        <v>2322</v>
      </c>
      <c r="G2752" t="s">
        <v>1755</v>
      </c>
    </row>
    <row r="2753" spans="1:7" ht="15" customHeight="1" x14ac:dyDescent="0.25">
      <c r="A2753" s="2">
        <v>46011</v>
      </c>
      <c r="B2753">
        <v>2025003799</v>
      </c>
      <c r="C2753" t="s">
        <v>2139</v>
      </c>
      <c r="D2753" s="11">
        <v>6300000</v>
      </c>
      <c r="E2753" t="s">
        <v>1703</v>
      </c>
      <c r="F2753" t="s">
        <v>113</v>
      </c>
      <c r="G2753" t="s">
        <v>1755</v>
      </c>
    </row>
    <row r="2754" spans="1:7" ht="15" customHeight="1" x14ac:dyDescent="0.25">
      <c r="A2754" s="2">
        <v>46011</v>
      </c>
      <c r="B2754">
        <v>2025003800</v>
      </c>
      <c r="C2754" t="s">
        <v>1892</v>
      </c>
      <c r="D2754" s="11">
        <v>3150000</v>
      </c>
      <c r="E2754" t="s">
        <v>2120</v>
      </c>
      <c r="F2754" t="s">
        <v>1893</v>
      </c>
      <c r="G2754" t="s">
        <v>1755</v>
      </c>
    </row>
    <row r="2755" spans="1:7" ht="15" customHeight="1" x14ac:dyDescent="0.25">
      <c r="A2755" s="2">
        <v>46011</v>
      </c>
      <c r="B2755">
        <v>2025003801</v>
      </c>
      <c r="C2755" t="s">
        <v>2403</v>
      </c>
      <c r="D2755" s="11">
        <v>3150000</v>
      </c>
      <c r="E2755" t="s">
        <v>2404</v>
      </c>
      <c r="F2755" t="s">
        <v>2405</v>
      </c>
      <c r="G2755" t="s">
        <v>1755</v>
      </c>
    </row>
    <row r="2756" spans="1:7" ht="15" customHeight="1" x14ac:dyDescent="0.25">
      <c r="A2756" s="2">
        <v>46011</v>
      </c>
      <c r="B2756">
        <v>2025003802</v>
      </c>
      <c r="C2756" t="s">
        <v>1967</v>
      </c>
      <c r="D2756" s="11">
        <v>3150000</v>
      </c>
      <c r="E2756" t="s">
        <v>2053</v>
      </c>
      <c r="F2756" t="s">
        <v>1968</v>
      </c>
      <c r="G2756" t="s">
        <v>1755</v>
      </c>
    </row>
    <row r="2757" spans="1:7" ht="15" customHeight="1" x14ac:dyDescent="0.25">
      <c r="A2757" s="2">
        <v>46011</v>
      </c>
      <c r="B2757">
        <v>2025003803</v>
      </c>
      <c r="C2757" t="s">
        <v>1950</v>
      </c>
      <c r="D2757" s="11">
        <v>3150000</v>
      </c>
      <c r="E2757" t="s">
        <v>2045</v>
      </c>
      <c r="F2757" t="s">
        <v>1951</v>
      </c>
      <c r="G2757" t="s">
        <v>1755</v>
      </c>
    </row>
    <row r="2758" spans="1:7" ht="15" customHeight="1" x14ac:dyDescent="0.25">
      <c r="A2758" s="2">
        <v>46011</v>
      </c>
      <c r="B2758">
        <v>2025003804</v>
      </c>
      <c r="C2758" t="s">
        <v>2309</v>
      </c>
      <c r="D2758" s="11">
        <v>3150000</v>
      </c>
      <c r="E2758" t="s">
        <v>2310</v>
      </c>
      <c r="F2758" t="s">
        <v>2311</v>
      </c>
      <c r="G2758" t="s">
        <v>1755</v>
      </c>
    </row>
    <row r="2759" spans="1:7" ht="15" customHeight="1" x14ac:dyDescent="0.25">
      <c r="A2759" s="2">
        <v>46011</v>
      </c>
      <c r="B2759">
        <v>2025003805</v>
      </c>
      <c r="C2759" t="s">
        <v>2211</v>
      </c>
      <c r="D2759" s="11">
        <v>2000000</v>
      </c>
      <c r="E2759" t="s">
        <v>2212</v>
      </c>
      <c r="F2759" t="s">
        <v>319</v>
      </c>
      <c r="G2759" t="s">
        <v>1755</v>
      </c>
    </row>
    <row r="2760" spans="1:7" ht="15" customHeight="1" x14ac:dyDescent="0.25">
      <c r="A2760" s="2">
        <v>46011</v>
      </c>
      <c r="B2760">
        <v>2025003806</v>
      </c>
      <c r="C2760" t="s">
        <v>1900</v>
      </c>
      <c r="D2760" s="11">
        <v>6300000</v>
      </c>
      <c r="E2760" t="s">
        <v>1705</v>
      </c>
      <c r="F2760" t="s">
        <v>450</v>
      </c>
      <c r="G2760" t="s">
        <v>1755</v>
      </c>
    </row>
    <row r="2761" spans="1:7" ht="15" customHeight="1" x14ac:dyDescent="0.25">
      <c r="A2761" s="2">
        <v>46011</v>
      </c>
      <c r="B2761">
        <v>2025003807</v>
      </c>
      <c r="C2761" t="s">
        <v>1775</v>
      </c>
      <c r="D2761" s="11">
        <v>3150000</v>
      </c>
      <c r="E2761" t="s">
        <v>1639</v>
      </c>
      <c r="F2761" t="s">
        <v>409</v>
      </c>
      <c r="G2761" t="s">
        <v>1755</v>
      </c>
    </row>
    <row r="2762" spans="1:7" ht="15" customHeight="1" x14ac:dyDescent="0.25">
      <c r="A2762" s="2">
        <v>46011</v>
      </c>
      <c r="B2762">
        <v>2025003808</v>
      </c>
      <c r="C2762" t="s">
        <v>2117</v>
      </c>
      <c r="D2762" s="11">
        <v>3150000</v>
      </c>
      <c r="E2762" t="s">
        <v>2118</v>
      </c>
      <c r="F2762" t="s">
        <v>2119</v>
      </c>
      <c r="G2762" t="s">
        <v>1755</v>
      </c>
    </row>
    <row r="2763" spans="1:7" ht="15" customHeight="1" x14ac:dyDescent="0.25">
      <c r="A2763" s="2">
        <v>46011</v>
      </c>
      <c r="B2763">
        <v>2025003809</v>
      </c>
      <c r="C2763" t="s">
        <v>1760</v>
      </c>
      <c r="D2763" s="11">
        <v>3150000</v>
      </c>
      <c r="E2763" t="s">
        <v>1652</v>
      </c>
      <c r="F2763" t="s">
        <v>371</v>
      </c>
      <c r="G2763" t="s">
        <v>1755</v>
      </c>
    </row>
    <row r="2764" spans="1:7" ht="15" customHeight="1" x14ac:dyDescent="0.25">
      <c r="A2764" s="2">
        <v>46011</v>
      </c>
      <c r="B2764">
        <v>2025003811</v>
      </c>
      <c r="C2764" t="s">
        <v>1828</v>
      </c>
      <c r="D2764" s="11">
        <v>3150000</v>
      </c>
      <c r="E2764" t="s">
        <v>2074</v>
      </c>
      <c r="F2764" t="s">
        <v>1829</v>
      </c>
      <c r="G2764" t="s">
        <v>1755</v>
      </c>
    </row>
    <row r="2765" spans="1:7" ht="15" customHeight="1" x14ac:dyDescent="0.25">
      <c r="A2765" s="2">
        <v>46011</v>
      </c>
      <c r="B2765">
        <v>2025003812</v>
      </c>
      <c r="C2765" t="s">
        <v>1842</v>
      </c>
      <c r="D2765" s="11">
        <v>3150000</v>
      </c>
      <c r="E2765" t="s">
        <v>2062</v>
      </c>
      <c r="F2765" t="s">
        <v>1843</v>
      </c>
      <c r="G2765" t="s">
        <v>1755</v>
      </c>
    </row>
    <row r="2766" spans="1:7" ht="15" customHeight="1" x14ac:dyDescent="0.25">
      <c r="A2766" s="2">
        <v>46011</v>
      </c>
      <c r="B2766">
        <v>2025003814</v>
      </c>
      <c r="C2766" t="s">
        <v>1835</v>
      </c>
      <c r="D2766" s="11">
        <v>3150000</v>
      </c>
      <c r="E2766" t="s">
        <v>1679</v>
      </c>
      <c r="F2766" t="s">
        <v>111</v>
      </c>
      <c r="G2766" t="s">
        <v>1755</v>
      </c>
    </row>
    <row r="2767" spans="1:7" ht="15" customHeight="1" x14ac:dyDescent="0.25">
      <c r="A2767" s="2">
        <v>46011</v>
      </c>
      <c r="B2767">
        <v>2025003815</v>
      </c>
      <c r="C2767" t="s">
        <v>1845</v>
      </c>
      <c r="D2767" s="11">
        <v>6300000</v>
      </c>
      <c r="E2767" t="s">
        <v>2215</v>
      </c>
      <c r="F2767" t="s">
        <v>1846</v>
      </c>
      <c r="G2767" t="s">
        <v>1755</v>
      </c>
    </row>
    <row r="2768" spans="1:7" ht="15" customHeight="1" x14ac:dyDescent="0.25">
      <c r="A2768" s="2">
        <v>46011</v>
      </c>
      <c r="B2768">
        <v>2025003816</v>
      </c>
      <c r="C2768" t="s">
        <v>1765</v>
      </c>
      <c r="D2768" s="11">
        <v>6300000</v>
      </c>
      <c r="E2768" t="s">
        <v>2009</v>
      </c>
      <c r="F2768" t="s">
        <v>1766</v>
      </c>
      <c r="G2768" t="s">
        <v>1755</v>
      </c>
    </row>
    <row r="2769" spans="1:7" ht="15" customHeight="1" x14ac:dyDescent="0.25">
      <c r="A2769" s="2">
        <v>46011</v>
      </c>
      <c r="B2769">
        <v>2025003818</v>
      </c>
      <c r="C2769" t="s">
        <v>1925</v>
      </c>
      <c r="D2769" s="11">
        <v>4730000</v>
      </c>
      <c r="E2769" t="s">
        <v>2288</v>
      </c>
      <c r="F2769" t="s">
        <v>1926</v>
      </c>
      <c r="G2769" t="s">
        <v>1755</v>
      </c>
    </row>
    <row r="2770" spans="1:7" ht="15" customHeight="1" x14ac:dyDescent="0.25">
      <c r="A2770" s="2">
        <v>46011</v>
      </c>
      <c r="B2770">
        <v>2025003819</v>
      </c>
      <c r="C2770" s="4" t="s">
        <v>2219</v>
      </c>
      <c r="D2770" s="11">
        <v>3150000</v>
      </c>
      <c r="E2770" t="s">
        <v>2220</v>
      </c>
      <c r="F2770" t="s">
        <v>2221</v>
      </c>
      <c r="G2770" t="s">
        <v>1755</v>
      </c>
    </row>
    <row r="2771" spans="1:7" ht="15" customHeight="1" x14ac:dyDescent="0.25">
      <c r="A2771" s="2">
        <v>46011</v>
      </c>
      <c r="B2771">
        <v>2025003820</v>
      </c>
      <c r="C2771" t="s">
        <v>1890</v>
      </c>
      <c r="D2771" s="11">
        <v>4730000</v>
      </c>
      <c r="E2771" t="s">
        <v>2020</v>
      </c>
      <c r="F2771" t="s">
        <v>1891</v>
      </c>
      <c r="G2771" t="s">
        <v>1755</v>
      </c>
    </row>
    <row r="2772" spans="1:7" ht="15" customHeight="1" x14ac:dyDescent="0.25">
      <c r="A2772" s="2">
        <v>46011</v>
      </c>
      <c r="B2772">
        <v>2025003822</v>
      </c>
      <c r="C2772" t="s">
        <v>1850</v>
      </c>
      <c r="D2772" s="11">
        <v>4730000</v>
      </c>
      <c r="E2772" t="s">
        <v>2076</v>
      </c>
      <c r="F2772" t="s">
        <v>429</v>
      </c>
      <c r="G2772" t="s">
        <v>1755</v>
      </c>
    </row>
    <row r="2773" spans="1:7" ht="15" customHeight="1" x14ac:dyDescent="0.25">
      <c r="A2773" s="2">
        <v>46011</v>
      </c>
      <c r="B2773">
        <v>2025003823</v>
      </c>
      <c r="C2773" t="s">
        <v>1952</v>
      </c>
      <c r="D2773" s="11">
        <v>3150000</v>
      </c>
      <c r="E2773" t="s">
        <v>2049</v>
      </c>
      <c r="F2773" t="s">
        <v>1953</v>
      </c>
      <c r="G2773" t="s">
        <v>1755</v>
      </c>
    </row>
    <row r="2774" spans="1:7" ht="15" customHeight="1" x14ac:dyDescent="0.25">
      <c r="A2774" s="2">
        <v>46011</v>
      </c>
      <c r="B2774">
        <v>2025003828</v>
      </c>
      <c r="C2774" t="s">
        <v>2103</v>
      </c>
      <c r="D2774" s="11">
        <v>6300000</v>
      </c>
      <c r="E2774" t="s">
        <v>1748</v>
      </c>
      <c r="F2774" t="s">
        <v>437</v>
      </c>
      <c r="G2774" t="s">
        <v>1755</v>
      </c>
    </row>
    <row r="2775" spans="1:7" ht="15" customHeight="1" x14ac:dyDescent="0.25">
      <c r="A2775" s="2">
        <v>46011</v>
      </c>
      <c r="B2775">
        <v>2025003829</v>
      </c>
      <c r="C2775" t="s">
        <v>1946</v>
      </c>
      <c r="D2775" s="11">
        <v>3150000</v>
      </c>
      <c r="E2775" t="s">
        <v>2048</v>
      </c>
      <c r="F2775" t="s">
        <v>1947</v>
      </c>
      <c r="G2775" t="s">
        <v>1755</v>
      </c>
    </row>
    <row r="2776" spans="1:7" ht="15" customHeight="1" x14ac:dyDescent="0.25">
      <c r="A2776" s="2">
        <v>46007</v>
      </c>
      <c r="B2776">
        <v>2025003830</v>
      </c>
      <c r="C2776" t="s">
        <v>1267</v>
      </c>
      <c r="D2776" s="11">
        <v>3000000</v>
      </c>
      <c r="E2776" s="12" t="e">
        <f>VLOOKUP(C2776,#REF!,5,0)</f>
        <v>#REF!</v>
      </c>
      <c r="F2776" s="12" t="e">
        <f>VLOOKUP(C2776,#REF!,6,0)</f>
        <v>#REF!</v>
      </c>
      <c r="G2776" t="s">
        <v>1094</v>
      </c>
    </row>
    <row r="2777" spans="1:7" ht="15" customHeight="1" x14ac:dyDescent="0.25">
      <c r="A2777" s="2">
        <v>46011</v>
      </c>
      <c r="B2777">
        <v>2025003831</v>
      </c>
      <c r="C2777" t="s">
        <v>1984</v>
      </c>
      <c r="D2777" s="11">
        <v>3150000</v>
      </c>
      <c r="E2777" t="s">
        <v>2011</v>
      </c>
      <c r="F2777" t="s">
        <v>884</v>
      </c>
      <c r="G2777" t="s">
        <v>1755</v>
      </c>
    </row>
    <row r="2778" spans="1:7" ht="15" customHeight="1" x14ac:dyDescent="0.25">
      <c r="A2778" s="2">
        <v>46011</v>
      </c>
      <c r="B2778">
        <v>2025003833</v>
      </c>
      <c r="C2778" t="s">
        <v>1873</v>
      </c>
      <c r="D2778" s="11">
        <v>3150000</v>
      </c>
      <c r="E2778" t="s">
        <v>2012</v>
      </c>
      <c r="F2778" t="s">
        <v>1874</v>
      </c>
      <c r="G2778" t="s">
        <v>1755</v>
      </c>
    </row>
    <row r="2779" spans="1:7" ht="15" customHeight="1" x14ac:dyDescent="0.25">
      <c r="A2779" s="2">
        <v>46011</v>
      </c>
      <c r="B2779">
        <v>2025003834</v>
      </c>
      <c r="C2779" t="s">
        <v>1830</v>
      </c>
      <c r="D2779" s="11">
        <v>7800000</v>
      </c>
      <c r="E2779" t="s">
        <v>2010</v>
      </c>
      <c r="F2779" t="s">
        <v>1831</v>
      </c>
      <c r="G2779" t="s">
        <v>1755</v>
      </c>
    </row>
    <row r="2780" spans="1:7" ht="15" customHeight="1" x14ac:dyDescent="0.25">
      <c r="A2780" s="2">
        <v>46011</v>
      </c>
      <c r="B2780">
        <v>2025003836</v>
      </c>
      <c r="C2780" t="s">
        <v>1869</v>
      </c>
      <c r="D2780" s="11">
        <v>7800000</v>
      </c>
      <c r="E2780" t="s">
        <v>1591</v>
      </c>
      <c r="F2780" t="s">
        <v>791</v>
      </c>
      <c r="G2780" t="s">
        <v>1755</v>
      </c>
    </row>
    <row r="2781" spans="1:7" ht="15" customHeight="1" x14ac:dyDescent="0.25">
      <c r="A2781" s="2">
        <v>46011</v>
      </c>
      <c r="B2781">
        <v>2025003837</v>
      </c>
      <c r="C2781" t="s">
        <v>1879</v>
      </c>
      <c r="D2781" s="11">
        <v>3150000</v>
      </c>
      <c r="E2781" t="s">
        <v>2034</v>
      </c>
      <c r="F2781" t="s">
        <v>1880</v>
      </c>
      <c r="G2781" t="s">
        <v>1755</v>
      </c>
    </row>
    <row r="2782" spans="1:7" ht="15" customHeight="1" x14ac:dyDescent="0.25">
      <c r="A2782" s="2">
        <v>46011</v>
      </c>
      <c r="B2782">
        <v>2025003840</v>
      </c>
      <c r="C2782" t="s">
        <v>2149</v>
      </c>
      <c r="D2782" s="11">
        <v>6300000</v>
      </c>
      <c r="E2782" t="s">
        <v>2150</v>
      </c>
      <c r="F2782" t="s">
        <v>2151</v>
      </c>
      <c r="G2782" t="s">
        <v>1755</v>
      </c>
    </row>
    <row r="2783" spans="1:7" ht="15" customHeight="1" x14ac:dyDescent="0.25">
      <c r="A2783" s="2">
        <v>46011</v>
      </c>
      <c r="B2783">
        <v>2025003841</v>
      </c>
      <c r="C2783" t="s">
        <v>1768</v>
      </c>
      <c r="D2783" s="11">
        <v>3150000</v>
      </c>
      <c r="E2783" t="s">
        <v>2214</v>
      </c>
      <c r="F2783" t="s">
        <v>1769</v>
      </c>
      <c r="G2783" t="s">
        <v>1755</v>
      </c>
    </row>
    <row r="2784" spans="1:7" ht="15" customHeight="1" x14ac:dyDescent="0.25">
      <c r="A2784" s="2">
        <v>46011</v>
      </c>
      <c r="B2784">
        <v>2025003842</v>
      </c>
      <c r="C2784" t="s">
        <v>2407</v>
      </c>
      <c r="D2784" s="11">
        <v>3150000</v>
      </c>
      <c r="E2784" t="s">
        <v>2408</v>
      </c>
      <c r="F2784" t="s">
        <v>2409</v>
      </c>
      <c r="G2784" t="s">
        <v>1755</v>
      </c>
    </row>
    <row r="2785" spans="1:7" ht="15" customHeight="1" x14ac:dyDescent="0.25">
      <c r="A2785" s="2">
        <v>46011</v>
      </c>
      <c r="B2785">
        <v>2025003843</v>
      </c>
      <c r="C2785" t="s">
        <v>2413</v>
      </c>
      <c r="D2785" s="11">
        <v>2000000</v>
      </c>
      <c r="E2785" t="s">
        <v>2414</v>
      </c>
      <c r="F2785" t="s">
        <v>2415</v>
      </c>
      <c r="G2785" t="s">
        <v>1755</v>
      </c>
    </row>
    <row r="2786" spans="1:7" ht="15" customHeight="1" x14ac:dyDescent="0.25">
      <c r="A2786" s="2">
        <v>46011</v>
      </c>
      <c r="B2786">
        <v>2025003844</v>
      </c>
      <c r="C2786" t="s">
        <v>2071</v>
      </c>
      <c r="D2786" s="11">
        <v>2000000</v>
      </c>
      <c r="E2786" t="s">
        <v>2072</v>
      </c>
      <c r="F2786" t="s">
        <v>2073</v>
      </c>
      <c r="G2786" t="s">
        <v>1755</v>
      </c>
    </row>
    <row r="2787" spans="1:7" ht="15" customHeight="1" x14ac:dyDescent="0.25">
      <c r="A2787" s="2">
        <v>46011</v>
      </c>
      <c r="B2787">
        <v>2025003845</v>
      </c>
      <c r="C2787" t="s">
        <v>2091</v>
      </c>
      <c r="D2787" s="11">
        <v>3150000</v>
      </c>
      <c r="E2787" t="s">
        <v>2092</v>
      </c>
      <c r="F2787" t="s">
        <v>2093</v>
      </c>
      <c r="G2787" t="s">
        <v>1755</v>
      </c>
    </row>
    <row r="2788" spans="1:7" ht="15" customHeight="1" x14ac:dyDescent="0.25">
      <c r="A2788" s="2">
        <v>46011</v>
      </c>
      <c r="B2788">
        <v>2025003846</v>
      </c>
      <c r="C2788" t="s">
        <v>2155</v>
      </c>
      <c r="D2788" s="11">
        <v>7800000</v>
      </c>
      <c r="E2788" t="s">
        <v>2156</v>
      </c>
      <c r="F2788" t="s">
        <v>2157</v>
      </c>
      <c r="G2788" t="s">
        <v>1755</v>
      </c>
    </row>
    <row r="2789" spans="1:7" ht="15" customHeight="1" x14ac:dyDescent="0.25">
      <c r="A2789" s="2">
        <v>46011</v>
      </c>
      <c r="B2789">
        <v>2025003847</v>
      </c>
      <c r="C2789" t="s">
        <v>2450</v>
      </c>
      <c r="D2789" s="11">
        <v>6300000</v>
      </c>
      <c r="E2789" t="s">
        <v>1738</v>
      </c>
      <c r="F2789" t="s">
        <v>670</v>
      </c>
      <c r="G2789" t="s">
        <v>1755</v>
      </c>
    </row>
    <row r="2790" spans="1:7" ht="15" customHeight="1" x14ac:dyDescent="0.25">
      <c r="A2790" s="2">
        <v>46011</v>
      </c>
      <c r="B2790">
        <v>2025003848</v>
      </c>
      <c r="C2790" t="s">
        <v>1898</v>
      </c>
      <c r="D2790" s="11">
        <v>3150000</v>
      </c>
      <c r="E2790" t="s">
        <v>2115</v>
      </c>
      <c r="F2790" t="s">
        <v>1899</v>
      </c>
      <c r="G2790" t="s">
        <v>1755</v>
      </c>
    </row>
    <row r="2791" spans="1:7" ht="15" customHeight="1" x14ac:dyDescent="0.25">
      <c r="A2791" s="2">
        <v>46011</v>
      </c>
      <c r="B2791">
        <v>2025003849</v>
      </c>
      <c r="C2791" t="s">
        <v>1850</v>
      </c>
      <c r="D2791" s="11">
        <v>4730000</v>
      </c>
      <c r="E2791" t="s">
        <v>2076</v>
      </c>
      <c r="F2791" t="s">
        <v>429</v>
      </c>
      <c r="G2791" t="s">
        <v>1755</v>
      </c>
    </row>
    <row r="2792" spans="1:7" ht="15" customHeight="1" x14ac:dyDescent="0.25">
      <c r="A2792" s="2">
        <v>46011</v>
      </c>
      <c r="B2792">
        <v>2025003851</v>
      </c>
      <c r="C2792" t="s">
        <v>2117</v>
      </c>
      <c r="D2792" s="11">
        <v>3150000</v>
      </c>
      <c r="E2792" t="s">
        <v>2118</v>
      </c>
      <c r="F2792" t="s">
        <v>2119</v>
      </c>
      <c r="G2792" t="s">
        <v>1755</v>
      </c>
    </row>
    <row r="2793" spans="1:7" ht="15" customHeight="1" x14ac:dyDescent="0.25">
      <c r="A2793" s="2">
        <v>46011</v>
      </c>
      <c r="B2793">
        <v>2025003852</v>
      </c>
      <c r="C2793" t="s">
        <v>1887</v>
      </c>
      <c r="D2793" s="11">
        <v>4730000</v>
      </c>
      <c r="E2793" t="s">
        <v>2024</v>
      </c>
      <c r="F2793" t="s">
        <v>1888</v>
      </c>
      <c r="G2793" t="s">
        <v>1755</v>
      </c>
    </row>
    <row r="2794" spans="1:7" ht="15" customHeight="1" x14ac:dyDescent="0.25">
      <c r="A2794" s="2">
        <v>46011</v>
      </c>
      <c r="B2794">
        <v>2025003853</v>
      </c>
      <c r="C2794" t="s">
        <v>2406</v>
      </c>
      <c r="D2794" s="11">
        <v>3150000</v>
      </c>
      <c r="E2794" t="s">
        <v>1608</v>
      </c>
      <c r="F2794" t="s">
        <v>1114</v>
      </c>
      <c r="G2794" t="s">
        <v>1755</v>
      </c>
    </row>
    <row r="2795" spans="1:7" ht="15" customHeight="1" x14ac:dyDescent="0.25">
      <c r="A2795" s="2">
        <v>46011</v>
      </c>
      <c r="B2795">
        <v>2025003854</v>
      </c>
      <c r="C2795" t="s">
        <v>2219</v>
      </c>
      <c r="D2795" s="11">
        <v>3150000</v>
      </c>
      <c r="E2795" t="s">
        <v>2220</v>
      </c>
      <c r="F2795" t="s">
        <v>2221</v>
      </c>
      <c r="G2795" t="s">
        <v>1755</v>
      </c>
    </row>
    <row r="2796" spans="1:7" ht="15" customHeight="1" x14ac:dyDescent="0.25">
      <c r="A2796" s="2">
        <v>46011</v>
      </c>
      <c r="B2796">
        <v>2025003856</v>
      </c>
      <c r="C2796" t="s">
        <v>1760</v>
      </c>
      <c r="D2796" s="11">
        <v>3150000</v>
      </c>
      <c r="E2796" t="s">
        <v>1652</v>
      </c>
      <c r="F2796" t="s">
        <v>371</v>
      </c>
      <c r="G2796" t="s">
        <v>1755</v>
      </c>
    </row>
    <row r="2797" spans="1:7" ht="15" customHeight="1" x14ac:dyDescent="0.25">
      <c r="A2797" s="2">
        <v>46011</v>
      </c>
      <c r="B2797">
        <v>2025003858</v>
      </c>
      <c r="C2797" t="s">
        <v>1919</v>
      </c>
      <c r="D2797" s="11">
        <v>4730000</v>
      </c>
      <c r="E2797" t="s">
        <v>2289</v>
      </c>
      <c r="F2797" t="s">
        <v>900</v>
      </c>
      <c r="G2797" t="s">
        <v>1755</v>
      </c>
    </row>
    <row r="2798" spans="1:7" ht="15" customHeight="1" x14ac:dyDescent="0.25">
      <c r="A2798" s="2">
        <v>46011</v>
      </c>
      <c r="B2798">
        <v>2025003859</v>
      </c>
      <c r="C2798" t="s">
        <v>2029</v>
      </c>
      <c r="D2798" s="11">
        <v>3150000</v>
      </c>
      <c r="E2798" t="s">
        <v>1712</v>
      </c>
      <c r="F2798" t="s">
        <v>1222</v>
      </c>
      <c r="G2798" t="s">
        <v>1755</v>
      </c>
    </row>
    <row r="2799" spans="1:7" ht="15" customHeight="1" x14ac:dyDescent="0.25">
      <c r="A2799" s="2">
        <v>46011</v>
      </c>
      <c r="B2799">
        <v>2025003862</v>
      </c>
      <c r="C2799" t="s">
        <v>1889</v>
      </c>
      <c r="D2799" s="11">
        <v>3150000</v>
      </c>
      <c r="E2799" t="s">
        <v>1731</v>
      </c>
      <c r="F2799" t="s">
        <v>548</v>
      </c>
      <c r="G2799" t="s">
        <v>1755</v>
      </c>
    </row>
    <row r="2800" spans="1:7" ht="15" customHeight="1" x14ac:dyDescent="0.25">
      <c r="A2800" s="2">
        <v>46011</v>
      </c>
      <c r="B2800">
        <v>2025003864</v>
      </c>
      <c r="C2800" t="s">
        <v>1871</v>
      </c>
      <c r="D2800" s="11">
        <v>7800000</v>
      </c>
      <c r="E2800" t="s">
        <v>2054</v>
      </c>
      <c r="F2800" t="s">
        <v>1872</v>
      </c>
      <c r="G2800" t="s">
        <v>1755</v>
      </c>
    </row>
    <row r="2801" spans="1:7" ht="15" customHeight="1" x14ac:dyDescent="0.25">
      <c r="A2801" s="2">
        <v>46011</v>
      </c>
      <c r="B2801">
        <v>2025003865</v>
      </c>
      <c r="C2801" t="s">
        <v>1754</v>
      </c>
      <c r="D2801" s="11">
        <v>3150000</v>
      </c>
      <c r="E2801" t="s">
        <v>2090</v>
      </c>
      <c r="F2801" t="s">
        <v>504</v>
      </c>
      <c r="G2801" t="s">
        <v>1755</v>
      </c>
    </row>
    <row r="2802" spans="1:7" ht="15" customHeight="1" x14ac:dyDescent="0.25">
      <c r="A2802" s="2">
        <v>46011</v>
      </c>
      <c r="B2802">
        <v>2025003866</v>
      </c>
      <c r="C2802" t="s">
        <v>1836</v>
      </c>
      <c r="D2802" s="11">
        <v>4730000</v>
      </c>
      <c r="E2802" t="s">
        <v>2013</v>
      </c>
      <c r="F2802" t="s">
        <v>1837</v>
      </c>
      <c r="G2802" t="s">
        <v>1755</v>
      </c>
    </row>
    <row r="2803" spans="1:7" ht="15" customHeight="1" x14ac:dyDescent="0.25">
      <c r="A2803" s="2">
        <v>46011</v>
      </c>
      <c r="B2803">
        <v>2025003867</v>
      </c>
      <c r="C2803" t="s">
        <v>2211</v>
      </c>
      <c r="D2803" s="11">
        <v>2000000</v>
      </c>
      <c r="E2803" t="s">
        <v>2212</v>
      </c>
      <c r="F2803" t="s">
        <v>319</v>
      </c>
      <c r="G2803" t="s">
        <v>1755</v>
      </c>
    </row>
    <row r="2804" spans="1:7" ht="15" customHeight="1" x14ac:dyDescent="0.25">
      <c r="A2804" s="2">
        <v>46011</v>
      </c>
      <c r="B2804">
        <v>2025003868</v>
      </c>
      <c r="C2804" t="s">
        <v>2029</v>
      </c>
      <c r="D2804" s="11">
        <v>3150000</v>
      </c>
      <c r="E2804" t="s">
        <v>1712</v>
      </c>
      <c r="F2804" t="s">
        <v>1222</v>
      </c>
      <c r="G2804" t="s">
        <v>1755</v>
      </c>
    </row>
    <row r="2805" spans="1:7" ht="15" customHeight="1" x14ac:dyDescent="0.25">
      <c r="A2805" s="2">
        <v>46011</v>
      </c>
      <c r="B2805">
        <v>2025003870</v>
      </c>
      <c r="C2805" t="s">
        <v>2104</v>
      </c>
      <c r="D2805" s="11">
        <v>2000000</v>
      </c>
      <c r="E2805" t="s">
        <v>2105</v>
      </c>
      <c r="F2805" t="s">
        <v>2106</v>
      </c>
      <c r="G2805" t="s">
        <v>1755</v>
      </c>
    </row>
    <row r="2806" spans="1:7" ht="15" customHeight="1" x14ac:dyDescent="0.25">
      <c r="A2806" s="2">
        <v>46011</v>
      </c>
      <c r="B2806">
        <v>2025003872</v>
      </c>
      <c r="C2806" t="s">
        <v>1967</v>
      </c>
      <c r="D2806" s="11">
        <v>3150000</v>
      </c>
      <c r="E2806" t="s">
        <v>2053</v>
      </c>
      <c r="F2806" t="s">
        <v>1968</v>
      </c>
      <c r="G2806" t="s">
        <v>1755</v>
      </c>
    </row>
    <row r="2807" spans="1:7" ht="15" customHeight="1" x14ac:dyDescent="0.25">
      <c r="A2807" s="2">
        <v>46011</v>
      </c>
      <c r="B2807">
        <v>2025003873</v>
      </c>
      <c r="C2807" t="s">
        <v>2026</v>
      </c>
      <c r="D2807" s="11">
        <v>2000000</v>
      </c>
      <c r="E2807" t="s">
        <v>2027</v>
      </c>
      <c r="F2807" t="s">
        <v>2028</v>
      </c>
      <c r="G2807" t="s">
        <v>1755</v>
      </c>
    </row>
    <row r="2808" spans="1:7" ht="15" customHeight="1" x14ac:dyDescent="0.25">
      <c r="A2808" s="2">
        <v>46011</v>
      </c>
      <c r="B2808">
        <v>2025003874</v>
      </c>
      <c r="C2808" t="s">
        <v>2318</v>
      </c>
      <c r="D2808" s="11">
        <v>3150000</v>
      </c>
      <c r="E2808" t="s">
        <v>1624</v>
      </c>
      <c r="F2808" t="s">
        <v>11</v>
      </c>
      <c r="G2808" t="s">
        <v>1755</v>
      </c>
    </row>
    <row r="2809" spans="1:7" ht="15" customHeight="1" x14ac:dyDescent="0.25">
      <c r="A2809" s="2">
        <v>46011</v>
      </c>
      <c r="B2809">
        <v>2025003875</v>
      </c>
      <c r="C2809" t="s">
        <v>2416</v>
      </c>
      <c r="D2809" s="11">
        <v>7800000</v>
      </c>
      <c r="E2809" t="s">
        <v>2417</v>
      </c>
      <c r="F2809" t="s">
        <v>2418</v>
      </c>
      <c r="G2809" t="s">
        <v>1755</v>
      </c>
    </row>
    <row r="2810" spans="1:7" ht="15" customHeight="1" x14ac:dyDescent="0.25">
      <c r="A2810" s="2">
        <v>46011</v>
      </c>
      <c r="B2810">
        <v>2025003876</v>
      </c>
      <c r="C2810" t="s">
        <v>2065</v>
      </c>
      <c r="D2810" s="11">
        <v>2000000</v>
      </c>
      <c r="E2810" t="s">
        <v>2066</v>
      </c>
      <c r="F2810" t="s">
        <v>2067</v>
      </c>
      <c r="G2810" t="s">
        <v>1755</v>
      </c>
    </row>
    <row r="2811" spans="1:7" ht="15" customHeight="1" x14ac:dyDescent="0.25">
      <c r="A2811" s="2">
        <v>46011</v>
      </c>
      <c r="B2811">
        <v>2025003878</v>
      </c>
      <c r="C2811" t="s">
        <v>2323</v>
      </c>
      <c r="D2811" s="11">
        <v>2000000</v>
      </c>
      <c r="E2811" t="s">
        <v>2324</v>
      </c>
      <c r="F2811" t="s">
        <v>2325</v>
      </c>
      <c r="G2811" t="s">
        <v>1755</v>
      </c>
    </row>
    <row r="2812" spans="1:7" ht="15" customHeight="1" x14ac:dyDescent="0.25">
      <c r="A2812" s="2">
        <v>46011</v>
      </c>
      <c r="B2812">
        <v>2025003879</v>
      </c>
      <c r="C2812" t="s">
        <v>1770</v>
      </c>
      <c r="D2812" s="11">
        <v>6300000</v>
      </c>
      <c r="E2812" t="s">
        <v>1664</v>
      </c>
      <c r="F2812" t="s">
        <v>329</v>
      </c>
      <c r="G2812" t="s">
        <v>1755</v>
      </c>
    </row>
    <row r="2813" spans="1:7" ht="15" customHeight="1" x14ac:dyDescent="0.25">
      <c r="A2813" s="2">
        <v>46011</v>
      </c>
      <c r="B2813">
        <v>2025003880</v>
      </c>
      <c r="C2813" t="s">
        <v>1987</v>
      </c>
      <c r="D2813" s="11">
        <v>3150000</v>
      </c>
      <c r="E2813" t="s">
        <v>2025</v>
      </c>
      <c r="F2813" t="s">
        <v>1988</v>
      </c>
      <c r="G2813" t="s">
        <v>1755</v>
      </c>
    </row>
    <row r="2814" spans="1:7" ht="15" customHeight="1" x14ac:dyDescent="0.25">
      <c r="A2814" s="2">
        <v>46011</v>
      </c>
      <c r="B2814">
        <v>2025003881</v>
      </c>
      <c r="C2814" t="s">
        <v>1851</v>
      </c>
      <c r="D2814" s="11">
        <v>7800000</v>
      </c>
      <c r="E2814" t="s">
        <v>2016</v>
      </c>
      <c r="F2814" t="s">
        <v>1852</v>
      </c>
      <c r="G2814" t="s">
        <v>1755</v>
      </c>
    </row>
    <row r="2815" spans="1:7" ht="15" customHeight="1" x14ac:dyDescent="0.25">
      <c r="A2815" s="2">
        <v>46011</v>
      </c>
      <c r="B2815">
        <v>2025003882</v>
      </c>
      <c r="C2815" t="s">
        <v>2068</v>
      </c>
      <c r="D2815" s="11">
        <v>2000000</v>
      </c>
      <c r="E2815" t="s">
        <v>2069</v>
      </c>
      <c r="F2815" t="s">
        <v>2070</v>
      </c>
      <c r="G2815" t="s">
        <v>1755</v>
      </c>
    </row>
    <row r="2816" spans="1:7" ht="15" customHeight="1" x14ac:dyDescent="0.25">
      <c r="A2816" s="2">
        <v>46011</v>
      </c>
      <c r="B2816">
        <v>2025003883</v>
      </c>
      <c r="C2816" t="s">
        <v>1963</v>
      </c>
      <c r="D2816" s="11">
        <v>7800000</v>
      </c>
      <c r="E2816" t="s">
        <v>2023</v>
      </c>
      <c r="F2816" t="s">
        <v>1964</v>
      </c>
      <c r="G2816" t="s">
        <v>1755</v>
      </c>
    </row>
    <row r="2817" spans="1:7" ht="15" customHeight="1" x14ac:dyDescent="0.25">
      <c r="A2817" s="2">
        <v>46011</v>
      </c>
      <c r="B2817">
        <v>2025003884</v>
      </c>
      <c r="C2817" t="s">
        <v>1833</v>
      </c>
      <c r="D2817" s="11">
        <v>6300000</v>
      </c>
      <c r="E2817" t="s">
        <v>2226</v>
      </c>
      <c r="F2817" t="s">
        <v>1834</v>
      </c>
      <c r="G2817" t="s">
        <v>1755</v>
      </c>
    </row>
    <row r="2818" spans="1:7" ht="15" customHeight="1" x14ac:dyDescent="0.25">
      <c r="A2818" s="2">
        <v>46011</v>
      </c>
      <c r="B2818">
        <v>2025003885</v>
      </c>
      <c r="C2818" t="s">
        <v>1860</v>
      </c>
      <c r="D2818" s="11">
        <v>7800000</v>
      </c>
      <c r="E2818" t="s">
        <v>1602</v>
      </c>
      <c r="F2818" t="s">
        <v>69</v>
      </c>
      <c r="G2818" t="s">
        <v>1755</v>
      </c>
    </row>
    <row r="2819" spans="1:7" ht="15" customHeight="1" x14ac:dyDescent="0.25">
      <c r="A2819" s="2">
        <v>46011</v>
      </c>
      <c r="B2819">
        <v>2025003886</v>
      </c>
      <c r="C2819" t="s">
        <v>2107</v>
      </c>
      <c r="D2819" s="11">
        <v>2000000</v>
      </c>
      <c r="E2819" t="s">
        <v>2108</v>
      </c>
      <c r="F2819" t="s">
        <v>2109</v>
      </c>
      <c r="G2819" t="s">
        <v>1755</v>
      </c>
    </row>
    <row r="2820" spans="1:7" ht="15" customHeight="1" x14ac:dyDescent="0.25">
      <c r="A2820" s="2">
        <v>46011</v>
      </c>
      <c r="B2820">
        <v>2025003887</v>
      </c>
      <c r="C2820" t="s">
        <v>2216</v>
      </c>
      <c r="D2820" s="11">
        <v>3150000</v>
      </c>
      <c r="E2820" t="s">
        <v>2217</v>
      </c>
      <c r="F2820" t="s">
        <v>2218</v>
      </c>
      <c r="G2820" t="s">
        <v>1755</v>
      </c>
    </row>
    <row r="2821" spans="1:7" ht="15" customHeight="1" x14ac:dyDescent="0.25">
      <c r="A2821" s="2">
        <v>46011</v>
      </c>
      <c r="B2821">
        <v>2025003889</v>
      </c>
      <c r="C2821" t="s">
        <v>1948</v>
      </c>
      <c r="D2821" s="11">
        <v>4730000</v>
      </c>
      <c r="E2821" t="s">
        <v>2008</v>
      </c>
      <c r="F2821" t="s">
        <v>1949</v>
      </c>
      <c r="G2821" t="s">
        <v>1755</v>
      </c>
    </row>
    <row r="2822" spans="1:7" ht="15" customHeight="1" x14ac:dyDescent="0.25">
      <c r="A2822" s="2">
        <v>46011</v>
      </c>
      <c r="B2822">
        <v>2025003890</v>
      </c>
      <c r="C2822" t="s">
        <v>1878</v>
      </c>
      <c r="D2822" s="11">
        <v>3150000</v>
      </c>
      <c r="E2822" t="s">
        <v>2037</v>
      </c>
      <c r="F2822" t="s">
        <v>417</v>
      </c>
      <c r="G2822" t="s">
        <v>1755</v>
      </c>
    </row>
    <row r="2823" spans="1:7" ht="15" customHeight="1" x14ac:dyDescent="0.25">
      <c r="A2823" s="2">
        <v>46011</v>
      </c>
      <c r="B2823">
        <v>2025003892</v>
      </c>
      <c r="C2823" t="s">
        <v>2208</v>
      </c>
      <c r="D2823" s="11">
        <v>7800000</v>
      </c>
      <c r="E2823" t="s">
        <v>2209</v>
      </c>
      <c r="F2823" t="s">
        <v>43</v>
      </c>
      <c r="G2823" t="s">
        <v>1755</v>
      </c>
    </row>
    <row r="2824" spans="1:7" ht="15" customHeight="1" x14ac:dyDescent="0.25">
      <c r="A2824" s="2">
        <v>46011</v>
      </c>
      <c r="B2824">
        <v>2025003893</v>
      </c>
      <c r="C2824" t="s">
        <v>1956</v>
      </c>
      <c r="D2824" s="11">
        <v>3150000</v>
      </c>
      <c r="E2824" t="s">
        <v>2035</v>
      </c>
      <c r="F2824" t="s">
        <v>1957</v>
      </c>
      <c r="G2824" t="s">
        <v>1755</v>
      </c>
    </row>
    <row r="2825" spans="1:7" ht="15" customHeight="1" x14ac:dyDescent="0.25">
      <c r="A2825" s="2">
        <v>46011</v>
      </c>
      <c r="B2825">
        <v>2025003895</v>
      </c>
      <c r="C2825" t="s">
        <v>2330</v>
      </c>
      <c r="D2825" s="11">
        <v>3150000</v>
      </c>
      <c r="E2825" t="s">
        <v>2331</v>
      </c>
      <c r="F2825" t="s">
        <v>2332</v>
      </c>
      <c r="G2825" t="s">
        <v>1755</v>
      </c>
    </row>
    <row r="2826" spans="1:7" ht="15" customHeight="1" x14ac:dyDescent="0.25">
      <c r="A2826" s="2">
        <v>46011</v>
      </c>
      <c r="B2826">
        <v>2025003897</v>
      </c>
      <c r="C2826" t="s">
        <v>2158</v>
      </c>
      <c r="D2826" s="11">
        <v>3150000</v>
      </c>
      <c r="E2826" t="s">
        <v>2159</v>
      </c>
      <c r="F2826" t="s">
        <v>2160</v>
      </c>
      <c r="G2826" t="s">
        <v>1755</v>
      </c>
    </row>
    <row r="2827" spans="1:7" ht="15" customHeight="1" x14ac:dyDescent="0.25">
      <c r="A2827" s="2">
        <v>46011</v>
      </c>
      <c r="B2827">
        <v>2025003899</v>
      </c>
      <c r="C2827" t="s">
        <v>2320</v>
      </c>
      <c r="D2827" s="11">
        <v>2000000</v>
      </c>
      <c r="E2827" t="s">
        <v>2321</v>
      </c>
      <c r="F2827" t="s">
        <v>2322</v>
      </c>
      <c r="G2827" t="s">
        <v>1755</v>
      </c>
    </row>
    <row r="2828" spans="1:7" ht="15" customHeight="1" x14ac:dyDescent="0.25">
      <c r="A2828" s="2">
        <v>46011</v>
      </c>
      <c r="B2828">
        <v>2025003900</v>
      </c>
      <c r="C2828" t="s">
        <v>2084</v>
      </c>
      <c r="D2828" s="11">
        <v>2000000</v>
      </c>
      <c r="E2828" t="s">
        <v>2085</v>
      </c>
      <c r="F2828" t="s">
        <v>2086</v>
      </c>
      <c r="G2828" t="s">
        <v>1755</v>
      </c>
    </row>
    <row r="2829" spans="1:7" ht="15" customHeight="1" x14ac:dyDescent="0.25">
      <c r="A2829" s="2">
        <v>46011</v>
      </c>
      <c r="B2829">
        <v>2025003901</v>
      </c>
      <c r="C2829" t="s">
        <v>1799</v>
      </c>
      <c r="D2829" s="11">
        <v>3150000</v>
      </c>
      <c r="E2829" t="s">
        <v>2247</v>
      </c>
      <c r="F2829" t="s">
        <v>1086</v>
      </c>
      <c r="G2829" t="s">
        <v>1755</v>
      </c>
    </row>
    <row r="2830" spans="1:7" ht="15" customHeight="1" x14ac:dyDescent="0.25">
      <c r="A2830" s="2">
        <v>46011</v>
      </c>
      <c r="B2830">
        <v>2025003902</v>
      </c>
      <c r="C2830" t="s">
        <v>2161</v>
      </c>
      <c r="D2830" s="11">
        <v>3150000</v>
      </c>
      <c r="E2830" t="s">
        <v>2162</v>
      </c>
      <c r="F2830" t="s">
        <v>2163</v>
      </c>
      <c r="G2830" t="s">
        <v>1755</v>
      </c>
    </row>
    <row r="2831" spans="1:7" ht="15" customHeight="1" x14ac:dyDescent="0.25">
      <c r="A2831" s="2">
        <v>46011</v>
      </c>
      <c r="B2831">
        <v>2025003903</v>
      </c>
      <c r="C2831" t="s">
        <v>2104</v>
      </c>
      <c r="D2831" s="11">
        <v>2000000</v>
      </c>
      <c r="E2831" t="s">
        <v>2105</v>
      </c>
      <c r="F2831" t="s">
        <v>2106</v>
      </c>
      <c r="G2831" t="s">
        <v>1755</v>
      </c>
    </row>
    <row r="2832" spans="1:7" ht="15" customHeight="1" x14ac:dyDescent="0.25">
      <c r="A2832" s="2">
        <v>46011</v>
      </c>
      <c r="B2832">
        <v>2025003904</v>
      </c>
      <c r="C2832" t="s">
        <v>1913</v>
      </c>
      <c r="D2832" s="11">
        <v>7800000</v>
      </c>
      <c r="E2832" t="s">
        <v>1750</v>
      </c>
      <c r="F2832" t="s">
        <v>1266</v>
      </c>
      <c r="G2832" t="s">
        <v>1755</v>
      </c>
    </row>
    <row r="2833" spans="1:7" ht="15" customHeight="1" x14ac:dyDescent="0.25">
      <c r="A2833" s="2">
        <v>46011</v>
      </c>
      <c r="B2833">
        <v>2025003906</v>
      </c>
      <c r="C2833" t="s">
        <v>1995</v>
      </c>
      <c r="D2833" s="11">
        <v>4730000</v>
      </c>
      <c r="E2833" t="s">
        <v>2287</v>
      </c>
      <c r="F2833" t="s">
        <v>235</v>
      </c>
      <c r="G2833" t="s">
        <v>1755</v>
      </c>
    </row>
    <row r="2834" spans="1:7" ht="15" customHeight="1" x14ac:dyDescent="0.25">
      <c r="A2834" s="2">
        <v>46011</v>
      </c>
      <c r="B2834">
        <v>2025003907</v>
      </c>
      <c r="C2834" t="s">
        <v>2454</v>
      </c>
      <c r="D2834" s="11">
        <v>2000000</v>
      </c>
      <c r="E2834" t="s">
        <v>2455</v>
      </c>
      <c r="F2834" t="s">
        <v>866</v>
      </c>
      <c r="G2834" t="s">
        <v>1755</v>
      </c>
    </row>
    <row r="2835" spans="1:7" ht="15" customHeight="1" x14ac:dyDescent="0.25">
      <c r="A2835" s="2">
        <v>46011</v>
      </c>
      <c r="B2835">
        <v>2025003910</v>
      </c>
      <c r="C2835" t="s">
        <v>1943</v>
      </c>
      <c r="D2835" s="11">
        <v>3150000</v>
      </c>
      <c r="E2835" t="s">
        <v>1601</v>
      </c>
      <c r="F2835" t="s">
        <v>171</v>
      </c>
      <c r="G2835" t="s">
        <v>1755</v>
      </c>
    </row>
    <row r="2836" spans="1:7" ht="15" customHeight="1" x14ac:dyDescent="0.25">
      <c r="A2836" s="2">
        <v>46011</v>
      </c>
      <c r="B2836">
        <v>2025003914</v>
      </c>
      <c r="C2836" t="s">
        <v>1792</v>
      </c>
      <c r="D2836" s="11">
        <v>3150000</v>
      </c>
      <c r="E2836" t="s">
        <v>1690</v>
      </c>
      <c r="F2836" t="s">
        <v>201</v>
      </c>
      <c r="G2836" t="s">
        <v>1755</v>
      </c>
    </row>
    <row r="2837" spans="1:7" ht="15" customHeight="1" x14ac:dyDescent="0.25">
      <c r="A2837" s="2">
        <v>46011</v>
      </c>
      <c r="B2837">
        <v>2025003917</v>
      </c>
      <c r="C2837" t="s">
        <v>2140</v>
      </c>
      <c r="D2837" s="11">
        <v>2000000</v>
      </c>
      <c r="E2837" t="s">
        <v>2141</v>
      </c>
      <c r="F2837" t="s">
        <v>2142</v>
      </c>
      <c r="G2837" t="s">
        <v>1755</v>
      </c>
    </row>
    <row r="2838" spans="1:7" ht="15" customHeight="1" x14ac:dyDescent="0.25">
      <c r="A2838" s="2">
        <v>46011</v>
      </c>
      <c r="B2838">
        <v>2025003918</v>
      </c>
      <c r="C2838" t="s">
        <v>2078</v>
      </c>
      <c r="D2838" s="11">
        <v>2000000</v>
      </c>
      <c r="E2838" t="s">
        <v>1699</v>
      </c>
      <c r="F2838" t="s">
        <v>1020</v>
      </c>
      <c r="G2838" t="s">
        <v>1755</v>
      </c>
    </row>
    <row r="2839" spans="1:7" ht="15" customHeight="1" x14ac:dyDescent="0.25">
      <c r="A2839" s="2">
        <v>46011</v>
      </c>
      <c r="B2839">
        <v>2025003919</v>
      </c>
      <c r="C2839" t="s">
        <v>2087</v>
      </c>
      <c r="D2839" s="11">
        <v>3150000</v>
      </c>
      <c r="E2839" t="s">
        <v>2088</v>
      </c>
      <c r="F2839" t="s">
        <v>2089</v>
      </c>
      <c r="G2839" t="s">
        <v>1755</v>
      </c>
    </row>
    <row r="2840" spans="1:7" ht="15" customHeight="1" x14ac:dyDescent="0.25">
      <c r="A2840" s="2">
        <v>46011</v>
      </c>
      <c r="B2840">
        <v>2025003920</v>
      </c>
      <c r="C2840" t="s">
        <v>1764</v>
      </c>
      <c r="D2840" s="11">
        <v>151250000</v>
      </c>
      <c r="E2840" t="s">
        <v>1598</v>
      </c>
      <c r="F2840" t="s">
        <v>269</v>
      </c>
      <c r="G2840" t="s">
        <v>1755</v>
      </c>
    </row>
    <row r="2841" spans="1:7" ht="15" customHeight="1" x14ac:dyDescent="0.25">
      <c r="A2841" s="2">
        <v>46011</v>
      </c>
      <c r="B2841">
        <v>2025003921</v>
      </c>
      <c r="C2841" t="s">
        <v>2326</v>
      </c>
      <c r="D2841" s="11">
        <v>3150000</v>
      </c>
      <c r="E2841" t="s">
        <v>2327</v>
      </c>
      <c r="F2841" t="s">
        <v>35</v>
      </c>
      <c r="G2841" t="s">
        <v>1755</v>
      </c>
    </row>
    <row r="2842" spans="1:7" ht="15" customHeight="1" x14ac:dyDescent="0.25">
      <c r="A2842" s="2">
        <v>46011</v>
      </c>
      <c r="B2842">
        <v>2025003922</v>
      </c>
      <c r="C2842" t="s">
        <v>2315</v>
      </c>
      <c r="D2842" s="11">
        <v>2000000</v>
      </c>
      <c r="E2842" t="s">
        <v>2316</v>
      </c>
      <c r="F2842" t="s">
        <v>2317</v>
      </c>
      <c r="G2842" t="s">
        <v>1755</v>
      </c>
    </row>
    <row r="2843" spans="1:7" ht="15" customHeight="1" x14ac:dyDescent="0.25">
      <c r="A2843" s="2">
        <v>46011</v>
      </c>
      <c r="B2843">
        <v>2025003924</v>
      </c>
      <c r="C2843" t="s">
        <v>1965</v>
      </c>
      <c r="D2843" s="11">
        <v>6300000</v>
      </c>
      <c r="E2843" t="s">
        <v>2047</v>
      </c>
      <c r="F2843" t="s">
        <v>1966</v>
      </c>
      <c r="G2843" t="s">
        <v>1755</v>
      </c>
    </row>
    <row r="2844" spans="1:7" ht="15" customHeight="1" x14ac:dyDescent="0.25">
      <c r="A2844" s="2">
        <v>46011</v>
      </c>
      <c r="B2844">
        <v>2025003925</v>
      </c>
      <c r="C2844" t="s">
        <v>2197</v>
      </c>
      <c r="D2844" s="11">
        <v>4730000</v>
      </c>
      <c r="E2844" t="s">
        <v>2198</v>
      </c>
      <c r="F2844" t="s">
        <v>2199</v>
      </c>
      <c r="G2844" t="s">
        <v>1755</v>
      </c>
    </row>
    <row r="2845" spans="1:7" ht="15" customHeight="1" x14ac:dyDescent="0.25">
      <c r="A2845" s="2">
        <v>46011</v>
      </c>
      <c r="B2845">
        <v>2025003927</v>
      </c>
      <c r="C2845" t="s">
        <v>2205</v>
      </c>
      <c r="D2845" s="11">
        <v>3150000</v>
      </c>
      <c r="E2845" t="s">
        <v>2206</v>
      </c>
      <c r="F2845" t="s">
        <v>2207</v>
      </c>
      <c r="G2845" t="s">
        <v>1755</v>
      </c>
    </row>
    <row r="2846" spans="1:7" ht="15" customHeight="1" x14ac:dyDescent="0.25">
      <c r="A2846" s="2">
        <v>46011</v>
      </c>
      <c r="B2846">
        <v>2025003930</v>
      </c>
      <c r="C2846" t="s">
        <v>2227</v>
      </c>
      <c r="D2846" s="11">
        <v>3150000</v>
      </c>
      <c r="E2846" t="s">
        <v>2228</v>
      </c>
      <c r="F2846" t="s">
        <v>431</v>
      </c>
      <c r="G2846" t="s">
        <v>1755</v>
      </c>
    </row>
    <row r="2847" spans="1:7" ht="15" customHeight="1" x14ac:dyDescent="0.25">
      <c r="A2847" s="2">
        <v>46011</v>
      </c>
      <c r="B2847">
        <v>2025003931</v>
      </c>
      <c r="C2847" t="s">
        <v>2328</v>
      </c>
      <c r="D2847" s="11">
        <v>6300000</v>
      </c>
      <c r="E2847" t="s">
        <v>2329</v>
      </c>
      <c r="F2847" t="s">
        <v>845</v>
      </c>
      <c r="G2847" t="s">
        <v>1755</v>
      </c>
    </row>
    <row r="2848" spans="1:7" ht="15" customHeight="1" x14ac:dyDescent="0.25">
      <c r="A2848" s="2">
        <v>46011</v>
      </c>
      <c r="B2848">
        <v>2025003934</v>
      </c>
      <c r="C2848" t="s">
        <v>1801</v>
      </c>
      <c r="D2848" s="11">
        <v>3150000</v>
      </c>
      <c r="E2848" t="s">
        <v>2083</v>
      </c>
      <c r="F2848" t="s">
        <v>1802</v>
      </c>
      <c r="G2848" t="s">
        <v>1755</v>
      </c>
    </row>
    <row r="2849" spans="1:7" ht="15" customHeight="1" x14ac:dyDescent="0.25">
      <c r="A2849" s="2">
        <v>46011</v>
      </c>
      <c r="B2849">
        <v>2025003938</v>
      </c>
      <c r="C2849" t="s">
        <v>2152</v>
      </c>
      <c r="D2849" s="11">
        <v>7800000</v>
      </c>
      <c r="E2849" t="s">
        <v>2153</v>
      </c>
      <c r="F2849" t="s">
        <v>2154</v>
      </c>
      <c r="G2849" t="s">
        <v>1755</v>
      </c>
    </row>
    <row r="2850" spans="1:7" ht="15" customHeight="1" x14ac:dyDescent="0.25">
      <c r="A2850" s="2">
        <v>46011</v>
      </c>
      <c r="B2850">
        <v>2025003942</v>
      </c>
      <c r="C2850" t="s">
        <v>1763</v>
      </c>
      <c r="D2850" s="11">
        <v>4730000</v>
      </c>
      <c r="E2850" t="s">
        <v>2064</v>
      </c>
      <c r="F2850" t="s">
        <v>267</v>
      </c>
      <c r="G2850" t="s">
        <v>1755</v>
      </c>
    </row>
    <row r="2851" spans="1:7" ht="15" customHeight="1" x14ac:dyDescent="0.25">
      <c r="A2851" s="2">
        <v>46011</v>
      </c>
      <c r="B2851">
        <v>2025003945</v>
      </c>
      <c r="C2851" t="s">
        <v>2333</v>
      </c>
      <c r="D2851" s="11">
        <v>7800000</v>
      </c>
      <c r="E2851" t="s">
        <v>2334</v>
      </c>
      <c r="F2851" t="s">
        <v>2335</v>
      </c>
      <c r="G2851" t="s">
        <v>1755</v>
      </c>
    </row>
    <row r="2852" spans="1:7" ht="15" customHeight="1" x14ac:dyDescent="0.25">
      <c r="A2852" s="2">
        <v>46011</v>
      </c>
      <c r="B2852">
        <v>2025003947</v>
      </c>
      <c r="C2852" t="s">
        <v>2319</v>
      </c>
      <c r="D2852" s="11">
        <v>3150000</v>
      </c>
      <c r="E2852" t="s">
        <v>1732</v>
      </c>
      <c r="F2852" t="s">
        <v>103</v>
      </c>
      <c r="G2852" t="s">
        <v>1755</v>
      </c>
    </row>
    <row r="2853" spans="1:7" ht="15" customHeight="1" x14ac:dyDescent="0.25">
      <c r="A2853" s="2">
        <v>46011</v>
      </c>
      <c r="B2853">
        <v>2025003949</v>
      </c>
      <c r="C2853" t="s">
        <v>2411</v>
      </c>
      <c r="D2853" s="11">
        <v>7800000</v>
      </c>
      <c r="E2853" t="s">
        <v>2412</v>
      </c>
      <c r="F2853" t="s">
        <v>309</v>
      </c>
      <c r="G2853" t="s">
        <v>1755</v>
      </c>
    </row>
    <row r="2854" spans="1:7" ht="15" customHeight="1" x14ac:dyDescent="0.25">
      <c r="A2854" s="2">
        <v>46011</v>
      </c>
      <c r="B2854">
        <v>2025003953</v>
      </c>
      <c r="C2854" t="s">
        <v>1800</v>
      </c>
      <c r="D2854" s="11">
        <v>3150000</v>
      </c>
      <c r="E2854" t="s">
        <v>1667</v>
      </c>
      <c r="F2854" t="s">
        <v>555</v>
      </c>
      <c r="G2854" t="s">
        <v>1755</v>
      </c>
    </row>
    <row r="2855" spans="1:7" ht="15" customHeight="1" x14ac:dyDescent="0.25">
      <c r="A2855" s="2">
        <v>46011</v>
      </c>
      <c r="B2855">
        <v>2025003956</v>
      </c>
      <c r="C2855" t="s">
        <v>2241</v>
      </c>
      <c r="D2855" s="11">
        <v>3150000</v>
      </c>
      <c r="E2855" t="s">
        <v>2242</v>
      </c>
      <c r="F2855" t="s">
        <v>2243</v>
      </c>
      <c r="G2855" t="s">
        <v>1755</v>
      </c>
    </row>
    <row r="2856" spans="1:7" ht="15" customHeight="1" x14ac:dyDescent="0.25">
      <c r="A2856" s="2">
        <v>46011</v>
      </c>
      <c r="B2856">
        <v>2025003957</v>
      </c>
      <c r="C2856" t="s">
        <v>2080</v>
      </c>
      <c r="D2856" s="11">
        <v>6300000</v>
      </c>
      <c r="E2856" t="s">
        <v>2081</v>
      </c>
      <c r="F2856" t="s">
        <v>2082</v>
      </c>
      <c r="G2856" t="s">
        <v>1755</v>
      </c>
    </row>
    <row r="2857" spans="1:7" ht="15" customHeight="1" x14ac:dyDescent="0.25">
      <c r="A2857" s="2">
        <v>46011</v>
      </c>
      <c r="B2857">
        <v>2025003959</v>
      </c>
      <c r="C2857" t="s">
        <v>1985</v>
      </c>
      <c r="D2857" s="11">
        <v>7800000</v>
      </c>
      <c r="E2857" t="s">
        <v>2112</v>
      </c>
      <c r="F2857" t="s">
        <v>1986</v>
      </c>
      <c r="G2857" t="s">
        <v>1755</v>
      </c>
    </row>
    <row r="2858" spans="1:7" ht="15" customHeight="1" x14ac:dyDescent="0.25">
      <c r="A2858" s="2">
        <v>46011</v>
      </c>
      <c r="B2858">
        <v>2025003961</v>
      </c>
      <c r="C2858" t="s">
        <v>1864</v>
      </c>
      <c r="D2858" s="11">
        <v>3150000</v>
      </c>
      <c r="E2858" t="s">
        <v>2021</v>
      </c>
      <c r="F2858" t="s">
        <v>1865</v>
      </c>
      <c r="G2858" t="s">
        <v>1755</v>
      </c>
    </row>
    <row r="2859" spans="1:7" ht="15" customHeight="1" x14ac:dyDescent="0.25">
      <c r="A2859" s="2">
        <v>46011</v>
      </c>
      <c r="B2859">
        <v>2025003963</v>
      </c>
      <c r="C2859" t="s">
        <v>1793</v>
      </c>
      <c r="D2859" s="11">
        <v>3150000</v>
      </c>
      <c r="E2859" t="s">
        <v>2079</v>
      </c>
      <c r="F2859" t="s">
        <v>963</v>
      </c>
      <c r="G2859" t="s">
        <v>1755</v>
      </c>
    </row>
    <row r="2860" spans="1:7" ht="15" customHeight="1" x14ac:dyDescent="0.25">
      <c r="A2860" s="2">
        <v>46011</v>
      </c>
      <c r="B2860">
        <v>2025003964</v>
      </c>
      <c r="C2860" t="s">
        <v>1876</v>
      </c>
      <c r="D2860" s="11">
        <v>3150000</v>
      </c>
      <c r="E2860" t="s">
        <v>2113</v>
      </c>
      <c r="F2860" t="s">
        <v>658</v>
      </c>
      <c r="G2860" t="s">
        <v>1755</v>
      </c>
    </row>
    <row r="2861" spans="1:7" ht="15" customHeight="1" x14ac:dyDescent="0.25">
      <c r="A2861" s="2">
        <v>46013</v>
      </c>
      <c r="B2861">
        <v>2025003966</v>
      </c>
      <c r="C2861" t="s">
        <v>2260</v>
      </c>
      <c r="D2861" s="11">
        <v>3150000</v>
      </c>
      <c r="E2861" t="s">
        <v>1632</v>
      </c>
      <c r="F2861" t="s">
        <v>121</v>
      </c>
      <c r="G2861" t="s">
        <v>1755</v>
      </c>
    </row>
    <row r="2862" spans="1:7" ht="15" customHeight="1" x14ac:dyDescent="0.25">
      <c r="A2862" s="2">
        <v>46013</v>
      </c>
      <c r="B2862">
        <v>2025003967</v>
      </c>
      <c r="C2862" t="s">
        <v>2279</v>
      </c>
      <c r="D2862" s="11">
        <v>2000000</v>
      </c>
      <c r="E2862" t="s">
        <v>1693</v>
      </c>
      <c r="F2862" t="s">
        <v>307</v>
      </c>
      <c r="G2862" t="s">
        <v>1755</v>
      </c>
    </row>
    <row r="2863" spans="1:7" ht="15" customHeight="1" x14ac:dyDescent="0.25">
      <c r="A2863" s="2">
        <v>46013</v>
      </c>
      <c r="B2863">
        <v>2025003969</v>
      </c>
      <c r="C2863" t="s">
        <v>2398</v>
      </c>
      <c r="D2863" s="11">
        <v>3150000</v>
      </c>
      <c r="E2863" t="s">
        <v>2399</v>
      </c>
      <c r="F2863" t="s">
        <v>2400</v>
      </c>
      <c r="G2863" t="s">
        <v>1755</v>
      </c>
    </row>
    <row r="2864" spans="1:7" ht="15" customHeight="1" x14ac:dyDescent="0.25">
      <c r="A2864" s="2">
        <v>46013</v>
      </c>
      <c r="B2864">
        <v>2025003970</v>
      </c>
      <c r="C2864" t="s">
        <v>1812</v>
      </c>
      <c r="D2864" s="11">
        <v>7800000</v>
      </c>
      <c r="E2864" t="s">
        <v>2057</v>
      </c>
      <c r="F2864" t="s">
        <v>1813</v>
      </c>
      <c r="G2864" t="s">
        <v>1755</v>
      </c>
    </row>
    <row r="2865" spans="1:7" ht="15" customHeight="1" x14ac:dyDescent="0.25">
      <c r="A2865" s="2">
        <v>46013</v>
      </c>
      <c r="B2865">
        <v>2025003973</v>
      </c>
      <c r="C2865" t="s">
        <v>1992</v>
      </c>
      <c r="D2865" s="11">
        <v>3150000</v>
      </c>
      <c r="E2865" t="s">
        <v>2255</v>
      </c>
      <c r="F2865" t="s">
        <v>580</v>
      </c>
      <c r="G2865" t="s">
        <v>1755</v>
      </c>
    </row>
    <row r="2866" spans="1:7" ht="15" customHeight="1" x14ac:dyDescent="0.25">
      <c r="A2866" s="2">
        <v>46013</v>
      </c>
      <c r="B2866">
        <v>2025003980</v>
      </c>
      <c r="C2866" t="s">
        <v>1839</v>
      </c>
      <c r="D2866" s="11">
        <v>4730000</v>
      </c>
      <c r="E2866" t="s">
        <v>1641</v>
      </c>
      <c r="F2866" t="s">
        <v>1142</v>
      </c>
      <c r="G2866" t="s">
        <v>1755</v>
      </c>
    </row>
    <row r="2867" spans="1:7" ht="15" customHeight="1" x14ac:dyDescent="0.25">
      <c r="A2867" s="2">
        <v>46013</v>
      </c>
      <c r="B2867">
        <v>2025003981</v>
      </c>
      <c r="C2867" t="s">
        <v>1856</v>
      </c>
      <c r="D2867" s="11">
        <v>3150000</v>
      </c>
      <c r="E2867" t="s">
        <v>1660</v>
      </c>
      <c r="F2867" t="s">
        <v>1163</v>
      </c>
      <c r="G2867" t="s">
        <v>1755</v>
      </c>
    </row>
    <row r="2868" spans="1:7" ht="15" customHeight="1" x14ac:dyDescent="0.25">
      <c r="A2868" s="2">
        <v>46013</v>
      </c>
      <c r="B2868">
        <v>2025003983</v>
      </c>
      <c r="C2868" t="s">
        <v>1887</v>
      </c>
      <c r="D2868" s="11">
        <v>4730000</v>
      </c>
      <c r="E2868" t="s">
        <v>2024</v>
      </c>
      <c r="F2868" t="s">
        <v>1888</v>
      </c>
      <c r="G2868" t="s">
        <v>1755</v>
      </c>
    </row>
    <row r="2869" spans="1:7" ht="15" customHeight="1" x14ac:dyDescent="0.25">
      <c r="A2869" s="2">
        <v>46013</v>
      </c>
      <c r="B2869">
        <v>2025003985</v>
      </c>
      <c r="C2869" t="s">
        <v>1881</v>
      </c>
      <c r="D2869" s="11">
        <v>3150000</v>
      </c>
      <c r="E2869" t="s">
        <v>2046</v>
      </c>
      <c r="F2869" t="s">
        <v>1882</v>
      </c>
      <c r="G2869" t="s">
        <v>1755</v>
      </c>
    </row>
    <row r="2870" spans="1:7" ht="15" customHeight="1" x14ac:dyDescent="0.25">
      <c r="A2870" s="2">
        <v>46013</v>
      </c>
      <c r="B2870">
        <v>2025003988</v>
      </c>
      <c r="C2870" t="s">
        <v>1761</v>
      </c>
      <c r="D2870" s="11">
        <v>3150000</v>
      </c>
      <c r="E2870" t="s">
        <v>1671</v>
      </c>
      <c r="F2870" t="s">
        <v>443</v>
      </c>
      <c r="G2870" t="s">
        <v>1755</v>
      </c>
    </row>
    <row r="2871" spans="1:7" ht="15" customHeight="1" x14ac:dyDescent="0.25">
      <c r="A2871" s="2">
        <v>46013</v>
      </c>
      <c r="B2871">
        <v>2025003989</v>
      </c>
      <c r="C2871" t="s">
        <v>1954</v>
      </c>
      <c r="D2871" s="11">
        <v>3150000</v>
      </c>
      <c r="E2871" t="s">
        <v>2007</v>
      </c>
      <c r="F2871" t="s">
        <v>1955</v>
      </c>
      <c r="G2871" t="s">
        <v>1755</v>
      </c>
    </row>
    <row r="2872" spans="1:7" ht="15" customHeight="1" x14ac:dyDescent="0.25">
      <c r="A2872" s="2">
        <v>46013</v>
      </c>
      <c r="B2872">
        <v>2025003993</v>
      </c>
      <c r="C2872" t="s">
        <v>2296</v>
      </c>
      <c r="D2872" s="11">
        <v>6300000</v>
      </c>
      <c r="E2872" t="s">
        <v>2297</v>
      </c>
      <c r="F2872" t="s">
        <v>2298</v>
      </c>
      <c r="G2872" t="s">
        <v>1755</v>
      </c>
    </row>
    <row r="2873" spans="1:7" ht="15" customHeight="1" x14ac:dyDescent="0.25">
      <c r="A2873" s="2">
        <v>46013</v>
      </c>
      <c r="B2873">
        <v>2025003994</v>
      </c>
      <c r="C2873" t="s">
        <v>1929</v>
      </c>
      <c r="D2873" s="11">
        <v>6300000</v>
      </c>
      <c r="E2873" t="s">
        <v>2308</v>
      </c>
      <c r="F2873" t="s">
        <v>895</v>
      </c>
      <c r="G2873" t="s">
        <v>1755</v>
      </c>
    </row>
    <row r="2874" spans="1:7" ht="15" customHeight="1" x14ac:dyDescent="0.25">
      <c r="A2874" s="2">
        <v>46013</v>
      </c>
      <c r="B2874">
        <v>2025003995</v>
      </c>
      <c r="C2874" t="s">
        <v>2394</v>
      </c>
      <c r="D2874" s="11">
        <v>3150000</v>
      </c>
      <c r="E2874" t="s">
        <v>2395</v>
      </c>
      <c r="F2874" t="s">
        <v>2396</v>
      </c>
      <c r="G2874" t="s">
        <v>1755</v>
      </c>
    </row>
    <row r="2875" spans="1:7" ht="15" customHeight="1" x14ac:dyDescent="0.25">
      <c r="A2875" s="2">
        <v>46013</v>
      </c>
      <c r="B2875">
        <v>2025003996</v>
      </c>
      <c r="C2875" t="s">
        <v>2456</v>
      </c>
      <c r="D2875" s="11">
        <v>3150000</v>
      </c>
      <c r="E2875" t="s">
        <v>1663</v>
      </c>
      <c r="F2875" t="s">
        <v>75</v>
      </c>
      <c r="G2875" t="s">
        <v>1755</v>
      </c>
    </row>
    <row r="2876" spans="1:7" ht="15" customHeight="1" x14ac:dyDescent="0.25">
      <c r="A2876" s="2">
        <v>46013</v>
      </c>
      <c r="B2876">
        <v>2025003998</v>
      </c>
      <c r="C2876" t="s">
        <v>2290</v>
      </c>
      <c r="D2876" s="11">
        <v>4730000</v>
      </c>
      <c r="E2876" t="s">
        <v>2291</v>
      </c>
      <c r="F2876" t="s">
        <v>2292</v>
      </c>
      <c r="G2876" t="s">
        <v>1755</v>
      </c>
    </row>
    <row r="2877" spans="1:7" ht="15" customHeight="1" x14ac:dyDescent="0.25">
      <c r="A2877" s="2">
        <v>46013</v>
      </c>
      <c r="B2877">
        <v>2025003999</v>
      </c>
      <c r="C2877" t="s">
        <v>2278</v>
      </c>
      <c r="D2877" s="11">
        <v>6300000</v>
      </c>
      <c r="E2877" t="s">
        <v>1721</v>
      </c>
      <c r="F2877" t="s">
        <v>31</v>
      </c>
      <c r="G2877" t="s">
        <v>1755</v>
      </c>
    </row>
    <row r="2878" spans="1:7" ht="15" customHeight="1" x14ac:dyDescent="0.25">
      <c r="A2878" s="2">
        <v>46013</v>
      </c>
      <c r="B2878">
        <v>2025004002</v>
      </c>
      <c r="C2878" t="s">
        <v>1917</v>
      </c>
      <c r="D2878" s="11">
        <v>7800000</v>
      </c>
      <c r="E2878" t="s">
        <v>2189</v>
      </c>
      <c r="F2878" t="s">
        <v>1918</v>
      </c>
      <c r="G2878" t="s">
        <v>1755</v>
      </c>
    </row>
    <row r="2879" spans="1:7" ht="15" customHeight="1" x14ac:dyDescent="0.25">
      <c r="A2879" s="2">
        <v>46013</v>
      </c>
      <c r="B2879">
        <v>2025004004</v>
      </c>
      <c r="C2879" t="s">
        <v>2445</v>
      </c>
      <c r="D2879" s="11">
        <v>4730000</v>
      </c>
      <c r="E2879" t="s">
        <v>2446</v>
      </c>
      <c r="F2879" t="s">
        <v>2447</v>
      </c>
      <c r="G2879" t="s">
        <v>1755</v>
      </c>
    </row>
    <row r="2880" spans="1:7" ht="15" customHeight="1" x14ac:dyDescent="0.25">
      <c r="A2880" s="2">
        <v>46013</v>
      </c>
      <c r="B2880">
        <v>2025004008</v>
      </c>
      <c r="C2880" t="s">
        <v>2293</v>
      </c>
      <c r="D2880" s="11">
        <v>4730000</v>
      </c>
      <c r="E2880" t="s">
        <v>2294</v>
      </c>
      <c r="F2880" t="s">
        <v>2295</v>
      </c>
      <c r="G2880" t="s">
        <v>1755</v>
      </c>
    </row>
    <row r="2881" spans="1:7" ht="15" customHeight="1" x14ac:dyDescent="0.25">
      <c r="A2881" s="2">
        <v>46013</v>
      </c>
      <c r="B2881">
        <v>2025004011</v>
      </c>
      <c r="C2881" t="s">
        <v>2472</v>
      </c>
      <c r="D2881" s="11">
        <v>2000000</v>
      </c>
      <c r="E2881">
        <v>66958357</v>
      </c>
      <c r="F2881" t="s">
        <v>2473</v>
      </c>
      <c r="G2881" t="s">
        <v>1755</v>
      </c>
    </row>
    <row r="2882" spans="1:7" ht="15" customHeight="1" x14ac:dyDescent="0.25">
      <c r="A2882" s="2">
        <v>46013</v>
      </c>
      <c r="B2882">
        <v>2025004016</v>
      </c>
      <c r="C2882" t="s">
        <v>1804</v>
      </c>
      <c r="D2882" s="11">
        <v>6300000</v>
      </c>
      <c r="E2882" t="s">
        <v>1723</v>
      </c>
      <c r="F2882" t="s">
        <v>1233</v>
      </c>
      <c r="G2882" t="s">
        <v>1755</v>
      </c>
    </row>
    <row r="2883" spans="1:7" ht="15" customHeight="1" x14ac:dyDescent="0.25">
      <c r="A2883" s="2">
        <v>46013</v>
      </c>
      <c r="B2883">
        <v>2025004018</v>
      </c>
      <c r="C2883" t="s">
        <v>2421</v>
      </c>
      <c r="D2883" s="11">
        <v>2000000</v>
      </c>
      <c r="E2883" t="s">
        <v>2422</v>
      </c>
      <c r="F2883" t="s">
        <v>313</v>
      </c>
      <c r="G2883" t="s">
        <v>1755</v>
      </c>
    </row>
    <row r="2884" spans="1:7" ht="15" customHeight="1" x14ac:dyDescent="0.25">
      <c r="A2884" s="2">
        <v>46013</v>
      </c>
      <c r="B2884">
        <v>2025004019</v>
      </c>
      <c r="C2884" t="s">
        <v>1806</v>
      </c>
      <c r="D2884" s="11">
        <v>7800000</v>
      </c>
      <c r="E2884" t="s">
        <v>2040</v>
      </c>
      <c r="F2884" t="s">
        <v>1807</v>
      </c>
      <c r="G2884" t="s">
        <v>1755</v>
      </c>
    </row>
    <row r="2885" spans="1:7" ht="15" customHeight="1" x14ac:dyDescent="0.25">
      <c r="A2885" s="2">
        <v>46013</v>
      </c>
      <c r="B2885">
        <v>2025004023</v>
      </c>
      <c r="C2885" t="s">
        <v>2457</v>
      </c>
      <c r="D2885" s="11">
        <v>3150000</v>
      </c>
      <c r="E2885" t="s">
        <v>1746</v>
      </c>
      <c r="F2885" t="s">
        <v>181</v>
      </c>
      <c r="G2885" t="s">
        <v>1755</v>
      </c>
    </row>
    <row r="2886" spans="1:7" ht="15" customHeight="1" x14ac:dyDescent="0.25">
      <c r="A2886" s="2">
        <v>46013</v>
      </c>
      <c r="B2886">
        <v>2025004026</v>
      </c>
      <c r="C2886" t="s">
        <v>1996</v>
      </c>
      <c r="D2886" s="11">
        <v>3150000</v>
      </c>
      <c r="E2886" t="s">
        <v>2192</v>
      </c>
      <c r="F2886" t="s">
        <v>1997</v>
      </c>
      <c r="G2886" t="s">
        <v>1755</v>
      </c>
    </row>
    <row r="2887" spans="1:7" ht="15" customHeight="1" x14ac:dyDescent="0.25">
      <c r="A2887" s="2">
        <v>46013</v>
      </c>
      <c r="B2887">
        <v>2025004033</v>
      </c>
      <c r="C2887" t="s">
        <v>2442</v>
      </c>
      <c r="D2887" s="11">
        <v>2000000</v>
      </c>
      <c r="E2887" t="s">
        <v>2443</v>
      </c>
      <c r="F2887" t="s">
        <v>2444</v>
      </c>
      <c r="G2887" t="s">
        <v>1755</v>
      </c>
    </row>
    <row r="2888" spans="1:7" ht="15" customHeight="1" x14ac:dyDescent="0.25">
      <c r="A2888" s="2">
        <v>46013</v>
      </c>
      <c r="B2888">
        <v>2025004034</v>
      </c>
      <c r="C2888" t="s">
        <v>1914</v>
      </c>
      <c r="D2888" s="11">
        <v>6300000</v>
      </c>
      <c r="E2888" t="s">
        <v>1673</v>
      </c>
      <c r="F2888" t="s">
        <v>1182</v>
      </c>
      <c r="G2888" t="s">
        <v>1755</v>
      </c>
    </row>
    <row r="2889" spans="1:7" ht="15" customHeight="1" x14ac:dyDescent="0.25">
      <c r="A2889" s="2">
        <v>46013</v>
      </c>
      <c r="B2889">
        <v>2025004035</v>
      </c>
      <c r="C2889" t="s">
        <v>2302</v>
      </c>
      <c r="D2889" s="11">
        <v>7800000</v>
      </c>
      <c r="E2889" t="s">
        <v>2303</v>
      </c>
      <c r="F2889" t="s">
        <v>2304</v>
      </c>
      <c r="G2889" t="s">
        <v>1755</v>
      </c>
    </row>
    <row r="2890" spans="1:7" ht="15" customHeight="1" x14ac:dyDescent="0.25">
      <c r="A2890" s="2">
        <v>46013</v>
      </c>
      <c r="B2890">
        <v>2025004037</v>
      </c>
      <c r="C2890" t="s">
        <v>1933</v>
      </c>
      <c r="D2890" s="11">
        <v>4730000</v>
      </c>
      <c r="E2890" t="s">
        <v>1628</v>
      </c>
      <c r="F2890" t="s">
        <v>705</v>
      </c>
      <c r="G2890" t="s">
        <v>1755</v>
      </c>
    </row>
    <row r="2891" spans="1:7" ht="15" customHeight="1" x14ac:dyDescent="0.25">
      <c r="A2891" s="2">
        <v>46013</v>
      </c>
      <c r="B2891">
        <v>2025004039</v>
      </c>
      <c r="C2891" t="s">
        <v>2253</v>
      </c>
      <c r="D2891" s="11">
        <v>4730000</v>
      </c>
      <c r="E2891" t="s">
        <v>2254</v>
      </c>
      <c r="F2891" t="s">
        <v>415</v>
      </c>
      <c r="G2891" t="s">
        <v>1755</v>
      </c>
    </row>
    <row r="2892" spans="1:7" ht="15" customHeight="1" x14ac:dyDescent="0.25">
      <c r="A2892" s="2">
        <v>46013</v>
      </c>
      <c r="B2892">
        <v>2025004041</v>
      </c>
      <c r="C2892" t="s">
        <v>2250</v>
      </c>
      <c r="D2892" s="11">
        <v>3150000</v>
      </c>
      <c r="E2892" t="s">
        <v>2251</v>
      </c>
      <c r="F2892" t="s">
        <v>2252</v>
      </c>
      <c r="G2892" t="s">
        <v>1755</v>
      </c>
    </row>
    <row r="2893" spans="1:7" ht="15" customHeight="1" x14ac:dyDescent="0.25">
      <c r="A2893" s="2">
        <v>46013</v>
      </c>
      <c r="B2893">
        <v>2025004042</v>
      </c>
      <c r="C2893" t="s">
        <v>2261</v>
      </c>
      <c r="D2893" s="11">
        <v>2000000</v>
      </c>
      <c r="E2893" t="s">
        <v>2262</v>
      </c>
      <c r="F2893" t="s">
        <v>2263</v>
      </c>
      <c r="G2893" t="s">
        <v>1755</v>
      </c>
    </row>
    <row r="2894" spans="1:7" ht="15" customHeight="1" x14ac:dyDescent="0.25">
      <c r="A2894" s="2">
        <v>46013</v>
      </c>
      <c r="B2894">
        <v>2025004046</v>
      </c>
      <c r="C2894" t="s">
        <v>1824</v>
      </c>
      <c r="D2894" s="11">
        <v>4730000</v>
      </c>
      <c r="E2894" t="s">
        <v>2095</v>
      </c>
      <c r="F2894" t="s">
        <v>1825</v>
      </c>
      <c r="G2894" t="s">
        <v>1755</v>
      </c>
    </row>
    <row r="2895" spans="1:7" ht="15" customHeight="1" x14ac:dyDescent="0.25">
      <c r="A2895" s="2">
        <v>46013</v>
      </c>
      <c r="B2895">
        <v>2025004047</v>
      </c>
      <c r="C2895" t="s">
        <v>1920</v>
      </c>
      <c r="D2895" s="11">
        <v>4730000</v>
      </c>
      <c r="E2895" t="s">
        <v>2102</v>
      </c>
      <c r="F2895" t="s">
        <v>1921</v>
      </c>
      <c r="G2895" t="s">
        <v>1755</v>
      </c>
    </row>
    <row r="2896" spans="1:7" ht="15" customHeight="1" x14ac:dyDescent="0.25">
      <c r="A2896" s="2">
        <v>46013</v>
      </c>
      <c r="B2896">
        <v>2025004048</v>
      </c>
      <c r="C2896" t="s">
        <v>1922</v>
      </c>
      <c r="D2896" s="11">
        <v>7800000</v>
      </c>
      <c r="E2896" t="s">
        <v>2041</v>
      </c>
      <c r="F2896" t="s">
        <v>1923</v>
      </c>
      <c r="G2896" t="s">
        <v>1755</v>
      </c>
    </row>
    <row r="2897" spans="1:7" ht="15" customHeight="1" x14ac:dyDescent="0.25">
      <c r="A2897" s="2">
        <v>46013</v>
      </c>
      <c r="B2897">
        <v>2025004050</v>
      </c>
      <c r="C2897" t="s">
        <v>1826</v>
      </c>
      <c r="D2897" s="11">
        <v>7800000</v>
      </c>
      <c r="E2897" t="s">
        <v>2191</v>
      </c>
      <c r="F2897" t="s">
        <v>239</v>
      </c>
      <c r="G2897" t="s">
        <v>1755</v>
      </c>
    </row>
    <row r="2898" spans="1:7" ht="15" customHeight="1" x14ac:dyDescent="0.25">
      <c r="A2898" s="2">
        <v>46013</v>
      </c>
      <c r="B2898">
        <v>2025004051</v>
      </c>
      <c r="C2898" t="s">
        <v>1814</v>
      </c>
      <c r="D2898" s="11">
        <v>6300000</v>
      </c>
      <c r="E2898" t="s">
        <v>2188</v>
      </c>
      <c r="F2898" t="s">
        <v>1815</v>
      </c>
      <c r="G2898" t="s">
        <v>1755</v>
      </c>
    </row>
    <row r="2899" spans="1:7" ht="15" customHeight="1" x14ac:dyDescent="0.25">
      <c r="A2899" s="2">
        <v>46013</v>
      </c>
      <c r="B2899">
        <v>2025004056</v>
      </c>
      <c r="C2899" t="s">
        <v>1993</v>
      </c>
      <c r="D2899" s="11">
        <v>3150000</v>
      </c>
      <c r="E2899" t="s">
        <v>2193</v>
      </c>
      <c r="F2899" t="s">
        <v>1994</v>
      </c>
      <c r="G2899" t="s">
        <v>1755</v>
      </c>
    </row>
    <row r="2900" spans="1:7" ht="15" customHeight="1" x14ac:dyDescent="0.25">
      <c r="A2900" s="2">
        <v>46013</v>
      </c>
      <c r="B2900">
        <v>2025004059</v>
      </c>
      <c r="C2900" t="s">
        <v>2305</v>
      </c>
      <c r="D2900" s="11">
        <v>4730000</v>
      </c>
      <c r="E2900" t="s">
        <v>2306</v>
      </c>
      <c r="F2900" t="s">
        <v>2307</v>
      </c>
      <c r="G2900" t="s">
        <v>1755</v>
      </c>
    </row>
    <row r="2901" spans="1:7" ht="15" customHeight="1" x14ac:dyDescent="0.25">
      <c r="A2901" s="2">
        <v>46013</v>
      </c>
      <c r="B2901">
        <v>2025004060</v>
      </c>
      <c r="C2901" t="s">
        <v>2275</v>
      </c>
      <c r="D2901" s="11">
        <v>4730000</v>
      </c>
      <c r="E2901" t="s">
        <v>2276</v>
      </c>
      <c r="F2901" t="s">
        <v>2277</v>
      </c>
      <c r="G2901" t="s">
        <v>1755</v>
      </c>
    </row>
    <row r="2902" spans="1:7" ht="15" customHeight="1" x14ac:dyDescent="0.25">
      <c r="A2902" s="2">
        <v>46013</v>
      </c>
      <c r="B2902">
        <v>2025004061</v>
      </c>
      <c r="C2902" t="s">
        <v>2429</v>
      </c>
      <c r="D2902" s="11">
        <v>3150000</v>
      </c>
      <c r="E2902" t="s">
        <v>2430</v>
      </c>
      <c r="F2902" t="s">
        <v>2431</v>
      </c>
      <c r="G2902" t="s">
        <v>1755</v>
      </c>
    </row>
    <row r="2903" spans="1:7" ht="15" customHeight="1" x14ac:dyDescent="0.25">
      <c r="A2903" s="2">
        <v>46013</v>
      </c>
      <c r="B2903">
        <v>2025004062</v>
      </c>
      <c r="C2903" t="s">
        <v>1808</v>
      </c>
      <c r="D2903" s="11">
        <v>7800000</v>
      </c>
      <c r="E2903" t="s">
        <v>2058</v>
      </c>
      <c r="F2903" t="s">
        <v>1809</v>
      </c>
      <c r="G2903" t="s">
        <v>1755</v>
      </c>
    </row>
    <row r="2904" spans="1:7" ht="15" customHeight="1" x14ac:dyDescent="0.25">
      <c r="A2904" s="2">
        <v>46013</v>
      </c>
      <c r="B2904">
        <v>2025004063</v>
      </c>
      <c r="C2904" t="s">
        <v>2284</v>
      </c>
      <c r="D2904" s="11">
        <v>3150000</v>
      </c>
      <c r="E2904" t="s">
        <v>2285</v>
      </c>
      <c r="F2904" t="s">
        <v>2286</v>
      </c>
      <c r="G2904" t="s">
        <v>1755</v>
      </c>
    </row>
    <row r="2905" spans="1:7" ht="15" customHeight="1" x14ac:dyDescent="0.25">
      <c r="A2905" s="2">
        <v>46013</v>
      </c>
      <c r="B2905">
        <v>2025004064</v>
      </c>
      <c r="C2905" t="s">
        <v>1916</v>
      </c>
      <c r="D2905" s="11">
        <v>6300000</v>
      </c>
      <c r="E2905" t="s">
        <v>1651</v>
      </c>
      <c r="F2905" t="s">
        <v>117</v>
      </c>
      <c r="G2905" t="s">
        <v>1755</v>
      </c>
    </row>
    <row r="2906" spans="1:7" ht="15" customHeight="1" x14ac:dyDescent="0.25">
      <c r="A2906" s="2">
        <v>46013</v>
      </c>
      <c r="B2906">
        <v>2025004065</v>
      </c>
      <c r="C2906" t="s">
        <v>1821</v>
      </c>
      <c r="D2906" s="11">
        <v>3150000</v>
      </c>
      <c r="E2906" t="s">
        <v>1637</v>
      </c>
      <c r="F2906" t="s">
        <v>989</v>
      </c>
      <c r="G2906" t="s">
        <v>1755</v>
      </c>
    </row>
    <row r="2907" spans="1:7" ht="15" customHeight="1" x14ac:dyDescent="0.25">
      <c r="A2907" s="2">
        <v>46013</v>
      </c>
      <c r="B2907">
        <v>2025004066</v>
      </c>
      <c r="C2907" t="s">
        <v>2270</v>
      </c>
      <c r="D2907" s="11">
        <v>3150000</v>
      </c>
      <c r="E2907" t="s">
        <v>2271</v>
      </c>
      <c r="F2907" t="s">
        <v>213</v>
      </c>
      <c r="G2907" t="s">
        <v>1755</v>
      </c>
    </row>
    <row r="2908" spans="1:7" ht="15" customHeight="1" x14ac:dyDescent="0.25">
      <c r="A2908" s="2">
        <v>46013</v>
      </c>
      <c r="B2908">
        <v>2025004067</v>
      </c>
      <c r="C2908" t="s">
        <v>2424</v>
      </c>
      <c r="D2908" s="11">
        <v>2000000</v>
      </c>
      <c r="E2908" t="s">
        <v>2425</v>
      </c>
      <c r="F2908" t="s">
        <v>2426</v>
      </c>
      <c r="G2908" t="s">
        <v>1755</v>
      </c>
    </row>
    <row r="2909" spans="1:7" ht="15" customHeight="1" x14ac:dyDescent="0.25">
      <c r="A2909" s="2">
        <v>46013</v>
      </c>
      <c r="B2909">
        <v>2025004070</v>
      </c>
      <c r="C2909" t="s">
        <v>1927</v>
      </c>
      <c r="D2909" s="11">
        <v>3150000</v>
      </c>
      <c r="E2909" t="s">
        <v>2187</v>
      </c>
      <c r="F2909" t="s">
        <v>1928</v>
      </c>
      <c r="G2909" t="s">
        <v>1755</v>
      </c>
    </row>
    <row r="2910" spans="1:7" ht="15" customHeight="1" x14ac:dyDescent="0.25">
      <c r="A2910" s="2">
        <v>46013</v>
      </c>
      <c r="B2910">
        <v>2025004071</v>
      </c>
      <c r="C2910" t="s">
        <v>2258</v>
      </c>
      <c r="D2910" s="11">
        <v>3150000</v>
      </c>
      <c r="E2910" t="s">
        <v>2259</v>
      </c>
      <c r="F2910" t="s">
        <v>1054</v>
      </c>
      <c r="G2910" t="s">
        <v>1755</v>
      </c>
    </row>
    <row r="2911" spans="1:7" ht="15" customHeight="1" x14ac:dyDescent="0.25">
      <c r="A2911" s="2">
        <v>46013</v>
      </c>
      <c r="B2911">
        <v>2025004072</v>
      </c>
      <c r="C2911" t="s">
        <v>1915</v>
      </c>
      <c r="D2911" s="11">
        <v>3150000</v>
      </c>
      <c r="E2911" t="s">
        <v>1617</v>
      </c>
      <c r="F2911" t="s">
        <v>992</v>
      </c>
      <c r="G2911" t="s">
        <v>1755</v>
      </c>
    </row>
    <row r="2912" spans="1:7" ht="15" customHeight="1" x14ac:dyDescent="0.25">
      <c r="A2912" s="2">
        <v>46013</v>
      </c>
      <c r="B2912">
        <v>2025004073</v>
      </c>
      <c r="C2912" t="s">
        <v>2439</v>
      </c>
      <c r="D2912" s="11">
        <v>3150000</v>
      </c>
      <c r="E2912" t="s">
        <v>2440</v>
      </c>
      <c r="F2912" t="s">
        <v>2441</v>
      </c>
      <c r="G2912" t="s">
        <v>1755</v>
      </c>
    </row>
    <row r="2913" spans="1:7" ht="15" customHeight="1" x14ac:dyDescent="0.25">
      <c r="A2913" s="2">
        <v>46013</v>
      </c>
      <c r="B2913">
        <v>2025004074</v>
      </c>
      <c r="C2913" t="s">
        <v>1818</v>
      </c>
      <c r="D2913" s="11">
        <v>3150000</v>
      </c>
      <c r="E2913" t="s">
        <v>2094</v>
      </c>
      <c r="F2913" t="s">
        <v>1819</v>
      </c>
      <c r="G2913" t="s">
        <v>1755</v>
      </c>
    </row>
    <row r="2914" spans="1:7" ht="15" customHeight="1" x14ac:dyDescent="0.25">
      <c r="A2914" s="2">
        <v>46013</v>
      </c>
      <c r="B2914">
        <v>2025004075</v>
      </c>
      <c r="C2914" t="s">
        <v>1934</v>
      </c>
      <c r="D2914" s="11">
        <v>4730000</v>
      </c>
      <c r="E2914" t="s">
        <v>2039</v>
      </c>
      <c r="F2914" t="s">
        <v>464</v>
      </c>
      <c r="G2914" t="s">
        <v>1755</v>
      </c>
    </row>
    <row r="2915" spans="1:7" ht="15" customHeight="1" x14ac:dyDescent="0.25">
      <c r="A2915" s="2">
        <v>46013</v>
      </c>
      <c r="B2915">
        <v>2025004076</v>
      </c>
      <c r="C2915" t="s">
        <v>1820</v>
      </c>
      <c r="D2915" s="11">
        <v>3150000</v>
      </c>
      <c r="E2915" t="s">
        <v>2043</v>
      </c>
      <c r="F2915" t="s">
        <v>405</v>
      </c>
      <c r="G2915" t="s">
        <v>1755</v>
      </c>
    </row>
    <row r="2916" spans="1:7" ht="15" customHeight="1" x14ac:dyDescent="0.25">
      <c r="A2916" s="2">
        <v>46013</v>
      </c>
      <c r="B2916">
        <v>2025004077</v>
      </c>
      <c r="C2916" t="s">
        <v>2272</v>
      </c>
      <c r="D2916" s="11">
        <v>3150000</v>
      </c>
      <c r="E2916" t="s">
        <v>1743</v>
      </c>
      <c r="F2916" t="s">
        <v>1211</v>
      </c>
      <c r="G2916" t="s">
        <v>1755</v>
      </c>
    </row>
    <row r="2917" spans="1:7" ht="15" customHeight="1" x14ac:dyDescent="0.25">
      <c r="A2917" s="2">
        <v>46013</v>
      </c>
      <c r="B2917">
        <v>2025004078</v>
      </c>
      <c r="C2917" t="s">
        <v>2448</v>
      </c>
      <c r="D2917" s="11">
        <v>6300000</v>
      </c>
      <c r="E2917" t="s">
        <v>2449</v>
      </c>
      <c r="F2917" t="s">
        <v>55</v>
      </c>
      <c r="G2917" t="s">
        <v>1755</v>
      </c>
    </row>
    <row r="2918" spans="1:7" ht="15" customHeight="1" x14ac:dyDescent="0.25">
      <c r="A2918" s="2">
        <v>46013</v>
      </c>
      <c r="B2918">
        <v>2025004079</v>
      </c>
      <c r="C2918" t="s">
        <v>1924</v>
      </c>
      <c r="D2918" s="11">
        <v>6300000</v>
      </c>
      <c r="E2918" t="s">
        <v>1594</v>
      </c>
      <c r="F2918" t="s">
        <v>1102</v>
      </c>
      <c r="G2918" t="s">
        <v>1755</v>
      </c>
    </row>
    <row r="2919" spans="1:7" ht="15" customHeight="1" x14ac:dyDescent="0.25">
      <c r="A2919" s="2">
        <v>46013</v>
      </c>
      <c r="B2919">
        <v>2025004080</v>
      </c>
      <c r="C2919" t="s">
        <v>1941</v>
      </c>
      <c r="D2919" s="11">
        <v>6300000</v>
      </c>
      <c r="E2919" t="s">
        <v>2190</v>
      </c>
      <c r="F2919" t="s">
        <v>1942</v>
      </c>
      <c r="G2919" t="s">
        <v>1755</v>
      </c>
    </row>
    <row r="2920" spans="1:7" ht="15" customHeight="1" x14ac:dyDescent="0.25">
      <c r="A2920" s="2">
        <v>46013</v>
      </c>
      <c r="B2920">
        <v>2025004081</v>
      </c>
      <c r="C2920" t="s">
        <v>1810</v>
      </c>
      <c r="D2920" s="11">
        <v>7800000</v>
      </c>
      <c r="E2920" t="s">
        <v>2056</v>
      </c>
      <c r="F2920" t="s">
        <v>1811</v>
      </c>
      <c r="G2920" t="s">
        <v>1755</v>
      </c>
    </row>
    <row r="2921" spans="1:7" ht="15" customHeight="1" x14ac:dyDescent="0.25">
      <c r="A2921" s="2">
        <v>46013</v>
      </c>
      <c r="B2921">
        <v>2025004082</v>
      </c>
      <c r="C2921" t="s">
        <v>1998</v>
      </c>
      <c r="D2921" s="11">
        <v>7800000</v>
      </c>
      <c r="E2921" t="s">
        <v>2059</v>
      </c>
      <c r="F2921" t="s">
        <v>1999</v>
      </c>
      <c r="G2921" t="s">
        <v>1755</v>
      </c>
    </row>
    <row r="2922" spans="1:7" ht="15" customHeight="1" x14ac:dyDescent="0.25">
      <c r="A2922" s="2">
        <v>46013</v>
      </c>
      <c r="B2922">
        <v>2025004083</v>
      </c>
      <c r="C2922" t="s">
        <v>2273</v>
      </c>
      <c r="D2922" s="11">
        <v>4730000</v>
      </c>
      <c r="E2922" t="s">
        <v>2274</v>
      </c>
      <c r="F2922" t="s">
        <v>730</v>
      </c>
      <c r="G2922" t="s">
        <v>1755</v>
      </c>
    </row>
    <row r="2923" spans="1:7" ht="15" customHeight="1" x14ac:dyDescent="0.25">
      <c r="A2923" s="2">
        <v>46013</v>
      </c>
      <c r="B2923">
        <v>2025004085</v>
      </c>
      <c r="C2923" t="s">
        <v>2458</v>
      </c>
      <c r="D2923" s="11">
        <v>6300000</v>
      </c>
      <c r="E2923" t="s">
        <v>2459</v>
      </c>
      <c r="F2923" t="s">
        <v>2460</v>
      </c>
      <c r="G2923" t="s">
        <v>1755</v>
      </c>
    </row>
    <row r="2924" spans="1:7" ht="15" customHeight="1" x14ac:dyDescent="0.25">
      <c r="A2924" s="2">
        <v>46013</v>
      </c>
      <c r="B2924">
        <v>2025004090</v>
      </c>
      <c r="C2924" t="s">
        <v>2457</v>
      </c>
      <c r="D2924" s="11">
        <v>3150000</v>
      </c>
      <c r="E2924" t="s">
        <v>1746</v>
      </c>
      <c r="F2924" t="s">
        <v>181</v>
      </c>
      <c r="G2924" t="s">
        <v>1755</v>
      </c>
    </row>
    <row r="2925" spans="1:7" ht="15" customHeight="1" x14ac:dyDescent="0.25">
      <c r="A2925" s="2">
        <v>46013</v>
      </c>
      <c r="B2925">
        <v>2025004091</v>
      </c>
      <c r="C2925" s="4" t="s">
        <v>2390</v>
      </c>
      <c r="D2925" s="11">
        <v>16920000</v>
      </c>
      <c r="E2925" t="s">
        <v>2391</v>
      </c>
      <c r="F2925" t="s">
        <v>2392</v>
      </c>
      <c r="G2925" t="s">
        <v>1755</v>
      </c>
    </row>
    <row r="2926" spans="1:7" ht="15" customHeight="1" x14ac:dyDescent="0.25">
      <c r="A2926" s="2">
        <v>46013</v>
      </c>
      <c r="B2926">
        <v>2025004092</v>
      </c>
      <c r="C2926" t="s">
        <v>2393</v>
      </c>
      <c r="D2926" s="11">
        <v>45120000</v>
      </c>
      <c r="E2926" t="s">
        <v>2391</v>
      </c>
      <c r="F2926" t="s">
        <v>2392</v>
      </c>
      <c r="G2926" t="s">
        <v>1755</v>
      </c>
    </row>
    <row r="2927" spans="1:7" ht="15" customHeight="1" x14ac:dyDescent="0.25">
      <c r="A2927" s="2">
        <v>46013</v>
      </c>
      <c r="B2927">
        <v>2025004093</v>
      </c>
      <c r="C2927" t="s">
        <v>2397</v>
      </c>
      <c r="D2927" s="11">
        <v>3150000</v>
      </c>
      <c r="E2927" t="s">
        <v>1717</v>
      </c>
      <c r="F2927" t="s">
        <v>886</v>
      </c>
      <c r="G2927" t="s">
        <v>1755</v>
      </c>
    </row>
    <row r="2928" spans="1:7" ht="15" customHeight="1" x14ac:dyDescent="0.25">
      <c r="A2928" s="2">
        <v>46013</v>
      </c>
      <c r="B2928">
        <v>2025004094</v>
      </c>
      <c r="C2928" t="s">
        <v>1992</v>
      </c>
      <c r="D2928" s="11">
        <v>3150000</v>
      </c>
      <c r="E2928" t="s">
        <v>2255</v>
      </c>
      <c r="F2928" t="s">
        <v>580</v>
      </c>
      <c r="G2928" t="s">
        <v>1755</v>
      </c>
    </row>
    <row r="2929" spans="1:7" ht="15" customHeight="1" x14ac:dyDescent="0.25">
      <c r="A2929" s="2">
        <v>46013</v>
      </c>
      <c r="B2929">
        <v>2025004095</v>
      </c>
      <c r="C2929" t="s">
        <v>2423</v>
      </c>
      <c r="D2929" s="11">
        <v>17040000</v>
      </c>
      <c r="E2929" t="s">
        <v>2391</v>
      </c>
      <c r="F2929" t="s">
        <v>2392</v>
      </c>
      <c r="G2929" t="s">
        <v>1755</v>
      </c>
    </row>
    <row r="2930" spans="1:7" ht="15" customHeight="1" x14ac:dyDescent="0.25">
      <c r="A2930" s="2">
        <v>46013</v>
      </c>
      <c r="B2930">
        <v>2025004096</v>
      </c>
      <c r="C2930" t="s">
        <v>2253</v>
      </c>
      <c r="D2930" s="11">
        <v>4730000</v>
      </c>
      <c r="E2930" t="s">
        <v>2254</v>
      </c>
      <c r="F2930" t="s">
        <v>415</v>
      </c>
      <c r="G2930" t="s">
        <v>1755</v>
      </c>
    </row>
    <row r="2931" spans="1:7" ht="15" customHeight="1" x14ac:dyDescent="0.25">
      <c r="A2931" s="2">
        <v>46013</v>
      </c>
      <c r="B2931">
        <v>2025004098</v>
      </c>
      <c r="C2931" t="s">
        <v>2258</v>
      </c>
      <c r="D2931" s="11">
        <v>3150000</v>
      </c>
      <c r="E2931" t="s">
        <v>2259</v>
      </c>
      <c r="F2931" t="s">
        <v>1054</v>
      </c>
      <c r="G2931" t="s">
        <v>1755</v>
      </c>
    </row>
    <row r="2932" spans="1:7" ht="15" customHeight="1" x14ac:dyDescent="0.25">
      <c r="A2932" s="2">
        <v>46013</v>
      </c>
      <c r="B2932">
        <v>2025004099</v>
      </c>
      <c r="C2932" t="s">
        <v>2456</v>
      </c>
      <c r="D2932" s="11">
        <v>3150000</v>
      </c>
      <c r="E2932" t="s">
        <v>1663</v>
      </c>
      <c r="F2932" t="s">
        <v>75</v>
      </c>
      <c r="G2932" t="s">
        <v>1755</v>
      </c>
    </row>
    <row r="2933" spans="1:7" ht="15" customHeight="1" x14ac:dyDescent="0.25">
      <c r="A2933" s="2">
        <v>46013</v>
      </c>
      <c r="B2933">
        <v>2025004100</v>
      </c>
      <c r="C2933" t="s">
        <v>2461</v>
      </c>
      <c r="D2933" s="11">
        <v>3150000</v>
      </c>
      <c r="E2933" t="s">
        <v>2462</v>
      </c>
      <c r="F2933" t="s">
        <v>2463</v>
      </c>
      <c r="G2933" t="s">
        <v>1755</v>
      </c>
    </row>
    <row r="2934" spans="1:7" ht="15" customHeight="1" x14ac:dyDescent="0.25">
      <c r="A2934" s="2">
        <v>46014</v>
      </c>
      <c r="B2934">
        <v>2025004103</v>
      </c>
      <c r="C2934" t="s">
        <v>1917</v>
      </c>
      <c r="D2934" s="11">
        <v>7800000</v>
      </c>
      <c r="E2934" t="s">
        <v>2189</v>
      </c>
      <c r="F2934" t="s">
        <v>1918</v>
      </c>
      <c r="G2934" t="s">
        <v>1755</v>
      </c>
    </row>
    <row r="2935" spans="1:7" ht="15" customHeight="1" x14ac:dyDescent="0.25">
      <c r="A2935" s="2">
        <v>46014</v>
      </c>
      <c r="B2935">
        <v>2025004105</v>
      </c>
      <c r="C2935" t="s">
        <v>2464</v>
      </c>
      <c r="D2935" s="11">
        <v>3150000</v>
      </c>
      <c r="E2935" t="s">
        <v>2465</v>
      </c>
      <c r="F2935" t="s">
        <v>2466</v>
      </c>
      <c r="G2935" t="s">
        <v>1755</v>
      </c>
    </row>
    <row r="2936" spans="1:7" ht="15" customHeight="1" x14ac:dyDescent="0.25">
      <c r="A2936" s="2">
        <v>46014</v>
      </c>
      <c r="B2936">
        <v>2025004107</v>
      </c>
      <c r="C2936" t="s">
        <v>2293</v>
      </c>
      <c r="D2936" s="11">
        <v>4730000</v>
      </c>
      <c r="E2936" t="s">
        <v>2294</v>
      </c>
      <c r="F2936" t="s">
        <v>2295</v>
      </c>
      <c r="G2936" t="s">
        <v>1755</v>
      </c>
    </row>
    <row r="2937" spans="1:7" ht="15" customHeight="1" x14ac:dyDescent="0.25">
      <c r="A2937" s="2">
        <v>46014</v>
      </c>
      <c r="B2937">
        <v>2025004108</v>
      </c>
      <c r="C2937" s="4" t="s">
        <v>2270</v>
      </c>
      <c r="D2937" s="11">
        <v>3150000</v>
      </c>
      <c r="E2937" t="s">
        <v>2271</v>
      </c>
      <c r="F2937" t="s">
        <v>213</v>
      </c>
      <c r="G2937" t="s">
        <v>1755</v>
      </c>
    </row>
    <row r="2938" spans="1:7" ht="15" customHeight="1" x14ac:dyDescent="0.25">
      <c r="A2938" s="2">
        <v>46014</v>
      </c>
      <c r="B2938">
        <v>2025004109</v>
      </c>
      <c r="C2938" t="s">
        <v>2458</v>
      </c>
      <c r="D2938" s="11">
        <v>3150000</v>
      </c>
      <c r="E2938" t="s">
        <v>2459</v>
      </c>
      <c r="F2938" t="s">
        <v>2460</v>
      </c>
      <c r="G2938" t="s">
        <v>1755</v>
      </c>
    </row>
    <row r="2939" spans="1:7" ht="15" customHeight="1" x14ac:dyDescent="0.25">
      <c r="A2939" s="2">
        <v>46014</v>
      </c>
      <c r="B2939">
        <v>2025004110</v>
      </c>
      <c r="C2939" t="s">
        <v>1814</v>
      </c>
      <c r="D2939" s="11">
        <v>6300000</v>
      </c>
      <c r="E2939" t="s">
        <v>2188</v>
      </c>
      <c r="F2939" t="s">
        <v>1815</v>
      </c>
      <c r="G2939" t="s">
        <v>1755</v>
      </c>
    </row>
    <row r="2940" spans="1:7" ht="15" customHeight="1" x14ac:dyDescent="0.25">
      <c r="A2940" s="2">
        <v>46014</v>
      </c>
      <c r="B2940">
        <v>2025004111</v>
      </c>
      <c r="C2940" t="s">
        <v>1903</v>
      </c>
      <c r="D2940" s="11">
        <v>6300000</v>
      </c>
      <c r="E2940" t="s">
        <v>1653</v>
      </c>
      <c r="F2940" t="s">
        <v>583</v>
      </c>
      <c r="G2940" t="s">
        <v>1755</v>
      </c>
    </row>
    <row r="2941" spans="1:7" ht="15" customHeight="1" x14ac:dyDescent="0.25">
      <c r="A2941" s="2">
        <v>46014</v>
      </c>
      <c r="B2941">
        <v>2025004114</v>
      </c>
      <c r="C2941" t="s">
        <v>2470</v>
      </c>
      <c r="D2941" s="11">
        <v>6300000</v>
      </c>
      <c r="E2941">
        <v>1086755989</v>
      </c>
      <c r="F2941" t="s">
        <v>2471</v>
      </c>
      <c r="G2941" t="s">
        <v>1755</v>
      </c>
    </row>
    <row r="2942" spans="1:7" ht="15" customHeight="1" x14ac:dyDescent="0.25">
      <c r="A2942" s="2">
        <v>46014</v>
      </c>
      <c r="B2942">
        <v>2025004115</v>
      </c>
      <c r="C2942" t="s">
        <v>1937</v>
      </c>
      <c r="D2942" s="11">
        <v>4730000</v>
      </c>
      <c r="E2942" t="s">
        <v>2256</v>
      </c>
      <c r="F2942" t="s">
        <v>151</v>
      </c>
      <c r="G2942" t="s">
        <v>1755</v>
      </c>
    </row>
    <row r="2943" spans="1:7" ht="15" customHeight="1" x14ac:dyDescent="0.25">
      <c r="A2943" s="2">
        <v>46014</v>
      </c>
      <c r="B2943">
        <v>2025004116</v>
      </c>
      <c r="C2943" t="s">
        <v>2269</v>
      </c>
      <c r="D2943" s="11">
        <v>3150000</v>
      </c>
      <c r="E2943" t="s">
        <v>1646</v>
      </c>
      <c r="F2943" t="s">
        <v>523</v>
      </c>
      <c r="G2943" t="s">
        <v>1755</v>
      </c>
    </row>
    <row r="2944" spans="1:7" ht="15" customHeight="1" x14ac:dyDescent="0.25">
      <c r="A2944" s="2">
        <v>46014</v>
      </c>
      <c r="B2944">
        <v>2025004117</v>
      </c>
      <c r="C2944" t="s">
        <v>2257</v>
      </c>
      <c r="D2944" s="11">
        <v>3150000</v>
      </c>
      <c r="E2944" t="s">
        <v>1680</v>
      </c>
      <c r="F2944" t="s">
        <v>525</v>
      </c>
      <c r="G2944" t="s">
        <v>1755</v>
      </c>
    </row>
    <row r="2945" spans="1:7" ht="15" customHeight="1" x14ac:dyDescent="0.25">
      <c r="A2945" s="2">
        <v>46014</v>
      </c>
      <c r="B2945">
        <v>2025004119</v>
      </c>
      <c r="C2945" t="s">
        <v>1803</v>
      </c>
      <c r="D2945" s="11">
        <v>3150000</v>
      </c>
      <c r="E2945" t="s">
        <v>1662</v>
      </c>
      <c r="F2945" t="s">
        <v>149</v>
      </c>
      <c r="G2945" t="s">
        <v>1755</v>
      </c>
    </row>
    <row r="2946" spans="1:7" ht="15" customHeight="1" x14ac:dyDescent="0.25">
      <c r="A2946" s="2">
        <v>46014</v>
      </c>
      <c r="B2946">
        <v>2025004120</v>
      </c>
      <c r="C2946" t="s">
        <v>1827</v>
      </c>
      <c r="D2946" s="11">
        <v>3150000</v>
      </c>
      <c r="E2946" t="s">
        <v>1626</v>
      </c>
      <c r="F2946" t="s">
        <v>243</v>
      </c>
      <c r="G2946" t="s">
        <v>1755</v>
      </c>
    </row>
    <row r="2947" spans="1:7" ht="15" customHeight="1" x14ac:dyDescent="0.25">
      <c r="A2947" s="2">
        <v>46014</v>
      </c>
      <c r="B2947">
        <v>2025004121</v>
      </c>
      <c r="C2947" t="s">
        <v>2096</v>
      </c>
      <c r="D2947" s="11">
        <v>3150000</v>
      </c>
      <c r="E2947" t="s">
        <v>2097</v>
      </c>
      <c r="F2947" t="s">
        <v>2098</v>
      </c>
      <c r="G2947" t="s">
        <v>1755</v>
      </c>
    </row>
    <row r="2948" spans="1:7" ht="15" customHeight="1" x14ac:dyDescent="0.25">
      <c r="A2948" s="2">
        <v>46014</v>
      </c>
      <c r="B2948">
        <v>2025004122</v>
      </c>
      <c r="C2948" t="s">
        <v>2299</v>
      </c>
      <c r="D2948" s="11">
        <v>3150000</v>
      </c>
      <c r="E2948" t="s">
        <v>2300</v>
      </c>
      <c r="F2948" t="s">
        <v>2301</v>
      </c>
      <c r="G2948" t="s">
        <v>1755</v>
      </c>
    </row>
    <row r="2949" spans="1:7" ht="15" customHeight="1" x14ac:dyDescent="0.25">
      <c r="A2949" s="2">
        <v>46014</v>
      </c>
      <c r="B2949">
        <v>2025004125</v>
      </c>
      <c r="C2949" t="s">
        <v>1998</v>
      </c>
      <c r="D2949" s="11">
        <v>7800000</v>
      </c>
      <c r="E2949" t="s">
        <v>2059</v>
      </c>
      <c r="F2949" t="s">
        <v>1999</v>
      </c>
      <c r="G2949" t="s">
        <v>1755</v>
      </c>
    </row>
    <row r="2950" spans="1:7" ht="15" customHeight="1" x14ac:dyDescent="0.25">
      <c r="A2950" s="2">
        <v>46014</v>
      </c>
      <c r="B2950">
        <v>2025004127</v>
      </c>
      <c r="C2950" t="s">
        <v>1940</v>
      </c>
      <c r="D2950" s="11">
        <v>3150000</v>
      </c>
      <c r="E2950" t="s">
        <v>1634</v>
      </c>
      <c r="F2950" t="s">
        <v>209</v>
      </c>
      <c r="G2950" t="s">
        <v>1755</v>
      </c>
    </row>
    <row r="2951" spans="1:7" ht="15" customHeight="1" x14ac:dyDescent="0.25">
      <c r="A2951" s="2">
        <v>46014</v>
      </c>
      <c r="B2951">
        <v>2025004128</v>
      </c>
      <c r="C2951" t="s">
        <v>1805</v>
      </c>
      <c r="D2951" s="11">
        <v>3150000</v>
      </c>
      <c r="E2951" t="s">
        <v>1658</v>
      </c>
      <c r="F2951" t="s">
        <v>1158</v>
      </c>
      <c r="G2951" t="s">
        <v>1755</v>
      </c>
    </row>
    <row r="2952" spans="1:7" ht="15" customHeight="1" x14ac:dyDescent="0.25">
      <c r="A2952" s="2">
        <v>46014</v>
      </c>
      <c r="B2952">
        <v>2025004129</v>
      </c>
      <c r="C2952" t="s">
        <v>2194</v>
      </c>
      <c r="D2952" s="11">
        <v>226770000</v>
      </c>
      <c r="E2952" t="s">
        <v>1710</v>
      </c>
      <c r="F2952" t="s">
        <v>1220</v>
      </c>
      <c r="G2952" t="s">
        <v>1755</v>
      </c>
    </row>
    <row r="2953" spans="1:7" ht="15" customHeight="1" x14ac:dyDescent="0.25">
      <c r="A2953" s="2">
        <v>46014</v>
      </c>
      <c r="B2953">
        <v>2025004130</v>
      </c>
      <c r="C2953" t="s">
        <v>1823</v>
      </c>
      <c r="D2953" s="11">
        <v>3150000</v>
      </c>
      <c r="E2953" t="s">
        <v>2042</v>
      </c>
      <c r="F2953" t="s">
        <v>693</v>
      </c>
      <c r="G2953" t="s">
        <v>1755</v>
      </c>
    </row>
    <row r="2954" spans="1:7" ht="15" customHeight="1" x14ac:dyDescent="0.25">
      <c r="A2954" s="2">
        <v>46014</v>
      </c>
      <c r="B2954">
        <v>2025004131</v>
      </c>
      <c r="C2954" t="s">
        <v>2280</v>
      </c>
      <c r="D2954" s="11">
        <v>3150000</v>
      </c>
      <c r="E2954" t="s">
        <v>2281</v>
      </c>
      <c r="F2954" t="s">
        <v>2282</v>
      </c>
      <c r="G2954" t="s">
        <v>1755</v>
      </c>
    </row>
    <row r="2955" spans="1:7" ht="15" customHeight="1" x14ac:dyDescent="0.25">
      <c r="A2955" s="2">
        <v>46014</v>
      </c>
      <c r="B2955">
        <v>2025004133</v>
      </c>
      <c r="C2955" t="s">
        <v>2401</v>
      </c>
      <c r="D2955" s="11">
        <v>3150000</v>
      </c>
      <c r="E2955" t="s">
        <v>1728</v>
      </c>
      <c r="F2955" t="s">
        <v>2402</v>
      </c>
      <c r="G2955" t="s">
        <v>1755</v>
      </c>
    </row>
    <row r="2956" spans="1:7" ht="15" customHeight="1" x14ac:dyDescent="0.25">
      <c r="A2956" s="2">
        <v>46014</v>
      </c>
      <c r="B2956">
        <v>2025004134</v>
      </c>
      <c r="C2956" t="s">
        <v>2435</v>
      </c>
      <c r="D2956" s="11">
        <v>7800000</v>
      </c>
      <c r="E2956" t="s">
        <v>2436</v>
      </c>
      <c r="F2956" t="s">
        <v>2437</v>
      </c>
      <c r="G2956" t="s">
        <v>1755</v>
      </c>
    </row>
    <row r="2957" spans="1:7" ht="15" customHeight="1" x14ac:dyDescent="0.25">
      <c r="A2957" s="2">
        <v>46014</v>
      </c>
      <c r="B2957">
        <v>2025004135</v>
      </c>
      <c r="C2957" t="s">
        <v>1935</v>
      </c>
      <c r="D2957" s="11">
        <v>3150000</v>
      </c>
      <c r="E2957" t="s">
        <v>2061</v>
      </c>
      <c r="F2957" t="s">
        <v>1936</v>
      </c>
      <c r="G2957" t="s">
        <v>1755</v>
      </c>
    </row>
    <row r="2958" spans="1:7" ht="15" customHeight="1" x14ac:dyDescent="0.25">
      <c r="A2958" s="2">
        <v>46014</v>
      </c>
      <c r="B2958">
        <v>2025004136</v>
      </c>
      <c r="C2958" t="s">
        <v>1930</v>
      </c>
      <c r="D2958" s="11">
        <v>3150000</v>
      </c>
      <c r="E2958" t="s">
        <v>2100</v>
      </c>
      <c r="F2958" t="s">
        <v>1931</v>
      </c>
      <c r="G2958" t="s">
        <v>1755</v>
      </c>
    </row>
    <row r="2959" spans="1:7" ht="15" customHeight="1" x14ac:dyDescent="0.25">
      <c r="A2959" s="2">
        <v>46014</v>
      </c>
      <c r="B2959">
        <v>2025004137</v>
      </c>
      <c r="C2959" t="s">
        <v>2267</v>
      </c>
      <c r="D2959" s="11">
        <v>3150000</v>
      </c>
      <c r="E2959" t="s">
        <v>1696</v>
      </c>
      <c r="F2959" t="s">
        <v>123</v>
      </c>
      <c r="G2959" t="s">
        <v>1755</v>
      </c>
    </row>
    <row r="2960" spans="1:7" ht="15" customHeight="1" x14ac:dyDescent="0.25">
      <c r="A2960" s="2">
        <v>46014</v>
      </c>
      <c r="B2960">
        <v>2025004138</v>
      </c>
      <c r="C2960" t="s">
        <v>2432</v>
      </c>
      <c r="D2960" s="11">
        <v>2000000</v>
      </c>
      <c r="E2960" t="s">
        <v>2433</v>
      </c>
      <c r="F2960" t="s">
        <v>2434</v>
      </c>
      <c r="G2960" t="s">
        <v>1755</v>
      </c>
    </row>
    <row r="2961" spans="1:7" ht="15" customHeight="1" x14ac:dyDescent="0.25">
      <c r="A2961" s="2">
        <v>46014</v>
      </c>
      <c r="B2961">
        <v>2025004140</v>
      </c>
      <c r="C2961" t="s">
        <v>1816</v>
      </c>
      <c r="D2961" s="11">
        <v>3150000</v>
      </c>
      <c r="E2961" t="s">
        <v>2101</v>
      </c>
      <c r="F2961" t="s">
        <v>1817</v>
      </c>
      <c r="G2961" t="s">
        <v>1755</v>
      </c>
    </row>
    <row r="2962" spans="1:7" ht="15" customHeight="1" x14ac:dyDescent="0.25">
      <c r="A2962" s="2">
        <v>46014</v>
      </c>
      <c r="B2962">
        <v>2025004141</v>
      </c>
      <c r="C2962" t="s">
        <v>2461</v>
      </c>
      <c r="D2962" s="11">
        <v>3150000</v>
      </c>
      <c r="E2962" t="s">
        <v>2462</v>
      </c>
      <c r="F2962" t="s">
        <v>2463</v>
      </c>
      <c r="G2962" t="s">
        <v>1755</v>
      </c>
    </row>
    <row r="2963" spans="1:7" ht="15" customHeight="1" x14ac:dyDescent="0.25">
      <c r="A2963" s="2">
        <v>46014</v>
      </c>
      <c r="B2963">
        <v>2025004143</v>
      </c>
      <c r="C2963" t="s">
        <v>2184</v>
      </c>
      <c r="D2963" s="11">
        <v>6300000</v>
      </c>
      <c r="E2963" t="s">
        <v>2185</v>
      </c>
      <c r="F2963" t="s">
        <v>2186</v>
      </c>
      <c r="G2963" t="s">
        <v>1755</v>
      </c>
    </row>
    <row r="2964" spans="1:7" ht="15" customHeight="1" x14ac:dyDescent="0.25">
      <c r="A2964" s="2">
        <v>46014</v>
      </c>
      <c r="B2964">
        <v>2025004144</v>
      </c>
      <c r="C2964" t="s">
        <v>1932</v>
      </c>
      <c r="D2964" s="11">
        <v>7800000</v>
      </c>
      <c r="E2964" t="s">
        <v>2038</v>
      </c>
      <c r="F2964" t="s">
        <v>889</v>
      </c>
      <c r="G2964" t="s">
        <v>1755</v>
      </c>
    </row>
    <row r="2965" spans="1:7" ht="15" customHeight="1" x14ac:dyDescent="0.25">
      <c r="A2965" s="2">
        <v>46014</v>
      </c>
      <c r="B2965">
        <v>2025004145</v>
      </c>
      <c r="C2965" t="s">
        <v>1822</v>
      </c>
      <c r="D2965" s="11">
        <v>3150000</v>
      </c>
      <c r="E2965" t="s">
        <v>2099</v>
      </c>
      <c r="F2965" t="s">
        <v>1011</v>
      </c>
      <c r="G2965" t="s">
        <v>1755</v>
      </c>
    </row>
    <row r="2966" spans="1:7" ht="15" customHeight="1" x14ac:dyDescent="0.25">
      <c r="A2966" s="2">
        <v>46014</v>
      </c>
      <c r="B2966">
        <v>2025004161</v>
      </c>
      <c r="C2966" s="4" t="s">
        <v>2467</v>
      </c>
      <c r="D2966" s="11">
        <v>9450000</v>
      </c>
      <c r="E2966" t="s">
        <v>2468</v>
      </c>
      <c r="F2966" t="s">
        <v>2469</v>
      </c>
      <c r="G2966" t="s">
        <v>1755</v>
      </c>
    </row>
    <row r="2967" spans="1:7" ht="15" customHeight="1" x14ac:dyDescent="0.25">
      <c r="A2967" s="2">
        <v>46015</v>
      </c>
      <c r="B2967">
        <v>2025004163</v>
      </c>
      <c r="C2967" t="s">
        <v>2227</v>
      </c>
      <c r="D2967" s="11">
        <v>3150000</v>
      </c>
      <c r="E2967" t="s">
        <v>2228</v>
      </c>
      <c r="F2967" t="s">
        <v>431</v>
      </c>
      <c r="G2967" t="s">
        <v>1755</v>
      </c>
    </row>
    <row r="2968" spans="1:7" ht="15" customHeight="1" x14ac:dyDescent="0.25">
      <c r="A2968" s="20">
        <v>46021</v>
      </c>
      <c r="B2968">
        <v>2025004235</v>
      </c>
      <c r="C2968" t="s">
        <v>2390</v>
      </c>
      <c r="D2968" s="11">
        <v>70000000</v>
      </c>
      <c r="E2968">
        <v>900752343</v>
      </c>
      <c r="F2968" t="s">
        <v>2392</v>
      </c>
      <c r="G2968" t="s">
        <v>1755</v>
      </c>
    </row>
    <row r="2969" spans="1:7" ht="15" customHeight="1" x14ac:dyDescent="0.25">
      <c r="A2969" s="20">
        <v>46021</v>
      </c>
      <c r="B2969">
        <v>2025004236</v>
      </c>
      <c r="C2969" t="s">
        <v>2393</v>
      </c>
      <c r="D2969" s="11">
        <v>93670000</v>
      </c>
      <c r="E2969">
        <v>900752343</v>
      </c>
      <c r="F2969" t="s">
        <v>2392</v>
      </c>
      <c r="G2969" t="s">
        <v>1755</v>
      </c>
    </row>
    <row r="2970" spans="1:7" ht="15" customHeight="1" x14ac:dyDescent="0.25">
      <c r="A2970" s="20">
        <v>46021</v>
      </c>
      <c r="B2970">
        <v>2025004237</v>
      </c>
      <c r="C2970" t="s">
        <v>2423</v>
      </c>
      <c r="D2970" s="11">
        <v>70000000</v>
      </c>
      <c r="E2970">
        <v>900752343</v>
      </c>
      <c r="F2970" t="s">
        <v>2392</v>
      </c>
      <c r="G2970" t="s">
        <v>1755</v>
      </c>
    </row>
    <row r="2971" spans="1:7" ht="15" customHeight="1" x14ac:dyDescent="0.25">
      <c r="A2971" s="2">
        <v>46063.7368055556</v>
      </c>
      <c r="B2971">
        <v>2026000111</v>
      </c>
      <c r="C2971" t="s">
        <v>2483</v>
      </c>
      <c r="D2971" s="11">
        <v>3150000</v>
      </c>
      <c r="E2971">
        <v>1085300095</v>
      </c>
      <c r="F2971" t="s">
        <v>201</v>
      </c>
      <c r="G2971" t="s">
        <v>1755</v>
      </c>
    </row>
    <row r="2972" spans="1:7" ht="15" customHeight="1" x14ac:dyDescent="0.25">
      <c r="A2972" s="2">
        <v>46072.370138888902</v>
      </c>
      <c r="B2972">
        <v>2026000141</v>
      </c>
      <c r="C2972" t="s">
        <v>2484</v>
      </c>
      <c r="D2972" s="11">
        <v>238752640</v>
      </c>
      <c r="E2972">
        <v>900752343</v>
      </c>
      <c r="F2972" t="s">
        <v>2392</v>
      </c>
      <c r="G2972" t="s">
        <v>1755</v>
      </c>
    </row>
    <row r="2973" spans="1:7" ht="15" customHeight="1" x14ac:dyDescent="0.25">
      <c r="A2973" s="2">
        <v>46072.370138888902</v>
      </c>
      <c r="B2973">
        <v>2026000142</v>
      </c>
      <c r="C2973" t="s">
        <v>2485</v>
      </c>
      <c r="D2973" s="11">
        <v>207105640</v>
      </c>
      <c r="E2973">
        <v>900752343</v>
      </c>
      <c r="F2973" t="s">
        <v>2392</v>
      </c>
      <c r="G2973" t="s">
        <v>1755</v>
      </c>
    </row>
    <row r="2974" spans="1:7" ht="15" customHeight="1" x14ac:dyDescent="0.25">
      <c r="A2974" s="2">
        <v>46072.692361111098</v>
      </c>
      <c r="B2974">
        <v>2026000152</v>
      </c>
      <c r="C2974" t="s">
        <v>2486</v>
      </c>
      <c r="D2974" s="11">
        <v>98453314</v>
      </c>
      <c r="E2974">
        <v>900994364</v>
      </c>
      <c r="F2974" t="s">
        <v>269</v>
      </c>
      <c r="G2974" t="s">
        <v>1755</v>
      </c>
    </row>
    <row r="2975" spans="1:7" ht="15" customHeight="1" x14ac:dyDescent="0.25">
      <c r="A2975" s="2">
        <v>46073.46875</v>
      </c>
      <c r="B2975">
        <v>2026000155</v>
      </c>
      <c r="C2975" t="s">
        <v>2474</v>
      </c>
      <c r="D2975" s="11">
        <v>4730000</v>
      </c>
      <c r="E2975">
        <v>1085340885</v>
      </c>
      <c r="F2975" t="s">
        <v>1142</v>
      </c>
      <c r="G2975" t="s">
        <v>1755</v>
      </c>
    </row>
    <row r="2976" spans="1:7" ht="15" customHeight="1" x14ac:dyDescent="0.25">
      <c r="A2976" s="2">
        <v>46076.463194444397</v>
      </c>
      <c r="B2976">
        <v>2026000159</v>
      </c>
      <c r="C2976" t="s">
        <v>2475</v>
      </c>
      <c r="D2976" s="11">
        <v>7800000</v>
      </c>
      <c r="E2976">
        <v>1085336362</v>
      </c>
      <c r="F2976" t="s">
        <v>41</v>
      </c>
      <c r="G2976" t="s">
        <v>1755</v>
      </c>
    </row>
    <row r="2977" spans="1:7" ht="15" customHeight="1" x14ac:dyDescent="0.25">
      <c r="A2977" s="2">
        <v>46076.465972222199</v>
      </c>
      <c r="B2977">
        <v>2026000160</v>
      </c>
      <c r="C2977" t="s">
        <v>2476</v>
      </c>
      <c r="D2977" s="11">
        <v>7800000</v>
      </c>
      <c r="E2977">
        <v>1085334279</v>
      </c>
      <c r="F2977" t="s">
        <v>1841</v>
      </c>
      <c r="G2977" t="s">
        <v>1755</v>
      </c>
    </row>
    <row r="2978" spans="1:7" ht="15" customHeight="1" x14ac:dyDescent="0.25">
      <c r="A2978" s="2">
        <v>46076.472222222197</v>
      </c>
      <c r="B2978">
        <v>2026000162</v>
      </c>
      <c r="C2978" t="s">
        <v>2477</v>
      </c>
      <c r="D2978" s="11">
        <v>3150000</v>
      </c>
      <c r="E2978">
        <v>1086329609</v>
      </c>
      <c r="F2978" t="s">
        <v>443</v>
      </c>
      <c r="G2978" t="s">
        <v>1755</v>
      </c>
    </row>
    <row r="2979" spans="1:7" ht="15" customHeight="1" x14ac:dyDescent="0.25">
      <c r="A2979" s="2">
        <v>46076.474305555603</v>
      </c>
      <c r="B2979">
        <v>2026000163</v>
      </c>
      <c r="C2979" t="s">
        <v>2478</v>
      </c>
      <c r="D2979" s="11">
        <v>3150000</v>
      </c>
      <c r="E2979">
        <v>1004235479</v>
      </c>
      <c r="F2979" t="s">
        <v>477</v>
      </c>
      <c r="G2979" t="s">
        <v>1755</v>
      </c>
    </row>
    <row r="2980" spans="1:7" ht="15" customHeight="1" x14ac:dyDescent="0.25">
      <c r="A2980" s="2">
        <v>46077.418749999997</v>
      </c>
      <c r="B2980">
        <v>2026000165</v>
      </c>
      <c r="C2980" s="4" t="s">
        <v>2479</v>
      </c>
      <c r="D2980" s="11">
        <v>6300000</v>
      </c>
      <c r="E2980">
        <v>1082748420</v>
      </c>
      <c r="F2980" t="s">
        <v>450</v>
      </c>
      <c r="G2980" t="s">
        <v>1755</v>
      </c>
    </row>
    <row r="2981" spans="1:7" ht="15" customHeight="1" x14ac:dyDescent="0.25">
      <c r="A2981" s="2">
        <v>46077.425000000003</v>
      </c>
      <c r="B2981">
        <v>2026000166</v>
      </c>
      <c r="C2981" s="4" t="s">
        <v>2480</v>
      </c>
      <c r="D2981" s="11">
        <v>3150000</v>
      </c>
      <c r="E2981">
        <v>1089458048</v>
      </c>
      <c r="F2981" t="s">
        <v>1865</v>
      </c>
      <c r="G2981" t="s">
        <v>1755</v>
      </c>
    </row>
    <row r="2982" spans="1:7" ht="15" customHeight="1" x14ac:dyDescent="0.25">
      <c r="A2982" s="2">
        <v>46077.438888888901</v>
      </c>
      <c r="B2982">
        <v>2026000167</v>
      </c>
      <c r="C2982" s="4" t="s">
        <v>2481</v>
      </c>
      <c r="D2982" s="11">
        <v>7800000</v>
      </c>
      <c r="E2982">
        <v>1087006619</v>
      </c>
      <c r="F2982" t="s">
        <v>1218</v>
      </c>
      <c r="G2982" t="s">
        <v>1755</v>
      </c>
    </row>
    <row r="2983" spans="1:7" ht="15" customHeight="1" x14ac:dyDescent="0.25">
      <c r="A2983" s="2">
        <v>46079.436805555597</v>
      </c>
      <c r="B2983">
        <v>2026000169</v>
      </c>
      <c r="C2983" t="s">
        <v>2487</v>
      </c>
      <c r="D2983" s="11">
        <v>3150000</v>
      </c>
      <c r="E2983">
        <v>1085339190</v>
      </c>
      <c r="F2983" t="s">
        <v>149</v>
      </c>
      <c r="G2983" t="s">
        <v>1755</v>
      </c>
    </row>
    <row r="2984" spans="1:7" ht="15" customHeight="1" x14ac:dyDescent="0.25">
      <c r="A2984" s="2">
        <v>46079.438888888901</v>
      </c>
      <c r="B2984">
        <v>2026000170</v>
      </c>
      <c r="C2984" t="s">
        <v>2488</v>
      </c>
      <c r="D2984" s="11">
        <v>4730000</v>
      </c>
      <c r="E2984">
        <v>36759759</v>
      </c>
      <c r="F2984" t="s">
        <v>705</v>
      </c>
      <c r="G2984" t="s">
        <v>1755</v>
      </c>
    </row>
    <row r="2985" spans="1:7" ht="15" customHeight="1" x14ac:dyDescent="0.25">
      <c r="A2985" s="2">
        <v>46079.441666666702</v>
      </c>
      <c r="B2985">
        <v>2026000171</v>
      </c>
      <c r="C2985" t="s">
        <v>2489</v>
      </c>
      <c r="D2985" s="11">
        <v>3150000</v>
      </c>
      <c r="E2985">
        <v>1010082397</v>
      </c>
      <c r="F2985" t="s">
        <v>209</v>
      </c>
      <c r="G2985" t="s">
        <v>1755</v>
      </c>
    </row>
    <row r="2986" spans="1:7" ht="15" customHeight="1" x14ac:dyDescent="0.25">
      <c r="A2986" s="2">
        <v>46079.443749999999</v>
      </c>
      <c r="B2986">
        <v>2026000172</v>
      </c>
      <c r="C2986" t="s">
        <v>2490</v>
      </c>
      <c r="D2986" s="11">
        <v>6300000</v>
      </c>
      <c r="E2986">
        <v>1085275879</v>
      </c>
      <c r="F2986" t="s">
        <v>117</v>
      </c>
      <c r="G2986" t="s">
        <v>1755</v>
      </c>
    </row>
    <row r="2987" spans="1:7" ht="15" customHeight="1" x14ac:dyDescent="0.25">
      <c r="A2987" s="2">
        <v>46079.445833333302</v>
      </c>
      <c r="B2987">
        <v>2026000173</v>
      </c>
      <c r="C2987" t="s">
        <v>2491</v>
      </c>
      <c r="D2987" s="11">
        <v>4730000</v>
      </c>
      <c r="E2987">
        <v>1085264667</v>
      </c>
      <c r="F2987" t="s">
        <v>464</v>
      </c>
      <c r="G2987" t="s">
        <v>1755</v>
      </c>
    </row>
    <row r="2988" spans="1:7" ht="15" customHeight="1" x14ac:dyDescent="0.25">
      <c r="A2988" s="2">
        <v>46079.447916666701</v>
      </c>
      <c r="B2988">
        <v>2026000174</v>
      </c>
      <c r="C2988" t="s">
        <v>2492</v>
      </c>
      <c r="D2988" s="11">
        <v>3150000</v>
      </c>
      <c r="E2988">
        <v>1085338921</v>
      </c>
      <c r="F2988" t="s">
        <v>2441</v>
      </c>
      <c r="G2988" t="s">
        <v>1755</v>
      </c>
    </row>
    <row r="2989" spans="1:7" ht="15" customHeight="1" x14ac:dyDescent="0.25">
      <c r="A2989" s="2">
        <v>46079.6381944444</v>
      </c>
      <c r="B2989">
        <v>2026000175</v>
      </c>
      <c r="C2989" t="s">
        <v>2493</v>
      </c>
      <c r="D2989" s="11">
        <v>7800000</v>
      </c>
      <c r="E2989">
        <v>1233189066</v>
      </c>
      <c r="F2989" t="s">
        <v>239</v>
      </c>
      <c r="G2989" t="s">
        <v>1755</v>
      </c>
    </row>
    <row r="2990" spans="1:7" ht="15" customHeight="1" x14ac:dyDescent="0.25">
      <c r="A2990" s="2">
        <v>46079.451388888898</v>
      </c>
      <c r="B2990">
        <v>2026000176</v>
      </c>
      <c r="C2990" t="s">
        <v>2494</v>
      </c>
      <c r="D2990" s="11">
        <v>4730000</v>
      </c>
      <c r="E2990">
        <v>59816986</v>
      </c>
      <c r="F2990" t="s">
        <v>415</v>
      </c>
      <c r="G2990" t="s">
        <v>1755</v>
      </c>
    </row>
    <row r="2991" spans="1:7" ht="15" customHeight="1" x14ac:dyDescent="0.25">
      <c r="A2991" s="2">
        <v>46079.453472222202</v>
      </c>
      <c r="B2991">
        <v>2026000177</v>
      </c>
      <c r="C2991" t="s">
        <v>2495</v>
      </c>
      <c r="D2991" s="11">
        <v>3150000</v>
      </c>
      <c r="E2991">
        <v>1085331508</v>
      </c>
      <c r="F2991" t="s">
        <v>35</v>
      </c>
      <c r="G2991" t="s">
        <v>1755</v>
      </c>
    </row>
    <row r="2992" spans="1:7" ht="15" customHeight="1" x14ac:dyDescent="0.25">
      <c r="A2992" s="2">
        <v>46079.4555555556</v>
      </c>
      <c r="B2992">
        <v>2026000178</v>
      </c>
      <c r="C2992" t="s">
        <v>2496</v>
      </c>
      <c r="D2992" s="11">
        <v>3150000</v>
      </c>
      <c r="E2992">
        <v>36752202</v>
      </c>
      <c r="F2992" t="s">
        <v>263</v>
      </c>
      <c r="G2992" t="s">
        <v>1755</v>
      </c>
    </row>
    <row r="2993" spans="1:7" ht="15" customHeight="1" x14ac:dyDescent="0.25">
      <c r="A2993" s="2">
        <v>46079.456944444399</v>
      </c>
      <c r="B2993">
        <v>2026000179</v>
      </c>
      <c r="C2993" t="s">
        <v>2497</v>
      </c>
      <c r="D2993" s="11">
        <v>4730000</v>
      </c>
      <c r="E2993">
        <v>1085343783</v>
      </c>
      <c r="F2993" t="s">
        <v>735</v>
      </c>
      <c r="G2993" t="s">
        <v>1755</v>
      </c>
    </row>
    <row r="2994" spans="1:7" ht="15" customHeight="1" x14ac:dyDescent="0.25">
      <c r="A2994" s="2">
        <v>46079.472222222197</v>
      </c>
      <c r="B2994">
        <v>2026000180</v>
      </c>
      <c r="C2994" t="s">
        <v>2498</v>
      </c>
      <c r="D2994" s="11">
        <v>7800000</v>
      </c>
      <c r="E2994">
        <v>80765093</v>
      </c>
      <c r="F2994" t="s">
        <v>69</v>
      </c>
      <c r="G2994" t="s">
        <v>1755</v>
      </c>
    </row>
    <row r="2995" spans="1:7" ht="15" customHeight="1" x14ac:dyDescent="0.25">
      <c r="A2995" s="2">
        <v>46079.461111111101</v>
      </c>
      <c r="B2995">
        <v>2026000181</v>
      </c>
      <c r="C2995" t="s">
        <v>2499</v>
      </c>
      <c r="D2995" s="11">
        <v>7800000</v>
      </c>
      <c r="E2995">
        <v>1006946167</v>
      </c>
      <c r="F2995" t="s">
        <v>63</v>
      </c>
      <c r="G2995" t="s">
        <v>1755</v>
      </c>
    </row>
    <row r="2996" spans="1:7" ht="15" customHeight="1" x14ac:dyDescent="0.25">
      <c r="A2996" s="2">
        <v>46079.462500000001</v>
      </c>
      <c r="B2996">
        <v>2026000182</v>
      </c>
      <c r="C2996" t="s">
        <v>2500</v>
      </c>
      <c r="D2996" s="11">
        <v>4730000</v>
      </c>
      <c r="E2996">
        <v>1193383306</v>
      </c>
      <c r="F2996" t="s">
        <v>267</v>
      </c>
      <c r="G2996" t="s">
        <v>1755</v>
      </c>
    </row>
    <row r="2997" spans="1:7" ht="15" customHeight="1" x14ac:dyDescent="0.25">
      <c r="A2997" s="2">
        <v>46079.587500000001</v>
      </c>
      <c r="B2997">
        <v>2026000184</v>
      </c>
      <c r="C2997" t="s">
        <v>2501</v>
      </c>
      <c r="D2997" s="11">
        <v>3150000</v>
      </c>
      <c r="E2997">
        <v>1004190751</v>
      </c>
      <c r="F2997" t="s">
        <v>2380</v>
      </c>
      <c r="G2997" t="s">
        <v>1755</v>
      </c>
    </row>
    <row r="2998" spans="1:7" ht="15" customHeight="1" x14ac:dyDescent="0.25">
      <c r="A2998" s="2">
        <v>46079.589583333298</v>
      </c>
      <c r="B2998">
        <v>2026000185</v>
      </c>
      <c r="C2998" t="s">
        <v>2502</v>
      </c>
      <c r="D2998" s="11">
        <v>3150000</v>
      </c>
      <c r="E2998">
        <v>1137624011</v>
      </c>
      <c r="F2998" t="s">
        <v>243</v>
      </c>
      <c r="G2998" t="s">
        <v>1755</v>
      </c>
    </row>
    <row r="2999" spans="1:7" ht="15" customHeight="1" x14ac:dyDescent="0.25">
      <c r="A2999" s="2">
        <v>46079.595138888901</v>
      </c>
      <c r="B2999">
        <v>2026000186</v>
      </c>
      <c r="C2999" t="s">
        <v>2503</v>
      </c>
      <c r="D2999" s="11">
        <v>7800000</v>
      </c>
      <c r="E2999">
        <v>1089846684</v>
      </c>
      <c r="F2999" t="s">
        <v>1813</v>
      </c>
      <c r="G2999" t="s">
        <v>1755</v>
      </c>
    </row>
    <row r="3000" spans="1:7" ht="15" customHeight="1" x14ac:dyDescent="0.25">
      <c r="A3000" s="2">
        <v>46079.597916666702</v>
      </c>
      <c r="B3000">
        <v>2026000187</v>
      </c>
      <c r="C3000" t="s">
        <v>2504</v>
      </c>
      <c r="D3000" s="11">
        <v>4730000</v>
      </c>
      <c r="E3000">
        <v>1087413951</v>
      </c>
      <c r="F3000" t="s">
        <v>95</v>
      </c>
      <c r="G3000" t="s">
        <v>1755</v>
      </c>
    </row>
    <row r="3001" spans="1:7" ht="15" customHeight="1" x14ac:dyDescent="0.25">
      <c r="A3001" s="2">
        <v>46079.608333333301</v>
      </c>
      <c r="B3001">
        <v>2026000188</v>
      </c>
      <c r="C3001" t="s">
        <v>2505</v>
      </c>
      <c r="D3001" s="11">
        <v>3150000</v>
      </c>
      <c r="E3001">
        <v>37082272</v>
      </c>
      <c r="F3001" t="s">
        <v>1817</v>
      </c>
      <c r="G3001" t="s">
        <v>1755</v>
      </c>
    </row>
    <row r="3002" spans="1:7" ht="15" customHeight="1" x14ac:dyDescent="0.25">
      <c r="A3002" s="2">
        <v>46079.611111111102</v>
      </c>
      <c r="B3002">
        <v>2026000189</v>
      </c>
      <c r="C3002" t="s">
        <v>2506</v>
      </c>
      <c r="D3002" s="11">
        <v>4730000</v>
      </c>
      <c r="E3002">
        <v>1085260497</v>
      </c>
      <c r="F3002" t="s">
        <v>429</v>
      </c>
      <c r="G3002" t="s">
        <v>1755</v>
      </c>
    </row>
    <row r="3003" spans="1:7" ht="15" customHeight="1" x14ac:dyDescent="0.25">
      <c r="A3003" s="2">
        <v>46079.614583333299</v>
      </c>
      <c r="B3003">
        <v>2026000190</v>
      </c>
      <c r="C3003" t="s">
        <v>2507</v>
      </c>
      <c r="D3003" s="11">
        <v>3150000</v>
      </c>
      <c r="E3003">
        <v>1233193191</v>
      </c>
      <c r="F3003" t="s">
        <v>1951</v>
      </c>
      <c r="G3003" t="s">
        <v>1755</v>
      </c>
    </row>
    <row r="3004" spans="1:7" ht="15" customHeight="1" x14ac:dyDescent="0.25">
      <c r="A3004" s="2">
        <v>46079.618055555598</v>
      </c>
      <c r="B3004">
        <v>2026000191</v>
      </c>
      <c r="C3004" t="s">
        <v>2508</v>
      </c>
      <c r="D3004" s="11">
        <v>3150000</v>
      </c>
      <c r="E3004">
        <v>1089458776</v>
      </c>
      <c r="F3004" t="s">
        <v>1843</v>
      </c>
      <c r="G3004" t="s">
        <v>1755</v>
      </c>
    </row>
    <row r="3005" spans="1:7" ht="15" customHeight="1" x14ac:dyDescent="0.25">
      <c r="A3005" s="2">
        <v>46079.621527777803</v>
      </c>
      <c r="B3005">
        <v>2026000192</v>
      </c>
      <c r="C3005" t="s">
        <v>2509</v>
      </c>
      <c r="D3005" s="11">
        <v>3150000</v>
      </c>
      <c r="E3005">
        <v>1085269090</v>
      </c>
      <c r="F3005" t="s">
        <v>371</v>
      </c>
      <c r="G3005" t="s">
        <v>1755</v>
      </c>
    </row>
    <row r="3006" spans="1:7" ht="15" customHeight="1" x14ac:dyDescent="0.25">
      <c r="A3006" s="2">
        <v>46079.624305555597</v>
      </c>
      <c r="B3006">
        <v>2026000193</v>
      </c>
      <c r="C3006" t="s">
        <v>2510</v>
      </c>
      <c r="D3006" s="11">
        <v>4730000</v>
      </c>
      <c r="E3006">
        <v>1085318684</v>
      </c>
      <c r="F3006" t="s">
        <v>355</v>
      </c>
      <c r="G3006" t="s">
        <v>1755</v>
      </c>
    </row>
    <row r="3007" spans="1:7" ht="15" customHeight="1" x14ac:dyDescent="0.25">
      <c r="A3007" s="2">
        <v>46079.636805555601</v>
      </c>
      <c r="B3007">
        <v>2026000194</v>
      </c>
      <c r="C3007" t="s">
        <v>2511</v>
      </c>
      <c r="D3007" s="11">
        <v>6300000</v>
      </c>
      <c r="E3007">
        <v>1193223736</v>
      </c>
      <c r="F3007" t="s">
        <v>670</v>
      </c>
      <c r="G3007" t="s">
        <v>1755</v>
      </c>
    </row>
    <row r="3008" spans="1:7" ht="15" customHeight="1" x14ac:dyDescent="0.25">
      <c r="A3008" s="2">
        <v>46079.645833333299</v>
      </c>
      <c r="B3008">
        <v>2026000195</v>
      </c>
      <c r="C3008" t="s">
        <v>2512</v>
      </c>
      <c r="D3008" s="11">
        <v>3150000</v>
      </c>
      <c r="E3008">
        <v>1085325325</v>
      </c>
      <c r="F3008" t="s">
        <v>682</v>
      </c>
      <c r="G3008" t="s">
        <v>1755</v>
      </c>
    </row>
    <row r="3009" spans="1:7" ht="15" customHeight="1" x14ac:dyDescent="0.25">
      <c r="A3009" s="2">
        <v>46079.652777777803</v>
      </c>
      <c r="B3009">
        <v>2026000196</v>
      </c>
      <c r="C3009" t="s">
        <v>2482</v>
      </c>
      <c r="D3009" s="11">
        <v>7800000</v>
      </c>
      <c r="E3009">
        <v>1010141840</v>
      </c>
      <c r="F3009" t="s">
        <v>2338</v>
      </c>
      <c r="G3009" t="s">
        <v>1755</v>
      </c>
    </row>
    <row r="3010" spans="1:7" ht="15" customHeight="1" x14ac:dyDescent="0.25">
      <c r="A3010" s="2">
        <v>46079.652083333298</v>
      </c>
      <c r="B3010">
        <v>2026000197</v>
      </c>
      <c r="C3010" t="s">
        <v>2513</v>
      </c>
      <c r="D3010" s="11">
        <v>3150000</v>
      </c>
      <c r="E3010">
        <v>1086328142</v>
      </c>
      <c r="F3010" t="s">
        <v>470</v>
      </c>
      <c r="G3010" t="s">
        <v>1755</v>
      </c>
    </row>
    <row r="3011" spans="1:7" ht="15" customHeight="1" x14ac:dyDescent="0.25">
      <c r="A3011" s="2">
        <v>46079.703472222202</v>
      </c>
      <c r="B3011">
        <v>2026000198</v>
      </c>
      <c r="C3011" t="s">
        <v>2514</v>
      </c>
      <c r="D3011" s="11">
        <v>3150000</v>
      </c>
      <c r="E3011">
        <v>37084285</v>
      </c>
      <c r="F3011" t="s">
        <v>119</v>
      </c>
      <c r="G3011" t="s">
        <v>1755</v>
      </c>
    </row>
    <row r="3012" spans="1:7" ht="15" customHeight="1" x14ac:dyDescent="0.25">
      <c r="A3012" s="2">
        <v>46079.706250000003</v>
      </c>
      <c r="B3012">
        <v>2026000199</v>
      </c>
      <c r="C3012" t="s">
        <v>2515</v>
      </c>
      <c r="D3012" s="11">
        <v>3150000</v>
      </c>
      <c r="E3012">
        <v>1082749295</v>
      </c>
      <c r="F3012" t="s">
        <v>1777</v>
      </c>
      <c r="G3012" t="s">
        <v>1755</v>
      </c>
    </row>
    <row r="3013" spans="1:7" ht="15" customHeight="1" x14ac:dyDescent="0.25">
      <c r="A3013" s="2">
        <v>46079.715972222199</v>
      </c>
      <c r="B3013">
        <v>2026000200</v>
      </c>
      <c r="C3013" t="s">
        <v>2516</v>
      </c>
      <c r="D3013" s="11">
        <v>3150000</v>
      </c>
      <c r="E3013">
        <v>1085317226</v>
      </c>
      <c r="F3013" t="s">
        <v>1759</v>
      </c>
      <c r="G3013" t="s">
        <v>1755</v>
      </c>
    </row>
    <row r="3014" spans="1:7" ht="15" customHeight="1" x14ac:dyDescent="0.25">
      <c r="A3014" s="2">
        <v>46079.725694444402</v>
      </c>
      <c r="B3014">
        <v>2026000201</v>
      </c>
      <c r="C3014" t="s">
        <v>2517</v>
      </c>
      <c r="D3014" s="11">
        <v>6300000</v>
      </c>
      <c r="E3014">
        <v>1086360087</v>
      </c>
      <c r="F3014" t="s">
        <v>2298</v>
      </c>
      <c r="G3014" t="s">
        <v>1755</v>
      </c>
    </row>
    <row r="3015" spans="1:7" ht="15" customHeight="1" x14ac:dyDescent="0.25">
      <c r="A3015" s="2">
        <v>46080.406944444403</v>
      </c>
      <c r="B3015">
        <v>2026000203</v>
      </c>
      <c r="C3015" t="s">
        <v>2518</v>
      </c>
      <c r="D3015" s="11">
        <v>4730000</v>
      </c>
      <c r="E3015">
        <v>27087475</v>
      </c>
      <c r="F3015" t="s">
        <v>571</v>
      </c>
      <c r="G3015" t="s">
        <v>1755</v>
      </c>
    </row>
    <row r="3016" spans="1:7" ht="15" customHeight="1" x14ac:dyDescent="0.25">
      <c r="A3016" s="2">
        <v>46080.405555555597</v>
      </c>
      <c r="B3016">
        <v>2026000204</v>
      </c>
      <c r="C3016" t="s">
        <v>2519</v>
      </c>
      <c r="D3016" s="11">
        <v>3150000</v>
      </c>
      <c r="E3016">
        <v>1085344795</v>
      </c>
      <c r="F3016" t="s">
        <v>1242</v>
      </c>
      <c r="G3016" t="s">
        <v>1755</v>
      </c>
    </row>
    <row r="3017" spans="1:7" ht="15" customHeight="1" x14ac:dyDescent="0.25">
      <c r="A3017" s="2">
        <v>46080.409722222197</v>
      </c>
      <c r="B3017">
        <v>2026000205</v>
      </c>
      <c r="C3017" t="s">
        <v>2520</v>
      </c>
      <c r="D3017" s="11">
        <v>3150000</v>
      </c>
      <c r="E3017">
        <v>59833899</v>
      </c>
      <c r="F3017" t="s">
        <v>467</v>
      </c>
      <c r="G3017" t="s">
        <v>1755</v>
      </c>
    </row>
    <row r="3018" spans="1:7" ht="15" customHeight="1" x14ac:dyDescent="0.25">
      <c r="A3018" s="2">
        <v>46080.411805555603</v>
      </c>
      <c r="B3018">
        <v>2026000206</v>
      </c>
      <c r="C3018" t="s">
        <v>2521</v>
      </c>
      <c r="D3018" s="11">
        <v>4730000</v>
      </c>
      <c r="E3018">
        <v>36756149</v>
      </c>
      <c r="F3018" t="s">
        <v>1825</v>
      </c>
      <c r="G3018" t="s">
        <v>1755</v>
      </c>
    </row>
    <row r="3019" spans="1:7" ht="15" customHeight="1" x14ac:dyDescent="0.25">
      <c r="A3019" s="2">
        <v>46080.65625</v>
      </c>
      <c r="B3019">
        <v>2026000207</v>
      </c>
      <c r="C3019" t="s">
        <v>2522</v>
      </c>
      <c r="D3019" s="11">
        <v>6300000</v>
      </c>
      <c r="E3019">
        <v>1085286476</v>
      </c>
      <c r="F3019" t="s">
        <v>385</v>
      </c>
      <c r="G3019" t="s">
        <v>1755</v>
      </c>
    </row>
    <row r="3020" spans="1:7" ht="15" customHeight="1" x14ac:dyDescent="0.25">
      <c r="A3020" s="2">
        <v>46080.658333333296</v>
      </c>
      <c r="B3020">
        <v>2026000208</v>
      </c>
      <c r="C3020" t="s">
        <v>2523</v>
      </c>
      <c r="D3020" s="11">
        <v>3150000</v>
      </c>
      <c r="E3020">
        <v>1233189234</v>
      </c>
      <c r="F3020" t="s">
        <v>87</v>
      </c>
      <c r="G3020" t="s">
        <v>1755</v>
      </c>
    </row>
    <row r="3021" spans="1:7" ht="15" customHeight="1" x14ac:dyDescent="0.25">
      <c r="A3021" s="2">
        <v>46080.654861111099</v>
      </c>
      <c r="B3021">
        <v>2026000209</v>
      </c>
      <c r="C3021" t="s">
        <v>2524</v>
      </c>
      <c r="D3021" s="11">
        <v>4730000</v>
      </c>
      <c r="E3021">
        <v>1087960287</v>
      </c>
      <c r="F3021" t="s">
        <v>1859</v>
      </c>
      <c r="G3021" t="s">
        <v>1755</v>
      </c>
    </row>
    <row r="3022" spans="1:7" ht="15" customHeight="1" x14ac:dyDescent="0.25">
      <c r="A3022" s="2">
        <v>46080.653472222199</v>
      </c>
      <c r="B3022">
        <v>2026000210</v>
      </c>
      <c r="C3022" t="s">
        <v>2525</v>
      </c>
      <c r="D3022" s="11">
        <v>3150000</v>
      </c>
      <c r="E3022">
        <v>1004543161</v>
      </c>
      <c r="F3022" t="s">
        <v>1991</v>
      </c>
      <c r="G3022" t="s">
        <v>1755</v>
      </c>
    </row>
    <row r="3023" spans="1:7" ht="15" customHeight="1" x14ac:dyDescent="0.25">
      <c r="A3023" s="2">
        <v>46080.326388888891</v>
      </c>
      <c r="B3023">
        <v>2026000211</v>
      </c>
      <c r="C3023" t="s">
        <v>2526</v>
      </c>
      <c r="D3023" s="11">
        <v>3150000</v>
      </c>
      <c r="E3023">
        <v>1081272656</v>
      </c>
      <c r="F3023" t="s">
        <v>963</v>
      </c>
      <c r="G3023" t="s">
        <v>1755</v>
      </c>
    </row>
    <row r="3024" spans="1:7" ht="15" customHeight="1" x14ac:dyDescent="0.25">
      <c r="A3024" s="2">
        <v>46080.652083333298</v>
      </c>
      <c r="B3024">
        <v>2026000212</v>
      </c>
      <c r="C3024" t="s">
        <v>2527</v>
      </c>
      <c r="D3024" s="11">
        <v>3150000</v>
      </c>
      <c r="E3024">
        <v>1085317833</v>
      </c>
      <c r="F3024" t="s">
        <v>11</v>
      </c>
      <c r="G3024" t="s">
        <v>1755</v>
      </c>
    </row>
    <row r="3025" spans="1:7" ht="15" customHeight="1" x14ac:dyDescent="0.25">
      <c r="A3025" s="2">
        <v>46083.595833333296</v>
      </c>
      <c r="B3025">
        <v>2026000213</v>
      </c>
      <c r="C3025" t="s">
        <v>2528</v>
      </c>
      <c r="D3025" s="11">
        <v>7800000</v>
      </c>
      <c r="E3025">
        <v>1086331521</v>
      </c>
      <c r="F3025" t="s">
        <v>2418</v>
      </c>
      <c r="G3025" t="s">
        <v>1755</v>
      </c>
    </row>
    <row r="3026" spans="1:7" ht="15" customHeight="1" x14ac:dyDescent="0.25">
      <c r="A3026" s="2">
        <v>46083.6027777778</v>
      </c>
      <c r="B3026">
        <v>2026000214</v>
      </c>
      <c r="C3026" t="s">
        <v>2529</v>
      </c>
      <c r="D3026" s="11">
        <v>7800000</v>
      </c>
      <c r="E3026">
        <v>1233193882</v>
      </c>
      <c r="F3026" t="s">
        <v>889</v>
      </c>
      <c r="G3026" t="s">
        <v>1755</v>
      </c>
    </row>
    <row r="3027" spans="1:7" ht="15" customHeight="1" x14ac:dyDescent="0.25">
      <c r="A3027" s="2">
        <v>46083.607638888898</v>
      </c>
      <c r="B3027">
        <v>2026000215</v>
      </c>
      <c r="C3027" t="s">
        <v>2530</v>
      </c>
      <c r="D3027" s="11">
        <v>3150000</v>
      </c>
      <c r="E3027">
        <v>1085252263</v>
      </c>
      <c r="F3027" t="s">
        <v>33</v>
      </c>
      <c r="G3027" t="s">
        <v>1755</v>
      </c>
    </row>
    <row r="3028" spans="1:7" ht="15" customHeight="1" x14ac:dyDescent="0.25">
      <c r="A3028" s="2">
        <v>46083.6118055556</v>
      </c>
      <c r="B3028">
        <v>2026000216</v>
      </c>
      <c r="C3028" t="s">
        <v>2531</v>
      </c>
      <c r="D3028" s="11">
        <v>3150000</v>
      </c>
      <c r="E3028">
        <v>1089243630</v>
      </c>
      <c r="F3028" t="s">
        <v>197</v>
      </c>
      <c r="G3028" t="s">
        <v>1755</v>
      </c>
    </row>
    <row r="3029" spans="1:7" ht="15" customHeight="1" x14ac:dyDescent="0.25">
      <c r="A3029" s="2">
        <v>46083.625</v>
      </c>
      <c r="B3029">
        <v>2026000218</v>
      </c>
      <c r="C3029" t="s">
        <v>2532</v>
      </c>
      <c r="D3029" s="11">
        <v>3150000</v>
      </c>
      <c r="E3029">
        <v>1081594639</v>
      </c>
      <c r="F3029" t="s">
        <v>1110</v>
      </c>
      <c r="G3029" t="s">
        <v>1755</v>
      </c>
    </row>
    <row r="3030" spans="1:7" ht="15" customHeight="1" x14ac:dyDescent="0.25">
      <c r="A3030" s="2">
        <v>46083.664583333302</v>
      </c>
      <c r="B3030">
        <v>2026000219</v>
      </c>
      <c r="C3030" t="s">
        <v>2533</v>
      </c>
      <c r="D3030" s="11">
        <v>3150000</v>
      </c>
      <c r="E3030">
        <v>98391531</v>
      </c>
      <c r="F3030" t="s">
        <v>499</v>
      </c>
      <c r="G3030" t="s">
        <v>1755</v>
      </c>
    </row>
    <row r="3031" spans="1:7" ht="15" customHeight="1" x14ac:dyDescent="0.25">
      <c r="A3031" s="2">
        <v>46083.668055555601</v>
      </c>
      <c r="B3031">
        <v>2026000220</v>
      </c>
      <c r="C3031" t="s">
        <v>2534</v>
      </c>
      <c r="D3031" s="11">
        <v>6300000</v>
      </c>
      <c r="E3031">
        <v>59820414</v>
      </c>
      <c r="F3031" t="s">
        <v>457</v>
      </c>
      <c r="G3031" t="s">
        <v>1755</v>
      </c>
    </row>
    <row r="3032" spans="1:7" ht="15" customHeight="1" x14ac:dyDescent="0.25">
      <c r="A3032" s="2">
        <v>46084.3930555556</v>
      </c>
      <c r="B3032">
        <v>2026000221</v>
      </c>
      <c r="C3032" t="s">
        <v>2535</v>
      </c>
      <c r="D3032" s="11">
        <v>3150000</v>
      </c>
      <c r="E3032">
        <v>1081592303</v>
      </c>
      <c r="F3032" t="s">
        <v>562</v>
      </c>
      <c r="G3032" t="s">
        <v>1755</v>
      </c>
    </row>
    <row r="3033" spans="1:7" ht="15" customHeight="1" x14ac:dyDescent="0.25">
      <c r="A3033" s="2">
        <v>46084.401388888902</v>
      </c>
      <c r="B3033">
        <v>2026000222</v>
      </c>
      <c r="C3033" t="s">
        <v>2536</v>
      </c>
      <c r="D3033" s="11">
        <v>4730000</v>
      </c>
      <c r="E3033">
        <v>1082749648</v>
      </c>
      <c r="F3033" t="s">
        <v>1891</v>
      </c>
      <c r="G3033" t="s">
        <v>1755</v>
      </c>
    </row>
    <row r="3034" spans="1:7" ht="15" customHeight="1" x14ac:dyDescent="0.25">
      <c r="A3034" s="2">
        <v>46084.404166666704</v>
      </c>
      <c r="B3034">
        <v>2026000223</v>
      </c>
      <c r="C3034" t="s">
        <v>2537</v>
      </c>
      <c r="D3034" s="11">
        <v>6300000</v>
      </c>
      <c r="E3034">
        <v>59825948</v>
      </c>
      <c r="F3034" t="s">
        <v>1192</v>
      </c>
      <c r="G3034" t="s">
        <v>1755</v>
      </c>
    </row>
    <row r="3035" spans="1:7" ht="15" customHeight="1" x14ac:dyDescent="0.25">
      <c r="A3035" s="2">
        <v>46084.406944444403</v>
      </c>
      <c r="B3035">
        <v>2026000224</v>
      </c>
      <c r="C3035" t="s">
        <v>2538</v>
      </c>
      <c r="D3035" s="11">
        <v>4730000</v>
      </c>
      <c r="E3035">
        <v>1087414586</v>
      </c>
      <c r="F3035" t="s">
        <v>47</v>
      </c>
      <c r="G3035" t="s">
        <v>1755</v>
      </c>
    </row>
    <row r="3036" spans="1:7" ht="15" customHeight="1" x14ac:dyDescent="0.25">
      <c r="A3036" s="2">
        <v>46084.386805555601</v>
      </c>
      <c r="B3036">
        <v>2026000225</v>
      </c>
      <c r="C3036" t="s">
        <v>2539</v>
      </c>
      <c r="D3036" s="11">
        <v>3150000</v>
      </c>
      <c r="E3036">
        <v>1085327677</v>
      </c>
      <c r="F3036" t="s">
        <v>215</v>
      </c>
      <c r="G3036" t="s">
        <v>1755</v>
      </c>
    </row>
    <row r="3037" spans="1:7" ht="15" customHeight="1" x14ac:dyDescent="0.25">
      <c r="A3037" s="2">
        <v>46084.398611111101</v>
      </c>
      <c r="B3037">
        <v>2026000226</v>
      </c>
      <c r="C3037" t="s">
        <v>2540</v>
      </c>
      <c r="D3037" s="11">
        <v>6300000</v>
      </c>
      <c r="E3037">
        <v>1085283868</v>
      </c>
      <c r="F3037" t="s">
        <v>1131</v>
      </c>
      <c r="G3037" t="s">
        <v>1755</v>
      </c>
    </row>
    <row r="3038" spans="1:7" ht="15" customHeight="1" x14ac:dyDescent="0.25">
      <c r="A3038" s="2">
        <v>46084.683333333298</v>
      </c>
      <c r="B3038">
        <v>2026000239</v>
      </c>
      <c r="C3038" t="s">
        <v>2541</v>
      </c>
      <c r="D3038" s="11">
        <v>3150000</v>
      </c>
      <c r="E3038">
        <v>1088975658</v>
      </c>
      <c r="F3038" t="s">
        <v>2243</v>
      </c>
      <c r="G3038" t="s">
        <v>1755</v>
      </c>
    </row>
    <row r="3039" spans="1:7" ht="15" customHeight="1" x14ac:dyDescent="0.25">
      <c r="A3039" s="2">
        <v>46085.352083333302</v>
      </c>
      <c r="B3039">
        <v>2026000240</v>
      </c>
      <c r="C3039" t="s">
        <v>2542</v>
      </c>
      <c r="D3039" s="11">
        <v>3150000</v>
      </c>
      <c r="E3039">
        <v>27088197</v>
      </c>
      <c r="F3039" t="s">
        <v>1235</v>
      </c>
      <c r="G3039" t="s">
        <v>1755</v>
      </c>
    </row>
    <row r="3040" spans="1:7" ht="15" customHeight="1" x14ac:dyDescent="0.25">
      <c r="A3040" s="2">
        <v>46085.355555555601</v>
      </c>
      <c r="B3040">
        <v>2026000241</v>
      </c>
      <c r="C3040" t="s">
        <v>2543</v>
      </c>
      <c r="D3040" s="11">
        <v>3150000</v>
      </c>
      <c r="E3040">
        <v>1233191133</v>
      </c>
      <c r="F3040" t="s">
        <v>2405</v>
      </c>
      <c r="G3040" t="s">
        <v>1755</v>
      </c>
    </row>
    <row r="3041" spans="1:7" ht="15" customHeight="1" x14ac:dyDescent="0.25">
      <c r="A3041" s="2">
        <v>46085.359027777798</v>
      </c>
      <c r="B3041">
        <v>2026000242</v>
      </c>
      <c r="C3041" t="s">
        <v>2544</v>
      </c>
      <c r="D3041" s="11">
        <v>3150000</v>
      </c>
      <c r="E3041">
        <v>1081272025</v>
      </c>
      <c r="F3041" t="s">
        <v>59</v>
      </c>
      <c r="G3041" t="s">
        <v>1755</v>
      </c>
    </row>
    <row r="3042" spans="1:7" ht="15" customHeight="1" x14ac:dyDescent="0.25">
      <c r="A3042" s="2">
        <v>46090.414583333302</v>
      </c>
      <c r="B3042">
        <v>2026000301</v>
      </c>
      <c r="C3042" t="s">
        <v>2545</v>
      </c>
      <c r="D3042" s="11">
        <v>3150000</v>
      </c>
      <c r="E3042">
        <v>1080693240</v>
      </c>
      <c r="F3042" t="s">
        <v>2089</v>
      </c>
      <c r="G3042" t="s">
        <v>1755</v>
      </c>
    </row>
    <row r="3043" spans="1:7" ht="15" customHeight="1" x14ac:dyDescent="0.25">
      <c r="A3043" s="2">
        <v>46090.465972222199</v>
      </c>
      <c r="B3043">
        <v>2026000309</v>
      </c>
      <c r="C3043" t="s">
        <v>2546</v>
      </c>
      <c r="D3043" s="11">
        <v>3150000</v>
      </c>
      <c r="E3043">
        <v>1086222689</v>
      </c>
      <c r="F3043" t="s">
        <v>1114</v>
      </c>
      <c r="G3043" t="s">
        <v>1755</v>
      </c>
    </row>
    <row r="3044" spans="1:7" ht="15" customHeight="1" x14ac:dyDescent="0.25">
      <c r="A3044" s="2">
        <v>46090.467361111099</v>
      </c>
      <c r="B3044">
        <v>2026000310</v>
      </c>
      <c r="C3044" t="s">
        <v>2547</v>
      </c>
      <c r="D3044" s="11">
        <v>6300000</v>
      </c>
      <c r="E3044">
        <v>1085278004</v>
      </c>
      <c r="F3044" t="s">
        <v>2151</v>
      </c>
      <c r="G3044" t="s">
        <v>1755</v>
      </c>
    </row>
    <row r="3045" spans="1:7" ht="15" customHeight="1" x14ac:dyDescent="0.25">
      <c r="A3045" s="2">
        <v>46090.470833333296</v>
      </c>
      <c r="B3045">
        <v>2026000311</v>
      </c>
      <c r="C3045" t="s">
        <v>2548</v>
      </c>
      <c r="D3045" s="11">
        <v>3150000</v>
      </c>
      <c r="E3045">
        <v>36950892</v>
      </c>
      <c r="F3045" t="s">
        <v>2093</v>
      </c>
      <c r="G3045" t="s">
        <v>1755</v>
      </c>
    </row>
    <row r="3046" spans="1:7" ht="15" customHeight="1" x14ac:dyDescent="0.25">
      <c r="A3046" s="2">
        <v>46090.472222222197</v>
      </c>
      <c r="B3046">
        <v>2026000312</v>
      </c>
      <c r="C3046" t="s">
        <v>2549</v>
      </c>
      <c r="D3046" s="11">
        <v>6300000</v>
      </c>
      <c r="E3046">
        <v>1086755989</v>
      </c>
      <c r="F3046" t="s">
        <v>2471</v>
      </c>
      <c r="G3046" t="s">
        <v>1755</v>
      </c>
    </row>
    <row r="3047" spans="1:7" ht="15" customHeight="1" x14ac:dyDescent="0.25">
      <c r="A3047" s="2">
        <v>46090.474305555603</v>
      </c>
      <c r="B3047">
        <v>2026000313</v>
      </c>
      <c r="C3047" t="s">
        <v>2550</v>
      </c>
      <c r="D3047" s="11">
        <v>4730000</v>
      </c>
      <c r="E3047">
        <v>1005829176</v>
      </c>
      <c r="F3047" t="s">
        <v>1902</v>
      </c>
      <c r="G3047" t="s">
        <v>1755</v>
      </c>
    </row>
    <row r="3048" spans="1:7" ht="15" customHeight="1" x14ac:dyDescent="0.25">
      <c r="A3048" s="2">
        <v>46090.475694444402</v>
      </c>
      <c r="B3048">
        <v>2026000314</v>
      </c>
      <c r="C3048" t="s">
        <v>2551</v>
      </c>
      <c r="D3048" s="11">
        <v>3150000</v>
      </c>
      <c r="E3048">
        <v>1005977438</v>
      </c>
      <c r="F3048" t="s">
        <v>1994</v>
      </c>
      <c r="G3048" t="s">
        <v>1755</v>
      </c>
    </row>
    <row r="3049" spans="1:7" ht="15" customHeight="1" x14ac:dyDescent="0.25">
      <c r="A3049" s="2">
        <v>46090.4777777778</v>
      </c>
      <c r="B3049">
        <v>2026000315</v>
      </c>
      <c r="C3049" t="s">
        <v>2552</v>
      </c>
      <c r="D3049" s="11">
        <v>3150000</v>
      </c>
      <c r="E3049">
        <v>5930737</v>
      </c>
      <c r="F3049" t="s">
        <v>213</v>
      </c>
      <c r="G3049" t="s">
        <v>1755</v>
      </c>
    </row>
    <row r="3050" spans="1:7" ht="15" customHeight="1" x14ac:dyDescent="0.25">
      <c r="A3050" s="2">
        <v>46091.308333333298</v>
      </c>
      <c r="B3050">
        <v>2026000323</v>
      </c>
      <c r="C3050" t="s">
        <v>2553</v>
      </c>
      <c r="D3050" s="11">
        <v>3150000</v>
      </c>
      <c r="E3050">
        <v>1085275473</v>
      </c>
      <c r="F3050" t="s">
        <v>693</v>
      </c>
      <c r="G3050" t="s">
        <v>1755</v>
      </c>
    </row>
    <row r="3051" spans="1:7" ht="15" customHeight="1" x14ac:dyDescent="0.25">
      <c r="A3051" s="2">
        <v>46091.327777777798</v>
      </c>
      <c r="B3051">
        <v>2026000324</v>
      </c>
      <c r="C3051" t="s">
        <v>2554</v>
      </c>
      <c r="D3051" s="11">
        <v>7800000</v>
      </c>
      <c r="E3051">
        <v>1061794455</v>
      </c>
      <c r="F3051" t="s">
        <v>2154</v>
      </c>
      <c r="G3051" t="s">
        <v>1755</v>
      </c>
    </row>
    <row r="3052" spans="1:7" ht="15" customHeight="1" x14ac:dyDescent="0.25">
      <c r="A3052" s="2">
        <v>46091.334027777797</v>
      </c>
      <c r="B3052">
        <v>2026000325</v>
      </c>
      <c r="C3052" t="s">
        <v>2555</v>
      </c>
      <c r="D3052" s="11">
        <v>3150000</v>
      </c>
      <c r="E3052">
        <v>1087006717</v>
      </c>
      <c r="F3052" t="s">
        <v>1163</v>
      </c>
      <c r="G3052" t="s">
        <v>1755</v>
      </c>
    </row>
    <row r="3053" spans="1:7" ht="15" customHeight="1" x14ac:dyDescent="0.25">
      <c r="A3053" s="2">
        <v>46091.338194444397</v>
      </c>
      <c r="B3053">
        <v>2026000326</v>
      </c>
      <c r="C3053" t="s">
        <v>2556</v>
      </c>
      <c r="D3053" s="11">
        <v>3150000</v>
      </c>
      <c r="E3053">
        <v>69028150</v>
      </c>
      <c r="F3053" t="s">
        <v>171</v>
      </c>
      <c r="G3053" t="s">
        <v>1755</v>
      </c>
    </row>
    <row r="3054" spans="1:7" ht="15" customHeight="1" x14ac:dyDescent="0.25">
      <c r="A3054" s="2">
        <v>46091.340277777803</v>
      </c>
      <c r="B3054">
        <v>2026000327</v>
      </c>
      <c r="C3054" t="s">
        <v>2557</v>
      </c>
      <c r="D3054" s="11">
        <v>3150000</v>
      </c>
      <c r="E3054">
        <v>1137089268</v>
      </c>
      <c r="F3054" t="s">
        <v>2160</v>
      </c>
      <c r="G3054" t="s">
        <v>1755</v>
      </c>
    </row>
    <row r="3055" spans="1:7" ht="15" customHeight="1" x14ac:dyDescent="0.25">
      <c r="A3055" s="2">
        <v>46091.370138888902</v>
      </c>
      <c r="B3055">
        <v>2026000330</v>
      </c>
      <c r="C3055" t="s">
        <v>2558</v>
      </c>
      <c r="D3055" s="11">
        <v>6300000</v>
      </c>
      <c r="E3055">
        <v>1086132023</v>
      </c>
      <c r="F3055" t="s">
        <v>2559</v>
      </c>
      <c r="G3055" t="s">
        <v>1755</v>
      </c>
    </row>
    <row r="3056" spans="1:7" ht="15" customHeight="1" x14ac:dyDescent="0.25">
      <c r="A3056" s="2">
        <v>46091.4194444444</v>
      </c>
      <c r="B3056">
        <v>2026000351</v>
      </c>
      <c r="C3056" t="s">
        <v>2560</v>
      </c>
      <c r="D3056" s="11">
        <v>6300000</v>
      </c>
      <c r="E3056">
        <v>27146489</v>
      </c>
      <c r="F3056" t="s">
        <v>1102</v>
      </c>
      <c r="G3056" t="s">
        <v>1755</v>
      </c>
    </row>
    <row r="3057" spans="1:7" ht="15" customHeight="1" x14ac:dyDescent="0.25">
      <c r="A3057" s="2">
        <v>46091.422222222202</v>
      </c>
      <c r="B3057">
        <v>2026000353</v>
      </c>
      <c r="C3057" t="s">
        <v>2561</v>
      </c>
      <c r="D3057" s="11">
        <v>6300000</v>
      </c>
      <c r="E3057">
        <v>1085299577</v>
      </c>
      <c r="F3057" t="s">
        <v>1182</v>
      </c>
      <c r="G3057" t="s">
        <v>1755</v>
      </c>
    </row>
    <row r="3058" spans="1:7" ht="15" customHeight="1" x14ac:dyDescent="0.25">
      <c r="A3058" s="2">
        <v>46091.423611111102</v>
      </c>
      <c r="B3058">
        <v>2026000354</v>
      </c>
      <c r="C3058" t="s">
        <v>2562</v>
      </c>
      <c r="D3058" s="11">
        <v>3150000</v>
      </c>
      <c r="E3058">
        <v>1085315013</v>
      </c>
      <c r="F3058" t="s">
        <v>1158</v>
      </c>
      <c r="G3058" t="s">
        <v>1755</v>
      </c>
    </row>
    <row r="3059" spans="1:7" ht="15" customHeight="1" x14ac:dyDescent="0.25">
      <c r="A3059" s="2">
        <v>46091.426388888904</v>
      </c>
      <c r="B3059">
        <v>2026000356</v>
      </c>
      <c r="C3059" t="s">
        <v>2563</v>
      </c>
      <c r="D3059" s="11">
        <v>3150000</v>
      </c>
      <c r="E3059">
        <v>1081572042</v>
      </c>
      <c r="F3059" t="s">
        <v>2282</v>
      </c>
      <c r="G3059" t="s">
        <v>1755</v>
      </c>
    </row>
    <row r="3060" spans="1:7" ht="15" customHeight="1" x14ac:dyDescent="0.25">
      <c r="A3060" s="2">
        <v>46091.496527777803</v>
      </c>
      <c r="B3060">
        <v>2026000375</v>
      </c>
      <c r="C3060" t="s">
        <v>2451</v>
      </c>
      <c r="D3060" s="11">
        <v>1576000</v>
      </c>
      <c r="E3060">
        <v>12754447</v>
      </c>
      <c r="F3060" t="s">
        <v>2453</v>
      </c>
      <c r="G3060" t="s">
        <v>1755</v>
      </c>
    </row>
    <row r="3061" spans="1:7" ht="15" customHeight="1" x14ac:dyDescent="0.25">
      <c r="A3061" s="2">
        <v>46092.345138888901</v>
      </c>
      <c r="B3061">
        <v>2026000391</v>
      </c>
      <c r="C3061" t="s">
        <v>2564</v>
      </c>
      <c r="D3061" s="11">
        <v>7800000</v>
      </c>
      <c r="E3061">
        <v>1085344910</v>
      </c>
      <c r="F3061" t="s">
        <v>2565</v>
      </c>
      <c r="G3061" t="s">
        <v>1755</v>
      </c>
    </row>
    <row r="3062" spans="1:7" ht="15" customHeight="1" x14ac:dyDescent="0.25">
      <c r="A3062" s="2">
        <v>46092.436111111099</v>
      </c>
      <c r="B3062">
        <v>2026000395</v>
      </c>
      <c r="C3062" t="s">
        <v>2566</v>
      </c>
      <c r="D3062" s="11">
        <v>4730000</v>
      </c>
      <c r="E3062">
        <v>59651018</v>
      </c>
      <c r="F3062" t="s">
        <v>493</v>
      </c>
      <c r="G3062" t="s">
        <v>1755</v>
      </c>
    </row>
    <row r="3063" spans="1:7" ht="15" customHeight="1" x14ac:dyDescent="0.25">
      <c r="A3063" s="2">
        <v>46092.439583333296</v>
      </c>
      <c r="B3063">
        <v>2026000396</v>
      </c>
      <c r="C3063" t="s">
        <v>2567</v>
      </c>
      <c r="D3063" s="11">
        <v>6300000</v>
      </c>
      <c r="E3063">
        <v>1085277976</v>
      </c>
      <c r="F3063" t="s">
        <v>1084</v>
      </c>
      <c r="G3063" t="s">
        <v>1755</v>
      </c>
    </row>
    <row r="3064" spans="1:7" ht="15" customHeight="1" x14ac:dyDescent="0.25">
      <c r="A3064" s="2">
        <v>46092.453472222202</v>
      </c>
      <c r="B3064">
        <v>2026000399</v>
      </c>
      <c r="C3064" t="s">
        <v>2568</v>
      </c>
      <c r="D3064" s="11">
        <v>3150000</v>
      </c>
      <c r="E3064">
        <v>1085315209</v>
      </c>
      <c r="F3064" t="s">
        <v>701</v>
      </c>
      <c r="G3064" t="s">
        <v>1755</v>
      </c>
    </row>
    <row r="3065" spans="1:7" ht="15" customHeight="1" x14ac:dyDescent="0.25">
      <c r="A3065" s="2">
        <v>46092.460416666698</v>
      </c>
      <c r="B3065">
        <v>2026000403</v>
      </c>
      <c r="C3065" t="s">
        <v>2569</v>
      </c>
      <c r="D3065" s="11">
        <v>7800000</v>
      </c>
      <c r="E3065">
        <v>1193202097</v>
      </c>
      <c r="F3065" t="s">
        <v>163</v>
      </c>
      <c r="G3065" t="s">
        <v>1755</v>
      </c>
    </row>
    <row r="3066" spans="1:7" ht="15" customHeight="1" x14ac:dyDescent="0.25">
      <c r="A3066" s="2">
        <v>46093.451388888898</v>
      </c>
      <c r="B3066">
        <v>2026000406</v>
      </c>
      <c r="C3066" t="s">
        <v>2570</v>
      </c>
      <c r="D3066" s="11">
        <v>3150000</v>
      </c>
      <c r="E3066">
        <v>1085246674</v>
      </c>
      <c r="F3066" t="s">
        <v>2347</v>
      </c>
      <c r="G3066" t="s">
        <v>1755</v>
      </c>
    </row>
    <row r="3067" spans="1:7" ht="15" customHeight="1" x14ac:dyDescent="0.25">
      <c r="A3067" s="2">
        <v>46092.46875</v>
      </c>
      <c r="B3067">
        <v>2026000408</v>
      </c>
      <c r="C3067" t="s">
        <v>2571</v>
      </c>
      <c r="D3067" s="11">
        <v>3150000</v>
      </c>
      <c r="E3067">
        <v>1085275400</v>
      </c>
      <c r="F3067" t="s">
        <v>2172</v>
      </c>
      <c r="G3067" t="s">
        <v>1755</v>
      </c>
    </row>
    <row r="3068" spans="1:7" ht="15" customHeight="1" x14ac:dyDescent="0.25">
      <c r="A3068" s="2">
        <v>46092.476388888899</v>
      </c>
      <c r="B3068">
        <v>2026000410</v>
      </c>
      <c r="C3068" t="s">
        <v>2572</v>
      </c>
      <c r="D3068" s="11">
        <v>3150000</v>
      </c>
      <c r="E3068">
        <v>1004592366</v>
      </c>
      <c r="F3068" t="s">
        <v>123</v>
      </c>
      <c r="G3068" t="s">
        <v>1755</v>
      </c>
    </row>
    <row r="3069" spans="1:7" ht="15" customHeight="1" x14ac:dyDescent="0.25">
      <c r="A3069" s="2">
        <v>46092.479166666701</v>
      </c>
      <c r="B3069">
        <v>2026000411</v>
      </c>
      <c r="C3069" t="s">
        <v>2573</v>
      </c>
      <c r="D3069" s="11">
        <v>3150000</v>
      </c>
      <c r="E3069">
        <v>1088216350</v>
      </c>
      <c r="F3069" t="s">
        <v>2368</v>
      </c>
      <c r="G3069" t="s">
        <v>1755</v>
      </c>
    </row>
    <row r="3070" spans="1:7" ht="15" customHeight="1" x14ac:dyDescent="0.25">
      <c r="A3070" s="2">
        <v>46092.481249999997</v>
      </c>
      <c r="B3070">
        <v>2026000412</v>
      </c>
      <c r="C3070" t="s">
        <v>2574</v>
      </c>
      <c r="D3070" s="11">
        <v>2000000</v>
      </c>
      <c r="E3070">
        <v>27082650</v>
      </c>
      <c r="F3070" t="s">
        <v>2231</v>
      </c>
      <c r="G3070" t="s">
        <v>1755</v>
      </c>
    </row>
    <row r="3071" spans="1:7" ht="15" customHeight="1" x14ac:dyDescent="0.25">
      <c r="A3071" s="2">
        <v>46092.483333333301</v>
      </c>
      <c r="B3071">
        <v>2026000413</v>
      </c>
      <c r="C3071" t="s">
        <v>2575</v>
      </c>
      <c r="D3071" s="11">
        <v>2000000</v>
      </c>
      <c r="E3071">
        <v>1085327836</v>
      </c>
      <c r="F3071" t="s">
        <v>283</v>
      </c>
      <c r="G3071" t="s">
        <v>1755</v>
      </c>
    </row>
    <row r="3072" spans="1:7" ht="15" customHeight="1" x14ac:dyDescent="0.25">
      <c r="A3072" s="2">
        <v>46092.4868055556</v>
      </c>
      <c r="B3072">
        <v>2026000414</v>
      </c>
      <c r="C3072" t="s">
        <v>2576</v>
      </c>
      <c r="D3072" s="11">
        <v>6300000</v>
      </c>
      <c r="E3072">
        <v>1004213964</v>
      </c>
      <c r="F3072" t="s">
        <v>113</v>
      </c>
      <c r="G3072" t="s">
        <v>1755</v>
      </c>
    </row>
    <row r="3073" spans="1:7" ht="15" customHeight="1" x14ac:dyDescent="0.25">
      <c r="A3073" s="2">
        <v>46094.375694444403</v>
      </c>
      <c r="B3073">
        <v>2026000436</v>
      </c>
      <c r="C3073" t="s">
        <v>2146</v>
      </c>
      <c r="D3073" s="11">
        <v>1419000</v>
      </c>
      <c r="E3073">
        <v>1088730615</v>
      </c>
      <c r="F3073" t="s">
        <v>2148</v>
      </c>
      <c r="G3073" t="s">
        <v>1755</v>
      </c>
    </row>
    <row r="3074" spans="1:7" ht="15" customHeight="1" x14ac:dyDescent="0.25">
      <c r="A3074" s="2">
        <v>46094.411805555603</v>
      </c>
      <c r="B3074">
        <v>2026000437</v>
      </c>
      <c r="C3074" t="s">
        <v>2577</v>
      </c>
      <c r="D3074" s="11">
        <v>3150000</v>
      </c>
      <c r="E3074">
        <v>1085281002</v>
      </c>
      <c r="F3074" t="s">
        <v>2409</v>
      </c>
      <c r="G3074" t="s">
        <v>1755</v>
      </c>
    </row>
    <row r="3075" spans="1:7" ht="15" customHeight="1" x14ac:dyDescent="0.25">
      <c r="A3075" s="2">
        <v>46094.421527777798</v>
      </c>
      <c r="B3075">
        <v>2026000438</v>
      </c>
      <c r="C3075" t="s">
        <v>2578</v>
      </c>
      <c r="D3075" s="11">
        <v>1260000</v>
      </c>
      <c r="E3075">
        <v>30743783</v>
      </c>
      <c r="F3075" t="s">
        <v>504</v>
      </c>
      <c r="G3075" t="s">
        <v>1755</v>
      </c>
    </row>
    <row r="3076" spans="1:7" ht="15" customHeight="1" x14ac:dyDescent="0.25">
      <c r="A3076" s="2">
        <v>46094.639583333301</v>
      </c>
      <c r="B3076">
        <v>2026000440</v>
      </c>
      <c r="C3076" t="s">
        <v>2579</v>
      </c>
      <c r="D3076" s="11">
        <v>2000000</v>
      </c>
      <c r="E3076">
        <v>12990231</v>
      </c>
      <c r="F3076" t="s">
        <v>1020</v>
      </c>
      <c r="G3076" t="s">
        <v>1755</v>
      </c>
    </row>
    <row r="3077" spans="1:7" ht="15" customHeight="1" x14ac:dyDescent="0.25">
      <c r="A3077" s="2">
        <v>46094.65</v>
      </c>
      <c r="B3077">
        <v>2026000442</v>
      </c>
      <c r="C3077" t="s">
        <v>2580</v>
      </c>
      <c r="D3077" s="11">
        <v>3150000</v>
      </c>
      <c r="E3077">
        <v>1085324685</v>
      </c>
      <c r="F3077" t="s">
        <v>779</v>
      </c>
      <c r="G3077" t="s">
        <v>1755</v>
      </c>
    </row>
    <row r="3078" spans="1:7" ht="15" customHeight="1" x14ac:dyDescent="0.25">
      <c r="A3078" s="2">
        <v>46094.653472222199</v>
      </c>
      <c r="B3078">
        <v>2026000443</v>
      </c>
      <c r="C3078" t="s">
        <v>2581</v>
      </c>
      <c r="D3078" s="11">
        <v>6300000</v>
      </c>
      <c r="E3078">
        <v>1010010954</v>
      </c>
      <c r="F3078" t="s">
        <v>337</v>
      </c>
      <c r="G3078" t="s">
        <v>1755</v>
      </c>
    </row>
    <row r="3079" spans="1:7" ht="15" customHeight="1" x14ac:dyDescent="0.25">
      <c r="A3079" s="2">
        <v>46094.65625</v>
      </c>
      <c r="B3079">
        <v>2026000444</v>
      </c>
      <c r="C3079" t="s">
        <v>2582</v>
      </c>
      <c r="D3079" s="11">
        <v>3150000</v>
      </c>
      <c r="E3079">
        <v>1085346528</v>
      </c>
      <c r="F3079" t="s">
        <v>1056</v>
      </c>
      <c r="G3079" t="s">
        <v>1755</v>
      </c>
    </row>
    <row r="3080" spans="1:7" ht="15" customHeight="1" x14ac:dyDescent="0.25">
      <c r="A3080" s="2">
        <v>46094.660416666702</v>
      </c>
      <c r="B3080">
        <v>2026000445</v>
      </c>
      <c r="C3080" t="s">
        <v>2583</v>
      </c>
      <c r="D3080" s="11">
        <v>4730000</v>
      </c>
      <c r="E3080">
        <v>1085330309</v>
      </c>
      <c r="F3080" t="s">
        <v>249</v>
      </c>
      <c r="G3080" t="s">
        <v>1755</v>
      </c>
    </row>
    <row r="3081" spans="1:7" ht="15" customHeight="1" x14ac:dyDescent="0.25">
      <c r="A3081" s="2">
        <v>46094.661805555603</v>
      </c>
      <c r="B3081">
        <v>2026000446</v>
      </c>
      <c r="C3081" t="s">
        <v>2584</v>
      </c>
      <c r="D3081" s="11">
        <v>6300000</v>
      </c>
      <c r="E3081">
        <v>36757221</v>
      </c>
      <c r="F3081" t="s">
        <v>453</v>
      </c>
      <c r="G3081" t="s">
        <v>1755</v>
      </c>
    </row>
    <row r="3082" spans="1:7" ht="15" customHeight="1" x14ac:dyDescent="0.25">
      <c r="A3082" s="33" t="s">
        <v>1279</v>
      </c>
      <c r="B3082" s="12" t="s">
        <v>1327</v>
      </c>
      <c r="C3082" s="12" t="s">
        <v>1093</v>
      </c>
      <c r="D3082" s="23">
        <v>3000000</v>
      </c>
      <c r="E3082" s="12">
        <v>36753698</v>
      </c>
      <c r="F3082" s="12" t="s">
        <v>1588</v>
      </c>
      <c r="G3082" t="s">
        <v>1094</v>
      </c>
    </row>
    <row r="3083" spans="1:7" ht="15" customHeight="1" x14ac:dyDescent="0.25">
      <c r="A3083" s="33" t="s">
        <v>1281</v>
      </c>
      <c r="B3083" s="12" t="s">
        <v>1329</v>
      </c>
      <c r="C3083" s="12" t="s">
        <v>1096</v>
      </c>
      <c r="D3083" s="23">
        <v>4750000</v>
      </c>
      <c r="E3083" s="12">
        <v>1085330309</v>
      </c>
      <c r="F3083" s="12" t="s">
        <v>1590</v>
      </c>
      <c r="G3083" t="s">
        <v>1094</v>
      </c>
    </row>
    <row r="3084" spans="1:7" ht="15" customHeight="1" x14ac:dyDescent="0.25">
      <c r="A3084" s="33" t="s">
        <v>1280</v>
      </c>
      <c r="B3084" s="12" t="s">
        <v>1328</v>
      </c>
      <c r="C3084" s="12" t="s">
        <v>1095</v>
      </c>
      <c r="D3084" s="23">
        <v>4825000</v>
      </c>
      <c r="E3084" s="12">
        <v>1085324891</v>
      </c>
      <c r="F3084" s="12" t="s">
        <v>509</v>
      </c>
      <c r="G3084" t="s">
        <v>1094</v>
      </c>
    </row>
    <row r="3085" spans="1:7" ht="15" customHeight="1" x14ac:dyDescent="0.25">
      <c r="A3085" s="33" t="s">
        <v>1282</v>
      </c>
      <c r="B3085" s="12" t="s">
        <v>1330</v>
      </c>
      <c r="C3085" s="12" t="s">
        <v>1097</v>
      </c>
      <c r="D3085" s="23">
        <v>6000000</v>
      </c>
      <c r="E3085" s="12">
        <v>1085340697</v>
      </c>
      <c r="F3085" s="12" t="s">
        <v>1098</v>
      </c>
      <c r="G3085" t="s">
        <v>1094</v>
      </c>
    </row>
    <row r="3086" spans="1:7" ht="15" customHeight="1" x14ac:dyDescent="0.25">
      <c r="A3086" s="33" t="s">
        <v>1283</v>
      </c>
      <c r="B3086" s="12" t="s">
        <v>1331</v>
      </c>
      <c r="C3086" s="12" t="s">
        <v>1099</v>
      </c>
      <c r="D3086" s="23">
        <v>7500000</v>
      </c>
      <c r="E3086" s="12">
        <v>1085329980</v>
      </c>
      <c r="F3086" s="12" t="s">
        <v>1592</v>
      </c>
      <c r="G3086" t="s">
        <v>1094</v>
      </c>
    </row>
    <row r="3087" spans="1:7" ht="15" customHeight="1" x14ac:dyDescent="0.25">
      <c r="A3087" s="33" t="s">
        <v>1284</v>
      </c>
      <c r="B3087" s="12" t="s">
        <v>1332</v>
      </c>
      <c r="C3087" s="12" t="s">
        <v>1100</v>
      </c>
      <c r="D3087" s="23">
        <v>6000000</v>
      </c>
      <c r="E3087" s="12">
        <v>1085303585</v>
      </c>
      <c r="F3087" s="12" t="s">
        <v>1593</v>
      </c>
      <c r="G3087" t="s">
        <v>1094</v>
      </c>
    </row>
    <row r="3088" spans="1:7" ht="15" customHeight="1" x14ac:dyDescent="0.25">
      <c r="A3088" s="33" t="s">
        <v>1285</v>
      </c>
      <c r="B3088" s="12" t="s">
        <v>1333</v>
      </c>
      <c r="C3088" s="12" t="s">
        <v>1101</v>
      </c>
      <c r="D3088" s="23">
        <v>6000000</v>
      </c>
      <c r="E3088" s="12">
        <v>27146489</v>
      </c>
      <c r="F3088" s="12" t="s">
        <v>1595</v>
      </c>
      <c r="G3088" t="s">
        <v>1094</v>
      </c>
    </row>
    <row r="3089" spans="1:7" ht="15" customHeight="1" x14ac:dyDescent="0.25">
      <c r="A3089" s="33" t="s">
        <v>1285</v>
      </c>
      <c r="B3089" s="12" t="s">
        <v>1334</v>
      </c>
      <c r="C3089" s="12" t="s">
        <v>1103</v>
      </c>
      <c r="D3089" s="23">
        <v>4825000</v>
      </c>
      <c r="E3089" s="12">
        <v>1004508471</v>
      </c>
      <c r="F3089" s="12" t="s">
        <v>1596</v>
      </c>
      <c r="G3089" t="s">
        <v>1094</v>
      </c>
    </row>
    <row r="3090" spans="1:7" ht="15" customHeight="1" x14ac:dyDescent="0.25">
      <c r="A3090" s="33" t="s">
        <v>1285</v>
      </c>
      <c r="B3090" s="12" t="s">
        <v>1335</v>
      </c>
      <c r="C3090" s="12" t="s">
        <v>1104</v>
      </c>
      <c r="D3090" s="23">
        <v>2500000</v>
      </c>
      <c r="E3090" s="12">
        <v>1233189896</v>
      </c>
      <c r="F3090" s="12" t="s">
        <v>1597</v>
      </c>
      <c r="G3090" t="s">
        <v>1094</v>
      </c>
    </row>
    <row r="3091" spans="1:7" ht="15" customHeight="1" x14ac:dyDescent="0.25">
      <c r="A3091" s="33" t="s">
        <v>1286</v>
      </c>
      <c r="B3091" s="12" t="s">
        <v>1336</v>
      </c>
      <c r="C3091" s="12" t="s">
        <v>1105</v>
      </c>
      <c r="D3091" s="23">
        <v>36412170</v>
      </c>
      <c r="E3091" s="12">
        <v>900994364</v>
      </c>
      <c r="F3091" s="12" t="s">
        <v>1599</v>
      </c>
      <c r="G3091" t="s">
        <v>1094</v>
      </c>
    </row>
    <row r="3092" spans="1:7" ht="15" customHeight="1" x14ac:dyDescent="0.25">
      <c r="A3092" s="33" t="s">
        <v>1287</v>
      </c>
      <c r="B3092" s="12" t="s">
        <v>1337</v>
      </c>
      <c r="C3092" s="12" t="s">
        <v>1106</v>
      </c>
      <c r="D3092" s="23">
        <v>6000000</v>
      </c>
      <c r="E3092" s="12">
        <v>1085286476</v>
      </c>
      <c r="F3092" s="12" t="s">
        <v>385</v>
      </c>
      <c r="G3092" t="s">
        <v>1094</v>
      </c>
    </row>
    <row r="3093" spans="1:7" ht="15" customHeight="1" x14ac:dyDescent="0.25">
      <c r="A3093" s="33" t="s">
        <v>1287</v>
      </c>
      <c r="B3093" s="12" t="s">
        <v>1338</v>
      </c>
      <c r="C3093" s="12" t="s">
        <v>1107</v>
      </c>
      <c r="D3093" s="23">
        <v>3000000</v>
      </c>
      <c r="E3093" s="12">
        <v>69028150</v>
      </c>
      <c r="F3093" s="12" t="s">
        <v>171</v>
      </c>
      <c r="G3093" t="s">
        <v>1094</v>
      </c>
    </row>
    <row r="3094" spans="1:7" ht="15" customHeight="1" x14ac:dyDescent="0.25">
      <c r="A3094" s="33" t="s">
        <v>1287</v>
      </c>
      <c r="B3094" s="12" t="s">
        <v>1339</v>
      </c>
      <c r="C3094" s="12" t="s">
        <v>1108</v>
      </c>
      <c r="D3094" s="23">
        <v>7500000</v>
      </c>
      <c r="E3094" s="12">
        <v>80765093</v>
      </c>
      <c r="F3094" s="12" t="s">
        <v>1603</v>
      </c>
      <c r="G3094" t="s">
        <v>1094</v>
      </c>
    </row>
    <row r="3095" spans="1:7" ht="15" customHeight="1" x14ac:dyDescent="0.25">
      <c r="A3095" s="33" t="s">
        <v>1287</v>
      </c>
      <c r="B3095" s="12" t="s">
        <v>1340</v>
      </c>
      <c r="C3095" s="12" t="s">
        <v>1109</v>
      </c>
      <c r="D3095" s="23">
        <v>3000000</v>
      </c>
      <c r="E3095" s="12">
        <v>1081594639</v>
      </c>
      <c r="F3095" s="12" t="s">
        <v>1110</v>
      </c>
      <c r="G3095" t="s">
        <v>1094</v>
      </c>
    </row>
    <row r="3096" spans="1:7" ht="15" customHeight="1" x14ac:dyDescent="0.25">
      <c r="A3096" s="33" t="s">
        <v>1287</v>
      </c>
      <c r="B3096" s="12" t="s">
        <v>1341</v>
      </c>
      <c r="C3096" s="12" t="s">
        <v>1111</v>
      </c>
      <c r="D3096" s="23">
        <v>3000000</v>
      </c>
      <c r="E3096" s="12">
        <v>36752202</v>
      </c>
      <c r="F3096" s="12" t="s">
        <v>1606</v>
      </c>
      <c r="G3096" t="s">
        <v>1094</v>
      </c>
    </row>
    <row r="3097" spans="1:7" ht="15" customHeight="1" x14ac:dyDescent="0.25">
      <c r="A3097" s="33" t="s">
        <v>1288</v>
      </c>
      <c r="B3097" s="12" t="s">
        <v>1342</v>
      </c>
      <c r="C3097" s="12" t="s">
        <v>1112</v>
      </c>
      <c r="D3097" s="23">
        <v>4825000</v>
      </c>
      <c r="E3097" s="12">
        <v>1085338534</v>
      </c>
      <c r="F3097" s="12" t="s">
        <v>1607</v>
      </c>
      <c r="G3097" t="s">
        <v>1094</v>
      </c>
    </row>
    <row r="3098" spans="1:7" ht="15" customHeight="1" x14ac:dyDescent="0.25">
      <c r="A3098" s="33" t="s">
        <v>1288</v>
      </c>
      <c r="B3098" s="12" t="s">
        <v>1343</v>
      </c>
      <c r="C3098" s="12" t="s">
        <v>1113</v>
      </c>
      <c r="D3098" s="23">
        <v>3000000</v>
      </c>
      <c r="E3098" s="12">
        <v>1086222689</v>
      </c>
      <c r="F3098" s="12" t="s">
        <v>1114</v>
      </c>
      <c r="G3098" t="s">
        <v>1094</v>
      </c>
    </row>
    <row r="3099" spans="1:7" ht="15" customHeight="1" x14ac:dyDescent="0.25">
      <c r="A3099" s="33" t="s">
        <v>1288</v>
      </c>
      <c r="B3099" s="12" t="s">
        <v>1344</v>
      </c>
      <c r="C3099" s="12" t="s">
        <v>1115</v>
      </c>
      <c r="D3099" s="23">
        <v>3000000</v>
      </c>
      <c r="E3099" s="12">
        <v>1193271854</v>
      </c>
      <c r="F3099" s="12" t="s">
        <v>229</v>
      </c>
      <c r="G3099" t="s">
        <v>1094</v>
      </c>
    </row>
    <row r="3100" spans="1:7" ht="15" customHeight="1" x14ac:dyDescent="0.25">
      <c r="A3100" s="33" t="s">
        <v>1288</v>
      </c>
      <c r="B3100" s="12" t="s">
        <v>1345</v>
      </c>
      <c r="C3100" s="12" t="s">
        <v>1116</v>
      </c>
      <c r="D3100" s="23">
        <v>4750000</v>
      </c>
      <c r="E3100" s="12">
        <v>59651018</v>
      </c>
      <c r="F3100" s="12" t="s">
        <v>1611</v>
      </c>
      <c r="G3100" t="s">
        <v>1094</v>
      </c>
    </row>
    <row r="3101" spans="1:7" ht="15" customHeight="1" x14ac:dyDescent="0.25">
      <c r="A3101" s="33" t="s">
        <v>1288</v>
      </c>
      <c r="B3101" s="12" t="s">
        <v>1346</v>
      </c>
      <c r="C3101" s="12" t="s">
        <v>1117</v>
      </c>
      <c r="D3101" s="23">
        <v>3000000</v>
      </c>
      <c r="E3101" s="12">
        <v>1081592303</v>
      </c>
      <c r="F3101" s="12" t="s">
        <v>1613</v>
      </c>
      <c r="G3101" t="s">
        <v>1094</v>
      </c>
    </row>
    <row r="3102" spans="1:7" ht="15" customHeight="1" x14ac:dyDescent="0.25">
      <c r="A3102" s="33" t="s">
        <v>1289</v>
      </c>
      <c r="B3102" s="12" t="s">
        <v>1357</v>
      </c>
      <c r="C3102" s="12" t="s">
        <v>1128</v>
      </c>
      <c r="D3102" s="23">
        <v>3000000</v>
      </c>
      <c r="E3102" s="12">
        <v>1137624011</v>
      </c>
      <c r="F3102" s="12" t="s">
        <v>1627</v>
      </c>
      <c r="G3102" t="s">
        <v>1094</v>
      </c>
    </row>
    <row r="3103" spans="1:7" ht="15" customHeight="1" x14ac:dyDescent="0.25">
      <c r="A3103" s="33" t="s">
        <v>1289</v>
      </c>
      <c r="B3103" s="12" t="s">
        <v>1347</v>
      </c>
      <c r="C3103" s="12" t="s">
        <v>1118</v>
      </c>
      <c r="D3103" s="23">
        <v>4750000</v>
      </c>
      <c r="E3103" s="12">
        <v>1085343783</v>
      </c>
      <c r="F3103" s="12" t="s">
        <v>735</v>
      </c>
      <c r="G3103" t="s">
        <v>1094</v>
      </c>
    </row>
    <row r="3104" spans="1:7" ht="15" customHeight="1" x14ac:dyDescent="0.25">
      <c r="A3104" s="33" t="s">
        <v>1289</v>
      </c>
      <c r="B3104" s="12" t="s">
        <v>1348</v>
      </c>
      <c r="C3104" s="12" t="s">
        <v>1119</v>
      </c>
      <c r="D3104" s="23">
        <v>4750000</v>
      </c>
      <c r="E3104" s="12">
        <v>1085345772</v>
      </c>
      <c r="F3104" s="12" t="s">
        <v>1615</v>
      </c>
      <c r="G3104" t="s">
        <v>1094</v>
      </c>
    </row>
    <row r="3105" spans="1:7" ht="15" customHeight="1" x14ac:dyDescent="0.25">
      <c r="A3105" s="33" t="s">
        <v>1289</v>
      </c>
      <c r="B3105" s="12" t="s">
        <v>1349</v>
      </c>
      <c r="C3105" s="12" t="s">
        <v>1120</v>
      </c>
      <c r="D3105" s="23">
        <v>3000000</v>
      </c>
      <c r="E3105" s="12">
        <v>1233189234</v>
      </c>
      <c r="F3105" s="12" t="s">
        <v>87</v>
      </c>
      <c r="G3105" t="s">
        <v>1094</v>
      </c>
    </row>
    <row r="3106" spans="1:7" ht="15" customHeight="1" x14ac:dyDescent="0.25">
      <c r="A3106" s="33" t="s">
        <v>1289</v>
      </c>
      <c r="B3106" s="12" t="s">
        <v>1358</v>
      </c>
      <c r="C3106" s="12" t="s">
        <v>1129</v>
      </c>
      <c r="D3106" s="23">
        <v>4750000</v>
      </c>
      <c r="E3106" s="12">
        <v>36759759</v>
      </c>
      <c r="F3106" s="12" t="s">
        <v>705</v>
      </c>
      <c r="G3106" t="s">
        <v>1094</v>
      </c>
    </row>
    <row r="3107" spans="1:7" ht="15" customHeight="1" x14ac:dyDescent="0.25">
      <c r="A3107" s="33" t="s">
        <v>1289</v>
      </c>
      <c r="B3107" s="12" t="s">
        <v>1350</v>
      </c>
      <c r="C3107" s="12" t="s">
        <v>1121</v>
      </c>
      <c r="D3107" s="23">
        <v>3000000</v>
      </c>
      <c r="E3107" s="12">
        <v>59310524</v>
      </c>
      <c r="F3107" s="12" t="s">
        <v>992</v>
      </c>
      <c r="G3107" t="s">
        <v>1094</v>
      </c>
    </row>
    <row r="3108" spans="1:7" ht="15" customHeight="1" x14ac:dyDescent="0.25">
      <c r="A3108" s="33" t="s">
        <v>1289</v>
      </c>
      <c r="B3108" s="12" t="s">
        <v>1351</v>
      </c>
      <c r="C3108" s="12" t="s">
        <v>1122</v>
      </c>
      <c r="D3108" s="23">
        <v>4825000</v>
      </c>
      <c r="E3108" s="12">
        <v>1085321578</v>
      </c>
      <c r="F3108" s="12" t="s">
        <v>1618</v>
      </c>
      <c r="G3108" t="s">
        <v>1094</v>
      </c>
    </row>
    <row r="3109" spans="1:7" ht="15" customHeight="1" x14ac:dyDescent="0.25">
      <c r="A3109" s="33" t="s">
        <v>1290</v>
      </c>
      <c r="B3109" s="12" t="s">
        <v>1352</v>
      </c>
      <c r="C3109" s="12" t="s">
        <v>1123</v>
      </c>
      <c r="D3109" s="23">
        <v>7500000</v>
      </c>
      <c r="E3109" s="12">
        <v>1085293105</v>
      </c>
      <c r="F3109" s="12" t="s">
        <v>745</v>
      </c>
      <c r="G3109" t="s">
        <v>1094</v>
      </c>
    </row>
    <row r="3110" spans="1:7" ht="15" customHeight="1" x14ac:dyDescent="0.25">
      <c r="A3110" s="33" t="s">
        <v>1290</v>
      </c>
      <c r="B3110" s="12" t="s">
        <v>1353</v>
      </c>
      <c r="C3110" s="12" t="s">
        <v>1124</v>
      </c>
      <c r="D3110" s="23">
        <v>7500000</v>
      </c>
      <c r="E3110" s="12">
        <v>1085336362</v>
      </c>
      <c r="F3110" s="12" t="s">
        <v>1621</v>
      </c>
      <c r="G3110" t="s">
        <v>1094</v>
      </c>
    </row>
    <row r="3111" spans="1:7" ht="15" customHeight="1" x14ac:dyDescent="0.25">
      <c r="A3111" s="33" t="s">
        <v>1290</v>
      </c>
      <c r="B3111" s="12" t="s">
        <v>1354</v>
      </c>
      <c r="C3111" s="12" t="s">
        <v>1125</v>
      </c>
      <c r="D3111" s="23">
        <v>7500000</v>
      </c>
      <c r="E3111" s="12">
        <v>1006946167</v>
      </c>
      <c r="F3111" s="12" t="s">
        <v>1623</v>
      </c>
      <c r="G3111" t="s">
        <v>1094</v>
      </c>
    </row>
    <row r="3112" spans="1:7" ht="15" customHeight="1" x14ac:dyDescent="0.25">
      <c r="A3112" s="33" t="s">
        <v>1290</v>
      </c>
      <c r="B3112" s="12" t="s">
        <v>1355</v>
      </c>
      <c r="C3112" s="12" t="s">
        <v>1126</v>
      </c>
      <c r="D3112" s="23">
        <v>3000000</v>
      </c>
      <c r="E3112" s="12">
        <v>1085317833</v>
      </c>
      <c r="F3112" s="12" t="s">
        <v>11</v>
      </c>
      <c r="G3112" t="s">
        <v>1094</v>
      </c>
    </row>
    <row r="3113" spans="1:7" ht="15" customHeight="1" x14ac:dyDescent="0.25">
      <c r="A3113" s="33" t="s">
        <v>1292</v>
      </c>
      <c r="B3113" s="12" t="s">
        <v>1359</v>
      </c>
      <c r="C3113" s="12" t="s">
        <v>1130</v>
      </c>
      <c r="D3113" s="23">
        <v>6000000</v>
      </c>
      <c r="E3113" s="12">
        <v>1085283868</v>
      </c>
      <c r="F3113" s="12" t="s">
        <v>1630</v>
      </c>
      <c r="G3113" t="s">
        <v>1094</v>
      </c>
    </row>
    <row r="3114" spans="1:7" ht="15" customHeight="1" x14ac:dyDescent="0.25">
      <c r="A3114" s="33" t="s">
        <v>1292</v>
      </c>
      <c r="B3114" s="12" t="s">
        <v>1360</v>
      </c>
      <c r="C3114" s="12" t="s">
        <v>1132</v>
      </c>
      <c r="D3114" s="23">
        <v>3000000</v>
      </c>
      <c r="E3114" s="12">
        <v>98382500</v>
      </c>
      <c r="F3114" s="12" t="s">
        <v>183</v>
      </c>
      <c r="G3114" t="s">
        <v>1094</v>
      </c>
    </row>
    <row r="3115" spans="1:7" ht="15" customHeight="1" x14ac:dyDescent="0.25">
      <c r="A3115" s="33" t="s">
        <v>1292</v>
      </c>
      <c r="B3115" s="12" t="s">
        <v>1361</v>
      </c>
      <c r="C3115" s="12" t="s">
        <v>1133</v>
      </c>
      <c r="D3115" s="23">
        <v>3000000</v>
      </c>
      <c r="E3115" s="12">
        <v>59834953</v>
      </c>
      <c r="F3115" s="12" t="s">
        <v>1633</v>
      </c>
      <c r="G3115" t="s">
        <v>1094</v>
      </c>
    </row>
    <row r="3116" spans="1:7" ht="15" customHeight="1" x14ac:dyDescent="0.25">
      <c r="A3116" s="33" t="s">
        <v>1292</v>
      </c>
      <c r="B3116" s="12" t="s">
        <v>1362</v>
      </c>
      <c r="C3116" s="12" t="s">
        <v>1134</v>
      </c>
      <c r="D3116" s="23">
        <v>3000000</v>
      </c>
      <c r="E3116" s="12">
        <v>1010082397</v>
      </c>
      <c r="F3116" s="12" t="s">
        <v>209</v>
      </c>
      <c r="G3116" t="s">
        <v>1094</v>
      </c>
    </row>
    <row r="3117" spans="1:7" ht="15" customHeight="1" x14ac:dyDescent="0.25">
      <c r="A3117" s="33" t="s">
        <v>1292</v>
      </c>
      <c r="B3117" s="12" t="s">
        <v>1363</v>
      </c>
      <c r="C3117" s="12" t="s">
        <v>1135</v>
      </c>
      <c r="D3117" s="23">
        <v>3000000</v>
      </c>
      <c r="E3117" s="12">
        <v>36954407</v>
      </c>
      <c r="F3117" s="12" t="s">
        <v>679</v>
      </c>
      <c r="G3117" t="s">
        <v>1094</v>
      </c>
    </row>
    <row r="3118" spans="1:7" ht="15" customHeight="1" x14ac:dyDescent="0.25">
      <c r="A3118" s="33" t="s">
        <v>1292</v>
      </c>
      <c r="B3118" s="12" t="s">
        <v>1364</v>
      </c>
      <c r="C3118" s="12" t="s">
        <v>1136</v>
      </c>
      <c r="D3118" s="23">
        <v>4825000</v>
      </c>
      <c r="E3118" s="12">
        <v>1080900817</v>
      </c>
      <c r="F3118" s="12" t="s">
        <v>1016</v>
      </c>
      <c r="G3118" t="s">
        <v>1094</v>
      </c>
    </row>
    <row r="3119" spans="1:7" ht="15" customHeight="1" x14ac:dyDescent="0.25">
      <c r="A3119" s="33" t="s">
        <v>1292</v>
      </c>
      <c r="B3119" s="12" t="s">
        <v>1365</v>
      </c>
      <c r="C3119" s="12" t="s">
        <v>1137</v>
      </c>
      <c r="D3119" s="23">
        <v>6000000</v>
      </c>
      <c r="E3119" s="12">
        <v>59837608</v>
      </c>
      <c r="F3119" s="12" t="s">
        <v>145</v>
      </c>
      <c r="G3119" t="s">
        <v>1094</v>
      </c>
    </row>
    <row r="3120" spans="1:7" ht="15" customHeight="1" x14ac:dyDescent="0.25">
      <c r="A3120" s="33" t="s">
        <v>1292</v>
      </c>
      <c r="B3120" s="12" t="s">
        <v>1366</v>
      </c>
      <c r="C3120" s="12" t="s">
        <v>1138</v>
      </c>
      <c r="D3120" s="23">
        <v>4825000</v>
      </c>
      <c r="E3120" s="12">
        <v>1085269530</v>
      </c>
      <c r="F3120" s="12" t="s">
        <v>1636</v>
      </c>
      <c r="G3120" t="s">
        <v>1094</v>
      </c>
    </row>
    <row r="3121" spans="1:7" ht="15" customHeight="1" x14ac:dyDescent="0.25">
      <c r="A3121" s="33" t="s">
        <v>1292</v>
      </c>
      <c r="B3121" s="12" t="s">
        <v>1367</v>
      </c>
      <c r="C3121" s="12" t="s">
        <v>1139</v>
      </c>
      <c r="D3121" s="23">
        <v>3000000</v>
      </c>
      <c r="E3121" s="12">
        <v>1085255829</v>
      </c>
      <c r="F3121" s="12" t="s">
        <v>1638</v>
      </c>
      <c r="G3121" t="s">
        <v>1094</v>
      </c>
    </row>
    <row r="3122" spans="1:7" ht="15" customHeight="1" x14ac:dyDescent="0.25">
      <c r="A3122" s="33" t="s">
        <v>1292</v>
      </c>
      <c r="B3122" s="12" t="s">
        <v>1368</v>
      </c>
      <c r="C3122" s="12" t="s">
        <v>1140</v>
      </c>
      <c r="D3122" s="23">
        <v>3000000</v>
      </c>
      <c r="E3122" s="12">
        <v>1193224810</v>
      </c>
      <c r="F3122" s="12" t="s">
        <v>1640</v>
      </c>
      <c r="G3122" t="s">
        <v>1094</v>
      </c>
    </row>
    <row r="3123" spans="1:7" ht="15" customHeight="1" x14ac:dyDescent="0.25">
      <c r="A3123" s="33" t="s">
        <v>1292</v>
      </c>
      <c r="B3123" s="12" t="s">
        <v>1369</v>
      </c>
      <c r="C3123" s="12" t="s">
        <v>1141</v>
      </c>
      <c r="D3123" s="23">
        <v>4750000</v>
      </c>
      <c r="E3123" s="12">
        <v>1085340885</v>
      </c>
      <c r="F3123" s="12" t="s">
        <v>1142</v>
      </c>
      <c r="G3123" t="s">
        <v>1094</v>
      </c>
    </row>
    <row r="3124" spans="1:7" ht="15" customHeight="1" x14ac:dyDescent="0.25">
      <c r="A3124" s="33" t="s">
        <v>1292</v>
      </c>
      <c r="B3124" s="12" t="s">
        <v>1370</v>
      </c>
      <c r="C3124" s="12" t="s">
        <v>1143</v>
      </c>
      <c r="D3124" s="23">
        <v>2500000</v>
      </c>
      <c r="E3124" s="12">
        <v>12974849</v>
      </c>
      <c r="F3124" s="12" t="s">
        <v>1643</v>
      </c>
      <c r="G3124" t="s">
        <v>1094</v>
      </c>
    </row>
    <row r="3125" spans="1:7" ht="15" customHeight="1" x14ac:dyDescent="0.25">
      <c r="A3125" s="33" t="s">
        <v>1292</v>
      </c>
      <c r="B3125" s="12" t="s">
        <v>1371</v>
      </c>
      <c r="C3125" s="12" t="s">
        <v>1144</v>
      </c>
      <c r="D3125" s="23">
        <v>4750000</v>
      </c>
      <c r="E3125" s="12">
        <v>27087475</v>
      </c>
      <c r="F3125" s="12" t="s">
        <v>1645</v>
      </c>
      <c r="G3125" t="s">
        <v>1094</v>
      </c>
    </row>
    <row r="3126" spans="1:7" ht="15" customHeight="1" x14ac:dyDescent="0.25">
      <c r="A3126" s="33" t="s">
        <v>1292</v>
      </c>
      <c r="B3126" s="12" t="s">
        <v>1372</v>
      </c>
      <c r="C3126" s="12" t="s">
        <v>1145</v>
      </c>
      <c r="D3126" s="23">
        <v>3000000</v>
      </c>
      <c r="E3126" s="12">
        <v>1233191675</v>
      </c>
      <c r="F3126" s="12" t="s">
        <v>523</v>
      </c>
      <c r="G3126" t="s">
        <v>1094</v>
      </c>
    </row>
    <row r="3127" spans="1:7" ht="15" customHeight="1" x14ac:dyDescent="0.25">
      <c r="A3127" s="33" t="s">
        <v>1292</v>
      </c>
      <c r="B3127" s="12" t="s">
        <v>1373</v>
      </c>
      <c r="C3127" s="12" t="s">
        <v>1146</v>
      </c>
      <c r="D3127" s="23">
        <v>3000000</v>
      </c>
      <c r="E3127" s="12">
        <v>37084285</v>
      </c>
      <c r="F3127" s="12" t="s">
        <v>119</v>
      </c>
      <c r="G3127" t="s">
        <v>1094</v>
      </c>
    </row>
    <row r="3128" spans="1:7" ht="15" customHeight="1" x14ac:dyDescent="0.25">
      <c r="A3128" s="33" t="s">
        <v>1292</v>
      </c>
      <c r="B3128" s="12" t="s">
        <v>1374</v>
      </c>
      <c r="C3128" s="12" t="s">
        <v>1147</v>
      </c>
      <c r="D3128" s="23">
        <v>3000000</v>
      </c>
      <c r="E3128" s="12">
        <v>1085271641</v>
      </c>
      <c r="F3128" s="12" t="s">
        <v>1649</v>
      </c>
      <c r="G3128" t="s">
        <v>1094</v>
      </c>
    </row>
    <row r="3129" spans="1:7" ht="15" customHeight="1" x14ac:dyDescent="0.25">
      <c r="A3129" s="33" t="s">
        <v>1292</v>
      </c>
      <c r="B3129" s="12" t="s">
        <v>1375</v>
      </c>
      <c r="C3129" s="12" t="s">
        <v>1148</v>
      </c>
      <c r="D3129" s="23">
        <v>3000000</v>
      </c>
      <c r="E3129" s="12">
        <v>1004535234</v>
      </c>
      <c r="F3129" s="12" t="s">
        <v>507</v>
      </c>
      <c r="G3129" t="s">
        <v>1094</v>
      </c>
    </row>
    <row r="3130" spans="1:7" ht="15" customHeight="1" x14ac:dyDescent="0.25">
      <c r="A3130" s="33" t="s">
        <v>1293</v>
      </c>
      <c r="B3130" s="12" t="s">
        <v>1376</v>
      </c>
      <c r="C3130" s="12" t="s">
        <v>1149</v>
      </c>
      <c r="D3130" s="23">
        <v>3000000</v>
      </c>
      <c r="E3130" s="12">
        <v>1192717330</v>
      </c>
      <c r="F3130" s="12" t="s">
        <v>277</v>
      </c>
      <c r="G3130" t="s">
        <v>1094</v>
      </c>
    </row>
    <row r="3131" spans="1:7" ht="15" customHeight="1" x14ac:dyDescent="0.25">
      <c r="A3131" s="33" t="s">
        <v>1293</v>
      </c>
      <c r="B3131" s="12" t="s">
        <v>1377</v>
      </c>
      <c r="C3131" s="12" t="s">
        <v>1150</v>
      </c>
      <c r="D3131" s="23">
        <v>6000000</v>
      </c>
      <c r="E3131" s="12">
        <v>1085275879</v>
      </c>
      <c r="F3131" s="12" t="s">
        <v>117</v>
      </c>
      <c r="G3131" t="s">
        <v>1094</v>
      </c>
    </row>
    <row r="3132" spans="1:7" ht="15" customHeight="1" x14ac:dyDescent="0.25">
      <c r="A3132" s="33" t="s">
        <v>1293</v>
      </c>
      <c r="B3132" s="12" t="s">
        <v>1378</v>
      </c>
      <c r="C3132" s="12" t="s">
        <v>1151</v>
      </c>
      <c r="D3132" s="23">
        <v>3000000</v>
      </c>
      <c r="E3132" s="12">
        <v>1085269090</v>
      </c>
      <c r="F3132" s="12" t="s">
        <v>371</v>
      </c>
      <c r="G3132" t="s">
        <v>1094</v>
      </c>
    </row>
    <row r="3133" spans="1:7" ht="15" customHeight="1" x14ac:dyDescent="0.25">
      <c r="A3133" s="33" t="s">
        <v>1293</v>
      </c>
      <c r="B3133" s="12" t="s">
        <v>1379</v>
      </c>
      <c r="C3133" s="12" t="s">
        <v>1152</v>
      </c>
      <c r="D3133" s="23">
        <v>6000000</v>
      </c>
      <c r="E3133" s="12">
        <v>1014212900</v>
      </c>
      <c r="F3133" s="12" t="s">
        <v>1654</v>
      </c>
      <c r="G3133" t="s">
        <v>1094</v>
      </c>
    </row>
    <row r="3134" spans="1:7" ht="15" customHeight="1" x14ac:dyDescent="0.25">
      <c r="A3134" s="33" t="s">
        <v>1293</v>
      </c>
      <c r="B3134" s="12" t="s">
        <v>1380</v>
      </c>
      <c r="C3134" s="12" t="s">
        <v>1153</v>
      </c>
      <c r="D3134" s="23">
        <v>3000000</v>
      </c>
      <c r="E3134" s="12">
        <v>37082232</v>
      </c>
      <c r="F3134" s="12" t="s">
        <v>1655</v>
      </c>
      <c r="G3134" t="s">
        <v>1094</v>
      </c>
    </row>
    <row r="3135" spans="1:7" ht="15" customHeight="1" x14ac:dyDescent="0.25">
      <c r="A3135" s="33" t="s">
        <v>1293</v>
      </c>
      <c r="B3135" s="12" t="s">
        <v>1381</v>
      </c>
      <c r="C3135" s="12" t="s">
        <v>1154</v>
      </c>
      <c r="D3135" s="23">
        <v>3000000</v>
      </c>
      <c r="E3135" s="12">
        <v>1004743217</v>
      </c>
      <c r="F3135" s="12" t="s">
        <v>1656</v>
      </c>
      <c r="G3135" t="s">
        <v>1094</v>
      </c>
    </row>
    <row r="3136" spans="1:7" ht="15" customHeight="1" x14ac:dyDescent="0.25">
      <c r="A3136" s="33" t="s">
        <v>1293</v>
      </c>
      <c r="B3136" s="12" t="s">
        <v>1382</v>
      </c>
      <c r="C3136" s="12" t="s">
        <v>1155</v>
      </c>
      <c r="D3136" s="23">
        <v>3000000</v>
      </c>
      <c r="E3136" s="12">
        <v>1085326791</v>
      </c>
      <c r="F3136" s="12" t="s">
        <v>479</v>
      </c>
      <c r="G3136" t="s">
        <v>1094</v>
      </c>
    </row>
    <row r="3137" spans="1:7" ht="15" customHeight="1" x14ac:dyDescent="0.25">
      <c r="A3137" s="33" t="s">
        <v>1293</v>
      </c>
      <c r="B3137" s="12" t="s">
        <v>1383</v>
      </c>
      <c r="C3137" s="12" t="s">
        <v>1156</v>
      </c>
      <c r="D3137" s="23">
        <v>3000000</v>
      </c>
      <c r="E3137" s="12">
        <v>1081272025</v>
      </c>
      <c r="F3137" s="12" t="s">
        <v>59</v>
      </c>
      <c r="G3137" t="s">
        <v>1094</v>
      </c>
    </row>
    <row r="3138" spans="1:7" ht="15" customHeight="1" x14ac:dyDescent="0.25">
      <c r="A3138" s="33" t="s">
        <v>1293</v>
      </c>
      <c r="B3138" s="12" t="s">
        <v>1384</v>
      </c>
      <c r="C3138" s="12" t="s">
        <v>1097</v>
      </c>
      <c r="D3138" s="23">
        <v>6000000</v>
      </c>
      <c r="E3138" s="12">
        <v>1085340697</v>
      </c>
      <c r="F3138" s="12" t="s">
        <v>1098</v>
      </c>
      <c r="G3138" t="s">
        <v>1094</v>
      </c>
    </row>
    <row r="3139" spans="1:7" ht="15" customHeight="1" x14ac:dyDescent="0.25">
      <c r="A3139" s="33" t="s">
        <v>1291</v>
      </c>
      <c r="B3139" s="12" t="s">
        <v>1385</v>
      </c>
      <c r="C3139" s="12" t="s">
        <v>1157</v>
      </c>
      <c r="D3139" s="23">
        <v>3000000</v>
      </c>
      <c r="E3139" s="12">
        <v>1085315013</v>
      </c>
      <c r="F3139" s="12" t="s">
        <v>1659</v>
      </c>
      <c r="G3139" t="s">
        <v>1094</v>
      </c>
    </row>
    <row r="3140" spans="1:7" ht="15" customHeight="1" x14ac:dyDescent="0.25">
      <c r="A3140" s="33" t="s">
        <v>1291</v>
      </c>
      <c r="B3140" s="12" t="s">
        <v>1386</v>
      </c>
      <c r="C3140" s="12" t="s">
        <v>1159</v>
      </c>
      <c r="D3140" s="23">
        <v>3000000</v>
      </c>
      <c r="E3140" s="12">
        <v>1086363186</v>
      </c>
      <c r="F3140" s="12" t="s">
        <v>1160</v>
      </c>
      <c r="G3140" t="s">
        <v>1094</v>
      </c>
    </row>
    <row r="3141" spans="1:7" ht="15" customHeight="1" x14ac:dyDescent="0.25">
      <c r="A3141" s="33" t="s">
        <v>1291</v>
      </c>
      <c r="B3141" s="12" t="s">
        <v>1387</v>
      </c>
      <c r="C3141" s="12" t="s">
        <v>1161</v>
      </c>
      <c r="D3141" s="23">
        <v>2500000</v>
      </c>
      <c r="E3141" s="12">
        <v>1075242334</v>
      </c>
      <c r="F3141" s="12" t="s">
        <v>1276</v>
      </c>
      <c r="G3141" t="s">
        <v>1094</v>
      </c>
    </row>
    <row r="3142" spans="1:7" ht="15" customHeight="1" x14ac:dyDescent="0.25">
      <c r="A3142" s="33" t="s">
        <v>1291</v>
      </c>
      <c r="B3142" s="12" t="s">
        <v>1388</v>
      </c>
      <c r="C3142" s="12" t="s">
        <v>1162</v>
      </c>
      <c r="D3142" s="23">
        <v>3000000</v>
      </c>
      <c r="E3142" s="12">
        <v>1087006717</v>
      </c>
      <c r="F3142" s="12" t="s">
        <v>1661</v>
      </c>
      <c r="G3142" t="s">
        <v>1094</v>
      </c>
    </row>
    <row r="3143" spans="1:7" ht="15" customHeight="1" x14ac:dyDescent="0.25">
      <c r="A3143" s="33" t="s">
        <v>1291</v>
      </c>
      <c r="B3143" s="12" t="s">
        <v>1356</v>
      </c>
      <c r="C3143" s="12" t="s">
        <v>1127</v>
      </c>
      <c r="D3143" s="23">
        <v>7500000</v>
      </c>
      <c r="E3143" s="12">
        <v>1006106084</v>
      </c>
      <c r="F3143" s="12" t="s">
        <v>1625</v>
      </c>
      <c r="G3143" t="s">
        <v>1094</v>
      </c>
    </row>
    <row r="3144" spans="1:7" ht="15" customHeight="1" x14ac:dyDescent="0.25">
      <c r="A3144" s="33" t="s">
        <v>1294</v>
      </c>
      <c r="B3144" s="12" t="s">
        <v>1389</v>
      </c>
      <c r="C3144" s="12" t="s">
        <v>1164</v>
      </c>
      <c r="D3144" s="23">
        <v>3000000</v>
      </c>
      <c r="E3144" s="12">
        <v>1085339190</v>
      </c>
      <c r="F3144" s="12" t="s">
        <v>149</v>
      </c>
      <c r="G3144" t="s">
        <v>1094</v>
      </c>
    </row>
    <row r="3145" spans="1:7" ht="15" customHeight="1" x14ac:dyDescent="0.25">
      <c r="A3145" s="33" t="s">
        <v>1295</v>
      </c>
      <c r="B3145" s="12" t="s">
        <v>1390</v>
      </c>
      <c r="C3145" s="12" t="s">
        <v>1105</v>
      </c>
      <c r="D3145" s="23">
        <v>35977830</v>
      </c>
      <c r="E3145" s="12">
        <v>900994364</v>
      </c>
      <c r="F3145" s="12" t="s">
        <v>1599</v>
      </c>
      <c r="G3145" t="s">
        <v>1094</v>
      </c>
    </row>
    <row r="3146" spans="1:7" ht="15" customHeight="1" x14ac:dyDescent="0.25">
      <c r="A3146" s="33" t="s">
        <v>1296</v>
      </c>
      <c r="B3146" s="12" t="s">
        <v>1391</v>
      </c>
      <c r="C3146" s="12" t="s">
        <v>1100</v>
      </c>
      <c r="D3146" s="23">
        <v>6000000</v>
      </c>
      <c r="E3146" s="12">
        <v>1085303585</v>
      </c>
      <c r="F3146" s="12" t="s">
        <v>1593</v>
      </c>
      <c r="G3146" t="s">
        <v>1094</v>
      </c>
    </row>
    <row r="3147" spans="1:7" ht="15" customHeight="1" x14ac:dyDescent="0.25">
      <c r="A3147" s="33" t="s">
        <v>1296</v>
      </c>
      <c r="B3147" s="12" t="s">
        <v>1392</v>
      </c>
      <c r="C3147" s="12" t="s">
        <v>1165</v>
      </c>
      <c r="D3147" s="23">
        <v>3000000</v>
      </c>
      <c r="E3147" s="12">
        <v>1085286742</v>
      </c>
      <c r="F3147" s="12" t="s">
        <v>75</v>
      </c>
      <c r="G3147" t="s">
        <v>1094</v>
      </c>
    </row>
    <row r="3148" spans="1:7" ht="15" customHeight="1" x14ac:dyDescent="0.25">
      <c r="A3148" s="33" t="s">
        <v>1296</v>
      </c>
      <c r="B3148" s="12" t="s">
        <v>1393</v>
      </c>
      <c r="C3148" s="12" t="s">
        <v>1166</v>
      </c>
      <c r="D3148" s="23">
        <v>6000000</v>
      </c>
      <c r="E3148" s="12">
        <v>97470681</v>
      </c>
      <c r="F3148" s="12" t="s">
        <v>329</v>
      </c>
      <c r="G3148" t="s">
        <v>1094</v>
      </c>
    </row>
    <row r="3149" spans="1:7" ht="15" customHeight="1" x14ac:dyDescent="0.25">
      <c r="A3149" s="33" t="s">
        <v>1296</v>
      </c>
      <c r="B3149" s="12" t="s">
        <v>1394</v>
      </c>
      <c r="C3149" s="12" t="s">
        <v>1167</v>
      </c>
      <c r="D3149" s="23">
        <v>6000000</v>
      </c>
      <c r="E3149" s="12">
        <v>36757221</v>
      </c>
      <c r="F3149" s="12" t="s">
        <v>1666</v>
      </c>
      <c r="G3149" t="s">
        <v>1094</v>
      </c>
    </row>
    <row r="3150" spans="1:7" ht="15" customHeight="1" x14ac:dyDescent="0.25">
      <c r="A3150" s="33" t="s">
        <v>1296</v>
      </c>
      <c r="B3150" s="12" t="s">
        <v>1395</v>
      </c>
      <c r="C3150" s="12" t="s">
        <v>1096</v>
      </c>
      <c r="D3150" s="23">
        <v>4750000</v>
      </c>
      <c r="E3150" s="12">
        <v>1085330309</v>
      </c>
      <c r="F3150" s="12" t="s">
        <v>1590</v>
      </c>
      <c r="G3150" t="s">
        <v>1094</v>
      </c>
    </row>
    <row r="3151" spans="1:7" ht="15" customHeight="1" x14ac:dyDescent="0.25">
      <c r="A3151" s="33" t="s">
        <v>1296</v>
      </c>
      <c r="B3151" s="12" t="s">
        <v>1396</v>
      </c>
      <c r="C3151" s="12" t="s">
        <v>1168</v>
      </c>
      <c r="D3151" s="23">
        <v>3000000</v>
      </c>
      <c r="E3151" s="12">
        <v>1081572043</v>
      </c>
      <c r="F3151" s="12" t="s">
        <v>1668</v>
      </c>
      <c r="G3151" t="s">
        <v>1094</v>
      </c>
    </row>
    <row r="3152" spans="1:7" ht="15" customHeight="1" x14ac:dyDescent="0.25">
      <c r="A3152" s="33" t="s">
        <v>1296</v>
      </c>
      <c r="B3152" s="12" t="s">
        <v>1397</v>
      </c>
      <c r="C3152" s="12" t="s">
        <v>1118</v>
      </c>
      <c r="D3152" s="23">
        <v>4750000</v>
      </c>
      <c r="E3152" s="12">
        <v>1085343783</v>
      </c>
      <c r="F3152" s="12" t="s">
        <v>735</v>
      </c>
      <c r="G3152" t="s">
        <v>1094</v>
      </c>
    </row>
    <row r="3153" spans="1:7" ht="15" customHeight="1" x14ac:dyDescent="0.25">
      <c r="A3153" s="33" t="s">
        <v>1296</v>
      </c>
      <c r="B3153" s="12" t="s">
        <v>1398</v>
      </c>
      <c r="C3153" s="12" t="s">
        <v>1169</v>
      </c>
      <c r="D3153" s="23">
        <v>6000000</v>
      </c>
      <c r="E3153" s="12">
        <v>59820414</v>
      </c>
      <c r="F3153" s="12" t="s">
        <v>457</v>
      </c>
      <c r="G3153" t="s">
        <v>1094</v>
      </c>
    </row>
    <row r="3154" spans="1:7" ht="15" customHeight="1" x14ac:dyDescent="0.25">
      <c r="A3154" s="33" t="s">
        <v>1296</v>
      </c>
      <c r="B3154" s="12" t="s">
        <v>1399</v>
      </c>
      <c r="C3154" s="12" t="s">
        <v>1170</v>
      </c>
      <c r="D3154" s="23">
        <v>2500000</v>
      </c>
      <c r="E3154" s="12">
        <v>1085304072</v>
      </c>
      <c r="F3154" s="12" t="s">
        <v>1171</v>
      </c>
      <c r="G3154" t="s">
        <v>1094</v>
      </c>
    </row>
    <row r="3155" spans="1:7" ht="15" customHeight="1" x14ac:dyDescent="0.25">
      <c r="A3155" s="33" t="s">
        <v>1296</v>
      </c>
      <c r="B3155" s="12" t="s">
        <v>1400</v>
      </c>
      <c r="C3155" s="12" t="s">
        <v>1172</v>
      </c>
      <c r="D3155" s="23">
        <v>4750000</v>
      </c>
      <c r="E3155" s="12">
        <v>1018492767</v>
      </c>
      <c r="F3155" s="12" t="s">
        <v>915</v>
      </c>
      <c r="G3155" t="s">
        <v>1094</v>
      </c>
    </row>
    <row r="3156" spans="1:7" ht="15" customHeight="1" x14ac:dyDescent="0.25">
      <c r="A3156" s="33" t="s">
        <v>1296</v>
      </c>
      <c r="B3156" s="12" t="s">
        <v>1401</v>
      </c>
      <c r="C3156" s="12" t="s">
        <v>1173</v>
      </c>
      <c r="D3156" s="23">
        <v>2500000</v>
      </c>
      <c r="E3156" s="12">
        <v>1233188479</v>
      </c>
      <c r="F3156" s="12" t="s">
        <v>1670</v>
      </c>
      <c r="G3156" t="s">
        <v>1094</v>
      </c>
    </row>
    <row r="3157" spans="1:7" ht="15" customHeight="1" x14ac:dyDescent="0.25">
      <c r="A3157" s="33" t="s">
        <v>1297</v>
      </c>
      <c r="B3157" s="12" t="s">
        <v>1402</v>
      </c>
      <c r="C3157" s="12" t="s">
        <v>1174</v>
      </c>
      <c r="D3157" s="23">
        <v>3000000</v>
      </c>
      <c r="E3157" s="12">
        <v>1085274630</v>
      </c>
      <c r="F3157" s="12" t="s">
        <v>1175</v>
      </c>
      <c r="G3157" t="s">
        <v>1094</v>
      </c>
    </row>
    <row r="3158" spans="1:7" ht="15" customHeight="1" x14ac:dyDescent="0.25">
      <c r="A3158" s="33" t="s">
        <v>1297</v>
      </c>
      <c r="B3158" s="12" t="s">
        <v>1403</v>
      </c>
      <c r="C3158" s="12" t="s">
        <v>1176</v>
      </c>
      <c r="D3158" s="23">
        <v>3000000</v>
      </c>
      <c r="E3158" s="12">
        <v>59706564</v>
      </c>
      <c r="F3158" s="12" t="s">
        <v>1177</v>
      </c>
      <c r="G3158" t="s">
        <v>1094</v>
      </c>
    </row>
    <row r="3159" spans="1:7" ht="15" customHeight="1" x14ac:dyDescent="0.25">
      <c r="A3159" s="33" t="s">
        <v>1297</v>
      </c>
      <c r="B3159" s="12" t="s">
        <v>1404</v>
      </c>
      <c r="C3159" s="12" t="s">
        <v>1178</v>
      </c>
      <c r="D3159" s="23">
        <v>3000000</v>
      </c>
      <c r="E3159" s="12">
        <v>1085314608</v>
      </c>
      <c r="F3159" s="12" t="s">
        <v>1179</v>
      </c>
      <c r="G3159" t="s">
        <v>1094</v>
      </c>
    </row>
    <row r="3160" spans="1:7" ht="15" customHeight="1" x14ac:dyDescent="0.25">
      <c r="A3160" s="33" t="s">
        <v>1297</v>
      </c>
      <c r="B3160" s="12" t="s">
        <v>1405</v>
      </c>
      <c r="C3160" s="12" t="s">
        <v>1180</v>
      </c>
      <c r="D3160" s="23">
        <v>3000000</v>
      </c>
      <c r="E3160" s="12">
        <v>1086329609</v>
      </c>
      <c r="F3160" s="12" t="s">
        <v>1672</v>
      </c>
      <c r="G3160" t="s">
        <v>1094</v>
      </c>
    </row>
    <row r="3161" spans="1:7" ht="15" customHeight="1" x14ac:dyDescent="0.25">
      <c r="A3161" s="33" t="s">
        <v>1297</v>
      </c>
      <c r="B3161" s="12" t="s">
        <v>1406</v>
      </c>
      <c r="C3161" s="12" t="s">
        <v>1181</v>
      </c>
      <c r="D3161" s="23">
        <v>6000000</v>
      </c>
      <c r="E3161" s="12">
        <v>1085299577</v>
      </c>
      <c r="F3161" s="12" t="s">
        <v>1674</v>
      </c>
      <c r="G3161" t="s">
        <v>1094</v>
      </c>
    </row>
    <row r="3162" spans="1:7" ht="15" customHeight="1" x14ac:dyDescent="0.25">
      <c r="A3162" s="33" t="s">
        <v>1297</v>
      </c>
      <c r="B3162" s="12" t="s">
        <v>1407</v>
      </c>
      <c r="C3162" s="12" t="s">
        <v>1095</v>
      </c>
      <c r="D3162" s="23">
        <v>4825000</v>
      </c>
      <c r="E3162" s="12">
        <v>1085324891</v>
      </c>
      <c r="F3162" s="12" t="s">
        <v>509</v>
      </c>
      <c r="G3162" t="s">
        <v>1094</v>
      </c>
    </row>
    <row r="3163" spans="1:7" ht="15" customHeight="1" x14ac:dyDescent="0.25">
      <c r="A3163" s="33" t="s">
        <v>1297</v>
      </c>
      <c r="B3163" s="12" t="s">
        <v>1408</v>
      </c>
      <c r="C3163" s="12" t="s">
        <v>1183</v>
      </c>
      <c r="D3163" s="23">
        <v>7500000</v>
      </c>
      <c r="E3163" s="12">
        <v>1193202097</v>
      </c>
      <c r="F3163" s="12" t="s">
        <v>163</v>
      </c>
      <c r="G3163" t="s">
        <v>1094</v>
      </c>
    </row>
    <row r="3164" spans="1:7" ht="15" customHeight="1" x14ac:dyDescent="0.25">
      <c r="A3164" s="33" t="s">
        <v>1301</v>
      </c>
      <c r="B3164" s="12" t="s">
        <v>1412</v>
      </c>
      <c r="C3164" s="12" t="s">
        <v>1108</v>
      </c>
      <c r="D3164" s="23">
        <v>7500000</v>
      </c>
      <c r="E3164" s="12">
        <v>80765093</v>
      </c>
      <c r="F3164" s="12" t="s">
        <v>1603</v>
      </c>
      <c r="G3164" t="s">
        <v>1094</v>
      </c>
    </row>
    <row r="3165" spans="1:7" ht="15" customHeight="1" x14ac:dyDescent="0.25">
      <c r="A3165" s="33" t="s">
        <v>1301</v>
      </c>
      <c r="B3165" s="12" t="s">
        <v>1413</v>
      </c>
      <c r="C3165" s="12" t="s">
        <v>1186</v>
      </c>
      <c r="D3165" s="23">
        <v>3000000</v>
      </c>
      <c r="E3165" s="12">
        <v>1085286725</v>
      </c>
      <c r="F3165" s="12" t="s">
        <v>111</v>
      </c>
      <c r="G3165" t="s">
        <v>1094</v>
      </c>
    </row>
    <row r="3166" spans="1:7" ht="15" customHeight="1" x14ac:dyDescent="0.25">
      <c r="A3166" s="33" t="s">
        <v>1301</v>
      </c>
      <c r="B3166" s="12" t="s">
        <v>1414</v>
      </c>
      <c r="C3166" s="12" t="s">
        <v>1187</v>
      </c>
      <c r="D3166" s="23">
        <v>3000000</v>
      </c>
      <c r="E3166" s="12">
        <v>27388522</v>
      </c>
      <c r="F3166" s="12" t="s">
        <v>525</v>
      </c>
      <c r="G3166" t="s">
        <v>1094</v>
      </c>
    </row>
    <row r="3167" spans="1:7" ht="15" customHeight="1" x14ac:dyDescent="0.25">
      <c r="A3167" s="33" t="s">
        <v>1302</v>
      </c>
      <c r="B3167" s="12" t="s">
        <v>1415</v>
      </c>
      <c r="C3167" s="12" t="s">
        <v>1145</v>
      </c>
      <c r="D3167" s="23">
        <v>3000000</v>
      </c>
      <c r="E3167" s="12">
        <v>1233191675</v>
      </c>
      <c r="F3167" s="12" t="s">
        <v>523</v>
      </c>
      <c r="G3167" t="s">
        <v>1094</v>
      </c>
    </row>
    <row r="3168" spans="1:7" ht="15" customHeight="1" x14ac:dyDescent="0.25">
      <c r="A3168" s="33" t="s">
        <v>1302</v>
      </c>
      <c r="B3168" s="12" t="s">
        <v>1416</v>
      </c>
      <c r="C3168" s="12" t="s">
        <v>1143</v>
      </c>
      <c r="D3168" s="23">
        <v>2500000</v>
      </c>
      <c r="E3168" s="12">
        <v>12974849</v>
      </c>
      <c r="F3168" s="12" t="s">
        <v>1643</v>
      </c>
      <c r="G3168" t="s">
        <v>1094</v>
      </c>
    </row>
    <row r="3169" spans="1:7" ht="15" customHeight="1" x14ac:dyDescent="0.25">
      <c r="A3169" s="33" t="s">
        <v>1302</v>
      </c>
      <c r="B3169" s="12" t="s">
        <v>1417</v>
      </c>
      <c r="C3169" s="12" t="s">
        <v>1136</v>
      </c>
      <c r="D3169" s="23">
        <v>4825000</v>
      </c>
      <c r="E3169" s="12">
        <v>1080900817</v>
      </c>
      <c r="F3169" s="12" t="s">
        <v>1016</v>
      </c>
      <c r="G3169" t="s">
        <v>1094</v>
      </c>
    </row>
    <row r="3170" spans="1:7" ht="15" customHeight="1" x14ac:dyDescent="0.25">
      <c r="A3170" s="33" t="s">
        <v>1302</v>
      </c>
      <c r="B3170" s="12" t="s">
        <v>1418</v>
      </c>
      <c r="C3170" s="12" t="s">
        <v>1140</v>
      </c>
      <c r="D3170" s="23">
        <v>3000000</v>
      </c>
      <c r="E3170" s="12">
        <v>1193224810</v>
      </c>
      <c r="F3170" s="12" t="s">
        <v>1640</v>
      </c>
      <c r="G3170" t="s">
        <v>1094</v>
      </c>
    </row>
    <row r="3171" spans="1:7" ht="15" customHeight="1" x14ac:dyDescent="0.25">
      <c r="A3171" s="33" t="s">
        <v>1302</v>
      </c>
      <c r="B3171" s="12" t="s">
        <v>1419</v>
      </c>
      <c r="C3171" s="12" t="s">
        <v>1125</v>
      </c>
      <c r="D3171" s="23">
        <v>7500000</v>
      </c>
      <c r="E3171" s="12">
        <v>1006946167</v>
      </c>
      <c r="F3171" s="12" t="s">
        <v>1623</v>
      </c>
      <c r="G3171" t="s">
        <v>1094</v>
      </c>
    </row>
    <row r="3172" spans="1:7" ht="15" customHeight="1" x14ac:dyDescent="0.25">
      <c r="A3172" s="33" t="s">
        <v>1302</v>
      </c>
      <c r="B3172" s="12" t="s">
        <v>1420</v>
      </c>
      <c r="C3172" s="12" t="s">
        <v>1139</v>
      </c>
      <c r="D3172" s="23">
        <v>3000000</v>
      </c>
      <c r="E3172" s="12">
        <v>1085255829</v>
      </c>
      <c r="F3172" s="12" t="s">
        <v>1638</v>
      </c>
      <c r="G3172" t="s">
        <v>1094</v>
      </c>
    </row>
    <row r="3173" spans="1:7" ht="15" customHeight="1" x14ac:dyDescent="0.25">
      <c r="A3173" s="33" t="s">
        <v>1302</v>
      </c>
      <c r="B3173" s="12" t="s">
        <v>1421</v>
      </c>
      <c r="C3173" s="12" t="s">
        <v>1141</v>
      </c>
      <c r="D3173" s="23">
        <v>4750000</v>
      </c>
      <c r="E3173" s="12">
        <v>1085340885</v>
      </c>
      <c r="F3173" s="12" t="s">
        <v>1142</v>
      </c>
      <c r="G3173" t="s">
        <v>1094</v>
      </c>
    </row>
    <row r="3174" spans="1:7" ht="15" customHeight="1" x14ac:dyDescent="0.25">
      <c r="A3174" s="33" t="s">
        <v>1303</v>
      </c>
      <c r="B3174" s="12" t="s">
        <v>1422</v>
      </c>
      <c r="C3174" s="12" t="s">
        <v>1188</v>
      </c>
      <c r="D3174" s="23">
        <v>2500000</v>
      </c>
      <c r="E3174" s="12">
        <v>1085255753</v>
      </c>
      <c r="F3174" s="12" t="s">
        <v>1681</v>
      </c>
      <c r="G3174" t="s">
        <v>1094</v>
      </c>
    </row>
    <row r="3175" spans="1:7" ht="15" customHeight="1" x14ac:dyDescent="0.25">
      <c r="A3175" s="33" t="s">
        <v>1303</v>
      </c>
      <c r="B3175" s="12" t="s">
        <v>1423</v>
      </c>
      <c r="C3175" s="12" t="s">
        <v>1130</v>
      </c>
      <c r="D3175" s="23">
        <v>6000000</v>
      </c>
      <c r="E3175" s="12">
        <v>1085283868</v>
      </c>
      <c r="F3175" s="12" t="s">
        <v>1630</v>
      </c>
      <c r="G3175" t="s">
        <v>1094</v>
      </c>
    </row>
    <row r="3176" spans="1:7" ht="15" customHeight="1" x14ac:dyDescent="0.25">
      <c r="A3176" s="33" t="s">
        <v>1303</v>
      </c>
      <c r="B3176" s="12" t="s">
        <v>1424</v>
      </c>
      <c r="C3176" s="12" t="s">
        <v>1189</v>
      </c>
      <c r="D3176" s="23">
        <v>4750000</v>
      </c>
      <c r="E3176" s="12">
        <v>36953206</v>
      </c>
      <c r="F3176" s="12" t="s">
        <v>391</v>
      </c>
      <c r="G3176" t="s">
        <v>1094</v>
      </c>
    </row>
    <row r="3177" spans="1:7" ht="15" customHeight="1" x14ac:dyDescent="0.25">
      <c r="A3177" s="33" t="s">
        <v>1303</v>
      </c>
      <c r="B3177" s="12" t="s">
        <v>1425</v>
      </c>
      <c r="C3177" s="12" t="s">
        <v>1190</v>
      </c>
      <c r="D3177" s="23">
        <v>7500000</v>
      </c>
      <c r="E3177" s="12">
        <v>37087120</v>
      </c>
      <c r="F3177" s="12" t="s">
        <v>159</v>
      </c>
      <c r="G3177" t="s">
        <v>1094</v>
      </c>
    </row>
    <row r="3178" spans="1:7" ht="15" customHeight="1" x14ac:dyDescent="0.25">
      <c r="A3178" s="33" t="s">
        <v>1303</v>
      </c>
      <c r="B3178" s="12" t="s">
        <v>1426</v>
      </c>
      <c r="C3178" s="12" t="s">
        <v>1191</v>
      </c>
      <c r="D3178" s="23">
        <v>6000000</v>
      </c>
      <c r="E3178" s="12">
        <v>59825948</v>
      </c>
      <c r="F3178" s="12" t="s">
        <v>1684</v>
      </c>
      <c r="G3178" t="s">
        <v>1094</v>
      </c>
    </row>
    <row r="3179" spans="1:7" ht="15" customHeight="1" x14ac:dyDescent="0.25">
      <c r="A3179" s="33" t="s">
        <v>1303</v>
      </c>
      <c r="B3179" s="12" t="s">
        <v>1427</v>
      </c>
      <c r="C3179" s="12" t="s">
        <v>1112</v>
      </c>
      <c r="D3179" s="23">
        <v>4825000</v>
      </c>
      <c r="E3179" s="12">
        <v>1085338534</v>
      </c>
      <c r="F3179" s="12" t="s">
        <v>1607</v>
      </c>
      <c r="G3179" t="s">
        <v>1094</v>
      </c>
    </row>
    <row r="3180" spans="1:7" ht="15" customHeight="1" x14ac:dyDescent="0.25">
      <c r="A3180" s="33" t="s">
        <v>1303</v>
      </c>
      <c r="B3180" s="12" t="s">
        <v>1428</v>
      </c>
      <c r="C3180" s="12" t="s">
        <v>1193</v>
      </c>
      <c r="D3180" s="23">
        <v>2500000</v>
      </c>
      <c r="E3180" s="12">
        <v>1085347173</v>
      </c>
      <c r="F3180" s="12" t="s">
        <v>487</v>
      </c>
      <c r="G3180" t="s">
        <v>1094</v>
      </c>
    </row>
    <row r="3181" spans="1:7" ht="15" customHeight="1" x14ac:dyDescent="0.25">
      <c r="A3181" s="33" t="s">
        <v>1303</v>
      </c>
      <c r="B3181" s="12" t="s">
        <v>1429</v>
      </c>
      <c r="C3181" s="12" t="s">
        <v>1194</v>
      </c>
      <c r="D3181" s="23">
        <v>6000000</v>
      </c>
      <c r="E3181" s="12">
        <v>59836480</v>
      </c>
      <c r="F3181" s="12" t="s">
        <v>1686</v>
      </c>
      <c r="G3181" t="s">
        <v>1094</v>
      </c>
    </row>
    <row r="3182" spans="1:7" ht="15" customHeight="1" x14ac:dyDescent="0.25">
      <c r="A3182" s="33" t="s">
        <v>1298</v>
      </c>
      <c r="B3182" s="12" t="s">
        <v>1409</v>
      </c>
      <c r="C3182" s="24" t="s">
        <v>1184</v>
      </c>
      <c r="D3182" s="23">
        <v>173682694</v>
      </c>
      <c r="E3182" s="12">
        <v>901340412</v>
      </c>
      <c r="F3182" s="12" t="s">
        <v>1676</v>
      </c>
      <c r="G3182" t="s">
        <v>1094</v>
      </c>
    </row>
    <row r="3183" spans="1:7" ht="15" customHeight="1" x14ac:dyDescent="0.25">
      <c r="A3183" s="33" t="s">
        <v>1298</v>
      </c>
      <c r="B3183" s="12" t="s">
        <v>1430</v>
      </c>
      <c r="C3183" s="12" t="s">
        <v>1103</v>
      </c>
      <c r="D3183" s="23">
        <v>4825000</v>
      </c>
      <c r="E3183" s="12">
        <v>1004508471</v>
      </c>
      <c r="F3183" s="12" t="s">
        <v>1596</v>
      </c>
      <c r="G3183" t="s">
        <v>1094</v>
      </c>
    </row>
    <row r="3184" spans="1:7" ht="15" customHeight="1" x14ac:dyDescent="0.25">
      <c r="A3184" s="33" t="s">
        <v>1298</v>
      </c>
      <c r="B3184" s="12" t="s">
        <v>1431</v>
      </c>
      <c r="C3184" s="12" t="s">
        <v>1196</v>
      </c>
      <c r="D3184" s="23">
        <v>2500000</v>
      </c>
      <c r="E3184" s="12">
        <v>30722194</v>
      </c>
      <c r="F3184" s="12" t="s">
        <v>1687</v>
      </c>
      <c r="G3184" t="s">
        <v>1094</v>
      </c>
    </row>
    <row r="3185" spans="1:7" ht="15" customHeight="1" x14ac:dyDescent="0.25">
      <c r="A3185" s="33" t="s">
        <v>1298</v>
      </c>
      <c r="B3185" s="12" t="s">
        <v>1432</v>
      </c>
      <c r="C3185" s="12" t="s">
        <v>1106</v>
      </c>
      <c r="D3185" s="23">
        <v>6000000</v>
      </c>
      <c r="E3185" s="12">
        <v>1085286476</v>
      </c>
      <c r="F3185" s="12" t="s">
        <v>385</v>
      </c>
      <c r="G3185" t="s">
        <v>1094</v>
      </c>
    </row>
    <row r="3186" spans="1:7" ht="15" customHeight="1" x14ac:dyDescent="0.25">
      <c r="A3186" s="33" t="s">
        <v>1298</v>
      </c>
      <c r="B3186" s="12" t="s">
        <v>1433</v>
      </c>
      <c r="C3186" s="12" t="s">
        <v>1107</v>
      </c>
      <c r="D3186" s="23">
        <v>3000000</v>
      </c>
      <c r="E3186" s="12">
        <v>69028150</v>
      </c>
      <c r="F3186" s="12" t="s">
        <v>171</v>
      </c>
      <c r="G3186" t="s">
        <v>1094</v>
      </c>
    </row>
    <row r="3187" spans="1:7" ht="15" customHeight="1" x14ac:dyDescent="0.25">
      <c r="A3187" s="33" t="s">
        <v>1298</v>
      </c>
      <c r="B3187" s="12" t="s">
        <v>1434</v>
      </c>
      <c r="C3187" s="12" t="s">
        <v>1197</v>
      </c>
      <c r="D3187" s="23">
        <v>3000000</v>
      </c>
      <c r="E3187" s="12">
        <v>1085252263</v>
      </c>
      <c r="F3187" s="12" t="s">
        <v>1689</v>
      </c>
      <c r="G3187" t="s">
        <v>1094</v>
      </c>
    </row>
    <row r="3188" spans="1:7" ht="15" customHeight="1" x14ac:dyDescent="0.25">
      <c r="A3188" s="33" t="s">
        <v>1298</v>
      </c>
      <c r="B3188" s="12" t="s">
        <v>1435</v>
      </c>
      <c r="C3188" s="12" t="s">
        <v>1198</v>
      </c>
      <c r="D3188" s="23">
        <v>2500000</v>
      </c>
      <c r="E3188" s="12">
        <v>59830219</v>
      </c>
      <c r="F3188" s="12" t="s">
        <v>281</v>
      </c>
      <c r="G3188" t="s">
        <v>1094</v>
      </c>
    </row>
    <row r="3189" spans="1:7" ht="15" customHeight="1" x14ac:dyDescent="0.25">
      <c r="A3189" s="33" t="s">
        <v>1298</v>
      </c>
      <c r="B3189" s="12" t="s">
        <v>1436</v>
      </c>
      <c r="C3189" s="12" t="s">
        <v>1165</v>
      </c>
      <c r="D3189" s="23">
        <v>3000000</v>
      </c>
      <c r="E3189" s="12">
        <v>1085286742</v>
      </c>
      <c r="F3189" s="12" t="s">
        <v>75</v>
      </c>
      <c r="G3189" t="s">
        <v>1094</v>
      </c>
    </row>
    <row r="3190" spans="1:7" ht="15" customHeight="1" x14ac:dyDescent="0.25">
      <c r="A3190" s="33" t="s">
        <v>1298</v>
      </c>
      <c r="B3190" s="12" t="s">
        <v>1437</v>
      </c>
      <c r="C3190" s="12" t="s">
        <v>1135</v>
      </c>
      <c r="D3190" s="23">
        <v>3000000</v>
      </c>
      <c r="E3190" s="12">
        <v>36954407</v>
      </c>
      <c r="F3190" s="12" t="s">
        <v>679</v>
      </c>
      <c r="G3190" t="s">
        <v>1094</v>
      </c>
    </row>
    <row r="3191" spans="1:7" ht="15" customHeight="1" x14ac:dyDescent="0.25">
      <c r="A3191" s="33" t="s">
        <v>1298</v>
      </c>
      <c r="B3191" s="12" t="s">
        <v>1438</v>
      </c>
      <c r="C3191" s="12" t="s">
        <v>1116</v>
      </c>
      <c r="D3191" s="23">
        <v>4750000</v>
      </c>
      <c r="E3191" s="12">
        <v>59651018</v>
      </c>
      <c r="F3191" s="12" t="s">
        <v>1611</v>
      </c>
      <c r="G3191" t="s">
        <v>1094</v>
      </c>
    </row>
    <row r="3192" spans="1:7" ht="15" customHeight="1" x14ac:dyDescent="0.25">
      <c r="A3192" s="33" t="s">
        <v>1298</v>
      </c>
      <c r="B3192" s="12" t="s">
        <v>1439</v>
      </c>
      <c r="C3192" s="12" t="s">
        <v>1123</v>
      </c>
      <c r="D3192" s="23">
        <v>7500000</v>
      </c>
      <c r="E3192" s="12">
        <v>1085293105</v>
      </c>
      <c r="F3192" s="12" t="s">
        <v>745</v>
      </c>
      <c r="G3192" t="s">
        <v>1094</v>
      </c>
    </row>
    <row r="3193" spans="1:7" ht="15" customHeight="1" x14ac:dyDescent="0.25">
      <c r="A3193" s="33" t="s">
        <v>1298</v>
      </c>
      <c r="B3193" s="12" t="s">
        <v>1440</v>
      </c>
      <c r="C3193" s="12" t="s">
        <v>1134</v>
      </c>
      <c r="D3193" s="23">
        <v>3000000</v>
      </c>
      <c r="E3193" s="12">
        <v>1010082397</v>
      </c>
      <c r="F3193" s="12" t="s">
        <v>209</v>
      </c>
      <c r="G3193" t="s">
        <v>1094</v>
      </c>
    </row>
    <row r="3194" spans="1:7" ht="15" customHeight="1" x14ac:dyDescent="0.25">
      <c r="A3194" s="33" t="s">
        <v>1298</v>
      </c>
      <c r="B3194" s="12" t="s">
        <v>1441</v>
      </c>
      <c r="C3194" s="12" t="s">
        <v>1199</v>
      </c>
      <c r="D3194" s="23">
        <v>3000000</v>
      </c>
      <c r="E3194" s="12">
        <v>1085300095</v>
      </c>
      <c r="F3194" s="12" t="s">
        <v>201</v>
      </c>
      <c r="G3194" t="s">
        <v>1094</v>
      </c>
    </row>
    <row r="3195" spans="1:7" ht="15" customHeight="1" x14ac:dyDescent="0.25">
      <c r="A3195" s="33" t="s">
        <v>1298</v>
      </c>
      <c r="B3195" s="12" t="s">
        <v>1442</v>
      </c>
      <c r="C3195" s="12" t="s">
        <v>1200</v>
      </c>
      <c r="D3195" s="23">
        <v>3000000</v>
      </c>
      <c r="E3195" s="12">
        <v>1088733625</v>
      </c>
      <c r="F3195" s="12" t="s">
        <v>559</v>
      </c>
      <c r="G3195" t="s">
        <v>1094</v>
      </c>
    </row>
    <row r="3196" spans="1:7" ht="15" customHeight="1" x14ac:dyDescent="0.25">
      <c r="A3196" s="33" t="s">
        <v>1298</v>
      </c>
      <c r="B3196" s="12" t="s">
        <v>1443</v>
      </c>
      <c r="C3196" s="12" t="s">
        <v>1132</v>
      </c>
      <c r="D3196" s="23">
        <v>3000000</v>
      </c>
      <c r="E3196" s="12">
        <v>98382500</v>
      </c>
      <c r="F3196" s="12" t="s">
        <v>183</v>
      </c>
      <c r="G3196" t="s">
        <v>1094</v>
      </c>
    </row>
    <row r="3197" spans="1:7" ht="15" customHeight="1" x14ac:dyDescent="0.25">
      <c r="A3197" s="33" t="s">
        <v>1298</v>
      </c>
      <c r="B3197" s="12" t="s">
        <v>1444</v>
      </c>
      <c r="C3197" s="12" t="s">
        <v>1201</v>
      </c>
      <c r="D3197" s="23">
        <v>3000000</v>
      </c>
      <c r="E3197" s="12">
        <v>59310853</v>
      </c>
      <c r="F3197" s="12" t="s">
        <v>1692</v>
      </c>
      <c r="G3197" t="s">
        <v>1094</v>
      </c>
    </row>
    <row r="3198" spans="1:7" ht="15" customHeight="1" x14ac:dyDescent="0.25">
      <c r="A3198" s="33" t="s">
        <v>1304</v>
      </c>
      <c r="B3198" s="12" t="s">
        <v>1445</v>
      </c>
      <c r="C3198" s="12" t="s">
        <v>1124</v>
      </c>
      <c r="D3198" s="23">
        <v>7500000</v>
      </c>
      <c r="E3198" s="12">
        <v>1085336362</v>
      </c>
      <c r="F3198" s="12" t="s">
        <v>1621</v>
      </c>
      <c r="G3198" t="s">
        <v>1094</v>
      </c>
    </row>
    <row r="3199" spans="1:7" ht="15" customHeight="1" x14ac:dyDescent="0.25">
      <c r="A3199" s="33" t="s">
        <v>1305</v>
      </c>
      <c r="B3199" s="12" t="s">
        <v>1446</v>
      </c>
      <c r="C3199" s="12" t="s">
        <v>1203</v>
      </c>
      <c r="D3199" s="23">
        <v>2500000</v>
      </c>
      <c r="E3199" s="12">
        <v>37087268</v>
      </c>
      <c r="F3199" s="12" t="s">
        <v>257</v>
      </c>
      <c r="G3199" t="s">
        <v>1094</v>
      </c>
    </row>
    <row r="3200" spans="1:7" ht="15" customHeight="1" x14ac:dyDescent="0.25">
      <c r="A3200" s="33" t="s">
        <v>1305</v>
      </c>
      <c r="B3200" s="12" t="s">
        <v>1447</v>
      </c>
      <c r="C3200" s="12" t="s">
        <v>1111</v>
      </c>
      <c r="D3200" s="23">
        <v>3000000</v>
      </c>
      <c r="E3200" s="12">
        <v>36752202</v>
      </c>
      <c r="F3200" s="12" t="s">
        <v>1606</v>
      </c>
      <c r="G3200" t="s">
        <v>1094</v>
      </c>
    </row>
    <row r="3201" spans="1:7" ht="15" customHeight="1" x14ac:dyDescent="0.25">
      <c r="A3201" s="33" t="s">
        <v>1305</v>
      </c>
      <c r="B3201" s="12" t="s">
        <v>1448</v>
      </c>
      <c r="C3201" s="12" t="s">
        <v>1204</v>
      </c>
      <c r="D3201" s="23">
        <v>2500000</v>
      </c>
      <c r="E3201" s="12">
        <v>1085310465</v>
      </c>
      <c r="F3201" s="12" t="s">
        <v>1694</v>
      </c>
      <c r="G3201" t="s">
        <v>1094</v>
      </c>
    </row>
    <row r="3202" spans="1:7" ht="15" customHeight="1" x14ac:dyDescent="0.25">
      <c r="A3202" s="33" t="s">
        <v>1305</v>
      </c>
      <c r="B3202" s="12" t="s">
        <v>1449</v>
      </c>
      <c r="C3202" s="12" t="s">
        <v>1122</v>
      </c>
      <c r="D3202" s="23">
        <v>4825000</v>
      </c>
      <c r="E3202" s="12">
        <v>1085321578</v>
      </c>
      <c r="F3202" s="12" t="s">
        <v>1618</v>
      </c>
      <c r="G3202" t="s">
        <v>1094</v>
      </c>
    </row>
    <row r="3203" spans="1:7" ht="15" customHeight="1" x14ac:dyDescent="0.25">
      <c r="A3203" s="33" t="s">
        <v>1305</v>
      </c>
      <c r="B3203" s="12" t="s">
        <v>1450</v>
      </c>
      <c r="C3203" s="12" t="s">
        <v>1205</v>
      </c>
      <c r="D3203" s="23">
        <v>2600000</v>
      </c>
      <c r="E3203" s="12">
        <v>1004235479</v>
      </c>
      <c r="F3203" s="12" t="s">
        <v>477</v>
      </c>
      <c r="G3203" t="s">
        <v>1094</v>
      </c>
    </row>
    <row r="3204" spans="1:7" ht="15" customHeight="1" x14ac:dyDescent="0.25">
      <c r="A3204" s="33" t="s">
        <v>1305</v>
      </c>
      <c r="B3204" s="12" t="s">
        <v>1451</v>
      </c>
      <c r="C3204" s="12" t="s">
        <v>1121</v>
      </c>
      <c r="D3204" s="23">
        <v>3000000</v>
      </c>
      <c r="E3204" s="12">
        <v>59310524</v>
      </c>
      <c r="F3204" s="12" t="s">
        <v>992</v>
      </c>
      <c r="G3204" t="s">
        <v>1094</v>
      </c>
    </row>
    <row r="3205" spans="1:7" ht="15" customHeight="1" x14ac:dyDescent="0.25">
      <c r="A3205" s="33" t="s">
        <v>1305</v>
      </c>
      <c r="B3205" s="12" t="s">
        <v>1452</v>
      </c>
      <c r="C3205" s="12" t="s">
        <v>1206</v>
      </c>
      <c r="D3205" s="23">
        <v>3000000</v>
      </c>
      <c r="E3205" s="12">
        <v>1004592366</v>
      </c>
      <c r="F3205" s="12" t="s">
        <v>1697</v>
      </c>
      <c r="G3205" t="s">
        <v>1094</v>
      </c>
    </row>
    <row r="3206" spans="1:7" ht="15" customHeight="1" x14ac:dyDescent="0.25">
      <c r="A3206" s="33" t="s">
        <v>1305</v>
      </c>
      <c r="B3206" s="12" t="s">
        <v>1453</v>
      </c>
      <c r="C3206" s="12" t="s">
        <v>1207</v>
      </c>
      <c r="D3206" s="23">
        <v>3000000</v>
      </c>
      <c r="E3206" s="12">
        <v>1085266584</v>
      </c>
      <c r="F3206" s="12" t="s">
        <v>115</v>
      </c>
      <c r="G3206" t="s">
        <v>1094</v>
      </c>
    </row>
    <row r="3207" spans="1:7" ht="15" customHeight="1" x14ac:dyDescent="0.25">
      <c r="A3207" s="33" t="s">
        <v>1305</v>
      </c>
      <c r="B3207" s="12" t="s">
        <v>1454</v>
      </c>
      <c r="C3207" s="12" t="s">
        <v>1101</v>
      </c>
      <c r="D3207" s="23">
        <v>6000000</v>
      </c>
      <c r="E3207" s="12">
        <v>27146489</v>
      </c>
      <c r="F3207" s="12" t="s">
        <v>1595</v>
      </c>
      <c r="G3207" t="s">
        <v>1094</v>
      </c>
    </row>
    <row r="3208" spans="1:7" ht="15" customHeight="1" x14ac:dyDescent="0.25">
      <c r="A3208" s="33" t="s">
        <v>1305</v>
      </c>
      <c r="B3208" s="12" t="s">
        <v>1455</v>
      </c>
      <c r="C3208" s="12" t="s">
        <v>1144</v>
      </c>
      <c r="D3208" s="23">
        <v>4750000</v>
      </c>
      <c r="E3208" s="12">
        <v>27087475</v>
      </c>
      <c r="F3208" s="12" t="s">
        <v>1645</v>
      </c>
      <c r="G3208" t="s">
        <v>1094</v>
      </c>
    </row>
    <row r="3209" spans="1:7" ht="15" customHeight="1" x14ac:dyDescent="0.25">
      <c r="A3209" s="33" t="s">
        <v>1305</v>
      </c>
      <c r="B3209" s="12" t="s">
        <v>1456</v>
      </c>
      <c r="C3209" s="12" t="s">
        <v>1208</v>
      </c>
      <c r="D3209" s="23">
        <v>2500000</v>
      </c>
      <c r="E3209" s="12">
        <v>12990231</v>
      </c>
      <c r="F3209" s="12" t="s">
        <v>1700</v>
      </c>
      <c r="G3209" t="s">
        <v>1094</v>
      </c>
    </row>
    <row r="3210" spans="1:7" ht="15" customHeight="1" x14ac:dyDescent="0.25">
      <c r="A3210" s="33" t="s">
        <v>1305</v>
      </c>
      <c r="B3210" s="12" t="s">
        <v>1457</v>
      </c>
      <c r="C3210" s="12" t="s">
        <v>1209</v>
      </c>
      <c r="D3210" s="23">
        <v>3000000</v>
      </c>
      <c r="E3210" s="12">
        <v>1085261053</v>
      </c>
      <c r="F3210" s="12" t="s">
        <v>1702</v>
      </c>
      <c r="G3210" t="s">
        <v>1094</v>
      </c>
    </row>
    <row r="3211" spans="1:7" ht="15" customHeight="1" x14ac:dyDescent="0.25">
      <c r="A3211" s="33" t="s">
        <v>1305</v>
      </c>
      <c r="B3211" s="12" t="s">
        <v>1458</v>
      </c>
      <c r="C3211" s="12" t="s">
        <v>1128</v>
      </c>
      <c r="D3211" s="23">
        <v>3000000</v>
      </c>
      <c r="E3211" s="12">
        <v>1137624011</v>
      </c>
      <c r="F3211" s="12" t="s">
        <v>1627</v>
      </c>
      <c r="G3211" t="s">
        <v>1094</v>
      </c>
    </row>
    <row r="3212" spans="1:7" ht="15" customHeight="1" x14ac:dyDescent="0.25">
      <c r="A3212" s="33" t="s">
        <v>1305</v>
      </c>
      <c r="B3212" s="12" t="s">
        <v>1459</v>
      </c>
      <c r="C3212" s="12" t="s">
        <v>1147</v>
      </c>
      <c r="D3212" s="23">
        <v>3000000</v>
      </c>
      <c r="E3212" s="12">
        <v>1085271641</v>
      </c>
      <c r="F3212" s="12" t="s">
        <v>1649</v>
      </c>
      <c r="G3212" t="s">
        <v>1094</v>
      </c>
    </row>
    <row r="3213" spans="1:7" ht="15" customHeight="1" x14ac:dyDescent="0.25">
      <c r="A3213" s="33" t="s">
        <v>1305</v>
      </c>
      <c r="B3213" s="12" t="s">
        <v>1460</v>
      </c>
      <c r="C3213" s="12" t="s">
        <v>1172</v>
      </c>
      <c r="D3213" s="23">
        <v>4750000</v>
      </c>
      <c r="E3213" s="12">
        <v>1018492767</v>
      </c>
      <c r="F3213" s="12" t="s">
        <v>915</v>
      </c>
      <c r="G3213" t="s">
        <v>1094</v>
      </c>
    </row>
    <row r="3214" spans="1:7" ht="15" customHeight="1" x14ac:dyDescent="0.25">
      <c r="A3214" s="33" t="s">
        <v>1305</v>
      </c>
      <c r="B3214" s="12" t="s">
        <v>1461</v>
      </c>
      <c r="C3214" s="12" t="s">
        <v>1167</v>
      </c>
      <c r="D3214" s="23">
        <v>6000000</v>
      </c>
      <c r="E3214" s="12">
        <v>36757221</v>
      </c>
      <c r="F3214" s="12" t="s">
        <v>1666</v>
      </c>
      <c r="G3214" t="s">
        <v>1094</v>
      </c>
    </row>
    <row r="3215" spans="1:7" ht="15" customHeight="1" x14ac:dyDescent="0.25">
      <c r="A3215" s="33" t="s">
        <v>1305</v>
      </c>
      <c r="B3215" s="12" t="s">
        <v>1462</v>
      </c>
      <c r="C3215" s="12" t="s">
        <v>1210</v>
      </c>
      <c r="D3215" s="23">
        <v>3000000</v>
      </c>
      <c r="E3215" s="12">
        <v>1087959088</v>
      </c>
      <c r="F3215" s="12" t="s">
        <v>1255</v>
      </c>
      <c r="G3215" t="s">
        <v>1094</v>
      </c>
    </row>
    <row r="3216" spans="1:7" ht="15" customHeight="1" x14ac:dyDescent="0.25">
      <c r="A3216" s="33" t="s">
        <v>1306</v>
      </c>
      <c r="B3216" s="12" t="s">
        <v>1463</v>
      </c>
      <c r="C3216" s="12" t="s">
        <v>1126</v>
      </c>
      <c r="D3216" s="23">
        <v>3000000</v>
      </c>
      <c r="E3216" s="12">
        <v>1085317833</v>
      </c>
      <c r="F3216" s="12" t="s">
        <v>11</v>
      </c>
      <c r="G3216" t="s">
        <v>1094</v>
      </c>
    </row>
    <row r="3217" spans="1:7" ht="15" customHeight="1" x14ac:dyDescent="0.25">
      <c r="A3217" s="33" t="s">
        <v>1306</v>
      </c>
      <c r="B3217" s="12" t="s">
        <v>1464</v>
      </c>
      <c r="C3217" s="12" t="s">
        <v>1212</v>
      </c>
      <c r="D3217" s="23">
        <v>4825000</v>
      </c>
      <c r="E3217" s="12">
        <v>36951301</v>
      </c>
      <c r="F3217" s="12" t="s">
        <v>1213</v>
      </c>
      <c r="G3217" t="s">
        <v>1094</v>
      </c>
    </row>
    <row r="3218" spans="1:7" ht="15" customHeight="1" x14ac:dyDescent="0.25">
      <c r="A3218" s="33" t="s">
        <v>1306</v>
      </c>
      <c r="B3218" s="12" t="s">
        <v>1465</v>
      </c>
      <c r="C3218" s="12" t="s">
        <v>1119</v>
      </c>
      <c r="D3218" s="23">
        <v>4750000</v>
      </c>
      <c r="E3218" s="12">
        <v>1085345772</v>
      </c>
      <c r="F3218" s="12" t="s">
        <v>1615</v>
      </c>
      <c r="G3218" t="s">
        <v>1094</v>
      </c>
    </row>
    <row r="3219" spans="1:7" ht="15" customHeight="1" x14ac:dyDescent="0.25">
      <c r="A3219" s="33" t="s">
        <v>1307</v>
      </c>
      <c r="B3219" s="12" t="s">
        <v>1466</v>
      </c>
      <c r="C3219" s="12" t="s">
        <v>1156</v>
      </c>
      <c r="D3219" s="23">
        <v>3000000</v>
      </c>
      <c r="E3219" s="12">
        <v>1081272025</v>
      </c>
      <c r="F3219" s="12" t="s">
        <v>59</v>
      </c>
      <c r="G3219" t="s">
        <v>1094</v>
      </c>
    </row>
    <row r="3220" spans="1:7" ht="15" customHeight="1" x14ac:dyDescent="0.25">
      <c r="A3220" s="33" t="s">
        <v>1306</v>
      </c>
      <c r="B3220" s="12" t="s">
        <v>1467</v>
      </c>
      <c r="C3220" s="12" t="s">
        <v>1183</v>
      </c>
      <c r="D3220" s="23">
        <v>7500000</v>
      </c>
      <c r="E3220" s="12">
        <v>1193202097</v>
      </c>
      <c r="F3220" s="12" t="s">
        <v>163</v>
      </c>
      <c r="G3220" t="s">
        <v>1094</v>
      </c>
    </row>
    <row r="3221" spans="1:7" ht="15" customHeight="1" x14ac:dyDescent="0.25">
      <c r="A3221" s="33" t="s">
        <v>1306</v>
      </c>
      <c r="B3221" s="12" t="s">
        <v>1468</v>
      </c>
      <c r="C3221" s="12" t="s">
        <v>1187</v>
      </c>
      <c r="D3221" s="23">
        <v>3000000</v>
      </c>
      <c r="E3221" s="12">
        <v>27388522</v>
      </c>
      <c r="F3221" s="12" t="s">
        <v>525</v>
      </c>
      <c r="G3221" t="s">
        <v>1094</v>
      </c>
    </row>
    <row r="3222" spans="1:7" ht="15" customHeight="1" x14ac:dyDescent="0.25">
      <c r="A3222" s="33" t="s">
        <v>1306</v>
      </c>
      <c r="B3222" s="12" t="s">
        <v>1469</v>
      </c>
      <c r="C3222" s="12" t="s">
        <v>1214</v>
      </c>
      <c r="D3222" s="23">
        <v>6000000</v>
      </c>
      <c r="E3222" s="12">
        <v>1004213964</v>
      </c>
      <c r="F3222" s="12" t="s">
        <v>1704</v>
      </c>
      <c r="G3222" t="s">
        <v>1094</v>
      </c>
    </row>
    <row r="3223" spans="1:7" ht="15" customHeight="1" x14ac:dyDescent="0.25">
      <c r="A3223" s="33" t="s">
        <v>1306</v>
      </c>
      <c r="B3223" s="12" t="s">
        <v>1470</v>
      </c>
      <c r="C3223" s="12" t="s">
        <v>1181</v>
      </c>
      <c r="D3223" s="23">
        <v>6000000</v>
      </c>
      <c r="E3223" s="12">
        <v>1085299577</v>
      </c>
      <c r="F3223" s="12" t="s">
        <v>1674</v>
      </c>
      <c r="G3223" t="s">
        <v>1094</v>
      </c>
    </row>
    <row r="3224" spans="1:7" ht="15" customHeight="1" x14ac:dyDescent="0.25">
      <c r="A3224" s="33" t="s">
        <v>1308</v>
      </c>
      <c r="B3224" s="12" t="s">
        <v>1471</v>
      </c>
      <c r="C3224" s="12" t="s">
        <v>1215</v>
      </c>
      <c r="D3224" s="23">
        <v>6000000</v>
      </c>
      <c r="E3224" s="12">
        <v>1082748420</v>
      </c>
      <c r="F3224" s="12" t="s">
        <v>1706</v>
      </c>
      <c r="G3224" t="s">
        <v>1094</v>
      </c>
    </row>
    <row r="3225" spans="1:7" ht="15" customHeight="1" x14ac:dyDescent="0.25">
      <c r="A3225" s="33" t="s">
        <v>1308</v>
      </c>
      <c r="B3225" s="12" t="s">
        <v>1472</v>
      </c>
      <c r="C3225" s="12" t="s">
        <v>1201</v>
      </c>
      <c r="D3225" s="23">
        <v>3000000</v>
      </c>
      <c r="E3225" s="12">
        <v>59310853</v>
      </c>
      <c r="F3225" s="12" t="s">
        <v>1692</v>
      </c>
      <c r="G3225" t="s">
        <v>1094</v>
      </c>
    </row>
    <row r="3226" spans="1:7" ht="15" customHeight="1" x14ac:dyDescent="0.25">
      <c r="A3226" s="33" t="s">
        <v>1308</v>
      </c>
      <c r="B3226" s="12" t="s">
        <v>1473</v>
      </c>
      <c r="C3226" s="12" t="s">
        <v>1170</v>
      </c>
      <c r="D3226" s="23">
        <v>2500000</v>
      </c>
      <c r="E3226" s="12">
        <v>1085304072</v>
      </c>
      <c r="F3226" s="12" t="s">
        <v>1171</v>
      </c>
      <c r="G3226" t="s">
        <v>1094</v>
      </c>
    </row>
    <row r="3227" spans="1:7" ht="15" customHeight="1" x14ac:dyDescent="0.25">
      <c r="A3227" s="33" t="s">
        <v>1308</v>
      </c>
      <c r="B3227" s="12" t="s">
        <v>1474</v>
      </c>
      <c r="C3227" s="12" t="s">
        <v>1190</v>
      </c>
      <c r="D3227" s="23">
        <v>7500000</v>
      </c>
      <c r="E3227" s="12">
        <v>37087120</v>
      </c>
      <c r="F3227" s="12" t="s">
        <v>159</v>
      </c>
      <c r="G3227" t="s">
        <v>1094</v>
      </c>
    </row>
    <row r="3228" spans="1:7" ht="15" customHeight="1" x14ac:dyDescent="0.25">
      <c r="A3228" s="33" t="s">
        <v>1308</v>
      </c>
      <c r="B3228" s="12" t="s">
        <v>1475</v>
      </c>
      <c r="C3228" s="12" t="s">
        <v>1133</v>
      </c>
      <c r="D3228" s="23">
        <v>3000000</v>
      </c>
      <c r="E3228" s="12">
        <v>59834953</v>
      </c>
      <c r="F3228" s="12" t="s">
        <v>1633</v>
      </c>
      <c r="G3228" t="s">
        <v>1094</v>
      </c>
    </row>
    <row r="3229" spans="1:7" ht="15" customHeight="1" x14ac:dyDescent="0.25">
      <c r="A3229" s="33" t="s">
        <v>1308</v>
      </c>
      <c r="B3229" s="12" t="s">
        <v>1476</v>
      </c>
      <c r="C3229" s="12" t="s">
        <v>1188</v>
      </c>
      <c r="D3229" s="23">
        <v>2500000</v>
      </c>
      <c r="E3229" s="12">
        <v>1085255753</v>
      </c>
      <c r="F3229" s="12" t="s">
        <v>1681</v>
      </c>
      <c r="G3229" t="s">
        <v>1094</v>
      </c>
    </row>
    <row r="3230" spans="1:7" ht="15" customHeight="1" x14ac:dyDescent="0.25">
      <c r="A3230" s="33" t="s">
        <v>1308</v>
      </c>
      <c r="B3230" s="12" t="s">
        <v>1477</v>
      </c>
      <c r="C3230" s="12" t="s">
        <v>1216</v>
      </c>
      <c r="D3230" s="23">
        <v>2500000</v>
      </c>
      <c r="E3230" s="12">
        <v>1088729401</v>
      </c>
      <c r="F3230" s="12" t="s">
        <v>1707</v>
      </c>
      <c r="G3230" t="s">
        <v>1094</v>
      </c>
    </row>
    <row r="3231" spans="1:7" ht="15" customHeight="1" x14ac:dyDescent="0.25">
      <c r="A3231" s="33" t="s">
        <v>1308</v>
      </c>
      <c r="B3231" s="12" t="s">
        <v>1478</v>
      </c>
      <c r="C3231" s="12" t="s">
        <v>1217</v>
      </c>
      <c r="D3231" s="23">
        <v>7500000</v>
      </c>
      <c r="E3231" s="12">
        <v>1087006619</v>
      </c>
      <c r="F3231" s="12" t="s">
        <v>1709</v>
      </c>
      <c r="G3231" t="s">
        <v>1094</v>
      </c>
    </row>
    <row r="3232" spans="1:7" ht="15" customHeight="1" x14ac:dyDescent="0.25">
      <c r="A3232" s="33" t="s">
        <v>1308</v>
      </c>
      <c r="B3232" s="12" t="s">
        <v>1479</v>
      </c>
      <c r="C3232" s="4" t="s">
        <v>1219</v>
      </c>
      <c r="D3232" s="23">
        <v>75390000</v>
      </c>
      <c r="E3232" s="12">
        <v>805021222</v>
      </c>
      <c r="F3232" s="12" t="s">
        <v>1711</v>
      </c>
      <c r="G3232" t="s">
        <v>1094</v>
      </c>
    </row>
    <row r="3233" spans="1:7" ht="15" customHeight="1" x14ac:dyDescent="0.25">
      <c r="A3233" s="33" t="s">
        <v>1299</v>
      </c>
      <c r="B3233" s="12" t="s">
        <v>1480</v>
      </c>
      <c r="C3233" s="12" t="s">
        <v>1120</v>
      </c>
      <c r="D3233" s="23">
        <v>3000000</v>
      </c>
      <c r="E3233" s="12">
        <v>1233189234</v>
      </c>
      <c r="F3233" s="12" t="s">
        <v>87</v>
      </c>
      <c r="G3233" t="s">
        <v>1094</v>
      </c>
    </row>
    <row r="3234" spans="1:7" ht="15" customHeight="1" x14ac:dyDescent="0.25">
      <c r="A3234" s="33" t="s">
        <v>1299</v>
      </c>
      <c r="B3234" s="12" t="s">
        <v>1481</v>
      </c>
      <c r="C3234" s="12" t="s">
        <v>1162</v>
      </c>
      <c r="D3234" s="23">
        <v>3000000</v>
      </c>
      <c r="E3234" s="12">
        <v>1087006717</v>
      </c>
      <c r="F3234" s="12" t="s">
        <v>1661</v>
      </c>
      <c r="G3234" t="s">
        <v>1094</v>
      </c>
    </row>
    <row r="3235" spans="1:7" ht="15" customHeight="1" x14ac:dyDescent="0.25">
      <c r="A3235" s="33" t="s">
        <v>1299</v>
      </c>
      <c r="B3235" s="12" t="s">
        <v>1482</v>
      </c>
      <c r="C3235" s="12" t="s">
        <v>1104</v>
      </c>
      <c r="D3235" s="23">
        <v>2500000</v>
      </c>
      <c r="E3235" s="12">
        <v>1233189896</v>
      </c>
      <c r="F3235" s="12" t="s">
        <v>1597</v>
      </c>
      <c r="G3235" t="s">
        <v>1094</v>
      </c>
    </row>
    <row r="3236" spans="1:7" ht="15" customHeight="1" x14ac:dyDescent="0.25">
      <c r="A3236" s="33" t="s">
        <v>1299</v>
      </c>
      <c r="B3236" s="12" t="s">
        <v>1410</v>
      </c>
      <c r="C3236" s="12" t="s">
        <v>1127</v>
      </c>
      <c r="D3236" s="23">
        <v>7500000</v>
      </c>
      <c r="E3236" s="12">
        <v>1006106084</v>
      </c>
      <c r="F3236" s="12" t="s">
        <v>1625</v>
      </c>
      <c r="G3236" t="s">
        <v>1094</v>
      </c>
    </row>
    <row r="3237" spans="1:7" ht="15" customHeight="1" x14ac:dyDescent="0.25">
      <c r="A3237" s="33" t="s">
        <v>1299</v>
      </c>
      <c r="B3237" s="12" t="s">
        <v>1483</v>
      </c>
      <c r="C3237" s="12" t="s">
        <v>1155</v>
      </c>
      <c r="D3237" s="23">
        <v>3000000</v>
      </c>
      <c r="E3237" s="12">
        <v>1085326791</v>
      </c>
      <c r="F3237" s="12" t="s">
        <v>479</v>
      </c>
      <c r="G3237" t="s">
        <v>1094</v>
      </c>
    </row>
    <row r="3238" spans="1:7" ht="15" customHeight="1" x14ac:dyDescent="0.25">
      <c r="A3238" s="33" t="s">
        <v>1299</v>
      </c>
      <c r="B3238" s="12" t="s">
        <v>1484</v>
      </c>
      <c r="C3238" s="12" t="s">
        <v>1153</v>
      </c>
      <c r="D3238" s="23">
        <v>3000000</v>
      </c>
      <c r="E3238" s="12">
        <v>37082232</v>
      </c>
      <c r="F3238" s="12" t="s">
        <v>1655</v>
      </c>
      <c r="G3238" t="s">
        <v>1094</v>
      </c>
    </row>
    <row r="3239" spans="1:7" ht="15" customHeight="1" x14ac:dyDescent="0.25">
      <c r="A3239" s="33" t="s">
        <v>1299</v>
      </c>
      <c r="B3239" s="12" t="s">
        <v>1485</v>
      </c>
      <c r="C3239" s="12" t="s">
        <v>1221</v>
      </c>
      <c r="D3239" s="23">
        <v>3000000</v>
      </c>
      <c r="E3239" s="12">
        <v>1085304308</v>
      </c>
      <c r="F3239" s="12" t="s">
        <v>1222</v>
      </c>
      <c r="G3239" t="s">
        <v>1094</v>
      </c>
    </row>
    <row r="3240" spans="1:7" ht="15" customHeight="1" x14ac:dyDescent="0.25">
      <c r="A3240" s="33" t="s">
        <v>1299</v>
      </c>
      <c r="B3240" s="12" t="s">
        <v>1486</v>
      </c>
      <c r="C3240" s="12" t="s">
        <v>1169</v>
      </c>
      <c r="D3240" s="23">
        <v>6000000</v>
      </c>
      <c r="E3240" s="12">
        <v>59820414</v>
      </c>
      <c r="F3240" s="12" t="s">
        <v>457</v>
      </c>
      <c r="G3240" t="s">
        <v>1094</v>
      </c>
    </row>
    <row r="3241" spans="1:7" ht="15" customHeight="1" x14ac:dyDescent="0.25">
      <c r="A3241" s="33" t="s">
        <v>1299</v>
      </c>
      <c r="B3241" s="12" t="s">
        <v>1487</v>
      </c>
      <c r="C3241" s="12" t="s">
        <v>1223</v>
      </c>
      <c r="D3241" s="23">
        <v>6000000</v>
      </c>
      <c r="E3241" s="12">
        <v>27097745</v>
      </c>
      <c r="F3241" s="12" t="s">
        <v>1714</v>
      </c>
      <c r="G3241" t="s">
        <v>1094</v>
      </c>
    </row>
    <row r="3242" spans="1:7" ht="15" customHeight="1" x14ac:dyDescent="0.25">
      <c r="A3242" s="33" t="s">
        <v>1299</v>
      </c>
      <c r="B3242" s="12" t="s">
        <v>1488</v>
      </c>
      <c r="C3242" s="4" t="s">
        <v>1225</v>
      </c>
      <c r="D3242" s="23">
        <v>2500000</v>
      </c>
      <c r="E3242" s="12">
        <v>1087408320</v>
      </c>
      <c r="F3242" s="12" t="s">
        <v>1715</v>
      </c>
      <c r="G3242" t="s">
        <v>1094</v>
      </c>
    </row>
    <row r="3243" spans="1:7" ht="15" customHeight="1" x14ac:dyDescent="0.25">
      <c r="A3243" s="33" t="s">
        <v>1299</v>
      </c>
      <c r="B3243" s="12" t="s">
        <v>1489</v>
      </c>
      <c r="C3243" s="12" t="s">
        <v>1157</v>
      </c>
      <c r="D3243" s="23">
        <v>3000000</v>
      </c>
      <c r="E3243" s="12">
        <v>1085315013</v>
      </c>
      <c r="F3243" s="12" t="s">
        <v>1659</v>
      </c>
      <c r="G3243" t="s">
        <v>1094</v>
      </c>
    </row>
    <row r="3244" spans="1:7" ht="15" customHeight="1" x14ac:dyDescent="0.25">
      <c r="A3244" s="33" t="s">
        <v>1299</v>
      </c>
      <c r="B3244" s="12" t="s">
        <v>1490</v>
      </c>
      <c r="C3244" s="12" t="s">
        <v>1109</v>
      </c>
      <c r="D3244" s="23">
        <v>3000000</v>
      </c>
      <c r="E3244" s="12">
        <v>1081594639</v>
      </c>
      <c r="F3244" s="12" t="s">
        <v>1110</v>
      </c>
      <c r="G3244" t="s">
        <v>1094</v>
      </c>
    </row>
    <row r="3245" spans="1:7" ht="15" customHeight="1" x14ac:dyDescent="0.25">
      <c r="A3245" s="33" t="s">
        <v>1299</v>
      </c>
      <c r="B3245" s="12" t="s">
        <v>1491</v>
      </c>
      <c r="C3245" s="12" t="s">
        <v>1148</v>
      </c>
      <c r="D3245" s="23">
        <v>3000000</v>
      </c>
      <c r="E3245" s="12">
        <v>1004535234</v>
      </c>
      <c r="F3245" s="12" t="s">
        <v>507</v>
      </c>
      <c r="G3245" t="s">
        <v>1094</v>
      </c>
    </row>
    <row r="3246" spans="1:7" ht="15" customHeight="1" x14ac:dyDescent="0.25">
      <c r="A3246" s="33" t="s">
        <v>1299</v>
      </c>
      <c r="B3246" s="12" t="s">
        <v>1492</v>
      </c>
      <c r="C3246" s="12" t="s">
        <v>1159</v>
      </c>
      <c r="D3246" s="23">
        <v>3000000</v>
      </c>
      <c r="E3246" s="12">
        <v>1086363186</v>
      </c>
      <c r="F3246" s="12" t="s">
        <v>1160</v>
      </c>
      <c r="G3246" t="s">
        <v>1094</v>
      </c>
    </row>
    <row r="3247" spans="1:7" ht="15" customHeight="1" x14ac:dyDescent="0.25">
      <c r="A3247" s="33" t="s">
        <v>1299</v>
      </c>
      <c r="B3247" s="12" t="s">
        <v>1493</v>
      </c>
      <c r="C3247" s="12" t="s">
        <v>1113</v>
      </c>
      <c r="D3247" s="23">
        <v>3000000</v>
      </c>
      <c r="E3247" s="12">
        <v>1086222689</v>
      </c>
      <c r="F3247" s="12" t="s">
        <v>1114</v>
      </c>
      <c r="G3247" t="s">
        <v>1094</v>
      </c>
    </row>
    <row r="3248" spans="1:7" ht="15" customHeight="1" x14ac:dyDescent="0.25">
      <c r="A3248" s="33" t="s">
        <v>1299</v>
      </c>
      <c r="B3248" s="12" t="s">
        <v>1494</v>
      </c>
      <c r="C3248" s="12" t="s">
        <v>1099</v>
      </c>
      <c r="D3248" s="23">
        <v>7500000</v>
      </c>
      <c r="E3248" s="12">
        <v>1085329980</v>
      </c>
      <c r="F3248" s="12" t="s">
        <v>1592</v>
      </c>
      <c r="G3248" t="s">
        <v>1094</v>
      </c>
    </row>
    <row r="3249" spans="1:7" ht="15" customHeight="1" x14ac:dyDescent="0.25">
      <c r="A3249" s="33" t="s">
        <v>1299</v>
      </c>
      <c r="B3249" s="12" t="s">
        <v>1495</v>
      </c>
      <c r="C3249" s="12" t="s">
        <v>1226</v>
      </c>
      <c r="D3249" s="23">
        <v>5000000</v>
      </c>
      <c r="E3249" s="12">
        <v>1085313872</v>
      </c>
      <c r="F3249" s="12" t="s">
        <v>614</v>
      </c>
      <c r="G3249" t="s">
        <v>1094</v>
      </c>
    </row>
    <row r="3250" spans="1:7" ht="15" customHeight="1" x14ac:dyDescent="0.25">
      <c r="A3250" s="33" t="s">
        <v>1309</v>
      </c>
      <c r="B3250" s="12" t="s">
        <v>1496</v>
      </c>
      <c r="C3250" s="12" t="s">
        <v>1227</v>
      </c>
      <c r="D3250" s="23">
        <v>5000000</v>
      </c>
      <c r="E3250" s="12">
        <v>27220499</v>
      </c>
      <c r="F3250" s="12" t="s">
        <v>1716</v>
      </c>
      <c r="G3250" t="s">
        <v>1094</v>
      </c>
    </row>
    <row r="3251" spans="1:7" ht="15" customHeight="1" x14ac:dyDescent="0.25">
      <c r="A3251" s="33" t="s">
        <v>1309</v>
      </c>
      <c r="B3251" s="12" t="s">
        <v>1497</v>
      </c>
      <c r="C3251" s="12" t="s">
        <v>1228</v>
      </c>
      <c r="D3251" s="23">
        <v>3000000</v>
      </c>
      <c r="E3251" s="12">
        <v>1084224968</v>
      </c>
      <c r="F3251" s="12" t="s">
        <v>1718</v>
      </c>
      <c r="G3251" t="s">
        <v>1094</v>
      </c>
    </row>
    <row r="3252" spans="1:7" ht="15" customHeight="1" x14ac:dyDescent="0.25">
      <c r="A3252" s="33" t="s">
        <v>1309</v>
      </c>
      <c r="B3252" s="12" t="s">
        <v>1498</v>
      </c>
      <c r="C3252" s="12" t="s">
        <v>1151</v>
      </c>
      <c r="D3252" s="23">
        <v>3000000</v>
      </c>
      <c r="E3252" s="12">
        <v>1085269090</v>
      </c>
      <c r="F3252" s="12" t="s">
        <v>371</v>
      </c>
      <c r="G3252" t="s">
        <v>1094</v>
      </c>
    </row>
    <row r="3253" spans="1:7" ht="15" customHeight="1" x14ac:dyDescent="0.25">
      <c r="A3253" s="33" t="s">
        <v>1309</v>
      </c>
      <c r="B3253" s="12" t="s">
        <v>1499</v>
      </c>
      <c r="C3253" s="12" t="s">
        <v>1229</v>
      </c>
      <c r="D3253" s="23">
        <v>2500000</v>
      </c>
      <c r="E3253" s="12">
        <v>1084552048</v>
      </c>
      <c r="F3253" s="12" t="s">
        <v>1720</v>
      </c>
      <c r="G3253" t="s">
        <v>1094</v>
      </c>
    </row>
    <row r="3254" spans="1:7" ht="15" customHeight="1" x14ac:dyDescent="0.25">
      <c r="A3254" s="33" t="s">
        <v>1309</v>
      </c>
      <c r="B3254" s="12" t="s">
        <v>1500</v>
      </c>
      <c r="C3254" s="12" t="s">
        <v>1231</v>
      </c>
      <c r="D3254" s="23">
        <v>6000000</v>
      </c>
      <c r="E3254" s="12">
        <v>1085253062</v>
      </c>
      <c r="F3254" s="12" t="s">
        <v>1722</v>
      </c>
      <c r="G3254" t="s">
        <v>1094</v>
      </c>
    </row>
    <row r="3255" spans="1:7" ht="15" customHeight="1" x14ac:dyDescent="0.25">
      <c r="A3255" s="33" t="s">
        <v>1309</v>
      </c>
      <c r="B3255" s="12" t="s">
        <v>1501</v>
      </c>
      <c r="C3255" s="12" t="s">
        <v>1232</v>
      </c>
      <c r="D3255" s="23">
        <v>6000000</v>
      </c>
      <c r="E3255" s="12">
        <v>59314458</v>
      </c>
      <c r="F3255" s="12" t="s">
        <v>1233</v>
      </c>
      <c r="G3255" t="s">
        <v>1094</v>
      </c>
    </row>
    <row r="3256" spans="1:7" ht="15" customHeight="1" x14ac:dyDescent="0.25">
      <c r="A3256" s="33" t="s">
        <v>1309</v>
      </c>
      <c r="B3256" s="12" t="s">
        <v>1502</v>
      </c>
      <c r="C3256" s="12" t="s">
        <v>1150</v>
      </c>
      <c r="D3256" s="23">
        <v>6000000</v>
      </c>
      <c r="E3256" s="12">
        <v>1085275879</v>
      </c>
      <c r="F3256" s="12" t="s">
        <v>117</v>
      </c>
      <c r="G3256" t="s">
        <v>1094</v>
      </c>
    </row>
    <row r="3257" spans="1:7" ht="15" customHeight="1" x14ac:dyDescent="0.25">
      <c r="A3257" s="33" t="s">
        <v>1309</v>
      </c>
      <c r="B3257" s="12" t="s">
        <v>1503</v>
      </c>
      <c r="C3257" s="12" t="s">
        <v>1138</v>
      </c>
      <c r="D3257" s="23">
        <v>4825000</v>
      </c>
      <c r="E3257" s="12">
        <v>1085269530</v>
      </c>
      <c r="F3257" s="12" t="s">
        <v>1636</v>
      </c>
      <c r="G3257" t="s">
        <v>1094</v>
      </c>
    </row>
    <row r="3258" spans="1:7" ht="15" customHeight="1" x14ac:dyDescent="0.25">
      <c r="A3258" s="33" t="s">
        <v>1309</v>
      </c>
      <c r="B3258" s="12" t="s">
        <v>1504</v>
      </c>
      <c r="C3258" s="12" t="s">
        <v>1152</v>
      </c>
      <c r="D3258" s="23">
        <v>6000000</v>
      </c>
      <c r="E3258" s="12">
        <v>1014212900</v>
      </c>
      <c r="F3258" s="12" t="s">
        <v>1654</v>
      </c>
      <c r="G3258" t="s">
        <v>1094</v>
      </c>
    </row>
    <row r="3259" spans="1:7" ht="15" customHeight="1" x14ac:dyDescent="0.25">
      <c r="A3259" s="33" t="s">
        <v>1309</v>
      </c>
      <c r="B3259" s="12" t="s">
        <v>1505</v>
      </c>
      <c r="C3259" s="12" t="s">
        <v>1129</v>
      </c>
      <c r="D3259" s="23">
        <v>4750000</v>
      </c>
      <c r="E3259" s="12">
        <v>36759759</v>
      </c>
      <c r="F3259" s="12" t="s">
        <v>705</v>
      </c>
      <c r="G3259" t="s">
        <v>1094</v>
      </c>
    </row>
    <row r="3260" spans="1:7" ht="15" customHeight="1" x14ac:dyDescent="0.25">
      <c r="A3260" s="33" t="s">
        <v>1300</v>
      </c>
      <c r="B3260" s="12" t="s">
        <v>1506</v>
      </c>
      <c r="C3260" s="12" t="s">
        <v>1176</v>
      </c>
      <c r="D3260" s="23">
        <v>3000000</v>
      </c>
      <c r="E3260" s="12">
        <v>59706564</v>
      </c>
      <c r="F3260" s="12" t="s">
        <v>1177</v>
      </c>
      <c r="G3260" t="s">
        <v>1094</v>
      </c>
    </row>
    <row r="3261" spans="1:7" ht="15" customHeight="1" x14ac:dyDescent="0.25">
      <c r="A3261" s="33" t="s">
        <v>1300</v>
      </c>
      <c r="B3261" s="12" t="s">
        <v>1507</v>
      </c>
      <c r="C3261" s="12" t="s">
        <v>1234</v>
      </c>
      <c r="D3261" s="23">
        <v>3000000</v>
      </c>
      <c r="E3261" s="12">
        <v>27088197</v>
      </c>
      <c r="F3261" s="12" t="s">
        <v>1235</v>
      </c>
      <c r="G3261" t="s">
        <v>1094</v>
      </c>
    </row>
    <row r="3262" spans="1:7" ht="15" customHeight="1" x14ac:dyDescent="0.25">
      <c r="A3262" s="33" t="s">
        <v>1300</v>
      </c>
      <c r="B3262" s="12" t="s">
        <v>1508</v>
      </c>
      <c r="C3262" s="12" t="s">
        <v>1178</v>
      </c>
      <c r="D3262" s="23">
        <v>3000000</v>
      </c>
      <c r="E3262" s="12">
        <v>1085314608</v>
      </c>
      <c r="F3262" s="12" t="s">
        <v>1179</v>
      </c>
      <c r="G3262" t="s">
        <v>1094</v>
      </c>
    </row>
    <row r="3263" spans="1:7" ht="15" customHeight="1" x14ac:dyDescent="0.25">
      <c r="A3263" s="33" t="s">
        <v>1300</v>
      </c>
      <c r="B3263" s="12" t="s">
        <v>1411</v>
      </c>
      <c r="C3263" s="12" t="s">
        <v>1185</v>
      </c>
      <c r="D3263" s="23">
        <v>3000000</v>
      </c>
      <c r="E3263" s="12">
        <v>1030606749</v>
      </c>
      <c r="F3263" s="12" t="s">
        <v>1678</v>
      </c>
      <c r="G3263" t="s">
        <v>1094</v>
      </c>
    </row>
    <row r="3264" spans="1:7" ht="15" customHeight="1" x14ac:dyDescent="0.25">
      <c r="A3264" s="33" t="s">
        <v>1300</v>
      </c>
      <c r="B3264" s="12" t="s">
        <v>1509</v>
      </c>
      <c r="C3264" s="12" t="s">
        <v>1180</v>
      </c>
      <c r="D3264" s="23">
        <v>3000000</v>
      </c>
      <c r="E3264" s="12">
        <v>1086329609</v>
      </c>
      <c r="F3264" s="12" t="s">
        <v>1672</v>
      </c>
      <c r="G3264" t="s">
        <v>1094</v>
      </c>
    </row>
    <row r="3265" spans="1:7" ht="15" customHeight="1" x14ac:dyDescent="0.25">
      <c r="A3265" s="33" t="s">
        <v>1300</v>
      </c>
      <c r="B3265" s="12" t="s">
        <v>1510</v>
      </c>
      <c r="C3265" s="12" t="s">
        <v>1236</v>
      </c>
      <c r="D3265" s="23">
        <v>4825000</v>
      </c>
      <c r="E3265" s="12">
        <v>1085311814</v>
      </c>
      <c r="F3265" s="12" t="s">
        <v>1725</v>
      </c>
      <c r="G3265" t="s">
        <v>1094</v>
      </c>
    </row>
    <row r="3266" spans="1:7" ht="15" customHeight="1" x14ac:dyDescent="0.25">
      <c r="A3266" s="33" t="s">
        <v>1300</v>
      </c>
      <c r="B3266" s="12" t="s">
        <v>1511</v>
      </c>
      <c r="C3266" s="12" t="s">
        <v>1174</v>
      </c>
      <c r="D3266" s="23">
        <v>3000000</v>
      </c>
      <c r="E3266" s="12">
        <v>1085274630</v>
      </c>
      <c r="F3266" s="12" t="s">
        <v>1175</v>
      </c>
      <c r="G3266" t="s">
        <v>1094</v>
      </c>
    </row>
    <row r="3267" spans="1:7" ht="15" customHeight="1" x14ac:dyDescent="0.25">
      <c r="A3267" s="33" t="s">
        <v>1300</v>
      </c>
      <c r="B3267" s="12" t="s">
        <v>1512</v>
      </c>
      <c r="C3267" s="12" t="s">
        <v>1237</v>
      </c>
      <c r="D3267" s="23">
        <v>6000000</v>
      </c>
      <c r="E3267" s="12">
        <v>36954410</v>
      </c>
      <c r="F3267" s="12" t="s">
        <v>343</v>
      </c>
      <c r="G3267" t="s">
        <v>1094</v>
      </c>
    </row>
    <row r="3268" spans="1:7" ht="15" customHeight="1" x14ac:dyDescent="0.25">
      <c r="A3268" s="33" t="s">
        <v>1310</v>
      </c>
      <c r="B3268" s="12" t="s">
        <v>1513</v>
      </c>
      <c r="C3268" s="12" t="s">
        <v>1191</v>
      </c>
      <c r="D3268" s="23">
        <v>6000000</v>
      </c>
      <c r="E3268" s="12">
        <v>59825948</v>
      </c>
      <c r="F3268" s="12" t="s">
        <v>1684</v>
      </c>
      <c r="G3268" t="s">
        <v>1094</v>
      </c>
    </row>
    <row r="3269" spans="1:7" ht="15" customHeight="1" x14ac:dyDescent="0.25">
      <c r="A3269" s="33" t="s">
        <v>1310</v>
      </c>
      <c r="B3269" s="12" t="s">
        <v>1514</v>
      </c>
      <c r="C3269" s="12" t="s">
        <v>1199</v>
      </c>
      <c r="D3269" s="23">
        <v>3000000</v>
      </c>
      <c r="E3269" s="12">
        <v>1085300095</v>
      </c>
      <c r="F3269" s="12" t="s">
        <v>201</v>
      </c>
      <c r="G3269" t="s">
        <v>1094</v>
      </c>
    </row>
    <row r="3270" spans="1:7" ht="15" customHeight="1" x14ac:dyDescent="0.25">
      <c r="A3270" s="33" t="s">
        <v>1310</v>
      </c>
      <c r="B3270" s="12" t="s">
        <v>1515</v>
      </c>
      <c r="C3270" s="12" t="s">
        <v>1200</v>
      </c>
      <c r="D3270" s="23">
        <v>3000000</v>
      </c>
      <c r="E3270" s="12">
        <v>1088733625</v>
      </c>
      <c r="F3270" s="12" t="s">
        <v>559</v>
      </c>
      <c r="G3270" t="s">
        <v>1094</v>
      </c>
    </row>
    <row r="3271" spans="1:7" ht="15" customHeight="1" x14ac:dyDescent="0.25">
      <c r="A3271" s="33" t="s">
        <v>1310</v>
      </c>
      <c r="B3271" s="12" t="s">
        <v>1516</v>
      </c>
      <c r="C3271" s="12" t="s">
        <v>1154</v>
      </c>
      <c r="D3271" s="23">
        <v>3000000</v>
      </c>
      <c r="E3271" s="12">
        <v>1004743217</v>
      </c>
      <c r="F3271" s="12" t="s">
        <v>1656</v>
      </c>
      <c r="G3271" t="s">
        <v>1094</v>
      </c>
    </row>
    <row r="3272" spans="1:7" ht="15" customHeight="1" x14ac:dyDescent="0.25">
      <c r="A3272" s="33" t="s">
        <v>1310</v>
      </c>
      <c r="B3272" s="12" t="s">
        <v>1517</v>
      </c>
      <c r="C3272" s="12" t="s">
        <v>1238</v>
      </c>
      <c r="D3272" s="23">
        <v>2500000</v>
      </c>
      <c r="E3272" s="12">
        <v>30734666</v>
      </c>
      <c r="F3272" s="12" t="s">
        <v>1239</v>
      </c>
      <c r="G3272" t="s">
        <v>1094</v>
      </c>
    </row>
    <row r="3273" spans="1:7" ht="15" customHeight="1" x14ac:dyDescent="0.25">
      <c r="A3273" s="33" t="s">
        <v>1311</v>
      </c>
      <c r="B3273" s="12" t="s">
        <v>1518</v>
      </c>
      <c r="C3273" s="12" t="s">
        <v>1240</v>
      </c>
      <c r="D3273" s="23">
        <v>3000000</v>
      </c>
      <c r="E3273" s="12">
        <v>1086223299</v>
      </c>
      <c r="F3273" s="12" t="s">
        <v>455</v>
      </c>
      <c r="G3273" t="s">
        <v>1094</v>
      </c>
    </row>
    <row r="3274" spans="1:7" ht="15" customHeight="1" x14ac:dyDescent="0.25">
      <c r="A3274" s="33" t="s">
        <v>1312</v>
      </c>
      <c r="B3274" s="12" t="s">
        <v>1519</v>
      </c>
      <c r="C3274" s="12" t="s">
        <v>1241</v>
      </c>
      <c r="D3274" s="23">
        <v>3000000</v>
      </c>
      <c r="E3274" s="12">
        <v>1085344795</v>
      </c>
      <c r="F3274" s="12" t="s">
        <v>1242</v>
      </c>
      <c r="G3274" t="s">
        <v>1094</v>
      </c>
    </row>
    <row r="3275" spans="1:7" ht="15" customHeight="1" x14ac:dyDescent="0.25">
      <c r="A3275" s="33" t="s">
        <v>1312</v>
      </c>
      <c r="B3275" s="12" t="s">
        <v>1524</v>
      </c>
      <c r="C3275" s="12" t="s">
        <v>1215</v>
      </c>
      <c r="D3275" s="23">
        <v>6000000</v>
      </c>
      <c r="E3275" s="12">
        <v>1082748420</v>
      </c>
      <c r="F3275" s="12" t="s">
        <v>1706</v>
      </c>
      <c r="G3275" t="s">
        <v>1094</v>
      </c>
    </row>
    <row r="3276" spans="1:7" ht="15" customHeight="1" x14ac:dyDescent="0.25">
      <c r="A3276" s="33" t="s">
        <v>1312</v>
      </c>
      <c r="B3276" s="12" t="s">
        <v>1525</v>
      </c>
      <c r="C3276" s="12" t="s">
        <v>1229</v>
      </c>
      <c r="D3276" s="23">
        <v>2500000</v>
      </c>
      <c r="E3276" s="12">
        <v>1084552048</v>
      </c>
      <c r="F3276" s="12" t="s">
        <v>1720</v>
      </c>
      <c r="G3276" t="s">
        <v>1094</v>
      </c>
    </row>
    <row r="3277" spans="1:7" ht="15" customHeight="1" x14ac:dyDescent="0.25">
      <c r="A3277" s="33" t="s">
        <v>1312</v>
      </c>
      <c r="B3277" s="12" t="s">
        <v>1526</v>
      </c>
      <c r="C3277" s="12" t="s">
        <v>1146</v>
      </c>
      <c r="D3277" s="23">
        <v>3000000</v>
      </c>
      <c r="E3277" s="12">
        <v>37084285</v>
      </c>
      <c r="F3277" s="12" t="s">
        <v>119</v>
      </c>
      <c r="G3277" t="s">
        <v>1094</v>
      </c>
    </row>
    <row r="3278" spans="1:7" ht="15" customHeight="1" x14ac:dyDescent="0.25">
      <c r="A3278" s="33" t="s">
        <v>1312</v>
      </c>
      <c r="B3278" s="12" t="s">
        <v>1527</v>
      </c>
      <c r="C3278" s="12" t="s">
        <v>1149</v>
      </c>
      <c r="D3278" s="23">
        <v>3000000</v>
      </c>
      <c r="E3278" s="12">
        <v>1192717330</v>
      </c>
      <c r="F3278" s="12" t="s">
        <v>277</v>
      </c>
      <c r="G3278" t="s">
        <v>1094</v>
      </c>
    </row>
    <row r="3279" spans="1:7" ht="15" customHeight="1" x14ac:dyDescent="0.25">
      <c r="A3279" s="33" t="s">
        <v>1312</v>
      </c>
      <c r="B3279" s="12" t="s">
        <v>1528</v>
      </c>
      <c r="C3279" s="12" t="s">
        <v>1137</v>
      </c>
      <c r="D3279" s="23">
        <v>6000000</v>
      </c>
      <c r="E3279" s="12">
        <v>59837608</v>
      </c>
      <c r="F3279" s="12" t="s">
        <v>145</v>
      </c>
      <c r="G3279" t="s">
        <v>1094</v>
      </c>
    </row>
    <row r="3280" spans="1:7" ht="15" customHeight="1" x14ac:dyDescent="0.25">
      <c r="A3280" s="33" t="s">
        <v>1312</v>
      </c>
      <c r="B3280" s="12" t="s">
        <v>1529</v>
      </c>
      <c r="C3280" s="12" t="s">
        <v>1115</v>
      </c>
      <c r="D3280" s="23">
        <v>3000000</v>
      </c>
      <c r="E3280" s="12">
        <v>1193271854</v>
      </c>
      <c r="F3280" s="12" t="s">
        <v>229</v>
      </c>
      <c r="G3280" t="s">
        <v>1094</v>
      </c>
    </row>
    <row r="3281" spans="1:7" ht="15" customHeight="1" x14ac:dyDescent="0.25">
      <c r="A3281" s="33" t="s">
        <v>1312</v>
      </c>
      <c r="B3281" s="12" t="s">
        <v>1530</v>
      </c>
      <c r="C3281" s="12" t="s">
        <v>1203</v>
      </c>
      <c r="D3281" s="23">
        <v>2500000</v>
      </c>
      <c r="E3281" s="12">
        <v>37087268</v>
      </c>
      <c r="F3281" s="12" t="s">
        <v>257</v>
      </c>
      <c r="G3281" t="s">
        <v>1094</v>
      </c>
    </row>
    <row r="3282" spans="1:7" ht="15" customHeight="1" x14ac:dyDescent="0.25">
      <c r="A3282" s="33" t="s">
        <v>1312</v>
      </c>
      <c r="B3282" s="12" t="s">
        <v>1531</v>
      </c>
      <c r="C3282" s="12" t="s">
        <v>1117</v>
      </c>
      <c r="D3282" s="23">
        <v>3000000</v>
      </c>
      <c r="E3282" s="12">
        <v>1081592303</v>
      </c>
      <c r="F3282" s="12" t="s">
        <v>1613</v>
      </c>
      <c r="G3282" t="s">
        <v>1094</v>
      </c>
    </row>
    <row r="3283" spans="1:7" ht="15" customHeight="1" x14ac:dyDescent="0.25">
      <c r="A3283" s="33" t="s">
        <v>1312</v>
      </c>
      <c r="B3283" s="12" t="s">
        <v>1532</v>
      </c>
      <c r="C3283" s="12" t="s">
        <v>1246</v>
      </c>
      <c r="D3283" s="23">
        <v>3000000</v>
      </c>
      <c r="E3283" s="12">
        <v>27087122</v>
      </c>
      <c r="F3283" s="12" t="s">
        <v>37</v>
      </c>
      <c r="G3283" t="s">
        <v>1094</v>
      </c>
    </row>
    <row r="3284" spans="1:7" ht="15" customHeight="1" x14ac:dyDescent="0.25">
      <c r="A3284" s="33" t="s">
        <v>1312</v>
      </c>
      <c r="B3284" s="12" t="s">
        <v>1533</v>
      </c>
      <c r="C3284" s="12" t="s">
        <v>1221</v>
      </c>
      <c r="D3284" s="23">
        <v>3000000</v>
      </c>
      <c r="E3284" s="12">
        <v>1085304308</v>
      </c>
      <c r="F3284" s="12" t="s">
        <v>1222</v>
      </c>
      <c r="G3284" t="s">
        <v>1094</v>
      </c>
    </row>
    <row r="3285" spans="1:7" ht="15" customHeight="1" x14ac:dyDescent="0.25">
      <c r="A3285" s="33" t="s">
        <v>1313</v>
      </c>
      <c r="B3285" s="12" t="s">
        <v>1534</v>
      </c>
      <c r="C3285" s="12" t="s">
        <v>1219</v>
      </c>
      <c r="D3285" s="23">
        <v>49606946</v>
      </c>
      <c r="E3285" s="12">
        <v>805021222</v>
      </c>
      <c r="F3285" s="12" t="s">
        <v>1711</v>
      </c>
      <c r="G3285" t="s">
        <v>1094</v>
      </c>
    </row>
    <row r="3286" spans="1:7" ht="15" customHeight="1" x14ac:dyDescent="0.25">
      <c r="A3286" s="33" t="s">
        <v>1313</v>
      </c>
      <c r="B3286" s="12" t="s">
        <v>1535</v>
      </c>
      <c r="C3286" s="12" t="s">
        <v>1186</v>
      </c>
      <c r="D3286" s="23">
        <v>3000000</v>
      </c>
      <c r="E3286" s="12">
        <v>1085286725</v>
      </c>
      <c r="F3286" s="12" t="s">
        <v>111</v>
      </c>
      <c r="G3286" t="s">
        <v>1094</v>
      </c>
    </row>
    <row r="3287" spans="1:7" ht="15" customHeight="1" x14ac:dyDescent="0.25">
      <c r="A3287" s="33" t="s">
        <v>1313</v>
      </c>
      <c r="B3287" s="12" t="s">
        <v>1536</v>
      </c>
      <c r="C3287" s="12" t="s">
        <v>1168</v>
      </c>
      <c r="D3287" s="23">
        <v>3000000</v>
      </c>
      <c r="E3287" s="12">
        <v>1081572043</v>
      </c>
      <c r="F3287" s="12" t="s">
        <v>1668</v>
      </c>
      <c r="G3287" t="s">
        <v>1094</v>
      </c>
    </row>
    <row r="3288" spans="1:7" ht="15" customHeight="1" x14ac:dyDescent="0.25">
      <c r="A3288" s="33" t="s">
        <v>1313</v>
      </c>
      <c r="B3288" s="12" t="s">
        <v>1537</v>
      </c>
      <c r="C3288" s="12" t="s">
        <v>1212</v>
      </c>
      <c r="D3288" s="23">
        <v>4825000</v>
      </c>
      <c r="E3288" s="12">
        <v>36951301</v>
      </c>
      <c r="F3288" s="12" t="s">
        <v>1213</v>
      </c>
      <c r="G3288" t="s">
        <v>1094</v>
      </c>
    </row>
    <row r="3289" spans="1:7" ht="15" customHeight="1" x14ac:dyDescent="0.25">
      <c r="A3289" s="33" t="s">
        <v>1313</v>
      </c>
      <c r="B3289" s="12" t="s">
        <v>1520</v>
      </c>
      <c r="C3289" s="12" t="s">
        <v>1243</v>
      </c>
      <c r="D3289" s="23">
        <v>4825000</v>
      </c>
      <c r="E3289" s="12">
        <v>12748383</v>
      </c>
      <c r="F3289" s="12" t="s">
        <v>1727</v>
      </c>
      <c r="G3289" t="s">
        <v>1094</v>
      </c>
    </row>
    <row r="3290" spans="1:7" ht="15" customHeight="1" x14ac:dyDescent="0.25">
      <c r="A3290" s="33" t="s">
        <v>1313</v>
      </c>
      <c r="B3290" s="12" t="s">
        <v>1538</v>
      </c>
      <c r="C3290" s="12" t="s">
        <v>1164</v>
      </c>
      <c r="D3290" s="23">
        <v>3000000</v>
      </c>
      <c r="E3290" s="12">
        <v>1085339190</v>
      </c>
      <c r="F3290" s="12" t="s">
        <v>149</v>
      </c>
      <c r="G3290" t="s">
        <v>1094</v>
      </c>
    </row>
    <row r="3291" spans="1:7" ht="15" customHeight="1" x14ac:dyDescent="0.25">
      <c r="A3291" s="33" t="s">
        <v>1316</v>
      </c>
      <c r="B3291" s="12" t="s">
        <v>1539</v>
      </c>
      <c r="C3291" s="12" t="s">
        <v>1247</v>
      </c>
      <c r="D3291" s="23">
        <v>3000000</v>
      </c>
      <c r="E3291" s="12">
        <v>1082747438</v>
      </c>
      <c r="F3291" s="12" t="s">
        <v>548</v>
      </c>
      <c r="G3291" t="s">
        <v>1094</v>
      </c>
    </row>
    <row r="3292" spans="1:7" ht="15" customHeight="1" x14ac:dyDescent="0.25">
      <c r="A3292" s="33" t="s">
        <v>1317</v>
      </c>
      <c r="B3292" s="12" t="s">
        <v>1540</v>
      </c>
      <c r="C3292" s="12" t="s">
        <v>1248</v>
      </c>
      <c r="D3292" s="23">
        <v>3000000</v>
      </c>
      <c r="E3292" s="12">
        <v>59813323</v>
      </c>
      <c r="F3292" s="12" t="s">
        <v>1733</v>
      </c>
      <c r="G3292" t="s">
        <v>1094</v>
      </c>
    </row>
    <row r="3293" spans="1:7" ht="15" customHeight="1" x14ac:dyDescent="0.25">
      <c r="A3293" s="33" t="s">
        <v>1317</v>
      </c>
      <c r="B3293" s="12" t="s">
        <v>1541</v>
      </c>
      <c r="C3293" s="12" t="s">
        <v>1209</v>
      </c>
      <c r="D3293" s="23">
        <v>3000000</v>
      </c>
      <c r="E3293" s="12">
        <v>1085261053</v>
      </c>
      <c r="F3293" s="12" t="s">
        <v>1702</v>
      </c>
      <c r="G3293" t="s">
        <v>1094</v>
      </c>
    </row>
    <row r="3294" spans="1:7" ht="15" customHeight="1" x14ac:dyDescent="0.25">
      <c r="A3294" s="33" t="s">
        <v>1317</v>
      </c>
      <c r="B3294" s="12" t="s">
        <v>1542</v>
      </c>
      <c r="C3294" s="12" t="s">
        <v>1206</v>
      </c>
      <c r="D3294" s="23">
        <v>3000000</v>
      </c>
      <c r="E3294" s="12">
        <v>1004592366</v>
      </c>
      <c r="F3294" s="12" t="s">
        <v>1697</v>
      </c>
      <c r="G3294" t="s">
        <v>1094</v>
      </c>
    </row>
    <row r="3295" spans="1:7" ht="15" customHeight="1" x14ac:dyDescent="0.25">
      <c r="A3295" s="33" t="s">
        <v>1317</v>
      </c>
      <c r="B3295" s="12" t="s">
        <v>1543</v>
      </c>
      <c r="C3295" s="12" t="s">
        <v>1249</v>
      </c>
      <c r="D3295" s="23">
        <v>2500000</v>
      </c>
      <c r="E3295" s="12">
        <v>1085327836</v>
      </c>
      <c r="F3295" s="12" t="s">
        <v>1735</v>
      </c>
      <c r="G3295" t="s">
        <v>1094</v>
      </c>
    </row>
    <row r="3296" spans="1:7" ht="15" customHeight="1" x14ac:dyDescent="0.25">
      <c r="A3296" s="33" t="s">
        <v>1317</v>
      </c>
      <c r="B3296" s="12" t="s">
        <v>1544</v>
      </c>
      <c r="C3296" s="12" t="s">
        <v>1250</v>
      </c>
      <c r="D3296" s="23">
        <v>3000000</v>
      </c>
      <c r="E3296" s="12">
        <v>59833899</v>
      </c>
      <c r="F3296" s="12" t="s">
        <v>1737</v>
      </c>
      <c r="G3296" t="s">
        <v>1094</v>
      </c>
    </row>
    <row r="3297" spans="1:7" ht="15" customHeight="1" x14ac:dyDescent="0.25">
      <c r="A3297" s="33" t="s">
        <v>1317</v>
      </c>
      <c r="B3297" s="12" t="s">
        <v>1545</v>
      </c>
      <c r="C3297" s="12" t="s">
        <v>1228</v>
      </c>
      <c r="D3297" s="23">
        <v>3000000</v>
      </c>
      <c r="E3297" s="12">
        <v>1084224968</v>
      </c>
      <c r="F3297" s="12" t="s">
        <v>1718</v>
      </c>
      <c r="G3297" t="s">
        <v>1094</v>
      </c>
    </row>
    <row r="3298" spans="1:7" ht="15" customHeight="1" x14ac:dyDescent="0.25">
      <c r="A3298" s="33" t="s">
        <v>1317</v>
      </c>
      <c r="B3298" s="12" t="s">
        <v>1546</v>
      </c>
      <c r="C3298" s="12" t="s">
        <v>1251</v>
      </c>
      <c r="D3298" s="23">
        <v>6000000</v>
      </c>
      <c r="E3298" s="12">
        <v>1193223736</v>
      </c>
      <c r="F3298" s="12" t="s">
        <v>1739</v>
      </c>
      <c r="G3298" t="s">
        <v>1094</v>
      </c>
    </row>
    <row r="3299" spans="1:7" ht="15" customHeight="1" x14ac:dyDescent="0.25">
      <c r="A3299" s="33" t="s">
        <v>1317</v>
      </c>
      <c r="B3299" s="12" t="s">
        <v>1547</v>
      </c>
      <c r="C3299" s="12" t="s">
        <v>1217</v>
      </c>
      <c r="D3299" s="23">
        <v>7500000</v>
      </c>
      <c r="E3299" s="12">
        <v>1087006619</v>
      </c>
      <c r="F3299" s="12" t="s">
        <v>1709</v>
      </c>
      <c r="G3299" t="s">
        <v>1094</v>
      </c>
    </row>
    <row r="3300" spans="1:7" ht="15" customHeight="1" x14ac:dyDescent="0.25">
      <c r="A3300" s="33" t="s">
        <v>1317</v>
      </c>
      <c r="B3300" s="12" t="s">
        <v>1548</v>
      </c>
      <c r="C3300" s="12" t="s">
        <v>1252</v>
      </c>
      <c r="D3300" s="23">
        <v>3000000</v>
      </c>
      <c r="E3300" s="12">
        <v>1085325325</v>
      </c>
      <c r="F3300" s="12" t="s">
        <v>1741</v>
      </c>
      <c r="G3300" t="s">
        <v>1094</v>
      </c>
    </row>
    <row r="3301" spans="1:7" ht="15" customHeight="1" x14ac:dyDescent="0.25">
      <c r="A3301" s="33" t="s">
        <v>1317</v>
      </c>
      <c r="B3301" s="12" t="s">
        <v>1549</v>
      </c>
      <c r="C3301" s="12" t="s">
        <v>1253</v>
      </c>
      <c r="D3301" s="23">
        <v>2500000</v>
      </c>
      <c r="E3301" s="12">
        <v>98386323</v>
      </c>
      <c r="F3301" s="12" t="s">
        <v>1742</v>
      </c>
      <c r="G3301" t="s">
        <v>1094</v>
      </c>
    </row>
    <row r="3302" spans="1:7" ht="15" customHeight="1" x14ac:dyDescent="0.25">
      <c r="A3302" s="33" t="s">
        <v>1318</v>
      </c>
      <c r="B3302" s="12" t="s">
        <v>1550</v>
      </c>
      <c r="C3302" s="12" t="s">
        <v>1254</v>
      </c>
      <c r="D3302" s="23">
        <v>3000000</v>
      </c>
      <c r="E3302" s="12">
        <v>36861874</v>
      </c>
      <c r="F3302" s="12" t="s">
        <v>1211</v>
      </c>
      <c r="G3302" t="s">
        <v>1094</v>
      </c>
    </row>
    <row r="3303" spans="1:7" ht="15" customHeight="1" x14ac:dyDescent="0.25">
      <c r="A3303" s="33" t="s">
        <v>1318</v>
      </c>
      <c r="B3303" s="12" t="s">
        <v>1551</v>
      </c>
      <c r="C3303" s="12" t="s">
        <v>1173</v>
      </c>
      <c r="D3303" s="23">
        <v>2500000</v>
      </c>
      <c r="E3303" s="12">
        <v>1233188479</v>
      </c>
      <c r="F3303" s="12" t="s">
        <v>1670</v>
      </c>
      <c r="G3303" t="s">
        <v>1094</v>
      </c>
    </row>
    <row r="3304" spans="1:7" ht="15" customHeight="1" x14ac:dyDescent="0.25">
      <c r="A3304" s="33" t="s">
        <v>1318</v>
      </c>
      <c r="B3304" s="12" t="s">
        <v>1552</v>
      </c>
      <c r="C3304" s="12" t="s">
        <v>1194</v>
      </c>
      <c r="D3304" s="23">
        <v>6000000</v>
      </c>
      <c r="E3304" s="12">
        <v>59836480</v>
      </c>
      <c r="F3304" s="12" t="s">
        <v>1686</v>
      </c>
      <c r="G3304" t="s">
        <v>1094</v>
      </c>
    </row>
    <row r="3305" spans="1:7" ht="15" customHeight="1" x14ac:dyDescent="0.25">
      <c r="A3305" s="33" t="s">
        <v>1318</v>
      </c>
      <c r="B3305" s="12" t="s">
        <v>1553</v>
      </c>
      <c r="C3305" s="12" t="s">
        <v>1198</v>
      </c>
      <c r="D3305" s="23">
        <v>2500000</v>
      </c>
      <c r="E3305" s="12">
        <v>59830219</v>
      </c>
      <c r="F3305" s="12" t="s">
        <v>281</v>
      </c>
      <c r="G3305" t="s">
        <v>1094</v>
      </c>
    </row>
    <row r="3306" spans="1:7" ht="15" customHeight="1" x14ac:dyDescent="0.25">
      <c r="A3306" s="33" t="s">
        <v>1318</v>
      </c>
      <c r="B3306" s="12" t="s">
        <v>1554</v>
      </c>
      <c r="C3306" s="12" t="s">
        <v>1189</v>
      </c>
      <c r="D3306" s="23">
        <v>4750000</v>
      </c>
      <c r="E3306" s="12">
        <v>36953206</v>
      </c>
      <c r="F3306" s="12" t="s">
        <v>391</v>
      </c>
      <c r="G3306" t="s">
        <v>1094</v>
      </c>
    </row>
    <row r="3307" spans="1:7" ht="15" customHeight="1" x14ac:dyDescent="0.25">
      <c r="A3307" s="33" t="s">
        <v>1318</v>
      </c>
      <c r="B3307" s="12" t="s">
        <v>1555</v>
      </c>
      <c r="C3307" s="12" t="s">
        <v>1246</v>
      </c>
      <c r="D3307" s="23">
        <v>3000000</v>
      </c>
      <c r="E3307" s="12">
        <v>27087122</v>
      </c>
      <c r="F3307" s="12" t="s">
        <v>37</v>
      </c>
      <c r="G3307" t="s">
        <v>1094</v>
      </c>
    </row>
    <row r="3308" spans="1:7" ht="15" customHeight="1" x14ac:dyDescent="0.25">
      <c r="A3308" s="33" t="s">
        <v>1318</v>
      </c>
      <c r="B3308" s="12" t="s">
        <v>1556</v>
      </c>
      <c r="C3308" s="12" t="s">
        <v>1234</v>
      </c>
      <c r="D3308" s="23">
        <v>3000000</v>
      </c>
      <c r="E3308" s="12">
        <v>27088197</v>
      </c>
      <c r="F3308" s="12" t="s">
        <v>1235</v>
      </c>
      <c r="G3308" t="s">
        <v>1094</v>
      </c>
    </row>
    <row r="3309" spans="1:7" ht="15" customHeight="1" x14ac:dyDescent="0.25">
      <c r="A3309" s="33" t="s">
        <v>1318</v>
      </c>
      <c r="B3309" s="12" t="s">
        <v>1557</v>
      </c>
      <c r="C3309" s="12" t="s">
        <v>1238</v>
      </c>
      <c r="D3309" s="23">
        <v>2500000</v>
      </c>
      <c r="E3309" s="12">
        <v>30734666</v>
      </c>
      <c r="F3309" s="12" t="s">
        <v>1239</v>
      </c>
      <c r="G3309" t="s">
        <v>1094</v>
      </c>
    </row>
    <row r="3310" spans="1:7" ht="15" customHeight="1" x14ac:dyDescent="0.25">
      <c r="A3310" s="33" t="s">
        <v>1318</v>
      </c>
      <c r="B3310" s="12" t="s">
        <v>1558</v>
      </c>
      <c r="C3310" s="12" t="s">
        <v>1208</v>
      </c>
      <c r="D3310" s="23">
        <v>2500000</v>
      </c>
      <c r="E3310" s="12">
        <v>12990231</v>
      </c>
      <c r="F3310" s="12" t="s">
        <v>1700</v>
      </c>
      <c r="G3310" t="s">
        <v>1094</v>
      </c>
    </row>
    <row r="3311" spans="1:7" ht="15" customHeight="1" x14ac:dyDescent="0.25">
      <c r="A3311" s="33" t="s">
        <v>1314</v>
      </c>
      <c r="B3311" s="12" t="s">
        <v>1559</v>
      </c>
      <c r="C3311" s="12" t="s">
        <v>1166</v>
      </c>
      <c r="D3311" s="23">
        <v>6000000</v>
      </c>
      <c r="E3311" s="12">
        <v>97470681</v>
      </c>
      <c r="F3311" s="12" t="s">
        <v>329</v>
      </c>
      <c r="G3311" t="s">
        <v>1094</v>
      </c>
    </row>
    <row r="3312" spans="1:7" ht="15" customHeight="1" x14ac:dyDescent="0.25">
      <c r="A3312" s="33" t="s">
        <v>1314</v>
      </c>
      <c r="B3312" s="12" t="s">
        <v>1560</v>
      </c>
      <c r="C3312" s="12" t="s">
        <v>1210</v>
      </c>
      <c r="D3312" s="23">
        <v>3000000</v>
      </c>
      <c r="E3312" s="12">
        <v>1087959088</v>
      </c>
      <c r="F3312" s="12" t="s">
        <v>1255</v>
      </c>
      <c r="G3312" t="s">
        <v>1094</v>
      </c>
    </row>
    <row r="3313" spans="1:7" ht="15" customHeight="1" x14ac:dyDescent="0.25">
      <c r="A3313" s="33" t="s">
        <v>1314</v>
      </c>
      <c r="B3313" s="12" t="s">
        <v>1561</v>
      </c>
      <c r="C3313" s="12" t="s">
        <v>1161</v>
      </c>
      <c r="D3313" s="23">
        <v>2500000</v>
      </c>
      <c r="E3313" s="12">
        <v>1075242334</v>
      </c>
      <c r="F3313" s="12" t="s">
        <v>1276</v>
      </c>
      <c r="G3313" t="s">
        <v>1094</v>
      </c>
    </row>
    <row r="3314" spans="1:7" ht="15" customHeight="1" x14ac:dyDescent="0.25">
      <c r="A3314" s="33" t="s">
        <v>1314</v>
      </c>
      <c r="B3314" s="12" t="s">
        <v>1562</v>
      </c>
      <c r="C3314" s="12" t="s">
        <v>1256</v>
      </c>
      <c r="D3314" s="23">
        <v>3000000</v>
      </c>
      <c r="E3314" s="12">
        <v>59830040</v>
      </c>
      <c r="F3314" s="12" t="s">
        <v>297</v>
      </c>
      <c r="G3314" t="s">
        <v>1094</v>
      </c>
    </row>
    <row r="3315" spans="1:7" ht="15" customHeight="1" x14ac:dyDescent="0.25">
      <c r="A3315" s="33" t="s">
        <v>1314</v>
      </c>
      <c r="B3315" s="12" t="s">
        <v>1521</v>
      </c>
      <c r="C3315" s="12" t="s">
        <v>1244</v>
      </c>
      <c r="D3315" s="23">
        <v>3000000</v>
      </c>
      <c r="E3315" s="12">
        <v>27091114</v>
      </c>
      <c r="F3315" s="12" t="s">
        <v>1729</v>
      </c>
      <c r="G3315" t="s">
        <v>1094</v>
      </c>
    </row>
    <row r="3316" spans="1:7" ht="15" customHeight="1" x14ac:dyDescent="0.25">
      <c r="A3316" s="33" t="s">
        <v>1314</v>
      </c>
      <c r="B3316" s="12" t="s">
        <v>1563</v>
      </c>
      <c r="C3316" s="12" t="s">
        <v>1232</v>
      </c>
      <c r="D3316" s="23">
        <v>6000000</v>
      </c>
      <c r="E3316" s="12">
        <v>59314458</v>
      </c>
      <c r="F3316" s="12" t="s">
        <v>1233</v>
      </c>
      <c r="G3316" t="s">
        <v>1094</v>
      </c>
    </row>
    <row r="3317" spans="1:7" ht="15" customHeight="1" x14ac:dyDescent="0.25">
      <c r="A3317" s="33" t="s">
        <v>1314</v>
      </c>
      <c r="B3317" s="12" t="s">
        <v>1564</v>
      </c>
      <c r="C3317" s="12" t="s">
        <v>1257</v>
      </c>
      <c r="D3317" s="23">
        <v>2500000</v>
      </c>
      <c r="E3317" s="12">
        <v>1087958982</v>
      </c>
      <c r="F3317" s="12" t="s">
        <v>1745</v>
      </c>
      <c r="G3317" t="s">
        <v>1094</v>
      </c>
    </row>
    <row r="3318" spans="1:7" ht="15" customHeight="1" x14ac:dyDescent="0.25">
      <c r="A3318" s="33" t="s">
        <v>1314</v>
      </c>
      <c r="B3318" s="12" t="s">
        <v>1565</v>
      </c>
      <c r="C3318" s="12" t="s">
        <v>1257</v>
      </c>
      <c r="D3318" s="23">
        <v>2500000</v>
      </c>
      <c r="E3318" s="12">
        <v>1087958982</v>
      </c>
      <c r="F3318" s="12" t="s">
        <v>1745</v>
      </c>
      <c r="G3318" t="s">
        <v>1094</v>
      </c>
    </row>
    <row r="3319" spans="1:7" ht="15" customHeight="1" x14ac:dyDescent="0.25">
      <c r="A3319" s="33" t="s">
        <v>1314</v>
      </c>
      <c r="B3319" s="12" t="s">
        <v>1566</v>
      </c>
      <c r="C3319" s="12" t="s">
        <v>1231</v>
      </c>
      <c r="D3319" s="23">
        <v>6000000</v>
      </c>
      <c r="E3319" s="12">
        <v>1085253062</v>
      </c>
      <c r="F3319" s="12" t="s">
        <v>1722</v>
      </c>
      <c r="G3319" t="s">
        <v>1094</v>
      </c>
    </row>
    <row r="3320" spans="1:7" ht="15" customHeight="1" x14ac:dyDescent="0.25">
      <c r="A3320" s="33" t="s">
        <v>1314</v>
      </c>
      <c r="B3320" s="12" t="s">
        <v>1567</v>
      </c>
      <c r="C3320" s="12" t="s">
        <v>1258</v>
      </c>
      <c r="D3320" s="23">
        <v>3000000</v>
      </c>
      <c r="E3320" s="12">
        <v>59828916</v>
      </c>
      <c r="F3320" s="12" t="s">
        <v>1747</v>
      </c>
      <c r="G3320" t="s">
        <v>1094</v>
      </c>
    </row>
    <row r="3321" spans="1:7" ht="15" customHeight="1" x14ac:dyDescent="0.25">
      <c r="A3321" s="33" t="s">
        <v>1314</v>
      </c>
      <c r="B3321" s="12" t="s">
        <v>1568</v>
      </c>
      <c r="C3321" s="12" t="s">
        <v>1204</v>
      </c>
      <c r="D3321" s="23">
        <v>2500000</v>
      </c>
      <c r="E3321" s="12">
        <v>1085310465</v>
      </c>
      <c r="F3321" s="12" t="s">
        <v>1694</v>
      </c>
      <c r="G3321" t="s">
        <v>1094</v>
      </c>
    </row>
    <row r="3322" spans="1:7" ht="15" customHeight="1" x14ac:dyDescent="0.25">
      <c r="A3322" s="33" t="s">
        <v>1314</v>
      </c>
      <c r="B3322" s="12" t="s">
        <v>1569</v>
      </c>
      <c r="C3322" s="12" t="s">
        <v>1196</v>
      </c>
      <c r="D3322" s="23">
        <v>2500000</v>
      </c>
      <c r="E3322" s="12">
        <v>30722194</v>
      </c>
      <c r="F3322" s="12" t="s">
        <v>1687</v>
      </c>
      <c r="G3322" t="s">
        <v>1094</v>
      </c>
    </row>
    <row r="3323" spans="1:7" ht="15" customHeight="1" x14ac:dyDescent="0.25">
      <c r="A3323" s="33" t="s">
        <v>1315</v>
      </c>
      <c r="B3323" s="12" t="s">
        <v>1522</v>
      </c>
      <c r="C3323" s="12" t="s">
        <v>1245</v>
      </c>
      <c r="D3323" s="23">
        <v>3000000</v>
      </c>
      <c r="E3323" s="12">
        <v>1193271854</v>
      </c>
      <c r="F3323" s="12" t="s">
        <v>229</v>
      </c>
      <c r="G3323" t="s">
        <v>1094</v>
      </c>
    </row>
    <row r="3324" spans="1:7" ht="15" customHeight="1" x14ac:dyDescent="0.25">
      <c r="A3324" s="33" t="s">
        <v>1315</v>
      </c>
      <c r="B3324" s="12" t="s">
        <v>1570</v>
      </c>
      <c r="C3324" s="12" t="s">
        <v>1259</v>
      </c>
      <c r="D3324" s="23">
        <v>6000000</v>
      </c>
      <c r="E3324" s="12">
        <v>1085248939</v>
      </c>
      <c r="F3324" s="12" t="s">
        <v>1749</v>
      </c>
      <c r="G3324" t="s">
        <v>1094</v>
      </c>
    </row>
    <row r="3325" spans="1:7" ht="15" customHeight="1" x14ac:dyDescent="0.25">
      <c r="A3325" s="33" t="s">
        <v>1315</v>
      </c>
      <c r="B3325" s="12" t="s">
        <v>1523</v>
      </c>
      <c r="C3325" s="12" t="s">
        <v>1185</v>
      </c>
      <c r="D3325" s="23">
        <v>3000000</v>
      </c>
      <c r="E3325" s="12">
        <v>1030606749</v>
      </c>
      <c r="F3325" s="12" t="s">
        <v>1678</v>
      </c>
      <c r="G3325" t="s">
        <v>1094</v>
      </c>
    </row>
    <row r="3326" spans="1:7" ht="15" customHeight="1" x14ac:dyDescent="0.25">
      <c r="A3326" s="33" t="s">
        <v>1315</v>
      </c>
      <c r="B3326" s="12" t="s">
        <v>1571</v>
      </c>
      <c r="C3326" s="12" t="s">
        <v>1260</v>
      </c>
      <c r="D3326" s="23">
        <v>3000000</v>
      </c>
      <c r="E3326" s="12">
        <v>1085310466</v>
      </c>
      <c r="F3326" s="12" t="s">
        <v>1261</v>
      </c>
      <c r="G3326" t="s">
        <v>1094</v>
      </c>
    </row>
    <row r="3327" spans="1:7" ht="15" customHeight="1" x14ac:dyDescent="0.25">
      <c r="A3327" s="33" t="s">
        <v>1315</v>
      </c>
      <c r="B3327" s="12" t="s">
        <v>1572</v>
      </c>
      <c r="C3327" s="12" t="s">
        <v>1237</v>
      </c>
      <c r="D3327" s="23">
        <v>6000000</v>
      </c>
      <c r="E3327" s="12">
        <v>36954410</v>
      </c>
      <c r="F3327" s="12" t="s">
        <v>343</v>
      </c>
      <c r="G3327" t="s">
        <v>1094</v>
      </c>
    </row>
    <row r="3328" spans="1:7" ht="15" customHeight="1" x14ac:dyDescent="0.25">
      <c r="A3328" s="33" t="s">
        <v>1319</v>
      </c>
      <c r="B3328" s="12" t="s">
        <v>1573</v>
      </c>
      <c r="C3328" s="12" t="s">
        <v>1193</v>
      </c>
      <c r="D3328" s="23">
        <v>2500000</v>
      </c>
      <c r="E3328" s="12">
        <v>1085347173</v>
      </c>
      <c r="F3328" s="12" t="s">
        <v>487</v>
      </c>
      <c r="G3328" t="s">
        <v>1094</v>
      </c>
    </row>
    <row r="3329" spans="1:8" ht="15" customHeight="1" x14ac:dyDescent="0.25">
      <c r="A3329" s="33" t="s">
        <v>1319</v>
      </c>
      <c r="B3329" s="12" t="s">
        <v>1574</v>
      </c>
      <c r="C3329" s="12" t="s">
        <v>1197</v>
      </c>
      <c r="D3329" s="23">
        <v>3000000</v>
      </c>
      <c r="E3329" s="12">
        <v>1085252263</v>
      </c>
      <c r="F3329" s="12" t="s">
        <v>1689</v>
      </c>
      <c r="G3329" t="s">
        <v>1094</v>
      </c>
    </row>
    <row r="3330" spans="1:8" ht="15" customHeight="1" x14ac:dyDescent="0.25">
      <c r="A3330" s="33" t="s">
        <v>1320</v>
      </c>
      <c r="B3330" s="12" t="s">
        <v>1575</v>
      </c>
      <c r="C3330" s="12" t="s">
        <v>1223</v>
      </c>
      <c r="D3330" s="23">
        <v>6000000</v>
      </c>
      <c r="E3330" s="12">
        <v>27097745</v>
      </c>
      <c r="F3330" s="12" t="s">
        <v>1714</v>
      </c>
      <c r="G3330" t="s">
        <v>1094</v>
      </c>
    </row>
    <row r="3331" spans="1:8" ht="15" customHeight="1" x14ac:dyDescent="0.25">
      <c r="A3331" s="33" t="s">
        <v>1321</v>
      </c>
      <c r="B3331" s="12" t="s">
        <v>1576</v>
      </c>
      <c r="C3331" s="12" t="s">
        <v>1259</v>
      </c>
      <c r="D3331" s="23">
        <v>6000000</v>
      </c>
      <c r="E3331" s="12">
        <v>1085248939</v>
      </c>
      <c r="F3331" s="12" t="s">
        <v>1749</v>
      </c>
      <c r="G3331" t="s">
        <v>1094</v>
      </c>
    </row>
    <row r="3332" spans="1:8" ht="15" customHeight="1" x14ac:dyDescent="0.25">
      <c r="A3332" s="33" t="s">
        <v>1321</v>
      </c>
      <c r="B3332" s="12" t="s">
        <v>1577</v>
      </c>
      <c r="C3332" s="12" t="s">
        <v>1214</v>
      </c>
      <c r="D3332" s="23">
        <v>6000000</v>
      </c>
      <c r="E3332" s="12">
        <v>1004213964</v>
      </c>
      <c r="F3332" s="12" t="s">
        <v>1704</v>
      </c>
      <c r="G3332" t="s">
        <v>1094</v>
      </c>
    </row>
    <row r="3333" spans="1:8" ht="15" customHeight="1" x14ac:dyDescent="0.25">
      <c r="A3333" s="33" t="s">
        <v>1322</v>
      </c>
      <c r="B3333" s="12" t="s">
        <v>1578</v>
      </c>
      <c r="C3333" s="12" t="s">
        <v>1262</v>
      </c>
      <c r="D3333" s="23">
        <v>3000000</v>
      </c>
      <c r="E3333" s="12">
        <v>1086222977</v>
      </c>
      <c r="F3333" s="12" t="s">
        <v>987</v>
      </c>
      <c r="G3333" t="s">
        <v>1094</v>
      </c>
    </row>
    <row r="3334" spans="1:8" ht="15" customHeight="1" x14ac:dyDescent="0.25">
      <c r="A3334" s="33" t="s">
        <v>1323</v>
      </c>
      <c r="B3334" s="12" t="s">
        <v>1579</v>
      </c>
      <c r="C3334" s="12" t="s">
        <v>1240</v>
      </c>
      <c r="D3334" s="23">
        <v>3000000</v>
      </c>
      <c r="E3334" s="12">
        <v>1086223299</v>
      </c>
      <c r="F3334" s="12" t="s">
        <v>455</v>
      </c>
      <c r="G3334" t="s">
        <v>1094</v>
      </c>
    </row>
    <row r="3335" spans="1:8" ht="15" customHeight="1" x14ac:dyDescent="0.25">
      <c r="A3335" s="33" t="s">
        <v>1323</v>
      </c>
      <c r="B3335" s="12" t="s">
        <v>1580</v>
      </c>
      <c r="C3335" s="12" t="s">
        <v>1207</v>
      </c>
      <c r="D3335" s="23">
        <v>3000000</v>
      </c>
      <c r="E3335" s="12">
        <v>1085266584</v>
      </c>
      <c r="F3335" s="12" t="s">
        <v>115</v>
      </c>
      <c r="G3335" t="s">
        <v>1094</v>
      </c>
    </row>
    <row r="3336" spans="1:8" ht="15" customHeight="1" x14ac:dyDescent="0.25">
      <c r="A3336" s="33" t="s">
        <v>1323</v>
      </c>
      <c r="B3336" s="12" t="s">
        <v>1581</v>
      </c>
      <c r="C3336" s="12" t="s">
        <v>1263</v>
      </c>
      <c r="D3336" s="23">
        <v>4200000</v>
      </c>
      <c r="E3336" s="12">
        <v>27198144</v>
      </c>
      <c r="F3336" s="12" t="s">
        <v>1264</v>
      </c>
      <c r="G3336" t="s">
        <v>1094</v>
      </c>
    </row>
    <row r="3337" spans="1:8" ht="15" customHeight="1" x14ac:dyDescent="0.25">
      <c r="A3337" s="33" t="s">
        <v>1324</v>
      </c>
      <c r="B3337" s="12" t="s">
        <v>1582</v>
      </c>
      <c r="C3337" s="12" t="s">
        <v>1265</v>
      </c>
      <c r="D3337" s="23">
        <v>7500000</v>
      </c>
      <c r="E3337" s="12">
        <v>1089483067</v>
      </c>
      <c r="F3337" s="12" t="s">
        <v>1751</v>
      </c>
      <c r="G3337" t="s">
        <v>1094</v>
      </c>
    </row>
    <row r="3338" spans="1:8" ht="15" customHeight="1" x14ac:dyDescent="0.25">
      <c r="A3338" s="33" t="s">
        <v>1324</v>
      </c>
      <c r="B3338" s="12" t="s">
        <v>1583</v>
      </c>
      <c r="C3338" s="12" t="s">
        <v>1265</v>
      </c>
      <c r="D3338" s="23">
        <v>7500000</v>
      </c>
      <c r="E3338" s="12">
        <v>1089483067</v>
      </c>
      <c r="F3338" s="12" t="s">
        <v>1751</v>
      </c>
      <c r="G3338" t="s">
        <v>1094</v>
      </c>
    </row>
    <row r="3339" spans="1:8" ht="15" customHeight="1" x14ac:dyDescent="0.25">
      <c r="A3339" s="33" t="s">
        <v>1325</v>
      </c>
      <c r="B3339" s="12" t="s">
        <v>1584</v>
      </c>
      <c r="C3339" s="12" t="s">
        <v>1216</v>
      </c>
      <c r="D3339" s="23">
        <v>2500000</v>
      </c>
      <c r="E3339" s="12">
        <v>1088729401</v>
      </c>
      <c r="F3339" s="12" t="s">
        <v>1707</v>
      </c>
      <c r="G3339" t="s">
        <v>1094</v>
      </c>
    </row>
    <row r="3340" spans="1:8" ht="15" customHeight="1" x14ac:dyDescent="0.25">
      <c r="A3340" s="33" t="s">
        <v>1325</v>
      </c>
      <c r="B3340" s="12" t="s">
        <v>1585</v>
      </c>
      <c r="C3340" s="12" t="s">
        <v>1247</v>
      </c>
      <c r="D3340" s="23">
        <v>3000000</v>
      </c>
      <c r="E3340" s="12">
        <v>1082747438</v>
      </c>
      <c r="F3340" s="12" t="s">
        <v>548</v>
      </c>
      <c r="G3340" t="s">
        <v>1094</v>
      </c>
    </row>
    <row r="3341" spans="1:8" ht="15" customHeight="1" x14ac:dyDescent="0.25">
      <c r="A3341" s="33" t="s">
        <v>1326</v>
      </c>
      <c r="B3341" s="12" t="s">
        <v>1586</v>
      </c>
      <c r="C3341" s="12" t="s">
        <v>1267</v>
      </c>
      <c r="D3341" s="23">
        <v>3000000</v>
      </c>
      <c r="E3341" s="12">
        <v>1086328142</v>
      </c>
      <c r="F3341" s="12" t="s">
        <v>1753</v>
      </c>
      <c r="G3341" t="s">
        <v>1094</v>
      </c>
    </row>
    <row r="3342" spans="1:8" ht="15" customHeight="1" x14ac:dyDescent="0.25">
      <c r="A3342" s="33" t="s">
        <v>1326</v>
      </c>
      <c r="B3342" s="12" t="s">
        <v>1587</v>
      </c>
      <c r="C3342" s="12" t="s">
        <v>1248</v>
      </c>
      <c r="D3342" s="23">
        <v>3000000</v>
      </c>
      <c r="E3342" s="12">
        <v>59813323</v>
      </c>
      <c r="F3342" s="12" t="s">
        <v>1733</v>
      </c>
      <c r="G3342" t="s">
        <v>1094</v>
      </c>
    </row>
    <row r="3343" spans="1:8" ht="15" customHeight="1" x14ac:dyDescent="0.25">
      <c r="A3343" s="2">
        <v>45946.729861111111</v>
      </c>
      <c r="B3343">
        <v>2025001938</v>
      </c>
      <c r="C3343" t="s">
        <v>1272</v>
      </c>
      <c r="D3343" s="11">
        <v>3000000</v>
      </c>
      <c r="E3343" s="12" t="e">
        <f>VLOOKUP(C3343,#REF!,5,0)</f>
        <v>#REF!</v>
      </c>
      <c r="F3343" s="12" t="e">
        <f>VLOOKUP(C3343,#REF!,6,0)</f>
        <v>#REF!</v>
      </c>
      <c r="G3343" t="s">
        <v>1094</v>
      </c>
      <c r="H3343" t="s">
        <v>2586</v>
      </c>
    </row>
    <row r="3344" spans="1:8" ht="15" customHeight="1" x14ac:dyDescent="0.25">
      <c r="A3344" s="2">
        <v>45436</v>
      </c>
      <c r="B3344">
        <v>2024000859</v>
      </c>
      <c r="C3344" s="27" t="s">
        <v>2608</v>
      </c>
      <c r="D3344" s="11">
        <v>1500000</v>
      </c>
      <c r="E3344" t="s">
        <v>2606</v>
      </c>
      <c r="F3344" t="s">
        <v>2607</v>
      </c>
      <c r="G3344" t="s">
        <v>9</v>
      </c>
    </row>
    <row r="3345" spans="1:7" ht="15" customHeight="1" x14ac:dyDescent="0.25">
      <c r="A3345" s="3">
        <v>46007</v>
      </c>
      <c r="B3345" s="1">
        <v>2025003424</v>
      </c>
      <c r="C3345" s="1" t="s">
        <v>541</v>
      </c>
      <c r="D3345" s="5">
        <v>2500000</v>
      </c>
      <c r="E3345" s="1">
        <v>1085320930</v>
      </c>
      <c r="F3345" s="1" t="s">
        <v>259</v>
      </c>
      <c r="G3345" s="1" t="s">
        <v>9</v>
      </c>
    </row>
    <row r="3348" spans="1:7" ht="15" customHeight="1" x14ac:dyDescent="0.25">
      <c r="A3348" s="34"/>
    </row>
  </sheetData>
  <autoFilter ref="A1:J3344" xr:uid="{1BD4E116-1180-4DB4-9FA3-0DA1ECFC6CA7}"/>
  <conditionalFormatting sqref="B1:B1048576">
    <cfRule type="duplicateValues" dxfId="3" priority="1"/>
    <cfRule type="duplicateValues" dxfId="2" priority="2"/>
  </conditionalFormatting>
  <conditionalFormatting sqref="B1912:B1919">
    <cfRule type="duplicateValues" dxfId="1" priority="3"/>
  </conditionalFormatting>
  <conditionalFormatting sqref="H2:H1923">
    <cfRule type="duplicateValues" dxfId="0" priority="4"/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REPORTADOS</vt:lpstr>
      <vt:lpstr>Hoja2</vt:lpstr>
      <vt:lpstr>PAGOS</vt:lpstr>
      <vt:lpstr>BORRAR</vt:lpstr>
      <vt:lpstr>MODIFICAION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JEISSON GETIAL</cp:lastModifiedBy>
  <dcterms:created xsi:type="dcterms:W3CDTF">2026-04-15T16:58:21Z</dcterms:created>
  <dcterms:modified xsi:type="dcterms:W3CDTF">2026-04-19T02:39:56Z</dcterms:modified>
</cp:coreProperties>
</file>